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DIP\OneDrive\Desktop\excel\"/>
    </mc:Choice>
  </mc:AlternateContent>
  <xr:revisionPtr revIDLastSave="0" documentId="13_ncr:1_{65F94099-B37C-45A6-9B2C-C3D5CB67927E}" xr6:coauthVersionLast="45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ster" sheetId="1" r:id="rId1"/>
    <sheet name="lentry" sheetId="28" r:id="rId2"/>
    <sheet name="loan" sheetId="4" r:id="rId3"/>
    <sheet name="adv" sheetId="24" r:id="rId4"/>
    <sheet name="holly" sheetId="10" r:id="rId5"/>
    <sheet name="jan" sheetId="9" r:id="rId6"/>
    <sheet name="feb" sheetId="11" r:id="rId7"/>
    <sheet name="mar" sheetId="12" r:id="rId8"/>
    <sheet name="apr" sheetId="13" r:id="rId9"/>
    <sheet name="may" sheetId="14" r:id="rId10"/>
    <sheet name="jun" sheetId="16" r:id="rId11"/>
    <sheet name="jul" sheetId="15" r:id="rId12"/>
    <sheet name="aug" sheetId="17" r:id="rId13"/>
    <sheet name="sep" sheetId="18" r:id="rId14"/>
    <sheet name="oct" sheetId="19" r:id="rId15"/>
    <sheet name="nov" sheetId="20" r:id="rId16"/>
    <sheet name="dec" sheetId="21" r:id="rId17"/>
    <sheet name="S Sheet" sheetId="25" r:id="rId18"/>
    <sheet name="Payslip" sheetId="26" r:id="rId19"/>
  </sheets>
  <functionGroups builtInGroupCount="19"/>
  <definedNames>
    <definedName name="_xlnm._FilterDatabase" localSheetId="2" hidden="1">loan!#REF!</definedName>
    <definedName name="_xlnm._FilterDatabase" localSheetId="0" hidden="1">Master!$A$2:$K$52</definedName>
    <definedName name="HOLLYDAY">holly!$B$3:$B$17</definedName>
  </definedNames>
  <calcPr calcId="191029"/>
</workbook>
</file>

<file path=xl/calcChain.xml><?xml version="1.0" encoding="utf-8"?>
<calcChain xmlns="http://schemas.openxmlformats.org/spreadsheetml/2006/main">
  <c r="H5" i="9" l="1"/>
  <c r="E103" i="28" l="1"/>
  <c r="E104" i="28"/>
  <c r="E105" i="28"/>
  <c r="E106" i="28"/>
  <c r="E107" i="28"/>
  <c r="E108" i="28"/>
  <c r="E109" i="28"/>
  <c r="E110" i="28"/>
  <c r="AF44" i="17"/>
  <c r="L44" i="13"/>
  <c r="L11" i="13"/>
  <c r="F6" i="17"/>
  <c r="H6" i="17"/>
  <c r="I6" i="17"/>
  <c r="J6" i="17"/>
  <c r="K6" i="17"/>
  <c r="L6" i="17"/>
  <c r="M6" i="17"/>
  <c r="O6" i="17"/>
  <c r="P6" i="17"/>
  <c r="Q6" i="17"/>
  <c r="R6" i="17"/>
  <c r="S6" i="17"/>
  <c r="V6" i="17"/>
  <c r="W6" i="17"/>
  <c r="X6" i="17"/>
  <c r="Y6" i="17"/>
  <c r="Z6" i="17"/>
  <c r="AA6" i="17"/>
  <c r="AC6" i="17"/>
  <c r="AD6" i="17"/>
  <c r="AE6" i="17"/>
  <c r="AF6" i="17"/>
  <c r="AG6" i="17"/>
  <c r="AH6" i="17"/>
  <c r="AJ6" i="17"/>
  <c r="F7" i="17"/>
  <c r="H7" i="17"/>
  <c r="I7" i="17"/>
  <c r="J7" i="17"/>
  <c r="K7" i="17"/>
  <c r="L7" i="17"/>
  <c r="M7" i="17"/>
  <c r="O7" i="17"/>
  <c r="P7" i="17"/>
  <c r="Q7" i="17"/>
  <c r="R7" i="17"/>
  <c r="S7" i="17"/>
  <c r="V7" i="17"/>
  <c r="W7" i="17"/>
  <c r="X7" i="17"/>
  <c r="Y7" i="17"/>
  <c r="Z7" i="17"/>
  <c r="AA7" i="17"/>
  <c r="AC7" i="17"/>
  <c r="AD7" i="17"/>
  <c r="AE7" i="17"/>
  <c r="AF7" i="17"/>
  <c r="AG7" i="17"/>
  <c r="AH7" i="17"/>
  <c r="AJ7" i="17"/>
  <c r="F8" i="17"/>
  <c r="H8" i="17"/>
  <c r="I8" i="17"/>
  <c r="J8" i="17"/>
  <c r="L8" i="17"/>
  <c r="M8" i="17"/>
  <c r="O8" i="17"/>
  <c r="P8" i="17"/>
  <c r="Q8" i="17"/>
  <c r="R8" i="17"/>
  <c r="S8" i="17"/>
  <c r="V8" i="17"/>
  <c r="W8" i="17"/>
  <c r="X8" i="17"/>
  <c r="Y8" i="17"/>
  <c r="Z8" i="17"/>
  <c r="AA8" i="17"/>
  <c r="AD8" i="17"/>
  <c r="AE8" i="17"/>
  <c r="AF8" i="17"/>
  <c r="AG8" i="17"/>
  <c r="AH8" i="17"/>
  <c r="AJ8" i="17"/>
  <c r="F9" i="17"/>
  <c r="H9" i="17"/>
  <c r="I9" i="17"/>
  <c r="J9" i="17"/>
  <c r="K9" i="17"/>
  <c r="L9" i="17"/>
  <c r="M9" i="17"/>
  <c r="O9" i="17"/>
  <c r="P9" i="17"/>
  <c r="Q9" i="17"/>
  <c r="R9" i="17"/>
  <c r="S9" i="17"/>
  <c r="V9" i="17"/>
  <c r="W9" i="17"/>
  <c r="Y9" i="17"/>
  <c r="Z9" i="17"/>
  <c r="AA9" i="17"/>
  <c r="AC9" i="17"/>
  <c r="AD9" i="17"/>
  <c r="AE9" i="17"/>
  <c r="AF9" i="17"/>
  <c r="AG9" i="17"/>
  <c r="AH9" i="17"/>
  <c r="AJ9" i="17"/>
  <c r="F10" i="17"/>
  <c r="H10" i="17"/>
  <c r="I10" i="17"/>
  <c r="J10" i="17"/>
  <c r="K10" i="17"/>
  <c r="L10" i="17"/>
  <c r="M10" i="17"/>
  <c r="O10" i="17"/>
  <c r="P10" i="17"/>
  <c r="Q10" i="17"/>
  <c r="R10" i="17"/>
  <c r="S10" i="17"/>
  <c r="V10" i="17"/>
  <c r="W10" i="17"/>
  <c r="X10" i="17"/>
  <c r="Y10" i="17"/>
  <c r="Z10" i="17"/>
  <c r="AA10" i="17"/>
  <c r="AC10" i="17"/>
  <c r="AD10" i="17"/>
  <c r="AE10" i="17"/>
  <c r="AF10" i="17"/>
  <c r="AG10" i="17"/>
  <c r="AH10" i="17"/>
  <c r="AJ10" i="17"/>
  <c r="F11" i="17"/>
  <c r="H11" i="17"/>
  <c r="I11" i="17"/>
  <c r="J11" i="17"/>
  <c r="K11" i="17"/>
  <c r="L11" i="17"/>
  <c r="M11" i="17"/>
  <c r="O11" i="17"/>
  <c r="P11" i="17"/>
  <c r="Q11" i="17"/>
  <c r="R11" i="17"/>
  <c r="S11" i="17"/>
  <c r="V11" i="17"/>
  <c r="W11" i="17"/>
  <c r="X11" i="17"/>
  <c r="Y11" i="17"/>
  <c r="Z11" i="17"/>
  <c r="AA11" i="17"/>
  <c r="AC11" i="17"/>
  <c r="AD11" i="17"/>
  <c r="AE11" i="17"/>
  <c r="AF11" i="17"/>
  <c r="AG11" i="17"/>
  <c r="AH11" i="17"/>
  <c r="AJ11" i="17"/>
  <c r="F12" i="17"/>
  <c r="H12" i="17"/>
  <c r="I12" i="17"/>
  <c r="J12" i="17"/>
  <c r="K12" i="17"/>
  <c r="L12" i="17"/>
  <c r="M12" i="17"/>
  <c r="O12" i="17"/>
  <c r="P12" i="17"/>
  <c r="Q12" i="17"/>
  <c r="R12" i="17"/>
  <c r="S12" i="17"/>
  <c r="V12" i="17"/>
  <c r="W12" i="17"/>
  <c r="X12" i="17"/>
  <c r="Y12" i="17"/>
  <c r="Z12" i="17"/>
  <c r="AA12" i="17"/>
  <c r="AC12" i="17"/>
  <c r="AD12" i="17"/>
  <c r="AE12" i="17"/>
  <c r="AF12" i="17"/>
  <c r="AH12" i="17"/>
  <c r="AJ12" i="17"/>
  <c r="F13" i="17"/>
  <c r="H13" i="17"/>
  <c r="I13" i="17"/>
  <c r="J13" i="17"/>
  <c r="K13" i="17"/>
  <c r="L13" i="17"/>
  <c r="M13" i="17"/>
  <c r="O13" i="17"/>
  <c r="P13" i="17"/>
  <c r="Q13" i="17"/>
  <c r="S13" i="17"/>
  <c r="W13" i="17"/>
  <c r="X13" i="17"/>
  <c r="Y13" i="17"/>
  <c r="Z13" i="17"/>
  <c r="AA13" i="17"/>
  <c r="AC13" i="17"/>
  <c r="AD13" i="17"/>
  <c r="AE13" i="17"/>
  <c r="AF13" i="17"/>
  <c r="AG13" i="17"/>
  <c r="AH13" i="17"/>
  <c r="AJ13" i="17"/>
  <c r="F14" i="17"/>
  <c r="H14" i="17"/>
  <c r="I14" i="17"/>
  <c r="J14" i="17"/>
  <c r="K14" i="17"/>
  <c r="L14" i="17"/>
  <c r="M14" i="17"/>
  <c r="O14" i="17"/>
  <c r="P14" i="17"/>
  <c r="Q14" i="17"/>
  <c r="R14" i="17"/>
  <c r="S14" i="17"/>
  <c r="V14" i="17"/>
  <c r="W14" i="17"/>
  <c r="X14" i="17"/>
  <c r="Y14" i="17"/>
  <c r="Z14" i="17"/>
  <c r="AA14" i="17"/>
  <c r="AC14" i="17"/>
  <c r="AD14" i="17"/>
  <c r="AE14" i="17"/>
  <c r="AF14" i="17"/>
  <c r="AG14" i="17"/>
  <c r="AH14" i="17"/>
  <c r="AJ14" i="17"/>
  <c r="F15" i="17"/>
  <c r="H15" i="17"/>
  <c r="J15" i="17"/>
  <c r="K15" i="17"/>
  <c r="L15" i="17"/>
  <c r="M15" i="17"/>
  <c r="O15" i="17"/>
  <c r="P15" i="17"/>
  <c r="Q15" i="17"/>
  <c r="R15" i="17"/>
  <c r="S15" i="17"/>
  <c r="V15" i="17"/>
  <c r="W15" i="17"/>
  <c r="X15" i="17"/>
  <c r="Z15" i="17"/>
  <c r="AA15" i="17"/>
  <c r="AC15" i="17"/>
  <c r="AD15" i="17"/>
  <c r="AE15" i="17"/>
  <c r="AF15" i="17"/>
  <c r="AG15" i="17"/>
  <c r="AH15" i="17"/>
  <c r="AJ15" i="17"/>
  <c r="F16" i="17"/>
  <c r="H16" i="17"/>
  <c r="I16" i="17"/>
  <c r="J16" i="17"/>
  <c r="K16" i="17"/>
  <c r="L16" i="17"/>
  <c r="M16" i="17"/>
  <c r="O16" i="17"/>
  <c r="P16" i="17"/>
  <c r="Q16" i="17"/>
  <c r="R16" i="17"/>
  <c r="S16" i="17"/>
  <c r="V16" i="17"/>
  <c r="W16" i="17"/>
  <c r="X16" i="17"/>
  <c r="Y16" i="17"/>
  <c r="Z16" i="17"/>
  <c r="AA16" i="17"/>
  <c r="AC16" i="17"/>
  <c r="AD16" i="17"/>
  <c r="AE16" i="17"/>
  <c r="AF16" i="17"/>
  <c r="AG16" i="17"/>
  <c r="AH16" i="17"/>
  <c r="AJ16" i="17"/>
  <c r="F17" i="17"/>
  <c r="H17" i="17"/>
  <c r="I17" i="17"/>
  <c r="J17" i="17"/>
  <c r="K17" i="17"/>
  <c r="L17" i="17"/>
  <c r="M17" i="17"/>
  <c r="O17" i="17"/>
  <c r="P17" i="17"/>
  <c r="Q17" i="17"/>
  <c r="R17" i="17"/>
  <c r="S17" i="17"/>
  <c r="V17" i="17"/>
  <c r="W17" i="17"/>
  <c r="X17" i="17"/>
  <c r="Y17" i="17"/>
  <c r="Z17" i="17"/>
  <c r="AA17" i="17"/>
  <c r="AC17" i="17"/>
  <c r="AD17" i="17"/>
  <c r="AE17" i="17"/>
  <c r="AF17" i="17"/>
  <c r="AG17" i="17"/>
  <c r="AJ17" i="17"/>
  <c r="F18" i="17"/>
  <c r="H18" i="17"/>
  <c r="I18" i="17"/>
  <c r="J18" i="17"/>
  <c r="K18" i="17"/>
  <c r="L18" i="17"/>
  <c r="M18" i="17"/>
  <c r="O18" i="17"/>
  <c r="P18" i="17"/>
  <c r="Q18" i="17"/>
  <c r="R18" i="17"/>
  <c r="S18" i="17"/>
  <c r="V18" i="17"/>
  <c r="W18" i="17"/>
  <c r="X18" i="17"/>
  <c r="Y18" i="17"/>
  <c r="Z18" i="17"/>
  <c r="AA18" i="17"/>
  <c r="AC18" i="17"/>
  <c r="AD18" i="17"/>
  <c r="AE18" i="17"/>
  <c r="AF18" i="17"/>
  <c r="AG18" i="17"/>
  <c r="AH18" i="17"/>
  <c r="AJ18" i="17"/>
  <c r="F19" i="17"/>
  <c r="H19" i="17"/>
  <c r="I19" i="17"/>
  <c r="J19" i="17"/>
  <c r="K19" i="17"/>
  <c r="L19" i="17"/>
  <c r="M19" i="17"/>
  <c r="O19" i="17"/>
  <c r="P19" i="17"/>
  <c r="Q19" i="17"/>
  <c r="R19" i="17"/>
  <c r="S19" i="17"/>
  <c r="V19" i="17"/>
  <c r="W19" i="17"/>
  <c r="X19" i="17"/>
  <c r="Y19" i="17"/>
  <c r="Z19" i="17"/>
  <c r="AA19" i="17"/>
  <c r="AC19" i="17"/>
  <c r="AD19" i="17"/>
  <c r="AE19" i="17"/>
  <c r="AF19" i="17"/>
  <c r="AG19" i="17"/>
  <c r="AH19" i="17"/>
  <c r="AJ19" i="17"/>
  <c r="F20" i="17"/>
  <c r="H20" i="17"/>
  <c r="I20" i="17"/>
  <c r="J20" i="17"/>
  <c r="K20" i="17"/>
  <c r="L20" i="17"/>
  <c r="M20" i="17"/>
  <c r="O20" i="17"/>
  <c r="P20" i="17"/>
  <c r="Q20" i="17"/>
  <c r="R20" i="17"/>
  <c r="S20" i="17"/>
  <c r="V20" i="17"/>
  <c r="W20" i="17"/>
  <c r="X20" i="17"/>
  <c r="Z20" i="17"/>
  <c r="AA20" i="17"/>
  <c r="AC20" i="17"/>
  <c r="AD20" i="17"/>
  <c r="AE20" i="17"/>
  <c r="AF20" i="17"/>
  <c r="AG20" i="17"/>
  <c r="AH20" i="17"/>
  <c r="AJ20" i="17"/>
  <c r="F21" i="17"/>
  <c r="H21" i="17"/>
  <c r="I21" i="17"/>
  <c r="J21" i="17"/>
  <c r="K21" i="17"/>
  <c r="L21" i="17"/>
  <c r="M21" i="17"/>
  <c r="O21" i="17"/>
  <c r="P21" i="17"/>
  <c r="Q21" i="17"/>
  <c r="R21" i="17"/>
  <c r="S21" i="17"/>
  <c r="V21" i="17"/>
  <c r="W21" i="17"/>
  <c r="X21" i="17"/>
  <c r="Y21" i="17"/>
  <c r="Z21" i="17"/>
  <c r="AA21" i="17"/>
  <c r="AC21" i="17"/>
  <c r="AD21" i="17"/>
  <c r="AE21" i="17"/>
  <c r="AF21" i="17"/>
  <c r="AG21" i="17"/>
  <c r="AH21" i="17"/>
  <c r="AJ21" i="17"/>
  <c r="F22" i="17"/>
  <c r="H22" i="17"/>
  <c r="I22" i="17"/>
  <c r="J22" i="17"/>
  <c r="K22" i="17"/>
  <c r="L22" i="17"/>
  <c r="M22" i="17"/>
  <c r="O22" i="17"/>
  <c r="Q22" i="17"/>
  <c r="R22" i="17"/>
  <c r="S22" i="17"/>
  <c r="V22" i="17"/>
  <c r="W22" i="17"/>
  <c r="X22" i="17"/>
  <c r="Y22" i="17"/>
  <c r="Z22" i="17"/>
  <c r="AA22" i="17"/>
  <c r="AC22" i="17"/>
  <c r="AD22" i="17"/>
  <c r="AE22" i="17"/>
  <c r="AF22" i="17"/>
  <c r="AG22" i="17"/>
  <c r="AH22" i="17"/>
  <c r="AJ22" i="17"/>
  <c r="F23" i="17"/>
  <c r="H23" i="17"/>
  <c r="I23" i="17"/>
  <c r="J23" i="17"/>
  <c r="L23" i="17"/>
  <c r="M23" i="17"/>
  <c r="O23" i="17"/>
  <c r="P23" i="17"/>
  <c r="Q23" i="17"/>
  <c r="R23" i="17"/>
  <c r="S23" i="17"/>
  <c r="V23" i="17"/>
  <c r="W23" i="17"/>
  <c r="X23" i="17"/>
  <c r="Y23" i="17"/>
  <c r="Z23" i="17"/>
  <c r="AA23" i="17"/>
  <c r="AC23" i="17"/>
  <c r="AE23" i="17"/>
  <c r="AF23" i="17"/>
  <c r="AG23" i="17"/>
  <c r="AH23" i="17"/>
  <c r="AJ23" i="17"/>
  <c r="F24" i="17"/>
  <c r="H24" i="17"/>
  <c r="I24" i="17"/>
  <c r="J24" i="17"/>
  <c r="K24" i="17"/>
  <c r="L24" i="17"/>
  <c r="M24" i="17"/>
  <c r="O24" i="17"/>
  <c r="P24" i="17"/>
  <c r="Q24" i="17"/>
  <c r="R24" i="17"/>
  <c r="S24" i="17"/>
  <c r="V24" i="17"/>
  <c r="W24" i="17"/>
  <c r="X24" i="17"/>
  <c r="Y24" i="17"/>
  <c r="Z24" i="17"/>
  <c r="AA24" i="17"/>
  <c r="AC24" i="17"/>
  <c r="AD24" i="17"/>
  <c r="AE24" i="17"/>
  <c r="AF24" i="17"/>
  <c r="AG24" i="17"/>
  <c r="AH24" i="17"/>
  <c r="AJ24" i="17"/>
  <c r="F25" i="17"/>
  <c r="H25" i="17"/>
  <c r="I25" i="17"/>
  <c r="J25" i="17"/>
  <c r="K25" i="17"/>
  <c r="L25" i="17"/>
  <c r="M25" i="17"/>
  <c r="O25" i="17"/>
  <c r="P25" i="17"/>
  <c r="Q25" i="17"/>
  <c r="R25" i="17"/>
  <c r="S25" i="17"/>
  <c r="V25" i="17"/>
  <c r="W25" i="17"/>
  <c r="X25" i="17"/>
  <c r="Y25" i="17"/>
  <c r="Z25" i="17"/>
  <c r="AA25" i="17"/>
  <c r="AC25" i="17"/>
  <c r="AD25" i="17"/>
  <c r="AE25" i="17"/>
  <c r="AF25" i="17"/>
  <c r="AG25" i="17"/>
  <c r="AH25" i="17"/>
  <c r="AJ25" i="17"/>
  <c r="F26" i="17"/>
  <c r="H26" i="17"/>
  <c r="J26" i="17"/>
  <c r="K26" i="17"/>
  <c r="L26" i="17"/>
  <c r="M26" i="17"/>
  <c r="O26" i="17"/>
  <c r="P26" i="17"/>
  <c r="Q26" i="17"/>
  <c r="R26" i="17"/>
  <c r="S26" i="17"/>
  <c r="V26" i="17"/>
  <c r="W26" i="17"/>
  <c r="X26" i="17"/>
  <c r="Y26" i="17"/>
  <c r="Z26" i="17"/>
  <c r="AA26" i="17"/>
  <c r="AC26" i="17"/>
  <c r="AD26" i="17"/>
  <c r="AE26" i="17"/>
  <c r="AG26" i="17"/>
  <c r="AH26" i="17"/>
  <c r="AJ26" i="17"/>
  <c r="F27" i="17"/>
  <c r="H27" i="17"/>
  <c r="I27" i="17"/>
  <c r="J27" i="17"/>
  <c r="K27" i="17"/>
  <c r="L27" i="17"/>
  <c r="M27" i="17"/>
  <c r="O27" i="17"/>
  <c r="P27" i="17"/>
  <c r="Q27" i="17"/>
  <c r="R27" i="17"/>
  <c r="S27" i="17"/>
  <c r="V27" i="17"/>
  <c r="W27" i="17"/>
  <c r="X27" i="17"/>
  <c r="Y27" i="17"/>
  <c r="Z27" i="17"/>
  <c r="AA27" i="17"/>
  <c r="AC27" i="17"/>
  <c r="AD27" i="17"/>
  <c r="AE27" i="17"/>
  <c r="AF27" i="17"/>
  <c r="AG27" i="17"/>
  <c r="AH27" i="17"/>
  <c r="AJ27" i="17"/>
  <c r="F28" i="17"/>
  <c r="H28" i="17"/>
  <c r="I28" i="17"/>
  <c r="J28" i="17"/>
  <c r="K28" i="17"/>
  <c r="L28" i="17"/>
  <c r="M28" i="17"/>
  <c r="O28" i="17"/>
  <c r="P28" i="17"/>
  <c r="R28" i="17"/>
  <c r="S28" i="17"/>
  <c r="V28" i="17"/>
  <c r="W28" i="17"/>
  <c r="X28" i="17"/>
  <c r="Y28" i="17"/>
  <c r="Z28" i="17"/>
  <c r="AA28" i="17"/>
  <c r="AC28" i="17"/>
  <c r="AD28" i="17"/>
  <c r="AE28" i="17"/>
  <c r="AF28" i="17"/>
  <c r="AG28" i="17"/>
  <c r="AH28" i="17"/>
  <c r="AJ28" i="17"/>
  <c r="F29" i="17"/>
  <c r="H29" i="17"/>
  <c r="I29" i="17"/>
  <c r="J29" i="17"/>
  <c r="K29" i="17"/>
  <c r="L29" i="17"/>
  <c r="M29" i="17"/>
  <c r="O29" i="17"/>
  <c r="P29" i="17"/>
  <c r="Q29" i="17"/>
  <c r="R29" i="17"/>
  <c r="S29" i="17"/>
  <c r="V29" i="17"/>
  <c r="W29" i="17"/>
  <c r="X29" i="17"/>
  <c r="Y29" i="17"/>
  <c r="Z29" i="17"/>
  <c r="AA29" i="17"/>
  <c r="AC29" i="17"/>
  <c r="AD29" i="17"/>
  <c r="AE29" i="17"/>
  <c r="AF29" i="17"/>
  <c r="AG29" i="17"/>
  <c r="AH29" i="17"/>
  <c r="AJ29" i="17"/>
  <c r="F30" i="17"/>
  <c r="H30" i="17"/>
  <c r="I30" i="17"/>
  <c r="J30" i="17"/>
  <c r="K30" i="17"/>
  <c r="L30" i="17"/>
  <c r="M30" i="17"/>
  <c r="O30" i="17"/>
  <c r="P30" i="17"/>
  <c r="Q30" i="17"/>
  <c r="R30" i="17"/>
  <c r="S30" i="17"/>
  <c r="V30" i="17"/>
  <c r="W30" i="17"/>
  <c r="X30" i="17"/>
  <c r="Z30" i="17"/>
  <c r="AA30" i="17"/>
  <c r="AC30" i="17"/>
  <c r="AD30" i="17"/>
  <c r="AE30" i="17"/>
  <c r="AF30" i="17"/>
  <c r="AG30" i="17"/>
  <c r="AH30" i="17"/>
  <c r="AJ30" i="17"/>
  <c r="F31" i="17"/>
  <c r="H31" i="17"/>
  <c r="I31" i="17"/>
  <c r="J31" i="17"/>
  <c r="L31" i="17"/>
  <c r="M31" i="17"/>
  <c r="O31" i="17"/>
  <c r="P31" i="17"/>
  <c r="Q31" i="17"/>
  <c r="R31" i="17"/>
  <c r="S31" i="17"/>
  <c r="V31" i="17"/>
  <c r="W31" i="17"/>
  <c r="X31" i="17"/>
  <c r="Y31" i="17"/>
  <c r="Z31" i="17"/>
  <c r="AA31" i="17"/>
  <c r="AC31" i="17"/>
  <c r="AD31" i="17"/>
  <c r="AF31" i="17"/>
  <c r="AG31" i="17"/>
  <c r="AH31" i="17"/>
  <c r="AJ31" i="17"/>
  <c r="F32" i="17"/>
  <c r="H32" i="17"/>
  <c r="I32" i="17"/>
  <c r="J32" i="17"/>
  <c r="K32" i="17"/>
  <c r="L32" i="17"/>
  <c r="M32" i="17"/>
  <c r="O32" i="17"/>
  <c r="P32" i="17"/>
  <c r="Q32" i="17"/>
  <c r="R32" i="17"/>
  <c r="S32" i="17"/>
  <c r="V32" i="17"/>
  <c r="W32" i="17"/>
  <c r="X32" i="17"/>
  <c r="Y32" i="17"/>
  <c r="Z32" i="17"/>
  <c r="AA32" i="17"/>
  <c r="AC32" i="17"/>
  <c r="AD32" i="17"/>
  <c r="AE32" i="17"/>
  <c r="AF32" i="17"/>
  <c r="AG32" i="17"/>
  <c r="AH32" i="17"/>
  <c r="AJ32" i="17"/>
  <c r="F33" i="17"/>
  <c r="H33" i="17"/>
  <c r="I33" i="17"/>
  <c r="J33" i="17"/>
  <c r="K33" i="17"/>
  <c r="L33" i="17"/>
  <c r="M33" i="17"/>
  <c r="O33" i="17"/>
  <c r="P33" i="17"/>
  <c r="Q33" i="17"/>
  <c r="R33" i="17"/>
  <c r="S33" i="17"/>
  <c r="V33" i="17"/>
  <c r="W33" i="17"/>
  <c r="X33" i="17"/>
  <c r="Y33" i="17"/>
  <c r="Z33" i="17"/>
  <c r="AA33" i="17"/>
  <c r="AC33" i="17"/>
  <c r="AD33" i="17"/>
  <c r="AE33" i="17"/>
  <c r="AF33" i="17"/>
  <c r="AG33" i="17"/>
  <c r="AH33" i="17"/>
  <c r="AJ33" i="17"/>
  <c r="F34" i="17"/>
  <c r="H34" i="17"/>
  <c r="J34" i="17"/>
  <c r="K34" i="17"/>
  <c r="L34" i="17"/>
  <c r="M34" i="17"/>
  <c r="O34" i="17"/>
  <c r="P34" i="17"/>
  <c r="Q34" i="17"/>
  <c r="R34" i="17"/>
  <c r="S34" i="17"/>
  <c r="V34" i="17"/>
  <c r="W34" i="17"/>
  <c r="X34" i="17"/>
  <c r="Y34" i="17"/>
  <c r="Z34" i="17"/>
  <c r="AA34" i="17"/>
  <c r="AC34" i="17"/>
  <c r="AD34" i="17"/>
  <c r="AE34" i="17"/>
  <c r="AF34" i="17"/>
  <c r="AG34" i="17"/>
  <c r="AH34" i="17"/>
  <c r="AJ34" i="17"/>
  <c r="F35" i="17"/>
  <c r="H35" i="17"/>
  <c r="I35" i="17"/>
  <c r="J35" i="17"/>
  <c r="K35" i="17"/>
  <c r="L35" i="17"/>
  <c r="M35" i="17"/>
  <c r="O35" i="17"/>
  <c r="Q35" i="17"/>
  <c r="R35" i="17"/>
  <c r="S35" i="17"/>
  <c r="V35" i="17"/>
  <c r="W35" i="17"/>
  <c r="X35" i="17"/>
  <c r="Y35" i="17"/>
  <c r="Z35" i="17"/>
  <c r="AA35" i="17"/>
  <c r="AC35" i="17"/>
  <c r="AD35" i="17"/>
  <c r="AE35" i="17"/>
  <c r="AF35" i="17"/>
  <c r="AG35" i="17"/>
  <c r="AH35" i="17"/>
  <c r="AJ35" i="17"/>
  <c r="F36" i="17"/>
  <c r="H36" i="17"/>
  <c r="I36" i="17"/>
  <c r="J36" i="17"/>
  <c r="K36" i="17"/>
  <c r="L36" i="17"/>
  <c r="M36" i="17"/>
  <c r="O36" i="17"/>
  <c r="P36" i="17"/>
  <c r="Q36" i="17"/>
  <c r="R36" i="17"/>
  <c r="S36" i="17"/>
  <c r="V36" i="17"/>
  <c r="W36" i="17"/>
  <c r="X36" i="17"/>
  <c r="Y36" i="17"/>
  <c r="Z36" i="17"/>
  <c r="AA36" i="17"/>
  <c r="AC36" i="17"/>
  <c r="AD36" i="17"/>
  <c r="AF36" i="17"/>
  <c r="AG36" i="17"/>
  <c r="AH36" i="17"/>
  <c r="AJ36" i="17"/>
  <c r="F37" i="17"/>
  <c r="H37" i="17"/>
  <c r="I37" i="17"/>
  <c r="J37" i="17"/>
  <c r="K37" i="17"/>
  <c r="L37" i="17"/>
  <c r="M37" i="17"/>
  <c r="O37" i="17"/>
  <c r="P37" i="17"/>
  <c r="Q37" i="17"/>
  <c r="R37" i="17"/>
  <c r="S37" i="17"/>
  <c r="V37" i="17"/>
  <c r="X37" i="17"/>
  <c r="Y37" i="17"/>
  <c r="Z37" i="17"/>
  <c r="AA37" i="17"/>
  <c r="AC37" i="17"/>
  <c r="AD37" i="17"/>
  <c r="AE37" i="17"/>
  <c r="AF37" i="17"/>
  <c r="AG37" i="17"/>
  <c r="AH37" i="17"/>
  <c r="AJ37" i="17"/>
  <c r="F38" i="17"/>
  <c r="H38" i="17"/>
  <c r="I38" i="17"/>
  <c r="J38" i="17"/>
  <c r="K38" i="17"/>
  <c r="L38" i="17"/>
  <c r="M38" i="17"/>
  <c r="O38" i="17"/>
  <c r="P38" i="17"/>
  <c r="Q38" i="17"/>
  <c r="R38" i="17"/>
  <c r="S38" i="17"/>
  <c r="V38" i="17"/>
  <c r="W38" i="17"/>
  <c r="X38" i="17"/>
  <c r="Y38" i="17"/>
  <c r="Z38" i="17"/>
  <c r="AA38" i="17"/>
  <c r="AC38" i="17"/>
  <c r="AD38" i="17"/>
  <c r="AE38" i="17"/>
  <c r="AF38" i="17"/>
  <c r="AH38" i="17"/>
  <c r="AJ38" i="17"/>
  <c r="F39" i="17"/>
  <c r="H39" i="17"/>
  <c r="I39" i="17"/>
  <c r="J39" i="17"/>
  <c r="K39" i="17"/>
  <c r="L39" i="17"/>
  <c r="M39" i="17"/>
  <c r="O39" i="17"/>
  <c r="P39" i="17"/>
  <c r="Q39" i="17"/>
  <c r="R39" i="17"/>
  <c r="S39" i="17"/>
  <c r="V39" i="17"/>
  <c r="W39" i="17"/>
  <c r="X39" i="17"/>
  <c r="Y39" i="17"/>
  <c r="Z39" i="17"/>
  <c r="AA39" i="17"/>
  <c r="AC39" i="17"/>
  <c r="AD39" i="17"/>
  <c r="AE39" i="17"/>
  <c r="AF39" i="17"/>
  <c r="AG39" i="17"/>
  <c r="AH39" i="17"/>
  <c r="AJ39" i="17"/>
  <c r="F40" i="17"/>
  <c r="H40" i="17"/>
  <c r="I40" i="17"/>
  <c r="J40" i="17"/>
  <c r="K40" i="17"/>
  <c r="L40" i="17"/>
  <c r="M40" i="17"/>
  <c r="O40" i="17"/>
  <c r="P40" i="17"/>
  <c r="Q40" i="17"/>
  <c r="R40" i="17"/>
  <c r="S40" i="17"/>
  <c r="V40" i="17"/>
  <c r="W40" i="17"/>
  <c r="X40" i="17"/>
  <c r="Y40" i="17"/>
  <c r="Z40" i="17"/>
  <c r="AA40" i="17"/>
  <c r="AC40" i="17"/>
  <c r="AD40" i="17"/>
  <c r="AE40" i="17"/>
  <c r="AF40" i="17"/>
  <c r="AG40" i="17"/>
  <c r="AH40" i="17"/>
  <c r="AJ40" i="17"/>
  <c r="F41" i="17"/>
  <c r="H41" i="17"/>
  <c r="I41" i="17"/>
  <c r="J41" i="17"/>
  <c r="K41" i="17"/>
  <c r="L41" i="17"/>
  <c r="M41" i="17"/>
  <c r="O41" i="17"/>
  <c r="P41" i="17"/>
  <c r="Q41" i="17"/>
  <c r="R41" i="17"/>
  <c r="S41" i="17"/>
  <c r="V41" i="17"/>
  <c r="W41" i="17"/>
  <c r="X41" i="17"/>
  <c r="Y41" i="17"/>
  <c r="Z41" i="17"/>
  <c r="AA41" i="17"/>
  <c r="AC41" i="17"/>
  <c r="AD41" i="17"/>
  <c r="AE41" i="17"/>
  <c r="AF41" i="17"/>
  <c r="AG41" i="17"/>
  <c r="AH41" i="17"/>
  <c r="AJ41" i="17"/>
  <c r="F42" i="17"/>
  <c r="H42" i="17"/>
  <c r="I42" i="17"/>
  <c r="J42" i="17"/>
  <c r="K42" i="17"/>
  <c r="L42" i="17"/>
  <c r="M42" i="17"/>
  <c r="O42" i="17"/>
  <c r="P42" i="17"/>
  <c r="Q42" i="17"/>
  <c r="R42" i="17"/>
  <c r="S42" i="17"/>
  <c r="V42" i="17"/>
  <c r="W42" i="17"/>
  <c r="X42" i="17"/>
  <c r="Y42" i="17"/>
  <c r="Z42" i="17"/>
  <c r="AA42" i="17"/>
  <c r="AC42" i="17"/>
  <c r="AD42" i="17"/>
  <c r="AE42" i="17"/>
  <c r="AF42" i="17"/>
  <c r="AG42" i="17"/>
  <c r="AH42" i="17"/>
  <c r="AJ42" i="17"/>
  <c r="F43" i="17"/>
  <c r="H43" i="17"/>
  <c r="I43" i="17"/>
  <c r="J43" i="17"/>
  <c r="K43" i="17"/>
  <c r="L43" i="17"/>
  <c r="M43" i="17"/>
  <c r="O43" i="17"/>
  <c r="P43" i="17"/>
  <c r="Q43" i="17"/>
  <c r="R43" i="17"/>
  <c r="S43" i="17"/>
  <c r="V43" i="17"/>
  <c r="W43" i="17"/>
  <c r="X43" i="17"/>
  <c r="Y43" i="17"/>
  <c r="Z43" i="17"/>
  <c r="AA43" i="17"/>
  <c r="AC43" i="17"/>
  <c r="AD43" i="17"/>
  <c r="AE43" i="17"/>
  <c r="AF43" i="17"/>
  <c r="AG43" i="17"/>
  <c r="AH43" i="17"/>
  <c r="AJ43" i="17"/>
  <c r="F44" i="17"/>
  <c r="H44" i="17"/>
  <c r="I44" i="17"/>
  <c r="J44" i="17"/>
  <c r="K44" i="17"/>
  <c r="L44" i="17"/>
  <c r="M44" i="17"/>
  <c r="O44" i="17"/>
  <c r="P44" i="17"/>
  <c r="Q44" i="17"/>
  <c r="R44" i="17"/>
  <c r="S44" i="17"/>
  <c r="V44" i="17"/>
  <c r="W44" i="17"/>
  <c r="X44" i="17"/>
  <c r="Y44" i="17"/>
  <c r="Z44" i="17"/>
  <c r="AA44" i="17"/>
  <c r="AC44" i="17"/>
  <c r="AD44" i="17"/>
  <c r="AE44" i="17"/>
  <c r="AG44" i="17"/>
  <c r="AH44" i="17"/>
  <c r="AJ44" i="17"/>
  <c r="F45" i="17"/>
  <c r="H45" i="17"/>
  <c r="I45" i="17"/>
  <c r="K45" i="17"/>
  <c r="L45" i="17"/>
  <c r="M45" i="17"/>
  <c r="O45" i="17"/>
  <c r="P45" i="17"/>
  <c r="Q45" i="17"/>
  <c r="R45" i="17"/>
  <c r="S45" i="17"/>
  <c r="V45" i="17"/>
  <c r="W45" i="17"/>
  <c r="X45" i="17"/>
  <c r="Y45" i="17"/>
  <c r="Z45" i="17"/>
  <c r="AA45" i="17"/>
  <c r="AC45" i="17"/>
  <c r="AD45" i="17"/>
  <c r="AE45" i="17"/>
  <c r="AF45" i="17"/>
  <c r="AG45" i="17"/>
  <c r="AH45" i="17"/>
  <c r="AJ45" i="17"/>
  <c r="F46" i="17"/>
  <c r="H46" i="17"/>
  <c r="I46" i="17"/>
  <c r="J46" i="17"/>
  <c r="K46" i="17"/>
  <c r="L46" i="17"/>
  <c r="M46" i="17"/>
  <c r="O46" i="17"/>
  <c r="P46" i="17"/>
  <c r="Q46" i="17"/>
  <c r="R46" i="17"/>
  <c r="S46" i="17"/>
  <c r="V46" i="17"/>
  <c r="W46" i="17"/>
  <c r="X46" i="17"/>
  <c r="Z46" i="17"/>
  <c r="AA46" i="17"/>
  <c r="AC46" i="17"/>
  <c r="AD46" i="17"/>
  <c r="AE46" i="17"/>
  <c r="AF46" i="17"/>
  <c r="AG46" i="17"/>
  <c r="AH46" i="17"/>
  <c r="AJ46" i="17"/>
  <c r="F47" i="17"/>
  <c r="H47" i="17"/>
  <c r="I47" i="17"/>
  <c r="J47" i="17"/>
  <c r="K47" i="17"/>
  <c r="L47" i="17"/>
  <c r="M47" i="17"/>
  <c r="O47" i="17"/>
  <c r="P47" i="17"/>
  <c r="Q47" i="17"/>
  <c r="R47" i="17"/>
  <c r="S47" i="17"/>
  <c r="V47" i="17"/>
  <c r="W47" i="17"/>
  <c r="X47" i="17"/>
  <c r="Y47" i="17"/>
  <c r="Z47" i="17"/>
  <c r="AA47" i="17"/>
  <c r="AC47" i="17"/>
  <c r="AD47" i="17"/>
  <c r="AE47" i="17"/>
  <c r="AF47" i="17"/>
  <c r="AG47" i="17"/>
  <c r="AH47" i="17"/>
  <c r="AJ47" i="17"/>
  <c r="F48" i="17"/>
  <c r="H48" i="17"/>
  <c r="I48" i="17"/>
  <c r="J48" i="17"/>
  <c r="K48" i="17"/>
  <c r="L48" i="17"/>
  <c r="M48" i="17"/>
  <c r="O48" i="17"/>
  <c r="Q48" i="17"/>
  <c r="R48" i="17"/>
  <c r="S48" i="17"/>
  <c r="V48" i="17"/>
  <c r="W48" i="17"/>
  <c r="X48" i="17"/>
  <c r="Y48" i="17"/>
  <c r="Z48" i="17"/>
  <c r="AA48" i="17"/>
  <c r="AC48" i="17"/>
  <c r="AD48" i="17"/>
  <c r="AE48" i="17"/>
  <c r="AF48" i="17"/>
  <c r="AG48" i="17"/>
  <c r="AH48" i="17"/>
  <c r="AJ48" i="17"/>
  <c r="F49" i="17"/>
  <c r="H49" i="17"/>
  <c r="I49" i="17"/>
  <c r="J49" i="17"/>
  <c r="K49" i="17"/>
  <c r="L49" i="17"/>
  <c r="M49" i="17"/>
  <c r="O49" i="17"/>
  <c r="P49" i="17"/>
  <c r="Q49" i="17"/>
  <c r="R49" i="17"/>
  <c r="S49" i="17"/>
  <c r="V49" i="17"/>
  <c r="W49" i="17"/>
  <c r="Y49" i="17"/>
  <c r="Z49" i="17"/>
  <c r="AA49" i="17"/>
  <c r="AC49" i="17"/>
  <c r="AD49" i="17"/>
  <c r="AE49" i="17"/>
  <c r="AF49" i="17"/>
  <c r="AG49" i="17"/>
  <c r="AH49" i="17"/>
  <c r="AJ49" i="17"/>
  <c r="F50" i="17"/>
  <c r="H50" i="17"/>
  <c r="I50" i="17"/>
  <c r="J50" i="17"/>
  <c r="K50" i="17"/>
  <c r="L50" i="17"/>
  <c r="M50" i="17"/>
  <c r="O50" i="17"/>
  <c r="P50" i="17"/>
  <c r="Q50" i="17"/>
  <c r="R50" i="17"/>
  <c r="S50" i="17"/>
  <c r="V50" i="17"/>
  <c r="W50" i="17"/>
  <c r="X50" i="17"/>
  <c r="Y50" i="17"/>
  <c r="Z50" i="17"/>
  <c r="AA50" i="17"/>
  <c r="AC50" i="17"/>
  <c r="AD50" i="17"/>
  <c r="AE50" i="17"/>
  <c r="AF50" i="17"/>
  <c r="AG50" i="17"/>
  <c r="AH50" i="17"/>
  <c r="AJ50" i="17"/>
  <c r="F51" i="17"/>
  <c r="H51" i="17"/>
  <c r="I51" i="17"/>
  <c r="J51" i="17"/>
  <c r="K51" i="17"/>
  <c r="L51" i="17"/>
  <c r="M51" i="17"/>
  <c r="O51" i="17"/>
  <c r="P51" i="17"/>
  <c r="Q51" i="17"/>
  <c r="R51" i="17"/>
  <c r="S51" i="17"/>
  <c r="V51" i="17"/>
  <c r="W51" i="17"/>
  <c r="X51" i="17"/>
  <c r="Y51" i="17"/>
  <c r="Z51" i="17"/>
  <c r="AA51" i="17"/>
  <c r="AC51" i="17"/>
  <c r="AD51" i="17"/>
  <c r="AE51" i="17"/>
  <c r="AF51" i="17"/>
  <c r="AG51" i="17"/>
  <c r="AH51" i="17"/>
  <c r="AJ51" i="17"/>
  <c r="F52" i="17"/>
  <c r="H52" i="17"/>
  <c r="I52" i="17"/>
  <c r="J52" i="17"/>
  <c r="K52" i="17"/>
  <c r="L52" i="17"/>
  <c r="M52" i="17"/>
  <c r="O52" i="17"/>
  <c r="P52" i="17"/>
  <c r="Q52" i="17"/>
  <c r="R52" i="17"/>
  <c r="S52" i="17"/>
  <c r="V52" i="17"/>
  <c r="W52" i="17"/>
  <c r="X52" i="17"/>
  <c r="Y52" i="17"/>
  <c r="Z52" i="17"/>
  <c r="AA52" i="17"/>
  <c r="AC52" i="17"/>
  <c r="AD52" i="17"/>
  <c r="AE52" i="17"/>
  <c r="AF52" i="17"/>
  <c r="AG52" i="17"/>
  <c r="AH52" i="17"/>
  <c r="AJ52" i="17"/>
  <c r="F53" i="17"/>
  <c r="H53" i="17"/>
  <c r="I53" i="17"/>
  <c r="J53" i="17"/>
  <c r="K53" i="17"/>
  <c r="L53" i="17"/>
  <c r="M53" i="17"/>
  <c r="O53" i="17"/>
  <c r="P53" i="17"/>
  <c r="Q53" i="17"/>
  <c r="R53" i="17"/>
  <c r="S53" i="17"/>
  <c r="V53" i="17"/>
  <c r="W53" i="17"/>
  <c r="X53" i="17"/>
  <c r="Y53" i="17"/>
  <c r="Z53" i="17"/>
  <c r="AA53" i="17"/>
  <c r="AC53" i="17"/>
  <c r="AD53" i="17"/>
  <c r="AE53" i="17"/>
  <c r="AF53" i="17"/>
  <c r="AG53" i="17"/>
  <c r="AH53" i="17"/>
  <c r="AJ53" i="17"/>
  <c r="F54" i="17"/>
  <c r="H54" i="17"/>
  <c r="I54" i="17"/>
  <c r="J54" i="17"/>
  <c r="K54" i="17"/>
  <c r="L54" i="17"/>
  <c r="M54" i="17"/>
  <c r="O54" i="17"/>
  <c r="P54" i="17"/>
  <c r="Q54" i="17"/>
  <c r="R54" i="17"/>
  <c r="S54" i="17"/>
  <c r="V54" i="17"/>
  <c r="W54" i="17"/>
  <c r="X54" i="17"/>
  <c r="Y54" i="17"/>
  <c r="Z54" i="17"/>
  <c r="AA54" i="17"/>
  <c r="AC54" i="17"/>
  <c r="AD54" i="17"/>
  <c r="AE54" i="17"/>
  <c r="AF54" i="17"/>
  <c r="AG54" i="17"/>
  <c r="AH54" i="17"/>
  <c r="AJ54" i="17"/>
  <c r="H5" i="17"/>
  <c r="I5" i="17"/>
  <c r="J5" i="17"/>
  <c r="K5" i="17"/>
  <c r="L5" i="17"/>
  <c r="M5" i="17"/>
  <c r="O5" i="17"/>
  <c r="P5" i="17"/>
  <c r="Q5" i="17"/>
  <c r="R5" i="17"/>
  <c r="S5" i="17"/>
  <c r="V5" i="17"/>
  <c r="W5" i="17"/>
  <c r="X5" i="17"/>
  <c r="Y5" i="17"/>
  <c r="Z5" i="17"/>
  <c r="AA5" i="17"/>
  <c r="AC5" i="17"/>
  <c r="AD5" i="17"/>
  <c r="AE5" i="17"/>
  <c r="AF5" i="17"/>
  <c r="AG5" i="17"/>
  <c r="AH5" i="17"/>
  <c r="AJ5" i="17"/>
  <c r="F5" i="17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F6" i="15"/>
  <c r="G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AI6" i="15"/>
  <c r="AJ6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AI8" i="15"/>
  <c r="AJ8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H9" i="15"/>
  <c r="AI9" i="15"/>
  <c r="AJ9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B11" i="15"/>
  <c r="AC11" i="15"/>
  <c r="AD11" i="15"/>
  <c r="AE11" i="15"/>
  <c r="AF11" i="15"/>
  <c r="AG11" i="15"/>
  <c r="AH11" i="15"/>
  <c r="AI11" i="15"/>
  <c r="AJ11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F15" i="15"/>
  <c r="G15" i="15"/>
  <c r="H15" i="15"/>
  <c r="I15" i="15"/>
  <c r="J15" i="15"/>
  <c r="K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F20" i="15"/>
  <c r="G20" i="15"/>
  <c r="H20" i="15"/>
  <c r="I20" i="15"/>
  <c r="J20" i="15"/>
  <c r="K20" i="15"/>
  <c r="L20" i="15"/>
  <c r="M20" i="15"/>
  <c r="N20" i="15"/>
  <c r="P20" i="15"/>
  <c r="Q20" i="15"/>
  <c r="R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I20" i="15"/>
  <c r="AJ20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AA21" i="15"/>
  <c r="AB21" i="15"/>
  <c r="AC21" i="15"/>
  <c r="AD21" i="15"/>
  <c r="AE21" i="15"/>
  <c r="AF21" i="15"/>
  <c r="AG21" i="15"/>
  <c r="AH21" i="15"/>
  <c r="AI21" i="15"/>
  <c r="AJ21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U23" i="15"/>
  <c r="V23" i="15"/>
  <c r="W23" i="15"/>
  <c r="X23" i="15"/>
  <c r="Y23" i="15"/>
  <c r="Z23" i="15"/>
  <c r="AA23" i="15"/>
  <c r="AB23" i="15"/>
  <c r="AC23" i="15"/>
  <c r="AD23" i="15"/>
  <c r="AE23" i="15"/>
  <c r="AG23" i="15"/>
  <c r="AH23" i="15"/>
  <c r="AI23" i="15"/>
  <c r="AJ23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E24" i="15"/>
  <c r="AF24" i="15"/>
  <c r="AG24" i="15"/>
  <c r="AH24" i="15"/>
  <c r="AI24" i="15"/>
  <c r="AJ24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F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J31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AA32" i="15"/>
  <c r="AB32" i="15"/>
  <c r="AC32" i="15"/>
  <c r="AD32" i="15"/>
  <c r="AE32" i="15"/>
  <c r="AF32" i="15"/>
  <c r="AG32" i="15"/>
  <c r="AH32" i="15"/>
  <c r="AI32" i="15"/>
  <c r="AJ32" i="15"/>
  <c r="F33" i="15"/>
  <c r="G33" i="15"/>
  <c r="H33" i="15"/>
  <c r="I33" i="15"/>
  <c r="J33" i="15"/>
  <c r="K33" i="15"/>
  <c r="L33" i="15"/>
  <c r="M33" i="15"/>
  <c r="N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F35" i="15"/>
  <c r="G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H35" i="15"/>
  <c r="AI35" i="15"/>
  <c r="AJ35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F38" i="15"/>
  <c r="G38" i="15"/>
  <c r="H38" i="15"/>
  <c r="I38" i="15"/>
  <c r="J38" i="15"/>
  <c r="K38" i="15"/>
  <c r="M38" i="15"/>
  <c r="N38" i="15"/>
  <c r="O38" i="15"/>
  <c r="P38" i="15"/>
  <c r="Q38" i="15"/>
  <c r="R38" i="15"/>
  <c r="S38" i="15"/>
  <c r="T38" i="15"/>
  <c r="U38" i="15"/>
  <c r="W38" i="15"/>
  <c r="X38" i="15"/>
  <c r="Y38" i="15"/>
  <c r="Z38" i="15"/>
  <c r="AA38" i="15"/>
  <c r="AB38" i="15"/>
  <c r="AC38" i="15"/>
  <c r="AE38" i="15"/>
  <c r="AF38" i="15"/>
  <c r="AG38" i="15"/>
  <c r="AH38" i="15"/>
  <c r="AI38" i="15"/>
  <c r="AJ38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F8" i="15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F8" i="16"/>
  <c r="G8" i="16"/>
  <c r="H8" i="16"/>
  <c r="I8" i="16"/>
  <c r="J8" i="16"/>
  <c r="K8" i="16"/>
  <c r="L8" i="16"/>
  <c r="M8" i="16"/>
  <c r="N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D9" i="16"/>
  <c r="AE9" i="16"/>
  <c r="AF9" i="16"/>
  <c r="AG9" i="16"/>
  <c r="AH9" i="16"/>
  <c r="AI9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F12" i="16"/>
  <c r="G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F13" i="16"/>
  <c r="G13" i="16"/>
  <c r="H13" i="16"/>
  <c r="I13" i="16"/>
  <c r="J13" i="16"/>
  <c r="K13" i="16"/>
  <c r="L13" i="16"/>
  <c r="M13" i="16"/>
  <c r="N13" i="16"/>
  <c r="O13" i="16"/>
  <c r="P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F17" i="16"/>
  <c r="G17" i="16"/>
  <c r="H17" i="16"/>
  <c r="I17" i="16"/>
  <c r="J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D19" i="16"/>
  <c r="AE19" i="16"/>
  <c r="AF19" i="16"/>
  <c r="AG19" i="16"/>
  <c r="AH19" i="16"/>
  <c r="AI19" i="16"/>
  <c r="F20" i="16"/>
  <c r="G20" i="16"/>
  <c r="H20" i="16"/>
  <c r="I20" i="16"/>
  <c r="J20" i="16"/>
  <c r="K20" i="16"/>
  <c r="L20" i="16"/>
  <c r="M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F24" i="16"/>
  <c r="G24" i="16"/>
  <c r="H24" i="16"/>
  <c r="I24" i="16"/>
  <c r="J24" i="16"/>
  <c r="K24" i="16"/>
  <c r="L24" i="16"/>
  <c r="M24" i="16"/>
  <c r="N24" i="16"/>
  <c r="O24" i="16"/>
  <c r="P24" i="16"/>
  <c r="Q24" i="16"/>
  <c r="R24" i="16"/>
  <c r="S24" i="16"/>
  <c r="T24" i="16"/>
  <c r="U24" i="16"/>
  <c r="V24" i="16"/>
  <c r="W24" i="16"/>
  <c r="X24" i="16"/>
  <c r="Y24" i="16"/>
  <c r="Z24" i="16"/>
  <c r="AA24" i="16"/>
  <c r="AB24" i="16"/>
  <c r="AC24" i="16"/>
  <c r="AD24" i="16"/>
  <c r="AE24" i="16"/>
  <c r="AF24" i="16"/>
  <c r="AG24" i="16"/>
  <c r="AH24" i="16"/>
  <c r="AI24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F26" i="16"/>
  <c r="G26" i="16"/>
  <c r="H26" i="16"/>
  <c r="I26" i="16"/>
  <c r="J26" i="16"/>
  <c r="K26" i="16"/>
  <c r="L26" i="16"/>
  <c r="M26" i="16"/>
  <c r="N26" i="16"/>
  <c r="P26" i="16"/>
  <c r="Q26" i="16"/>
  <c r="R26" i="16"/>
  <c r="S26" i="16"/>
  <c r="T26" i="16"/>
  <c r="U26" i="16"/>
  <c r="V26" i="16"/>
  <c r="W26" i="16"/>
  <c r="X26" i="16"/>
  <c r="Y26" i="16"/>
  <c r="Z26" i="16"/>
  <c r="AB26" i="16"/>
  <c r="AC26" i="16"/>
  <c r="AD26" i="16"/>
  <c r="AE26" i="16"/>
  <c r="AF26" i="16"/>
  <c r="AG26" i="16"/>
  <c r="AH26" i="16"/>
  <c r="AI26" i="16"/>
  <c r="F27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Z27" i="16"/>
  <c r="AA27" i="16"/>
  <c r="AB27" i="16"/>
  <c r="AC27" i="16"/>
  <c r="AD27" i="16"/>
  <c r="AE27" i="16"/>
  <c r="AF27" i="16"/>
  <c r="AG27" i="16"/>
  <c r="AH27" i="16"/>
  <c r="AI27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X29" i="16"/>
  <c r="Y29" i="16"/>
  <c r="Z29" i="16"/>
  <c r="AA29" i="16"/>
  <c r="AB29" i="16"/>
  <c r="AC29" i="16"/>
  <c r="AD29" i="16"/>
  <c r="AE29" i="16"/>
  <c r="AF29" i="16"/>
  <c r="AG29" i="16"/>
  <c r="AH29" i="16"/>
  <c r="AI29" i="16"/>
  <c r="F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E30" i="16"/>
  <c r="AF30" i="16"/>
  <c r="AG30" i="16"/>
  <c r="AH30" i="16"/>
  <c r="AI30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F33" i="16"/>
  <c r="G33" i="16"/>
  <c r="H33" i="16"/>
  <c r="I33" i="16"/>
  <c r="K33" i="16"/>
  <c r="L33" i="16"/>
  <c r="M33" i="16"/>
  <c r="N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F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C37" i="16"/>
  <c r="AD37" i="16"/>
  <c r="AE37" i="16"/>
  <c r="AF37" i="16"/>
  <c r="AG37" i="16"/>
  <c r="AH37" i="16"/>
  <c r="AI37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F39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F40" i="16"/>
  <c r="G40" i="16"/>
  <c r="H40" i="16"/>
  <c r="I40" i="16"/>
  <c r="K40" i="16"/>
  <c r="L40" i="16"/>
  <c r="M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F41" i="16"/>
  <c r="G41" i="16"/>
  <c r="H41" i="16"/>
  <c r="I41" i="16"/>
  <c r="J41" i="16"/>
  <c r="K41" i="16"/>
  <c r="L41" i="16"/>
  <c r="M41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Z41" i="16"/>
  <c r="AA41" i="16"/>
  <c r="AB41" i="16"/>
  <c r="AC41" i="16"/>
  <c r="AD41" i="16"/>
  <c r="AE41" i="16"/>
  <c r="AF41" i="16"/>
  <c r="AG41" i="16"/>
  <c r="AH41" i="16"/>
  <c r="AI41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W42" i="16"/>
  <c r="X42" i="16"/>
  <c r="Y42" i="16"/>
  <c r="Z42" i="16"/>
  <c r="AA42" i="16"/>
  <c r="AB42" i="16"/>
  <c r="AC42" i="16"/>
  <c r="AD42" i="16"/>
  <c r="AE42" i="16"/>
  <c r="AF42" i="16"/>
  <c r="AG42" i="16"/>
  <c r="AH42" i="16"/>
  <c r="AI42" i="16"/>
  <c r="F43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Z43" i="16"/>
  <c r="AA43" i="16"/>
  <c r="AB43" i="16"/>
  <c r="AC43" i="16"/>
  <c r="AE43" i="16"/>
  <c r="AF43" i="16"/>
  <c r="AG43" i="16"/>
  <c r="AH43" i="16"/>
  <c r="AI43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Z44" i="16"/>
  <c r="AA44" i="16"/>
  <c r="AB44" i="16"/>
  <c r="AC44" i="16"/>
  <c r="AD44" i="16"/>
  <c r="AE44" i="16"/>
  <c r="AF44" i="16"/>
  <c r="AG44" i="16"/>
  <c r="AH44" i="16"/>
  <c r="AI44" i="16"/>
  <c r="F45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Z45" i="16"/>
  <c r="AA45" i="16"/>
  <c r="AB45" i="16"/>
  <c r="AC45" i="16"/>
  <c r="AD45" i="16"/>
  <c r="AE45" i="16"/>
  <c r="AF45" i="16"/>
  <c r="AG45" i="16"/>
  <c r="AH45" i="16"/>
  <c r="AI45" i="16"/>
  <c r="F46" i="16"/>
  <c r="G46" i="16"/>
  <c r="H46" i="16"/>
  <c r="I46" i="16"/>
  <c r="J46" i="16"/>
  <c r="K46" i="16"/>
  <c r="L46" i="16"/>
  <c r="M46" i="16"/>
  <c r="N46" i="16"/>
  <c r="O46" i="16"/>
  <c r="Q46" i="16"/>
  <c r="R46" i="16"/>
  <c r="S46" i="16"/>
  <c r="T46" i="16"/>
  <c r="U46" i="16"/>
  <c r="V46" i="16"/>
  <c r="W46" i="16"/>
  <c r="X46" i="16"/>
  <c r="Y46" i="16"/>
  <c r="Z46" i="16"/>
  <c r="AA46" i="16"/>
  <c r="AB46" i="16"/>
  <c r="AC46" i="16"/>
  <c r="AD46" i="16"/>
  <c r="AE46" i="16"/>
  <c r="AF46" i="16"/>
  <c r="AG46" i="16"/>
  <c r="AH46" i="16"/>
  <c r="AI46" i="16"/>
  <c r="F47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E47" i="16"/>
  <c r="AF47" i="16"/>
  <c r="AG47" i="16"/>
  <c r="AH47" i="16"/>
  <c r="AI47" i="16"/>
  <c r="F48" i="16"/>
  <c r="G48" i="16"/>
  <c r="H48" i="16"/>
  <c r="I48" i="16"/>
  <c r="J48" i="16"/>
  <c r="K48" i="16"/>
  <c r="L48" i="16"/>
  <c r="M48" i="16"/>
  <c r="N48" i="16"/>
  <c r="O48" i="16"/>
  <c r="P48" i="16"/>
  <c r="Q48" i="16"/>
  <c r="R48" i="16"/>
  <c r="S48" i="16"/>
  <c r="T48" i="16"/>
  <c r="U48" i="16"/>
  <c r="V48" i="16"/>
  <c r="W48" i="16"/>
  <c r="X48" i="16"/>
  <c r="Y48" i="16"/>
  <c r="Z48" i="16"/>
  <c r="AA48" i="16"/>
  <c r="AB48" i="16"/>
  <c r="AC48" i="16"/>
  <c r="AD48" i="16"/>
  <c r="AE48" i="16"/>
  <c r="AF48" i="16"/>
  <c r="AG48" i="16"/>
  <c r="AH48" i="16"/>
  <c r="AI48" i="16"/>
  <c r="F49" i="16"/>
  <c r="G49" i="16"/>
  <c r="H49" i="16"/>
  <c r="I49" i="16"/>
  <c r="J49" i="16"/>
  <c r="K49" i="16"/>
  <c r="L49" i="16"/>
  <c r="M49" i="16"/>
  <c r="N49" i="16"/>
  <c r="O49" i="16"/>
  <c r="P49" i="16"/>
  <c r="Q49" i="16"/>
  <c r="R49" i="16"/>
  <c r="S49" i="16"/>
  <c r="T49" i="16"/>
  <c r="U49" i="16"/>
  <c r="V49" i="16"/>
  <c r="W49" i="16"/>
  <c r="X49" i="16"/>
  <c r="Y49" i="16"/>
  <c r="Z49" i="16"/>
  <c r="AA49" i="16"/>
  <c r="AB49" i="16"/>
  <c r="AC49" i="16"/>
  <c r="AD49" i="16"/>
  <c r="AE49" i="16"/>
  <c r="AF49" i="16"/>
  <c r="AG49" i="16"/>
  <c r="AH49" i="16"/>
  <c r="AI49" i="16"/>
  <c r="F50" i="16"/>
  <c r="G50" i="16"/>
  <c r="H50" i="16"/>
  <c r="I50" i="16"/>
  <c r="J50" i="16"/>
  <c r="K50" i="16"/>
  <c r="L50" i="16"/>
  <c r="M50" i="16"/>
  <c r="N50" i="16"/>
  <c r="O50" i="16"/>
  <c r="P50" i="16"/>
  <c r="Q50" i="16"/>
  <c r="R50" i="16"/>
  <c r="S50" i="16"/>
  <c r="T50" i="16"/>
  <c r="U50" i="16"/>
  <c r="V50" i="16"/>
  <c r="W50" i="16"/>
  <c r="X50" i="16"/>
  <c r="Y50" i="16"/>
  <c r="Z50" i="16"/>
  <c r="AA50" i="16"/>
  <c r="AC50" i="16"/>
  <c r="AD50" i="16"/>
  <c r="AE50" i="16"/>
  <c r="AF50" i="16"/>
  <c r="AG50" i="16"/>
  <c r="AH50" i="16"/>
  <c r="AI50" i="16"/>
  <c r="F51" i="16"/>
  <c r="G51" i="16"/>
  <c r="H51" i="16"/>
  <c r="I51" i="16"/>
  <c r="J51" i="16"/>
  <c r="K51" i="16"/>
  <c r="L51" i="16"/>
  <c r="M51" i="16"/>
  <c r="N51" i="16"/>
  <c r="O51" i="16"/>
  <c r="P51" i="16"/>
  <c r="Q51" i="16"/>
  <c r="R51" i="16"/>
  <c r="S51" i="16"/>
  <c r="T51" i="16"/>
  <c r="U51" i="16"/>
  <c r="V51" i="16"/>
  <c r="W51" i="16"/>
  <c r="X51" i="16"/>
  <c r="Y51" i="16"/>
  <c r="Z51" i="16"/>
  <c r="AA51" i="16"/>
  <c r="AB51" i="16"/>
  <c r="AC51" i="16"/>
  <c r="AD51" i="16"/>
  <c r="AE51" i="16"/>
  <c r="AF51" i="16"/>
  <c r="AG51" i="16"/>
  <c r="AH51" i="16"/>
  <c r="AI51" i="16"/>
  <c r="F52" i="16"/>
  <c r="G52" i="16"/>
  <c r="H52" i="16"/>
  <c r="I52" i="16"/>
  <c r="J52" i="16"/>
  <c r="K52" i="16"/>
  <c r="L52" i="16"/>
  <c r="M52" i="16"/>
  <c r="N52" i="16"/>
  <c r="O52" i="16"/>
  <c r="P52" i="16"/>
  <c r="Q52" i="16"/>
  <c r="R52" i="16"/>
  <c r="S52" i="16"/>
  <c r="T52" i="16"/>
  <c r="U52" i="16"/>
  <c r="V52" i="16"/>
  <c r="X52" i="16"/>
  <c r="Y52" i="16"/>
  <c r="Z52" i="16"/>
  <c r="AA52" i="16"/>
  <c r="AB52" i="16"/>
  <c r="AC52" i="16"/>
  <c r="AD52" i="16"/>
  <c r="AE52" i="16"/>
  <c r="AF52" i="16"/>
  <c r="AG52" i="16"/>
  <c r="AH52" i="16"/>
  <c r="AI52" i="16"/>
  <c r="F53" i="16"/>
  <c r="G53" i="16"/>
  <c r="H53" i="16"/>
  <c r="I53" i="16"/>
  <c r="J53" i="16"/>
  <c r="K53" i="16"/>
  <c r="L53" i="16"/>
  <c r="M53" i="16"/>
  <c r="N53" i="16"/>
  <c r="O53" i="16"/>
  <c r="P53" i="16"/>
  <c r="Q53" i="16"/>
  <c r="R53" i="16"/>
  <c r="S53" i="16"/>
  <c r="T53" i="16"/>
  <c r="U53" i="16"/>
  <c r="V53" i="16"/>
  <c r="W53" i="16"/>
  <c r="X53" i="16"/>
  <c r="Y53" i="16"/>
  <c r="Z53" i="16"/>
  <c r="AA53" i="16"/>
  <c r="AB53" i="16"/>
  <c r="AC53" i="16"/>
  <c r="AD53" i="16"/>
  <c r="AE53" i="16"/>
  <c r="AF53" i="16"/>
  <c r="AG53" i="16"/>
  <c r="AH53" i="16"/>
  <c r="AI53" i="16"/>
  <c r="F54" i="16"/>
  <c r="G54" i="16"/>
  <c r="H54" i="16"/>
  <c r="I54" i="16"/>
  <c r="J54" i="16"/>
  <c r="K54" i="16"/>
  <c r="L54" i="16"/>
  <c r="M54" i="16"/>
  <c r="N54" i="16"/>
  <c r="O54" i="16"/>
  <c r="P54" i="16"/>
  <c r="Q54" i="16"/>
  <c r="R54" i="16"/>
  <c r="S54" i="16"/>
  <c r="T54" i="16"/>
  <c r="U54" i="16"/>
  <c r="V54" i="16"/>
  <c r="W54" i="16"/>
  <c r="X54" i="16"/>
  <c r="Y54" i="16"/>
  <c r="Z54" i="16"/>
  <c r="AA54" i="16"/>
  <c r="AB54" i="16"/>
  <c r="AC54" i="16"/>
  <c r="AD54" i="16"/>
  <c r="AE54" i="16"/>
  <c r="AF54" i="16"/>
  <c r="AG54" i="16"/>
  <c r="AH54" i="16"/>
  <c r="AI54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D5" i="16"/>
  <c r="AE5" i="16"/>
  <c r="AF5" i="16"/>
  <c r="AG5" i="16"/>
  <c r="AH5" i="16"/>
  <c r="AI5" i="16"/>
  <c r="F5" i="16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G6" i="14"/>
  <c r="AH6" i="14"/>
  <c r="AI6" i="14"/>
  <c r="AJ6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Z7" i="14"/>
  <c r="AA7" i="14"/>
  <c r="AB7" i="14"/>
  <c r="AC7" i="14"/>
  <c r="AD7" i="14"/>
  <c r="AE7" i="14"/>
  <c r="AG7" i="14"/>
  <c r="AH7" i="14"/>
  <c r="AI7" i="14"/>
  <c r="AJ7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G8" i="14"/>
  <c r="AH8" i="14"/>
  <c r="AI8" i="14"/>
  <c r="AJ8" i="14"/>
  <c r="G9" i="14"/>
  <c r="H9" i="14"/>
  <c r="I9" i="14"/>
  <c r="J9" i="14"/>
  <c r="K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G9" i="14"/>
  <c r="AH9" i="14"/>
  <c r="AI9" i="14"/>
  <c r="AJ9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G10" i="14"/>
  <c r="AH10" i="14"/>
  <c r="AI10" i="14"/>
  <c r="AJ10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G11" i="14"/>
  <c r="AH11" i="14"/>
  <c r="AI11" i="14"/>
  <c r="AJ11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G12" i="14"/>
  <c r="AH12" i="14"/>
  <c r="AI12" i="14"/>
  <c r="AJ12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G13" i="14"/>
  <c r="AI13" i="14"/>
  <c r="AJ13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X14" i="14"/>
  <c r="Y14" i="14"/>
  <c r="Z14" i="14"/>
  <c r="AA14" i="14"/>
  <c r="AB14" i="14"/>
  <c r="AC14" i="14"/>
  <c r="AD14" i="14"/>
  <c r="AE14" i="14"/>
  <c r="AG14" i="14"/>
  <c r="AH14" i="14"/>
  <c r="AI14" i="14"/>
  <c r="AJ14" i="14"/>
  <c r="G15" i="14"/>
  <c r="H15" i="14"/>
  <c r="I15" i="14"/>
  <c r="K15" i="14"/>
  <c r="L15" i="14"/>
  <c r="M15" i="14"/>
  <c r="N15" i="14"/>
  <c r="O15" i="14"/>
  <c r="P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G15" i="14"/>
  <c r="AH15" i="14"/>
  <c r="AI15" i="14"/>
  <c r="AJ15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G16" i="14"/>
  <c r="AH16" i="14"/>
  <c r="AI16" i="14"/>
  <c r="AJ16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AA17" i="14"/>
  <c r="AB17" i="14"/>
  <c r="AC17" i="14"/>
  <c r="AD17" i="14"/>
  <c r="AE17" i="14"/>
  <c r="AG17" i="14"/>
  <c r="AH17" i="14"/>
  <c r="AI17" i="14"/>
  <c r="AJ17" i="14"/>
  <c r="G18" i="14"/>
  <c r="H18" i="14"/>
  <c r="I18" i="14"/>
  <c r="J18" i="14"/>
  <c r="K18" i="14"/>
  <c r="L18" i="14"/>
  <c r="M18" i="14"/>
  <c r="N18" i="14"/>
  <c r="O18" i="14"/>
  <c r="P18" i="14"/>
  <c r="Q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G18" i="14"/>
  <c r="AH18" i="14"/>
  <c r="AI18" i="14"/>
  <c r="AJ18" i="14"/>
  <c r="G19" i="14"/>
  <c r="H19" i="14"/>
  <c r="I19" i="14"/>
  <c r="J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G19" i="14"/>
  <c r="AH19" i="14"/>
  <c r="AI19" i="14"/>
  <c r="AJ19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G20" i="14"/>
  <c r="AH20" i="14"/>
  <c r="AI20" i="14"/>
  <c r="AJ20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G21" i="14"/>
  <c r="AH21" i="14"/>
  <c r="AI21" i="14"/>
  <c r="AJ21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B22" i="14"/>
  <c r="AC22" i="14"/>
  <c r="AD22" i="14"/>
  <c r="AE22" i="14"/>
  <c r="AG22" i="14"/>
  <c r="AH22" i="14"/>
  <c r="AI22" i="14"/>
  <c r="AJ22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G23" i="14"/>
  <c r="AH23" i="14"/>
  <c r="AI23" i="14"/>
  <c r="AJ23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G24" i="14"/>
  <c r="AH24" i="14"/>
  <c r="AI24" i="14"/>
  <c r="AJ24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G25" i="14"/>
  <c r="AH25" i="14"/>
  <c r="AI25" i="14"/>
  <c r="AJ25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G26" i="14"/>
  <c r="AH26" i="14"/>
  <c r="AI26" i="14"/>
  <c r="AJ26" i="14"/>
  <c r="G27" i="14"/>
  <c r="H27" i="14"/>
  <c r="I27" i="14"/>
  <c r="J27" i="14"/>
  <c r="K27" i="14"/>
  <c r="L27" i="14"/>
  <c r="M27" i="14"/>
  <c r="N27" i="14"/>
  <c r="O27" i="14"/>
  <c r="P27" i="14"/>
  <c r="Q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G27" i="14"/>
  <c r="AH27" i="14"/>
  <c r="AI27" i="14"/>
  <c r="AJ27" i="14"/>
  <c r="G28" i="14"/>
  <c r="H28" i="14"/>
  <c r="I28" i="14"/>
  <c r="J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H28" i="14"/>
  <c r="AI28" i="14"/>
  <c r="AJ28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G29" i="14"/>
  <c r="AH29" i="14"/>
  <c r="AI29" i="14"/>
  <c r="AJ29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U30" i="14"/>
  <c r="V30" i="14"/>
  <c r="W30" i="14"/>
  <c r="X30" i="14"/>
  <c r="Y30" i="14"/>
  <c r="Z30" i="14"/>
  <c r="AA30" i="14"/>
  <c r="AB30" i="14"/>
  <c r="AC30" i="14"/>
  <c r="AD30" i="14"/>
  <c r="AE30" i="14"/>
  <c r="AG30" i="14"/>
  <c r="AH30" i="14"/>
  <c r="AI30" i="14"/>
  <c r="AJ30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G31" i="14"/>
  <c r="AH31" i="14"/>
  <c r="AI31" i="14"/>
  <c r="AJ31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Z32" i="14"/>
  <c r="AA32" i="14"/>
  <c r="AB32" i="14"/>
  <c r="AC32" i="14"/>
  <c r="AD32" i="14"/>
  <c r="AE32" i="14"/>
  <c r="AG32" i="14"/>
  <c r="AH32" i="14"/>
  <c r="AI32" i="14"/>
  <c r="AJ32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G33" i="14"/>
  <c r="AH33" i="14"/>
  <c r="AI33" i="14"/>
  <c r="AJ33" i="14"/>
  <c r="G34" i="14"/>
  <c r="H34" i="14"/>
  <c r="I34" i="14"/>
  <c r="J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G34" i="14"/>
  <c r="AH34" i="14"/>
  <c r="AI34" i="14"/>
  <c r="AJ34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G35" i="14"/>
  <c r="AH35" i="14"/>
  <c r="AI35" i="14"/>
  <c r="AJ35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G36" i="14"/>
  <c r="AH36" i="14"/>
  <c r="AI36" i="14"/>
  <c r="AJ36" i="14"/>
  <c r="G37" i="14"/>
  <c r="H37" i="14"/>
  <c r="I37" i="14"/>
  <c r="J37" i="14"/>
  <c r="K37" i="14"/>
  <c r="L37" i="14"/>
  <c r="M37" i="14"/>
  <c r="N37" i="14"/>
  <c r="O37" i="14"/>
  <c r="P37" i="14"/>
  <c r="Q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G37" i="14"/>
  <c r="AH37" i="14"/>
  <c r="AI37" i="14"/>
  <c r="AJ37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G38" i="14"/>
  <c r="AH38" i="14"/>
  <c r="AI38" i="14"/>
  <c r="AJ38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G39" i="14"/>
  <c r="AH39" i="14"/>
  <c r="AI39" i="14"/>
  <c r="AJ39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G40" i="14"/>
  <c r="AH40" i="14"/>
  <c r="AI40" i="14"/>
  <c r="AJ40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G41" i="14"/>
  <c r="AI41" i="14"/>
  <c r="AJ41" i="14"/>
  <c r="G42" i="14"/>
  <c r="H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G42" i="14"/>
  <c r="AH42" i="14"/>
  <c r="AI42" i="14"/>
  <c r="AJ42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U43" i="14"/>
  <c r="V43" i="14"/>
  <c r="W43" i="14"/>
  <c r="X43" i="14"/>
  <c r="Y43" i="14"/>
  <c r="Z43" i="14"/>
  <c r="AA43" i="14"/>
  <c r="AB43" i="14"/>
  <c r="AC43" i="14"/>
  <c r="AD43" i="14"/>
  <c r="AE43" i="14"/>
  <c r="AG43" i="14"/>
  <c r="AH43" i="14"/>
  <c r="AI43" i="14"/>
  <c r="AJ43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X44" i="14"/>
  <c r="Y44" i="14"/>
  <c r="Z44" i="14"/>
  <c r="AA44" i="14"/>
  <c r="AB44" i="14"/>
  <c r="AC44" i="14"/>
  <c r="AD44" i="14"/>
  <c r="AE44" i="14"/>
  <c r="AG44" i="14"/>
  <c r="AH44" i="14"/>
  <c r="AI44" i="14"/>
  <c r="AJ44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G45" i="14"/>
  <c r="AH45" i="14"/>
  <c r="AI45" i="14"/>
  <c r="AJ45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C46" i="14"/>
  <c r="AD46" i="14"/>
  <c r="AE46" i="14"/>
  <c r="AH46" i="14"/>
  <c r="AI46" i="14"/>
  <c r="AJ46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G47" i="14"/>
  <c r="AH47" i="14"/>
  <c r="AI47" i="14"/>
  <c r="AJ47" i="14"/>
  <c r="G48" i="14"/>
  <c r="H48" i="14"/>
  <c r="I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G48" i="14"/>
  <c r="AH48" i="14"/>
  <c r="AI48" i="14"/>
  <c r="AJ48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G49" i="14"/>
  <c r="AH49" i="14"/>
  <c r="AI49" i="14"/>
  <c r="AJ49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B50" i="14"/>
  <c r="AC50" i="14"/>
  <c r="AD50" i="14"/>
  <c r="AE50" i="14"/>
  <c r="AG50" i="14"/>
  <c r="AH50" i="14"/>
  <c r="AI50" i="14"/>
  <c r="AJ50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G51" i="14"/>
  <c r="AH51" i="14"/>
  <c r="AI51" i="14"/>
  <c r="AJ51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X52" i="14"/>
  <c r="Y52" i="14"/>
  <c r="Z52" i="14"/>
  <c r="AA52" i="14"/>
  <c r="AB52" i="14"/>
  <c r="AC52" i="14"/>
  <c r="AD52" i="14"/>
  <c r="AE52" i="14"/>
  <c r="AG52" i="14"/>
  <c r="AH52" i="14"/>
  <c r="AI52" i="14"/>
  <c r="AJ52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G53" i="14"/>
  <c r="AH53" i="14"/>
  <c r="AI53" i="14"/>
  <c r="AJ53" i="14"/>
  <c r="G54" i="14"/>
  <c r="H54" i="14"/>
  <c r="I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B54" i="14"/>
  <c r="AC54" i="14"/>
  <c r="AD54" i="14"/>
  <c r="AE54" i="14"/>
  <c r="AG54" i="14"/>
  <c r="AH54" i="14"/>
  <c r="AI54" i="14"/>
  <c r="AJ54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G5" i="14"/>
  <c r="AH5" i="14"/>
  <c r="AI5" i="14"/>
  <c r="AJ5" i="14"/>
  <c r="F6" i="13"/>
  <c r="G6" i="13"/>
  <c r="I6" i="13"/>
  <c r="J6" i="13"/>
  <c r="K6" i="13"/>
  <c r="L6" i="13"/>
  <c r="M6" i="13"/>
  <c r="N6" i="13"/>
  <c r="O6" i="13"/>
  <c r="P6" i="13"/>
  <c r="Q6" i="13"/>
  <c r="R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F7" i="13"/>
  <c r="G7" i="13"/>
  <c r="I7" i="13"/>
  <c r="J7" i="13"/>
  <c r="K7" i="13"/>
  <c r="L7" i="13"/>
  <c r="M7" i="13"/>
  <c r="N7" i="13"/>
  <c r="O7" i="13"/>
  <c r="P7" i="13"/>
  <c r="Q7" i="13"/>
  <c r="R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F8" i="13"/>
  <c r="G8" i="13"/>
  <c r="I8" i="13"/>
  <c r="J8" i="13"/>
  <c r="K8" i="13"/>
  <c r="L8" i="13"/>
  <c r="M8" i="13"/>
  <c r="O8" i="13"/>
  <c r="P8" i="13"/>
  <c r="Q8" i="13"/>
  <c r="R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G9" i="13"/>
  <c r="I9" i="13"/>
  <c r="J9" i="13"/>
  <c r="K9" i="13"/>
  <c r="L9" i="13"/>
  <c r="M9" i="13"/>
  <c r="N9" i="13"/>
  <c r="O9" i="13"/>
  <c r="P9" i="13"/>
  <c r="Q9" i="13"/>
  <c r="R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F10" i="13"/>
  <c r="G10" i="13"/>
  <c r="I10" i="13"/>
  <c r="J10" i="13"/>
  <c r="K10" i="13"/>
  <c r="L10" i="13"/>
  <c r="M10" i="13"/>
  <c r="N10" i="13"/>
  <c r="O10" i="13"/>
  <c r="P10" i="13"/>
  <c r="Q10" i="13"/>
  <c r="R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H10" i="13"/>
  <c r="AI10" i="13"/>
  <c r="F11" i="13"/>
  <c r="G11" i="13"/>
  <c r="I11" i="13"/>
  <c r="J11" i="13"/>
  <c r="K11" i="13"/>
  <c r="M11" i="13"/>
  <c r="N11" i="13"/>
  <c r="O11" i="13"/>
  <c r="P11" i="13"/>
  <c r="Q11" i="13"/>
  <c r="R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F12" i="13"/>
  <c r="G12" i="13"/>
  <c r="I12" i="13"/>
  <c r="J12" i="13"/>
  <c r="K12" i="13"/>
  <c r="L12" i="13"/>
  <c r="M12" i="13"/>
  <c r="N12" i="13"/>
  <c r="O12" i="13"/>
  <c r="P12" i="13"/>
  <c r="Q12" i="13"/>
  <c r="R12" i="13"/>
  <c r="T12" i="13"/>
  <c r="V12" i="13"/>
  <c r="W12" i="13"/>
  <c r="X12" i="13"/>
  <c r="Y12" i="13"/>
  <c r="AA12" i="13"/>
  <c r="AB12" i="13"/>
  <c r="AC12" i="13"/>
  <c r="AD12" i="13"/>
  <c r="AE12" i="13"/>
  <c r="AF12" i="13"/>
  <c r="AG12" i="13"/>
  <c r="AH12" i="13"/>
  <c r="AI12" i="13"/>
  <c r="F13" i="13"/>
  <c r="G13" i="13"/>
  <c r="I13" i="13"/>
  <c r="J13" i="13"/>
  <c r="K13" i="13"/>
  <c r="L13" i="13"/>
  <c r="M13" i="13"/>
  <c r="N13" i="13"/>
  <c r="O13" i="13"/>
  <c r="P13" i="13"/>
  <c r="Q13" i="13"/>
  <c r="R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F14" i="13"/>
  <c r="G14" i="13"/>
  <c r="I14" i="13"/>
  <c r="J14" i="13"/>
  <c r="K14" i="13"/>
  <c r="L14" i="13"/>
  <c r="M14" i="13"/>
  <c r="N14" i="13"/>
  <c r="O14" i="13"/>
  <c r="P14" i="13"/>
  <c r="Q14" i="13"/>
  <c r="R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F15" i="13"/>
  <c r="G15" i="13"/>
  <c r="I15" i="13"/>
  <c r="J15" i="13"/>
  <c r="L15" i="13"/>
  <c r="M15" i="13"/>
  <c r="N15" i="13"/>
  <c r="O15" i="13"/>
  <c r="P15" i="13"/>
  <c r="Q15" i="13"/>
  <c r="R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F16" i="13"/>
  <c r="G16" i="13"/>
  <c r="I16" i="13"/>
  <c r="J16" i="13"/>
  <c r="K16" i="13"/>
  <c r="L16" i="13"/>
  <c r="M16" i="13"/>
  <c r="N16" i="13"/>
  <c r="O16" i="13"/>
  <c r="P16" i="13"/>
  <c r="Q16" i="13"/>
  <c r="R16" i="13"/>
  <c r="T16" i="13"/>
  <c r="U16" i="13"/>
  <c r="V16" i="13"/>
  <c r="W16" i="13"/>
  <c r="X16" i="13"/>
  <c r="Y16" i="13"/>
  <c r="Z16" i="13"/>
  <c r="AA16" i="13"/>
  <c r="AB16" i="13"/>
  <c r="AD16" i="13"/>
  <c r="AE16" i="13"/>
  <c r="AF16" i="13"/>
  <c r="AG16" i="13"/>
  <c r="AH16" i="13"/>
  <c r="AI16" i="13"/>
  <c r="F17" i="13"/>
  <c r="G17" i="13"/>
  <c r="I17" i="13"/>
  <c r="J17" i="13"/>
  <c r="K17" i="13"/>
  <c r="L17" i="13"/>
  <c r="M17" i="13"/>
  <c r="N17" i="13"/>
  <c r="O17" i="13"/>
  <c r="P17" i="13"/>
  <c r="Q17" i="13"/>
  <c r="R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F18" i="13"/>
  <c r="G18" i="13"/>
  <c r="I18" i="13"/>
  <c r="J18" i="13"/>
  <c r="K18" i="13"/>
  <c r="L18" i="13"/>
  <c r="M18" i="13"/>
  <c r="N18" i="13"/>
  <c r="O18" i="13"/>
  <c r="P18" i="13"/>
  <c r="Q18" i="13"/>
  <c r="R18" i="13"/>
  <c r="T18" i="13"/>
  <c r="U18" i="13"/>
  <c r="W18" i="13"/>
  <c r="X18" i="13"/>
  <c r="Y18" i="13"/>
  <c r="Z18" i="13"/>
  <c r="AA18" i="13"/>
  <c r="AC18" i="13"/>
  <c r="AD18" i="13"/>
  <c r="AE18" i="13"/>
  <c r="AF18" i="13"/>
  <c r="AG18" i="13"/>
  <c r="AH18" i="13"/>
  <c r="AI18" i="13"/>
  <c r="F19" i="13"/>
  <c r="G19" i="13"/>
  <c r="I19" i="13"/>
  <c r="J19" i="13"/>
  <c r="K19" i="13"/>
  <c r="L19" i="13"/>
  <c r="M19" i="13"/>
  <c r="O19" i="13"/>
  <c r="P19" i="13"/>
  <c r="Q19" i="13"/>
  <c r="R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F20" i="13"/>
  <c r="G20" i="13"/>
  <c r="I20" i="13"/>
  <c r="J20" i="13"/>
  <c r="K20" i="13"/>
  <c r="L20" i="13"/>
  <c r="M20" i="13"/>
  <c r="N20" i="13"/>
  <c r="O20" i="13"/>
  <c r="P20" i="13"/>
  <c r="Q20" i="13"/>
  <c r="R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F21" i="13"/>
  <c r="G21" i="13"/>
  <c r="I21" i="13"/>
  <c r="J21" i="13"/>
  <c r="K21" i="13"/>
  <c r="L21" i="13"/>
  <c r="M21" i="13"/>
  <c r="N21" i="13"/>
  <c r="O21" i="13"/>
  <c r="P21" i="13"/>
  <c r="Q21" i="13"/>
  <c r="R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F22" i="13"/>
  <c r="G22" i="13"/>
  <c r="I22" i="13"/>
  <c r="J22" i="13"/>
  <c r="K22" i="13"/>
  <c r="L22" i="13"/>
  <c r="M22" i="13"/>
  <c r="N22" i="13"/>
  <c r="O22" i="13"/>
  <c r="P22" i="13"/>
  <c r="Q22" i="13"/>
  <c r="R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F23" i="13"/>
  <c r="G23" i="13"/>
  <c r="I23" i="13"/>
  <c r="J23" i="13"/>
  <c r="K23" i="13"/>
  <c r="L23" i="13"/>
  <c r="M23" i="13"/>
  <c r="N23" i="13"/>
  <c r="O23" i="13"/>
  <c r="P23" i="13"/>
  <c r="Q23" i="13"/>
  <c r="R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F24" i="13"/>
  <c r="G24" i="13"/>
  <c r="I24" i="13"/>
  <c r="J24" i="13"/>
  <c r="K24" i="13"/>
  <c r="L24" i="13"/>
  <c r="M24" i="13"/>
  <c r="N24" i="13"/>
  <c r="O24" i="13"/>
  <c r="P24" i="13"/>
  <c r="Q24" i="13"/>
  <c r="R24" i="13"/>
  <c r="T24" i="13"/>
  <c r="U24" i="13"/>
  <c r="V24" i="13"/>
  <c r="W24" i="13"/>
  <c r="X24" i="13"/>
  <c r="Y24" i="13"/>
  <c r="AA24" i="13"/>
  <c r="AB24" i="13"/>
  <c r="AC24" i="13"/>
  <c r="AD24" i="13"/>
  <c r="AE24" i="13"/>
  <c r="AF24" i="13"/>
  <c r="AG24" i="13"/>
  <c r="AH24" i="13"/>
  <c r="AI24" i="13"/>
  <c r="F25" i="13"/>
  <c r="G25" i="13"/>
  <c r="I25" i="13"/>
  <c r="J25" i="13"/>
  <c r="L25" i="13"/>
  <c r="M25" i="13"/>
  <c r="N25" i="13"/>
  <c r="O25" i="13"/>
  <c r="P25" i="13"/>
  <c r="Q25" i="13"/>
  <c r="R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F26" i="13"/>
  <c r="G26" i="13"/>
  <c r="I26" i="13"/>
  <c r="J26" i="13"/>
  <c r="K26" i="13"/>
  <c r="L26" i="13"/>
  <c r="M26" i="13"/>
  <c r="N26" i="13"/>
  <c r="O26" i="13"/>
  <c r="P26" i="13"/>
  <c r="Q26" i="13"/>
  <c r="R26" i="13"/>
  <c r="T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F27" i="13"/>
  <c r="G27" i="13"/>
  <c r="I27" i="13"/>
  <c r="J27" i="13"/>
  <c r="K27" i="13"/>
  <c r="L27" i="13"/>
  <c r="M27" i="13"/>
  <c r="N27" i="13"/>
  <c r="O27" i="13"/>
  <c r="P27" i="13"/>
  <c r="Q27" i="13"/>
  <c r="R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F28" i="13"/>
  <c r="G28" i="13"/>
  <c r="I28" i="13"/>
  <c r="J28" i="13"/>
  <c r="K28" i="13"/>
  <c r="L28" i="13"/>
  <c r="M28" i="13"/>
  <c r="N28" i="13"/>
  <c r="O28" i="13"/>
  <c r="P28" i="13"/>
  <c r="Q28" i="13"/>
  <c r="R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F29" i="13"/>
  <c r="G29" i="13"/>
  <c r="I29" i="13"/>
  <c r="J29" i="13"/>
  <c r="K29" i="13"/>
  <c r="L29" i="13"/>
  <c r="M29" i="13"/>
  <c r="N29" i="13"/>
  <c r="O29" i="13"/>
  <c r="P29" i="13"/>
  <c r="Q29" i="13"/>
  <c r="R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H29" i="13"/>
  <c r="AI29" i="13"/>
  <c r="F30" i="13"/>
  <c r="G30" i="13"/>
  <c r="I30" i="13"/>
  <c r="J30" i="13"/>
  <c r="K30" i="13"/>
  <c r="L30" i="13"/>
  <c r="M30" i="13"/>
  <c r="O30" i="13"/>
  <c r="P30" i="13"/>
  <c r="Q30" i="13"/>
  <c r="R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G31" i="13"/>
  <c r="I31" i="13"/>
  <c r="J31" i="13"/>
  <c r="K31" i="13"/>
  <c r="L31" i="13"/>
  <c r="M31" i="13"/>
  <c r="N31" i="13"/>
  <c r="O31" i="13"/>
  <c r="P31" i="13"/>
  <c r="Q31" i="13"/>
  <c r="R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F32" i="13"/>
  <c r="G32" i="13"/>
  <c r="I32" i="13"/>
  <c r="J32" i="13"/>
  <c r="K32" i="13"/>
  <c r="L32" i="13"/>
  <c r="M32" i="13"/>
  <c r="N32" i="13"/>
  <c r="O32" i="13"/>
  <c r="P32" i="13"/>
  <c r="Q32" i="13"/>
  <c r="R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F33" i="13"/>
  <c r="G33" i="13"/>
  <c r="I33" i="13"/>
  <c r="J33" i="13"/>
  <c r="K33" i="13"/>
  <c r="L33" i="13"/>
  <c r="M33" i="13"/>
  <c r="N33" i="13"/>
  <c r="O33" i="13"/>
  <c r="P33" i="13"/>
  <c r="Q33" i="13"/>
  <c r="R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H33" i="13"/>
  <c r="AI33" i="13"/>
  <c r="F34" i="13"/>
  <c r="G34" i="13"/>
  <c r="I34" i="13"/>
  <c r="J34" i="13"/>
  <c r="K34" i="13"/>
  <c r="L34" i="13"/>
  <c r="M34" i="13"/>
  <c r="N34" i="13"/>
  <c r="O34" i="13"/>
  <c r="P34" i="13"/>
  <c r="Q34" i="13"/>
  <c r="R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F35" i="13"/>
  <c r="G35" i="13"/>
  <c r="I35" i="13"/>
  <c r="J35" i="13"/>
  <c r="K35" i="13"/>
  <c r="L35" i="13"/>
  <c r="M35" i="13"/>
  <c r="N35" i="13"/>
  <c r="O35" i="13"/>
  <c r="P35" i="13"/>
  <c r="Q35" i="13"/>
  <c r="R35" i="13"/>
  <c r="T35" i="13"/>
  <c r="U35" i="13"/>
  <c r="V35" i="13"/>
  <c r="W35" i="13"/>
  <c r="X35" i="13"/>
  <c r="Y35" i="13"/>
  <c r="AA35" i="13"/>
  <c r="AB35" i="13"/>
  <c r="AC35" i="13"/>
  <c r="AD35" i="13"/>
  <c r="AE35" i="13"/>
  <c r="AF35" i="13"/>
  <c r="AG35" i="13"/>
  <c r="AH35" i="13"/>
  <c r="AI35" i="13"/>
  <c r="F36" i="13"/>
  <c r="G36" i="13"/>
  <c r="I36" i="13"/>
  <c r="J36" i="13"/>
  <c r="K36" i="13"/>
  <c r="L36" i="13"/>
  <c r="M36" i="13"/>
  <c r="N36" i="13"/>
  <c r="O36" i="13"/>
  <c r="P36" i="13"/>
  <c r="Q36" i="13"/>
  <c r="R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F37" i="13"/>
  <c r="G37" i="13"/>
  <c r="I37" i="13"/>
  <c r="J37" i="13"/>
  <c r="K37" i="13"/>
  <c r="L37" i="13"/>
  <c r="M37" i="13"/>
  <c r="O37" i="13"/>
  <c r="P37" i="13"/>
  <c r="Q37" i="13"/>
  <c r="R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F38" i="13"/>
  <c r="G38" i="13"/>
  <c r="I38" i="13"/>
  <c r="J38" i="13"/>
  <c r="K38" i="13"/>
  <c r="L38" i="13"/>
  <c r="M38" i="13"/>
  <c r="N38" i="13"/>
  <c r="O38" i="13"/>
  <c r="P38" i="13"/>
  <c r="Q38" i="13"/>
  <c r="R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F39" i="13"/>
  <c r="G39" i="13"/>
  <c r="I39" i="13"/>
  <c r="J39" i="13"/>
  <c r="K39" i="13"/>
  <c r="L39" i="13"/>
  <c r="M39" i="13"/>
  <c r="N39" i="13"/>
  <c r="O39" i="13"/>
  <c r="P39" i="13"/>
  <c r="Q39" i="13"/>
  <c r="R39" i="13"/>
  <c r="T39" i="13"/>
  <c r="U39" i="13"/>
  <c r="V39" i="13"/>
  <c r="W39" i="13"/>
  <c r="X39" i="13"/>
  <c r="Y39" i="13"/>
  <c r="Z39" i="13"/>
  <c r="AA39" i="13"/>
  <c r="AC39" i="13"/>
  <c r="AD39" i="13"/>
  <c r="AE39" i="13"/>
  <c r="AF39" i="13"/>
  <c r="AG39" i="13"/>
  <c r="AH39" i="13"/>
  <c r="AI39" i="13"/>
  <c r="F40" i="13"/>
  <c r="G40" i="13"/>
  <c r="I40" i="13"/>
  <c r="J40" i="13"/>
  <c r="K40" i="13"/>
  <c r="L40" i="13"/>
  <c r="M40" i="13"/>
  <c r="N40" i="13"/>
  <c r="O40" i="13"/>
  <c r="P40" i="13"/>
  <c r="Q40" i="13"/>
  <c r="R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F41" i="13"/>
  <c r="G41" i="13"/>
  <c r="I41" i="13"/>
  <c r="J41" i="13"/>
  <c r="K41" i="13"/>
  <c r="L41" i="13"/>
  <c r="M41" i="13"/>
  <c r="N41" i="13"/>
  <c r="O41" i="13"/>
  <c r="P41" i="13"/>
  <c r="Q41" i="13"/>
  <c r="R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F42" i="13"/>
  <c r="G42" i="13"/>
  <c r="I42" i="13"/>
  <c r="J42" i="13"/>
  <c r="K42" i="13"/>
  <c r="L42" i="13"/>
  <c r="M42" i="13"/>
  <c r="N42" i="13"/>
  <c r="O42" i="13"/>
  <c r="P42" i="13"/>
  <c r="Q42" i="13"/>
  <c r="R42" i="13"/>
  <c r="T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F43" i="13"/>
  <c r="G43" i="13"/>
  <c r="I43" i="13"/>
  <c r="J43" i="13"/>
  <c r="K43" i="13"/>
  <c r="L43" i="13"/>
  <c r="N43" i="13"/>
  <c r="O43" i="13"/>
  <c r="P43" i="13"/>
  <c r="Q43" i="13"/>
  <c r="R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F44" i="13"/>
  <c r="G44" i="13"/>
  <c r="I44" i="13"/>
  <c r="J44" i="13"/>
  <c r="K44" i="13"/>
  <c r="M44" i="13"/>
  <c r="N44" i="13"/>
  <c r="O44" i="13"/>
  <c r="P44" i="13"/>
  <c r="Q44" i="13"/>
  <c r="R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F45" i="13"/>
  <c r="G45" i="13"/>
  <c r="I45" i="13"/>
  <c r="J45" i="13"/>
  <c r="K45" i="13"/>
  <c r="L45" i="13"/>
  <c r="M45" i="13"/>
  <c r="N45" i="13"/>
  <c r="O45" i="13"/>
  <c r="P45" i="13"/>
  <c r="Q45" i="13"/>
  <c r="R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F46" i="13"/>
  <c r="G46" i="13"/>
  <c r="I46" i="13"/>
  <c r="J46" i="13"/>
  <c r="K46" i="13"/>
  <c r="L46" i="13"/>
  <c r="M46" i="13"/>
  <c r="N46" i="13"/>
  <c r="O46" i="13"/>
  <c r="P46" i="13"/>
  <c r="Q46" i="13"/>
  <c r="R46" i="13"/>
  <c r="T46" i="13"/>
  <c r="U46" i="13"/>
  <c r="V46" i="13"/>
  <c r="W46" i="13"/>
  <c r="X46" i="13"/>
  <c r="Y46" i="13"/>
  <c r="Z46" i="13"/>
  <c r="AA46" i="13"/>
  <c r="AC46" i="13"/>
  <c r="AD46" i="13"/>
  <c r="AE46" i="13"/>
  <c r="AF46" i="13"/>
  <c r="AG46" i="13"/>
  <c r="AH46" i="13"/>
  <c r="AI46" i="13"/>
  <c r="F47" i="13"/>
  <c r="G47" i="13"/>
  <c r="I47" i="13"/>
  <c r="J47" i="13"/>
  <c r="K47" i="13"/>
  <c r="L47" i="13"/>
  <c r="M47" i="13"/>
  <c r="N47" i="13"/>
  <c r="O47" i="13"/>
  <c r="P47" i="13"/>
  <c r="Q47" i="13"/>
  <c r="R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F48" i="13"/>
  <c r="G48" i="13"/>
  <c r="I48" i="13"/>
  <c r="J48" i="13"/>
  <c r="K48" i="13"/>
  <c r="L48" i="13"/>
  <c r="M48" i="13"/>
  <c r="N48" i="13"/>
  <c r="O48" i="13"/>
  <c r="P48" i="13"/>
  <c r="Q48" i="13"/>
  <c r="R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F49" i="13"/>
  <c r="G49" i="13"/>
  <c r="I49" i="13"/>
  <c r="J49" i="13"/>
  <c r="K49" i="13"/>
  <c r="L49" i="13"/>
  <c r="M49" i="13"/>
  <c r="N49" i="13"/>
  <c r="O49" i="13"/>
  <c r="P49" i="13"/>
  <c r="Q49" i="13"/>
  <c r="R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F50" i="13"/>
  <c r="G50" i="13"/>
  <c r="I50" i="13"/>
  <c r="J50" i="13"/>
  <c r="K50" i="13"/>
  <c r="L50" i="13"/>
  <c r="M50" i="13"/>
  <c r="N50" i="13"/>
  <c r="O50" i="13"/>
  <c r="P50" i="13"/>
  <c r="Q50" i="13"/>
  <c r="R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F51" i="13"/>
  <c r="G51" i="13"/>
  <c r="I51" i="13"/>
  <c r="J51" i="13"/>
  <c r="K51" i="13"/>
  <c r="M51" i="13"/>
  <c r="N51" i="13"/>
  <c r="O51" i="13"/>
  <c r="P51" i="13"/>
  <c r="Q51" i="13"/>
  <c r="R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F52" i="13"/>
  <c r="G52" i="13"/>
  <c r="I52" i="13"/>
  <c r="J52" i="13"/>
  <c r="K52" i="13"/>
  <c r="L52" i="13"/>
  <c r="M52" i="13"/>
  <c r="N52" i="13"/>
  <c r="O52" i="13"/>
  <c r="P52" i="13"/>
  <c r="Q52" i="13"/>
  <c r="R52" i="13"/>
  <c r="T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F53" i="13"/>
  <c r="G53" i="13"/>
  <c r="I53" i="13"/>
  <c r="J53" i="13"/>
  <c r="K53" i="13"/>
  <c r="L53" i="13"/>
  <c r="M53" i="13"/>
  <c r="N53" i="13"/>
  <c r="O53" i="13"/>
  <c r="P53" i="13"/>
  <c r="Q53" i="13"/>
  <c r="R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F54" i="13"/>
  <c r="G54" i="13"/>
  <c r="I54" i="13"/>
  <c r="J54" i="13"/>
  <c r="K54" i="13"/>
  <c r="L54" i="13"/>
  <c r="M54" i="13"/>
  <c r="N54" i="13"/>
  <c r="O54" i="13"/>
  <c r="P54" i="13"/>
  <c r="Q54" i="13"/>
  <c r="R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G5" i="13"/>
  <c r="I5" i="13"/>
  <c r="J5" i="13"/>
  <c r="K5" i="13"/>
  <c r="L5" i="13"/>
  <c r="M5" i="13"/>
  <c r="N5" i="13"/>
  <c r="O5" i="13"/>
  <c r="P5" i="13"/>
  <c r="Q5" i="13"/>
  <c r="R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F5" i="13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G17" i="12"/>
  <c r="H17" i="12"/>
  <c r="J17" i="12"/>
  <c r="K17" i="12"/>
  <c r="L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AA17" i="12"/>
  <c r="AB17" i="12"/>
  <c r="AC17" i="12"/>
  <c r="AD17" i="12"/>
  <c r="AE17" i="12"/>
  <c r="AF17" i="12"/>
  <c r="AG17" i="12"/>
  <c r="AH17" i="12"/>
  <c r="AI17" i="12"/>
  <c r="AJ17" i="12"/>
  <c r="G18" i="12"/>
  <c r="H18" i="12"/>
  <c r="J18" i="12"/>
  <c r="K18" i="12"/>
  <c r="L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AA18" i="12"/>
  <c r="AB18" i="12"/>
  <c r="AD18" i="12"/>
  <c r="AE18" i="12"/>
  <c r="AF18" i="12"/>
  <c r="AG18" i="12"/>
  <c r="AH18" i="12"/>
  <c r="AI18" i="12"/>
  <c r="AJ18" i="12"/>
  <c r="G19" i="12"/>
  <c r="H19" i="12"/>
  <c r="J19" i="12"/>
  <c r="K19" i="12"/>
  <c r="L19" i="12"/>
  <c r="N19" i="12"/>
  <c r="O19" i="12"/>
  <c r="P19" i="12"/>
  <c r="Q19" i="12"/>
  <c r="S19" i="12"/>
  <c r="T19" i="12"/>
  <c r="U19" i="12"/>
  <c r="V19" i="12"/>
  <c r="W19" i="12"/>
  <c r="X19" i="12"/>
  <c r="Y19" i="12"/>
  <c r="AA19" i="12"/>
  <c r="AB19" i="12"/>
  <c r="AC19" i="12"/>
  <c r="AD19" i="12"/>
  <c r="AE19" i="12"/>
  <c r="AG19" i="12"/>
  <c r="AH19" i="12"/>
  <c r="AI19" i="12"/>
  <c r="AJ19" i="12"/>
  <c r="G20" i="12"/>
  <c r="H20" i="12"/>
  <c r="J20" i="12"/>
  <c r="K20" i="12"/>
  <c r="L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AA20" i="12"/>
  <c r="AB20" i="12"/>
  <c r="AC20" i="12"/>
  <c r="AD20" i="12"/>
  <c r="AE20" i="12"/>
  <c r="AF20" i="12"/>
  <c r="AG20" i="12"/>
  <c r="AH20" i="12"/>
  <c r="AI20" i="12"/>
  <c r="AJ20" i="12"/>
  <c r="G21" i="12"/>
  <c r="H21" i="12"/>
  <c r="J21" i="12"/>
  <c r="K21" i="12"/>
  <c r="L21" i="12"/>
  <c r="N21" i="12"/>
  <c r="O21" i="12"/>
  <c r="P21" i="12"/>
  <c r="Q21" i="12"/>
  <c r="R21" i="12"/>
  <c r="S21" i="12"/>
  <c r="T21" i="12"/>
  <c r="U21" i="12"/>
  <c r="V21" i="12"/>
  <c r="X21" i="12"/>
  <c r="Y21" i="12"/>
  <c r="AA21" i="12"/>
  <c r="AB21" i="12"/>
  <c r="AC21" i="12"/>
  <c r="AD21" i="12"/>
  <c r="AE21" i="12"/>
  <c r="AF21" i="12"/>
  <c r="AG21" i="12"/>
  <c r="AH21" i="12"/>
  <c r="AI21" i="12"/>
  <c r="AJ21" i="12"/>
  <c r="G22" i="12"/>
  <c r="H22" i="12"/>
  <c r="J22" i="12"/>
  <c r="K22" i="12"/>
  <c r="L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AA22" i="12"/>
  <c r="AB22" i="12"/>
  <c r="AC22" i="12"/>
  <c r="AD22" i="12"/>
  <c r="AE22" i="12"/>
  <c r="AF22" i="12"/>
  <c r="AG22" i="12"/>
  <c r="AH22" i="12"/>
  <c r="AI22" i="12"/>
  <c r="G23" i="12"/>
  <c r="H23" i="12"/>
  <c r="J23" i="12"/>
  <c r="K23" i="12"/>
  <c r="L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AA23" i="12"/>
  <c r="AB23" i="12"/>
  <c r="AC23" i="12"/>
  <c r="AD23" i="12"/>
  <c r="AE23" i="12"/>
  <c r="AF23" i="12"/>
  <c r="AG23" i="12"/>
  <c r="AH23" i="12"/>
  <c r="AI23" i="12"/>
  <c r="AJ23" i="12"/>
  <c r="G24" i="12"/>
  <c r="H24" i="12"/>
  <c r="J24" i="12"/>
  <c r="K24" i="12"/>
  <c r="L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AA24" i="12"/>
  <c r="AB24" i="12"/>
  <c r="AC24" i="12"/>
  <c r="AD24" i="12"/>
  <c r="AF24" i="12"/>
  <c r="AG24" i="12"/>
  <c r="AH24" i="12"/>
  <c r="AI24" i="12"/>
  <c r="AJ24" i="12"/>
  <c r="G25" i="12"/>
  <c r="H25" i="12"/>
  <c r="J25" i="12"/>
  <c r="K25" i="12"/>
  <c r="L25" i="12"/>
  <c r="N25" i="12"/>
  <c r="P25" i="12"/>
  <c r="Q25" i="12"/>
  <c r="R25" i="12"/>
  <c r="S25" i="12"/>
  <c r="T25" i="12"/>
  <c r="U25" i="12"/>
  <c r="W25" i="12"/>
  <c r="X25" i="12"/>
  <c r="Y25" i="12"/>
  <c r="AA25" i="12"/>
  <c r="AB25" i="12"/>
  <c r="AC25" i="12"/>
  <c r="AD25" i="12"/>
  <c r="AE25" i="12"/>
  <c r="AF25" i="12"/>
  <c r="AG25" i="12"/>
  <c r="AH25" i="12"/>
  <c r="AI25" i="12"/>
  <c r="AJ25" i="12"/>
  <c r="G26" i="12"/>
  <c r="H26" i="12"/>
  <c r="J26" i="12"/>
  <c r="L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AA26" i="12"/>
  <c r="AB26" i="12"/>
  <c r="AC26" i="12"/>
  <c r="AD26" i="12"/>
  <c r="AE26" i="12"/>
  <c r="AF26" i="12"/>
  <c r="AG26" i="12"/>
  <c r="AH26" i="12"/>
  <c r="AI26" i="12"/>
  <c r="AJ26" i="12"/>
  <c r="G27" i="12"/>
  <c r="H27" i="12"/>
  <c r="J27" i="12"/>
  <c r="K27" i="12"/>
  <c r="L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AA27" i="12"/>
  <c r="AB27" i="12"/>
  <c r="AC27" i="12"/>
  <c r="AD27" i="12"/>
  <c r="AE27" i="12"/>
  <c r="AF27" i="12"/>
  <c r="AG27" i="12"/>
  <c r="AH27" i="12"/>
  <c r="AI27" i="12"/>
  <c r="AJ27" i="12"/>
  <c r="G28" i="12"/>
  <c r="H28" i="12"/>
  <c r="J28" i="12"/>
  <c r="K28" i="12"/>
  <c r="L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AA28" i="12"/>
  <c r="AB28" i="12"/>
  <c r="AC28" i="12"/>
  <c r="AD28" i="12"/>
  <c r="AE28" i="12"/>
  <c r="AF28" i="12"/>
  <c r="AG28" i="12"/>
  <c r="AH28" i="12"/>
  <c r="AI28" i="12"/>
  <c r="AJ28" i="12"/>
  <c r="G29" i="12"/>
  <c r="H29" i="12"/>
  <c r="J29" i="12"/>
  <c r="K29" i="12"/>
  <c r="L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AA29" i="12"/>
  <c r="AB29" i="12"/>
  <c r="AC29" i="12"/>
  <c r="AD29" i="12"/>
  <c r="AE29" i="12"/>
  <c r="AF29" i="12"/>
  <c r="AG29" i="12"/>
  <c r="AH29" i="12"/>
  <c r="AI29" i="12"/>
  <c r="AJ29" i="12"/>
  <c r="G30" i="12"/>
  <c r="H30" i="12"/>
  <c r="J30" i="12"/>
  <c r="K30" i="12"/>
  <c r="L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AA30" i="12"/>
  <c r="AB30" i="12"/>
  <c r="AC30" i="12"/>
  <c r="AD30" i="12"/>
  <c r="AE30" i="12"/>
  <c r="AF30" i="12"/>
  <c r="AG30" i="12"/>
  <c r="AH30" i="12"/>
  <c r="AI30" i="12"/>
  <c r="AJ30" i="12"/>
  <c r="G31" i="12"/>
  <c r="H31" i="12"/>
  <c r="J31" i="12"/>
  <c r="K31" i="12"/>
  <c r="L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AA31" i="12"/>
  <c r="AB31" i="12"/>
  <c r="AC31" i="12"/>
  <c r="AD31" i="12"/>
  <c r="AE31" i="12"/>
  <c r="AF31" i="12"/>
  <c r="AG31" i="12"/>
  <c r="AH31" i="12"/>
  <c r="AI31" i="12"/>
  <c r="AJ31" i="12"/>
  <c r="G32" i="12"/>
  <c r="H32" i="12"/>
  <c r="J32" i="12"/>
  <c r="K32" i="12"/>
  <c r="L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AA32" i="12"/>
  <c r="AB32" i="12"/>
  <c r="AC32" i="12"/>
  <c r="AD32" i="12"/>
  <c r="AE32" i="12"/>
  <c r="AG32" i="12"/>
  <c r="AH32" i="12"/>
  <c r="AI32" i="12"/>
  <c r="AJ32" i="12"/>
  <c r="G33" i="12"/>
  <c r="H33" i="12"/>
  <c r="J33" i="12"/>
  <c r="K33" i="12"/>
  <c r="L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AA33" i="12"/>
  <c r="AB33" i="12"/>
  <c r="AC33" i="12"/>
  <c r="AD33" i="12"/>
  <c r="AE33" i="12"/>
  <c r="AF33" i="12"/>
  <c r="AG33" i="12"/>
  <c r="AH33" i="12"/>
  <c r="AI33" i="12"/>
  <c r="AJ33" i="12"/>
  <c r="G34" i="12"/>
  <c r="H34" i="12"/>
  <c r="J34" i="12"/>
  <c r="K34" i="12"/>
  <c r="L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AA34" i="12"/>
  <c r="AB34" i="12"/>
  <c r="AC34" i="12"/>
  <c r="AD34" i="12"/>
  <c r="AE34" i="12"/>
  <c r="AF34" i="12"/>
  <c r="AG34" i="12"/>
  <c r="AH34" i="12"/>
  <c r="AI34" i="12"/>
  <c r="AJ34" i="12"/>
  <c r="G35" i="12"/>
  <c r="H35" i="12"/>
  <c r="J35" i="12"/>
  <c r="K35" i="12"/>
  <c r="L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AA35" i="12"/>
  <c r="AB35" i="12"/>
  <c r="AC35" i="12"/>
  <c r="AD35" i="12"/>
  <c r="AE35" i="12"/>
  <c r="AF35" i="12"/>
  <c r="AG35" i="12"/>
  <c r="AH35" i="12"/>
  <c r="AI35" i="12"/>
  <c r="AJ35" i="12"/>
  <c r="G36" i="12"/>
  <c r="H36" i="12"/>
  <c r="J36" i="12"/>
  <c r="K36" i="12"/>
  <c r="L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AA36" i="12"/>
  <c r="AB36" i="12"/>
  <c r="AC36" i="12"/>
  <c r="AD36" i="12"/>
  <c r="AE36" i="12"/>
  <c r="AF36" i="12"/>
  <c r="AG36" i="12"/>
  <c r="AH36" i="12"/>
  <c r="AI36" i="12"/>
  <c r="AJ36" i="12"/>
  <c r="G37" i="12"/>
  <c r="H37" i="12"/>
  <c r="J37" i="12"/>
  <c r="K37" i="12"/>
  <c r="L37" i="12"/>
  <c r="N37" i="12"/>
  <c r="O37" i="12"/>
  <c r="Q37" i="12"/>
  <c r="R37" i="12"/>
  <c r="S37" i="12"/>
  <c r="T37" i="12"/>
  <c r="U37" i="12"/>
  <c r="V37" i="12"/>
  <c r="W37" i="12"/>
  <c r="X37" i="12"/>
  <c r="Y37" i="12"/>
  <c r="AA37" i="12"/>
  <c r="AB37" i="12"/>
  <c r="AC37" i="12"/>
  <c r="AE37" i="12"/>
  <c r="AF37" i="12"/>
  <c r="AG37" i="12"/>
  <c r="AH37" i="12"/>
  <c r="AI37" i="12"/>
  <c r="AJ37" i="12"/>
  <c r="G38" i="12"/>
  <c r="H38" i="12"/>
  <c r="J38" i="12"/>
  <c r="K38" i="12"/>
  <c r="L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AA38" i="12"/>
  <c r="AB38" i="12"/>
  <c r="AC38" i="12"/>
  <c r="AD38" i="12"/>
  <c r="AE38" i="12"/>
  <c r="AF38" i="12"/>
  <c r="AG38" i="12"/>
  <c r="AH38" i="12"/>
  <c r="AI38" i="12"/>
  <c r="AJ38" i="12"/>
  <c r="H39" i="12"/>
  <c r="J39" i="12"/>
  <c r="K39" i="12"/>
  <c r="L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AA39" i="12"/>
  <c r="AB39" i="12"/>
  <c r="AC39" i="12"/>
  <c r="AD39" i="12"/>
  <c r="AE39" i="12"/>
  <c r="AF39" i="12"/>
  <c r="AG39" i="12"/>
  <c r="AH39" i="12"/>
  <c r="AI39" i="12"/>
  <c r="AJ39" i="12"/>
  <c r="G40" i="12"/>
  <c r="H40" i="12"/>
  <c r="J40" i="12"/>
  <c r="K40" i="12"/>
  <c r="L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AA40" i="12"/>
  <c r="AB40" i="12"/>
  <c r="AC40" i="12"/>
  <c r="AD40" i="12"/>
  <c r="AE40" i="12"/>
  <c r="AF40" i="12"/>
  <c r="AG40" i="12"/>
  <c r="AH40" i="12"/>
  <c r="AI40" i="12"/>
  <c r="AJ40" i="12"/>
  <c r="G41" i="12"/>
  <c r="H41" i="12"/>
  <c r="J41" i="12"/>
  <c r="K41" i="12"/>
  <c r="L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AA41" i="12"/>
  <c r="AB41" i="12"/>
  <c r="AC41" i="12"/>
  <c r="AD41" i="12"/>
  <c r="AE41" i="12"/>
  <c r="AF41" i="12"/>
  <c r="AG41" i="12"/>
  <c r="AH41" i="12"/>
  <c r="AI41" i="12"/>
  <c r="AJ41" i="12"/>
  <c r="G42" i="12"/>
  <c r="H42" i="12"/>
  <c r="J42" i="12"/>
  <c r="K42" i="12"/>
  <c r="L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AA42" i="12"/>
  <c r="AB42" i="12"/>
  <c r="AC42" i="12"/>
  <c r="AD42" i="12"/>
  <c r="AE42" i="12"/>
  <c r="AF42" i="12"/>
  <c r="AG42" i="12"/>
  <c r="AH42" i="12"/>
  <c r="AI42" i="12"/>
  <c r="AJ42" i="12"/>
  <c r="G43" i="12"/>
  <c r="H43" i="12"/>
  <c r="J43" i="12"/>
  <c r="K43" i="12"/>
  <c r="L43" i="12"/>
  <c r="N43" i="12"/>
  <c r="O43" i="12"/>
  <c r="P43" i="12"/>
  <c r="Q43" i="12"/>
  <c r="S43" i="12"/>
  <c r="T43" i="12"/>
  <c r="U43" i="12"/>
  <c r="V43" i="12"/>
  <c r="W43" i="12"/>
  <c r="X43" i="12"/>
  <c r="Y43" i="12"/>
  <c r="AA43" i="12"/>
  <c r="AB43" i="12"/>
  <c r="AC43" i="12"/>
  <c r="AD43" i="12"/>
  <c r="AE43" i="12"/>
  <c r="AF43" i="12"/>
  <c r="AG43" i="12"/>
  <c r="AH43" i="12"/>
  <c r="AI43" i="12"/>
  <c r="AJ43" i="12"/>
  <c r="G44" i="12"/>
  <c r="H44" i="12"/>
  <c r="J44" i="12"/>
  <c r="K44" i="12"/>
  <c r="L44" i="12"/>
  <c r="N44" i="12"/>
  <c r="O44" i="12"/>
  <c r="P44" i="12"/>
  <c r="Q44" i="12"/>
  <c r="R44" i="12"/>
  <c r="S44" i="12"/>
  <c r="T44" i="12"/>
  <c r="U44" i="12"/>
  <c r="W44" i="12"/>
  <c r="X44" i="12"/>
  <c r="Y44" i="12"/>
  <c r="AA44" i="12"/>
  <c r="AB44" i="12"/>
  <c r="AD44" i="12"/>
  <c r="AE44" i="12"/>
  <c r="AF44" i="12"/>
  <c r="AG44" i="12"/>
  <c r="AH44" i="12"/>
  <c r="AI44" i="12"/>
  <c r="AJ44" i="12"/>
  <c r="G45" i="12"/>
  <c r="H45" i="12"/>
  <c r="J45" i="12"/>
  <c r="K45" i="12"/>
  <c r="L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AA45" i="12"/>
  <c r="AB45" i="12"/>
  <c r="AC45" i="12"/>
  <c r="AD45" i="12"/>
  <c r="AE45" i="12"/>
  <c r="AF45" i="12"/>
  <c r="AG45" i="12"/>
  <c r="AH45" i="12"/>
  <c r="AI45" i="12"/>
  <c r="AJ45" i="12"/>
  <c r="G46" i="12"/>
  <c r="H46" i="12"/>
  <c r="J46" i="12"/>
  <c r="K46" i="12"/>
  <c r="L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AA46" i="12"/>
  <c r="AB46" i="12"/>
  <c r="AC46" i="12"/>
  <c r="AD46" i="12"/>
  <c r="AE46" i="12"/>
  <c r="AF46" i="12"/>
  <c r="AH46" i="12"/>
  <c r="AI46" i="12"/>
  <c r="AJ46" i="12"/>
  <c r="G47" i="12"/>
  <c r="H47" i="12"/>
  <c r="J47" i="12"/>
  <c r="K47" i="12"/>
  <c r="L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AA47" i="12"/>
  <c r="AB47" i="12"/>
  <c r="AC47" i="12"/>
  <c r="AD47" i="12"/>
  <c r="AE47" i="12"/>
  <c r="AF47" i="12"/>
  <c r="AG47" i="12"/>
  <c r="AH47" i="12"/>
  <c r="AI47" i="12"/>
  <c r="AJ47" i="12"/>
  <c r="G48" i="12"/>
  <c r="H48" i="12"/>
  <c r="J48" i="12"/>
  <c r="K48" i="12"/>
  <c r="L48" i="12"/>
  <c r="O48" i="12"/>
  <c r="P48" i="12"/>
  <c r="Q48" i="12"/>
  <c r="R48" i="12"/>
  <c r="S48" i="12"/>
  <c r="T48" i="12"/>
  <c r="U48" i="12"/>
  <c r="V48" i="12"/>
  <c r="W48" i="12"/>
  <c r="Y48" i="12"/>
  <c r="AA48" i="12"/>
  <c r="AB48" i="12"/>
  <c r="AC48" i="12"/>
  <c r="AD48" i="12"/>
  <c r="AE48" i="12"/>
  <c r="AF48" i="12"/>
  <c r="AG48" i="12"/>
  <c r="AH48" i="12"/>
  <c r="AI48" i="12"/>
  <c r="AJ48" i="12"/>
  <c r="G49" i="12"/>
  <c r="H49" i="12"/>
  <c r="J49" i="12"/>
  <c r="K49" i="12"/>
  <c r="L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AA49" i="12"/>
  <c r="AB49" i="12"/>
  <c r="AC49" i="12"/>
  <c r="AD49" i="12"/>
  <c r="AE49" i="12"/>
  <c r="AF49" i="12"/>
  <c r="AG49" i="12"/>
  <c r="AH49" i="12"/>
  <c r="AI49" i="12"/>
  <c r="AJ49" i="12"/>
  <c r="G50" i="12"/>
  <c r="H50" i="12"/>
  <c r="K50" i="12"/>
  <c r="L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AA50" i="12"/>
  <c r="AB50" i="12"/>
  <c r="AC50" i="12"/>
  <c r="AD50" i="12"/>
  <c r="AE50" i="12"/>
  <c r="AF50" i="12"/>
  <c r="AG50" i="12"/>
  <c r="AH50" i="12"/>
  <c r="AI50" i="12"/>
  <c r="AJ50" i="12"/>
  <c r="G51" i="12"/>
  <c r="H51" i="12"/>
  <c r="J51" i="12"/>
  <c r="K51" i="12"/>
  <c r="L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AA51" i="12"/>
  <c r="AB51" i="12"/>
  <c r="AC51" i="12"/>
  <c r="AD51" i="12"/>
  <c r="AE51" i="12"/>
  <c r="AF51" i="12"/>
  <c r="AG51" i="12"/>
  <c r="AH51" i="12"/>
  <c r="AI51" i="12"/>
  <c r="AJ51" i="12"/>
  <c r="G52" i="12"/>
  <c r="H52" i="12"/>
  <c r="J52" i="12"/>
  <c r="K52" i="12"/>
  <c r="L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AA52" i="12"/>
  <c r="AB52" i="12"/>
  <c r="AC52" i="12"/>
  <c r="AD52" i="12"/>
  <c r="AE52" i="12"/>
  <c r="AF52" i="12"/>
  <c r="AG52" i="12"/>
  <c r="AH52" i="12"/>
  <c r="AI52" i="12"/>
  <c r="AJ52" i="12"/>
  <c r="G53" i="12"/>
  <c r="H53" i="12"/>
  <c r="J53" i="12"/>
  <c r="K53" i="12"/>
  <c r="L53" i="12"/>
  <c r="N53" i="12"/>
  <c r="O53" i="12"/>
  <c r="Q53" i="12"/>
  <c r="R53" i="12"/>
  <c r="S53" i="12"/>
  <c r="T53" i="12"/>
  <c r="U53" i="12"/>
  <c r="V53" i="12"/>
  <c r="W53" i="12"/>
  <c r="X53" i="12"/>
  <c r="Y53" i="12"/>
  <c r="AA53" i="12"/>
  <c r="AB53" i="12"/>
  <c r="AC53" i="12"/>
  <c r="AD53" i="12"/>
  <c r="AE53" i="12"/>
  <c r="AF53" i="12"/>
  <c r="AG53" i="12"/>
  <c r="AH53" i="12"/>
  <c r="AI53" i="12"/>
  <c r="AJ53" i="12"/>
  <c r="G54" i="12"/>
  <c r="H54" i="12"/>
  <c r="J54" i="12"/>
  <c r="K54" i="12"/>
  <c r="L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AA54" i="12"/>
  <c r="AB54" i="12"/>
  <c r="AC54" i="12"/>
  <c r="AD54" i="12"/>
  <c r="AE54" i="12"/>
  <c r="AF54" i="12"/>
  <c r="AG54" i="12"/>
  <c r="AH54" i="12"/>
  <c r="AI54" i="12"/>
  <c r="AJ54" i="12"/>
  <c r="G16" i="12"/>
  <c r="H16" i="12"/>
  <c r="J16" i="12"/>
  <c r="K16" i="12"/>
  <c r="L16" i="12"/>
  <c r="N16" i="12"/>
  <c r="P16" i="12"/>
  <c r="Q16" i="12"/>
  <c r="R16" i="12"/>
  <c r="S16" i="12"/>
  <c r="T16" i="12"/>
  <c r="U16" i="12"/>
  <c r="V16" i="12"/>
  <c r="W16" i="12"/>
  <c r="X16" i="12"/>
  <c r="Y16" i="12"/>
  <c r="AA16" i="12"/>
  <c r="AB16" i="12"/>
  <c r="AC16" i="12"/>
  <c r="AD16" i="12"/>
  <c r="AE16" i="12"/>
  <c r="AF16" i="12"/>
  <c r="AG16" i="12"/>
  <c r="AH16" i="12"/>
  <c r="AI16" i="12"/>
  <c r="AJ16" i="12"/>
  <c r="F6" i="11"/>
  <c r="G6" i="11"/>
  <c r="H6" i="11"/>
  <c r="I6" i="11"/>
  <c r="J6" i="11"/>
  <c r="K6" i="11"/>
  <c r="M6" i="11"/>
  <c r="N6" i="11"/>
  <c r="O6" i="11"/>
  <c r="P6" i="11"/>
  <c r="Q6" i="11"/>
  <c r="R6" i="11"/>
  <c r="S6" i="11"/>
  <c r="U6" i="11"/>
  <c r="V6" i="11"/>
  <c r="W6" i="11"/>
  <c r="X6" i="11"/>
  <c r="Y6" i="11"/>
  <c r="Z6" i="11"/>
  <c r="AA6" i="11"/>
  <c r="AC6" i="11"/>
  <c r="AD6" i="11"/>
  <c r="AE6" i="11"/>
  <c r="AF6" i="11"/>
  <c r="AG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F8" i="11"/>
  <c r="G8" i="11"/>
  <c r="H8" i="11"/>
  <c r="I8" i="11"/>
  <c r="J8" i="11"/>
  <c r="K8" i="11"/>
  <c r="L8" i="11"/>
  <c r="M8" i="11"/>
  <c r="N8" i="11"/>
  <c r="O8" i="11"/>
  <c r="P8" i="11"/>
  <c r="Q8" i="11"/>
  <c r="S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F9" i="11"/>
  <c r="G9" i="11"/>
  <c r="H9" i="11"/>
  <c r="I9" i="11"/>
  <c r="K9" i="11"/>
  <c r="L9" i="11"/>
  <c r="M9" i="11"/>
  <c r="N9" i="11"/>
  <c r="O9" i="11"/>
  <c r="P9" i="11"/>
  <c r="Q9" i="11"/>
  <c r="R9" i="11"/>
  <c r="S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U10" i="11"/>
  <c r="V10" i="11"/>
  <c r="W10" i="11"/>
  <c r="X10" i="11"/>
  <c r="Y10" i="11"/>
  <c r="Z10" i="11"/>
  <c r="AA10" i="11"/>
  <c r="AB10" i="11"/>
  <c r="AC10" i="11"/>
  <c r="AD10" i="11"/>
  <c r="AF10" i="11"/>
  <c r="AG10" i="11"/>
  <c r="F11" i="11"/>
  <c r="G11" i="11"/>
  <c r="H11" i="11"/>
  <c r="I11" i="11"/>
  <c r="J11" i="11"/>
  <c r="K11" i="11"/>
  <c r="L11" i="11"/>
  <c r="M11" i="11"/>
  <c r="N11" i="11"/>
  <c r="O11" i="11"/>
  <c r="Q11" i="11"/>
  <c r="R11" i="11"/>
  <c r="S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F12" i="11"/>
  <c r="G12" i="11"/>
  <c r="H12" i="11"/>
  <c r="J12" i="11"/>
  <c r="K12" i="11"/>
  <c r="L12" i="11"/>
  <c r="M12" i="11"/>
  <c r="N12" i="11"/>
  <c r="O12" i="11"/>
  <c r="P12" i="11"/>
  <c r="Q12" i="11"/>
  <c r="R12" i="11"/>
  <c r="S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U13" i="11"/>
  <c r="V13" i="11"/>
  <c r="X13" i="11"/>
  <c r="Y13" i="11"/>
  <c r="Z13" i="11"/>
  <c r="AA13" i="11"/>
  <c r="AB13" i="11"/>
  <c r="AC13" i="11"/>
  <c r="AD13" i="11"/>
  <c r="AE13" i="11"/>
  <c r="AG13" i="11"/>
  <c r="F14" i="11"/>
  <c r="G14" i="11"/>
  <c r="H14" i="11"/>
  <c r="I14" i="11"/>
  <c r="J14" i="11"/>
  <c r="K14" i="11"/>
  <c r="L14" i="11"/>
  <c r="M14" i="11"/>
  <c r="N14" i="11"/>
  <c r="P14" i="11"/>
  <c r="Q14" i="11"/>
  <c r="R14" i="11"/>
  <c r="S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F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U18" i="11"/>
  <c r="V18" i="11"/>
  <c r="W18" i="11"/>
  <c r="X18" i="11"/>
  <c r="Y18" i="11"/>
  <c r="Z18" i="11"/>
  <c r="AA18" i="11"/>
  <c r="AC18" i="11"/>
  <c r="AD18" i="11"/>
  <c r="AE18" i="11"/>
  <c r="AF18" i="11"/>
  <c r="AG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U20" i="11"/>
  <c r="V20" i="11"/>
  <c r="W20" i="11"/>
  <c r="X20" i="11"/>
  <c r="Y20" i="11"/>
  <c r="Z20" i="11"/>
  <c r="AA20" i="11"/>
  <c r="AB20" i="11"/>
  <c r="AC20" i="11"/>
  <c r="AE20" i="11"/>
  <c r="AF20" i="11"/>
  <c r="AG20" i="11"/>
  <c r="F21" i="11"/>
  <c r="G21" i="11"/>
  <c r="H21" i="11"/>
  <c r="I21" i="11"/>
  <c r="J21" i="11"/>
  <c r="L21" i="11"/>
  <c r="M21" i="11"/>
  <c r="N21" i="11"/>
  <c r="O21" i="11"/>
  <c r="P21" i="11"/>
  <c r="Q21" i="11"/>
  <c r="R21" i="11"/>
  <c r="S21" i="11"/>
  <c r="U21" i="11"/>
  <c r="V21" i="11"/>
  <c r="W21" i="11"/>
  <c r="Y21" i="11"/>
  <c r="Z21" i="11"/>
  <c r="AA21" i="11"/>
  <c r="AB21" i="11"/>
  <c r="AC21" i="11"/>
  <c r="AD21" i="11"/>
  <c r="AE21" i="11"/>
  <c r="AF21" i="11"/>
  <c r="AG21" i="11"/>
  <c r="F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U22" i="11"/>
  <c r="V22" i="11"/>
  <c r="W22" i="11"/>
  <c r="X22" i="11"/>
  <c r="Y22" i="11"/>
  <c r="Z22" i="11"/>
  <c r="AA22" i="11"/>
  <c r="AB22" i="11"/>
  <c r="AC22" i="11"/>
  <c r="AD22" i="11"/>
  <c r="AF22" i="11"/>
  <c r="AG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F24" i="11"/>
  <c r="G24" i="11"/>
  <c r="H24" i="11"/>
  <c r="I24" i="11"/>
  <c r="K24" i="11"/>
  <c r="L24" i="11"/>
  <c r="M24" i="11"/>
  <c r="N24" i="11"/>
  <c r="O24" i="11"/>
  <c r="P24" i="11"/>
  <c r="Q24" i="11"/>
  <c r="R24" i="11"/>
  <c r="S24" i="11"/>
  <c r="U24" i="11"/>
  <c r="V24" i="11"/>
  <c r="W24" i="11"/>
  <c r="X24" i="11"/>
  <c r="Z24" i="11"/>
  <c r="AA24" i="11"/>
  <c r="AB24" i="11"/>
  <c r="AC24" i="11"/>
  <c r="AD24" i="11"/>
  <c r="AE24" i="11"/>
  <c r="AF24" i="11"/>
  <c r="AG24" i="11"/>
  <c r="F25" i="11"/>
  <c r="G25" i="11"/>
  <c r="H25" i="11"/>
  <c r="I25" i="11"/>
  <c r="J25" i="11"/>
  <c r="K25" i="11"/>
  <c r="L25" i="11"/>
  <c r="M25" i="11"/>
  <c r="N25" i="11"/>
  <c r="O25" i="11"/>
  <c r="Q25" i="11"/>
  <c r="R25" i="11"/>
  <c r="S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U26" i="11"/>
  <c r="V26" i="11"/>
  <c r="X26" i="11"/>
  <c r="Y26" i="11"/>
  <c r="Z26" i="11"/>
  <c r="AA26" i="11"/>
  <c r="AB26" i="11"/>
  <c r="AC26" i="11"/>
  <c r="AD26" i="11"/>
  <c r="AF26" i="11"/>
  <c r="AG26" i="11"/>
  <c r="F27" i="11"/>
  <c r="G27" i="11"/>
  <c r="H27" i="11"/>
  <c r="I27" i="11"/>
  <c r="J27" i="11"/>
  <c r="K27" i="11"/>
  <c r="L27" i="11"/>
  <c r="M27" i="11"/>
  <c r="N27" i="11"/>
  <c r="O27" i="11"/>
  <c r="Q27" i="11"/>
  <c r="R27" i="11"/>
  <c r="S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F29" i="11"/>
  <c r="G29" i="11"/>
  <c r="I29" i="11"/>
  <c r="J29" i="11"/>
  <c r="K29" i="11"/>
  <c r="L29" i="11"/>
  <c r="M29" i="11"/>
  <c r="N29" i="11"/>
  <c r="O29" i="11"/>
  <c r="P29" i="11"/>
  <c r="Q29" i="11"/>
  <c r="R29" i="11"/>
  <c r="S29" i="11"/>
  <c r="U29" i="11"/>
  <c r="V29" i="11"/>
  <c r="W29" i="11"/>
  <c r="X29" i="11"/>
  <c r="Y29" i="11"/>
  <c r="Z29" i="11"/>
  <c r="AA29" i="11"/>
  <c r="AB29" i="11"/>
  <c r="AC29" i="11"/>
  <c r="AD29" i="11"/>
  <c r="AF29" i="11"/>
  <c r="AG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U31" i="11"/>
  <c r="V31" i="11"/>
  <c r="W31" i="11"/>
  <c r="X31" i="11"/>
  <c r="Y31" i="11"/>
  <c r="Z31" i="11"/>
  <c r="AA31" i="11"/>
  <c r="AB31" i="11"/>
  <c r="AD31" i="11"/>
  <c r="AE31" i="11"/>
  <c r="AF31" i="11"/>
  <c r="AG31" i="11"/>
  <c r="F32" i="11"/>
  <c r="G32" i="11"/>
  <c r="H32" i="11"/>
  <c r="I32" i="11"/>
  <c r="J32" i="11"/>
  <c r="K32" i="11"/>
  <c r="L32" i="11"/>
  <c r="M32" i="11"/>
  <c r="N32" i="11"/>
  <c r="O32" i="11"/>
  <c r="Q32" i="11"/>
  <c r="R32" i="11"/>
  <c r="S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U35" i="11"/>
  <c r="V35" i="11"/>
  <c r="X35" i="11"/>
  <c r="Y35" i="11"/>
  <c r="Z35" i="11"/>
  <c r="AA35" i="11"/>
  <c r="AB35" i="11"/>
  <c r="AC35" i="11"/>
  <c r="AD35" i="11"/>
  <c r="AE35" i="11"/>
  <c r="AF35" i="11"/>
  <c r="AG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S37" i="11"/>
  <c r="U37" i="11"/>
  <c r="V37" i="11"/>
  <c r="W37" i="11"/>
  <c r="X37" i="11"/>
  <c r="Y37" i="11"/>
  <c r="Z37" i="11"/>
  <c r="AA37" i="11"/>
  <c r="AB37" i="11"/>
  <c r="AD37" i="11"/>
  <c r="AE37" i="11"/>
  <c r="AF37" i="11"/>
  <c r="AG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U38" i="11"/>
  <c r="V38" i="11"/>
  <c r="X38" i="11"/>
  <c r="Y38" i="11"/>
  <c r="Z38" i="11"/>
  <c r="AA38" i="11"/>
  <c r="AB38" i="11"/>
  <c r="AC38" i="11"/>
  <c r="AD38" i="11"/>
  <c r="AE38" i="11"/>
  <c r="AF38" i="11"/>
  <c r="AG38" i="11"/>
  <c r="F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F40" i="11"/>
  <c r="G40" i="11"/>
  <c r="H40" i="11"/>
  <c r="I40" i="11"/>
  <c r="J40" i="11"/>
  <c r="K40" i="11"/>
  <c r="L40" i="11"/>
  <c r="M40" i="11"/>
  <c r="N40" i="11"/>
  <c r="P40" i="11"/>
  <c r="Q40" i="11"/>
  <c r="R40" i="11"/>
  <c r="S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U42" i="11"/>
  <c r="V42" i="11"/>
  <c r="X42" i="11"/>
  <c r="Y42" i="11"/>
  <c r="Z42" i="11"/>
  <c r="AA42" i="11"/>
  <c r="AB42" i="11"/>
  <c r="AC42" i="11"/>
  <c r="AD42" i="11"/>
  <c r="AE42" i="11"/>
  <c r="AF42" i="11"/>
  <c r="AG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U43" i="11"/>
  <c r="V43" i="11"/>
  <c r="W43" i="11"/>
  <c r="X43" i="11"/>
  <c r="Y43" i="11"/>
  <c r="Z43" i="11"/>
  <c r="AA43" i="11"/>
  <c r="AB43" i="11"/>
  <c r="AC43" i="11"/>
  <c r="AE43" i="11"/>
  <c r="AF43" i="11"/>
  <c r="AG43" i="11"/>
  <c r="F44" i="11"/>
  <c r="G44" i="11"/>
  <c r="H44" i="11"/>
  <c r="I44" i="11"/>
  <c r="J44" i="11"/>
  <c r="K44" i="11"/>
  <c r="L44" i="11"/>
  <c r="M44" i="11"/>
  <c r="N44" i="11"/>
  <c r="O44" i="11"/>
  <c r="P44" i="11"/>
  <c r="R44" i="11"/>
  <c r="S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F45" i="11"/>
  <c r="G45" i="11"/>
  <c r="H45" i="11"/>
  <c r="I45" i="11"/>
  <c r="K45" i="11"/>
  <c r="L45" i="11"/>
  <c r="M45" i="11"/>
  <c r="N45" i="11"/>
  <c r="O45" i="11"/>
  <c r="P45" i="11"/>
  <c r="Q45" i="11"/>
  <c r="R45" i="11"/>
  <c r="S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U46" i="11"/>
  <c r="V46" i="11"/>
  <c r="W46" i="11"/>
  <c r="Y46" i="11"/>
  <c r="Z46" i="11"/>
  <c r="AA46" i="11"/>
  <c r="AB46" i="11"/>
  <c r="AC46" i="11"/>
  <c r="AD46" i="11"/>
  <c r="AE46" i="11"/>
  <c r="AF46" i="11"/>
  <c r="AG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U47" i="11"/>
  <c r="V47" i="11"/>
  <c r="W47" i="11"/>
  <c r="X47" i="11"/>
  <c r="Y47" i="11"/>
  <c r="Z47" i="11"/>
  <c r="AA47" i="11"/>
  <c r="AB47" i="11"/>
  <c r="AC47" i="11"/>
  <c r="AD47" i="11"/>
  <c r="AF47" i="11"/>
  <c r="AG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F50" i="11"/>
  <c r="G50" i="11"/>
  <c r="I50" i="11"/>
  <c r="J50" i="11"/>
  <c r="K50" i="11"/>
  <c r="L50" i="11"/>
  <c r="M50" i="11"/>
  <c r="N50" i="11"/>
  <c r="O50" i="11"/>
  <c r="P50" i="11"/>
  <c r="Q50" i="11"/>
  <c r="R50" i="11"/>
  <c r="S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F53" i="11"/>
  <c r="G53" i="11"/>
  <c r="H53" i="11"/>
  <c r="I53" i="11"/>
  <c r="J53" i="11"/>
  <c r="K53" i="11"/>
  <c r="L53" i="11"/>
  <c r="M53" i="11"/>
  <c r="N53" i="11"/>
  <c r="O53" i="11"/>
  <c r="P53" i="11"/>
  <c r="R53" i="11"/>
  <c r="S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F5" i="11"/>
  <c r="F6" i="9"/>
  <c r="G6" i="9"/>
  <c r="H6" i="9"/>
  <c r="I6" i="9"/>
  <c r="J6" i="9"/>
  <c r="K6" i="9"/>
  <c r="L6" i="9"/>
  <c r="M6" i="9"/>
  <c r="N6" i="9"/>
  <c r="O6" i="9"/>
  <c r="Q6" i="9"/>
  <c r="R6" i="9"/>
  <c r="S6" i="9"/>
  <c r="T6" i="9"/>
  <c r="U6" i="9"/>
  <c r="V6" i="9"/>
  <c r="W6" i="9"/>
  <c r="X6" i="9"/>
  <c r="Y6" i="9"/>
  <c r="Z6" i="9"/>
  <c r="AB6" i="9"/>
  <c r="AC6" i="9"/>
  <c r="AD6" i="9"/>
  <c r="AF6" i="9"/>
  <c r="AG6" i="9"/>
  <c r="AH6" i="9"/>
  <c r="AI6" i="9"/>
  <c r="AJ6" i="9"/>
  <c r="F7" i="9"/>
  <c r="G7" i="9"/>
  <c r="I7" i="9"/>
  <c r="J7" i="9"/>
  <c r="K7" i="9"/>
  <c r="L7" i="9"/>
  <c r="M7" i="9"/>
  <c r="N7" i="9"/>
  <c r="O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F7" i="9"/>
  <c r="AG7" i="9"/>
  <c r="AH7" i="9"/>
  <c r="AI7" i="9"/>
  <c r="AJ7" i="9"/>
  <c r="F8" i="9"/>
  <c r="G8" i="9"/>
  <c r="H8" i="9"/>
  <c r="I8" i="9"/>
  <c r="J8" i="9"/>
  <c r="K8" i="9"/>
  <c r="L8" i="9"/>
  <c r="M8" i="9"/>
  <c r="N8" i="9"/>
  <c r="O8" i="9"/>
  <c r="Q8" i="9"/>
  <c r="R8" i="9"/>
  <c r="S8" i="9"/>
  <c r="T8" i="9"/>
  <c r="U8" i="9"/>
  <c r="V8" i="9"/>
  <c r="W8" i="9"/>
  <c r="X8" i="9"/>
  <c r="Z8" i="9"/>
  <c r="AA8" i="9"/>
  <c r="AB8" i="9"/>
  <c r="AC8" i="9"/>
  <c r="AD8" i="9"/>
  <c r="AF8" i="9"/>
  <c r="AG8" i="9"/>
  <c r="AH8" i="9"/>
  <c r="AI8" i="9"/>
  <c r="AJ8" i="9"/>
  <c r="F9" i="9"/>
  <c r="G9" i="9"/>
  <c r="H9" i="9"/>
  <c r="I9" i="9"/>
  <c r="J9" i="9"/>
  <c r="L9" i="9"/>
  <c r="M9" i="9"/>
  <c r="N9" i="9"/>
  <c r="O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F9" i="9"/>
  <c r="AG9" i="9"/>
  <c r="AH9" i="9"/>
  <c r="AI9" i="9"/>
  <c r="AJ9" i="9"/>
  <c r="F10" i="9"/>
  <c r="G10" i="9"/>
  <c r="H10" i="9"/>
  <c r="I10" i="9"/>
  <c r="J10" i="9"/>
  <c r="K10" i="9"/>
  <c r="L10" i="9"/>
  <c r="M10" i="9"/>
  <c r="N10" i="9"/>
  <c r="O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F10" i="9"/>
  <c r="AG10" i="9"/>
  <c r="AH10" i="9"/>
  <c r="AI10" i="9"/>
  <c r="AJ10" i="9"/>
  <c r="F11" i="9"/>
  <c r="G11" i="9"/>
  <c r="H11" i="9"/>
  <c r="I11" i="9"/>
  <c r="J11" i="9"/>
  <c r="K11" i="9"/>
  <c r="L11" i="9"/>
  <c r="M11" i="9"/>
  <c r="N11" i="9"/>
  <c r="O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F11" i="9"/>
  <c r="AG11" i="9"/>
  <c r="AH11" i="9"/>
  <c r="AI11" i="9"/>
  <c r="AJ11" i="9"/>
  <c r="F12" i="9"/>
  <c r="G12" i="9"/>
  <c r="H12" i="9"/>
  <c r="I12" i="9"/>
  <c r="J12" i="9"/>
  <c r="K12" i="9"/>
  <c r="L12" i="9"/>
  <c r="M12" i="9"/>
  <c r="N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F12" i="9"/>
  <c r="AG12" i="9"/>
  <c r="AH12" i="9"/>
  <c r="AJ12" i="9"/>
  <c r="F13" i="9"/>
  <c r="G13" i="9"/>
  <c r="H13" i="9"/>
  <c r="I13" i="9"/>
  <c r="J13" i="9"/>
  <c r="K13" i="9"/>
  <c r="L13" i="9"/>
  <c r="M13" i="9"/>
  <c r="N13" i="9"/>
  <c r="O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F13" i="9"/>
  <c r="AG13" i="9"/>
  <c r="AH13" i="9"/>
  <c r="AI13" i="9"/>
  <c r="AJ13" i="9"/>
  <c r="F14" i="9"/>
  <c r="G14" i="9"/>
  <c r="H14" i="9"/>
  <c r="I14" i="9"/>
  <c r="J14" i="9"/>
  <c r="K14" i="9"/>
  <c r="L14" i="9"/>
  <c r="M14" i="9"/>
  <c r="N14" i="9"/>
  <c r="O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F14" i="9"/>
  <c r="AG14" i="9"/>
  <c r="AH14" i="9"/>
  <c r="AI14" i="9"/>
  <c r="AJ14" i="9"/>
  <c r="F15" i="9"/>
  <c r="G15" i="9"/>
  <c r="H15" i="9"/>
  <c r="I15" i="9"/>
  <c r="J15" i="9"/>
  <c r="K15" i="9"/>
  <c r="L15" i="9"/>
  <c r="M15" i="9"/>
  <c r="N15" i="9"/>
  <c r="O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F15" i="9"/>
  <c r="AG15" i="9"/>
  <c r="AH15" i="9"/>
  <c r="AI15" i="9"/>
  <c r="AJ15" i="9"/>
  <c r="F16" i="9"/>
  <c r="H16" i="9"/>
  <c r="I16" i="9"/>
  <c r="J16" i="9"/>
  <c r="K16" i="9"/>
  <c r="L16" i="9"/>
  <c r="M16" i="9"/>
  <c r="N16" i="9"/>
  <c r="O16" i="9"/>
  <c r="Q16" i="9"/>
  <c r="R16" i="9"/>
  <c r="S16" i="9"/>
  <c r="T16" i="9"/>
  <c r="U16" i="9"/>
  <c r="V16" i="9"/>
  <c r="W16" i="9"/>
  <c r="X16" i="9"/>
  <c r="Y16" i="9"/>
  <c r="AA16" i="9"/>
  <c r="AB16" i="9"/>
  <c r="AC16" i="9"/>
  <c r="AD16" i="9"/>
  <c r="AF16" i="9"/>
  <c r="AG16" i="9"/>
  <c r="AH16" i="9"/>
  <c r="AI16" i="9"/>
  <c r="AJ16" i="9"/>
  <c r="F17" i="9"/>
  <c r="G17" i="9"/>
  <c r="H17" i="9"/>
  <c r="I17" i="9"/>
  <c r="J17" i="9"/>
  <c r="K17" i="9"/>
  <c r="L17" i="9"/>
  <c r="M17" i="9"/>
  <c r="N17" i="9"/>
  <c r="O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F17" i="9"/>
  <c r="AG17" i="9"/>
  <c r="AH17" i="9"/>
  <c r="AI17" i="9"/>
  <c r="AJ17" i="9"/>
  <c r="F18" i="9"/>
  <c r="G18" i="9"/>
  <c r="H18" i="9"/>
  <c r="I18" i="9"/>
  <c r="J18" i="9"/>
  <c r="K18" i="9"/>
  <c r="L18" i="9"/>
  <c r="M18" i="9"/>
  <c r="O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F18" i="9"/>
  <c r="AG18" i="9"/>
  <c r="AH18" i="9"/>
  <c r="AI18" i="9"/>
  <c r="AJ18" i="9"/>
  <c r="F19" i="9"/>
  <c r="G19" i="9"/>
  <c r="H19" i="9"/>
  <c r="I19" i="9"/>
  <c r="J19" i="9"/>
  <c r="K19" i="9"/>
  <c r="L19" i="9"/>
  <c r="M19" i="9"/>
  <c r="N19" i="9"/>
  <c r="O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F19" i="9"/>
  <c r="AG19" i="9"/>
  <c r="AH19" i="9"/>
  <c r="AJ19" i="9"/>
  <c r="F20" i="9"/>
  <c r="G20" i="9"/>
  <c r="H20" i="9"/>
  <c r="I20" i="9"/>
  <c r="J20" i="9"/>
  <c r="K20" i="9"/>
  <c r="L20" i="9"/>
  <c r="M20" i="9"/>
  <c r="N20" i="9"/>
  <c r="O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F20" i="9"/>
  <c r="AG20" i="9"/>
  <c r="AH20" i="9"/>
  <c r="AI20" i="9"/>
  <c r="AJ20" i="9"/>
  <c r="F21" i="9"/>
  <c r="G21" i="9"/>
  <c r="H21" i="9"/>
  <c r="I21" i="9"/>
  <c r="J21" i="9"/>
  <c r="K21" i="9"/>
  <c r="L21" i="9"/>
  <c r="M21" i="9"/>
  <c r="N21" i="9"/>
  <c r="O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F21" i="9"/>
  <c r="AG21" i="9"/>
  <c r="AH21" i="9"/>
  <c r="AI21" i="9"/>
  <c r="AJ21" i="9"/>
  <c r="F22" i="9"/>
  <c r="G22" i="9"/>
  <c r="H22" i="9"/>
  <c r="I22" i="9"/>
  <c r="J22" i="9"/>
  <c r="K22" i="9"/>
  <c r="L22" i="9"/>
  <c r="M22" i="9"/>
  <c r="N22" i="9"/>
  <c r="O22" i="9"/>
  <c r="Q22" i="9"/>
  <c r="R22" i="9"/>
  <c r="S22" i="9"/>
  <c r="T22" i="9"/>
  <c r="U22" i="9"/>
  <c r="V22" i="9"/>
  <c r="W22" i="9"/>
  <c r="X22" i="9"/>
  <c r="Y22" i="9"/>
  <c r="Z22" i="9"/>
  <c r="AB22" i="9"/>
  <c r="AC22" i="9"/>
  <c r="AD22" i="9"/>
  <c r="AF22" i="9"/>
  <c r="AG22" i="9"/>
  <c r="AH22" i="9"/>
  <c r="AI22" i="9"/>
  <c r="AJ22" i="9"/>
  <c r="F23" i="9"/>
  <c r="H23" i="9"/>
  <c r="I23" i="9"/>
  <c r="J23" i="9"/>
  <c r="K23" i="9"/>
  <c r="L23" i="9"/>
  <c r="M23" i="9"/>
  <c r="N23" i="9"/>
  <c r="O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F23" i="9"/>
  <c r="AG23" i="9"/>
  <c r="AH23" i="9"/>
  <c r="AI23" i="9"/>
  <c r="AJ23" i="9"/>
  <c r="F24" i="9"/>
  <c r="G24" i="9"/>
  <c r="H24" i="9"/>
  <c r="I24" i="9"/>
  <c r="J24" i="9"/>
  <c r="K24" i="9"/>
  <c r="L24" i="9"/>
  <c r="M24" i="9"/>
  <c r="N24" i="9"/>
  <c r="O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F24" i="9"/>
  <c r="AG24" i="9"/>
  <c r="AH24" i="9"/>
  <c r="AI24" i="9"/>
  <c r="AJ24" i="9"/>
  <c r="F25" i="9"/>
  <c r="G25" i="9"/>
  <c r="H25" i="9"/>
  <c r="I25" i="9"/>
  <c r="J25" i="9"/>
  <c r="K25" i="9"/>
  <c r="L25" i="9"/>
  <c r="N25" i="9"/>
  <c r="O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F25" i="9"/>
  <c r="AG25" i="9"/>
  <c r="AH25" i="9"/>
  <c r="AI25" i="9"/>
  <c r="AJ25" i="9"/>
  <c r="F26" i="9"/>
  <c r="G26" i="9"/>
  <c r="H26" i="9"/>
  <c r="I26" i="9"/>
  <c r="J26" i="9"/>
  <c r="K26" i="9"/>
  <c r="L26" i="9"/>
  <c r="M26" i="9"/>
  <c r="N26" i="9"/>
  <c r="O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G26" i="9"/>
  <c r="AH26" i="9"/>
  <c r="AI26" i="9"/>
  <c r="AJ26" i="9"/>
  <c r="F27" i="9"/>
  <c r="G27" i="9"/>
  <c r="H27" i="9"/>
  <c r="I27" i="9"/>
  <c r="J27" i="9"/>
  <c r="K27" i="9"/>
  <c r="L27" i="9"/>
  <c r="M27" i="9"/>
  <c r="N27" i="9"/>
  <c r="O27" i="9"/>
  <c r="Q27" i="9"/>
  <c r="R27" i="9"/>
  <c r="S27" i="9"/>
  <c r="T27" i="9"/>
  <c r="V27" i="9"/>
  <c r="W27" i="9"/>
  <c r="X27" i="9"/>
  <c r="Y27" i="9"/>
  <c r="Z27" i="9"/>
  <c r="AA27" i="9"/>
  <c r="AB27" i="9"/>
  <c r="AC27" i="9"/>
  <c r="AD27" i="9"/>
  <c r="AF27" i="9"/>
  <c r="AG27" i="9"/>
  <c r="AH27" i="9"/>
  <c r="AI27" i="9"/>
  <c r="AJ27" i="9"/>
  <c r="F28" i="9"/>
  <c r="G28" i="9"/>
  <c r="H28" i="9"/>
  <c r="I28" i="9"/>
  <c r="J28" i="9"/>
  <c r="K28" i="9"/>
  <c r="L28" i="9"/>
  <c r="M28" i="9"/>
  <c r="N28" i="9"/>
  <c r="O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F28" i="9"/>
  <c r="AG28" i="9"/>
  <c r="AH28" i="9"/>
  <c r="AI28" i="9"/>
  <c r="AJ28" i="9"/>
  <c r="F29" i="9"/>
  <c r="G29" i="9"/>
  <c r="H29" i="9"/>
  <c r="I29" i="9"/>
  <c r="J29" i="9"/>
  <c r="K29" i="9"/>
  <c r="L29" i="9"/>
  <c r="M29" i="9"/>
  <c r="N29" i="9"/>
  <c r="O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F29" i="9"/>
  <c r="AG29" i="9"/>
  <c r="AH29" i="9"/>
  <c r="AI29" i="9"/>
  <c r="AJ29" i="9"/>
  <c r="F30" i="9"/>
  <c r="G30" i="9"/>
  <c r="H30" i="9"/>
  <c r="I30" i="9"/>
  <c r="J30" i="9"/>
  <c r="K30" i="9"/>
  <c r="L30" i="9"/>
  <c r="M30" i="9"/>
  <c r="N30" i="9"/>
  <c r="O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F30" i="9"/>
  <c r="AG30" i="9"/>
  <c r="AH30" i="9"/>
  <c r="AI30" i="9"/>
  <c r="AJ30" i="9"/>
  <c r="F31" i="9"/>
  <c r="G31" i="9"/>
  <c r="H31" i="9"/>
  <c r="I31" i="9"/>
  <c r="J31" i="9"/>
  <c r="K31" i="9"/>
  <c r="L31" i="9"/>
  <c r="M31" i="9"/>
  <c r="N31" i="9"/>
  <c r="O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F31" i="9"/>
  <c r="AG31" i="9"/>
  <c r="AH31" i="9"/>
  <c r="AI31" i="9"/>
  <c r="AJ31" i="9"/>
  <c r="F32" i="9"/>
  <c r="G32" i="9"/>
  <c r="H32" i="9"/>
  <c r="I32" i="9"/>
  <c r="J32" i="9"/>
  <c r="K32" i="9"/>
  <c r="L32" i="9"/>
  <c r="M32" i="9"/>
  <c r="N32" i="9"/>
  <c r="O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F32" i="9"/>
  <c r="AG32" i="9"/>
  <c r="AH32" i="9"/>
  <c r="AI32" i="9"/>
  <c r="AJ32" i="9"/>
  <c r="F33" i="9"/>
  <c r="G33" i="9"/>
  <c r="H33" i="9"/>
  <c r="I33" i="9"/>
  <c r="J33" i="9"/>
  <c r="K33" i="9"/>
  <c r="M33" i="9"/>
  <c r="N33" i="9"/>
  <c r="O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F33" i="9"/>
  <c r="AH33" i="9"/>
  <c r="AI33" i="9"/>
  <c r="AJ33" i="9"/>
  <c r="F34" i="9"/>
  <c r="G34" i="9"/>
  <c r="H34" i="9"/>
  <c r="I34" i="9"/>
  <c r="J34" i="9"/>
  <c r="K34" i="9"/>
  <c r="L34" i="9"/>
  <c r="M34" i="9"/>
  <c r="N34" i="9"/>
  <c r="O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F34" i="9"/>
  <c r="AG34" i="9"/>
  <c r="AH34" i="9"/>
  <c r="AI34" i="9"/>
  <c r="AJ34" i="9"/>
  <c r="F35" i="9"/>
  <c r="G35" i="9"/>
  <c r="H35" i="9"/>
  <c r="I35" i="9"/>
  <c r="J35" i="9"/>
  <c r="K35" i="9"/>
  <c r="L35" i="9"/>
  <c r="M35" i="9"/>
  <c r="N35" i="9"/>
  <c r="O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F35" i="9"/>
  <c r="AG35" i="9"/>
  <c r="AH35" i="9"/>
  <c r="AI35" i="9"/>
  <c r="AJ35" i="9"/>
  <c r="F36" i="9"/>
  <c r="G36" i="9"/>
  <c r="H36" i="9"/>
  <c r="I36" i="9"/>
  <c r="J36" i="9"/>
  <c r="K36" i="9"/>
  <c r="L36" i="9"/>
  <c r="M36" i="9"/>
  <c r="N36" i="9"/>
  <c r="O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F36" i="9"/>
  <c r="AG36" i="9"/>
  <c r="AH36" i="9"/>
  <c r="AI36" i="9"/>
  <c r="AJ36" i="9"/>
  <c r="F37" i="9"/>
  <c r="G37" i="9"/>
  <c r="H37" i="9"/>
  <c r="I37" i="9"/>
  <c r="J37" i="9"/>
  <c r="K37" i="9"/>
  <c r="L37" i="9"/>
  <c r="M37" i="9"/>
  <c r="N37" i="9"/>
  <c r="O37" i="9"/>
  <c r="Q37" i="9"/>
  <c r="R37" i="9"/>
  <c r="T37" i="9"/>
  <c r="U37" i="9"/>
  <c r="V37" i="9"/>
  <c r="W37" i="9"/>
  <c r="X37" i="9"/>
  <c r="Y37" i="9"/>
  <c r="Z37" i="9"/>
  <c r="AA37" i="9"/>
  <c r="AB37" i="9"/>
  <c r="AC37" i="9"/>
  <c r="AD37" i="9"/>
  <c r="AF37" i="9"/>
  <c r="AG37" i="9"/>
  <c r="AI37" i="9"/>
  <c r="AJ37" i="9"/>
  <c r="F38" i="9"/>
  <c r="G38" i="9"/>
  <c r="H38" i="9"/>
  <c r="I38" i="9"/>
  <c r="J38" i="9"/>
  <c r="K38" i="9"/>
  <c r="L38" i="9"/>
  <c r="M38" i="9"/>
  <c r="N38" i="9"/>
  <c r="O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F38" i="9"/>
  <c r="AG38" i="9"/>
  <c r="AH38" i="9"/>
  <c r="AI38" i="9"/>
  <c r="AJ38" i="9"/>
  <c r="F39" i="9"/>
  <c r="G39" i="9"/>
  <c r="H39" i="9"/>
  <c r="I39" i="9"/>
  <c r="J39" i="9"/>
  <c r="K39" i="9"/>
  <c r="L39" i="9"/>
  <c r="M39" i="9"/>
  <c r="N39" i="9"/>
  <c r="O39" i="9"/>
  <c r="Q39" i="9"/>
  <c r="R39" i="9"/>
  <c r="S39" i="9"/>
  <c r="T39" i="9"/>
  <c r="U39" i="9"/>
  <c r="V39" i="9"/>
  <c r="W39" i="9"/>
  <c r="X39" i="9"/>
  <c r="Y39" i="9"/>
  <c r="Z39" i="9"/>
  <c r="AA39" i="9"/>
  <c r="AC39" i="9"/>
  <c r="AD39" i="9"/>
  <c r="AF39" i="9"/>
  <c r="AG39" i="9"/>
  <c r="AH39" i="9"/>
  <c r="AI39" i="9"/>
  <c r="AJ39" i="9"/>
  <c r="G40" i="9"/>
  <c r="H40" i="9"/>
  <c r="I40" i="9"/>
  <c r="J40" i="9"/>
  <c r="K40" i="9"/>
  <c r="L40" i="9"/>
  <c r="M40" i="9"/>
  <c r="N40" i="9"/>
  <c r="O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F40" i="9"/>
  <c r="AG40" i="9"/>
  <c r="AH40" i="9"/>
  <c r="AI40" i="9"/>
  <c r="AJ40" i="9"/>
  <c r="F41" i="9"/>
  <c r="G41" i="9"/>
  <c r="H41" i="9"/>
  <c r="I41" i="9"/>
  <c r="J41" i="9"/>
  <c r="K41" i="9"/>
  <c r="L41" i="9"/>
  <c r="M41" i="9"/>
  <c r="N41" i="9"/>
  <c r="O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F41" i="9"/>
  <c r="AG41" i="9"/>
  <c r="AH41" i="9"/>
  <c r="AI41" i="9"/>
  <c r="AJ41" i="9"/>
  <c r="F42" i="9"/>
  <c r="G42" i="9"/>
  <c r="H42" i="9"/>
  <c r="I42" i="9"/>
  <c r="J42" i="9"/>
  <c r="K42" i="9"/>
  <c r="L42" i="9"/>
  <c r="M42" i="9"/>
  <c r="N42" i="9"/>
  <c r="O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F42" i="9"/>
  <c r="AG42" i="9"/>
  <c r="AH42" i="9"/>
  <c r="AI42" i="9"/>
  <c r="AJ42" i="9"/>
  <c r="F43" i="9"/>
  <c r="G43" i="9"/>
  <c r="H43" i="9"/>
  <c r="I43" i="9"/>
  <c r="J43" i="9"/>
  <c r="K43" i="9"/>
  <c r="L43" i="9"/>
  <c r="M43" i="9"/>
  <c r="N43" i="9"/>
  <c r="O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F43" i="9"/>
  <c r="AG43" i="9"/>
  <c r="AH43" i="9"/>
  <c r="AI43" i="9"/>
  <c r="AJ43" i="9"/>
  <c r="F44" i="9"/>
  <c r="G44" i="9"/>
  <c r="H44" i="9"/>
  <c r="I44" i="9"/>
  <c r="J44" i="9"/>
  <c r="K44" i="9"/>
  <c r="L44" i="9"/>
  <c r="M44" i="9"/>
  <c r="N44" i="9"/>
  <c r="O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F44" i="9"/>
  <c r="AG44" i="9"/>
  <c r="AH44" i="9"/>
  <c r="AI44" i="9"/>
  <c r="AJ44" i="9"/>
  <c r="F45" i="9"/>
  <c r="G45" i="9"/>
  <c r="H45" i="9"/>
  <c r="I45" i="9"/>
  <c r="J45" i="9"/>
  <c r="K45" i="9"/>
  <c r="L45" i="9"/>
  <c r="M45" i="9"/>
  <c r="N45" i="9"/>
  <c r="O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F45" i="9"/>
  <c r="AG45" i="9"/>
  <c r="AH45" i="9"/>
  <c r="AI45" i="9"/>
  <c r="AJ45" i="9"/>
  <c r="F46" i="9"/>
  <c r="G46" i="9"/>
  <c r="H46" i="9"/>
  <c r="I46" i="9"/>
  <c r="J46" i="9"/>
  <c r="K46" i="9"/>
  <c r="L46" i="9"/>
  <c r="M46" i="9"/>
  <c r="N46" i="9"/>
  <c r="O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F46" i="9"/>
  <c r="AG46" i="9"/>
  <c r="AH46" i="9"/>
  <c r="AI46" i="9"/>
  <c r="AJ46" i="9"/>
  <c r="F47" i="9"/>
  <c r="G47" i="9"/>
  <c r="H47" i="9"/>
  <c r="I47" i="9"/>
  <c r="J47" i="9"/>
  <c r="K47" i="9"/>
  <c r="L47" i="9"/>
  <c r="M47" i="9"/>
  <c r="N47" i="9"/>
  <c r="O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F47" i="9"/>
  <c r="AG47" i="9"/>
  <c r="AH47" i="9"/>
  <c r="AI47" i="9"/>
  <c r="AJ47" i="9"/>
  <c r="F48" i="9"/>
  <c r="G48" i="9"/>
  <c r="H48" i="9"/>
  <c r="I48" i="9"/>
  <c r="J48" i="9"/>
  <c r="K48" i="9"/>
  <c r="L48" i="9"/>
  <c r="M48" i="9"/>
  <c r="N48" i="9"/>
  <c r="O48" i="9"/>
  <c r="Q48" i="9"/>
  <c r="R48" i="9"/>
  <c r="S48" i="9"/>
  <c r="T48" i="9"/>
  <c r="U48" i="9"/>
  <c r="V48" i="9"/>
  <c r="W48" i="9"/>
  <c r="X48" i="9"/>
  <c r="Y48" i="9"/>
  <c r="Z48" i="9"/>
  <c r="AB48" i="9"/>
  <c r="AC48" i="9"/>
  <c r="AD48" i="9"/>
  <c r="AF48" i="9"/>
  <c r="AG48" i="9"/>
  <c r="AH48" i="9"/>
  <c r="AI48" i="9"/>
  <c r="AJ48" i="9"/>
  <c r="F49" i="9"/>
  <c r="G49" i="9"/>
  <c r="H49" i="9"/>
  <c r="I49" i="9"/>
  <c r="J49" i="9"/>
  <c r="K49" i="9"/>
  <c r="L49" i="9"/>
  <c r="N49" i="9"/>
  <c r="O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F49" i="9"/>
  <c r="AH49" i="9"/>
  <c r="AI49" i="9"/>
  <c r="AJ49" i="9"/>
  <c r="F50" i="9"/>
  <c r="G50" i="9"/>
  <c r="H50" i="9"/>
  <c r="I50" i="9"/>
  <c r="J50" i="9"/>
  <c r="K50" i="9"/>
  <c r="L50" i="9"/>
  <c r="M50" i="9"/>
  <c r="N50" i="9"/>
  <c r="O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F50" i="9"/>
  <c r="AG50" i="9"/>
  <c r="AH50" i="9"/>
  <c r="AI50" i="9"/>
  <c r="AJ50" i="9"/>
  <c r="F51" i="9"/>
  <c r="G51" i="9"/>
  <c r="H51" i="9"/>
  <c r="I51" i="9"/>
  <c r="J51" i="9"/>
  <c r="K51" i="9"/>
  <c r="L51" i="9"/>
  <c r="M51" i="9"/>
  <c r="N51" i="9"/>
  <c r="O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F51" i="9"/>
  <c r="AG51" i="9"/>
  <c r="AH51" i="9"/>
  <c r="AI51" i="9"/>
  <c r="AJ51" i="9"/>
  <c r="F52" i="9"/>
  <c r="G52" i="9"/>
  <c r="H52" i="9"/>
  <c r="I52" i="9"/>
  <c r="J52" i="9"/>
  <c r="K52" i="9"/>
  <c r="L52" i="9"/>
  <c r="M52" i="9"/>
  <c r="N52" i="9"/>
  <c r="O52" i="9"/>
  <c r="Q52" i="9"/>
  <c r="R52" i="9"/>
  <c r="S52" i="9"/>
  <c r="U52" i="9"/>
  <c r="V52" i="9"/>
  <c r="W52" i="9"/>
  <c r="X52" i="9"/>
  <c r="Y52" i="9"/>
  <c r="Z52" i="9"/>
  <c r="AA52" i="9"/>
  <c r="AB52" i="9"/>
  <c r="AC52" i="9"/>
  <c r="AD52" i="9"/>
  <c r="AF52" i="9"/>
  <c r="AG52" i="9"/>
  <c r="AH52" i="9"/>
  <c r="AJ52" i="9"/>
  <c r="F53" i="9"/>
  <c r="G53" i="9"/>
  <c r="H53" i="9"/>
  <c r="I53" i="9"/>
  <c r="J53" i="9"/>
  <c r="K53" i="9"/>
  <c r="L53" i="9"/>
  <c r="M53" i="9"/>
  <c r="N53" i="9"/>
  <c r="O53" i="9"/>
  <c r="Q53" i="9"/>
  <c r="R53" i="9"/>
  <c r="S53" i="9"/>
  <c r="T53" i="9"/>
  <c r="U53" i="9"/>
  <c r="V53" i="9"/>
  <c r="W53" i="9"/>
  <c r="X53" i="9"/>
  <c r="Y53" i="9"/>
  <c r="Z53" i="9"/>
  <c r="AA53" i="9"/>
  <c r="AB53" i="9"/>
  <c r="AD53" i="9"/>
  <c r="AF53" i="9"/>
  <c r="AG53" i="9"/>
  <c r="AH53" i="9"/>
  <c r="AI53" i="9"/>
  <c r="AJ53" i="9"/>
  <c r="F54" i="9"/>
  <c r="G54" i="9"/>
  <c r="H54" i="9"/>
  <c r="I54" i="9"/>
  <c r="K54" i="9"/>
  <c r="L54" i="9"/>
  <c r="M54" i="9"/>
  <c r="N54" i="9"/>
  <c r="O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F54" i="9"/>
  <c r="AG54" i="9"/>
  <c r="AH54" i="9"/>
  <c r="AI54" i="9"/>
  <c r="AJ54" i="9"/>
  <c r="G5" i="9"/>
  <c r="I5" i="9"/>
  <c r="J5" i="9"/>
  <c r="K5" i="9"/>
  <c r="L5" i="9"/>
  <c r="M5" i="9"/>
  <c r="N5" i="9"/>
  <c r="O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F5" i="9"/>
  <c r="AG5" i="9"/>
  <c r="AH5" i="9"/>
  <c r="AI5" i="9"/>
  <c r="AJ5" i="9"/>
  <c r="K13" i="28"/>
  <c r="L13" i="28" s="1"/>
  <c r="K19" i="28"/>
  <c r="L19" i="28" s="1"/>
  <c r="K25" i="28"/>
  <c r="L25" i="28" s="1"/>
  <c r="K26" i="28"/>
  <c r="L26" i="28" s="1"/>
  <c r="K27" i="28"/>
  <c r="L27" i="28" s="1"/>
  <c r="K29" i="28"/>
  <c r="K33" i="28"/>
  <c r="L33" i="28" s="1"/>
  <c r="K43" i="28"/>
  <c r="L43" i="28" s="1"/>
  <c r="K48" i="28"/>
  <c r="L48" i="28" s="1"/>
  <c r="K49" i="28"/>
  <c r="L49" i="28" s="1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K8" i="28" s="1"/>
  <c r="L8" i="28" s="1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K14" i="28" s="1"/>
  <c r="L14" i="28" s="1"/>
  <c r="E35" i="28"/>
  <c r="E36" i="28"/>
  <c r="E37" i="28"/>
  <c r="E38" i="28"/>
  <c r="E39" i="28"/>
  <c r="E40" i="28"/>
  <c r="E41" i="28"/>
  <c r="K17" i="28" s="1"/>
  <c r="L17" i="28" s="1"/>
  <c r="E42" i="28"/>
  <c r="E43" i="28"/>
  <c r="E44" i="28"/>
  <c r="K20" i="28" s="1"/>
  <c r="L20" i="28" s="1"/>
  <c r="E45" i="28"/>
  <c r="K21" i="28" s="1"/>
  <c r="L21" i="28" s="1"/>
  <c r="E46" i="28"/>
  <c r="E47" i="28"/>
  <c r="E48" i="28"/>
  <c r="E49" i="28"/>
  <c r="E50" i="28"/>
  <c r="E51" i="28"/>
  <c r="E52" i="28"/>
  <c r="E53" i="28"/>
  <c r="E54" i="28"/>
  <c r="E55" i="28"/>
  <c r="E56" i="28"/>
  <c r="E57" i="28"/>
  <c r="K28" i="28" s="1"/>
  <c r="L28" i="28" s="1"/>
  <c r="E58" i="28"/>
  <c r="E59" i="28"/>
  <c r="E60" i="28"/>
  <c r="E61" i="28"/>
  <c r="E62" i="28"/>
  <c r="E63" i="28"/>
  <c r="K32" i="28" s="1"/>
  <c r="L32" i="28" s="1"/>
  <c r="E64" i="28"/>
  <c r="K34" i="28" s="1"/>
  <c r="L34" i="28" s="1"/>
  <c r="E65" i="28"/>
  <c r="E66" i="28"/>
  <c r="E67" i="28"/>
  <c r="K36" i="28" s="1"/>
  <c r="L36" i="28" s="1"/>
  <c r="E68" i="28"/>
  <c r="E69" i="28"/>
  <c r="E70" i="28"/>
  <c r="E71" i="28"/>
  <c r="E72" i="28"/>
  <c r="E73" i="28"/>
  <c r="E74" i="28"/>
  <c r="E75" i="28"/>
  <c r="K39" i="28" s="1"/>
  <c r="L39" i="28" s="1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3" i="28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3" i="10"/>
  <c r="L29" i="28"/>
  <c r="F6" i="2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F7" i="21"/>
  <c r="G7" i="21"/>
  <c r="H7" i="21"/>
  <c r="I7" i="21"/>
  <c r="J7" i="21"/>
  <c r="K7" i="21"/>
  <c r="L7" i="21"/>
  <c r="M7" i="21"/>
  <c r="N7" i="21"/>
  <c r="O7" i="21"/>
  <c r="P7" i="21"/>
  <c r="Q7" i="21"/>
  <c r="R7" i="21"/>
  <c r="S7" i="21"/>
  <c r="T7" i="21"/>
  <c r="U7" i="21"/>
  <c r="V7" i="21"/>
  <c r="W7" i="21"/>
  <c r="X7" i="21"/>
  <c r="Y7" i="21"/>
  <c r="Z7" i="21"/>
  <c r="AA7" i="21"/>
  <c r="AB7" i="21"/>
  <c r="AC7" i="21"/>
  <c r="AD7" i="21"/>
  <c r="AE7" i="21"/>
  <c r="AF7" i="21"/>
  <c r="AG7" i="21"/>
  <c r="AH7" i="21"/>
  <c r="AI7" i="21"/>
  <c r="AJ7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T8" i="21"/>
  <c r="U8" i="21"/>
  <c r="V8" i="21"/>
  <c r="W8" i="21"/>
  <c r="X8" i="21"/>
  <c r="Y8" i="21"/>
  <c r="Z8" i="21"/>
  <c r="AA8" i="21"/>
  <c r="AB8" i="21"/>
  <c r="AC8" i="21"/>
  <c r="AD8" i="21"/>
  <c r="AE8" i="21"/>
  <c r="AF8" i="21"/>
  <c r="AG8" i="21"/>
  <c r="AH8" i="21"/>
  <c r="AI8" i="21"/>
  <c r="AJ8" i="21"/>
  <c r="F9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AH10" i="21"/>
  <c r="AI10" i="21"/>
  <c r="AJ10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U11" i="21"/>
  <c r="V11" i="21"/>
  <c r="W11" i="21"/>
  <c r="X11" i="21"/>
  <c r="Y11" i="21"/>
  <c r="Z11" i="21"/>
  <c r="AA11" i="21"/>
  <c r="AB11" i="21"/>
  <c r="AC11" i="21"/>
  <c r="AD11" i="21"/>
  <c r="AE11" i="21"/>
  <c r="AF11" i="21"/>
  <c r="AG11" i="21"/>
  <c r="AH11" i="21"/>
  <c r="AI11" i="21"/>
  <c r="AJ11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R12" i="21"/>
  <c r="S12" i="21"/>
  <c r="T12" i="21"/>
  <c r="U12" i="21"/>
  <c r="V12" i="21"/>
  <c r="W12" i="21"/>
  <c r="X12" i="21"/>
  <c r="Y12" i="21"/>
  <c r="Z12" i="21"/>
  <c r="AA12" i="21"/>
  <c r="AB12" i="21"/>
  <c r="AC12" i="21"/>
  <c r="AD12" i="21"/>
  <c r="AE12" i="21"/>
  <c r="AF12" i="21"/>
  <c r="AG12" i="21"/>
  <c r="AH12" i="21"/>
  <c r="AI12" i="21"/>
  <c r="AJ12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T13" i="21"/>
  <c r="U13" i="21"/>
  <c r="V13" i="21"/>
  <c r="W13" i="21"/>
  <c r="X13" i="21"/>
  <c r="Y13" i="21"/>
  <c r="Z13" i="21"/>
  <c r="AA13" i="21"/>
  <c r="AB13" i="21"/>
  <c r="AC13" i="21"/>
  <c r="AD13" i="21"/>
  <c r="AE13" i="21"/>
  <c r="AF13" i="21"/>
  <c r="AG13" i="21"/>
  <c r="AH13" i="21"/>
  <c r="AI13" i="21"/>
  <c r="AJ13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T14" i="21"/>
  <c r="U14" i="21"/>
  <c r="V14" i="21"/>
  <c r="W14" i="21"/>
  <c r="X14" i="21"/>
  <c r="Y14" i="21"/>
  <c r="Z14" i="21"/>
  <c r="AA14" i="21"/>
  <c r="AB14" i="21"/>
  <c r="AC14" i="21"/>
  <c r="AD14" i="21"/>
  <c r="AE14" i="21"/>
  <c r="AF14" i="21"/>
  <c r="AG14" i="21"/>
  <c r="AH14" i="21"/>
  <c r="AI14" i="21"/>
  <c r="AJ14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U15" i="21"/>
  <c r="V15" i="21"/>
  <c r="W15" i="21"/>
  <c r="X15" i="21"/>
  <c r="Y15" i="21"/>
  <c r="Z15" i="21"/>
  <c r="AA15" i="21"/>
  <c r="AB15" i="21"/>
  <c r="AC15" i="21"/>
  <c r="AD15" i="21"/>
  <c r="AE15" i="21"/>
  <c r="AF15" i="21"/>
  <c r="AG15" i="21"/>
  <c r="AH15" i="21"/>
  <c r="AI15" i="21"/>
  <c r="AJ15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AA16" i="21"/>
  <c r="AB16" i="21"/>
  <c r="AC16" i="21"/>
  <c r="AD16" i="21"/>
  <c r="AE16" i="21"/>
  <c r="AF16" i="21"/>
  <c r="AG16" i="21"/>
  <c r="AH16" i="21"/>
  <c r="AI16" i="21"/>
  <c r="AJ16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AA17" i="21"/>
  <c r="AB17" i="21"/>
  <c r="AC17" i="21"/>
  <c r="AD17" i="21"/>
  <c r="AE17" i="21"/>
  <c r="AF17" i="21"/>
  <c r="AG17" i="21"/>
  <c r="AH17" i="21"/>
  <c r="AI17" i="21"/>
  <c r="AJ17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AH18" i="21"/>
  <c r="AI18" i="21"/>
  <c r="AJ18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AA19" i="21"/>
  <c r="AB19" i="21"/>
  <c r="AC19" i="21"/>
  <c r="AD19" i="21"/>
  <c r="AE19" i="21"/>
  <c r="AF19" i="21"/>
  <c r="AG19" i="21"/>
  <c r="AH19" i="21"/>
  <c r="AI19" i="21"/>
  <c r="AJ19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R20" i="21"/>
  <c r="S20" i="21"/>
  <c r="T20" i="21"/>
  <c r="U20" i="21"/>
  <c r="V20" i="21"/>
  <c r="W20" i="21"/>
  <c r="X20" i="21"/>
  <c r="Y20" i="21"/>
  <c r="Z20" i="21"/>
  <c r="AA20" i="21"/>
  <c r="AB20" i="21"/>
  <c r="AC20" i="21"/>
  <c r="AD20" i="21"/>
  <c r="AE20" i="21"/>
  <c r="AF20" i="21"/>
  <c r="AG20" i="21"/>
  <c r="AH20" i="21"/>
  <c r="AI20" i="21"/>
  <c r="AJ20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S21" i="21"/>
  <c r="T21" i="21"/>
  <c r="U21" i="21"/>
  <c r="V21" i="21"/>
  <c r="W21" i="21"/>
  <c r="X21" i="21"/>
  <c r="Y21" i="21"/>
  <c r="Z21" i="21"/>
  <c r="AA21" i="21"/>
  <c r="AB21" i="21"/>
  <c r="AC21" i="21"/>
  <c r="AD21" i="21"/>
  <c r="AE21" i="21"/>
  <c r="AF21" i="21"/>
  <c r="AG21" i="21"/>
  <c r="AH21" i="21"/>
  <c r="AI21" i="21"/>
  <c r="AJ21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U22" i="21"/>
  <c r="V22" i="21"/>
  <c r="W22" i="21"/>
  <c r="X22" i="21"/>
  <c r="Y22" i="21"/>
  <c r="Z22" i="21"/>
  <c r="AA22" i="21"/>
  <c r="AB22" i="21"/>
  <c r="AC22" i="21"/>
  <c r="AD22" i="21"/>
  <c r="AE22" i="21"/>
  <c r="AF22" i="21"/>
  <c r="AG22" i="21"/>
  <c r="AH22" i="21"/>
  <c r="AI22" i="21"/>
  <c r="AJ22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AH23" i="21"/>
  <c r="AI23" i="21"/>
  <c r="AJ23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T24" i="21"/>
  <c r="U24" i="21"/>
  <c r="V24" i="21"/>
  <c r="W24" i="21"/>
  <c r="X24" i="21"/>
  <c r="Y24" i="21"/>
  <c r="Z24" i="21"/>
  <c r="AA24" i="21"/>
  <c r="AB24" i="21"/>
  <c r="AC24" i="21"/>
  <c r="AD24" i="21"/>
  <c r="AE24" i="21"/>
  <c r="AF24" i="21"/>
  <c r="AG24" i="21"/>
  <c r="AH24" i="21"/>
  <c r="AI24" i="21"/>
  <c r="AJ24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R25" i="21"/>
  <c r="S25" i="21"/>
  <c r="T25" i="21"/>
  <c r="U25" i="21"/>
  <c r="V25" i="21"/>
  <c r="W25" i="21"/>
  <c r="X25" i="21"/>
  <c r="Y25" i="21"/>
  <c r="Z25" i="21"/>
  <c r="AA25" i="21"/>
  <c r="AB25" i="21"/>
  <c r="AC25" i="21"/>
  <c r="AD25" i="21"/>
  <c r="AE25" i="21"/>
  <c r="AF25" i="21"/>
  <c r="AG25" i="21"/>
  <c r="AH25" i="21"/>
  <c r="AI25" i="21"/>
  <c r="AJ25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R26" i="21"/>
  <c r="S26" i="21"/>
  <c r="T26" i="21"/>
  <c r="U26" i="21"/>
  <c r="V26" i="21"/>
  <c r="W26" i="21"/>
  <c r="X26" i="21"/>
  <c r="Y26" i="21"/>
  <c r="Z26" i="21"/>
  <c r="AA26" i="21"/>
  <c r="AB26" i="21"/>
  <c r="AC26" i="21"/>
  <c r="AD26" i="21"/>
  <c r="AE26" i="21"/>
  <c r="AF26" i="21"/>
  <c r="AG26" i="21"/>
  <c r="AH26" i="21"/>
  <c r="AI26" i="21"/>
  <c r="AJ26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R27" i="21"/>
  <c r="S27" i="21"/>
  <c r="T27" i="21"/>
  <c r="U27" i="21"/>
  <c r="V27" i="21"/>
  <c r="W27" i="21"/>
  <c r="X27" i="21"/>
  <c r="Y27" i="21"/>
  <c r="Z27" i="21"/>
  <c r="AA27" i="21"/>
  <c r="AB27" i="21"/>
  <c r="AC27" i="21"/>
  <c r="AD27" i="21"/>
  <c r="AE27" i="21"/>
  <c r="AF27" i="21"/>
  <c r="AG27" i="21"/>
  <c r="AH27" i="21"/>
  <c r="AI27" i="21"/>
  <c r="AJ27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R28" i="21"/>
  <c r="S28" i="21"/>
  <c r="T28" i="21"/>
  <c r="U28" i="21"/>
  <c r="V28" i="21"/>
  <c r="W28" i="21"/>
  <c r="X28" i="21"/>
  <c r="Y28" i="21"/>
  <c r="Z28" i="21"/>
  <c r="AA28" i="21"/>
  <c r="AB28" i="21"/>
  <c r="AC28" i="21"/>
  <c r="AD28" i="21"/>
  <c r="AE28" i="21"/>
  <c r="AF28" i="21"/>
  <c r="AG28" i="21"/>
  <c r="AH28" i="21"/>
  <c r="AI28" i="21"/>
  <c r="AJ28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Y29" i="21"/>
  <c r="Z29" i="21"/>
  <c r="AA29" i="21"/>
  <c r="AB29" i="21"/>
  <c r="AC29" i="21"/>
  <c r="AD29" i="21"/>
  <c r="AE29" i="21"/>
  <c r="AF29" i="21"/>
  <c r="AG29" i="21"/>
  <c r="AH29" i="21"/>
  <c r="AI29" i="21"/>
  <c r="AJ29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R30" i="21"/>
  <c r="S30" i="21"/>
  <c r="T30" i="21"/>
  <c r="U30" i="21"/>
  <c r="V30" i="21"/>
  <c r="W30" i="21"/>
  <c r="X30" i="21"/>
  <c r="Y30" i="21"/>
  <c r="Z30" i="21"/>
  <c r="AA30" i="21"/>
  <c r="AB30" i="21"/>
  <c r="AC30" i="21"/>
  <c r="AD30" i="21"/>
  <c r="AE30" i="21"/>
  <c r="AF30" i="21"/>
  <c r="AG30" i="21"/>
  <c r="AH30" i="21"/>
  <c r="AI30" i="21"/>
  <c r="AJ30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R31" i="21"/>
  <c r="S31" i="21"/>
  <c r="T31" i="21"/>
  <c r="U31" i="21"/>
  <c r="V31" i="21"/>
  <c r="W31" i="21"/>
  <c r="X31" i="21"/>
  <c r="Y31" i="21"/>
  <c r="Z31" i="21"/>
  <c r="AA31" i="21"/>
  <c r="AB31" i="21"/>
  <c r="AC31" i="21"/>
  <c r="AD31" i="21"/>
  <c r="AE31" i="21"/>
  <c r="AF31" i="21"/>
  <c r="AG31" i="21"/>
  <c r="AH31" i="21"/>
  <c r="AI31" i="21"/>
  <c r="AJ31" i="21"/>
  <c r="F32" i="21"/>
  <c r="G32" i="21"/>
  <c r="H32" i="21"/>
  <c r="I32" i="21"/>
  <c r="J32" i="21"/>
  <c r="K32" i="21"/>
  <c r="L32" i="21"/>
  <c r="M32" i="21"/>
  <c r="N32" i="21"/>
  <c r="O32" i="21"/>
  <c r="P32" i="21"/>
  <c r="Q32" i="21"/>
  <c r="R32" i="21"/>
  <c r="S32" i="21"/>
  <c r="T32" i="21"/>
  <c r="U32" i="21"/>
  <c r="V32" i="21"/>
  <c r="W32" i="21"/>
  <c r="X32" i="21"/>
  <c r="Y32" i="21"/>
  <c r="Z32" i="21"/>
  <c r="AA32" i="21"/>
  <c r="AB32" i="21"/>
  <c r="AC32" i="21"/>
  <c r="AD32" i="21"/>
  <c r="AE32" i="21"/>
  <c r="AF32" i="21"/>
  <c r="AG32" i="21"/>
  <c r="AH32" i="21"/>
  <c r="AI32" i="21"/>
  <c r="AJ32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AH33" i="21"/>
  <c r="AI33" i="21"/>
  <c r="AJ33" i="21"/>
  <c r="F34" i="21"/>
  <c r="G34" i="21"/>
  <c r="H34" i="21"/>
  <c r="I34" i="21"/>
  <c r="J34" i="21"/>
  <c r="K34" i="21"/>
  <c r="L34" i="21"/>
  <c r="M34" i="21"/>
  <c r="N34" i="21"/>
  <c r="O34" i="21"/>
  <c r="P34" i="21"/>
  <c r="Q34" i="21"/>
  <c r="R34" i="21"/>
  <c r="S34" i="21"/>
  <c r="T34" i="21"/>
  <c r="U34" i="21"/>
  <c r="V34" i="21"/>
  <c r="W34" i="21"/>
  <c r="X34" i="21"/>
  <c r="Y34" i="21"/>
  <c r="Z34" i="21"/>
  <c r="AA34" i="21"/>
  <c r="AB34" i="21"/>
  <c r="AC34" i="21"/>
  <c r="AD34" i="21"/>
  <c r="AE34" i="21"/>
  <c r="AF34" i="21"/>
  <c r="AG34" i="21"/>
  <c r="AH34" i="21"/>
  <c r="AI34" i="21"/>
  <c r="AJ34" i="21"/>
  <c r="F35" i="21"/>
  <c r="G35" i="21"/>
  <c r="H35" i="21"/>
  <c r="I35" i="21"/>
  <c r="J35" i="21"/>
  <c r="K35" i="21"/>
  <c r="L35" i="21"/>
  <c r="M35" i="21"/>
  <c r="N35" i="21"/>
  <c r="O35" i="21"/>
  <c r="P35" i="21"/>
  <c r="Q35" i="21"/>
  <c r="R35" i="21"/>
  <c r="S35" i="21"/>
  <c r="T35" i="21"/>
  <c r="U35" i="21"/>
  <c r="V35" i="21"/>
  <c r="W35" i="21"/>
  <c r="X35" i="21"/>
  <c r="Y35" i="21"/>
  <c r="Z35" i="21"/>
  <c r="AA35" i="21"/>
  <c r="AB35" i="21"/>
  <c r="AC35" i="21"/>
  <c r="AD35" i="21"/>
  <c r="AE35" i="21"/>
  <c r="AF35" i="21"/>
  <c r="AG35" i="21"/>
  <c r="AH35" i="21"/>
  <c r="AI35" i="21"/>
  <c r="AJ35" i="21"/>
  <c r="F36" i="21"/>
  <c r="G36" i="21"/>
  <c r="H36" i="21"/>
  <c r="I36" i="21"/>
  <c r="J36" i="21"/>
  <c r="K36" i="21"/>
  <c r="L36" i="21"/>
  <c r="M36" i="21"/>
  <c r="N36" i="21"/>
  <c r="O36" i="21"/>
  <c r="P36" i="21"/>
  <c r="Q36" i="21"/>
  <c r="R36" i="21"/>
  <c r="S36" i="21"/>
  <c r="T36" i="21"/>
  <c r="U36" i="21"/>
  <c r="V36" i="21"/>
  <c r="W36" i="21"/>
  <c r="X36" i="21"/>
  <c r="Y36" i="21"/>
  <c r="Z36" i="21"/>
  <c r="AA36" i="21"/>
  <c r="AB36" i="21"/>
  <c r="AC36" i="21"/>
  <c r="AD36" i="21"/>
  <c r="AE36" i="21"/>
  <c r="AF36" i="21"/>
  <c r="AG36" i="21"/>
  <c r="AH36" i="21"/>
  <c r="AI36" i="21"/>
  <c r="AJ36" i="21"/>
  <c r="F37" i="21"/>
  <c r="G37" i="21"/>
  <c r="H37" i="21"/>
  <c r="I37" i="21"/>
  <c r="J37" i="21"/>
  <c r="K37" i="21"/>
  <c r="L37" i="21"/>
  <c r="M37" i="21"/>
  <c r="N37" i="21"/>
  <c r="O37" i="21"/>
  <c r="P37" i="21"/>
  <c r="Q37" i="21"/>
  <c r="R37" i="21"/>
  <c r="S37" i="21"/>
  <c r="T37" i="21"/>
  <c r="U37" i="21"/>
  <c r="V37" i="21"/>
  <c r="W37" i="21"/>
  <c r="X37" i="21"/>
  <c r="Y37" i="21"/>
  <c r="Z37" i="21"/>
  <c r="AA37" i="21"/>
  <c r="AB37" i="21"/>
  <c r="AC37" i="21"/>
  <c r="AD37" i="21"/>
  <c r="AE37" i="21"/>
  <c r="AF37" i="21"/>
  <c r="AG37" i="21"/>
  <c r="AH37" i="21"/>
  <c r="AI37" i="21"/>
  <c r="AJ37" i="21"/>
  <c r="F38" i="21"/>
  <c r="G38" i="21"/>
  <c r="H38" i="21"/>
  <c r="I38" i="21"/>
  <c r="J38" i="21"/>
  <c r="K38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D38" i="21"/>
  <c r="AE38" i="21"/>
  <c r="AF38" i="21"/>
  <c r="AG38" i="21"/>
  <c r="AH38" i="21"/>
  <c r="AI38" i="21"/>
  <c r="AJ38" i="21"/>
  <c r="F39" i="21"/>
  <c r="G39" i="21"/>
  <c r="H39" i="21"/>
  <c r="I39" i="21"/>
  <c r="J39" i="21"/>
  <c r="K39" i="21"/>
  <c r="L39" i="21"/>
  <c r="M39" i="21"/>
  <c r="N39" i="21"/>
  <c r="O39" i="21"/>
  <c r="P39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AC39" i="21"/>
  <c r="AD39" i="21"/>
  <c r="AE39" i="21"/>
  <c r="AF39" i="21"/>
  <c r="AG39" i="21"/>
  <c r="AH39" i="21"/>
  <c r="AI39" i="21"/>
  <c r="AJ39" i="21"/>
  <c r="F40" i="21"/>
  <c r="G40" i="21"/>
  <c r="H40" i="21"/>
  <c r="I40" i="21"/>
  <c r="J40" i="21"/>
  <c r="K40" i="21"/>
  <c r="L40" i="21"/>
  <c r="M40" i="21"/>
  <c r="N40" i="21"/>
  <c r="O40" i="21"/>
  <c r="P40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AC40" i="21"/>
  <c r="AD40" i="21"/>
  <c r="AE40" i="21"/>
  <c r="AF40" i="21"/>
  <c r="AG40" i="21"/>
  <c r="AH40" i="21"/>
  <c r="AI40" i="21"/>
  <c r="AJ40" i="21"/>
  <c r="F41" i="21"/>
  <c r="G41" i="21"/>
  <c r="H41" i="21"/>
  <c r="I41" i="21"/>
  <c r="J41" i="21"/>
  <c r="K41" i="21"/>
  <c r="L41" i="21"/>
  <c r="M41" i="21"/>
  <c r="N41" i="21"/>
  <c r="O41" i="21"/>
  <c r="P41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AC41" i="21"/>
  <c r="AD41" i="21"/>
  <c r="AE41" i="21"/>
  <c r="AF41" i="21"/>
  <c r="AG41" i="21"/>
  <c r="AH41" i="21"/>
  <c r="AI41" i="21"/>
  <c r="AJ41" i="21"/>
  <c r="F42" i="21"/>
  <c r="G42" i="21"/>
  <c r="H42" i="21"/>
  <c r="I42" i="21"/>
  <c r="J42" i="21"/>
  <c r="K42" i="21"/>
  <c r="L42" i="21"/>
  <c r="M42" i="21"/>
  <c r="N42" i="21"/>
  <c r="O42" i="21"/>
  <c r="P42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AC42" i="21"/>
  <c r="AD42" i="21"/>
  <c r="AE42" i="21"/>
  <c r="AF42" i="21"/>
  <c r="AG42" i="21"/>
  <c r="AH42" i="21"/>
  <c r="AI42" i="21"/>
  <c r="AJ42" i="21"/>
  <c r="F43" i="21"/>
  <c r="G43" i="21"/>
  <c r="H43" i="21"/>
  <c r="I43" i="21"/>
  <c r="J43" i="21"/>
  <c r="K43" i="21"/>
  <c r="L43" i="21"/>
  <c r="M43" i="21"/>
  <c r="N43" i="21"/>
  <c r="O43" i="21"/>
  <c r="P43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AC43" i="21"/>
  <c r="AD43" i="21"/>
  <c r="AE43" i="21"/>
  <c r="AF43" i="21"/>
  <c r="AG43" i="21"/>
  <c r="AH43" i="21"/>
  <c r="AI43" i="21"/>
  <c r="AJ43" i="21"/>
  <c r="F44" i="21"/>
  <c r="G44" i="21"/>
  <c r="H44" i="21"/>
  <c r="I44" i="21"/>
  <c r="J44" i="21"/>
  <c r="K44" i="21"/>
  <c r="L44" i="21"/>
  <c r="M44" i="21"/>
  <c r="N44" i="21"/>
  <c r="O44" i="21"/>
  <c r="P44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AC44" i="21"/>
  <c r="AD44" i="21"/>
  <c r="AE44" i="21"/>
  <c r="AF44" i="21"/>
  <c r="AG44" i="21"/>
  <c r="AH44" i="21"/>
  <c r="AI44" i="21"/>
  <c r="AJ44" i="21"/>
  <c r="F45" i="21"/>
  <c r="G45" i="21"/>
  <c r="H45" i="21"/>
  <c r="I45" i="21"/>
  <c r="J45" i="21"/>
  <c r="K45" i="21"/>
  <c r="L45" i="21"/>
  <c r="M45" i="21"/>
  <c r="N45" i="21"/>
  <c r="O45" i="21"/>
  <c r="P45" i="21"/>
  <c r="Q45" i="21"/>
  <c r="R45" i="21"/>
  <c r="S45" i="21"/>
  <c r="T45" i="21"/>
  <c r="U45" i="21"/>
  <c r="V45" i="21"/>
  <c r="W45" i="21"/>
  <c r="X45" i="21"/>
  <c r="Y45" i="21"/>
  <c r="Z45" i="21"/>
  <c r="AA45" i="21"/>
  <c r="AB45" i="21"/>
  <c r="AC45" i="21"/>
  <c r="AD45" i="21"/>
  <c r="AE45" i="21"/>
  <c r="AF45" i="21"/>
  <c r="AG45" i="21"/>
  <c r="AH45" i="21"/>
  <c r="AI45" i="21"/>
  <c r="AJ45" i="21"/>
  <c r="F46" i="21"/>
  <c r="G46" i="21"/>
  <c r="H46" i="21"/>
  <c r="I46" i="21"/>
  <c r="J46" i="21"/>
  <c r="K46" i="21"/>
  <c r="L46" i="21"/>
  <c r="M46" i="21"/>
  <c r="N46" i="21"/>
  <c r="O46" i="21"/>
  <c r="P46" i="21"/>
  <c r="Q46" i="21"/>
  <c r="R46" i="21"/>
  <c r="S46" i="21"/>
  <c r="T46" i="21"/>
  <c r="U46" i="21"/>
  <c r="V46" i="21"/>
  <c r="W46" i="21"/>
  <c r="X46" i="21"/>
  <c r="Y46" i="21"/>
  <c r="Z46" i="21"/>
  <c r="AA46" i="21"/>
  <c r="AB46" i="21"/>
  <c r="AC46" i="21"/>
  <c r="AD46" i="21"/>
  <c r="AE46" i="21"/>
  <c r="AF46" i="21"/>
  <c r="AG46" i="21"/>
  <c r="AH46" i="21"/>
  <c r="AI46" i="21"/>
  <c r="AJ46" i="21"/>
  <c r="F47" i="21"/>
  <c r="G47" i="21"/>
  <c r="H47" i="21"/>
  <c r="I47" i="21"/>
  <c r="J47" i="21"/>
  <c r="K47" i="21"/>
  <c r="L47" i="21"/>
  <c r="M47" i="21"/>
  <c r="N47" i="21"/>
  <c r="O47" i="21"/>
  <c r="P47" i="21"/>
  <c r="Q47" i="21"/>
  <c r="R47" i="21"/>
  <c r="S47" i="21"/>
  <c r="T47" i="21"/>
  <c r="U47" i="21"/>
  <c r="V47" i="21"/>
  <c r="W47" i="21"/>
  <c r="X47" i="21"/>
  <c r="Y47" i="21"/>
  <c r="Z47" i="21"/>
  <c r="AA47" i="21"/>
  <c r="AB47" i="21"/>
  <c r="AC47" i="21"/>
  <c r="AD47" i="21"/>
  <c r="AE47" i="21"/>
  <c r="AF47" i="21"/>
  <c r="AG47" i="21"/>
  <c r="AH47" i="21"/>
  <c r="AI47" i="21"/>
  <c r="AJ47" i="21"/>
  <c r="F48" i="21"/>
  <c r="G48" i="21"/>
  <c r="H48" i="21"/>
  <c r="I48" i="21"/>
  <c r="J48" i="21"/>
  <c r="K48" i="21"/>
  <c r="L48" i="21"/>
  <c r="M48" i="21"/>
  <c r="N48" i="21"/>
  <c r="O48" i="21"/>
  <c r="P48" i="21"/>
  <c r="Q48" i="21"/>
  <c r="R48" i="21"/>
  <c r="S48" i="21"/>
  <c r="T48" i="21"/>
  <c r="U48" i="21"/>
  <c r="V48" i="21"/>
  <c r="W48" i="21"/>
  <c r="X48" i="21"/>
  <c r="Y48" i="21"/>
  <c r="Z48" i="21"/>
  <c r="AA48" i="21"/>
  <c r="AB48" i="21"/>
  <c r="AC48" i="21"/>
  <c r="AD48" i="21"/>
  <c r="AE48" i="21"/>
  <c r="AF48" i="21"/>
  <c r="AG48" i="21"/>
  <c r="AH48" i="21"/>
  <c r="AI48" i="21"/>
  <c r="AJ48" i="21"/>
  <c r="F49" i="21"/>
  <c r="G49" i="21"/>
  <c r="H49" i="21"/>
  <c r="I49" i="21"/>
  <c r="J49" i="21"/>
  <c r="K49" i="21"/>
  <c r="L49" i="21"/>
  <c r="M49" i="21"/>
  <c r="N49" i="21"/>
  <c r="O49" i="21"/>
  <c r="P49" i="21"/>
  <c r="Q49" i="21"/>
  <c r="R49" i="21"/>
  <c r="S49" i="21"/>
  <c r="T49" i="21"/>
  <c r="U49" i="21"/>
  <c r="V49" i="21"/>
  <c r="W49" i="21"/>
  <c r="X49" i="21"/>
  <c r="Y49" i="21"/>
  <c r="Z49" i="21"/>
  <c r="AA49" i="21"/>
  <c r="AB49" i="21"/>
  <c r="AC49" i="21"/>
  <c r="AD49" i="21"/>
  <c r="AE49" i="21"/>
  <c r="AF49" i="21"/>
  <c r="AG49" i="21"/>
  <c r="AH49" i="21"/>
  <c r="AI49" i="21"/>
  <c r="AJ49" i="21"/>
  <c r="F50" i="21"/>
  <c r="G50" i="21"/>
  <c r="H50" i="21"/>
  <c r="I50" i="21"/>
  <c r="J50" i="21"/>
  <c r="K50" i="21"/>
  <c r="L50" i="21"/>
  <c r="M50" i="21"/>
  <c r="N50" i="21"/>
  <c r="O50" i="21"/>
  <c r="P50" i="21"/>
  <c r="Q50" i="21"/>
  <c r="R50" i="21"/>
  <c r="S50" i="21"/>
  <c r="T50" i="21"/>
  <c r="U50" i="21"/>
  <c r="V50" i="21"/>
  <c r="W50" i="21"/>
  <c r="X50" i="21"/>
  <c r="Y50" i="21"/>
  <c r="Z50" i="21"/>
  <c r="AA50" i="21"/>
  <c r="AB50" i="21"/>
  <c r="AC50" i="21"/>
  <c r="AD50" i="21"/>
  <c r="AE50" i="21"/>
  <c r="AF50" i="21"/>
  <c r="AG50" i="21"/>
  <c r="AH50" i="21"/>
  <c r="AI50" i="21"/>
  <c r="AJ50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R51" i="21"/>
  <c r="S51" i="21"/>
  <c r="T51" i="21"/>
  <c r="U51" i="21"/>
  <c r="V51" i="21"/>
  <c r="W51" i="21"/>
  <c r="X51" i="21"/>
  <c r="Y51" i="21"/>
  <c r="Z51" i="21"/>
  <c r="AA51" i="21"/>
  <c r="AB51" i="21"/>
  <c r="AC51" i="21"/>
  <c r="AD51" i="21"/>
  <c r="AE51" i="21"/>
  <c r="AF51" i="21"/>
  <c r="AG51" i="21"/>
  <c r="AH51" i="21"/>
  <c r="AI51" i="21"/>
  <c r="AJ51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R52" i="21"/>
  <c r="S52" i="21"/>
  <c r="T52" i="21"/>
  <c r="U52" i="21"/>
  <c r="V52" i="21"/>
  <c r="W52" i="21"/>
  <c r="X52" i="21"/>
  <c r="Y52" i="21"/>
  <c r="Z52" i="21"/>
  <c r="AA52" i="21"/>
  <c r="AB52" i="21"/>
  <c r="AC52" i="21"/>
  <c r="AD52" i="21"/>
  <c r="AE52" i="21"/>
  <c r="AF52" i="21"/>
  <c r="AG52" i="21"/>
  <c r="AH52" i="21"/>
  <c r="AI52" i="21"/>
  <c r="AJ52" i="21"/>
  <c r="F53" i="21"/>
  <c r="G53" i="21"/>
  <c r="H53" i="21"/>
  <c r="I53" i="21"/>
  <c r="J53" i="21"/>
  <c r="K53" i="21"/>
  <c r="L53" i="21"/>
  <c r="M53" i="21"/>
  <c r="N53" i="21"/>
  <c r="O53" i="21"/>
  <c r="P53" i="21"/>
  <c r="Q53" i="21"/>
  <c r="R53" i="21"/>
  <c r="S53" i="21"/>
  <c r="T53" i="21"/>
  <c r="U53" i="21"/>
  <c r="V53" i="21"/>
  <c r="W53" i="21"/>
  <c r="X53" i="21"/>
  <c r="Y53" i="21"/>
  <c r="Z53" i="21"/>
  <c r="AA53" i="21"/>
  <c r="AB53" i="21"/>
  <c r="AC53" i="21"/>
  <c r="AD53" i="21"/>
  <c r="AE53" i="21"/>
  <c r="AF53" i="21"/>
  <c r="AG53" i="21"/>
  <c r="AH53" i="21"/>
  <c r="AI53" i="21"/>
  <c r="AJ53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R54" i="21"/>
  <c r="S54" i="21"/>
  <c r="T54" i="21"/>
  <c r="U54" i="21"/>
  <c r="V54" i="21"/>
  <c r="W54" i="21"/>
  <c r="X54" i="21"/>
  <c r="Y54" i="21"/>
  <c r="Z54" i="21"/>
  <c r="AA54" i="21"/>
  <c r="AB54" i="21"/>
  <c r="AC54" i="21"/>
  <c r="AD54" i="21"/>
  <c r="AE54" i="21"/>
  <c r="AF54" i="21"/>
  <c r="AG54" i="21"/>
  <c r="AH54" i="21"/>
  <c r="AI54" i="21"/>
  <c r="AJ54" i="21"/>
  <c r="G5" i="21"/>
  <c r="H5" i="21"/>
  <c r="I5" i="21"/>
  <c r="J5" i="21"/>
  <c r="K5" i="21"/>
  <c r="L5" i="21"/>
  <c r="M5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AH5" i="21"/>
  <c r="AI5" i="21"/>
  <c r="AJ5" i="21"/>
  <c r="F5" i="21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I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I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AI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AI34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AI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AI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AI39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AI40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AI42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I43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AI44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AI45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AI46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AI47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AI48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AI49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AI50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AI51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AI53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AI54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F5" i="20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F5" i="19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F5" i="18"/>
  <c r="G6" i="12"/>
  <c r="H6" i="12"/>
  <c r="J6" i="12"/>
  <c r="K6" i="12"/>
  <c r="L6" i="12"/>
  <c r="N6" i="12"/>
  <c r="O6" i="12"/>
  <c r="P6" i="12"/>
  <c r="Q6" i="12"/>
  <c r="R6" i="12"/>
  <c r="S6" i="12"/>
  <c r="T6" i="12"/>
  <c r="U6" i="12"/>
  <c r="V6" i="12"/>
  <c r="W6" i="12"/>
  <c r="X6" i="12"/>
  <c r="Y6" i="12"/>
  <c r="AA6" i="12"/>
  <c r="AB6" i="12"/>
  <c r="AC6" i="12"/>
  <c r="AD6" i="12"/>
  <c r="AE6" i="12"/>
  <c r="AF6" i="12"/>
  <c r="AG6" i="12"/>
  <c r="AH6" i="12"/>
  <c r="AI6" i="12"/>
  <c r="AJ6" i="12"/>
  <c r="G7" i="12"/>
  <c r="H7" i="12"/>
  <c r="J7" i="12"/>
  <c r="K7" i="12"/>
  <c r="L7" i="12"/>
  <c r="O7" i="12"/>
  <c r="P7" i="12"/>
  <c r="Q7" i="12"/>
  <c r="R7" i="12"/>
  <c r="S7" i="12"/>
  <c r="T7" i="12"/>
  <c r="U7" i="12"/>
  <c r="V7" i="12"/>
  <c r="W7" i="12"/>
  <c r="X7" i="12"/>
  <c r="Y7" i="12"/>
  <c r="AA7" i="12"/>
  <c r="AB7" i="12"/>
  <c r="AD7" i="12"/>
  <c r="AE7" i="12"/>
  <c r="AF7" i="12"/>
  <c r="AG7" i="12"/>
  <c r="AH7" i="12"/>
  <c r="AI7" i="12"/>
  <c r="AJ7" i="12"/>
  <c r="G8" i="12"/>
  <c r="H8" i="12"/>
  <c r="J8" i="12"/>
  <c r="K8" i="12"/>
  <c r="L8" i="12"/>
  <c r="N8" i="12"/>
  <c r="O8" i="12"/>
  <c r="P8" i="12"/>
  <c r="Q8" i="12"/>
  <c r="R8" i="12"/>
  <c r="S8" i="12"/>
  <c r="T8" i="12"/>
  <c r="U8" i="12"/>
  <c r="V8" i="12"/>
  <c r="X8" i="12"/>
  <c r="Y8" i="12"/>
  <c r="AA8" i="12"/>
  <c r="AB8" i="12"/>
  <c r="AC8" i="12"/>
  <c r="AD8" i="12"/>
  <c r="AE8" i="12"/>
  <c r="AF8" i="12"/>
  <c r="AG8" i="12"/>
  <c r="AH8" i="12"/>
  <c r="AI8" i="12"/>
  <c r="AJ8" i="12"/>
  <c r="G9" i="12"/>
  <c r="H9" i="12"/>
  <c r="J9" i="12"/>
  <c r="K9" i="12"/>
  <c r="L9" i="12"/>
  <c r="N9" i="12"/>
  <c r="P9" i="12"/>
  <c r="Q9" i="12"/>
  <c r="R9" i="12"/>
  <c r="S9" i="12"/>
  <c r="T9" i="12"/>
  <c r="U9" i="12"/>
  <c r="V9" i="12"/>
  <c r="W9" i="12"/>
  <c r="X9" i="12"/>
  <c r="Y9" i="12"/>
  <c r="AA9" i="12"/>
  <c r="AB9" i="12"/>
  <c r="AC9" i="12"/>
  <c r="AD9" i="12"/>
  <c r="AF9" i="12"/>
  <c r="AG9" i="12"/>
  <c r="AH9" i="12"/>
  <c r="AI9" i="12"/>
  <c r="AJ9" i="12"/>
  <c r="G10" i="12"/>
  <c r="J10" i="12"/>
  <c r="K10" i="12"/>
  <c r="L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AA10" i="12"/>
  <c r="AB10" i="12"/>
  <c r="AC10" i="12"/>
  <c r="AD10" i="12"/>
  <c r="AE10" i="12"/>
  <c r="AF10" i="12"/>
  <c r="AG10" i="12"/>
  <c r="AH10" i="12"/>
  <c r="AI10" i="12"/>
  <c r="AJ10" i="12"/>
  <c r="G11" i="12"/>
  <c r="H11" i="12"/>
  <c r="J11" i="12"/>
  <c r="K11" i="12"/>
  <c r="L11" i="12"/>
  <c r="N11" i="12"/>
  <c r="O11" i="12"/>
  <c r="Q11" i="12"/>
  <c r="R11" i="12"/>
  <c r="S11" i="12"/>
  <c r="T11" i="12"/>
  <c r="U11" i="12"/>
  <c r="V11" i="12"/>
  <c r="W11" i="12"/>
  <c r="X11" i="12"/>
  <c r="Y11" i="12"/>
  <c r="AA11" i="12"/>
  <c r="AB11" i="12"/>
  <c r="AC11" i="12"/>
  <c r="AD11" i="12"/>
  <c r="AE11" i="12"/>
  <c r="AF11" i="12"/>
  <c r="AG11" i="12"/>
  <c r="AH11" i="12"/>
  <c r="AI11" i="12"/>
  <c r="AJ11" i="12"/>
  <c r="G12" i="12"/>
  <c r="H12" i="12"/>
  <c r="J12" i="12"/>
  <c r="K12" i="12"/>
  <c r="L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AA12" i="12"/>
  <c r="AB12" i="12"/>
  <c r="AC12" i="12"/>
  <c r="AD12" i="12"/>
  <c r="AE12" i="12"/>
  <c r="AF12" i="12"/>
  <c r="AG12" i="12"/>
  <c r="AH12" i="12"/>
  <c r="AI12" i="12"/>
  <c r="AJ12" i="12"/>
  <c r="G13" i="12"/>
  <c r="H13" i="12"/>
  <c r="K13" i="12"/>
  <c r="L13" i="12"/>
  <c r="N13" i="12"/>
  <c r="O13" i="12"/>
  <c r="P13" i="12"/>
  <c r="Q13" i="12"/>
  <c r="S13" i="12"/>
  <c r="T13" i="12"/>
  <c r="U13" i="12"/>
  <c r="V13" i="12"/>
  <c r="W13" i="12"/>
  <c r="X13" i="12"/>
  <c r="Y13" i="12"/>
  <c r="AA13" i="12"/>
  <c r="AB13" i="12"/>
  <c r="AC13" i="12"/>
  <c r="AD13" i="12"/>
  <c r="AE13" i="12"/>
  <c r="AF13" i="12"/>
  <c r="AG13" i="12"/>
  <c r="AH13" i="12"/>
  <c r="AI13" i="12"/>
  <c r="AJ13" i="12"/>
  <c r="G14" i="12"/>
  <c r="H14" i="12"/>
  <c r="J14" i="12"/>
  <c r="K14" i="12"/>
  <c r="L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AA14" i="12"/>
  <c r="AB14" i="12"/>
  <c r="AD14" i="12"/>
  <c r="AE14" i="12"/>
  <c r="AF14" i="12"/>
  <c r="AG14" i="12"/>
  <c r="AH14" i="12"/>
  <c r="AI14" i="12"/>
  <c r="AJ14" i="12"/>
  <c r="G15" i="12"/>
  <c r="H15" i="12"/>
  <c r="J15" i="12"/>
  <c r="K15" i="12"/>
  <c r="L15" i="12"/>
  <c r="N15" i="12"/>
  <c r="O15" i="12"/>
  <c r="P15" i="12"/>
  <c r="R15" i="12"/>
  <c r="S15" i="12"/>
  <c r="T15" i="12"/>
  <c r="U15" i="12"/>
  <c r="V15" i="12"/>
  <c r="W15" i="12"/>
  <c r="X15" i="12"/>
  <c r="AA15" i="12"/>
  <c r="AB15" i="12"/>
  <c r="AC15" i="12"/>
  <c r="AD15" i="12"/>
  <c r="AE15" i="12"/>
  <c r="AF15" i="12"/>
  <c r="AG15" i="12"/>
  <c r="AH15" i="12"/>
  <c r="AI15" i="12"/>
  <c r="AJ15" i="12"/>
  <c r="H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X5" i="12"/>
  <c r="Y5" i="12"/>
  <c r="AA5" i="12"/>
  <c r="AB5" i="12"/>
  <c r="AC5" i="12"/>
  <c r="AD5" i="12"/>
  <c r="AE5" i="12"/>
  <c r="AF5" i="12"/>
  <c r="AG5" i="12"/>
  <c r="AH5" i="12"/>
  <c r="AI5" i="12"/>
  <c r="AJ5" i="12"/>
  <c r="F5" i="12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H17" i="26"/>
  <c r="H16" i="26"/>
  <c r="H15" i="26"/>
  <c r="H14" i="26"/>
  <c r="I7" i="26"/>
  <c r="K10" i="28" l="1"/>
  <c r="L10" i="28" s="1"/>
  <c r="K44" i="28"/>
  <c r="L44" i="28" s="1"/>
  <c r="K40" i="28"/>
  <c r="L40" i="28" s="1"/>
  <c r="K37" i="28"/>
  <c r="L37" i="28" s="1"/>
  <c r="K31" i="28"/>
  <c r="L31" i="28" s="1"/>
  <c r="K11" i="28"/>
  <c r="L11" i="28" s="1"/>
  <c r="K42" i="28"/>
  <c r="L42" i="28" s="1"/>
  <c r="K30" i="28"/>
  <c r="L30" i="28" s="1"/>
  <c r="K18" i="28"/>
  <c r="L18" i="28" s="1"/>
  <c r="K46" i="28"/>
  <c r="L46" i="28" s="1"/>
  <c r="K38" i="28"/>
  <c r="L38" i="28" s="1"/>
  <c r="K12" i="28"/>
  <c r="L12" i="28" s="1"/>
  <c r="K3" i="28"/>
  <c r="K41" i="28"/>
  <c r="L41" i="28" s="1"/>
  <c r="K22" i="28"/>
  <c r="L22" i="28" s="1"/>
  <c r="K4" i="28"/>
  <c r="L4" i="28" s="1"/>
  <c r="K50" i="28"/>
  <c r="L50" i="28" s="1"/>
  <c r="K45" i="28"/>
  <c r="L45" i="28" s="1"/>
  <c r="K24" i="28"/>
  <c r="L24" i="28" s="1"/>
  <c r="K6" i="28"/>
  <c r="L6" i="28" s="1"/>
  <c r="K16" i="28"/>
  <c r="L16" i="28" s="1"/>
  <c r="K9" i="28"/>
  <c r="L9" i="28" s="1"/>
  <c r="K52" i="28"/>
  <c r="L52" i="28" s="1"/>
  <c r="K23" i="28"/>
  <c r="L23" i="28" s="1"/>
  <c r="K15" i="28"/>
  <c r="L15" i="28" s="1"/>
  <c r="K47" i="28"/>
  <c r="L47" i="28" s="1"/>
  <c r="K5" i="28"/>
  <c r="L5" i="28" s="1"/>
  <c r="K51" i="28"/>
  <c r="L51" i="28" s="1"/>
  <c r="K35" i="28"/>
  <c r="L35" i="28" s="1"/>
  <c r="K7" i="28"/>
  <c r="L7" i="28" s="1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J34" i="25"/>
  <c r="AJ35" i="25"/>
  <c r="AJ36" i="25"/>
  <c r="AJ37" i="25"/>
  <c r="AJ38" i="25"/>
  <c r="AJ39" i="25"/>
  <c r="AJ40" i="25"/>
  <c r="AJ41" i="25"/>
  <c r="AJ42" i="25"/>
  <c r="AJ43" i="25"/>
  <c r="AJ44" i="25"/>
  <c r="AJ45" i="25"/>
  <c r="AJ46" i="25"/>
  <c r="AJ47" i="25"/>
  <c r="AJ48" i="25"/>
  <c r="AJ49" i="25"/>
  <c r="AJ50" i="25"/>
  <c r="AJ51" i="25"/>
  <c r="AJ52" i="25"/>
  <c r="AJ53" i="25"/>
  <c r="AJ4" i="25"/>
  <c r="AF5" i="25"/>
  <c r="AG5" i="25"/>
  <c r="AH5" i="25"/>
  <c r="AF6" i="25"/>
  <c r="AG6" i="25"/>
  <c r="AH6" i="25"/>
  <c r="AF7" i="25"/>
  <c r="AG7" i="25"/>
  <c r="AH7" i="25"/>
  <c r="AF8" i="25"/>
  <c r="AG8" i="25"/>
  <c r="AH8" i="25"/>
  <c r="AF9" i="25"/>
  <c r="AG9" i="25"/>
  <c r="AH9" i="25"/>
  <c r="AF10" i="25"/>
  <c r="AG10" i="25"/>
  <c r="AH10" i="25"/>
  <c r="AF11" i="25"/>
  <c r="AG11" i="25"/>
  <c r="AH11" i="25"/>
  <c r="AF12" i="25"/>
  <c r="AG12" i="25"/>
  <c r="AH12" i="25"/>
  <c r="AF13" i="25"/>
  <c r="AG13" i="25"/>
  <c r="AH13" i="25"/>
  <c r="AF14" i="25"/>
  <c r="AG14" i="25"/>
  <c r="AH14" i="25"/>
  <c r="AF15" i="25"/>
  <c r="AG15" i="25"/>
  <c r="AH15" i="25"/>
  <c r="AF16" i="25"/>
  <c r="AG16" i="25"/>
  <c r="AH16" i="25"/>
  <c r="AF17" i="25"/>
  <c r="AG17" i="25"/>
  <c r="AH17" i="25"/>
  <c r="AF18" i="25"/>
  <c r="AG18" i="25"/>
  <c r="AH18" i="25"/>
  <c r="AF19" i="25"/>
  <c r="AG19" i="25"/>
  <c r="AH19" i="25"/>
  <c r="AF20" i="25"/>
  <c r="AG20" i="25"/>
  <c r="AH20" i="25"/>
  <c r="AF21" i="25"/>
  <c r="AG21" i="25"/>
  <c r="AH21" i="25"/>
  <c r="AF22" i="25"/>
  <c r="AG22" i="25"/>
  <c r="AH22" i="25"/>
  <c r="AF23" i="25"/>
  <c r="AG23" i="25"/>
  <c r="AH23" i="25"/>
  <c r="AF24" i="25"/>
  <c r="AG24" i="25"/>
  <c r="AH24" i="25"/>
  <c r="AF25" i="25"/>
  <c r="AG25" i="25"/>
  <c r="AH25" i="25"/>
  <c r="AF26" i="25"/>
  <c r="AG26" i="25"/>
  <c r="AH26" i="25"/>
  <c r="AF27" i="25"/>
  <c r="AG27" i="25"/>
  <c r="AH27" i="25"/>
  <c r="AF28" i="25"/>
  <c r="AG28" i="25"/>
  <c r="AH28" i="25"/>
  <c r="AF29" i="25"/>
  <c r="AG29" i="25"/>
  <c r="AH29" i="25"/>
  <c r="AF30" i="25"/>
  <c r="AG30" i="25"/>
  <c r="AH30" i="25"/>
  <c r="AF31" i="25"/>
  <c r="AG31" i="25"/>
  <c r="AH31" i="25"/>
  <c r="AF32" i="25"/>
  <c r="AG32" i="25"/>
  <c r="AH32" i="25"/>
  <c r="AF33" i="25"/>
  <c r="AG33" i="25"/>
  <c r="AH33" i="25"/>
  <c r="AF34" i="25"/>
  <c r="AG34" i="25"/>
  <c r="AH34" i="25"/>
  <c r="AF35" i="25"/>
  <c r="AG35" i="25"/>
  <c r="AH35" i="25"/>
  <c r="AF36" i="25"/>
  <c r="AG36" i="25"/>
  <c r="AH36" i="25"/>
  <c r="AF37" i="25"/>
  <c r="AG37" i="25"/>
  <c r="AH37" i="25"/>
  <c r="AF38" i="25"/>
  <c r="AG38" i="25"/>
  <c r="AH38" i="25"/>
  <c r="AF39" i="25"/>
  <c r="AG39" i="25"/>
  <c r="AH39" i="25"/>
  <c r="AF40" i="25"/>
  <c r="AG40" i="25"/>
  <c r="AH40" i="25"/>
  <c r="AF41" i="25"/>
  <c r="AG41" i="25"/>
  <c r="AH41" i="25"/>
  <c r="AF42" i="25"/>
  <c r="AG42" i="25"/>
  <c r="AH42" i="25"/>
  <c r="AF43" i="25"/>
  <c r="AG43" i="25"/>
  <c r="AH43" i="25"/>
  <c r="AF44" i="25"/>
  <c r="AG44" i="25"/>
  <c r="AH44" i="25"/>
  <c r="AF45" i="25"/>
  <c r="AG45" i="25"/>
  <c r="AH45" i="25"/>
  <c r="AF46" i="25"/>
  <c r="AG46" i="25"/>
  <c r="AH46" i="25"/>
  <c r="AF47" i="25"/>
  <c r="AG47" i="25"/>
  <c r="AH47" i="25"/>
  <c r="AF48" i="25"/>
  <c r="AG48" i="25"/>
  <c r="AH48" i="25"/>
  <c r="AF49" i="25"/>
  <c r="AG49" i="25"/>
  <c r="AH49" i="25"/>
  <c r="AF50" i="25"/>
  <c r="AG50" i="25"/>
  <c r="AH50" i="25"/>
  <c r="AF51" i="25"/>
  <c r="AG51" i="25"/>
  <c r="AH51" i="25"/>
  <c r="AF52" i="25"/>
  <c r="AG52" i="25"/>
  <c r="AH52" i="25"/>
  <c r="AF53" i="25"/>
  <c r="AG53" i="25"/>
  <c r="AH53" i="25"/>
  <c r="AH4" i="25"/>
  <c r="AG4" i="25"/>
  <c r="AF4" i="25"/>
  <c r="I4" i="24"/>
  <c r="I5" i="24"/>
  <c r="I6" i="24"/>
  <c r="I7" i="24"/>
  <c r="I8" i="24"/>
  <c r="J8" i="24" s="1"/>
  <c r="I9" i="24"/>
  <c r="J9" i="24" s="1"/>
  <c r="I10" i="24"/>
  <c r="J10" i="24" s="1"/>
  <c r="I11" i="24"/>
  <c r="J11" i="24" s="1"/>
  <c r="I12" i="24"/>
  <c r="I13" i="24"/>
  <c r="I14" i="24"/>
  <c r="I15" i="24"/>
  <c r="I16" i="24"/>
  <c r="I17" i="24"/>
  <c r="J17" i="24" s="1"/>
  <c r="I18" i="24"/>
  <c r="J18" i="24" s="1"/>
  <c r="I19" i="24"/>
  <c r="J19" i="24" s="1"/>
  <c r="I20" i="24"/>
  <c r="I21" i="24"/>
  <c r="I22" i="24"/>
  <c r="I23" i="24"/>
  <c r="I24" i="24"/>
  <c r="I25" i="24"/>
  <c r="J25" i="24" s="1"/>
  <c r="I26" i="24"/>
  <c r="J26" i="24" s="1"/>
  <c r="I27" i="24"/>
  <c r="J27" i="24" s="1"/>
  <c r="I28" i="24"/>
  <c r="I29" i="24"/>
  <c r="I30" i="24"/>
  <c r="I31" i="24"/>
  <c r="I32" i="24"/>
  <c r="I33" i="24"/>
  <c r="J33" i="24" s="1"/>
  <c r="I34" i="24"/>
  <c r="J34" i="24" s="1"/>
  <c r="I35" i="24"/>
  <c r="J35" i="24" s="1"/>
  <c r="I36" i="24"/>
  <c r="I37" i="24"/>
  <c r="I38" i="24"/>
  <c r="J38" i="24" s="1"/>
  <c r="I39" i="24"/>
  <c r="I40" i="24"/>
  <c r="I41" i="24"/>
  <c r="J41" i="24" s="1"/>
  <c r="I42" i="24"/>
  <c r="I43" i="24"/>
  <c r="J43" i="24" s="1"/>
  <c r="I44" i="24"/>
  <c r="I45" i="24"/>
  <c r="I46" i="24"/>
  <c r="J46" i="24" s="1"/>
  <c r="I47" i="24"/>
  <c r="J47" i="24" s="1"/>
  <c r="I48" i="24"/>
  <c r="I49" i="24"/>
  <c r="J49" i="24" s="1"/>
  <c r="I50" i="24"/>
  <c r="J50" i="24" s="1"/>
  <c r="I51" i="24"/>
  <c r="J51" i="24" s="1"/>
  <c r="I52" i="24"/>
  <c r="I53" i="24"/>
  <c r="J53" i="24" s="1"/>
  <c r="I54" i="24"/>
  <c r="I55" i="24"/>
  <c r="J55" i="24" s="1"/>
  <c r="I56" i="24"/>
  <c r="J56" i="24" s="1"/>
  <c r="I57" i="24"/>
  <c r="J57" i="24" s="1"/>
  <c r="I58" i="24"/>
  <c r="J58" i="24" s="1"/>
  <c r="I59" i="24"/>
  <c r="J59" i="24" s="1"/>
  <c r="I60" i="24"/>
  <c r="I61" i="24"/>
  <c r="I62" i="24"/>
  <c r="J62" i="24" s="1"/>
  <c r="I63" i="24"/>
  <c r="I64" i="24"/>
  <c r="I65" i="24"/>
  <c r="J65" i="24" s="1"/>
  <c r="I66" i="24"/>
  <c r="J66" i="24" s="1"/>
  <c r="I67" i="24"/>
  <c r="J67" i="24" s="1"/>
  <c r="I68" i="24"/>
  <c r="J68" i="24" s="1"/>
  <c r="I69" i="24"/>
  <c r="J69" i="24" s="1"/>
  <c r="I70" i="24"/>
  <c r="I71" i="24"/>
  <c r="I72" i="24"/>
  <c r="I73" i="24"/>
  <c r="J73" i="24" s="1"/>
  <c r="I74" i="24"/>
  <c r="J74" i="24" s="1"/>
  <c r="I75" i="24"/>
  <c r="J75" i="24" s="1"/>
  <c r="I76" i="24"/>
  <c r="J76" i="24" s="1"/>
  <c r="I77" i="24"/>
  <c r="J77" i="24" s="1"/>
  <c r="I78" i="24"/>
  <c r="I79" i="24"/>
  <c r="J79" i="24" s="1"/>
  <c r="I80" i="24"/>
  <c r="J80" i="24" s="1"/>
  <c r="I81" i="24"/>
  <c r="J81" i="24" s="1"/>
  <c r="I3" i="24"/>
  <c r="J4" i="24"/>
  <c r="J5" i="24"/>
  <c r="J6" i="24"/>
  <c r="J7" i="24"/>
  <c r="J12" i="24"/>
  <c r="J13" i="24"/>
  <c r="J14" i="24"/>
  <c r="J15" i="24"/>
  <c r="J16" i="24"/>
  <c r="J20" i="24"/>
  <c r="J21" i="24"/>
  <c r="J22" i="24"/>
  <c r="J23" i="24"/>
  <c r="J24" i="24"/>
  <c r="J28" i="24"/>
  <c r="J29" i="24"/>
  <c r="J30" i="24"/>
  <c r="J31" i="24"/>
  <c r="J32" i="24"/>
  <c r="J36" i="24"/>
  <c r="J37" i="24"/>
  <c r="J39" i="24"/>
  <c r="J40" i="24"/>
  <c r="J42" i="24"/>
  <c r="J44" i="24"/>
  <c r="J45" i="24"/>
  <c r="J48" i="24"/>
  <c r="J52" i="24"/>
  <c r="J54" i="24"/>
  <c r="J60" i="24"/>
  <c r="J61" i="24"/>
  <c r="J63" i="24"/>
  <c r="J64" i="24"/>
  <c r="J70" i="24"/>
  <c r="J71" i="24"/>
  <c r="J72" i="24"/>
  <c r="J78" i="24"/>
  <c r="J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3" i="24"/>
  <c r="D3" i="24"/>
  <c r="AA4" i="25" l="1"/>
  <c r="AB5" i="25"/>
  <c r="AO5" i="25" s="1"/>
  <c r="AB8" i="25"/>
  <c r="AO8" i="25" s="1"/>
  <c r="AB13" i="25"/>
  <c r="AO13" i="25" s="1"/>
  <c r="AB14" i="25"/>
  <c r="AO14" i="25" s="1"/>
  <c r="AB16" i="25"/>
  <c r="AO16" i="25" s="1"/>
  <c r="AB17" i="25"/>
  <c r="AO17" i="25" s="1"/>
  <c r="AB18" i="25"/>
  <c r="AO18" i="25" s="1"/>
  <c r="AB19" i="25"/>
  <c r="AO19" i="25" s="1"/>
  <c r="AB21" i="25"/>
  <c r="AO21" i="25" s="1"/>
  <c r="AB22" i="25"/>
  <c r="AO22" i="25" s="1"/>
  <c r="AB23" i="25"/>
  <c r="AO23" i="25" s="1"/>
  <c r="AB24" i="25"/>
  <c r="AO24" i="25" s="1"/>
  <c r="AB25" i="25"/>
  <c r="AO25" i="25" s="1"/>
  <c r="AB26" i="25"/>
  <c r="AO26" i="25" s="1"/>
  <c r="AB28" i="25"/>
  <c r="AO28" i="25" s="1"/>
  <c r="AB30" i="25"/>
  <c r="AO30" i="25" s="1"/>
  <c r="AB31" i="25"/>
  <c r="AO31" i="25" s="1"/>
  <c r="AB34" i="25"/>
  <c r="AO34" i="25" s="1"/>
  <c r="AB36" i="25"/>
  <c r="AO36" i="25" s="1"/>
  <c r="AB37" i="25"/>
  <c r="AO37" i="25" s="1"/>
  <c r="AB38" i="25"/>
  <c r="AO38" i="25" s="1"/>
  <c r="AB39" i="25"/>
  <c r="AO39" i="25" s="1"/>
  <c r="AB41" i="25"/>
  <c r="AO41" i="25" s="1"/>
  <c r="AB42" i="25"/>
  <c r="AO42" i="25" s="1"/>
  <c r="AB48" i="25"/>
  <c r="AO48" i="25" s="1"/>
  <c r="AB49" i="25"/>
  <c r="AO49" i="25" s="1"/>
  <c r="AB50" i="25"/>
  <c r="AO50" i="25" s="1"/>
  <c r="AB4" i="25"/>
  <c r="AO4" i="25" s="1"/>
  <c r="AA5" i="25"/>
  <c r="AA8" i="25"/>
  <c r="AA13" i="25"/>
  <c r="AA14" i="25"/>
  <c r="AA16" i="25"/>
  <c r="AA17" i="25"/>
  <c r="AA18" i="25"/>
  <c r="AA19" i="25"/>
  <c r="AA21" i="25"/>
  <c r="AA22" i="25"/>
  <c r="AA23" i="25"/>
  <c r="AA24" i="25"/>
  <c r="AA25" i="25"/>
  <c r="AA26" i="25"/>
  <c r="AA28" i="25"/>
  <c r="AA30" i="25"/>
  <c r="AA31" i="25"/>
  <c r="AA34" i="25"/>
  <c r="AA36" i="25"/>
  <c r="AA37" i="25"/>
  <c r="AA38" i="25"/>
  <c r="AA39" i="25"/>
  <c r="AA41" i="25"/>
  <c r="AA42" i="25"/>
  <c r="AA48" i="25"/>
  <c r="AA49" i="25"/>
  <c r="AA50" i="25"/>
  <c r="T5" i="25"/>
  <c r="T6" i="25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4" i="25"/>
  <c r="V4" i="2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V37" i="25"/>
  <c r="V38" i="25"/>
  <c r="V39" i="25"/>
  <c r="V40" i="25"/>
  <c r="V41" i="25"/>
  <c r="V42" i="25"/>
  <c r="V43" i="25"/>
  <c r="V44" i="25"/>
  <c r="V45" i="25"/>
  <c r="V46" i="25"/>
  <c r="V47" i="25"/>
  <c r="V48" i="25"/>
  <c r="V49" i="25"/>
  <c r="V50" i="25"/>
  <c r="V51" i="25"/>
  <c r="V52" i="25"/>
  <c r="V53" i="25"/>
  <c r="W6" i="25"/>
  <c r="W8" i="25"/>
  <c r="W13" i="25"/>
  <c r="W14" i="25"/>
  <c r="W15" i="25"/>
  <c r="W16" i="25"/>
  <c r="W19" i="25"/>
  <c r="W20" i="25"/>
  <c r="W21" i="25"/>
  <c r="W22" i="25"/>
  <c r="W26" i="25"/>
  <c r="W27" i="25"/>
  <c r="W28" i="25"/>
  <c r="W29" i="25"/>
  <c r="W30" i="25"/>
  <c r="W33" i="25"/>
  <c r="W34" i="25"/>
  <c r="W35" i="25"/>
  <c r="W38" i="25"/>
  <c r="W39" i="25"/>
  <c r="W40" i="25"/>
  <c r="W41" i="25"/>
  <c r="W42" i="25"/>
  <c r="W43" i="25"/>
  <c r="W44" i="25"/>
  <c r="W45" i="25"/>
  <c r="W50" i="25"/>
  <c r="W52" i="25"/>
  <c r="W53" i="25"/>
  <c r="W4" i="25"/>
  <c r="E19" i="4"/>
  <c r="W47" i="25" s="1"/>
  <c r="E14" i="4"/>
  <c r="E15" i="4"/>
  <c r="E7" i="4"/>
  <c r="W11" i="25" s="1"/>
  <c r="E11" i="4"/>
  <c r="W23" i="25" s="1"/>
  <c r="E12" i="4"/>
  <c r="W24" i="25" s="1"/>
  <c r="E9" i="4"/>
  <c r="W17" i="25" s="1"/>
  <c r="E10" i="4"/>
  <c r="W18" i="25" s="1"/>
  <c r="E8" i="4"/>
  <c r="W12" i="25" s="1"/>
  <c r="E18" i="4"/>
  <c r="W46" i="25" s="1"/>
  <c r="E22" i="4"/>
  <c r="E5" i="4"/>
  <c r="W9" i="25" s="1"/>
  <c r="E21" i="4"/>
  <c r="W49" i="25" s="1"/>
  <c r="E3" i="4"/>
  <c r="E20" i="4"/>
  <c r="W48" i="25" s="1"/>
  <c r="E6" i="4"/>
  <c r="W10" i="25" s="1"/>
  <c r="E17" i="4"/>
  <c r="W37" i="25" s="1"/>
  <c r="E13" i="4"/>
  <c r="W25" i="25" s="1"/>
  <c r="E16" i="4"/>
  <c r="W36" i="25" s="1"/>
  <c r="E4" i="4"/>
  <c r="U48" i="25" l="1"/>
  <c r="U40" i="25"/>
  <c r="U16" i="25"/>
  <c r="U8" i="25"/>
  <c r="U24" i="25"/>
  <c r="X4" i="25"/>
  <c r="Y4" i="25" s="1"/>
  <c r="Z4" i="25" s="1"/>
  <c r="AN4" i="25" s="1"/>
  <c r="U38" i="25"/>
  <c r="U30" i="25"/>
  <c r="U22" i="25"/>
  <c r="U14" i="25"/>
  <c r="U6" i="25"/>
  <c r="U45" i="25"/>
  <c r="U21" i="25"/>
  <c r="U47" i="25"/>
  <c r="U39" i="25"/>
  <c r="U23" i="25"/>
  <c r="U15" i="25"/>
  <c r="U53" i="25"/>
  <c r="U37" i="25"/>
  <c r="U29" i="25"/>
  <c r="U13" i="25"/>
  <c r="U46" i="25"/>
  <c r="U52" i="25"/>
  <c r="U44" i="25"/>
  <c r="U36" i="25"/>
  <c r="U28" i="25"/>
  <c r="U20" i="25"/>
  <c r="U12" i="25"/>
  <c r="U43" i="25"/>
  <c r="U35" i="25"/>
  <c r="U27" i="25"/>
  <c r="U19" i="25"/>
  <c r="U11" i="25"/>
  <c r="U50" i="25"/>
  <c r="U42" i="25"/>
  <c r="U34" i="25"/>
  <c r="U26" i="25"/>
  <c r="U18" i="25"/>
  <c r="U10" i="25"/>
  <c r="U49" i="25"/>
  <c r="U41" i="25"/>
  <c r="U33" i="25"/>
  <c r="U25" i="25"/>
  <c r="U17" i="25"/>
  <c r="U9" i="25"/>
  <c r="U4" i="25"/>
  <c r="AC4" i="25"/>
  <c r="AC17" i="25"/>
  <c r="AC42" i="25"/>
  <c r="AC30" i="25"/>
  <c r="AC39" i="25"/>
  <c r="AC26" i="25"/>
  <c r="AC19" i="25"/>
  <c r="AC41" i="25"/>
  <c r="AC28" i="25"/>
  <c r="AC18" i="25"/>
  <c r="AC38" i="25"/>
  <c r="AC25" i="25"/>
  <c r="AC31" i="25"/>
  <c r="AC50" i="25"/>
  <c r="AC36" i="25"/>
  <c r="AC23" i="25"/>
  <c r="AC49" i="25"/>
  <c r="AC34" i="25"/>
  <c r="AC22" i="25"/>
  <c r="AC14" i="25"/>
  <c r="AC48" i="25"/>
  <c r="AC24" i="25"/>
  <c r="AC16" i="25"/>
  <c r="AC8" i="25"/>
  <c r="AC37" i="25"/>
  <c r="AC21" i="25"/>
  <c r="AC13" i="25"/>
  <c r="AC5" i="25"/>
  <c r="X39" i="25"/>
  <c r="Y39" i="25" s="1"/>
  <c r="Z39" i="25" s="1"/>
  <c r="AN39" i="25" s="1"/>
  <c r="X24" i="25"/>
  <c r="Y24" i="25" s="1"/>
  <c r="Z24" i="25" s="1"/>
  <c r="X37" i="25"/>
  <c r="Y37" i="25" s="1"/>
  <c r="Z37" i="25" s="1"/>
  <c r="G17" i="4" s="1"/>
  <c r="X29" i="25"/>
  <c r="Y29" i="25" s="1"/>
  <c r="Z29" i="25" s="1"/>
  <c r="AN29" i="25" s="1"/>
  <c r="X9" i="25"/>
  <c r="Y9" i="25" s="1"/>
  <c r="Z9" i="25" s="1"/>
  <c r="X8" i="25"/>
  <c r="Y8" i="25" s="1"/>
  <c r="Z8" i="25" s="1"/>
  <c r="AN8" i="25" s="1"/>
  <c r="X25" i="25"/>
  <c r="Y25" i="25" s="1"/>
  <c r="Z25" i="25" s="1"/>
  <c r="G13" i="4" s="1"/>
  <c r="X53" i="25"/>
  <c r="Y53" i="25" s="1"/>
  <c r="Z53" i="25" s="1"/>
  <c r="AN53" i="25" s="1"/>
  <c r="X16" i="25"/>
  <c r="Y16" i="25" s="1"/>
  <c r="Z16" i="25" s="1"/>
  <c r="AN16" i="25" s="1"/>
  <c r="X23" i="25"/>
  <c r="Y23" i="25" s="1"/>
  <c r="Z23" i="25" s="1"/>
  <c r="X43" i="25"/>
  <c r="Y43" i="25" s="1"/>
  <c r="Z43" i="25" s="1"/>
  <c r="AN43" i="25" s="1"/>
  <c r="X17" i="25"/>
  <c r="Y17" i="25" s="1"/>
  <c r="Z17" i="25" s="1"/>
  <c r="G9" i="4" s="1"/>
  <c r="X52" i="25"/>
  <c r="Y52" i="25" s="1"/>
  <c r="Z52" i="25" s="1"/>
  <c r="AN52" i="25" s="1"/>
  <c r="X27" i="25"/>
  <c r="Y27" i="25" s="1"/>
  <c r="Z27" i="25" s="1"/>
  <c r="AN27" i="25" s="1"/>
  <c r="X49" i="25"/>
  <c r="Y49" i="25" s="1"/>
  <c r="Z49" i="25" s="1"/>
  <c r="X19" i="25"/>
  <c r="Y19" i="25" s="1"/>
  <c r="Z19" i="25" s="1"/>
  <c r="AN19" i="25" s="1"/>
  <c r="X50" i="25"/>
  <c r="Y50" i="25" s="1"/>
  <c r="Z50" i="25" s="1"/>
  <c r="AN50" i="25" s="1"/>
  <c r="X26" i="25"/>
  <c r="Y26" i="25" s="1"/>
  <c r="Z26" i="25" s="1"/>
  <c r="AN26" i="25" s="1"/>
  <c r="X41" i="25"/>
  <c r="Y41" i="25" s="1"/>
  <c r="Z41" i="25" s="1"/>
  <c r="AN41" i="25" s="1"/>
  <c r="X33" i="25"/>
  <c r="Y33" i="25" s="1"/>
  <c r="Z33" i="25" s="1"/>
  <c r="AN33" i="25" s="1"/>
  <c r="X35" i="25"/>
  <c r="Y35" i="25" s="1"/>
  <c r="Z35" i="25" s="1"/>
  <c r="AN35" i="25" s="1"/>
  <c r="X48" i="25"/>
  <c r="X40" i="25"/>
  <c r="Y40" i="25" s="1"/>
  <c r="Z40" i="25" s="1"/>
  <c r="AN40" i="25" s="1"/>
  <c r="X46" i="25"/>
  <c r="Y46" i="25" s="1"/>
  <c r="Z46" i="25" s="1"/>
  <c r="X38" i="25"/>
  <c r="Y38" i="25" s="1"/>
  <c r="Z38" i="25" s="1"/>
  <c r="AN38" i="25" s="1"/>
  <c r="X14" i="25"/>
  <c r="Y14" i="25" s="1"/>
  <c r="Z14" i="25" s="1"/>
  <c r="AN14" i="25" s="1"/>
  <c r="X45" i="25"/>
  <c r="Y45" i="25" s="1"/>
  <c r="Z45" i="25" s="1"/>
  <c r="AN45" i="25" s="1"/>
  <c r="X21" i="25"/>
  <c r="Y21" i="25" s="1"/>
  <c r="Z21" i="25" s="1"/>
  <c r="AN21" i="25" s="1"/>
  <c r="X34" i="25"/>
  <c r="Y34" i="25" s="1"/>
  <c r="Z34" i="25" s="1"/>
  <c r="AN34" i="25" s="1"/>
  <c r="X18" i="25"/>
  <c r="X10" i="25"/>
  <c r="X11" i="25"/>
  <c r="X42" i="25"/>
  <c r="Y42" i="25" s="1"/>
  <c r="Z42" i="25" s="1"/>
  <c r="AN42" i="25" s="1"/>
  <c r="X13" i="25"/>
  <c r="Y13" i="25" s="1"/>
  <c r="Z13" i="25" s="1"/>
  <c r="AN13" i="25" s="1"/>
  <c r="X47" i="25"/>
  <c r="X15" i="25"/>
  <c r="Y15" i="25" s="1"/>
  <c r="Z15" i="25" s="1"/>
  <c r="AN15" i="25" s="1"/>
  <c r="X30" i="25"/>
  <c r="Y30" i="25" s="1"/>
  <c r="Z30" i="25" s="1"/>
  <c r="AN30" i="25" s="1"/>
  <c r="X22" i="25"/>
  <c r="Y22" i="25" s="1"/>
  <c r="Z22" i="25" s="1"/>
  <c r="AN22" i="25" s="1"/>
  <c r="X6" i="25"/>
  <c r="Y6" i="25" s="1"/>
  <c r="Z6" i="25" s="1"/>
  <c r="AN6" i="25" s="1"/>
  <c r="X44" i="25"/>
  <c r="Y44" i="25" s="1"/>
  <c r="Z44" i="25" s="1"/>
  <c r="AN44" i="25" s="1"/>
  <c r="X36" i="25"/>
  <c r="X28" i="25"/>
  <c r="Y28" i="25" s="1"/>
  <c r="Z28" i="25" s="1"/>
  <c r="AN28" i="25" s="1"/>
  <c r="X20" i="25"/>
  <c r="Y20" i="25" s="1"/>
  <c r="Z20" i="25" s="1"/>
  <c r="AN20" i="25" s="1"/>
  <c r="X12" i="25"/>
  <c r="W31" i="25"/>
  <c r="X31" i="25" s="1"/>
  <c r="W7" i="25"/>
  <c r="X7" i="25" s="1"/>
  <c r="W32" i="25"/>
  <c r="X32" i="25" s="1"/>
  <c r="W5" i="25"/>
  <c r="X5" i="25" s="1"/>
  <c r="W51" i="25"/>
  <c r="X51" i="25" s="1"/>
  <c r="D6" i="25"/>
  <c r="C7" i="25"/>
  <c r="B8" i="25"/>
  <c r="L9" i="25"/>
  <c r="K10" i="25"/>
  <c r="S11" i="25"/>
  <c r="F12" i="25"/>
  <c r="D14" i="25"/>
  <c r="C15" i="25"/>
  <c r="B16" i="25"/>
  <c r="L17" i="25"/>
  <c r="K18" i="25"/>
  <c r="F20" i="25"/>
  <c r="S21" i="25"/>
  <c r="D22" i="25"/>
  <c r="C23" i="25"/>
  <c r="B24" i="25"/>
  <c r="L25" i="25"/>
  <c r="K26" i="25"/>
  <c r="S27" i="25"/>
  <c r="F28" i="25"/>
  <c r="S29" i="25"/>
  <c r="D30" i="25"/>
  <c r="C31" i="25"/>
  <c r="B32" i="25"/>
  <c r="L33" i="25"/>
  <c r="K34" i="25"/>
  <c r="F36" i="25"/>
  <c r="D38" i="25"/>
  <c r="C39" i="25"/>
  <c r="B40" i="25"/>
  <c r="L41" i="25"/>
  <c r="K42" i="25"/>
  <c r="F44" i="25"/>
  <c r="D46" i="25"/>
  <c r="C47" i="25"/>
  <c r="B48" i="25"/>
  <c r="L49" i="25"/>
  <c r="K50" i="25"/>
  <c r="F52" i="25"/>
  <c r="F4" i="25"/>
  <c r="G5" i="4" l="1"/>
  <c r="G12" i="4"/>
  <c r="G11" i="4"/>
  <c r="G21" i="4"/>
  <c r="AN46" i="25"/>
  <c r="G18" i="4"/>
  <c r="AN23" i="25"/>
  <c r="AN24" i="25"/>
  <c r="AN25" i="25"/>
  <c r="AN17" i="25"/>
  <c r="AN9" i="25"/>
  <c r="U7" i="25"/>
  <c r="AN37" i="25"/>
  <c r="U51" i="25"/>
  <c r="U32" i="25"/>
  <c r="U5" i="25"/>
  <c r="U31" i="25"/>
  <c r="AN49" i="25"/>
  <c r="F17" i="4"/>
  <c r="H17" i="4" s="1"/>
  <c r="F12" i="4"/>
  <c r="H12" i="4" s="1"/>
  <c r="F5" i="4"/>
  <c r="H5" i="4" s="1"/>
  <c r="F13" i="4"/>
  <c r="H13" i="4" s="1"/>
  <c r="F9" i="4"/>
  <c r="H9" i="4" s="1"/>
  <c r="F11" i="4"/>
  <c r="H11" i="4" s="1"/>
  <c r="F18" i="4"/>
  <c r="H18" i="4" s="1"/>
  <c r="F21" i="4"/>
  <c r="H21" i="4" s="1"/>
  <c r="Y48" i="25"/>
  <c r="Z48" i="25" s="1"/>
  <c r="Y7" i="25"/>
  <c r="Z7" i="25" s="1"/>
  <c r="G4" i="4" s="1"/>
  <c r="Y10" i="25"/>
  <c r="Z10" i="25" s="1"/>
  <c r="Y31" i="25"/>
  <c r="Z31" i="25" s="1"/>
  <c r="Y47" i="25"/>
  <c r="Z47" i="25" s="1"/>
  <c r="Y18" i="25"/>
  <c r="Z18" i="25" s="1"/>
  <c r="Y36" i="25"/>
  <c r="Z36" i="25" s="1"/>
  <c r="Y12" i="25"/>
  <c r="Z12" i="25" s="1"/>
  <c r="Y11" i="25"/>
  <c r="Z11" i="25" s="1"/>
  <c r="Y51" i="25"/>
  <c r="Z51" i="25" s="1"/>
  <c r="Y32" i="25"/>
  <c r="Z32" i="25" s="1"/>
  <c r="Y5" i="25"/>
  <c r="S31" i="25"/>
  <c r="Q42" i="25"/>
  <c r="Q20" i="25"/>
  <c r="Q44" i="25"/>
  <c r="Q23" i="25"/>
  <c r="P17" i="25"/>
  <c r="Q39" i="25"/>
  <c r="Q18" i="25"/>
  <c r="S26" i="25"/>
  <c r="Q36" i="25"/>
  <c r="Q15" i="25"/>
  <c r="S23" i="25"/>
  <c r="Q34" i="25"/>
  <c r="Q12" i="25"/>
  <c r="Q52" i="25"/>
  <c r="Q31" i="25"/>
  <c r="Q10" i="25"/>
  <c r="Q50" i="25"/>
  <c r="Q28" i="25"/>
  <c r="Q7" i="25"/>
  <c r="Q47" i="25"/>
  <c r="Q26" i="25"/>
  <c r="S39" i="25"/>
  <c r="S7" i="25"/>
  <c r="R40" i="25"/>
  <c r="R8" i="25"/>
  <c r="Q4" i="25"/>
  <c r="Q46" i="25"/>
  <c r="Q38" i="25"/>
  <c r="Q30" i="25"/>
  <c r="Q22" i="25"/>
  <c r="Q14" i="25"/>
  <c r="Q6" i="25"/>
  <c r="R47" i="25"/>
  <c r="R39" i="25"/>
  <c r="R23" i="25"/>
  <c r="S49" i="25"/>
  <c r="S25" i="25"/>
  <c r="S17" i="25"/>
  <c r="S9" i="25"/>
  <c r="R32" i="25"/>
  <c r="R16" i="25"/>
  <c r="Q53" i="25"/>
  <c r="Q45" i="25"/>
  <c r="Q37" i="25"/>
  <c r="Q29" i="25"/>
  <c r="Q21" i="25"/>
  <c r="Q13" i="25"/>
  <c r="Q5" i="25"/>
  <c r="P12" i="25"/>
  <c r="R38" i="25"/>
  <c r="R22" i="25"/>
  <c r="R14" i="25"/>
  <c r="R6" i="25"/>
  <c r="R29" i="25"/>
  <c r="Q51" i="25"/>
  <c r="Q43" i="25"/>
  <c r="Q35" i="25"/>
  <c r="Q27" i="25"/>
  <c r="Q19" i="25"/>
  <c r="Q11" i="25"/>
  <c r="R52" i="25"/>
  <c r="R44" i="25"/>
  <c r="R36" i="25"/>
  <c r="S4" i="25"/>
  <c r="S46" i="25"/>
  <c r="S38" i="25"/>
  <c r="S30" i="25"/>
  <c r="S14" i="25"/>
  <c r="R35" i="25"/>
  <c r="R11" i="25"/>
  <c r="Q49" i="25"/>
  <c r="Q41" i="25"/>
  <c r="Q33" i="25"/>
  <c r="Q25" i="25"/>
  <c r="Q17" i="25"/>
  <c r="Q9" i="25"/>
  <c r="R42" i="25"/>
  <c r="R34" i="25"/>
  <c r="S44" i="25"/>
  <c r="S28" i="25"/>
  <c r="Q48" i="25"/>
  <c r="Q40" i="25"/>
  <c r="Q32" i="25"/>
  <c r="Q24" i="25"/>
  <c r="Q16" i="25"/>
  <c r="Q8" i="25"/>
  <c r="P15" i="25"/>
  <c r="AI15" i="25" s="1"/>
  <c r="J36" i="25"/>
  <c r="J31" i="25"/>
  <c r="K27" i="25"/>
  <c r="K22" i="25"/>
  <c r="D18" i="25"/>
  <c r="M12" i="25"/>
  <c r="J7" i="25"/>
  <c r="J52" i="25"/>
  <c r="L53" i="25"/>
  <c r="C51" i="25"/>
  <c r="J47" i="25"/>
  <c r="K43" i="25"/>
  <c r="K38" i="25"/>
  <c r="L34" i="25"/>
  <c r="F29" i="25"/>
  <c r="F24" i="25"/>
  <c r="B20" i="25"/>
  <c r="D15" i="25"/>
  <c r="L10" i="25"/>
  <c r="F5" i="25"/>
  <c r="F53" i="25"/>
  <c r="L50" i="25"/>
  <c r="D47" i="25"/>
  <c r="C43" i="25"/>
  <c r="L37" i="25"/>
  <c r="D34" i="25"/>
  <c r="M28" i="25"/>
  <c r="C24" i="25"/>
  <c r="K19" i="25"/>
  <c r="K14" i="25"/>
  <c r="D10" i="25"/>
  <c r="D53" i="25"/>
  <c r="J50" i="25"/>
  <c r="K46" i="25"/>
  <c r="L42" i="25"/>
  <c r="F37" i="25"/>
  <c r="F32" i="25"/>
  <c r="J28" i="25"/>
  <c r="J23" i="25"/>
  <c r="C19" i="25"/>
  <c r="L13" i="25"/>
  <c r="F8" i="25"/>
  <c r="M52" i="25"/>
  <c r="D50" i="25"/>
  <c r="L45" i="25"/>
  <c r="D42" i="25"/>
  <c r="M36" i="25"/>
  <c r="C32" i="25"/>
  <c r="B28" i="25"/>
  <c r="D23" i="25"/>
  <c r="L18" i="25"/>
  <c r="F13" i="25"/>
  <c r="C8" i="25"/>
  <c r="F45" i="25"/>
  <c r="B52" i="25"/>
  <c r="F48" i="25"/>
  <c r="M44" i="25"/>
  <c r="C40" i="25"/>
  <c r="B36" i="25"/>
  <c r="D31" i="25"/>
  <c r="C27" i="25"/>
  <c r="L21" i="25"/>
  <c r="F16" i="25"/>
  <c r="B12" i="25"/>
  <c r="D7" i="25"/>
  <c r="L48" i="25"/>
  <c r="F40" i="25"/>
  <c r="K51" i="25"/>
  <c r="C48" i="25"/>
  <c r="J44" i="25"/>
  <c r="J39" i="25"/>
  <c r="K35" i="25"/>
  <c r="K30" i="25"/>
  <c r="L26" i="25"/>
  <c r="F21" i="25"/>
  <c r="C16" i="25"/>
  <c r="K11" i="25"/>
  <c r="K6" i="25"/>
  <c r="F51" i="25"/>
  <c r="M47" i="25"/>
  <c r="B44" i="25"/>
  <c r="D39" i="25"/>
  <c r="C35" i="25"/>
  <c r="L29" i="25"/>
  <c r="D26" i="25"/>
  <c r="M20" i="25"/>
  <c r="J15" i="25"/>
  <c r="C11" i="25"/>
  <c r="L5" i="25"/>
  <c r="E49" i="25"/>
  <c r="E25" i="25"/>
  <c r="M49" i="25"/>
  <c r="B49" i="25"/>
  <c r="B41" i="25"/>
  <c r="B25" i="25"/>
  <c r="M4" i="25"/>
  <c r="B47" i="25"/>
  <c r="C46" i="25"/>
  <c r="D45" i="25"/>
  <c r="E44" i="25"/>
  <c r="F43" i="25"/>
  <c r="J42" i="25"/>
  <c r="K41" i="25"/>
  <c r="L40" i="25"/>
  <c r="M39" i="25"/>
  <c r="B39" i="25"/>
  <c r="C38" i="25"/>
  <c r="D37" i="25"/>
  <c r="E36" i="25"/>
  <c r="F35" i="25"/>
  <c r="J34" i="25"/>
  <c r="K33" i="25"/>
  <c r="L32" i="25"/>
  <c r="M31" i="25"/>
  <c r="B31" i="25"/>
  <c r="C30" i="25"/>
  <c r="D29" i="25"/>
  <c r="E28" i="25"/>
  <c r="F27" i="25"/>
  <c r="J26" i="25"/>
  <c r="K25" i="25"/>
  <c r="L24" i="25"/>
  <c r="M23" i="25"/>
  <c r="B23" i="25"/>
  <c r="C22" i="25"/>
  <c r="D21" i="25"/>
  <c r="E20" i="25"/>
  <c r="F19" i="25"/>
  <c r="J18" i="25"/>
  <c r="K17" i="25"/>
  <c r="L16" i="25"/>
  <c r="M15" i="25"/>
  <c r="B15" i="25"/>
  <c r="C14" i="25"/>
  <c r="D13" i="25"/>
  <c r="E12" i="25"/>
  <c r="F11" i="25"/>
  <c r="J10" i="25"/>
  <c r="K9" i="25"/>
  <c r="L8" i="25"/>
  <c r="M7" i="25"/>
  <c r="B7" i="25"/>
  <c r="C6" i="25"/>
  <c r="D5" i="25"/>
  <c r="E33" i="25"/>
  <c r="E46" i="25"/>
  <c r="E38" i="25"/>
  <c r="E30" i="25"/>
  <c r="M25" i="25"/>
  <c r="E52" i="25"/>
  <c r="L4" i="25"/>
  <c r="C53" i="25"/>
  <c r="D52" i="25"/>
  <c r="E51" i="25"/>
  <c r="F50" i="25"/>
  <c r="J49" i="25"/>
  <c r="K48" i="25"/>
  <c r="L47" i="25"/>
  <c r="M46" i="25"/>
  <c r="B46" i="25"/>
  <c r="C45" i="25"/>
  <c r="D44" i="25"/>
  <c r="E43" i="25"/>
  <c r="F42" i="25"/>
  <c r="J41" i="25"/>
  <c r="K40" i="25"/>
  <c r="L39" i="25"/>
  <c r="M38" i="25"/>
  <c r="B38" i="25"/>
  <c r="C37" i="25"/>
  <c r="D36" i="25"/>
  <c r="E35" i="25"/>
  <c r="F34" i="25"/>
  <c r="J33" i="25"/>
  <c r="K32" i="25"/>
  <c r="L31" i="25"/>
  <c r="M30" i="25"/>
  <c r="B30" i="25"/>
  <c r="C29" i="25"/>
  <c r="D28" i="25"/>
  <c r="E27" i="25"/>
  <c r="F26" i="25"/>
  <c r="J25" i="25"/>
  <c r="K24" i="25"/>
  <c r="L23" i="25"/>
  <c r="M22" i="25"/>
  <c r="B22" i="25"/>
  <c r="C21" i="25"/>
  <c r="D20" i="25"/>
  <c r="E19" i="25"/>
  <c r="F18" i="25"/>
  <c r="J17" i="25"/>
  <c r="K16" i="25"/>
  <c r="L15" i="25"/>
  <c r="M14" i="25"/>
  <c r="B14" i="25"/>
  <c r="C13" i="25"/>
  <c r="D12" i="25"/>
  <c r="E11" i="25"/>
  <c r="F10" i="25"/>
  <c r="J9" i="25"/>
  <c r="K8" i="25"/>
  <c r="L7" i="25"/>
  <c r="M6" i="25"/>
  <c r="B6" i="25"/>
  <c r="C5" i="25"/>
  <c r="E17" i="25"/>
  <c r="E9" i="25"/>
  <c r="K49" i="25"/>
  <c r="M53" i="25"/>
  <c r="B53" i="25"/>
  <c r="C52" i="25"/>
  <c r="D51" i="25"/>
  <c r="E50" i="25"/>
  <c r="F49" i="25"/>
  <c r="J48" i="25"/>
  <c r="K47" i="25"/>
  <c r="L46" i="25"/>
  <c r="M45" i="25"/>
  <c r="B45" i="25"/>
  <c r="C44" i="25"/>
  <c r="D43" i="25"/>
  <c r="E42" i="25"/>
  <c r="F41" i="25"/>
  <c r="J40" i="25"/>
  <c r="K39" i="25"/>
  <c r="L38" i="25"/>
  <c r="M37" i="25"/>
  <c r="B37" i="25"/>
  <c r="C36" i="25"/>
  <c r="D35" i="25"/>
  <c r="E34" i="25"/>
  <c r="F33" i="25"/>
  <c r="J32" i="25"/>
  <c r="K31" i="25"/>
  <c r="L30" i="25"/>
  <c r="M29" i="25"/>
  <c r="B29" i="25"/>
  <c r="C28" i="25"/>
  <c r="D27" i="25"/>
  <c r="E26" i="25"/>
  <c r="F25" i="25"/>
  <c r="J24" i="25"/>
  <c r="K23" i="25"/>
  <c r="L22" i="25"/>
  <c r="M21" i="25"/>
  <c r="B21" i="25"/>
  <c r="C20" i="25"/>
  <c r="D19" i="25"/>
  <c r="E18" i="25"/>
  <c r="F17" i="25"/>
  <c r="J16" i="25"/>
  <c r="K15" i="25"/>
  <c r="L14" i="25"/>
  <c r="M13" i="25"/>
  <c r="B13" i="25"/>
  <c r="C12" i="25"/>
  <c r="D11" i="25"/>
  <c r="E10" i="25"/>
  <c r="F9" i="25"/>
  <c r="J8" i="25"/>
  <c r="K7" i="25"/>
  <c r="L6" i="25"/>
  <c r="M5" i="25"/>
  <c r="B5" i="25"/>
  <c r="K53" i="25"/>
  <c r="L52" i="25"/>
  <c r="M51" i="25"/>
  <c r="B51" i="25"/>
  <c r="C50" i="25"/>
  <c r="D49" i="25"/>
  <c r="E48" i="25"/>
  <c r="F47" i="25"/>
  <c r="J46" i="25"/>
  <c r="K45" i="25"/>
  <c r="L44" i="25"/>
  <c r="M43" i="25"/>
  <c r="B43" i="25"/>
  <c r="C42" i="25"/>
  <c r="D41" i="25"/>
  <c r="E40" i="25"/>
  <c r="F39" i="25"/>
  <c r="J38" i="25"/>
  <c r="K37" i="25"/>
  <c r="L36" i="25"/>
  <c r="M35" i="25"/>
  <c r="B35" i="25"/>
  <c r="C34" i="25"/>
  <c r="D33" i="25"/>
  <c r="E32" i="25"/>
  <c r="F31" i="25"/>
  <c r="J30" i="25"/>
  <c r="K29" i="25"/>
  <c r="L28" i="25"/>
  <c r="M27" i="25"/>
  <c r="B27" i="25"/>
  <c r="C26" i="25"/>
  <c r="D25" i="25"/>
  <c r="E24" i="25"/>
  <c r="F23" i="25"/>
  <c r="J22" i="25"/>
  <c r="K21" i="25"/>
  <c r="L20" i="25"/>
  <c r="M19" i="25"/>
  <c r="B19" i="25"/>
  <c r="C18" i="25"/>
  <c r="D17" i="25"/>
  <c r="E16" i="25"/>
  <c r="F15" i="25"/>
  <c r="J14" i="25"/>
  <c r="K13" i="25"/>
  <c r="L12" i="25"/>
  <c r="M11" i="25"/>
  <c r="B11" i="25"/>
  <c r="C10" i="25"/>
  <c r="D9" i="25"/>
  <c r="E8" i="25"/>
  <c r="F7" i="25"/>
  <c r="J6" i="25"/>
  <c r="K5" i="25"/>
  <c r="J53" i="25"/>
  <c r="K52" i="25"/>
  <c r="L51" i="25"/>
  <c r="M50" i="25"/>
  <c r="B50" i="25"/>
  <c r="C49" i="25"/>
  <c r="D48" i="25"/>
  <c r="E47" i="25"/>
  <c r="F46" i="25"/>
  <c r="J45" i="25"/>
  <c r="K44" i="25"/>
  <c r="L43" i="25"/>
  <c r="M42" i="25"/>
  <c r="B42" i="25"/>
  <c r="C41" i="25"/>
  <c r="D40" i="25"/>
  <c r="E39" i="25"/>
  <c r="F38" i="25"/>
  <c r="J37" i="25"/>
  <c r="K36" i="25"/>
  <c r="L35" i="25"/>
  <c r="M34" i="25"/>
  <c r="B34" i="25"/>
  <c r="C33" i="25"/>
  <c r="D32" i="25"/>
  <c r="E31" i="25"/>
  <c r="F30" i="25"/>
  <c r="J29" i="25"/>
  <c r="AD29" i="25" s="1"/>
  <c r="K28" i="25"/>
  <c r="L27" i="25"/>
  <c r="M26" i="25"/>
  <c r="B26" i="25"/>
  <c r="C25" i="25"/>
  <c r="D24" i="25"/>
  <c r="E23" i="25"/>
  <c r="F22" i="25"/>
  <c r="J21" i="25"/>
  <c r="AD21" i="25" s="1"/>
  <c r="K20" i="25"/>
  <c r="L19" i="25"/>
  <c r="M18" i="25"/>
  <c r="B18" i="25"/>
  <c r="C17" i="25"/>
  <c r="D16" i="25"/>
  <c r="E15" i="25"/>
  <c r="F14" i="25"/>
  <c r="J13" i="25"/>
  <c r="K12" i="25"/>
  <c r="L11" i="25"/>
  <c r="M10" i="25"/>
  <c r="B10" i="25"/>
  <c r="C9" i="25"/>
  <c r="D8" i="25"/>
  <c r="E7" i="25"/>
  <c r="F6" i="25"/>
  <c r="J5" i="25"/>
  <c r="E41" i="25"/>
  <c r="M41" i="25"/>
  <c r="M33" i="25"/>
  <c r="B33" i="25"/>
  <c r="E22" i="25"/>
  <c r="J20" i="25"/>
  <c r="M17" i="25"/>
  <c r="B17" i="25"/>
  <c r="E14" i="25"/>
  <c r="J12" i="25"/>
  <c r="M9" i="25"/>
  <c r="B9" i="25"/>
  <c r="E6" i="25"/>
  <c r="E53" i="25"/>
  <c r="J51" i="25"/>
  <c r="M48" i="25"/>
  <c r="E45" i="25"/>
  <c r="J43" i="25"/>
  <c r="M40" i="25"/>
  <c r="E37" i="25"/>
  <c r="J35" i="25"/>
  <c r="M32" i="25"/>
  <c r="E29" i="25"/>
  <c r="J27" i="25"/>
  <c r="AD27" i="25" s="1"/>
  <c r="M24" i="25"/>
  <c r="E21" i="25"/>
  <c r="J19" i="25"/>
  <c r="M16" i="25"/>
  <c r="E13" i="25"/>
  <c r="J11" i="25"/>
  <c r="AD11" i="25" s="1"/>
  <c r="M8" i="25"/>
  <c r="E5" i="25"/>
  <c r="B4" i="25"/>
  <c r="E4" i="25"/>
  <c r="D4" i="25"/>
  <c r="C4" i="25"/>
  <c r="K4" i="25"/>
  <c r="J4" i="25"/>
  <c r="O12" i="24"/>
  <c r="O13" i="24"/>
  <c r="O14" i="24"/>
  <c r="O15" i="24"/>
  <c r="O37" i="24"/>
  <c r="O18" i="24"/>
  <c r="O27" i="24"/>
  <c r="O5" i="24"/>
  <c r="O24" i="24"/>
  <c r="O28" i="24"/>
  <c r="O3" i="24"/>
  <c r="O21" i="24"/>
  <c r="O6" i="24"/>
  <c r="O46" i="24"/>
  <c r="O29" i="24"/>
  <c r="O42" i="24"/>
  <c r="O19" i="24"/>
  <c r="O38" i="24"/>
  <c r="O43" i="24"/>
  <c r="O34" i="24"/>
  <c r="O47" i="24"/>
  <c r="O39" i="24"/>
  <c r="O30" i="24"/>
  <c r="O31" i="24"/>
  <c r="O7" i="24"/>
  <c r="O48" i="24"/>
  <c r="O49" i="24"/>
  <c r="O8" i="24"/>
  <c r="O25" i="24"/>
  <c r="O40" i="24"/>
  <c r="O50" i="24"/>
  <c r="O51" i="24"/>
  <c r="O20" i="24"/>
  <c r="O9" i="24"/>
  <c r="O16" i="24"/>
  <c r="O10" i="24"/>
  <c r="O11" i="24"/>
  <c r="O32" i="24"/>
  <c r="O52" i="24"/>
  <c r="O44" i="24"/>
  <c r="O4" i="24"/>
  <c r="O22" i="24"/>
  <c r="O17" i="24"/>
  <c r="O26" i="24"/>
  <c r="O45" i="24"/>
  <c r="O35" i="24"/>
  <c r="O33" i="24"/>
  <c r="O23" i="24"/>
  <c r="O41" i="24"/>
  <c r="O36" i="24"/>
  <c r="AV18" i="21"/>
  <c r="AV16" i="21"/>
  <c r="AV13" i="21"/>
  <c r="AU18" i="20"/>
  <c r="AU16" i="20"/>
  <c r="AU13" i="20"/>
  <c r="AV41" i="19"/>
  <c r="AV18" i="19"/>
  <c r="AV16" i="19"/>
  <c r="AV13" i="19"/>
  <c r="AV47" i="15"/>
  <c r="AV18" i="15"/>
  <c r="AV16" i="15"/>
  <c r="AV13" i="15"/>
  <c r="AU18" i="16"/>
  <c r="AU16" i="16"/>
  <c r="AU13" i="16"/>
  <c r="AU9" i="16"/>
  <c r="AV18" i="14"/>
  <c r="AV16" i="14"/>
  <c r="AV13" i="14"/>
  <c r="AU53" i="13"/>
  <c r="AU18" i="13"/>
  <c r="AU16" i="13"/>
  <c r="AU13" i="13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K93" i="10"/>
  <c r="K3" i="10"/>
  <c r="AU5" i="20" s="1"/>
  <c r="K107" i="10"/>
  <c r="K114" i="10"/>
  <c r="K47" i="10"/>
  <c r="K29" i="10"/>
  <c r="K51" i="10"/>
  <c r="K64" i="10"/>
  <c r="K101" i="10"/>
  <c r="K46" i="10"/>
  <c r="AV27" i="14" s="1"/>
  <c r="K19" i="10"/>
  <c r="AV15" i="19" s="1"/>
  <c r="K116" i="10"/>
  <c r="P49" i="25" s="1"/>
  <c r="K112" i="10"/>
  <c r="AU49" i="16" s="1"/>
  <c r="K67" i="10"/>
  <c r="K118" i="10"/>
  <c r="AV51" i="21" s="1"/>
  <c r="K110" i="10"/>
  <c r="K97" i="10"/>
  <c r="K104" i="10"/>
  <c r="K87" i="10"/>
  <c r="K30" i="10"/>
  <c r="K48" i="10"/>
  <c r="AV28" i="21" s="1"/>
  <c r="K78" i="10"/>
  <c r="K5" i="10"/>
  <c r="AU6" i="20" s="1"/>
  <c r="K89" i="10"/>
  <c r="K13" i="10"/>
  <c r="K23" i="10"/>
  <c r="K75" i="10"/>
  <c r="P35" i="25" s="1"/>
  <c r="K81" i="10"/>
  <c r="AV39" i="19" s="1"/>
  <c r="K44" i="10"/>
  <c r="P24" i="25" s="1"/>
  <c r="K111" i="10"/>
  <c r="K103" i="10"/>
  <c r="K99" i="10"/>
  <c r="K70" i="10"/>
  <c r="K77" i="10"/>
  <c r="AU37" i="20" s="1"/>
  <c r="K58" i="10"/>
  <c r="K80" i="10"/>
  <c r="AU38" i="20" s="1"/>
  <c r="K12" i="10"/>
  <c r="AV11" i="21" s="1"/>
  <c r="K79" i="10"/>
  <c r="K74" i="10"/>
  <c r="K108" i="10"/>
  <c r="K117" i="10"/>
  <c r="K6" i="10"/>
  <c r="AV7" i="19" s="1"/>
  <c r="K50" i="10"/>
  <c r="K69" i="10"/>
  <c r="K63" i="10"/>
  <c r="K83" i="10"/>
  <c r="K71" i="10"/>
  <c r="K18" i="10"/>
  <c r="K91" i="10"/>
  <c r="K39" i="10"/>
  <c r="P22" i="25" s="1"/>
  <c r="K62" i="10"/>
  <c r="K36" i="10"/>
  <c r="K57" i="10"/>
  <c r="P32" i="25" s="1"/>
  <c r="K49" i="10"/>
  <c r="K66" i="10"/>
  <c r="K72" i="10"/>
  <c r="K61" i="10"/>
  <c r="K24" i="10"/>
  <c r="K16" i="10"/>
  <c r="K22" i="10"/>
  <c r="AV19" i="21" s="1"/>
  <c r="K82" i="10"/>
  <c r="AV40" i="19" s="1"/>
  <c r="K43" i="10"/>
  <c r="K31" i="10"/>
  <c r="K14" i="10"/>
  <c r="K40" i="10"/>
  <c r="K38" i="10"/>
  <c r="K120" i="10"/>
  <c r="AU53" i="20" s="1"/>
  <c r="K98" i="10"/>
  <c r="K21" i="10"/>
  <c r="AV17" i="19" s="1"/>
  <c r="K65" i="10"/>
  <c r="K4" i="10"/>
  <c r="K122" i="10"/>
  <c r="AU54" i="20" s="1"/>
  <c r="K33" i="10"/>
  <c r="P20" i="25" s="1"/>
  <c r="K60" i="10"/>
  <c r="P33" i="25" s="1"/>
  <c r="K121" i="10"/>
  <c r="K41" i="10"/>
  <c r="K45" i="10"/>
  <c r="P25" i="25" s="1"/>
  <c r="K106" i="10"/>
  <c r="K53" i="10"/>
  <c r="K11" i="10"/>
  <c r="P9" i="25" s="1"/>
  <c r="K56" i="10"/>
  <c r="K35" i="10"/>
  <c r="K73" i="10"/>
  <c r="K84" i="10"/>
  <c r="P40" i="25" s="1"/>
  <c r="K88" i="10"/>
  <c r="P41" i="25" s="1"/>
  <c r="K27" i="10"/>
  <c r="K32" i="10"/>
  <c r="K119" i="10"/>
  <c r="AV52" i="21" s="1"/>
  <c r="K92" i="10"/>
  <c r="AV43" i="21" s="1"/>
  <c r="K76" i="10"/>
  <c r="K37" i="10"/>
  <c r="K113" i="10"/>
  <c r="K34" i="10"/>
  <c r="AU22" i="20" s="1"/>
  <c r="K94" i="10"/>
  <c r="K28" i="10"/>
  <c r="K20" i="10"/>
  <c r="K26" i="10"/>
  <c r="K55" i="10"/>
  <c r="P31" i="25" s="1"/>
  <c r="AI31" i="25" s="1"/>
  <c r="K102" i="10"/>
  <c r="K109" i="10"/>
  <c r="AV48" i="19" s="1"/>
  <c r="K115" i="10"/>
  <c r="AV49" i="19" s="1"/>
  <c r="K10" i="10"/>
  <c r="K8" i="10"/>
  <c r="K54" i="10"/>
  <c r="K17" i="10"/>
  <c r="AU14" i="20" s="1"/>
  <c r="K9" i="10"/>
  <c r="P8" i="25" s="1"/>
  <c r="K105" i="10"/>
  <c r="AV47" i="19" s="1"/>
  <c r="K100" i="10"/>
  <c r="AU45" i="20" s="1"/>
  <c r="K96" i="10"/>
  <c r="AV44" i="21" s="1"/>
  <c r="K86" i="10"/>
  <c r="K90" i="10"/>
  <c r="K59" i="10"/>
  <c r="K25" i="10"/>
  <c r="K95" i="10"/>
  <c r="K15" i="10"/>
  <c r="K42" i="10"/>
  <c r="AV24" i="19" s="1"/>
  <c r="K7" i="10"/>
  <c r="AV8" i="19" s="1"/>
  <c r="K85" i="10"/>
  <c r="K52" i="10"/>
  <c r="AU30" i="20" s="1"/>
  <c r="K68" i="10"/>
  <c r="P34" i="25" s="1"/>
  <c r="P2" i="21"/>
  <c r="F3" i="21" s="1"/>
  <c r="P2" i="20"/>
  <c r="P2" i="19"/>
  <c r="AT54" i="21"/>
  <c r="E54" i="21"/>
  <c r="D54" i="21"/>
  <c r="C54" i="21"/>
  <c r="B54" i="21"/>
  <c r="AT53" i="21"/>
  <c r="E53" i="21"/>
  <c r="D53" i="21"/>
  <c r="C53" i="21"/>
  <c r="B53" i="21"/>
  <c r="AT52" i="21"/>
  <c r="E52" i="21"/>
  <c r="D52" i="21"/>
  <c r="C52" i="21"/>
  <c r="B52" i="21"/>
  <c r="AT51" i="21"/>
  <c r="E51" i="21"/>
  <c r="D51" i="21"/>
  <c r="C51" i="21"/>
  <c r="B51" i="21"/>
  <c r="AT50" i="21"/>
  <c r="E50" i="21"/>
  <c r="D50" i="21"/>
  <c r="C50" i="21"/>
  <c r="B50" i="21"/>
  <c r="AT49" i="21"/>
  <c r="E49" i="21"/>
  <c r="D49" i="21"/>
  <c r="C49" i="21"/>
  <c r="B49" i="21"/>
  <c r="AT48" i="21"/>
  <c r="E48" i="21"/>
  <c r="D48" i="21"/>
  <c r="C48" i="21"/>
  <c r="B48" i="21"/>
  <c r="AT47" i="21"/>
  <c r="E47" i="21"/>
  <c r="D47" i="21"/>
  <c r="C47" i="21"/>
  <c r="B47" i="21"/>
  <c r="AT46" i="21"/>
  <c r="E46" i="21"/>
  <c r="D46" i="21"/>
  <c r="C46" i="21"/>
  <c r="B46" i="21"/>
  <c r="AT45" i="21"/>
  <c r="E45" i="21"/>
  <c r="D45" i="21"/>
  <c r="C45" i="21"/>
  <c r="B45" i="21"/>
  <c r="AT44" i="21"/>
  <c r="E44" i="21"/>
  <c r="D44" i="21"/>
  <c r="C44" i="21"/>
  <c r="B44" i="21"/>
  <c r="AT43" i="21"/>
  <c r="E43" i="21"/>
  <c r="D43" i="21"/>
  <c r="C43" i="21"/>
  <c r="B43" i="21"/>
  <c r="AT42" i="21"/>
  <c r="E42" i="21"/>
  <c r="D42" i="21"/>
  <c r="C42" i="21"/>
  <c r="B42" i="21"/>
  <c r="AT41" i="21"/>
  <c r="E41" i="21"/>
  <c r="D41" i="21"/>
  <c r="C41" i="21"/>
  <c r="B41" i="21"/>
  <c r="AT40" i="21"/>
  <c r="E40" i="21"/>
  <c r="D40" i="21"/>
  <c r="C40" i="21"/>
  <c r="B40" i="21"/>
  <c r="AT39" i="21"/>
  <c r="E39" i="21"/>
  <c r="D39" i="21"/>
  <c r="C39" i="21"/>
  <c r="B39" i="21"/>
  <c r="AT38" i="21"/>
  <c r="E38" i="21"/>
  <c r="D38" i="21"/>
  <c r="C38" i="21"/>
  <c r="B38" i="21"/>
  <c r="AT37" i="21"/>
  <c r="E37" i="21"/>
  <c r="D37" i="21"/>
  <c r="C37" i="21"/>
  <c r="B37" i="21"/>
  <c r="AT36" i="21"/>
  <c r="E36" i="21"/>
  <c r="D36" i="21"/>
  <c r="C36" i="21"/>
  <c r="B36" i="21"/>
  <c r="AT35" i="21"/>
  <c r="E35" i="21"/>
  <c r="D35" i="21"/>
  <c r="C35" i="21"/>
  <c r="B35" i="21"/>
  <c r="AT34" i="21"/>
  <c r="E34" i="21"/>
  <c r="D34" i="21"/>
  <c r="C34" i="21"/>
  <c r="B34" i="21"/>
  <c r="AT33" i="21"/>
  <c r="E33" i="21"/>
  <c r="D33" i="21"/>
  <c r="C33" i="21"/>
  <c r="B33" i="21"/>
  <c r="AT32" i="21"/>
  <c r="E32" i="21"/>
  <c r="D32" i="21"/>
  <c r="C32" i="21"/>
  <c r="B32" i="21"/>
  <c r="AT31" i="21"/>
  <c r="E31" i="21"/>
  <c r="D31" i="21"/>
  <c r="C31" i="21"/>
  <c r="B31" i="21"/>
  <c r="AT30" i="21"/>
  <c r="E30" i="21"/>
  <c r="D30" i="21"/>
  <c r="C30" i="21"/>
  <c r="B30" i="21"/>
  <c r="AT29" i="21"/>
  <c r="E29" i="21"/>
  <c r="D29" i="21"/>
  <c r="C29" i="21"/>
  <c r="B29" i="21"/>
  <c r="AT28" i="21"/>
  <c r="E28" i="21"/>
  <c r="D28" i="21"/>
  <c r="C28" i="21"/>
  <c r="B28" i="21"/>
  <c r="AT27" i="21"/>
  <c r="E27" i="21"/>
  <c r="D27" i="21"/>
  <c r="C27" i="21"/>
  <c r="B27" i="21"/>
  <c r="AT26" i="21"/>
  <c r="E26" i="21"/>
  <c r="D26" i="21"/>
  <c r="C26" i="21"/>
  <c r="B26" i="21"/>
  <c r="AT25" i="21"/>
  <c r="E25" i="21"/>
  <c r="D25" i="21"/>
  <c r="C25" i="21"/>
  <c r="B25" i="21"/>
  <c r="AT24" i="21"/>
  <c r="E24" i="21"/>
  <c r="D24" i="21"/>
  <c r="C24" i="21"/>
  <c r="B24" i="21"/>
  <c r="AT23" i="21"/>
  <c r="E23" i="21"/>
  <c r="D23" i="21"/>
  <c r="C23" i="21"/>
  <c r="B23" i="21"/>
  <c r="AT22" i="21"/>
  <c r="E22" i="21"/>
  <c r="D22" i="21"/>
  <c r="C22" i="21"/>
  <c r="B22" i="21"/>
  <c r="AT21" i="21"/>
  <c r="E21" i="21"/>
  <c r="D21" i="21"/>
  <c r="C21" i="21"/>
  <c r="B21" i="21"/>
  <c r="AT20" i="21"/>
  <c r="E20" i="21"/>
  <c r="D20" i="21"/>
  <c r="C20" i="21"/>
  <c r="B20" i="21"/>
  <c r="AT19" i="21"/>
  <c r="E19" i="21"/>
  <c r="D19" i="21"/>
  <c r="C19" i="21"/>
  <c r="B19" i="21"/>
  <c r="AT18" i="21"/>
  <c r="E18" i="21"/>
  <c r="D18" i="21"/>
  <c r="C18" i="21"/>
  <c r="B18" i="21"/>
  <c r="AT17" i="21"/>
  <c r="E17" i="21"/>
  <c r="D17" i="21"/>
  <c r="C17" i="21"/>
  <c r="B17" i="21"/>
  <c r="AT16" i="21"/>
  <c r="E16" i="21"/>
  <c r="D16" i="21"/>
  <c r="C16" i="21"/>
  <c r="B16" i="21"/>
  <c r="AT15" i="21"/>
  <c r="E15" i="21"/>
  <c r="D15" i="21"/>
  <c r="C15" i="21"/>
  <c r="B15" i="21"/>
  <c r="AT14" i="21"/>
  <c r="E14" i="21"/>
  <c r="D14" i="21"/>
  <c r="C14" i="21"/>
  <c r="B14" i="21"/>
  <c r="AT13" i="21"/>
  <c r="E13" i="21"/>
  <c r="D13" i="21"/>
  <c r="C13" i="21"/>
  <c r="B13" i="21"/>
  <c r="AT12" i="21"/>
  <c r="E12" i="21"/>
  <c r="D12" i="21"/>
  <c r="C12" i="21"/>
  <c r="B12" i="21"/>
  <c r="AT11" i="21"/>
  <c r="E11" i="21"/>
  <c r="D11" i="21"/>
  <c r="C11" i="21"/>
  <c r="B11" i="21"/>
  <c r="AT10" i="21"/>
  <c r="E10" i="21"/>
  <c r="D10" i="21"/>
  <c r="C10" i="21"/>
  <c r="B10" i="21"/>
  <c r="AT9" i="21"/>
  <c r="E9" i="21"/>
  <c r="D9" i="21"/>
  <c r="C9" i="21"/>
  <c r="B9" i="21"/>
  <c r="AT8" i="21"/>
  <c r="E8" i="21"/>
  <c r="D8" i="21"/>
  <c r="C8" i="21"/>
  <c r="B8" i="21"/>
  <c r="AT7" i="21"/>
  <c r="E7" i="21"/>
  <c r="D7" i="21"/>
  <c r="C7" i="21"/>
  <c r="B7" i="21"/>
  <c r="AT6" i="21"/>
  <c r="E6" i="21"/>
  <c r="D6" i="21"/>
  <c r="C6" i="21"/>
  <c r="B6" i="21"/>
  <c r="AT5" i="21"/>
  <c r="E5" i="21"/>
  <c r="D5" i="21"/>
  <c r="C5" i="21"/>
  <c r="B5" i="21"/>
  <c r="AT54" i="19"/>
  <c r="E54" i="19"/>
  <c r="D54" i="19"/>
  <c r="C54" i="19"/>
  <c r="B54" i="19"/>
  <c r="AT53" i="19"/>
  <c r="E53" i="19"/>
  <c r="D53" i="19"/>
  <c r="C53" i="19"/>
  <c r="B53" i="19"/>
  <c r="AT52" i="19"/>
  <c r="E52" i="19"/>
  <c r="D52" i="19"/>
  <c r="C52" i="19"/>
  <c r="B52" i="19"/>
  <c r="AT51" i="19"/>
  <c r="E51" i="19"/>
  <c r="D51" i="19"/>
  <c r="C51" i="19"/>
  <c r="B51" i="19"/>
  <c r="AT50" i="19"/>
  <c r="E50" i="19"/>
  <c r="D50" i="19"/>
  <c r="C50" i="19"/>
  <c r="B50" i="19"/>
  <c r="AT49" i="19"/>
  <c r="E49" i="19"/>
  <c r="D49" i="19"/>
  <c r="C49" i="19"/>
  <c r="B49" i="19"/>
  <c r="AT48" i="19"/>
  <c r="E48" i="19"/>
  <c r="D48" i="19"/>
  <c r="C48" i="19"/>
  <c r="B48" i="19"/>
  <c r="AT47" i="19"/>
  <c r="E47" i="19"/>
  <c r="D47" i="19"/>
  <c r="C47" i="19"/>
  <c r="B47" i="19"/>
  <c r="AT46" i="19"/>
  <c r="E46" i="19"/>
  <c r="D46" i="19"/>
  <c r="C46" i="19"/>
  <c r="B46" i="19"/>
  <c r="AT45" i="19"/>
  <c r="E45" i="19"/>
  <c r="D45" i="19"/>
  <c r="C45" i="19"/>
  <c r="B45" i="19"/>
  <c r="AT44" i="19"/>
  <c r="E44" i="19"/>
  <c r="D44" i="19"/>
  <c r="C44" i="19"/>
  <c r="B44" i="19"/>
  <c r="AT43" i="19"/>
  <c r="E43" i="19"/>
  <c r="D43" i="19"/>
  <c r="C43" i="19"/>
  <c r="B43" i="19"/>
  <c r="AT42" i="19"/>
  <c r="E42" i="19"/>
  <c r="D42" i="19"/>
  <c r="C42" i="19"/>
  <c r="B42" i="19"/>
  <c r="AT41" i="19"/>
  <c r="E41" i="19"/>
  <c r="D41" i="19"/>
  <c r="C41" i="19"/>
  <c r="B41" i="19"/>
  <c r="AT40" i="19"/>
  <c r="E40" i="19"/>
  <c r="D40" i="19"/>
  <c r="C40" i="19"/>
  <c r="B40" i="19"/>
  <c r="AT39" i="19"/>
  <c r="E39" i="19"/>
  <c r="D39" i="19"/>
  <c r="C39" i="19"/>
  <c r="B39" i="19"/>
  <c r="AT38" i="19"/>
  <c r="E38" i="19"/>
  <c r="D38" i="19"/>
  <c r="C38" i="19"/>
  <c r="B38" i="19"/>
  <c r="AT37" i="19"/>
  <c r="E37" i="19"/>
  <c r="D37" i="19"/>
  <c r="C37" i="19"/>
  <c r="B37" i="19"/>
  <c r="AT36" i="19"/>
  <c r="E36" i="19"/>
  <c r="D36" i="19"/>
  <c r="C36" i="19"/>
  <c r="B36" i="19"/>
  <c r="AT35" i="19"/>
  <c r="E35" i="19"/>
  <c r="D35" i="19"/>
  <c r="C35" i="19"/>
  <c r="B35" i="19"/>
  <c r="AT34" i="19"/>
  <c r="E34" i="19"/>
  <c r="D34" i="19"/>
  <c r="C34" i="19"/>
  <c r="B34" i="19"/>
  <c r="AT33" i="19"/>
  <c r="E33" i="19"/>
  <c r="D33" i="19"/>
  <c r="C33" i="19"/>
  <c r="B33" i="19"/>
  <c r="AT32" i="19"/>
  <c r="E32" i="19"/>
  <c r="D32" i="19"/>
  <c r="C32" i="19"/>
  <c r="B32" i="19"/>
  <c r="AT31" i="19"/>
  <c r="E31" i="19"/>
  <c r="D31" i="19"/>
  <c r="C31" i="19"/>
  <c r="B31" i="19"/>
  <c r="AT30" i="19"/>
  <c r="E30" i="19"/>
  <c r="D30" i="19"/>
  <c r="C30" i="19"/>
  <c r="B30" i="19"/>
  <c r="AT29" i="19"/>
  <c r="E29" i="19"/>
  <c r="D29" i="19"/>
  <c r="C29" i="19"/>
  <c r="B29" i="19"/>
  <c r="AT28" i="19"/>
  <c r="E28" i="19"/>
  <c r="D28" i="19"/>
  <c r="C28" i="19"/>
  <c r="B28" i="19"/>
  <c r="AT27" i="19"/>
  <c r="E27" i="19"/>
  <c r="D27" i="19"/>
  <c r="C27" i="19"/>
  <c r="B27" i="19"/>
  <c r="AT26" i="19"/>
  <c r="E26" i="19"/>
  <c r="D26" i="19"/>
  <c r="C26" i="19"/>
  <c r="B26" i="19"/>
  <c r="AT25" i="19"/>
  <c r="E25" i="19"/>
  <c r="D25" i="19"/>
  <c r="C25" i="19"/>
  <c r="B25" i="19"/>
  <c r="AT24" i="19"/>
  <c r="E24" i="19"/>
  <c r="D24" i="19"/>
  <c r="C24" i="19"/>
  <c r="B24" i="19"/>
  <c r="AT23" i="19"/>
  <c r="E23" i="19"/>
  <c r="D23" i="19"/>
  <c r="C23" i="19"/>
  <c r="B23" i="19"/>
  <c r="AT22" i="19"/>
  <c r="E22" i="19"/>
  <c r="D22" i="19"/>
  <c r="C22" i="19"/>
  <c r="B22" i="19"/>
  <c r="AT21" i="19"/>
  <c r="E21" i="19"/>
  <c r="D21" i="19"/>
  <c r="C21" i="19"/>
  <c r="B21" i="19"/>
  <c r="AT20" i="19"/>
  <c r="E20" i="19"/>
  <c r="D20" i="19"/>
  <c r="C20" i="19"/>
  <c r="B20" i="19"/>
  <c r="AT19" i="19"/>
  <c r="E19" i="19"/>
  <c r="D19" i="19"/>
  <c r="C19" i="19"/>
  <c r="B19" i="19"/>
  <c r="AT18" i="19"/>
  <c r="E18" i="19"/>
  <c r="D18" i="19"/>
  <c r="C18" i="19"/>
  <c r="B18" i="19"/>
  <c r="AT17" i="19"/>
  <c r="E17" i="19"/>
  <c r="D17" i="19"/>
  <c r="C17" i="19"/>
  <c r="B17" i="19"/>
  <c r="AT16" i="19"/>
  <c r="E16" i="19"/>
  <c r="D16" i="19"/>
  <c r="C16" i="19"/>
  <c r="B16" i="19"/>
  <c r="AT15" i="19"/>
  <c r="E15" i="19"/>
  <c r="D15" i="19"/>
  <c r="C15" i="19"/>
  <c r="B15" i="19"/>
  <c r="AT14" i="19"/>
  <c r="E14" i="19"/>
  <c r="D14" i="19"/>
  <c r="C14" i="19"/>
  <c r="B14" i="19"/>
  <c r="AT13" i="19"/>
  <c r="E13" i="19"/>
  <c r="D13" i="19"/>
  <c r="C13" i="19"/>
  <c r="B13" i="19"/>
  <c r="AT12" i="19"/>
  <c r="E12" i="19"/>
  <c r="D12" i="19"/>
  <c r="C12" i="19"/>
  <c r="B12" i="19"/>
  <c r="AT11" i="19"/>
  <c r="E11" i="19"/>
  <c r="D11" i="19"/>
  <c r="C11" i="19"/>
  <c r="B11" i="19"/>
  <c r="AT10" i="19"/>
  <c r="E10" i="19"/>
  <c r="D10" i="19"/>
  <c r="C10" i="19"/>
  <c r="B10" i="19"/>
  <c r="AT9" i="19"/>
  <c r="E9" i="19"/>
  <c r="D9" i="19"/>
  <c r="C9" i="19"/>
  <c r="B9" i="19"/>
  <c r="AT8" i="19"/>
  <c r="E8" i="19"/>
  <c r="D8" i="19"/>
  <c r="C8" i="19"/>
  <c r="B8" i="19"/>
  <c r="AT7" i="19"/>
  <c r="E7" i="19"/>
  <c r="D7" i="19"/>
  <c r="C7" i="19"/>
  <c r="B7" i="19"/>
  <c r="AT6" i="19"/>
  <c r="E6" i="19"/>
  <c r="D6" i="19"/>
  <c r="C6" i="19"/>
  <c r="B6" i="19"/>
  <c r="AT5" i="19"/>
  <c r="E5" i="19"/>
  <c r="D5" i="19"/>
  <c r="C5" i="19"/>
  <c r="B5" i="19"/>
  <c r="F3" i="19"/>
  <c r="L2" i="19"/>
  <c r="AS54" i="20"/>
  <c r="E54" i="20"/>
  <c r="D54" i="20"/>
  <c r="C54" i="20"/>
  <c r="B54" i="20"/>
  <c r="AS53" i="20"/>
  <c r="E53" i="20"/>
  <c r="D53" i="20"/>
  <c r="C53" i="20"/>
  <c r="B53" i="20"/>
  <c r="AS52" i="20"/>
  <c r="E52" i="20"/>
  <c r="D52" i="20"/>
  <c r="C52" i="20"/>
  <c r="B52" i="20"/>
  <c r="AS51" i="20"/>
  <c r="E51" i="20"/>
  <c r="D51" i="20"/>
  <c r="C51" i="20"/>
  <c r="B51" i="20"/>
  <c r="AS50" i="20"/>
  <c r="E50" i="20"/>
  <c r="D50" i="20"/>
  <c r="C50" i="20"/>
  <c r="B50" i="20"/>
  <c r="AS49" i="20"/>
  <c r="E49" i="20"/>
  <c r="D49" i="20"/>
  <c r="C49" i="20"/>
  <c r="B49" i="20"/>
  <c r="AS48" i="20"/>
  <c r="E48" i="20"/>
  <c r="D48" i="20"/>
  <c r="C48" i="20"/>
  <c r="B48" i="20"/>
  <c r="AS47" i="20"/>
  <c r="E47" i="20"/>
  <c r="D47" i="20"/>
  <c r="C47" i="20"/>
  <c r="B47" i="20"/>
  <c r="AS46" i="20"/>
  <c r="E46" i="20"/>
  <c r="D46" i="20"/>
  <c r="C46" i="20"/>
  <c r="B46" i="20"/>
  <c r="AS45" i="20"/>
  <c r="E45" i="20"/>
  <c r="D45" i="20"/>
  <c r="C45" i="20"/>
  <c r="B45" i="20"/>
  <c r="AS44" i="20"/>
  <c r="E44" i="20"/>
  <c r="D44" i="20"/>
  <c r="C44" i="20"/>
  <c r="B44" i="20"/>
  <c r="AS43" i="20"/>
  <c r="E43" i="20"/>
  <c r="D43" i="20"/>
  <c r="C43" i="20"/>
  <c r="B43" i="20"/>
  <c r="AS42" i="20"/>
  <c r="E42" i="20"/>
  <c r="D42" i="20"/>
  <c r="C42" i="20"/>
  <c r="B42" i="20"/>
  <c r="AS41" i="20"/>
  <c r="E41" i="20"/>
  <c r="D41" i="20"/>
  <c r="C41" i="20"/>
  <c r="B41" i="20"/>
  <c r="AS40" i="20"/>
  <c r="E40" i="20"/>
  <c r="D40" i="20"/>
  <c r="C40" i="20"/>
  <c r="B40" i="20"/>
  <c r="AS39" i="20"/>
  <c r="E39" i="20"/>
  <c r="D39" i="20"/>
  <c r="C39" i="20"/>
  <c r="B39" i="20"/>
  <c r="AS38" i="20"/>
  <c r="E38" i="20"/>
  <c r="D38" i="20"/>
  <c r="C38" i="20"/>
  <c r="B38" i="20"/>
  <c r="AS37" i="20"/>
  <c r="E37" i="20"/>
  <c r="D37" i="20"/>
  <c r="C37" i="20"/>
  <c r="B37" i="20"/>
  <c r="AS36" i="20"/>
  <c r="E36" i="20"/>
  <c r="D36" i="20"/>
  <c r="C36" i="20"/>
  <c r="B36" i="20"/>
  <c r="AS35" i="20"/>
  <c r="E35" i="20"/>
  <c r="D35" i="20"/>
  <c r="C35" i="20"/>
  <c r="B35" i="20"/>
  <c r="AS34" i="20"/>
  <c r="E34" i="20"/>
  <c r="D34" i="20"/>
  <c r="C34" i="20"/>
  <c r="B34" i="20"/>
  <c r="AS33" i="20"/>
  <c r="E33" i="20"/>
  <c r="D33" i="20"/>
  <c r="C33" i="20"/>
  <c r="B33" i="20"/>
  <c r="AS32" i="20"/>
  <c r="E32" i="20"/>
  <c r="D32" i="20"/>
  <c r="C32" i="20"/>
  <c r="B32" i="20"/>
  <c r="AS31" i="20"/>
  <c r="E31" i="20"/>
  <c r="D31" i="20"/>
  <c r="C31" i="20"/>
  <c r="B31" i="20"/>
  <c r="AS30" i="20"/>
  <c r="E30" i="20"/>
  <c r="D30" i="20"/>
  <c r="C30" i="20"/>
  <c r="B30" i="20"/>
  <c r="AS29" i="20"/>
  <c r="E29" i="20"/>
  <c r="D29" i="20"/>
  <c r="C29" i="20"/>
  <c r="B29" i="20"/>
  <c r="AS28" i="20"/>
  <c r="E28" i="20"/>
  <c r="D28" i="20"/>
  <c r="C28" i="20"/>
  <c r="B28" i="20"/>
  <c r="AS27" i="20"/>
  <c r="E27" i="20"/>
  <c r="D27" i="20"/>
  <c r="C27" i="20"/>
  <c r="B27" i="20"/>
  <c r="AS26" i="20"/>
  <c r="E26" i="20"/>
  <c r="D26" i="20"/>
  <c r="C26" i="20"/>
  <c r="B26" i="20"/>
  <c r="AS25" i="20"/>
  <c r="E25" i="20"/>
  <c r="D25" i="20"/>
  <c r="C25" i="20"/>
  <c r="B25" i="20"/>
  <c r="AS24" i="20"/>
  <c r="E24" i="20"/>
  <c r="D24" i="20"/>
  <c r="C24" i="20"/>
  <c r="B24" i="20"/>
  <c r="AS23" i="20"/>
  <c r="E23" i="20"/>
  <c r="D23" i="20"/>
  <c r="C23" i="20"/>
  <c r="B23" i="20"/>
  <c r="AS22" i="20"/>
  <c r="E22" i="20"/>
  <c r="D22" i="20"/>
  <c r="C22" i="20"/>
  <c r="B22" i="20"/>
  <c r="AS21" i="20"/>
  <c r="E21" i="20"/>
  <c r="D21" i="20"/>
  <c r="C21" i="20"/>
  <c r="B21" i="20"/>
  <c r="AS20" i="20"/>
  <c r="E20" i="20"/>
  <c r="D20" i="20"/>
  <c r="C20" i="20"/>
  <c r="B20" i="20"/>
  <c r="AS19" i="20"/>
  <c r="E19" i="20"/>
  <c r="D19" i="20"/>
  <c r="C19" i="20"/>
  <c r="B19" i="20"/>
  <c r="AS18" i="20"/>
  <c r="E18" i="20"/>
  <c r="D18" i="20"/>
  <c r="C18" i="20"/>
  <c r="B18" i="20"/>
  <c r="AS17" i="20"/>
  <c r="E17" i="20"/>
  <c r="D17" i="20"/>
  <c r="C17" i="20"/>
  <c r="B17" i="20"/>
  <c r="AS16" i="20"/>
  <c r="E16" i="20"/>
  <c r="D16" i="20"/>
  <c r="C16" i="20"/>
  <c r="B16" i="20"/>
  <c r="AS15" i="20"/>
  <c r="E15" i="20"/>
  <c r="D15" i="20"/>
  <c r="C15" i="20"/>
  <c r="B15" i="20"/>
  <c r="AS14" i="20"/>
  <c r="E14" i="20"/>
  <c r="D14" i="20"/>
  <c r="C14" i="20"/>
  <c r="B14" i="20"/>
  <c r="AS13" i="20"/>
  <c r="E13" i="20"/>
  <c r="D13" i="20"/>
  <c r="C13" i="20"/>
  <c r="B13" i="20"/>
  <c r="AS12" i="20"/>
  <c r="E12" i="20"/>
  <c r="D12" i="20"/>
  <c r="C12" i="20"/>
  <c r="B12" i="20"/>
  <c r="AS11" i="20"/>
  <c r="E11" i="20"/>
  <c r="D11" i="20"/>
  <c r="C11" i="20"/>
  <c r="B11" i="20"/>
  <c r="AS10" i="20"/>
  <c r="E10" i="20"/>
  <c r="D10" i="20"/>
  <c r="C10" i="20"/>
  <c r="B10" i="20"/>
  <c r="AS9" i="20"/>
  <c r="E9" i="20"/>
  <c r="D9" i="20"/>
  <c r="C9" i="20"/>
  <c r="B9" i="20"/>
  <c r="AS8" i="20"/>
  <c r="E8" i="20"/>
  <c r="D8" i="20"/>
  <c r="C8" i="20"/>
  <c r="B8" i="20"/>
  <c r="AS7" i="20"/>
  <c r="E7" i="20"/>
  <c r="D7" i="20"/>
  <c r="C7" i="20"/>
  <c r="B7" i="20"/>
  <c r="AS6" i="20"/>
  <c r="E6" i="20"/>
  <c r="D6" i="20"/>
  <c r="C6" i="20"/>
  <c r="B6" i="20"/>
  <c r="AS5" i="20"/>
  <c r="E5" i="20"/>
  <c r="D5" i="20"/>
  <c r="C5" i="20"/>
  <c r="B5" i="20"/>
  <c r="F3" i="20"/>
  <c r="L2" i="20"/>
  <c r="P2" i="17"/>
  <c r="E54" i="17"/>
  <c r="D54" i="17"/>
  <c r="C54" i="17"/>
  <c r="B54" i="17"/>
  <c r="E53" i="17"/>
  <c r="D53" i="17"/>
  <c r="C53" i="17"/>
  <c r="B53" i="17"/>
  <c r="E52" i="17"/>
  <c r="D52" i="17"/>
  <c r="C52" i="17"/>
  <c r="B52" i="17"/>
  <c r="E51" i="17"/>
  <c r="D51" i="17"/>
  <c r="C51" i="17"/>
  <c r="B51" i="17"/>
  <c r="E50" i="17"/>
  <c r="D50" i="17"/>
  <c r="C50" i="17"/>
  <c r="B50" i="17"/>
  <c r="E49" i="17"/>
  <c r="D49" i="17"/>
  <c r="C49" i="17"/>
  <c r="B49" i="17"/>
  <c r="E48" i="17"/>
  <c r="D48" i="17"/>
  <c r="C48" i="17"/>
  <c r="B48" i="17"/>
  <c r="E47" i="17"/>
  <c r="D47" i="17"/>
  <c r="C47" i="17"/>
  <c r="B47" i="17"/>
  <c r="E46" i="17"/>
  <c r="D46" i="17"/>
  <c r="C46" i="17"/>
  <c r="B46" i="17"/>
  <c r="E45" i="17"/>
  <c r="D45" i="17"/>
  <c r="C45" i="17"/>
  <c r="B45" i="17"/>
  <c r="E44" i="17"/>
  <c r="D44" i="17"/>
  <c r="C44" i="17"/>
  <c r="B44" i="17"/>
  <c r="E43" i="17"/>
  <c r="D43" i="17"/>
  <c r="C43" i="17"/>
  <c r="B43" i="17"/>
  <c r="E42" i="17"/>
  <c r="D42" i="17"/>
  <c r="C42" i="17"/>
  <c r="B42" i="17"/>
  <c r="E41" i="17"/>
  <c r="D41" i="17"/>
  <c r="C41" i="17"/>
  <c r="B41" i="17"/>
  <c r="E40" i="17"/>
  <c r="D40" i="17"/>
  <c r="C40" i="17"/>
  <c r="B40" i="17"/>
  <c r="E39" i="17"/>
  <c r="D39" i="17"/>
  <c r="C39" i="17"/>
  <c r="B39" i="17"/>
  <c r="E38" i="17"/>
  <c r="D38" i="17"/>
  <c r="C38" i="17"/>
  <c r="B38" i="17"/>
  <c r="E37" i="17"/>
  <c r="D37" i="17"/>
  <c r="C37" i="17"/>
  <c r="B37" i="17"/>
  <c r="E36" i="17"/>
  <c r="D36" i="17"/>
  <c r="C36" i="17"/>
  <c r="B36" i="17"/>
  <c r="E35" i="17"/>
  <c r="D35" i="17"/>
  <c r="C35" i="17"/>
  <c r="B35" i="17"/>
  <c r="E34" i="17"/>
  <c r="D34" i="17"/>
  <c r="C34" i="17"/>
  <c r="B34" i="17"/>
  <c r="E33" i="17"/>
  <c r="D33" i="17"/>
  <c r="C33" i="17"/>
  <c r="B33" i="17"/>
  <c r="E32" i="17"/>
  <c r="D32" i="17"/>
  <c r="C32" i="17"/>
  <c r="B32" i="17"/>
  <c r="E31" i="17"/>
  <c r="D31" i="17"/>
  <c r="C31" i="17"/>
  <c r="B31" i="17"/>
  <c r="E30" i="17"/>
  <c r="D30" i="17"/>
  <c r="C30" i="17"/>
  <c r="B30" i="17"/>
  <c r="E29" i="17"/>
  <c r="D29" i="17"/>
  <c r="C29" i="17"/>
  <c r="B29" i="17"/>
  <c r="E28" i="17"/>
  <c r="D28" i="17"/>
  <c r="C28" i="17"/>
  <c r="B28" i="17"/>
  <c r="E27" i="17"/>
  <c r="D27" i="17"/>
  <c r="C27" i="17"/>
  <c r="B27" i="17"/>
  <c r="E26" i="17"/>
  <c r="D26" i="17"/>
  <c r="C26" i="17"/>
  <c r="B26" i="17"/>
  <c r="E25" i="17"/>
  <c r="D25" i="17"/>
  <c r="C25" i="17"/>
  <c r="B25" i="17"/>
  <c r="E24" i="17"/>
  <c r="D24" i="17"/>
  <c r="C24" i="17"/>
  <c r="B24" i="17"/>
  <c r="E23" i="17"/>
  <c r="D23" i="17"/>
  <c r="C23" i="17"/>
  <c r="B23" i="17"/>
  <c r="E22" i="17"/>
  <c r="D22" i="17"/>
  <c r="C22" i="17"/>
  <c r="B22" i="17"/>
  <c r="E21" i="17"/>
  <c r="D21" i="17"/>
  <c r="C21" i="17"/>
  <c r="B21" i="17"/>
  <c r="E20" i="17"/>
  <c r="D20" i="17"/>
  <c r="C20" i="17"/>
  <c r="B20" i="17"/>
  <c r="E19" i="17"/>
  <c r="D19" i="17"/>
  <c r="C19" i="17"/>
  <c r="B19" i="17"/>
  <c r="E18" i="17"/>
  <c r="D18" i="17"/>
  <c r="C18" i="17"/>
  <c r="B18" i="17"/>
  <c r="E17" i="17"/>
  <c r="D17" i="17"/>
  <c r="C17" i="17"/>
  <c r="B17" i="17"/>
  <c r="E16" i="17"/>
  <c r="D16" i="17"/>
  <c r="C16" i="17"/>
  <c r="B16" i="17"/>
  <c r="E15" i="17"/>
  <c r="D15" i="17"/>
  <c r="C15" i="17"/>
  <c r="B15" i="17"/>
  <c r="E14" i="17"/>
  <c r="D14" i="17"/>
  <c r="C14" i="17"/>
  <c r="B14" i="17"/>
  <c r="E13" i="17"/>
  <c r="D13" i="17"/>
  <c r="C13" i="17"/>
  <c r="B13" i="17"/>
  <c r="E12" i="17"/>
  <c r="D12" i="17"/>
  <c r="C12" i="17"/>
  <c r="B12" i="17"/>
  <c r="E11" i="17"/>
  <c r="D11" i="17"/>
  <c r="C11" i="17"/>
  <c r="B11" i="17"/>
  <c r="E10" i="17"/>
  <c r="D10" i="17"/>
  <c r="C10" i="17"/>
  <c r="B10" i="17"/>
  <c r="E9" i="17"/>
  <c r="D9" i="17"/>
  <c r="C9" i="17"/>
  <c r="B9" i="17"/>
  <c r="E8" i="17"/>
  <c r="D8" i="17"/>
  <c r="C8" i="17"/>
  <c r="B8" i="17"/>
  <c r="E7" i="17"/>
  <c r="D7" i="17"/>
  <c r="C7" i="17"/>
  <c r="B7" i="17"/>
  <c r="E6" i="17"/>
  <c r="D6" i="17"/>
  <c r="C6" i="17"/>
  <c r="B6" i="17"/>
  <c r="E5" i="17"/>
  <c r="D5" i="17"/>
  <c r="C5" i="17"/>
  <c r="B5" i="17"/>
  <c r="F3" i="17"/>
  <c r="L2" i="17"/>
  <c r="P2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D17" i="15"/>
  <c r="C17" i="15"/>
  <c r="B17" i="15"/>
  <c r="E16" i="15"/>
  <c r="D16" i="15"/>
  <c r="C16" i="15"/>
  <c r="B16" i="15"/>
  <c r="E15" i="15"/>
  <c r="D15" i="15"/>
  <c r="C15" i="15"/>
  <c r="B15" i="15"/>
  <c r="E14" i="15"/>
  <c r="D14" i="15"/>
  <c r="C14" i="15"/>
  <c r="B14" i="15"/>
  <c r="E13" i="15"/>
  <c r="D13" i="15"/>
  <c r="C13" i="15"/>
  <c r="B13" i="15"/>
  <c r="E12" i="15"/>
  <c r="D12" i="15"/>
  <c r="C12" i="15"/>
  <c r="B12" i="15"/>
  <c r="E11" i="15"/>
  <c r="D11" i="15"/>
  <c r="C11" i="15"/>
  <c r="B11" i="15"/>
  <c r="E10" i="15"/>
  <c r="D10" i="15"/>
  <c r="C10" i="15"/>
  <c r="B10" i="15"/>
  <c r="E9" i="15"/>
  <c r="D9" i="15"/>
  <c r="C9" i="15"/>
  <c r="B9" i="15"/>
  <c r="E8" i="15"/>
  <c r="D8" i="15"/>
  <c r="C8" i="15"/>
  <c r="B8" i="15"/>
  <c r="E7" i="15"/>
  <c r="D7" i="15"/>
  <c r="C7" i="15"/>
  <c r="B7" i="15"/>
  <c r="E6" i="15"/>
  <c r="D6" i="15"/>
  <c r="C6" i="15"/>
  <c r="B6" i="15"/>
  <c r="E5" i="15"/>
  <c r="D5" i="15"/>
  <c r="C5" i="15"/>
  <c r="B5" i="15"/>
  <c r="AF2" i="15"/>
  <c r="L2" i="15"/>
  <c r="P2" i="18"/>
  <c r="E54" i="18"/>
  <c r="D54" i="18"/>
  <c r="C54" i="18"/>
  <c r="B54" i="18"/>
  <c r="E53" i="18"/>
  <c r="D53" i="18"/>
  <c r="C53" i="18"/>
  <c r="B53" i="18"/>
  <c r="E52" i="18"/>
  <c r="D52" i="18"/>
  <c r="C52" i="18"/>
  <c r="B52" i="18"/>
  <c r="E51" i="18"/>
  <c r="D51" i="18"/>
  <c r="C51" i="18"/>
  <c r="B51" i="18"/>
  <c r="E50" i="18"/>
  <c r="D50" i="18"/>
  <c r="C50" i="18"/>
  <c r="B50" i="18"/>
  <c r="E49" i="18"/>
  <c r="D49" i="18"/>
  <c r="C49" i="18"/>
  <c r="B49" i="18"/>
  <c r="E48" i="18"/>
  <c r="D48" i="18"/>
  <c r="C48" i="18"/>
  <c r="B48" i="18"/>
  <c r="E47" i="18"/>
  <c r="D47" i="18"/>
  <c r="C47" i="18"/>
  <c r="B47" i="18"/>
  <c r="E46" i="18"/>
  <c r="D46" i="18"/>
  <c r="C46" i="18"/>
  <c r="B46" i="18"/>
  <c r="E45" i="18"/>
  <c r="D45" i="18"/>
  <c r="C45" i="18"/>
  <c r="B45" i="18"/>
  <c r="E44" i="18"/>
  <c r="D44" i="18"/>
  <c r="C44" i="18"/>
  <c r="B44" i="18"/>
  <c r="E43" i="18"/>
  <c r="D43" i="18"/>
  <c r="C43" i="18"/>
  <c r="B43" i="18"/>
  <c r="E42" i="18"/>
  <c r="D42" i="18"/>
  <c r="C42" i="18"/>
  <c r="B42" i="18"/>
  <c r="E41" i="18"/>
  <c r="D41" i="18"/>
  <c r="C41" i="18"/>
  <c r="B41" i="18"/>
  <c r="E40" i="18"/>
  <c r="D40" i="18"/>
  <c r="C40" i="18"/>
  <c r="B40" i="18"/>
  <c r="E39" i="18"/>
  <c r="D39" i="18"/>
  <c r="C39" i="18"/>
  <c r="B39" i="18"/>
  <c r="E38" i="18"/>
  <c r="D38" i="18"/>
  <c r="C38" i="18"/>
  <c r="B38" i="18"/>
  <c r="E37" i="18"/>
  <c r="D37" i="18"/>
  <c r="C37" i="18"/>
  <c r="B37" i="18"/>
  <c r="E36" i="18"/>
  <c r="D36" i="18"/>
  <c r="C36" i="18"/>
  <c r="B36" i="18"/>
  <c r="E35" i="18"/>
  <c r="D35" i="18"/>
  <c r="C35" i="18"/>
  <c r="B35" i="18"/>
  <c r="E34" i="18"/>
  <c r="D34" i="18"/>
  <c r="C34" i="18"/>
  <c r="B34" i="18"/>
  <c r="E33" i="18"/>
  <c r="D33" i="18"/>
  <c r="C33" i="18"/>
  <c r="B33" i="18"/>
  <c r="E32" i="18"/>
  <c r="D32" i="18"/>
  <c r="C32" i="18"/>
  <c r="B32" i="18"/>
  <c r="E31" i="18"/>
  <c r="D31" i="18"/>
  <c r="C31" i="18"/>
  <c r="B31" i="18"/>
  <c r="E30" i="18"/>
  <c r="D30" i="18"/>
  <c r="C30" i="18"/>
  <c r="B30" i="18"/>
  <c r="E29" i="18"/>
  <c r="D29" i="18"/>
  <c r="C29" i="18"/>
  <c r="B29" i="18"/>
  <c r="E28" i="18"/>
  <c r="D28" i="18"/>
  <c r="C28" i="18"/>
  <c r="B28" i="18"/>
  <c r="E27" i="18"/>
  <c r="D27" i="18"/>
  <c r="C27" i="18"/>
  <c r="B27" i="18"/>
  <c r="E26" i="18"/>
  <c r="D26" i="18"/>
  <c r="C26" i="18"/>
  <c r="B26" i="18"/>
  <c r="E25" i="18"/>
  <c r="D25" i="18"/>
  <c r="C25" i="18"/>
  <c r="B25" i="18"/>
  <c r="E24" i="18"/>
  <c r="D24" i="18"/>
  <c r="C24" i="18"/>
  <c r="B24" i="18"/>
  <c r="E23" i="18"/>
  <c r="D23" i="18"/>
  <c r="C23" i="18"/>
  <c r="B23" i="18"/>
  <c r="E22" i="18"/>
  <c r="D22" i="18"/>
  <c r="C22" i="18"/>
  <c r="B22" i="18"/>
  <c r="E21" i="18"/>
  <c r="D21" i="18"/>
  <c r="C21" i="18"/>
  <c r="B21" i="18"/>
  <c r="E20" i="18"/>
  <c r="D20" i="18"/>
  <c r="C20" i="18"/>
  <c r="B20" i="18"/>
  <c r="E19" i="18"/>
  <c r="D19" i="18"/>
  <c r="C19" i="18"/>
  <c r="B19" i="18"/>
  <c r="E18" i="18"/>
  <c r="D18" i="18"/>
  <c r="C18" i="18"/>
  <c r="B18" i="18"/>
  <c r="E17" i="18"/>
  <c r="D17" i="18"/>
  <c r="C17" i="18"/>
  <c r="B17" i="18"/>
  <c r="E16" i="18"/>
  <c r="D16" i="18"/>
  <c r="C16" i="18"/>
  <c r="B16" i="18"/>
  <c r="E15" i="18"/>
  <c r="D15" i="18"/>
  <c r="C15" i="18"/>
  <c r="B15" i="18"/>
  <c r="E14" i="18"/>
  <c r="D14" i="18"/>
  <c r="C14" i="18"/>
  <c r="B14" i="18"/>
  <c r="E13" i="18"/>
  <c r="D13" i="18"/>
  <c r="C13" i="18"/>
  <c r="B13" i="18"/>
  <c r="E12" i="18"/>
  <c r="D12" i="18"/>
  <c r="C12" i="18"/>
  <c r="B12" i="18"/>
  <c r="E11" i="18"/>
  <c r="D11" i="18"/>
  <c r="C11" i="18"/>
  <c r="B11" i="18"/>
  <c r="E10" i="18"/>
  <c r="D10" i="18"/>
  <c r="C10" i="18"/>
  <c r="B10" i="18"/>
  <c r="E9" i="18"/>
  <c r="D9" i="18"/>
  <c r="C9" i="18"/>
  <c r="B9" i="18"/>
  <c r="E8" i="18"/>
  <c r="D8" i="18"/>
  <c r="C8" i="18"/>
  <c r="B8" i="18"/>
  <c r="E7" i="18"/>
  <c r="D7" i="18"/>
  <c r="C7" i="18"/>
  <c r="B7" i="18"/>
  <c r="E6" i="18"/>
  <c r="D6" i="18"/>
  <c r="C6" i="18"/>
  <c r="B6" i="18"/>
  <c r="E5" i="18"/>
  <c r="D5" i="18"/>
  <c r="C5" i="18"/>
  <c r="B5" i="18"/>
  <c r="F3" i="18"/>
  <c r="L2" i="18"/>
  <c r="P2" i="16"/>
  <c r="E54" i="16"/>
  <c r="D54" i="16"/>
  <c r="C54" i="16"/>
  <c r="B54" i="16"/>
  <c r="E53" i="16"/>
  <c r="D53" i="16"/>
  <c r="C53" i="16"/>
  <c r="B53" i="16"/>
  <c r="E52" i="16"/>
  <c r="D52" i="16"/>
  <c r="C52" i="16"/>
  <c r="B52" i="16"/>
  <c r="E51" i="16"/>
  <c r="D51" i="16"/>
  <c r="C51" i="16"/>
  <c r="B51" i="16"/>
  <c r="E50" i="16"/>
  <c r="D50" i="16"/>
  <c r="C50" i="16"/>
  <c r="B50" i="16"/>
  <c r="E49" i="16"/>
  <c r="D49" i="16"/>
  <c r="C49" i="16"/>
  <c r="B49" i="16"/>
  <c r="E48" i="16"/>
  <c r="D48" i="16"/>
  <c r="C48" i="16"/>
  <c r="B48" i="16"/>
  <c r="E47" i="16"/>
  <c r="D47" i="16"/>
  <c r="C47" i="16"/>
  <c r="B47" i="16"/>
  <c r="E46" i="16"/>
  <c r="D46" i="16"/>
  <c r="C46" i="16"/>
  <c r="B46" i="16"/>
  <c r="E45" i="16"/>
  <c r="D45" i="16"/>
  <c r="C45" i="16"/>
  <c r="B45" i="16"/>
  <c r="E44" i="16"/>
  <c r="D44" i="16"/>
  <c r="C44" i="16"/>
  <c r="B44" i="16"/>
  <c r="E43" i="16"/>
  <c r="D43" i="16"/>
  <c r="C43" i="16"/>
  <c r="B43" i="16"/>
  <c r="E42" i="16"/>
  <c r="D42" i="16"/>
  <c r="C42" i="16"/>
  <c r="B42" i="16"/>
  <c r="E41" i="16"/>
  <c r="D41" i="16"/>
  <c r="C41" i="16"/>
  <c r="B41" i="16"/>
  <c r="E40" i="16"/>
  <c r="D40" i="16"/>
  <c r="C40" i="16"/>
  <c r="B40" i="16"/>
  <c r="E39" i="16"/>
  <c r="D39" i="16"/>
  <c r="C39" i="16"/>
  <c r="B39" i="16"/>
  <c r="E38" i="16"/>
  <c r="D38" i="16"/>
  <c r="C38" i="16"/>
  <c r="B38" i="16"/>
  <c r="E37" i="16"/>
  <c r="D37" i="16"/>
  <c r="C37" i="16"/>
  <c r="B37" i="16"/>
  <c r="E36" i="16"/>
  <c r="D36" i="16"/>
  <c r="C36" i="16"/>
  <c r="B36" i="16"/>
  <c r="E35" i="16"/>
  <c r="D35" i="16"/>
  <c r="C35" i="16"/>
  <c r="B35" i="16"/>
  <c r="E34" i="16"/>
  <c r="D34" i="16"/>
  <c r="C34" i="16"/>
  <c r="B34" i="16"/>
  <c r="E33" i="16"/>
  <c r="D33" i="16"/>
  <c r="C33" i="16"/>
  <c r="B33" i="16"/>
  <c r="E32" i="16"/>
  <c r="D32" i="16"/>
  <c r="C32" i="16"/>
  <c r="B32" i="16"/>
  <c r="E31" i="16"/>
  <c r="D31" i="16"/>
  <c r="C31" i="16"/>
  <c r="B31" i="16"/>
  <c r="E30" i="16"/>
  <c r="D30" i="16"/>
  <c r="C30" i="16"/>
  <c r="B30" i="16"/>
  <c r="E29" i="16"/>
  <c r="D29" i="16"/>
  <c r="C29" i="16"/>
  <c r="B29" i="16"/>
  <c r="E28" i="16"/>
  <c r="D28" i="16"/>
  <c r="C28" i="16"/>
  <c r="B28" i="16"/>
  <c r="E27" i="16"/>
  <c r="D27" i="16"/>
  <c r="C27" i="16"/>
  <c r="B27" i="16"/>
  <c r="E26" i="16"/>
  <c r="D26" i="16"/>
  <c r="C26" i="16"/>
  <c r="B26" i="16"/>
  <c r="E25" i="16"/>
  <c r="D25" i="16"/>
  <c r="C25" i="16"/>
  <c r="B25" i="16"/>
  <c r="E24" i="16"/>
  <c r="D24" i="16"/>
  <c r="C24" i="16"/>
  <c r="B24" i="16"/>
  <c r="E23" i="16"/>
  <c r="D23" i="16"/>
  <c r="C23" i="16"/>
  <c r="B23" i="16"/>
  <c r="E22" i="16"/>
  <c r="D22" i="16"/>
  <c r="C22" i="16"/>
  <c r="B22" i="16"/>
  <c r="E21" i="16"/>
  <c r="D21" i="16"/>
  <c r="C21" i="16"/>
  <c r="B21" i="16"/>
  <c r="E20" i="16"/>
  <c r="D20" i="16"/>
  <c r="C20" i="16"/>
  <c r="B20" i="16"/>
  <c r="E19" i="16"/>
  <c r="D19" i="16"/>
  <c r="C19" i="16"/>
  <c r="B19" i="16"/>
  <c r="E18" i="16"/>
  <c r="D18" i="16"/>
  <c r="C18" i="16"/>
  <c r="B18" i="16"/>
  <c r="E17" i="16"/>
  <c r="D17" i="16"/>
  <c r="C17" i="16"/>
  <c r="B17" i="16"/>
  <c r="E16" i="16"/>
  <c r="D16" i="16"/>
  <c r="C16" i="16"/>
  <c r="B16" i="16"/>
  <c r="E15" i="16"/>
  <c r="D15" i="16"/>
  <c r="C15" i="16"/>
  <c r="B15" i="16"/>
  <c r="E14" i="16"/>
  <c r="D14" i="16"/>
  <c r="C14" i="16"/>
  <c r="B14" i="16"/>
  <c r="E13" i="16"/>
  <c r="D13" i="16"/>
  <c r="C13" i="16"/>
  <c r="B13" i="16"/>
  <c r="E12" i="16"/>
  <c r="D12" i="16"/>
  <c r="C12" i="16"/>
  <c r="B12" i="16"/>
  <c r="E11" i="16"/>
  <c r="D11" i="16"/>
  <c r="C11" i="16"/>
  <c r="B11" i="16"/>
  <c r="E10" i="16"/>
  <c r="D10" i="16"/>
  <c r="C10" i="16"/>
  <c r="B10" i="16"/>
  <c r="E9" i="16"/>
  <c r="D9" i="16"/>
  <c r="C9" i="16"/>
  <c r="B9" i="16"/>
  <c r="E8" i="16"/>
  <c r="D8" i="16"/>
  <c r="C8" i="16"/>
  <c r="B8" i="16"/>
  <c r="E7" i="16"/>
  <c r="D7" i="16"/>
  <c r="C7" i="16"/>
  <c r="B7" i="16"/>
  <c r="E6" i="16"/>
  <c r="D6" i="16"/>
  <c r="C6" i="16"/>
  <c r="B6" i="16"/>
  <c r="E5" i="16"/>
  <c r="D5" i="16"/>
  <c r="C5" i="16"/>
  <c r="B5" i="16"/>
  <c r="F3" i="16"/>
  <c r="L2" i="16"/>
  <c r="P2" i="14"/>
  <c r="E54" i="14"/>
  <c r="D54" i="14"/>
  <c r="C54" i="14"/>
  <c r="B54" i="14"/>
  <c r="E53" i="14"/>
  <c r="D53" i="14"/>
  <c r="C53" i="14"/>
  <c r="B53" i="14"/>
  <c r="E52" i="14"/>
  <c r="D52" i="14"/>
  <c r="C52" i="14"/>
  <c r="B52" i="14"/>
  <c r="E51" i="14"/>
  <c r="D51" i="14"/>
  <c r="C51" i="14"/>
  <c r="B51" i="14"/>
  <c r="E50" i="14"/>
  <c r="D50" i="14"/>
  <c r="C50" i="14"/>
  <c r="B50" i="14"/>
  <c r="E49" i="14"/>
  <c r="D49" i="14"/>
  <c r="C49" i="14"/>
  <c r="B49" i="14"/>
  <c r="E48" i="14"/>
  <c r="D48" i="14"/>
  <c r="C48" i="14"/>
  <c r="B48" i="14"/>
  <c r="E47" i="14"/>
  <c r="D47" i="14"/>
  <c r="C47" i="14"/>
  <c r="B47" i="14"/>
  <c r="E46" i="14"/>
  <c r="D46" i="14"/>
  <c r="C46" i="14"/>
  <c r="B46" i="14"/>
  <c r="E45" i="14"/>
  <c r="D45" i="14"/>
  <c r="C45" i="14"/>
  <c r="B45" i="14"/>
  <c r="E44" i="14"/>
  <c r="D44" i="14"/>
  <c r="C44" i="14"/>
  <c r="B44" i="14"/>
  <c r="E43" i="14"/>
  <c r="D43" i="14"/>
  <c r="C43" i="14"/>
  <c r="B43" i="14"/>
  <c r="E42" i="14"/>
  <c r="D42" i="14"/>
  <c r="C42" i="14"/>
  <c r="B42" i="14"/>
  <c r="E41" i="14"/>
  <c r="D41" i="14"/>
  <c r="C41" i="14"/>
  <c r="B41" i="14"/>
  <c r="E40" i="14"/>
  <c r="D40" i="14"/>
  <c r="C40" i="14"/>
  <c r="B40" i="14"/>
  <c r="E39" i="14"/>
  <c r="D39" i="14"/>
  <c r="C39" i="14"/>
  <c r="B39" i="14"/>
  <c r="E38" i="14"/>
  <c r="D38" i="14"/>
  <c r="C38" i="14"/>
  <c r="B38" i="14"/>
  <c r="E37" i="14"/>
  <c r="D37" i="14"/>
  <c r="C37" i="14"/>
  <c r="B37" i="14"/>
  <c r="E36" i="14"/>
  <c r="D36" i="14"/>
  <c r="C36" i="14"/>
  <c r="B36" i="14"/>
  <c r="E35" i="14"/>
  <c r="D35" i="14"/>
  <c r="C35" i="14"/>
  <c r="B35" i="14"/>
  <c r="E34" i="14"/>
  <c r="D34" i="14"/>
  <c r="C34" i="14"/>
  <c r="B34" i="14"/>
  <c r="E33" i="14"/>
  <c r="D33" i="14"/>
  <c r="C33" i="14"/>
  <c r="B33" i="14"/>
  <c r="E32" i="14"/>
  <c r="D32" i="14"/>
  <c r="C32" i="14"/>
  <c r="B32" i="14"/>
  <c r="E31" i="14"/>
  <c r="D31" i="14"/>
  <c r="C31" i="14"/>
  <c r="B31" i="14"/>
  <c r="E30" i="14"/>
  <c r="D30" i="14"/>
  <c r="C30" i="14"/>
  <c r="B30" i="14"/>
  <c r="E29" i="14"/>
  <c r="D29" i="14"/>
  <c r="C29" i="14"/>
  <c r="B29" i="14"/>
  <c r="E28" i="14"/>
  <c r="D28" i="14"/>
  <c r="C28" i="14"/>
  <c r="B28" i="14"/>
  <c r="E27" i="14"/>
  <c r="D27" i="14"/>
  <c r="C27" i="14"/>
  <c r="B27" i="14"/>
  <c r="E26" i="14"/>
  <c r="D26" i="14"/>
  <c r="C26" i="14"/>
  <c r="B26" i="14"/>
  <c r="E25" i="14"/>
  <c r="D25" i="14"/>
  <c r="C25" i="14"/>
  <c r="B25" i="14"/>
  <c r="E24" i="14"/>
  <c r="D24" i="14"/>
  <c r="C24" i="14"/>
  <c r="B24" i="14"/>
  <c r="E23" i="14"/>
  <c r="D23" i="14"/>
  <c r="C23" i="14"/>
  <c r="B23" i="14"/>
  <c r="E22" i="14"/>
  <c r="D22" i="14"/>
  <c r="C22" i="14"/>
  <c r="B22" i="14"/>
  <c r="E21" i="14"/>
  <c r="D21" i="14"/>
  <c r="C21" i="14"/>
  <c r="B21" i="14"/>
  <c r="E20" i="14"/>
  <c r="D20" i="14"/>
  <c r="C20" i="14"/>
  <c r="B20" i="14"/>
  <c r="E19" i="14"/>
  <c r="D19" i="14"/>
  <c r="C19" i="14"/>
  <c r="B19" i="14"/>
  <c r="E18" i="14"/>
  <c r="D18" i="14"/>
  <c r="C18" i="14"/>
  <c r="B18" i="14"/>
  <c r="E17" i="14"/>
  <c r="D17" i="14"/>
  <c r="C17" i="14"/>
  <c r="B17" i="14"/>
  <c r="E16" i="14"/>
  <c r="D16" i="14"/>
  <c r="C16" i="14"/>
  <c r="B16" i="14"/>
  <c r="E15" i="14"/>
  <c r="D15" i="14"/>
  <c r="C15" i="14"/>
  <c r="B15" i="14"/>
  <c r="E14" i="14"/>
  <c r="D14" i="14"/>
  <c r="C14" i="14"/>
  <c r="B14" i="14"/>
  <c r="E13" i="14"/>
  <c r="D13" i="14"/>
  <c r="C13" i="14"/>
  <c r="B13" i="14"/>
  <c r="E12" i="14"/>
  <c r="D12" i="14"/>
  <c r="C12" i="14"/>
  <c r="B12" i="14"/>
  <c r="E11" i="14"/>
  <c r="D11" i="14"/>
  <c r="C11" i="14"/>
  <c r="B11" i="14"/>
  <c r="E10" i="14"/>
  <c r="D10" i="14"/>
  <c r="C10" i="14"/>
  <c r="B10" i="14"/>
  <c r="E9" i="14"/>
  <c r="D9" i="14"/>
  <c r="C9" i="14"/>
  <c r="B9" i="14"/>
  <c r="E8" i="14"/>
  <c r="D8" i="14"/>
  <c r="C8" i="14"/>
  <c r="B8" i="14"/>
  <c r="E7" i="14"/>
  <c r="D7" i="14"/>
  <c r="C7" i="14"/>
  <c r="B7" i="14"/>
  <c r="E6" i="14"/>
  <c r="D6" i="14"/>
  <c r="C6" i="14"/>
  <c r="B6" i="14"/>
  <c r="E5" i="14"/>
  <c r="D5" i="14"/>
  <c r="C5" i="14"/>
  <c r="B5" i="14"/>
  <c r="AF2" i="14"/>
  <c r="L2" i="14"/>
  <c r="P2" i="13"/>
  <c r="E54" i="13"/>
  <c r="D54" i="13"/>
  <c r="C54" i="13"/>
  <c r="B54" i="13"/>
  <c r="E53" i="13"/>
  <c r="D53" i="13"/>
  <c r="C53" i="13"/>
  <c r="B53" i="13"/>
  <c r="E52" i="13"/>
  <c r="D52" i="13"/>
  <c r="C52" i="13"/>
  <c r="B52" i="13"/>
  <c r="E51" i="13"/>
  <c r="D51" i="13"/>
  <c r="C51" i="13"/>
  <c r="B51" i="13"/>
  <c r="E50" i="13"/>
  <c r="D50" i="13"/>
  <c r="C50" i="13"/>
  <c r="B50" i="13"/>
  <c r="E49" i="13"/>
  <c r="D49" i="13"/>
  <c r="C49" i="13"/>
  <c r="B49" i="13"/>
  <c r="E48" i="13"/>
  <c r="D48" i="13"/>
  <c r="C48" i="13"/>
  <c r="B48" i="13"/>
  <c r="E47" i="13"/>
  <c r="D47" i="13"/>
  <c r="C47" i="13"/>
  <c r="B47" i="13"/>
  <c r="E46" i="13"/>
  <c r="D46" i="13"/>
  <c r="C46" i="13"/>
  <c r="B46" i="13"/>
  <c r="E45" i="13"/>
  <c r="D45" i="13"/>
  <c r="C45" i="13"/>
  <c r="B45" i="13"/>
  <c r="E44" i="13"/>
  <c r="D44" i="13"/>
  <c r="C44" i="13"/>
  <c r="B44" i="13"/>
  <c r="E43" i="13"/>
  <c r="D43" i="13"/>
  <c r="C43" i="13"/>
  <c r="B43" i="13"/>
  <c r="E42" i="13"/>
  <c r="D42" i="13"/>
  <c r="C42" i="13"/>
  <c r="B42" i="13"/>
  <c r="E41" i="13"/>
  <c r="D41" i="13"/>
  <c r="C41" i="13"/>
  <c r="B41" i="13"/>
  <c r="E40" i="13"/>
  <c r="D40" i="13"/>
  <c r="C40" i="13"/>
  <c r="B40" i="13"/>
  <c r="E39" i="13"/>
  <c r="D39" i="13"/>
  <c r="C39" i="13"/>
  <c r="B39" i="13"/>
  <c r="E38" i="13"/>
  <c r="D38" i="13"/>
  <c r="C38" i="13"/>
  <c r="B38" i="13"/>
  <c r="E37" i="13"/>
  <c r="D37" i="13"/>
  <c r="C37" i="13"/>
  <c r="B37" i="13"/>
  <c r="E36" i="13"/>
  <c r="D36" i="13"/>
  <c r="C36" i="13"/>
  <c r="B36" i="13"/>
  <c r="E35" i="13"/>
  <c r="D35" i="13"/>
  <c r="C35" i="13"/>
  <c r="B35" i="13"/>
  <c r="E34" i="13"/>
  <c r="D34" i="13"/>
  <c r="C34" i="13"/>
  <c r="B34" i="13"/>
  <c r="E33" i="13"/>
  <c r="D33" i="13"/>
  <c r="C33" i="13"/>
  <c r="B33" i="13"/>
  <c r="E32" i="13"/>
  <c r="D32" i="13"/>
  <c r="C32" i="13"/>
  <c r="B32" i="13"/>
  <c r="E31" i="13"/>
  <c r="D31" i="13"/>
  <c r="C31" i="13"/>
  <c r="B31" i="13"/>
  <c r="E30" i="13"/>
  <c r="D30" i="13"/>
  <c r="C30" i="13"/>
  <c r="B30" i="13"/>
  <c r="E29" i="13"/>
  <c r="D29" i="13"/>
  <c r="C29" i="13"/>
  <c r="B29" i="13"/>
  <c r="E28" i="13"/>
  <c r="D28" i="13"/>
  <c r="C28" i="13"/>
  <c r="B28" i="13"/>
  <c r="E27" i="13"/>
  <c r="D27" i="13"/>
  <c r="C27" i="13"/>
  <c r="B27" i="13"/>
  <c r="E26" i="13"/>
  <c r="D26" i="13"/>
  <c r="C26" i="13"/>
  <c r="B26" i="13"/>
  <c r="E25" i="13"/>
  <c r="D25" i="13"/>
  <c r="C25" i="13"/>
  <c r="B25" i="13"/>
  <c r="E24" i="13"/>
  <c r="D24" i="13"/>
  <c r="C24" i="13"/>
  <c r="B24" i="13"/>
  <c r="E23" i="13"/>
  <c r="D23" i="13"/>
  <c r="C23" i="13"/>
  <c r="B23" i="13"/>
  <c r="E22" i="13"/>
  <c r="D22" i="13"/>
  <c r="C22" i="13"/>
  <c r="B22" i="13"/>
  <c r="E21" i="13"/>
  <c r="D21" i="13"/>
  <c r="C21" i="13"/>
  <c r="B21" i="13"/>
  <c r="E20" i="13"/>
  <c r="D20" i="13"/>
  <c r="C20" i="13"/>
  <c r="B20" i="13"/>
  <c r="E19" i="13"/>
  <c r="D19" i="13"/>
  <c r="C19" i="13"/>
  <c r="B19" i="13"/>
  <c r="E18" i="13"/>
  <c r="D18" i="13"/>
  <c r="C18" i="13"/>
  <c r="B18" i="13"/>
  <c r="E17" i="13"/>
  <c r="D17" i="13"/>
  <c r="C17" i="13"/>
  <c r="B17" i="13"/>
  <c r="E16" i="13"/>
  <c r="D16" i="13"/>
  <c r="C16" i="13"/>
  <c r="B16" i="13"/>
  <c r="E15" i="13"/>
  <c r="D15" i="13"/>
  <c r="C15" i="13"/>
  <c r="B15" i="13"/>
  <c r="E14" i="13"/>
  <c r="D14" i="13"/>
  <c r="C14" i="13"/>
  <c r="B14" i="13"/>
  <c r="E13" i="13"/>
  <c r="D13" i="13"/>
  <c r="C13" i="13"/>
  <c r="B13" i="13"/>
  <c r="E12" i="13"/>
  <c r="D12" i="13"/>
  <c r="C12" i="13"/>
  <c r="B12" i="13"/>
  <c r="E11" i="13"/>
  <c r="D11" i="13"/>
  <c r="C11" i="13"/>
  <c r="B11" i="13"/>
  <c r="E10" i="13"/>
  <c r="D10" i="13"/>
  <c r="C10" i="13"/>
  <c r="B10" i="13"/>
  <c r="E9" i="13"/>
  <c r="D9" i="13"/>
  <c r="C9" i="13"/>
  <c r="B9" i="13"/>
  <c r="E8" i="13"/>
  <c r="D8" i="13"/>
  <c r="C8" i="13"/>
  <c r="B8" i="13"/>
  <c r="E7" i="13"/>
  <c r="D7" i="13"/>
  <c r="C7" i="13"/>
  <c r="B7" i="13"/>
  <c r="E6" i="13"/>
  <c r="D6" i="13"/>
  <c r="C6" i="13"/>
  <c r="B6" i="13"/>
  <c r="E5" i="13"/>
  <c r="D5" i="13"/>
  <c r="C5" i="13"/>
  <c r="B5" i="13"/>
  <c r="F3" i="13"/>
  <c r="P2" i="12"/>
  <c r="F3" i="12" s="1"/>
  <c r="E54" i="12"/>
  <c r="D54" i="12"/>
  <c r="C54" i="12"/>
  <c r="B54" i="12"/>
  <c r="E53" i="12"/>
  <c r="D53" i="12"/>
  <c r="C53" i="12"/>
  <c r="B53" i="12"/>
  <c r="E52" i="12"/>
  <c r="D52" i="12"/>
  <c r="C52" i="12"/>
  <c r="B52" i="12"/>
  <c r="E51" i="12"/>
  <c r="D51" i="12"/>
  <c r="C51" i="12"/>
  <c r="B51" i="12"/>
  <c r="E50" i="12"/>
  <c r="D50" i="12"/>
  <c r="C50" i="12"/>
  <c r="B50" i="12"/>
  <c r="E49" i="12"/>
  <c r="D49" i="12"/>
  <c r="C49" i="12"/>
  <c r="B49" i="12"/>
  <c r="E48" i="12"/>
  <c r="D48" i="12"/>
  <c r="C48" i="12"/>
  <c r="B48" i="12"/>
  <c r="E47" i="12"/>
  <c r="D47" i="12"/>
  <c r="C47" i="12"/>
  <c r="B47" i="12"/>
  <c r="E46" i="12"/>
  <c r="D46" i="12"/>
  <c r="C46" i="12"/>
  <c r="B46" i="12"/>
  <c r="E45" i="12"/>
  <c r="D45" i="12"/>
  <c r="C45" i="12"/>
  <c r="B45" i="12"/>
  <c r="E44" i="12"/>
  <c r="D44" i="12"/>
  <c r="C44" i="12"/>
  <c r="B44" i="12"/>
  <c r="E43" i="12"/>
  <c r="D43" i="12"/>
  <c r="C43" i="12"/>
  <c r="B43" i="12"/>
  <c r="E42" i="12"/>
  <c r="D42" i="12"/>
  <c r="C42" i="12"/>
  <c r="B42" i="12"/>
  <c r="E41" i="12"/>
  <c r="D41" i="12"/>
  <c r="C41" i="12"/>
  <c r="B41" i="12"/>
  <c r="E40" i="12"/>
  <c r="D40" i="12"/>
  <c r="C40" i="12"/>
  <c r="B40" i="12"/>
  <c r="E39" i="12"/>
  <c r="D39" i="12"/>
  <c r="C39" i="12"/>
  <c r="B39" i="12"/>
  <c r="E38" i="12"/>
  <c r="D38" i="12"/>
  <c r="C38" i="12"/>
  <c r="B38" i="12"/>
  <c r="E37" i="12"/>
  <c r="D37" i="12"/>
  <c r="C37" i="12"/>
  <c r="B37" i="12"/>
  <c r="E36" i="12"/>
  <c r="D36" i="12"/>
  <c r="C36" i="12"/>
  <c r="B36" i="12"/>
  <c r="E35" i="12"/>
  <c r="D35" i="12"/>
  <c r="C35" i="12"/>
  <c r="B35" i="12"/>
  <c r="E34" i="12"/>
  <c r="D34" i="12"/>
  <c r="C34" i="12"/>
  <c r="B34" i="12"/>
  <c r="E33" i="12"/>
  <c r="D33" i="12"/>
  <c r="C33" i="12"/>
  <c r="B33" i="12"/>
  <c r="E32" i="12"/>
  <c r="D32" i="12"/>
  <c r="C32" i="12"/>
  <c r="B32" i="12"/>
  <c r="E31" i="12"/>
  <c r="D31" i="12"/>
  <c r="C31" i="12"/>
  <c r="B31" i="12"/>
  <c r="E30" i="12"/>
  <c r="D30" i="12"/>
  <c r="C30" i="12"/>
  <c r="B30" i="12"/>
  <c r="E29" i="12"/>
  <c r="D29" i="12"/>
  <c r="C29" i="12"/>
  <c r="B29" i="12"/>
  <c r="E28" i="12"/>
  <c r="D28" i="12"/>
  <c r="C28" i="12"/>
  <c r="B28" i="12"/>
  <c r="E27" i="12"/>
  <c r="D27" i="12"/>
  <c r="C27" i="12"/>
  <c r="B27" i="12"/>
  <c r="E26" i="12"/>
  <c r="D26" i="12"/>
  <c r="C26" i="12"/>
  <c r="B26" i="12"/>
  <c r="E25" i="12"/>
  <c r="D25" i="12"/>
  <c r="C25" i="12"/>
  <c r="B25" i="12"/>
  <c r="E24" i="12"/>
  <c r="D24" i="12"/>
  <c r="C24" i="12"/>
  <c r="B24" i="12"/>
  <c r="E23" i="12"/>
  <c r="D23" i="12"/>
  <c r="C23" i="12"/>
  <c r="B23" i="12"/>
  <c r="E22" i="12"/>
  <c r="D22" i="12"/>
  <c r="C22" i="12"/>
  <c r="B22" i="12"/>
  <c r="E21" i="12"/>
  <c r="D21" i="12"/>
  <c r="C21" i="12"/>
  <c r="B21" i="12"/>
  <c r="E20" i="12"/>
  <c r="D20" i="12"/>
  <c r="C20" i="12"/>
  <c r="B20" i="12"/>
  <c r="E19" i="12"/>
  <c r="D19" i="12"/>
  <c r="C19" i="12"/>
  <c r="B19" i="12"/>
  <c r="E18" i="12"/>
  <c r="D18" i="12"/>
  <c r="C18" i="12"/>
  <c r="B18" i="12"/>
  <c r="E17" i="12"/>
  <c r="D17" i="12"/>
  <c r="C17" i="12"/>
  <c r="B17" i="12"/>
  <c r="E16" i="12"/>
  <c r="D16" i="12"/>
  <c r="C16" i="12"/>
  <c r="B16" i="12"/>
  <c r="E15" i="12"/>
  <c r="D15" i="12"/>
  <c r="C15" i="12"/>
  <c r="B15" i="12"/>
  <c r="E14" i="12"/>
  <c r="D14" i="12"/>
  <c r="C14" i="12"/>
  <c r="B14" i="12"/>
  <c r="E13" i="12"/>
  <c r="D13" i="12"/>
  <c r="C13" i="12"/>
  <c r="B13" i="12"/>
  <c r="E12" i="12"/>
  <c r="D12" i="12"/>
  <c r="C12" i="12"/>
  <c r="B12" i="12"/>
  <c r="E11" i="12"/>
  <c r="D11" i="12"/>
  <c r="C11" i="12"/>
  <c r="B11" i="12"/>
  <c r="E10" i="12"/>
  <c r="D10" i="12"/>
  <c r="C10" i="12"/>
  <c r="B10" i="12"/>
  <c r="E9" i="12"/>
  <c r="D9" i="12"/>
  <c r="C9" i="12"/>
  <c r="B9" i="12"/>
  <c r="E8" i="12"/>
  <c r="D8" i="12"/>
  <c r="C8" i="12"/>
  <c r="B8" i="12"/>
  <c r="E7" i="12"/>
  <c r="D7" i="12"/>
  <c r="C7" i="12"/>
  <c r="B7" i="12"/>
  <c r="E6" i="12"/>
  <c r="D6" i="12"/>
  <c r="C6" i="12"/>
  <c r="B6" i="12"/>
  <c r="E5" i="12"/>
  <c r="D5" i="12"/>
  <c r="C5" i="12"/>
  <c r="B5" i="12"/>
  <c r="P2" i="11"/>
  <c r="E54" i="11"/>
  <c r="D54" i="11"/>
  <c r="C54" i="11"/>
  <c r="B54" i="11"/>
  <c r="E53" i="11"/>
  <c r="D53" i="11"/>
  <c r="C53" i="11"/>
  <c r="B53" i="11"/>
  <c r="E52" i="11"/>
  <c r="D52" i="11"/>
  <c r="C52" i="11"/>
  <c r="B52" i="11"/>
  <c r="E51" i="11"/>
  <c r="D51" i="11"/>
  <c r="C51" i="11"/>
  <c r="B51" i="11"/>
  <c r="E50" i="11"/>
  <c r="D50" i="11"/>
  <c r="C50" i="11"/>
  <c r="B50" i="11"/>
  <c r="E49" i="11"/>
  <c r="D49" i="11"/>
  <c r="C49" i="11"/>
  <c r="B49" i="11"/>
  <c r="E48" i="11"/>
  <c r="D48" i="11"/>
  <c r="C48" i="11"/>
  <c r="B48" i="11"/>
  <c r="E47" i="11"/>
  <c r="D47" i="11"/>
  <c r="C47" i="11"/>
  <c r="B47" i="11"/>
  <c r="E46" i="11"/>
  <c r="D46" i="11"/>
  <c r="C46" i="11"/>
  <c r="B46" i="11"/>
  <c r="E45" i="11"/>
  <c r="D45" i="11"/>
  <c r="C45" i="11"/>
  <c r="B45" i="11"/>
  <c r="E44" i="11"/>
  <c r="D44" i="11"/>
  <c r="C44" i="11"/>
  <c r="B44" i="11"/>
  <c r="E43" i="11"/>
  <c r="D43" i="11"/>
  <c r="C43" i="11"/>
  <c r="B43" i="11"/>
  <c r="E42" i="11"/>
  <c r="D42" i="11"/>
  <c r="C42" i="11"/>
  <c r="B42" i="11"/>
  <c r="E41" i="11"/>
  <c r="D41" i="11"/>
  <c r="C41" i="11"/>
  <c r="B41" i="11"/>
  <c r="E40" i="11"/>
  <c r="D40" i="11"/>
  <c r="C40" i="11"/>
  <c r="B40" i="11"/>
  <c r="E39" i="11"/>
  <c r="D39" i="11"/>
  <c r="C39" i="11"/>
  <c r="B39" i="11"/>
  <c r="E38" i="11"/>
  <c r="D38" i="11"/>
  <c r="C38" i="11"/>
  <c r="B38" i="11"/>
  <c r="E37" i="11"/>
  <c r="D37" i="11"/>
  <c r="C37" i="11"/>
  <c r="B37" i="11"/>
  <c r="E36" i="11"/>
  <c r="D36" i="11"/>
  <c r="C36" i="11"/>
  <c r="B36" i="11"/>
  <c r="E35" i="11"/>
  <c r="D35" i="11"/>
  <c r="C35" i="11"/>
  <c r="B35" i="11"/>
  <c r="E34" i="11"/>
  <c r="D34" i="11"/>
  <c r="C34" i="11"/>
  <c r="B34" i="11"/>
  <c r="E33" i="11"/>
  <c r="D33" i="11"/>
  <c r="C33" i="11"/>
  <c r="B33" i="11"/>
  <c r="E32" i="11"/>
  <c r="D32" i="11"/>
  <c r="C32" i="11"/>
  <c r="B32" i="11"/>
  <c r="E31" i="11"/>
  <c r="D31" i="11"/>
  <c r="C31" i="11"/>
  <c r="B31" i="11"/>
  <c r="E30" i="11"/>
  <c r="D30" i="11"/>
  <c r="C30" i="11"/>
  <c r="B30" i="11"/>
  <c r="E29" i="11"/>
  <c r="D29" i="11"/>
  <c r="C29" i="11"/>
  <c r="B29" i="11"/>
  <c r="E28" i="11"/>
  <c r="D28" i="11"/>
  <c r="C28" i="11"/>
  <c r="B28" i="11"/>
  <c r="E27" i="11"/>
  <c r="D27" i="11"/>
  <c r="C27" i="11"/>
  <c r="B27" i="11"/>
  <c r="E26" i="11"/>
  <c r="D26" i="11"/>
  <c r="C26" i="11"/>
  <c r="B26" i="11"/>
  <c r="E25" i="11"/>
  <c r="D25" i="11"/>
  <c r="C25" i="11"/>
  <c r="B25" i="11"/>
  <c r="E24" i="11"/>
  <c r="D24" i="11"/>
  <c r="C24" i="11"/>
  <c r="B24" i="11"/>
  <c r="E23" i="11"/>
  <c r="D23" i="11"/>
  <c r="C23" i="11"/>
  <c r="B23" i="11"/>
  <c r="E22" i="11"/>
  <c r="D22" i="11"/>
  <c r="C22" i="11"/>
  <c r="B22" i="11"/>
  <c r="E21" i="11"/>
  <c r="D21" i="11"/>
  <c r="C21" i="11"/>
  <c r="B21" i="11"/>
  <c r="E20" i="11"/>
  <c r="D20" i="11"/>
  <c r="C20" i="11"/>
  <c r="B20" i="11"/>
  <c r="E19" i="11"/>
  <c r="D19" i="11"/>
  <c r="C19" i="11"/>
  <c r="B19" i="11"/>
  <c r="E18" i="11"/>
  <c r="D18" i="11"/>
  <c r="C18" i="11"/>
  <c r="B18" i="11"/>
  <c r="E17" i="11"/>
  <c r="D17" i="11"/>
  <c r="C17" i="11"/>
  <c r="B17" i="11"/>
  <c r="E16" i="11"/>
  <c r="D16" i="11"/>
  <c r="C16" i="11"/>
  <c r="B16" i="11"/>
  <c r="E15" i="11"/>
  <c r="D15" i="11"/>
  <c r="C15" i="11"/>
  <c r="B15" i="11"/>
  <c r="E14" i="11"/>
  <c r="D14" i="11"/>
  <c r="C14" i="11"/>
  <c r="B14" i="11"/>
  <c r="E13" i="11"/>
  <c r="D13" i="11"/>
  <c r="C13" i="11"/>
  <c r="B13" i="11"/>
  <c r="E12" i="11"/>
  <c r="D12" i="11"/>
  <c r="C12" i="11"/>
  <c r="B12" i="11"/>
  <c r="E11" i="11"/>
  <c r="D11" i="11"/>
  <c r="C11" i="11"/>
  <c r="B11" i="11"/>
  <c r="E10" i="11"/>
  <c r="D10" i="11"/>
  <c r="C10" i="11"/>
  <c r="B10" i="11"/>
  <c r="E9" i="11"/>
  <c r="D9" i="11"/>
  <c r="C9" i="11"/>
  <c r="B9" i="11"/>
  <c r="E8" i="11"/>
  <c r="D8" i="11"/>
  <c r="C8" i="11"/>
  <c r="B8" i="11"/>
  <c r="E7" i="11"/>
  <c r="D7" i="11"/>
  <c r="C7" i="11"/>
  <c r="B7" i="11"/>
  <c r="E6" i="11"/>
  <c r="D6" i="11"/>
  <c r="C6" i="11"/>
  <c r="B6" i="11"/>
  <c r="E5" i="11"/>
  <c r="D5" i="11"/>
  <c r="C5" i="11"/>
  <c r="B5" i="11"/>
  <c r="AF2" i="11"/>
  <c r="L2" i="11"/>
  <c r="B6" i="9"/>
  <c r="C6" i="9"/>
  <c r="D6" i="9"/>
  <c r="E6" i="9"/>
  <c r="B7" i="9"/>
  <c r="C7" i="9"/>
  <c r="D7" i="9"/>
  <c r="E7" i="9"/>
  <c r="B8" i="9"/>
  <c r="C8" i="9"/>
  <c r="D8" i="9"/>
  <c r="E8" i="9"/>
  <c r="B9" i="9"/>
  <c r="C9" i="9"/>
  <c r="D9" i="9"/>
  <c r="E9" i="9"/>
  <c r="B10" i="9"/>
  <c r="C10" i="9"/>
  <c r="D10" i="9"/>
  <c r="E10" i="9"/>
  <c r="B11" i="9"/>
  <c r="C11" i="9"/>
  <c r="D11" i="9"/>
  <c r="E11" i="9"/>
  <c r="B12" i="9"/>
  <c r="C12" i="9"/>
  <c r="D12" i="9"/>
  <c r="E12" i="9"/>
  <c r="B13" i="9"/>
  <c r="C13" i="9"/>
  <c r="D13" i="9"/>
  <c r="E13" i="9"/>
  <c r="B14" i="9"/>
  <c r="C14" i="9"/>
  <c r="D14" i="9"/>
  <c r="E14" i="9"/>
  <c r="B15" i="9"/>
  <c r="C15" i="9"/>
  <c r="D15" i="9"/>
  <c r="E15" i="9"/>
  <c r="B16" i="9"/>
  <c r="C16" i="9"/>
  <c r="D16" i="9"/>
  <c r="E16" i="9"/>
  <c r="B17" i="9"/>
  <c r="C17" i="9"/>
  <c r="D17" i="9"/>
  <c r="E17" i="9"/>
  <c r="B18" i="9"/>
  <c r="C18" i="9"/>
  <c r="D18" i="9"/>
  <c r="E18" i="9"/>
  <c r="B19" i="9"/>
  <c r="C19" i="9"/>
  <c r="D19" i="9"/>
  <c r="E19" i="9"/>
  <c r="B20" i="9"/>
  <c r="C20" i="9"/>
  <c r="D20" i="9"/>
  <c r="E20" i="9"/>
  <c r="B21" i="9"/>
  <c r="C21" i="9"/>
  <c r="D21" i="9"/>
  <c r="E21" i="9"/>
  <c r="B22" i="9"/>
  <c r="C22" i="9"/>
  <c r="D22" i="9"/>
  <c r="E22" i="9"/>
  <c r="B23" i="9"/>
  <c r="C23" i="9"/>
  <c r="D23" i="9"/>
  <c r="E23" i="9"/>
  <c r="B24" i="9"/>
  <c r="C24" i="9"/>
  <c r="D24" i="9"/>
  <c r="E24" i="9"/>
  <c r="B25" i="9"/>
  <c r="C25" i="9"/>
  <c r="D25" i="9"/>
  <c r="E25" i="9"/>
  <c r="B26" i="9"/>
  <c r="C26" i="9"/>
  <c r="D26" i="9"/>
  <c r="E26" i="9"/>
  <c r="B27" i="9"/>
  <c r="C27" i="9"/>
  <c r="D27" i="9"/>
  <c r="E27" i="9"/>
  <c r="B28" i="9"/>
  <c r="C28" i="9"/>
  <c r="D28" i="9"/>
  <c r="E28" i="9"/>
  <c r="B29" i="9"/>
  <c r="C29" i="9"/>
  <c r="D29" i="9"/>
  <c r="E29" i="9"/>
  <c r="B30" i="9"/>
  <c r="C30" i="9"/>
  <c r="D30" i="9"/>
  <c r="E30" i="9"/>
  <c r="B31" i="9"/>
  <c r="C31" i="9"/>
  <c r="D31" i="9"/>
  <c r="E31" i="9"/>
  <c r="B32" i="9"/>
  <c r="C32" i="9"/>
  <c r="D32" i="9"/>
  <c r="E32" i="9"/>
  <c r="B33" i="9"/>
  <c r="C33" i="9"/>
  <c r="D33" i="9"/>
  <c r="E33" i="9"/>
  <c r="B34" i="9"/>
  <c r="C34" i="9"/>
  <c r="D34" i="9"/>
  <c r="E34" i="9"/>
  <c r="B35" i="9"/>
  <c r="C35" i="9"/>
  <c r="D35" i="9"/>
  <c r="E35" i="9"/>
  <c r="B36" i="9"/>
  <c r="C36" i="9"/>
  <c r="D36" i="9"/>
  <c r="E36" i="9"/>
  <c r="B37" i="9"/>
  <c r="C37" i="9"/>
  <c r="D37" i="9"/>
  <c r="E37" i="9"/>
  <c r="B38" i="9"/>
  <c r="C38" i="9"/>
  <c r="D38" i="9"/>
  <c r="E38" i="9"/>
  <c r="B39" i="9"/>
  <c r="C39" i="9"/>
  <c r="D39" i="9"/>
  <c r="E39" i="9"/>
  <c r="B40" i="9"/>
  <c r="C40" i="9"/>
  <c r="D40" i="9"/>
  <c r="E40" i="9"/>
  <c r="B41" i="9"/>
  <c r="C41" i="9"/>
  <c r="D41" i="9"/>
  <c r="E41" i="9"/>
  <c r="B42" i="9"/>
  <c r="C42" i="9"/>
  <c r="D42" i="9"/>
  <c r="E42" i="9"/>
  <c r="B43" i="9"/>
  <c r="C43" i="9"/>
  <c r="D43" i="9"/>
  <c r="E43" i="9"/>
  <c r="B44" i="9"/>
  <c r="C44" i="9"/>
  <c r="D44" i="9"/>
  <c r="E44" i="9"/>
  <c r="B45" i="9"/>
  <c r="C45" i="9"/>
  <c r="D45" i="9"/>
  <c r="E45" i="9"/>
  <c r="B46" i="9"/>
  <c r="C46" i="9"/>
  <c r="D46" i="9"/>
  <c r="E46" i="9"/>
  <c r="B47" i="9"/>
  <c r="C47" i="9"/>
  <c r="D47" i="9"/>
  <c r="E47" i="9"/>
  <c r="B48" i="9"/>
  <c r="C48" i="9"/>
  <c r="D48" i="9"/>
  <c r="E48" i="9"/>
  <c r="B49" i="9"/>
  <c r="C49" i="9"/>
  <c r="D49" i="9"/>
  <c r="E49" i="9"/>
  <c r="B50" i="9"/>
  <c r="C50" i="9"/>
  <c r="D50" i="9"/>
  <c r="E50" i="9"/>
  <c r="B51" i="9"/>
  <c r="C51" i="9"/>
  <c r="D51" i="9"/>
  <c r="E51" i="9"/>
  <c r="B52" i="9"/>
  <c r="C52" i="9"/>
  <c r="D52" i="9"/>
  <c r="E52" i="9"/>
  <c r="B53" i="9"/>
  <c r="C53" i="9"/>
  <c r="D53" i="9"/>
  <c r="E53" i="9"/>
  <c r="B54" i="9"/>
  <c r="C54" i="9"/>
  <c r="D54" i="9"/>
  <c r="E54" i="9"/>
  <c r="E5" i="9"/>
  <c r="D5" i="9"/>
  <c r="C5" i="9"/>
  <c r="B5" i="9"/>
  <c r="P2" i="9"/>
  <c r="L2" i="9" s="1"/>
  <c r="H11" i="26" l="1"/>
  <c r="F3" i="4"/>
  <c r="H3" i="4" s="1"/>
  <c r="G22" i="4"/>
  <c r="G14" i="4"/>
  <c r="G15" i="4"/>
  <c r="H10" i="26"/>
  <c r="H13" i="26"/>
  <c r="H12" i="26"/>
  <c r="AV19" i="14"/>
  <c r="AU25" i="16"/>
  <c r="P16" i="25"/>
  <c r="AI16" i="25" s="1"/>
  <c r="P44" i="25"/>
  <c r="AI44" i="25" s="1"/>
  <c r="P53" i="25"/>
  <c r="AI53" i="25" s="1"/>
  <c r="AV35" i="21"/>
  <c r="AU21" i="20"/>
  <c r="AV36" i="21"/>
  <c r="AU37" i="13"/>
  <c r="AU33" i="16"/>
  <c r="AV23" i="15"/>
  <c r="AV25" i="19"/>
  <c r="AU39" i="20"/>
  <c r="P23" i="25"/>
  <c r="AI23" i="25" s="1"/>
  <c r="P42" i="25"/>
  <c r="AI42" i="25" s="1"/>
  <c r="P52" i="25"/>
  <c r="AI52" i="25" s="1"/>
  <c r="AV12" i="21"/>
  <c r="AV20" i="21"/>
  <c r="AV31" i="19"/>
  <c r="AU46" i="20"/>
  <c r="AU29" i="20"/>
  <c r="AU45" i="13"/>
  <c r="AV43" i="14"/>
  <c r="AU41" i="16"/>
  <c r="AV39" i="15"/>
  <c r="AV33" i="19"/>
  <c r="AU47" i="20"/>
  <c r="P50" i="25"/>
  <c r="P11" i="25"/>
  <c r="AI11" i="25" s="1"/>
  <c r="P5" i="25"/>
  <c r="AI5" i="25" s="1"/>
  <c r="P39" i="25"/>
  <c r="AI39" i="25" s="1"/>
  <c r="P19" i="25"/>
  <c r="AI19" i="25" s="1"/>
  <c r="P13" i="25"/>
  <c r="AI13" i="25" s="1"/>
  <c r="AV11" i="14"/>
  <c r="AV7" i="15"/>
  <c r="AV9" i="19"/>
  <c r="AU7" i="20"/>
  <c r="P47" i="25"/>
  <c r="AI47" i="25" s="1"/>
  <c r="P48" i="25"/>
  <c r="AI48" i="25" s="1"/>
  <c r="P27" i="25"/>
  <c r="AI27" i="25" s="1"/>
  <c r="P21" i="25"/>
  <c r="AI21" i="25" s="1"/>
  <c r="P30" i="25"/>
  <c r="P6" i="25"/>
  <c r="AI6" i="25" s="1"/>
  <c r="P14" i="25"/>
  <c r="AI14" i="25" s="1"/>
  <c r="P10" i="25"/>
  <c r="AI10" i="25" s="1"/>
  <c r="P29" i="25"/>
  <c r="AI29" i="25" s="1"/>
  <c r="P4" i="25"/>
  <c r="AI4" i="25" s="1"/>
  <c r="P38" i="25"/>
  <c r="AI38" i="25" s="1"/>
  <c r="P46" i="25"/>
  <c r="AI46" i="25" s="1"/>
  <c r="AV32" i="19"/>
  <c r="AV23" i="19"/>
  <c r="AV27" i="21"/>
  <c r="AU17" i="16"/>
  <c r="AV15" i="15"/>
  <c r="AU15" i="20"/>
  <c r="AV37" i="21"/>
  <c r="P18" i="25"/>
  <c r="AI18" i="25" s="1"/>
  <c r="P43" i="25"/>
  <c r="P28" i="25"/>
  <c r="AI28" i="25" s="1"/>
  <c r="P37" i="25"/>
  <c r="AI37" i="25" s="1"/>
  <c r="AU23" i="20"/>
  <c r="AV53" i="21"/>
  <c r="P7" i="25"/>
  <c r="AI7" i="25" s="1"/>
  <c r="P26" i="25"/>
  <c r="AI26" i="25" s="1"/>
  <c r="P51" i="25"/>
  <c r="AI51" i="25" s="1"/>
  <c r="P36" i="25"/>
  <c r="AI36" i="25" s="1"/>
  <c r="P45" i="25"/>
  <c r="AI45" i="25" s="1"/>
  <c r="L2" i="12"/>
  <c r="AN48" i="25"/>
  <c r="G20" i="4"/>
  <c r="AN12" i="25"/>
  <c r="G8" i="4"/>
  <c r="AN36" i="25"/>
  <c r="G16" i="4"/>
  <c r="AN18" i="25"/>
  <c r="G10" i="4"/>
  <c r="AN11" i="25"/>
  <c r="G7" i="4"/>
  <c r="AN47" i="25"/>
  <c r="G19" i="4"/>
  <c r="AN10" i="25"/>
  <c r="G6" i="4"/>
  <c r="AM7" i="15"/>
  <c r="AR16" i="15"/>
  <c r="AL8" i="15"/>
  <c r="AP10" i="15"/>
  <c r="AM12" i="15"/>
  <c r="AR14" i="15"/>
  <c r="AQ17" i="15"/>
  <c r="AN19" i="15"/>
  <c r="AS21" i="15"/>
  <c r="AP23" i="15"/>
  <c r="AN9" i="15"/>
  <c r="AQ11" i="15"/>
  <c r="AL13" i="15"/>
  <c r="AM15" i="15"/>
  <c r="AK20" i="15"/>
  <c r="AQ22" i="15"/>
  <c r="AR25" i="15"/>
  <c r="AL31" i="15"/>
  <c r="AO34" i="15"/>
  <c r="AP36" i="15"/>
  <c r="AO43" i="15"/>
  <c r="AK45" i="15"/>
  <c r="AQ30" i="15"/>
  <c r="AQ32" i="15"/>
  <c r="AK39" i="15"/>
  <c r="AQ48" i="15"/>
  <c r="AR28" i="15"/>
  <c r="AQ40" i="15"/>
  <c r="AR47" i="15"/>
  <c r="AK52" i="15"/>
  <c r="AS54" i="15"/>
  <c r="AM54" i="16"/>
  <c r="AQ53" i="16"/>
  <c r="AP20" i="15"/>
  <c r="AS9" i="15"/>
  <c r="AN45" i="15"/>
  <c r="AR17" i="15"/>
  <c r="AM6" i="15"/>
  <c r="AP18" i="15"/>
  <c r="AL6" i="15"/>
  <c r="AM44" i="15"/>
  <c r="AO18" i="15"/>
  <c r="AR7" i="15"/>
  <c r="AO17" i="15"/>
  <c r="AQ7" i="15"/>
  <c r="AR45" i="15"/>
  <c r="AM18" i="15"/>
  <c r="AM10" i="15"/>
  <c r="AQ21" i="15"/>
  <c r="AQ13" i="15"/>
  <c r="AP6" i="15"/>
  <c r="AN7" i="25"/>
  <c r="AN51" i="25"/>
  <c r="AN32" i="25"/>
  <c r="AN31" i="25"/>
  <c r="AL27" i="25"/>
  <c r="AL11" i="25"/>
  <c r="AL21" i="25"/>
  <c r="AL29" i="25"/>
  <c r="AI35" i="25"/>
  <c r="F19" i="4"/>
  <c r="H19" i="4" s="1"/>
  <c r="AI34" i="25"/>
  <c r="AI12" i="25"/>
  <c r="AI20" i="25"/>
  <c r="AI32" i="25"/>
  <c r="AI40" i="25"/>
  <c r="AI43" i="25"/>
  <c r="AI22" i="25"/>
  <c r="AI30" i="25"/>
  <c r="AI17" i="25"/>
  <c r="AI49" i="25"/>
  <c r="AI8" i="25"/>
  <c r="AI25" i="25"/>
  <c r="AI33" i="25"/>
  <c r="AI24" i="25"/>
  <c r="AI9" i="25"/>
  <c r="AI50" i="25"/>
  <c r="AI41" i="25"/>
  <c r="F7" i="4"/>
  <c r="H7" i="4" s="1"/>
  <c r="F14" i="4"/>
  <c r="H14" i="4" s="1"/>
  <c r="F8" i="4"/>
  <c r="H8" i="4" s="1"/>
  <c r="F22" i="4"/>
  <c r="H22" i="4" s="1"/>
  <c r="F10" i="4"/>
  <c r="H10" i="4" s="1"/>
  <c r="F4" i="4"/>
  <c r="H4" i="4" s="1"/>
  <c r="F20" i="4"/>
  <c r="H20" i="4" s="1"/>
  <c r="F15" i="4"/>
  <c r="H15" i="4" s="1"/>
  <c r="F16" i="4"/>
  <c r="H16" i="4" s="1"/>
  <c r="F6" i="4"/>
  <c r="H6" i="4" s="1"/>
  <c r="R10" i="25"/>
  <c r="R43" i="25"/>
  <c r="R51" i="25"/>
  <c r="AB53" i="25"/>
  <c r="AO53" i="25" s="1"/>
  <c r="AA53" i="25"/>
  <c r="AB35" i="25"/>
  <c r="AO35" i="25" s="1"/>
  <c r="AA35" i="25"/>
  <c r="AB43" i="25"/>
  <c r="AO43" i="25" s="1"/>
  <c r="AA43" i="25"/>
  <c r="AA40" i="25"/>
  <c r="AB40" i="25"/>
  <c r="AO40" i="25" s="1"/>
  <c r="AB51" i="25"/>
  <c r="AO51" i="25" s="1"/>
  <c r="AA51" i="25"/>
  <c r="AB10" i="25"/>
  <c r="AO10" i="25" s="1"/>
  <c r="AA10" i="25"/>
  <c r="AA15" i="25"/>
  <c r="AB15" i="25"/>
  <c r="AO15" i="25" s="1"/>
  <c r="AA7" i="25"/>
  <c r="AB7" i="25"/>
  <c r="AO7" i="25" s="1"/>
  <c r="AA46" i="25"/>
  <c r="AB46" i="25"/>
  <c r="AO46" i="25" s="1"/>
  <c r="AB9" i="25"/>
  <c r="AO9" i="25" s="1"/>
  <c r="AA9" i="25"/>
  <c r="AA6" i="25"/>
  <c r="AB6" i="25"/>
  <c r="AO6" i="25" s="1"/>
  <c r="R5" i="25"/>
  <c r="AB33" i="25"/>
  <c r="AO33" i="25" s="1"/>
  <c r="AA33" i="25"/>
  <c r="AB12" i="25"/>
  <c r="AO12" i="25" s="1"/>
  <c r="AA12" i="25"/>
  <c r="AB20" i="25"/>
  <c r="AO20" i="25" s="1"/>
  <c r="AA20" i="25"/>
  <c r="R18" i="25"/>
  <c r="AB29" i="25"/>
  <c r="AO29" i="25" s="1"/>
  <c r="AA29" i="25"/>
  <c r="AB27" i="25"/>
  <c r="AO27" i="25" s="1"/>
  <c r="AA27" i="25"/>
  <c r="R17" i="25"/>
  <c r="AA47" i="25"/>
  <c r="AB47" i="25"/>
  <c r="AO47" i="25" s="1"/>
  <c r="AB52" i="25"/>
  <c r="AO52" i="25" s="1"/>
  <c r="AA52" i="25"/>
  <c r="AB44" i="25"/>
  <c r="AO44" i="25" s="1"/>
  <c r="AA44" i="25"/>
  <c r="AA32" i="25"/>
  <c r="AB32" i="25"/>
  <c r="AO32" i="25" s="1"/>
  <c r="AB45" i="25"/>
  <c r="AO45" i="25" s="1"/>
  <c r="AA45" i="25"/>
  <c r="AB11" i="25"/>
  <c r="AO11" i="25" s="1"/>
  <c r="AA11" i="25"/>
  <c r="AD31" i="25"/>
  <c r="R28" i="25"/>
  <c r="R7" i="25"/>
  <c r="R33" i="25"/>
  <c r="R50" i="25"/>
  <c r="R30" i="25"/>
  <c r="R41" i="25"/>
  <c r="R13" i="25"/>
  <c r="R15" i="25"/>
  <c r="R49" i="25"/>
  <c r="R21" i="25"/>
  <c r="R46" i="25"/>
  <c r="R4" i="25"/>
  <c r="R48" i="25"/>
  <c r="R31" i="25"/>
  <c r="R37" i="25"/>
  <c r="R9" i="25"/>
  <c r="R26" i="25"/>
  <c r="R45" i="25"/>
  <c r="R24" i="25"/>
  <c r="R27" i="25"/>
  <c r="R12" i="25"/>
  <c r="R53" i="25"/>
  <c r="R25" i="25"/>
  <c r="R19" i="25"/>
  <c r="R20" i="25"/>
  <c r="Z5" i="25"/>
  <c r="AD26" i="25"/>
  <c r="AD39" i="25"/>
  <c r="AD7" i="25"/>
  <c r="S22" i="25"/>
  <c r="AD22" i="25" s="1"/>
  <c r="S40" i="25"/>
  <c r="AD40" i="25" s="1"/>
  <c r="S42" i="25"/>
  <c r="AD42" i="25" s="1"/>
  <c r="S43" i="25"/>
  <c r="AD43" i="25" s="1"/>
  <c r="S48" i="25"/>
  <c r="AD48" i="25" s="1"/>
  <c r="S19" i="25"/>
  <c r="AD19" i="25" s="1"/>
  <c r="S12" i="25"/>
  <c r="AD12" i="25" s="1"/>
  <c r="S34" i="25"/>
  <c r="AD34" i="25" s="1"/>
  <c r="S35" i="25"/>
  <c r="AD35" i="25" s="1"/>
  <c r="S20" i="25"/>
  <c r="AD20" i="25" s="1"/>
  <c r="S18" i="25"/>
  <c r="AD18" i="25" s="1"/>
  <c r="S53" i="25"/>
  <c r="AD53" i="25" s="1"/>
  <c r="S8" i="25"/>
  <c r="AD8" i="25" s="1"/>
  <c r="S50" i="25"/>
  <c r="AD50" i="25" s="1"/>
  <c r="S37" i="25"/>
  <c r="AD37" i="25" s="1"/>
  <c r="S36" i="25"/>
  <c r="AD36" i="25" s="1"/>
  <c r="S16" i="25"/>
  <c r="AD16" i="25" s="1"/>
  <c r="S15" i="25"/>
  <c r="AD15" i="25" s="1"/>
  <c r="S5" i="25"/>
  <c r="S6" i="25"/>
  <c r="AD6" i="25" s="1"/>
  <c r="S24" i="25"/>
  <c r="AD24" i="25" s="1"/>
  <c r="S33" i="25"/>
  <c r="AD33" i="25" s="1"/>
  <c r="S47" i="25"/>
  <c r="AD47" i="25" s="1"/>
  <c r="S13" i="25"/>
  <c r="AD13" i="25" s="1"/>
  <c r="AD28" i="25"/>
  <c r="S52" i="25"/>
  <c r="AD52" i="25" s="1"/>
  <c r="S32" i="25"/>
  <c r="AD32" i="25" s="1"/>
  <c r="S41" i="25"/>
  <c r="AD41" i="25" s="1"/>
  <c r="S10" i="25"/>
  <c r="AD10" i="25" s="1"/>
  <c r="S51" i="25"/>
  <c r="AD51" i="25" s="1"/>
  <c r="S45" i="25"/>
  <c r="AD45" i="25" s="1"/>
  <c r="AD23" i="25"/>
  <c r="AD49" i="25"/>
  <c r="AD30" i="25"/>
  <c r="AD38" i="25"/>
  <c r="AD46" i="25"/>
  <c r="AD4" i="25"/>
  <c r="AD9" i="25"/>
  <c r="AD44" i="25"/>
  <c r="AD17" i="25"/>
  <c r="AD25" i="25"/>
  <c r="AD14" i="25"/>
  <c r="AV35" i="14"/>
  <c r="AU31" i="20"/>
  <c r="AV21" i="21"/>
  <c r="AV29" i="21"/>
  <c r="AV45" i="21"/>
  <c r="AV5" i="21"/>
  <c r="AU6" i="13"/>
  <c r="AU14" i="13"/>
  <c r="AU22" i="13"/>
  <c r="AU30" i="13"/>
  <c r="AU38" i="13"/>
  <c r="AU46" i="13"/>
  <c r="AU54" i="13"/>
  <c r="AV12" i="14"/>
  <c r="AV20" i="14"/>
  <c r="AV28" i="14"/>
  <c r="AV36" i="14"/>
  <c r="AV44" i="14"/>
  <c r="AV52" i="14"/>
  <c r="AU10" i="16"/>
  <c r="AU26" i="16"/>
  <c r="AU34" i="16"/>
  <c r="AU42" i="16"/>
  <c r="AU50" i="16"/>
  <c r="AV8" i="15"/>
  <c r="AV24" i="15"/>
  <c r="AV32" i="15"/>
  <c r="AV40" i="15"/>
  <c r="AV48" i="15"/>
  <c r="AV10" i="19"/>
  <c r="AV26" i="19"/>
  <c r="AV34" i="19"/>
  <c r="AV42" i="19"/>
  <c r="AV50" i="19"/>
  <c r="AU8" i="20"/>
  <c r="AU24" i="20"/>
  <c r="AU32" i="20"/>
  <c r="AU40" i="20"/>
  <c r="AU48" i="20"/>
  <c r="AV6" i="21"/>
  <c r="AV14" i="21"/>
  <c r="AV22" i="21"/>
  <c r="AV30" i="21"/>
  <c r="AV38" i="21"/>
  <c r="AV46" i="21"/>
  <c r="AV54" i="21"/>
  <c r="AU21" i="13"/>
  <c r="AU7" i="13"/>
  <c r="AU15" i="13"/>
  <c r="AU23" i="13"/>
  <c r="AU31" i="13"/>
  <c r="AU39" i="13"/>
  <c r="AU47" i="13"/>
  <c r="AV5" i="14"/>
  <c r="AV21" i="14"/>
  <c r="AV29" i="14"/>
  <c r="AV37" i="14"/>
  <c r="AV45" i="14"/>
  <c r="AV53" i="14"/>
  <c r="AU11" i="16"/>
  <c r="AU19" i="16"/>
  <c r="AU27" i="16"/>
  <c r="AU35" i="16"/>
  <c r="AU43" i="16"/>
  <c r="AU51" i="16"/>
  <c r="AV9" i="15"/>
  <c r="AV17" i="15"/>
  <c r="AV25" i="15"/>
  <c r="AV33" i="15"/>
  <c r="AV41" i="15"/>
  <c r="AV49" i="15"/>
  <c r="AV11" i="19"/>
  <c r="AV19" i="19"/>
  <c r="AV27" i="19"/>
  <c r="AV35" i="19"/>
  <c r="AV43" i="19"/>
  <c r="AV51" i="19"/>
  <c r="AU9" i="20"/>
  <c r="AU17" i="20"/>
  <c r="AU25" i="20"/>
  <c r="AU33" i="20"/>
  <c r="AU41" i="20"/>
  <c r="AU49" i="20"/>
  <c r="AV7" i="21"/>
  <c r="AV15" i="21"/>
  <c r="AV23" i="21"/>
  <c r="AV31" i="21"/>
  <c r="AV39" i="21"/>
  <c r="AV47" i="21"/>
  <c r="AU5" i="13"/>
  <c r="AU8" i="13"/>
  <c r="AU24" i="13"/>
  <c r="AU32" i="13"/>
  <c r="AU40" i="13"/>
  <c r="AU48" i="13"/>
  <c r="AV6" i="14"/>
  <c r="AV14" i="14"/>
  <c r="AV22" i="14"/>
  <c r="AV30" i="14"/>
  <c r="AV38" i="14"/>
  <c r="AV46" i="14"/>
  <c r="AV54" i="14"/>
  <c r="AU12" i="16"/>
  <c r="AU20" i="16"/>
  <c r="AU28" i="16"/>
  <c r="AU36" i="16"/>
  <c r="AU44" i="16"/>
  <c r="AU52" i="16"/>
  <c r="AV10" i="15"/>
  <c r="AV26" i="15"/>
  <c r="AV34" i="15"/>
  <c r="AV42" i="15"/>
  <c r="AV50" i="15"/>
  <c r="AV12" i="19"/>
  <c r="AV20" i="19"/>
  <c r="AV28" i="19"/>
  <c r="AV36" i="19"/>
  <c r="AV44" i="19"/>
  <c r="AV52" i="19"/>
  <c r="AU10" i="20"/>
  <c r="AU26" i="20"/>
  <c r="AU34" i="20"/>
  <c r="AU42" i="20"/>
  <c r="AU50" i="20"/>
  <c r="AV8" i="21"/>
  <c r="AV24" i="21"/>
  <c r="AV32" i="21"/>
  <c r="AV40" i="21"/>
  <c r="AV48" i="21"/>
  <c r="AV31" i="15"/>
  <c r="AU9" i="13"/>
  <c r="AU17" i="13"/>
  <c r="AU25" i="13"/>
  <c r="AU33" i="13"/>
  <c r="AU41" i="13"/>
  <c r="AU49" i="13"/>
  <c r="AV7" i="14"/>
  <c r="AV15" i="14"/>
  <c r="AV23" i="14"/>
  <c r="AV31" i="14"/>
  <c r="AV39" i="14"/>
  <c r="AV47" i="14"/>
  <c r="AU5" i="16"/>
  <c r="AU21" i="16"/>
  <c r="AU29" i="16"/>
  <c r="AU37" i="16"/>
  <c r="AU45" i="16"/>
  <c r="AU53" i="16"/>
  <c r="AV11" i="15"/>
  <c r="AV19" i="15"/>
  <c r="AV27" i="15"/>
  <c r="AV35" i="15"/>
  <c r="AV43" i="15"/>
  <c r="AV51" i="15"/>
  <c r="AV5" i="19"/>
  <c r="AV21" i="19"/>
  <c r="AV29" i="19"/>
  <c r="AV37" i="19"/>
  <c r="AV45" i="19"/>
  <c r="AV53" i="19"/>
  <c r="AU11" i="20"/>
  <c r="AU19" i="20"/>
  <c r="AU27" i="20"/>
  <c r="AU35" i="20"/>
  <c r="AU43" i="20"/>
  <c r="AU51" i="20"/>
  <c r="AV9" i="21"/>
  <c r="AV17" i="21"/>
  <c r="AV25" i="21"/>
  <c r="AV33" i="21"/>
  <c r="AV41" i="21"/>
  <c r="AV49" i="21"/>
  <c r="AU10" i="13"/>
  <c r="AU26" i="13"/>
  <c r="AU34" i="13"/>
  <c r="AU42" i="13"/>
  <c r="AU50" i="13"/>
  <c r="AV8" i="14"/>
  <c r="AV24" i="14"/>
  <c r="AV32" i="14"/>
  <c r="AV40" i="14"/>
  <c r="AV48" i="14"/>
  <c r="AU6" i="16"/>
  <c r="AU14" i="16"/>
  <c r="AU22" i="16"/>
  <c r="AU30" i="16"/>
  <c r="AU38" i="16"/>
  <c r="AU46" i="16"/>
  <c r="AU54" i="16"/>
  <c r="AV12" i="15"/>
  <c r="AV20" i="15"/>
  <c r="AV28" i="15"/>
  <c r="AV36" i="15"/>
  <c r="AV44" i="15"/>
  <c r="AV52" i="15"/>
  <c r="AV6" i="19"/>
  <c r="AV14" i="19"/>
  <c r="AV22" i="19"/>
  <c r="AV30" i="19"/>
  <c r="AV38" i="19"/>
  <c r="AV46" i="19"/>
  <c r="AV54" i="19"/>
  <c r="AU12" i="20"/>
  <c r="AU20" i="20"/>
  <c r="AU28" i="20"/>
  <c r="AU36" i="20"/>
  <c r="AU44" i="20"/>
  <c r="AU52" i="20"/>
  <c r="AV10" i="21"/>
  <c r="AV26" i="21"/>
  <c r="AV34" i="21"/>
  <c r="AV42" i="21"/>
  <c r="AV50" i="21"/>
  <c r="AU29" i="13"/>
  <c r="AV51" i="14"/>
  <c r="AU11" i="13"/>
  <c r="AU19" i="13"/>
  <c r="AU27" i="13"/>
  <c r="AU35" i="13"/>
  <c r="AU43" i="13"/>
  <c r="AU51" i="13"/>
  <c r="AV9" i="14"/>
  <c r="AV17" i="14"/>
  <c r="AV25" i="14"/>
  <c r="AV33" i="14"/>
  <c r="AV41" i="14"/>
  <c r="AV49" i="14"/>
  <c r="AU7" i="16"/>
  <c r="AU15" i="16"/>
  <c r="AU23" i="16"/>
  <c r="AU31" i="16"/>
  <c r="AU39" i="16"/>
  <c r="AU47" i="16"/>
  <c r="AV5" i="15"/>
  <c r="AV21" i="15"/>
  <c r="AV29" i="15"/>
  <c r="AV37" i="15"/>
  <c r="AV45" i="15"/>
  <c r="AV53" i="15"/>
  <c r="AU12" i="13"/>
  <c r="AU20" i="13"/>
  <c r="AU28" i="13"/>
  <c r="AU36" i="13"/>
  <c r="AU44" i="13"/>
  <c r="AU52" i="13"/>
  <c r="AV10" i="14"/>
  <c r="AV26" i="14"/>
  <c r="AV34" i="14"/>
  <c r="AV42" i="14"/>
  <c r="AV50" i="14"/>
  <c r="AU8" i="16"/>
  <c r="AU24" i="16"/>
  <c r="AU32" i="16"/>
  <c r="AU40" i="16"/>
  <c r="AU48" i="16"/>
  <c r="AV6" i="15"/>
  <c r="AV14" i="15"/>
  <c r="AV22" i="15"/>
  <c r="AV30" i="15"/>
  <c r="AV38" i="15"/>
  <c r="AV46" i="15"/>
  <c r="AV54" i="15"/>
  <c r="AP54" i="16"/>
  <c r="L2" i="21"/>
  <c r="F4" i="21"/>
  <c r="AF2" i="21"/>
  <c r="G3" i="21" s="1"/>
  <c r="F4" i="19"/>
  <c r="AF2" i="19"/>
  <c r="G3" i="19" s="1"/>
  <c r="F4" i="20"/>
  <c r="AF2" i="20"/>
  <c r="G3" i="20" s="1"/>
  <c r="F4" i="17"/>
  <c r="AF2" i="17"/>
  <c r="G3" i="17" s="1"/>
  <c r="F3" i="15"/>
  <c r="F4" i="18"/>
  <c r="AF2" i="18"/>
  <c r="G3" i="18" s="1"/>
  <c r="F4" i="16"/>
  <c r="AF2" i="16"/>
  <c r="G3" i="16" s="1"/>
  <c r="F3" i="14"/>
  <c r="L2" i="13"/>
  <c r="F4" i="13"/>
  <c r="AF2" i="13"/>
  <c r="G3" i="13" s="1"/>
  <c r="F4" i="12"/>
  <c r="AF2" i="12"/>
  <c r="G3" i="12" s="1"/>
  <c r="F3" i="11"/>
  <c r="AF2" i="9"/>
  <c r="F3" i="9"/>
  <c r="AP52" i="16" l="1"/>
  <c r="AP31" i="15"/>
  <c r="AK30" i="15"/>
  <c r="AS45" i="15"/>
  <c r="AN43" i="15"/>
  <c r="AK32" i="15"/>
  <c r="AO26" i="15"/>
  <c r="AL24" i="15"/>
  <c r="AN6" i="15"/>
  <c r="AS27" i="15"/>
  <c r="AS14" i="15"/>
  <c r="AL22" i="15"/>
  <c r="AO20" i="15"/>
  <c r="AL18" i="15"/>
  <c r="AK23" i="15"/>
  <c r="AR21" i="15"/>
  <c r="AS19" i="15"/>
  <c r="AS17" i="15"/>
  <c r="AO12" i="15"/>
  <c r="AL10" i="15"/>
  <c r="AQ8" i="15"/>
  <c r="AN36" i="15"/>
  <c r="AL29" i="15"/>
  <c r="AM42" i="15"/>
  <c r="AO44" i="15"/>
  <c r="AL5" i="16"/>
  <c r="AR53" i="16"/>
  <c r="AT5" i="15"/>
  <c r="AN27" i="15"/>
  <c r="AP51" i="15"/>
  <c r="AN38" i="15"/>
  <c r="AR33" i="15"/>
  <c r="AN53" i="15"/>
  <c r="AK46" i="15"/>
  <c r="AO50" i="15"/>
  <c r="AS33" i="15"/>
  <c r="AO5" i="16"/>
  <c r="AR30" i="15"/>
  <c r="AO47" i="15"/>
  <c r="AL48" i="15"/>
  <c r="AM29" i="15"/>
  <c r="AQ41" i="15"/>
  <c r="AM33" i="15"/>
  <c r="AS49" i="15"/>
  <c r="AP28" i="15"/>
  <c r="AT50" i="15"/>
  <c r="AR12" i="15"/>
  <c r="AR20" i="15"/>
  <c r="AN32" i="15"/>
  <c r="AP46" i="15"/>
  <c r="AO8" i="15"/>
  <c r="AN17" i="15"/>
  <c r="AK28" i="15"/>
  <c r="AT53" i="15"/>
  <c r="AP16" i="15"/>
  <c r="AS29" i="15"/>
  <c r="AL44" i="15"/>
  <c r="AS6" i="15"/>
  <c r="AP17" i="15"/>
  <c r="AS15" i="15"/>
  <c r="AO27" i="15"/>
  <c r="AK5" i="15"/>
  <c r="AS16" i="15"/>
  <c r="AM30" i="15"/>
  <c r="AK9" i="15"/>
  <c r="AQ19" i="15"/>
  <c r="AL32" i="15"/>
  <c r="AN46" i="15"/>
  <c r="AL43" i="15"/>
  <c r="AM20" i="15"/>
  <c r="AS25" i="15"/>
  <c r="AP50" i="16"/>
  <c r="AP51" i="16"/>
  <c r="AR37" i="15"/>
  <c r="AP41" i="15"/>
  <c r="AO29" i="15"/>
  <c r="AQ43" i="15"/>
  <c r="AP14" i="15"/>
  <c r="AL19" i="15"/>
  <c r="AS7" i="15"/>
  <c r="AS8" i="15"/>
  <c r="AQ51" i="15"/>
  <c r="AQ35" i="15"/>
  <c r="AN44" i="15"/>
  <c r="AS31" i="15"/>
  <c r="AK6" i="15"/>
  <c r="AN14" i="15"/>
  <c r="AO23" i="15"/>
  <c r="AQ46" i="15"/>
  <c r="AQ31" i="15"/>
  <c r="AR31" i="15"/>
  <c r="AK47" i="15"/>
  <c r="AM23" i="15"/>
  <c r="AS10" i="15"/>
  <c r="AN8" i="15"/>
  <c r="AN16" i="15"/>
  <c r="AN24" i="15"/>
  <c r="AP38" i="15"/>
  <c r="AR52" i="15"/>
  <c r="AK12" i="15"/>
  <c r="AS20" i="15"/>
  <c r="AN33" i="15"/>
  <c r="AP47" i="15"/>
  <c r="AO9" i="15"/>
  <c r="AL20" i="15"/>
  <c r="AO33" i="15"/>
  <c r="AQ47" i="15"/>
  <c r="AO10" i="15"/>
  <c r="AK22" i="15"/>
  <c r="AN35" i="15"/>
  <c r="AP49" i="15"/>
  <c r="AR8" i="15"/>
  <c r="AN20" i="15"/>
  <c r="AQ33" i="15"/>
  <c r="AS47" i="15"/>
  <c r="AR9" i="15"/>
  <c r="AK48" i="15"/>
  <c r="AP12" i="15"/>
  <c r="AP52" i="15"/>
  <c r="AL38" i="15"/>
  <c r="AR42" i="15"/>
  <c r="AK18" i="15"/>
  <c r="AK35" i="15"/>
  <c r="AO32" i="15"/>
  <c r="AL21" i="15"/>
  <c r="AR32" i="15"/>
  <c r="AO37" i="15"/>
  <c r="AM5" i="16"/>
  <c r="AS18" i="15"/>
  <c r="AM9" i="15"/>
  <c r="AM17" i="15"/>
  <c r="AM25" i="15"/>
  <c r="AO39" i="15"/>
  <c r="AQ53" i="15"/>
  <c r="AS12" i="15"/>
  <c r="AL35" i="15"/>
  <c r="AN49" i="15"/>
  <c r="AN10" i="15"/>
  <c r="AR22" i="15"/>
  <c r="AK37" i="15"/>
  <c r="AM51" i="15"/>
  <c r="AN11" i="15"/>
  <c r="AS22" i="15"/>
  <c r="AM36" i="15"/>
  <c r="AO11" i="15"/>
  <c r="AP34" i="15"/>
  <c r="AR48" i="15"/>
  <c r="AQ10" i="15"/>
  <c r="AL23" i="15"/>
  <c r="AN37" i="15"/>
  <c r="AO13" i="15"/>
  <c r="AK25" i="15"/>
  <c r="AM39" i="15"/>
  <c r="AO53" i="15"/>
  <c r="AJ52" i="16"/>
  <c r="AL5" i="15"/>
  <c r="AR50" i="15"/>
  <c r="AS51" i="15"/>
  <c r="AS44" i="15"/>
  <c r="AM45" i="15"/>
  <c r="AN22" i="15"/>
  <c r="AR24" i="15"/>
  <c r="AM49" i="15"/>
  <c r="AP8" i="15"/>
  <c r="AP19" i="15"/>
  <c r="AR10" i="15"/>
  <c r="AS26" i="15"/>
  <c r="AL26" i="15"/>
  <c r="AN40" i="15"/>
  <c r="AP54" i="15"/>
  <c r="AR13" i="15"/>
  <c r="AO24" i="15"/>
  <c r="AQ38" i="15"/>
  <c r="AS52" i="15"/>
  <c r="AL12" i="15"/>
  <c r="AQ23" i="15"/>
  <c r="AS37" i="15"/>
  <c r="AL52" i="15"/>
  <c r="AK14" i="15"/>
  <c r="AQ24" i="15"/>
  <c r="AL37" i="15"/>
  <c r="AN51" i="15"/>
  <c r="AN12" i="15"/>
  <c r="AP50" i="15"/>
  <c r="AK24" i="15"/>
  <c r="AM38" i="15"/>
  <c r="AO52" i="15"/>
  <c r="AL16" i="15"/>
  <c r="AR26" i="15"/>
  <c r="AK41" i="15"/>
  <c r="AP5" i="15"/>
  <c r="AS42" i="15"/>
  <c r="AK11" i="15"/>
  <c r="AK19" i="15"/>
  <c r="AL42" i="15"/>
  <c r="AQ6" i="15"/>
  <c r="AQ14" i="15"/>
  <c r="AN25" i="15"/>
  <c r="AP39" i="15"/>
  <c r="AR53" i="15"/>
  <c r="AK13" i="15"/>
  <c r="AP24" i="15"/>
  <c r="AR38" i="15"/>
  <c r="AK53" i="15"/>
  <c r="AP25" i="15"/>
  <c r="AS38" i="15"/>
  <c r="AL53" i="15"/>
  <c r="AM13" i="15"/>
  <c r="AQ25" i="15"/>
  <c r="AS39" i="15"/>
  <c r="AL54" i="15"/>
  <c r="AN13" i="15"/>
  <c r="AS24" i="15"/>
  <c r="AL39" i="15"/>
  <c r="AK17" i="15"/>
  <c r="AN30" i="15"/>
  <c r="AP44" i="15"/>
  <c r="AS54" i="16"/>
  <c r="AM53" i="15"/>
  <c r="AL46" i="15"/>
  <c r="AP33" i="15"/>
  <c r="AS32" i="15"/>
  <c r="AO7" i="15"/>
  <c r="AL11" i="15"/>
  <c r="AM19" i="15"/>
  <c r="AO19" i="15"/>
  <c r="AM46" i="15"/>
  <c r="AK52" i="16"/>
  <c r="AS50" i="15"/>
  <c r="AS11" i="15"/>
  <c r="AO31" i="15"/>
  <c r="AQ45" i="15"/>
  <c r="AP7" i="15"/>
  <c r="AO16" i="15"/>
  <c r="AM26" i="15"/>
  <c r="AO40" i="15"/>
  <c r="AQ54" i="15"/>
  <c r="AQ15" i="15"/>
  <c r="AN26" i="15"/>
  <c r="AP40" i="15"/>
  <c r="AR54" i="15"/>
  <c r="AR15" i="15"/>
  <c r="AM28" i="15"/>
  <c r="AO42" i="15"/>
  <c r="AK15" i="15"/>
  <c r="AP26" i="15"/>
  <c r="AR40" i="15"/>
  <c r="AS5" i="15"/>
  <c r="AK16" i="15"/>
  <c r="AQ26" i="15"/>
  <c r="AS40" i="15"/>
  <c r="AM31" i="15"/>
  <c r="AO45" i="15"/>
  <c r="AM52" i="16"/>
  <c r="AK53" i="16"/>
  <c r="AN5" i="16"/>
  <c r="AQ5" i="15"/>
  <c r="AJ5" i="16"/>
  <c r="AQ54" i="16"/>
  <c r="AT54" i="15"/>
  <c r="AK27" i="15"/>
  <c r="AL34" i="15"/>
  <c r="AM41" i="15"/>
  <c r="AN48" i="15"/>
  <c r="AO5" i="15"/>
  <c r="AL27" i="15"/>
  <c r="AM34" i="15"/>
  <c r="AN41" i="15"/>
  <c r="AO48" i="15"/>
  <c r="AN5" i="15"/>
  <c r="AM11" i="15"/>
  <c r="AN18" i="15"/>
  <c r="AO25" i="15"/>
  <c r="AP32" i="15"/>
  <c r="AQ39" i="15"/>
  <c r="AR46" i="15"/>
  <c r="AS53" i="15"/>
  <c r="AP9" i="15"/>
  <c r="AQ16" i="15"/>
  <c r="AR23" i="15"/>
  <c r="AS30" i="15"/>
  <c r="AK38" i="15"/>
  <c r="AL45" i="15"/>
  <c r="AM52" i="15"/>
  <c r="AK7" i="15"/>
  <c r="AL14" i="15"/>
  <c r="AM21" i="15"/>
  <c r="AN28" i="15"/>
  <c r="AO35" i="15"/>
  <c r="AP42" i="15"/>
  <c r="AQ49" i="15"/>
  <c r="AP11" i="15"/>
  <c r="AQ18" i="15"/>
  <c r="AK40" i="15"/>
  <c r="AL47" i="15"/>
  <c r="AM54" i="15"/>
  <c r="AR18" i="15"/>
  <c r="AK33" i="15"/>
  <c r="AL40" i="15"/>
  <c r="AM47" i="15"/>
  <c r="AN54" i="15"/>
  <c r="AR5" i="15"/>
  <c r="AS35" i="15"/>
  <c r="AL50" i="15"/>
  <c r="AK36" i="15"/>
  <c r="AM50" i="15"/>
  <c r="AN34" i="15"/>
  <c r="AO41" i="15"/>
  <c r="AP48" i="15"/>
  <c r="AM5" i="15"/>
  <c r="AR39" i="15"/>
  <c r="AS46" i="15"/>
  <c r="AK54" i="15"/>
  <c r="AL30" i="15"/>
  <c r="AM37" i="15"/>
  <c r="AO51" i="15"/>
  <c r="AP27" i="15"/>
  <c r="AQ34" i="15"/>
  <c r="AR41" i="15"/>
  <c r="AS48" i="15"/>
  <c r="AQ27" i="15"/>
  <c r="AR34" i="15"/>
  <c r="AS41" i="15"/>
  <c r="AK49" i="15"/>
  <c r="AT52" i="15"/>
  <c r="AK43" i="15"/>
  <c r="AS28" i="15"/>
  <c r="AL54" i="16"/>
  <c r="AO15" i="15"/>
  <c r="AP22" i="15"/>
  <c r="AQ29" i="15"/>
  <c r="AR36" i="15"/>
  <c r="AS43" i="15"/>
  <c r="AK51" i="15"/>
  <c r="AP15" i="15"/>
  <c r="AR29" i="15"/>
  <c r="AS36" i="15"/>
  <c r="AK44" i="15"/>
  <c r="AL51" i="15"/>
  <c r="AR6" i="15"/>
  <c r="AS13" i="15"/>
  <c r="AK21" i="15"/>
  <c r="AL28" i="15"/>
  <c r="AM35" i="15"/>
  <c r="AN42" i="15"/>
  <c r="AO49" i="15"/>
  <c r="AJ54" i="16"/>
  <c r="AQ9" i="15"/>
  <c r="AS23" i="15"/>
  <c r="AK31" i="15"/>
  <c r="AN52" i="15"/>
  <c r="AL7" i="15"/>
  <c r="AM14" i="15"/>
  <c r="AN21" i="15"/>
  <c r="AO28" i="15"/>
  <c r="AP35" i="15"/>
  <c r="AQ42" i="15"/>
  <c r="AR49" i="15"/>
  <c r="AO21" i="15"/>
  <c r="AM27" i="15"/>
  <c r="AS34" i="15"/>
  <c r="AP30" i="15"/>
  <c r="AQ37" i="15"/>
  <c r="AR44" i="15"/>
  <c r="AK29" i="15"/>
  <c r="AL36" i="15"/>
  <c r="AM43" i="15"/>
  <c r="AN50" i="15"/>
  <c r="AK8" i="15"/>
  <c r="AL15" i="15"/>
  <c r="AM22" i="15"/>
  <c r="AN29" i="15"/>
  <c r="AO36" i="15"/>
  <c r="AP43" i="15"/>
  <c r="AQ50" i="15"/>
  <c r="AQ52" i="16"/>
  <c r="AN54" i="16"/>
  <c r="AL53" i="16"/>
  <c r="AK51" i="16"/>
  <c r="AS5" i="16"/>
  <c r="AO53" i="16"/>
  <c r="AP5" i="16"/>
  <c r="AO52" i="16"/>
  <c r="AQ5" i="16"/>
  <c r="AR54" i="16"/>
  <c r="AM53" i="16"/>
  <c r="AO54" i="16"/>
  <c r="AJ53" i="16"/>
  <c r="AP53" i="16"/>
  <c r="AK54" i="16"/>
  <c r="AK5" i="16"/>
  <c r="AS51" i="16"/>
  <c r="AN53" i="16"/>
  <c r="AR5" i="16"/>
  <c r="AS53" i="16"/>
  <c r="AL52" i="16"/>
  <c r="AT28" i="14"/>
  <c r="AD5" i="25"/>
  <c r="AL5" i="25" s="1"/>
  <c r="H25" i="26"/>
  <c r="AN5" i="25"/>
  <c r="G3" i="4"/>
  <c r="AK43" i="14"/>
  <c r="AT50" i="14"/>
  <c r="AR5" i="14"/>
  <c r="AR47" i="14"/>
  <c r="AT49" i="14"/>
  <c r="AO52" i="14"/>
  <c r="AL51" i="14"/>
  <c r="AS53" i="14"/>
  <c r="AS28" i="14"/>
  <c r="AR53" i="14"/>
  <c r="AR28" i="14"/>
  <c r="AP42" i="14"/>
  <c r="AN50" i="14"/>
  <c r="AS48" i="14"/>
  <c r="AM54" i="14"/>
  <c r="AQ45" i="14"/>
  <c r="AS50" i="14"/>
  <c r="AS5" i="14"/>
  <c r="AL28" i="14"/>
  <c r="AQ50" i="14"/>
  <c r="AM51" i="14"/>
  <c r="AP54" i="14"/>
  <c r="AO49" i="14"/>
  <c r="AM5" i="14"/>
  <c r="AQ28" i="14"/>
  <c r="AT51" i="14"/>
  <c r="AR46" i="14"/>
  <c r="AT45" i="14"/>
  <c r="AN54" i="14"/>
  <c r="AS45" i="14"/>
  <c r="AL5" i="14"/>
  <c r="AK50" i="14"/>
  <c r="AN53" i="14"/>
  <c r="AK5" i="14"/>
  <c r="AT43" i="14"/>
  <c r="AQ5" i="14"/>
  <c r="AP51" i="14"/>
  <c r="AQ54" i="14"/>
  <c r="AK45" i="14"/>
  <c r="AT48" i="14"/>
  <c r="AR48" i="14"/>
  <c r="AK42" i="14"/>
  <c r="AM45" i="14"/>
  <c r="AR50" i="14"/>
  <c r="AN52" i="14"/>
  <c r="AS49" i="14"/>
  <c r="AP48" i="14"/>
  <c r="AP52" i="14"/>
  <c r="AT46" i="14"/>
  <c r="AM43" i="14"/>
  <c r="AO43" i="14"/>
  <c r="AL49" i="14"/>
  <c r="AO53" i="14"/>
  <c r="AO51" i="14"/>
  <c r="AO54" i="14"/>
  <c r="AL44" i="14"/>
  <c r="AO50" i="14"/>
  <c r="AP49" i="14"/>
  <c r="AQ48" i="14"/>
  <c r="AR43" i="14"/>
  <c r="AK48" i="14"/>
  <c r="AT53" i="14"/>
  <c r="AQ46" i="14"/>
  <c r="AT42" i="14"/>
  <c r="AN28" i="14"/>
  <c r="AN5" i="14"/>
  <c r="AS54" i="14"/>
  <c r="AR51" i="14"/>
  <c r="AL52" i="14"/>
  <c r="AK28" i="14"/>
  <c r="AQ53" i="14"/>
  <c r="AS43" i="14"/>
  <c r="AL45" i="14"/>
  <c r="AS42" i="14"/>
  <c r="AS52" i="14"/>
  <c r="AL43" i="14"/>
  <c r="AM49" i="14"/>
  <c r="AQ49" i="14"/>
  <c r="AR42" i="14"/>
  <c r="AP50" i="14"/>
  <c r="AL50" i="14"/>
  <c r="AM52" i="14"/>
  <c r="AO45" i="14"/>
  <c r="AM22" i="14"/>
  <c r="AN22" i="14"/>
  <c r="AR22" i="14"/>
  <c r="AS22" i="14"/>
  <c r="AO22" i="14"/>
  <c r="AT22" i="14"/>
  <c r="AP22" i="14"/>
  <c r="AQ22" i="14"/>
  <c r="AK22" i="14"/>
  <c r="AL22" i="14"/>
  <c r="AM39" i="14"/>
  <c r="AN39" i="14"/>
  <c r="AL39" i="14"/>
  <c r="AO39" i="14"/>
  <c r="AK39" i="14"/>
  <c r="AP39" i="14"/>
  <c r="AR39" i="14"/>
  <c r="AQ39" i="14"/>
  <c r="AT39" i="14"/>
  <c r="AS39" i="14"/>
  <c r="AK47" i="16"/>
  <c r="AL47" i="16"/>
  <c r="AO47" i="16"/>
  <c r="AS47" i="16"/>
  <c r="AM47" i="16"/>
  <c r="AN47" i="16"/>
  <c r="AQ47" i="16"/>
  <c r="AP47" i="16"/>
  <c r="AJ47" i="16"/>
  <c r="AR47" i="16"/>
  <c r="AK44" i="16"/>
  <c r="AL44" i="16"/>
  <c r="AJ44" i="16"/>
  <c r="AM44" i="16"/>
  <c r="AN44" i="16"/>
  <c r="AO44" i="16"/>
  <c r="AP44" i="16"/>
  <c r="AQ44" i="16"/>
  <c r="AS44" i="16"/>
  <c r="AR44" i="16"/>
  <c r="AK40" i="16"/>
  <c r="AL40" i="16"/>
  <c r="AS40" i="16"/>
  <c r="AJ40" i="16"/>
  <c r="AM40" i="16"/>
  <c r="AN40" i="16"/>
  <c r="AP40" i="16"/>
  <c r="AQ40" i="16"/>
  <c r="AR40" i="16"/>
  <c r="AO40" i="16"/>
  <c r="AK43" i="16"/>
  <c r="AL43" i="16"/>
  <c r="AO43" i="16"/>
  <c r="AP43" i="16"/>
  <c r="AQ43" i="16"/>
  <c r="AR43" i="16"/>
  <c r="AS43" i="16"/>
  <c r="AM43" i="16"/>
  <c r="AN43" i="16"/>
  <c r="AJ43" i="16"/>
  <c r="AK34" i="16"/>
  <c r="AL34" i="16"/>
  <c r="AQ34" i="16"/>
  <c r="AR34" i="16"/>
  <c r="AP34" i="16"/>
  <c r="AO34" i="16"/>
  <c r="AJ34" i="16"/>
  <c r="AM34" i="16"/>
  <c r="AS34" i="16"/>
  <c r="AN34" i="16"/>
  <c r="AK41" i="16"/>
  <c r="AL41" i="16"/>
  <c r="AN41" i="16"/>
  <c r="AP41" i="16"/>
  <c r="AO41" i="16"/>
  <c r="AR41" i="16"/>
  <c r="AS41" i="16"/>
  <c r="AM41" i="16"/>
  <c r="AQ41" i="16"/>
  <c r="AJ41" i="16"/>
  <c r="AK12" i="16"/>
  <c r="AL12" i="16"/>
  <c r="AM12" i="16"/>
  <c r="AQ12" i="16"/>
  <c r="AR12" i="16"/>
  <c r="AJ12" i="16"/>
  <c r="AO12" i="16"/>
  <c r="AP12" i="16"/>
  <c r="AS12" i="16"/>
  <c r="AN12" i="16"/>
  <c r="AK50" i="15"/>
  <c r="AO13" i="16"/>
  <c r="AK13" i="16"/>
  <c r="AS13" i="16"/>
  <c r="AL13" i="16"/>
  <c r="AM13" i="16"/>
  <c r="AN13" i="16"/>
  <c r="AP13" i="16"/>
  <c r="AR13" i="16"/>
  <c r="AQ13" i="16"/>
  <c r="AJ13" i="16"/>
  <c r="AM32" i="15"/>
  <c r="AT32" i="15"/>
  <c r="AL41" i="15"/>
  <c r="AT41" i="15"/>
  <c r="AQ36" i="15"/>
  <c r="AR51" i="15"/>
  <c r="AT51" i="15"/>
  <c r="AQ44" i="15"/>
  <c r="AT44" i="15"/>
  <c r="AL9" i="15"/>
  <c r="AT9" i="15"/>
  <c r="AP5" i="14"/>
  <c r="AO5" i="14"/>
  <c r="AK49" i="14"/>
  <c r="AP53" i="14"/>
  <c r="AK53" i="14"/>
  <c r="AL53" i="14"/>
  <c r="AR44" i="14"/>
  <c r="AR49" i="14"/>
  <c r="AK44" i="14"/>
  <c r="AK46" i="14"/>
  <c r="AK54" i="14"/>
  <c r="AN51" i="14"/>
  <c r="AL46" i="14"/>
  <c r="AN48" i="14"/>
  <c r="AN45" i="14"/>
  <c r="AK47" i="14"/>
  <c r="AQ35" i="14"/>
  <c r="AR35" i="14"/>
  <c r="AP35" i="14"/>
  <c r="AS35" i="14"/>
  <c r="AT35" i="14"/>
  <c r="AL35" i="14"/>
  <c r="AK35" i="14"/>
  <c r="AM35" i="14"/>
  <c r="AN35" i="14"/>
  <c r="AO35" i="14"/>
  <c r="AQ26" i="14"/>
  <c r="AR26" i="14"/>
  <c r="AN26" i="14"/>
  <c r="AO26" i="14"/>
  <c r="AL26" i="14"/>
  <c r="AK26" i="14"/>
  <c r="AS26" i="14"/>
  <c r="AT26" i="14"/>
  <c r="AM26" i="14"/>
  <c r="AP26" i="14"/>
  <c r="AL32" i="14"/>
  <c r="AM32" i="14"/>
  <c r="AT32" i="14"/>
  <c r="AK32" i="14"/>
  <c r="AN32" i="14"/>
  <c r="AR32" i="14"/>
  <c r="AS32" i="14"/>
  <c r="AO32" i="14"/>
  <c r="AP32" i="14"/>
  <c r="AQ32" i="14"/>
  <c r="AL23" i="14"/>
  <c r="AM23" i="14"/>
  <c r="AS23" i="14"/>
  <c r="AT23" i="14"/>
  <c r="AR23" i="14"/>
  <c r="AK23" i="14"/>
  <c r="AP23" i="14"/>
  <c r="AQ23" i="14"/>
  <c r="AN23" i="14"/>
  <c r="AO23" i="14"/>
  <c r="AL42" i="14"/>
  <c r="AO42" i="14"/>
  <c r="AQ42" i="14"/>
  <c r="AM42" i="14"/>
  <c r="AN42" i="14"/>
  <c r="AR34" i="14"/>
  <c r="AK34" i="14"/>
  <c r="AS34" i="14"/>
  <c r="AO34" i="14"/>
  <c r="AP34" i="14"/>
  <c r="AN34" i="14"/>
  <c r="AT34" i="14"/>
  <c r="AQ34" i="14"/>
  <c r="AL34" i="14"/>
  <c r="AM34" i="14"/>
  <c r="AR17" i="14"/>
  <c r="AK17" i="14"/>
  <c r="AS17" i="14"/>
  <c r="AL17" i="14"/>
  <c r="AP17" i="14"/>
  <c r="AQ17" i="14"/>
  <c r="AN17" i="14"/>
  <c r="AT17" i="14"/>
  <c r="AO17" i="14"/>
  <c r="AM17" i="14"/>
  <c r="AN13" i="14"/>
  <c r="AO13" i="14"/>
  <c r="AM13" i="14"/>
  <c r="AT13" i="14"/>
  <c r="AP13" i="14"/>
  <c r="AK13" i="14"/>
  <c r="AQ13" i="14"/>
  <c r="AL13" i="14"/>
  <c r="AR13" i="14"/>
  <c r="AS13" i="14"/>
  <c r="AK46" i="16"/>
  <c r="AO46" i="16"/>
  <c r="AL46" i="16"/>
  <c r="AQ46" i="16"/>
  <c r="AR46" i="16"/>
  <c r="AJ46" i="16"/>
  <c r="AP46" i="16"/>
  <c r="AS46" i="16"/>
  <c r="AM46" i="16"/>
  <c r="AN46" i="16"/>
  <c r="AM14" i="14"/>
  <c r="AN14" i="14"/>
  <c r="AP14" i="14"/>
  <c r="AQ14" i="14"/>
  <c r="AO14" i="14"/>
  <c r="AR14" i="14"/>
  <c r="AS14" i="14"/>
  <c r="AK14" i="14"/>
  <c r="AL14" i="14"/>
  <c r="AT14" i="14"/>
  <c r="AP19" i="14"/>
  <c r="AQ19" i="14"/>
  <c r="AT19" i="14"/>
  <c r="AM19" i="14"/>
  <c r="AN19" i="14"/>
  <c r="AL19" i="14"/>
  <c r="AS19" i="14"/>
  <c r="AO19" i="14"/>
  <c r="AR19" i="14"/>
  <c r="AK19" i="14"/>
  <c r="AK8" i="14"/>
  <c r="AS8" i="14"/>
  <c r="AT8" i="14"/>
  <c r="AL8" i="14"/>
  <c r="AP8" i="14"/>
  <c r="AQ8" i="14"/>
  <c r="AM8" i="14"/>
  <c r="AR8" i="14"/>
  <c r="AN8" i="14"/>
  <c r="AO8" i="14"/>
  <c r="AK49" i="16"/>
  <c r="AL49" i="16"/>
  <c r="AN49" i="16"/>
  <c r="AS49" i="16"/>
  <c r="AP49" i="16"/>
  <c r="AQ49" i="16"/>
  <c r="AJ49" i="16"/>
  <c r="AM49" i="16"/>
  <c r="AO49" i="16"/>
  <c r="AR49" i="16"/>
  <c r="AK35" i="16"/>
  <c r="AL35" i="16"/>
  <c r="AJ35" i="16"/>
  <c r="AN35" i="16"/>
  <c r="AM35" i="16"/>
  <c r="AR35" i="16"/>
  <c r="AO35" i="16"/>
  <c r="AP35" i="16"/>
  <c r="AQ35" i="16"/>
  <c r="AS35" i="16"/>
  <c r="AK36" i="16"/>
  <c r="AL36" i="16"/>
  <c r="AJ36" i="16"/>
  <c r="AM36" i="16"/>
  <c r="AP36" i="16"/>
  <c r="AQ36" i="16"/>
  <c r="AR36" i="16"/>
  <c r="AS36" i="16"/>
  <c r="AN36" i="16"/>
  <c r="AO36" i="16"/>
  <c r="AK24" i="16"/>
  <c r="AL24" i="16"/>
  <c r="AS24" i="16"/>
  <c r="AM24" i="16"/>
  <c r="AJ24" i="16"/>
  <c r="AO24" i="16"/>
  <c r="AR24" i="16"/>
  <c r="AN24" i="16"/>
  <c r="AQ24" i="16"/>
  <c r="AP24" i="16"/>
  <c r="AK22" i="16"/>
  <c r="AO22" i="16"/>
  <c r="AL22" i="16"/>
  <c r="AM22" i="16"/>
  <c r="AN22" i="16"/>
  <c r="AS22" i="16"/>
  <c r="AP22" i="16"/>
  <c r="AR22" i="16"/>
  <c r="AJ22" i="16"/>
  <c r="AQ22" i="16"/>
  <c r="AK15" i="16"/>
  <c r="AL15" i="16"/>
  <c r="AO15" i="16"/>
  <c r="AM15" i="16"/>
  <c r="AR15" i="16"/>
  <c r="AS15" i="16"/>
  <c r="AN15" i="16"/>
  <c r="AP15" i="16"/>
  <c r="AQ15" i="16"/>
  <c r="AJ15" i="16"/>
  <c r="AK14" i="16"/>
  <c r="AO14" i="16"/>
  <c r="AL14" i="16"/>
  <c r="AM14" i="16"/>
  <c r="AN14" i="16"/>
  <c r="AP14" i="16"/>
  <c r="AJ14" i="16"/>
  <c r="AQ14" i="16"/>
  <c r="AS14" i="16"/>
  <c r="AR14" i="16"/>
  <c r="AK6" i="16"/>
  <c r="AO6" i="16"/>
  <c r="AL6" i="16"/>
  <c r="AM6" i="16"/>
  <c r="AN6" i="16"/>
  <c r="AP6" i="16"/>
  <c r="AR6" i="16"/>
  <c r="AS6" i="16"/>
  <c r="AQ6" i="16"/>
  <c r="AJ6" i="16"/>
  <c r="AK34" i="15"/>
  <c r="AT34" i="15"/>
  <c r="AO46" i="15"/>
  <c r="AT46" i="15"/>
  <c r="AR43" i="15"/>
  <c r="AT43" i="15"/>
  <c r="AO38" i="15"/>
  <c r="AT38" i="15"/>
  <c r="AN47" i="15"/>
  <c r="AT47" i="15"/>
  <c r="AQ20" i="15"/>
  <c r="AT20" i="15"/>
  <c r="AR19" i="15"/>
  <c r="AT19" i="15"/>
  <c r="AQ12" i="15"/>
  <c r="AT12" i="15"/>
  <c r="AQ44" i="14"/>
  <c r="AS44" i="14"/>
  <c r="AL47" i="14"/>
  <c r="AM47" i="14"/>
  <c r="AK52" i="14"/>
  <c r="AQ43" i="14"/>
  <c r="AO48" i="14"/>
  <c r="AK25" i="16"/>
  <c r="AL25" i="16"/>
  <c r="AN25" i="16"/>
  <c r="AP25" i="16"/>
  <c r="AR25" i="16"/>
  <c r="AO25" i="16"/>
  <c r="AJ25" i="16"/>
  <c r="AM25" i="16"/>
  <c r="AQ25" i="16"/>
  <c r="AS25" i="16"/>
  <c r="AK38" i="16"/>
  <c r="AO38" i="16"/>
  <c r="AL38" i="16"/>
  <c r="AQ38" i="16"/>
  <c r="AR38" i="16"/>
  <c r="AM38" i="16"/>
  <c r="AN38" i="16"/>
  <c r="AS38" i="16"/>
  <c r="AP38" i="16"/>
  <c r="AJ38" i="16"/>
  <c r="AK17" i="16"/>
  <c r="AL17" i="16"/>
  <c r="AM17" i="16"/>
  <c r="AO17" i="16"/>
  <c r="AP17" i="16"/>
  <c r="AS17" i="16"/>
  <c r="AQ17" i="16"/>
  <c r="AN17" i="16"/>
  <c r="AR17" i="16"/>
  <c r="AJ17" i="16"/>
  <c r="AL49" i="15"/>
  <c r="AT49" i="15"/>
  <c r="AP37" i="15"/>
  <c r="AT37" i="15"/>
  <c r="AN31" i="15"/>
  <c r="AT31" i="15"/>
  <c r="AN23" i="15"/>
  <c r="AT23" i="15"/>
  <c r="AP13" i="15"/>
  <c r="AT13" i="15"/>
  <c r="AP21" i="15"/>
  <c r="AT21" i="15"/>
  <c r="AK26" i="15"/>
  <c r="AT26" i="15"/>
  <c r="AN7" i="15"/>
  <c r="AT7" i="15"/>
  <c r="AN15" i="15"/>
  <c r="AT15" i="15"/>
  <c r="AT5" i="14"/>
  <c r="AS47" i="14"/>
  <c r="AQ52" i="14"/>
  <c r="AR54" i="14"/>
  <c r="AP28" i="14"/>
  <c r="AM28" i="14"/>
  <c r="AP46" i="14"/>
  <c r="AP45" i="14"/>
  <c r="AS46" i="14"/>
  <c r="AR45" i="14"/>
  <c r="AL48" i="14"/>
  <c r="AL54" i="14"/>
  <c r="AM48" i="14"/>
  <c r="AN46" i="14"/>
  <c r="AN30" i="14"/>
  <c r="AO30" i="14"/>
  <c r="AS30" i="14"/>
  <c r="AT30" i="14"/>
  <c r="AK30" i="14"/>
  <c r="AM30" i="14"/>
  <c r="AL30" i="14"/>
  <c r="AR30" i="14"/>
  <c r="AP30" i="14"/>
  <c r="AQ30" i="14"/>
  <c r="AO12" i="14"/>
  <c r="AP12" i="14"/>
  <c r="AL12" i="14"/>
  <c r="AM12" i="14"/>
  <c r="AS12" i="14"/>
  <c r="AN12" i="14"/>
  <c r="AQ12" i="14"/>
  <c r="AR12" i="14"/>
  <c r="AT12" i="14"/>
  <c r="AK12" i="14"/>
  <c r="AS52" i="16"/>
  <c r="AN52" i="16"/>
  <c r="AR52" i="16"/>
  <c r="AO45" i="16"/>
  <c r="AK45" i="16"/>
  <c r="AS45" i="16"/>
  <c r="AL45" i="16"/>
  <c r="AN45" i="16"/>
  <c r="AP45" i="16"/>
  <c r="AM45" i="16"/>
  <c r="AQ45" i="16"/>
  <c r="AR45" i="16"/>
  <c r="AJ45" i="16"/>
  <c r="AM51" i="16"/>
  <c r="AN51" i="16"/>
  <c r="AJ51" i="16"/>
  <c r="AL51" i="16"/>
  <c r="AR51" i="16"/>
  <c r="AQ51" i="16"/>
  <c r="AO51" i="16"/>
  <c r="AK31" i="16"/>
  <c r="AL31" i="16"/>
  <c r="AO31" i="16"/>
  <c r="AM31" i="16"/>
  <c r="AQ31" i="16"/>
  <c r="AN31" i="16"/>
  <c r="AP31" i="16"/>
  <c r="AS31" i="16"/>
  <c r="AJ31" i="16"/>
  <c r="AR31" i="16"/>
  <c r="AO21" i="16"/>
  <c r="AK21" i="16"/>
  <c r="AS21" i="16"/>
  <c r="AL21" i="16"/>
  <c r="AM21" i="16"/>
  <c r="AQ21" i="16"/>
  <c r="AR21" i="16"/>
  <c r="AN21" i="16"/>
  <c r="AJ21" i="16"/>
  <c r="AP21" i="16"/>
  <c r="AK19" i="16"/>
  <c r="AL19" i="16"/>
  <c r="AM19" i="16"/>
  <c r="AJ19" i="16"/>
  <c r="AO19" i="16"/>
  <c r="AN19" i="16"/>
  <c r="AQ19" i="16"/>
  <c r="AS19" i="16"/>
  <c r="AR19" i="16"/>
  <c r="AP19" i="16"/>
  <c r="AQ52" i="15"/>
  <c r="AK10" i="16"/>
  <c r="AL10" i="16"/>
  <c r="AM10" i="16"/>
  <c r="AS10" i="16"/>
  <c r="AR10" i="16"/>
  <c r="AO10" i="16"/>
  <c r="AJ10" i="16"/>
  <c r="AN10" i="16"/>
  <c r="AP10" i="16"/>
  <c r="AQ10" i="16"/>
  <c r="AK18" i="16"/>
  <c r="AL18" i="16"/>
  <c r="AM18" i="16"/>
  <c r="AO18" i="16"/>
  <c r="AP18" i="16"/>
  <c r="AN18" i="16"/>
  <c r="AJ18" i="16"/>
  <c r="AQ18" i="16"/>
  <c r="AR18" i="16"/>
  <c r="AS18" i="16"/>
  <c r="AP29" i="15"/>
  <c r="AT29" i="15"/>
  <c r="AL33" i="15"/>
  <c r="AT33" i="15"/>
  <c r="AM24" i="15"/>
  <c r="AT24" i="15"/>
  <c r="AO6" i="15"/>
  <c r="AT6" i="15"/>
  <c r="AL25" i="15"/>
  <c r="AT25" i="15"/>
  <c r="AO14" i="15"/>
  <c r="AT14" i="15"/>
  <c r="AL17" i="15"/>
  <c r="AT17" i="15"/>
  <c r="AT36" i="15"/>
  <c r="AT54" i="14"/>
  <c r="AQ51" i="14"/>
  <c r="AT52" i="14"/>
  <c r="AR52" i="14"/>
  <c r="AP47" i="14"/>
  <c r="AO46" i="14"/>
  <c r="AS51" i="14"/>
  <c r="AM46" i="14"/>
  <c r="AM50" i="14"/>
  <c r="AO29" i="14"/>
  <c r="AT29" i="14"/>
  <c r="AP29" i="14"/>
  <c r="AR29" i="14"/>
  <c r="AS29" i="14"/>
  <c r="AQ29" i="14"/>
  <c r="AK29" i="14"/>
  <c r="AN29" i="14"/>
  <c r="AL29" i="14"/>
  <c r="AM29" i="14"/>
  <c r="AO20" i="14"/>
  <c r="AP20" i="14"/>
  <c r="AN20" i="14"/>
  <c r="AQ20" i="14"/>
  <c r="AS20" i="14"/>
  <c r="AT20" i="14"/>
  <c r="AM20" i="14"/>
  <c r="AR20" i="14"/>
  <c r="AK20" i="14"/>
  <c r="AL20" i="14"/>
  <c r="AP36" i="14"/>
  <c r="AQ36" i="14"/>
  <c r="AS36" i="14"/>
  <c r="AL36" i="14"/>
  <c r="AO36" i="14"/>
  <c r="AM36" i="14"/>
  <c r="AN36" i="14"/>
  <c r="AT36" i="14"/>
  <c r="AK36" i="14"/>
  <c r="AR36" i="14"/>
  <c r="AK24" i="14"/>
  <c r="AS24" i="14"/>
  <c r="AT24" i="14"/>
  <c r="AL24" i="14"/>
  <c r="AM24" i="14"/>
  <c r="AP24" i="14"/>
  <c r="AN24" i="14"/>
  <c r="AO24" i="14"/>
  <c r="AR24" i="14"/>
  <c r="AQ24" i="14"/>
  <c r="AK41" i="14"/>
  <c r="AS41" i="14"/>
  <c r="AL41" i="14"/>
  <c r="AP41" i="14"/>
  <c r="AQ41" i="14"/>
  <c r="AN41" i="14"/>
  <c r="AT41" i="14"/>
  <c r="AM41" i="14"/>
  <c r="AR41" i="14"/>
  <c r="AO41" i="14"/>
  <c r="AR25" i="14"/>
  <c r="AK25" i="14"/>
  <c r="AS25" i="14"/>
  <c r="AM25" i="14"/>
  <c r="AN25" i="14"/>
  <c r="AP25" i="14"/>
  <c r="AQ25" i="14"/>
  <c r="AT25" i="14"/>
  <c r="AL25" i="14"/>
  <c r="AO25" i="14"/>
  <c r="AR9" i="14"/>
  <c r="AK9" i="14"/>
  <c r="AS9" i="14"/>
  <c r="AQ9" i="14"/>
  <c r="AP9" i="14"/>
  <c r="AL9" i="14"/>
  <c r="AN9" i="14"/>
  <c r="AT9" i="14"/>
  <c r="AO9" i="14"/>
  <c r="AM9" i="14"/>
  <c r="AK50" i="16"/>
  <c r="AL50" i="16"/>
  <c r="AR50" i="16"/>
  <c r="AQ50" i="16"/>
  <c r="AS50" i="16"/>
  <c r="AO50" i="16"/>
  <c r="AM50" i="16"/>
  <c r="AN50" i="16"/>
  <c r="AJ50" i="16"/>
  <c r="AL15" i="14"/>
  <c r="AM15" i="14"/>
  <c r="AQ15" i="14"/>
  <c r="AR15" i="14"/>
  <c r="AT15" i="14"/>
  <c r="AK15" i="14"/>
  <c r="AN15" i="14"/>
  <c r="AO15" i="14"/>
  <c r="AS15" i="14"/>
  <c r="AP15" i="14"/>
  <c r="AK16" i="14"/>
  <c r="AS16" i="14"/>
  <c r="AT16" i="14"/>
  <c r="AL16" i="14"/>
  <c r="AR16" i="14"/>
  <c r="AM16" i="14"/>
  <c r="AN16" i="14"/>
  <c r="AP16" i="14"/>
  <c r="AO16" i="14"/>
  <c r="AQ16" i="14"/>
  <c r="AL7" i="14"/>
  <c r="AM7" i="14"/>
  <c r="AO7" i="14"/>
  <c r="AP7" i="14"/>
  <c r="AK7" i="14"/>
  <c r="AR7" i="14"/>
  <c r="AS7" i="14"/>
  <c r="AT7" i="14"/>
  <c r="AN7" i="14"/>
  <c r="AQ7" i="14"/>
  <c r="AK42" i="16"/>
  <c r="AL42" i="16"/>
  <c r="AO42" i="16"/>
  <c r="AQ42" i="16"/>
  <c r="AR42" i="16"/>
  <c r="AS42" i="16"/>
  <c r="AJ42" i="16"/>
  <c r="AN42" i="16"/>
  <c r="AM42" i="16"/>
  <c r="AP42" i="16"/>
  <c r="AK33" i="16"/>
  <c r="AL33" i="16"/>
  <c r="AN33" i="16"/>
  <c r="AO33" i="16"/>
  <c r="AP33" i="16"/>
  <c r="AJ33" i="16"/>
  <c r="AS33" i="16"/>
  <c r="AM33" i="16"/>
  <c r="AQ33" i="16"/>
  <c r="AR33" i="16"/>
  <c r="AK27" i="16"/>
  <c r="AL27" i="16"/>
  <c r="AS27" i="16"/>
  <c r="AP27" i="16"/>
  <c r="AO27" i="16"/>
  <c r="AQ27" i="16"/>
  <c r="AR27" i="16"/>
  <c r="AJ27" i="16"/>
  <c r="AN27" i="16"/>
  <c r="AM27" i="16"/>
  <c r="AO29" i="16"/>
  <c r="AK29" i="16"/>
  <c r="AS29" i="16"/>
  <c r="AL29" i="16"/>
  <c r="AN29" i="16"/>
  <c r="AP29" i="16"/>
  <c r="AM29" i="16"/>
  <c r="AQ29" i="16"/>
  <c r="AR29" i="16"/>
  <c r="AJ29" i="16"/>
  <c r="AK23" i="16"/>
  <c r="AL23" i="16"/>
  <c r="AO23" i="16"/>
  <c r="AM23" i="16"/>
  <c r="AR23" i="16"/>
  <c r="AQ23" i="16"/>
  <c r="AP23" i="16"/>
  <c r="AJ23" i="16"/>
  <c r="AN23" i="16"/>
  <c r="AS23" i="16"/>
  <c r="AK20" i="16"/>
  <c r="AL20" i="16"/>
  <c r="AM20" i="16"/>
  <c r="AQ20" i="16"/>
  <c r="AR20" i="16"/>
  <c r="AS20" i="16"/>
  <c r="AN20" i="16"/>
  <c r="AJ20" i="16"/>
  <c r="AP20" i="16"/>
  <c r="AO20" i="16"/>
  <c r="AP53" i="15"/>
  <c r="AO54" i="15"/>
  <c r="AK42" i="15"/>
  <c r="AT42" i="15"/>
  <c r="AM48" i="15"/>
  <c r="AT48" i="15"/>
  <c r="AR35" i="15"/>
  <c r="AT35" i="15"/>
  <c r="AQ28" i="15"/>
  <c r="AT28" i="15"/>
  <c r="AT18" i="15"/>
  <c r="AK10" i="15"/>
  <c r="AT10" i="15"/>
  <c r="AT47" i="14"/>
  <c r="AO47" i="14"/>
  <c r="AQ47" i="14"/>
  <c r="AP44" i="14"/>
  <c r="AN49" i="14"/>
  <c r="AP27" i="14"/>
  <c r="AQ27" i="14"/>
  <c r="AT27" i="14"/>
  <c r="AO27" i="14"/>
  <c r="AR27" i="14"/>
  <c r="AL27" i="14"/>
  <c r="AM27" i="14"/>
  <c r="AN27" i="14"/>
  <c r="AS27" i="14"/>
  <c r="AK27" i="14"/>
  <c r="AM6" i="14"/>
  <c r="AN6" i="14"/>
  <c r="AL6" i="14"/>
  <c r="AO6" i="14"/>
  <c r="AT6" i="14"/>
  <c r="AQ6" i="14"/>
  <c r="AR6" i="14"/>
  <c r="AS6" i="14"/>
  <c r="AK6" i="14"/>
  <c r="AP6" i="14"/>
  <c r="AK26" i="16"/>
  <c r="AL26" i="16"/>
  <c r="AQ26" i="16"/>
  <c r="AR26" i="16"/>
  <c r="AN26" i="16"/>
  <c r="AJ26" i="16"/>
  <c r="AS26" i="16"/>
  <c r="AO26" i="16"/>
  <c r="AM26" i="16"/>
  <c r="AP26" i="16"/>
  <c r="AK7" i="16"/>
  <c r="AL7" i="16"/>
  <c r="AM7" i="16"/>
  <c r="AO7" i="16"/>
  <c r="AR7" i="16"/>
  <c r="AQ7" i="16"/>
  <c r="AJ7" i="16"/>
  <c r="AP7" i="16"/>
  <c r="AN7" i="16"/>
  <c r="AS7" i="16"/>
  <c r="AK9" i="16"/>
  <c r="AL9" i="16"/>
  <c r="AM9" i="16"/>
  <c r="AP9" i="16"/>
  <c r="AQ9" i="16"/>
  <c r="AJ9" i="16"/>
  <c r="AO9" i="16"/>
  <c r="AN9" i="16"/>
  <c r="AR9" i="16"/>
  <c r="AS9" i="16"/>
  <c r="AO30" i="15"/>
  <c r="AT30" i="15"/>
  <c r="AN39" i="15"/>
  <c r="AT39" i="15"/>
  <c r="AR11" i="15"/>
  <c r="AT11" i="15"/>
  <c r="AO22" i="15"/>
  <c r="AT22" i="15"/>
  <c r="AM44" i="14"/>
  <c r="AO44" i="14"/>
  <c r="AT44" i="14"/>
  <c r="AN47" i="14"/>
  <c r="AN38" i="14"/>
  <c r="AO38" i="14"/>
  <c r="AK38" i="14"/>
  <c r="AL38" i="14"/>
  <c r="AT38" i="14"/>
  <c r="AM38" i="14"/>
  <c r="AS38" i="14"/>
  <c r="AP38" i="14"/>
  <c r="AQ38" i="14"/>
  <c r="AR38" i="14"/>
  <c r="AQ10" i="14"/>
  <c r="AR10" i="14"/>
  <c r="AK10" i="14"/>
  <c r="AL10" i="14"/>
  <c r="AN10" i="14"/>
  <c r="AM10" i="14"/>
  <c r="AS10" i="14"/>
  <c r="AO10" i="14"/>
  <c r="AP10" i="14"/>
  <c r="AT10" i="14"/>
  <c r="AK48" i="16"/>
  <c r="AL48" i="16"/>
  <c r="AS48" i="16"/>
  <c r="AJ48" i="16"/>
  <c r="AM48" i="16"/>
  <c r="AR48" i="16"/>
  <c r="AO48" i="16"/>
  <c r="AN48" i="16"/>
  <c r="AQ48" i="16"/>
  <c r="AP48" i="16"/>
  <c r="AP11" i="14"/>
  <c r="AQ11" i="14"/>
  <c r="AT11" i="14"/>
  <c r="AK11" i="14"/>
  <c r="AL11" i="14"/>
  <c r="AN11" i="14"/>
  <c r="AO11" i="14"/>
  <c r="AR11" i="14"/>
  <c r="AS11" i="14"/>
  <c r="AM11" i="14"/>
  <c r="AO37" i="16"/>
  <c r="AK37" i="16"/>
  <c r="AS37" i="16"/>
  <c r="AL37" i="16"/>
  <c r="AN37" i="16"/>
  <c r="AP37" i="16"/>
  <c r="AJ37" i="16"/>
  <c r="AM37" i="16"/>
  <c r="AQ37" i="16"/>
  <c r="AR37" i="16"/>
  <c r="AK30" i="16"/>
  <c r="AO30" i="16"/>
  <c r="AL30" i="16"/>
  <c r="AQ30" i="16"/>
  <c r="AR30" i="16"/>
  <c r="AJ30" i="16"/>
  <c r="AN30" i="16"/>
  <c r="AM30" i="16"/>
  <c r="AP30" i="16"/>
  <c r="AS30" i="16"/>
  <c r="AK28" i="16"/>
  <c r="AL28" i="16"/>
  <c r="AO28" i="16"/>
  <c r="AJ28" i="16"/>
  <c r="AM28" i="16"/>
  <c r="AS28" i="16"/>
  <c r="AN28" i="16"/>
  <c r="AQ28" i="16"/>
  <c r="AR28" i="16"/>
  <c r="AP28" i="16"/>
  <c r="AK16" i="16"/>
  <c r="AL16" i="16"/>
  <c r="AS16" i="16"/>
  <c r="AM16" i="16"/>
  <c r="AJ16" i="16"/>
  <c r="AP16" i="16"/>
  <c r="AN16" i="16"/>
  <c r="AQ16" i="16"/>
  <c r="AO16" i="16"/>
  <c r="AR16" i="16"/>
  <c r="AK8" i="16"/>
  <c r="AL8" i="16"/>
  <c r="AS8" i="16"/>
  <c r="AM8" i="16"/>
  <c r="AO8" i="16"/>
  <c r="AJ8" i="16"/>
  <c r="AR8" i="16"/>
  <c r="AN8" i="16"/>
  <c r="AP8" i="16"/>
  <c r="AQ8" i="16"/>
  <c r="AN44" i="14"/>
  <c r="AP43" i="14"/>
  <c r="AN43" i="14"/>
  <c r="AM53" i="14"/>
  <c r="AK51" i="14"/>
  <c r="AL40" i="14"/>
  <c r="AM40" i="14"/>
  <c r="AT40" i="14"/>
  <c r="AO40" i="14"/>
  <c r="AP40" i="14"/>
  <c r="AR40" i="14"/>
  <c r="AS40" i="14"/>
  <c r="AN40" i="14"/>
  <c r="AQ40" i="14"/>
  <c r="AK40" i="14"/>
  <c r="AO37" i="14"/>
  <c r="AT37" i="14"/>
  <c r="AP37" i="14"/>
  <c r="AK37" i="14"/>
  <c r="AQ37" i="14"/>
  <c r="AR37" i="14"/>
  <c r="AS37" i="14"/>
  <c r="AM37" i="14"/>
  <c r="AN37" i="14"/>
  <c r="AL37" i="14"/>
  <c r="AK33" i="14"/>
  <c r="AS33" i="14"/>
  <c r="AL33" i="14"/>
  <c r="AN33" i="14"/>
  <c r="AO33" i="14"/>
  <c r="AT33" i="14"/>
  <c r="AM33" i="14"/>
  <c r="AP33" i="14"/>
  <c r="AQ33" i="14"/>
  <c r="AR33" i="14"/>
  <c r="AO28" i="14"/>
  <c r="AN21" i="14"/>
  <c r="AO21" i="14"/>
  <c r="AQ21" i="14"/>
  <c r="AR21" i="14"/>
  <c r="AK21" i="14"/>
  <c r="AM21" i="14"/>
  <c r="AL21" i="14"/>
  <c r="AP21" i="14"/>
  <c r="AT21" i="14"/>
  <c r="AS21" i="14"/>
  <c r="AM31" i="14"/>
  <c r="AN31" i="14"/>
  <c r="AK31" i="14"/>
  <c r="AO31" i="14"/>
  <c r="AR31" i="14"/>
  <c r="AP31" i="14"/>
  <c r="AT31" i="14"/>
  <c r="AQ31" i="14"/>
  <c r="AL31" i="14"/>
  <c r="AS31" i="14"/>
  <c r="AQ18" i="14"/>
  <c r="AR18" i="14"/>
  <c r="AL18" i="14"/>
  <c r="AT18" i="14"/>
  <c r="AM18" i="14"/>
  <c r="AK18" i="14"/>
  <c r="AN18" i="14"/>
  <c r="AS18" i="14"/>
  <c r="AO18" i="14"/>
  <c r="AP18" i="14"/>
  <c r="AK32" i="16"/>
  <c r="AL32" i="16"/>
  <c r="AS32" i="16"/>
  <c r="AJ32" i="16"/>
  <c r="AO32" i="16"/>
  <c r="AM32" i="16"/>
  <c r="AR32" i="16"/>
  <c r="AN32" i="16"/>
  <c r="AP32" i="16"/>
  <c r="AQ32" i="16"/>
  <c r="AK39" i="16"/>
  <c r="AL39" i="16"/>
  <c r="AO39" i="16"/>
  <c r="AR39" i="16"/>
  <c r="AJ39" i="16"/>
  <c r="AP39" i="16"/>
  <c r="AQ39" i="16"/>
  <c r="AM39" i="16"/>
  <c r="AS39" i="16"/>
  <c r="AN39" i="16"/>
  <c r="AK11" i="16"/>
  <c r="AL11" i="16"/>
  <c r="AM11" i="16"/>
  <c r="AJ11" i="16"/>
  <c r="AN11" i="16"/>
  <c r="AR11" i="16"/>
  <c r="AO11" i="16"/>
  <c r="AP11" i="16"/>
  <c r="AQ11" i="16"/>
  <c r="AS11" i="16"/>
  <c r="AP45" i="15"/>
  <c r="AT45" i="15"/>
  <c r="AM40" i="15"/>
  <c r="AT40" i="15"/>
  <c r="AM8" i="15"/>
  <c r="AT8" i="15"/>
  <c r="AR27" i="15"/>
  <c r="AT27" i="15"/>
  <c r="AM16" i="15"/>
  <c r="AT16" i="15"/>
  <c r="AL14" i="25"/>
  <c r="AL30" i="25"/>
  <c r="AL52" i="25"/>
  <c r="AL15" i="25"/>
  <c r="AL20" i="25"/>
  <c r="AL40" i="25"/>
  <c r="AL25" i="25"/>
  <c r="AL49" i="25"/>
  <c r="AL28" i="25"/>
  <c r="AL16" i="25"/>
  <c r="AL35" i="25"/>
  <c r="AL22" i="25"/>
  <c r="AL42" i="25"/>
  <c r="AL17" i="25"/>
  <c r="AL23" i="25"/>
  <c r="AL13" i="25"/>
  <c r="AL36" i="25"/>
  <c r="AL34" i="25"/>
  <c r="AL7" i="25"/>
  <c r="AL44" i="25"/>
  <c r="AL45" i="25"/>
  <c r="AL47" i="25"/>
  <c r="AL37" i="25"/>
  <c r="AL12" i="25"/>
  <c r="AL39" i="25"/>
  <c r="AL18" i="25"/>
  <c r="AL9" i="25"/>
  <c r="AL51" i="25"/>
  <c r="AL33" i="25"/>
  <c r="AL50" i="25"/>
  <c r="AL19" i="25"/>
  <c r="AL26" i="25"/>
  <c r="AL38" i="25"/>
  <c r="AL4" i="25"/>
  <c r="AL10" i="25"/>
  <c r="AL24" i="25"/>
  <c r="AL8" i="25"/>
  <c r="AL48" i="25"/>
  <c r="AL32" i="25"/>
  <c r="AL31" i="25"/>
  <c r="AL46" i="25"/>
  <c r="AL41" i="25"/>
  <c r="AL6" i="25"/>
  <c r="AL53" i="25"/>
  <c r="AL43" i="25"/>
  <c r="AC44" i="25"/>
  <c r="AC20" i="25"/>
  <c r="AC52" i="25"/>
  <c r="AC6" i="25"/>
  <c r="AC7" i="25"/>
  <c r="AC51" i="25"/>
  <c r="AC10" i="25"/>
  <c r="AC9" i="25"/>
  <c r="AC15" i="25"/>
  <c r="AC12" i="25"/>
  <c r="AC45" i="25"/>
  <c r="AC29" i="25"/>
  <c r="AC35" i="25"/>
  <c r="AC40" i="25"/>
  <c r="AC53" i="25"/>
  <c r="AC32" i="25"/>
  <c r="AC47" i="25"/>
  <c r="AC46" i="25"/>
  <c r="AC33" i="25"/>
  <c r="AC43" i="25"/>
  <c r="AC11" i="25"/>
  <c r="AC27" i="25"/>
  <c r="H3" i="21"/>
  <c r="G4" i="21"/>
  <c r="H3" i="19"/>
  <c r="G4" i="19"/>
  <c r="H3" i="20"/>
  <c r="G4" i="20"/>
  <c r="H3" i="17"/>
  <c r="G4" i="17"/>
  <c r="F4" i="15"/>
  <c r="G3" i="15"/>
  <c r="H3" i="18"/>
  <c r="G4" i="18"/>
  <c r="H3" i="16"/>
  <c r="G4" i="16"/>
  <c r="F4" i="14"/>
  <c r="G3" i="14"/>
  <c r="H3" i="13"/>
  <c r="G4" i="13"/>
  <c r="H3" i="12"/>
  <c r="G4" i="12"/>
  <c r="G3" i="11"/>
  <c r="F4" i="11"/>
  <c r="G3" i="9"/>
  <c r="F4" i="9"/>
  <c r="AU5" i="14" l="1"/>
  <c r="H21" i="26"/>
  <c r="AT54" i="16"/>
  <c r="AT53" i="16"/>
  <c r="AU49" i="14"/>
  <c r="AU54" i="14"/>
  <c r="AU51" i="14"/>
  <c r="AU52" i="14"/>
  <c r="AU53" i="14"/>
  <c r="AU50" i="14"/>
  <c r="AT5" i="16"/>
  <c r="AU48" i="14"/>
  <c r="AU19" i="14"/>
  <c r="AU42" i="14"/>
  <c r="AT46" i="16"/>
  <c r="AU43" i="14"/>
  <c r="AT10" i="16"/>
  <c r="AT6" i="16"/>
  <c r="AU45" i="14"/>
  <c r="AT8" i="16"/>
  <c r="AT20" i="16"/>
  <c r="AT21" i="16"/>
  <c r="AT17" i="16"/>
  <c r="AT13" i="16"/>
  <c r="AT47" i="16"/>
  <c r="AU37" i="14"/>
  <c r="AU6" i="14"/>
  <c r="AT37" i="16"/>
  <c r="AT7" i="16"/>
  <c r="AU7" i="14"/>
  <c r="AT51" i="16"/>
  <c r="AU12" i="14"/>
  <c r="AU47" i="14"/>
  <c r="AT25" i="16"/>
  <c r="AT36" i="16"/>
  <c r="AT49" i="16"/>
  <c r="AU8" i="14"/>
  <c r="AU46" i="14"/>
  <c r="AT12" i="16"/>
  <c r="AT50" i="16"/>
  <c r="AU24" i="14"/>
  <c r="AU29" i="14"/>
  <c r="AU17" i="14"/>
  <c r="AU44" i="14"/>
  <c r="AU10" i="14"/>
  <c r="AU9" i="14"/>
  <c r="AT35" i="16"/>
  <c r="AU32" i="14"/>
  <c r="AU26" i="14"/>
  <c r="AT43" i="16"/>
  <c r="AT40" i="16"/>
  <c r="AT11" i="16"/>
  <c r="AU33" i="14"/>
  <c r="AT26" i="16"/>
  <c r="AU27" i="14"/>
  <c r="AT23" i="16"/>
  <c r="AT29" i="16"/>
  <c r="AT33" i="16"/>
  <c r="AU15" i="14"/>
  <c r="AU36" i="14"/>
  <c r="AT31" i="16"/>
  <c r="AT45" i="16"/>
  <c r="AT38" i="16"/>
  <c r="AT15" i="16"/>
  <c r="AU13" i="14"/>
  <c r="AU34" i="14"/>
  <c r="AU35" i="14"/>
  <c r="AT34" i="16"/>
  <c r="AU28" i="14"/>
  <c r="AT39" i="16"/>
  <c r="AU31" i="14"/>
  <c r="AU21" i="14"/>
  <c r="AT16" i="16"/>
  <c r="AU38" i="14"/>
  <c r="AT42" i="16"/>
  <c r="AU25" i="14"/>
  <c r="AT18" i="16"/>
  <c r="AT19" i="16"/>
  <c r="AT14" i="16"/>
  <c r="AT24" i="16"/>
  <c r="AU11" i="14"/>
  <c r="AU20" i="14"/>
  <c r="AT52" i="16"/>
  <c r="AU14" i="14"/>
  <c r="AT44" i="16"/>
  <c r="AU22" i="14"/>
  <c r="AU40" i="14"/>
  <c r="AU16" i="14"/>
  <c r="AT22" i="16"/>
  <c r="AU23" i="14"/>
  <c r="AT41" i="16"/>
  <c r="AT32" i="16"/>
  <c r="AU18" i="14"/>
  <c r="AT28" i="16"/>
  <c r="AT30" i="16"/>
  <c r="AT48" i="16"/>
  <c r="AT9" i="16"/>
  <c r="AT27" i="16"/>
  <c r="AU41" i="14"/>
  <c r="AU30" i="14"/>
  <c r="AU39" i="14"/>
  <c r="I3" i="21"/>
  <c r="H4" i="21"/>
  <c r="I3" i="19"/>
  <c r="H4" i="19"/>
  <c r="I3" i="20"/>
  <c r="H4" i="20"/>
  <c r="I3" i="17"/>
  <c r="H4" i="17"/>
  <c r="H3" i="15"/>
  <c r="G4" i="15"/>
  <c r="I3" i="18"/>
  <c r="H4" i="18"/>
  <c r="H4" i="16"/>
  <c r="I3" i="16"/>
  <c r="G4" i="14"/>
  <c r="H3" i="14"/>
  <c r="H4" i="13"/>
  <c r="I3" i="13"/>
  <c r="I3" i="12"/>
  <c r="H4" i="12"/>
  <c r="G4" i="11"/>
  <c r="H3" i="11"/>
  <c r="H3" i="9"/>
  <c r="G4" i="9"/>
  <c r="J3" i="21" l="1"/>
  <c r="I4" i="21"/>
  <c r="J3" i="19"/>
  <c r="I4" i="19"/>
  <c r="J3" i="20"/>
  <c r="I4" i="20"/>
  <c r="J3" i="17"/>
  <c r="I4" i="17"/>
  <c r="I3" i="15"/>
  <c r="H4" i="15"/>
  <c r="J3" i="18"/>
  <c r="I4" i="18"/>
  <c r="J3" i="16"/>
  <c r="I4" i="16"/>
  <c r="H4" i="14"/>
  <c r="I3" i="14"/>
  <c r="J3" i="13"/>
  <c r="I4" i="13"/>
  <c r="J3" i="12"/>
  <c r="I4" i="12"/>
  <c r="I3" i="11"/>
  <c r="H4" i="11"/>
  <c r="I3" i="9"/>
  <c r="H4" i="9"/>
  <c r="J4" i="21" l="1"/>
  <c r="K3" i="21"/>
  <c r="J4" i="19"/>
  <c r="K3" i="19"/>
  <c r="J4" i="20"/>
  <c r="K3" i="20"/>
  <c r="J4" i="17"/>
  <c r="K3" i="17"/>
  <c r="J3" i="15"/>
  <c r="I4" i="15"/>
  <c r="J4" i="18"/>
  <c r="K3" i="18"/>
  <c r="J4" i="16"/>
  <c r="K3" i="16"/>
  <c r="J3" i="14"/>
  <c r="I4" i="14"/>
  <c r="J4" i="13"/>
  <c r="K3" i="13"/>
  <c r="J4" i="12"/>
  <c r="K3" i="12"/>
  <c r="J3" i="11"/>
  <c r="I4" i="11"/>
  <c r="I4" i="9"/>
  <c r="J3" i="9"/>
  <c r="K4" i="21" l="1"/>
  <c r="L3" i="21"/>
  <c r="K4" i="19"/>
  <c r="L3" i="19"/>
  <c r="K4" i="20"/>
  <c r="L3" i="20"/>
  <c r="K4" i="17"/>
  <c r="L3" i="17"/>
  <c r="K3" i="15"/>
  <c r="J4" i="15"/>
  <c r="K4" i="18"/>
  <c r="L3" i="18"/>
  <c r="K4" i="16"/>
  <c r="L3" i="16"/>
  <c r="K3" i="14"/>
  <c r="J4" i="14"/>
  <c r="K4" i="13"/>
  <c r="L3" i="13"/>
  <c r="K4" i="12"/>
  <c r="L3" i="12"/>
  <c r="K3" i="11"/>
  <c r="J4" i="11"/>
  <c r="J4" i="9"/>
  <c r="K3" i="9"/>
  <c r="M3" i="21" l="1"/>
  <c r="L4" i="21"/>
  <c r="L4" i="19"/>
  <c r="M3" i="19"/>
  <c r="M3" i="20"/>
  <c r="L4" i="20"/>
  <c r="M3" i="17"/>
  <c r="L4" i="17"/>
  <c r="K4" i="15"/>
  <c r="L3" i="15"/>
  <c r="M3" i="18"/>
  <c r="L4" i="18"/>
  <c r="L4" i="16"/>
  <c r="M3" i="16"/>
  <c r="L3" i="14"/>
  <c r="K4" i="14"/>
  <c r="L4" i="13"/>
  <c r="M3" i="13"/>
  <c r="L4" i="12"/>
  <c r="M3" i="12"/>
  <c r="K4" i="11"/>
  <c r="L3" i="11"/>
  <c r="K4" i="9"/>
  <c r="L3" i="9"/>
  <c r="N3" i="21" l="1"/>
  <c r="M4" i="21"/>
  <c r="N3" i="19"/>
  <c r="M4" i="19"/>
  <c r="N3" i="20"/>
  <c r="M4" i="20"/>
  <c r="N3" i="17"/>
  <c r="M4" i="17"/>
  <c r="L4" i="15"/>
  <c r="M3" i="15"/>
  <c r="N3" i="18"/>
  <c r="M4" i="18"/>
  <c r="N3" i="16"/>
  <c r="M4" i="16"/>
  <c r="L4" i="14"/>
  <c r="M3" i="14"/>
  <c r="M4" i="13"/>
  <c r="N3" i="13"/>
  <c r="M4" i="12"/>
  <c r="N3" i="12"/>
  <c r="L4" i="11"/>
  <c r="M3" i="11"/>
  <c r="L4" i="9"/>
  <c r="M3" i="9"/>
  <c r="O3" i="21" l="1"/>
  <c r="N4" i="21"/>
  <c r="O3" i="19"/>
  <c r="N4" i="19"/>
  <c r="O3" i="20"/>
  <c r="N4" i="20"/>
  <c r="O3" i="17"/>
  <c r="N4" i="17"/>
  <c r="N3" i="15"/>
  <c r="M4" i="15"/>
  <c r="O3" i="18"/>
  <c r="N4" i="18"/>
  <c r="O3" i="16"/>
  <c r="N4" i="16"/>
  <c r="M4" i="14"/>
  <c r="N3" i="14"/>
  <c r="O3" i="13"/>
  <c r="N4" i="13"/>
  <c r="O3" i="12"/>
  <c r="N4" i="12"/>
  <c r="M4" i="11"/>
  <c r="N3" i="11"/>
  <c r="N3" i="9"/>
  <c r="M4" i="9"/>
  <c r="P3" i="21" l="1"/>
  <c r="O4" i="21"/>
  <c r="P3" i="19"/>
  <c r="O4" i="19"/>
  <c r="P3" i="20"/>
  <c r="O4" i="20"/>
  <c r="P3" i="17"/>
  <c r="O4" i="17"/>
  <c r="O3" i="15"/>
  <c r="N4" i="15"/>
  <c r="P3" i="18"/>
  <c r="O4" i="18"/>
  <c r="P3" i="16"/>
  <c r="O4" i="16"/>
  <c r="O3" i="14"/>
  <c r="N4" i="14"/>
  <c r="P3" i="13"/>
  <c r="O4" i="13"/>
  <c r="P3" i="12"/>
  <c r="O4" i="12"/>
  <c r="N4" i="11"/>
  <c r="O3" i="11"/>
  <c r="O3" i="9"/>
  <c r="N4" i="9"/>
  <c r="Q3" i="21" l="1"/>
  <c r="P4" i="21"/>
  <c r="Q3" i="19"/>
  <c r="P4" i="19"/>
  <c r="Q3" i="20"/>
  <c r="P4" i="20"/>
  <c r="Q3" i="17"/>
  <c r="P4" i="17"/>
  <c r="P3" i="15"/>
  <c r="O4" i="15"/>
  <c r="Q3" i="18"/>
  <c r="P4" i="18"/>
  <c r="P4" i="16"/>
  <c r="Q3" i="16"/>
  <c r="O4" i="14"/>
  <c r="P3" i="14"/>
  <c r="P4" i="13"/>
  <c r="Q3" i="13"/>
  <c r="P4" i="12"/>
  <c r="Q3" i="12"/>
  <c r="P3" i="11"/>
  <c r="O4" i="11"/>
  <c r="P3" i="9"/>
  <c r="O4" i="9"/>
  <c r="R3" i="21" l="1"/>
  <c r="Q4" i="21"/>
  <c r="R3" i="19"/>
  <c r="Q4" i="19"/>
  <c r="R3" i="20"/>
  <c r="Q4" i="20"/>
  <c r="R3" i="17"/>
  <c r="Q4" i="17"/>
  <c r="Q3" i="15"/>
  <c r="P4" i="15"/>
  <c r="R3" i="18"/>
  <c r="Q4" i="18"/>
  <c r="R3" i="16"/>
  <c r="Q4" i="16"/>
  <c r="Q3" i="14"/>
  <c r="P4" i="14"/>
  <c r="R3" i="13"/>
  <c r="Q4" i="13"/>
  <c r="R3" i="12"/>
  <c r="Q4" i="12"/>
  <c r="Q3" i="11"/>
  <c r="P4" i="11"/>
  <c r="Q3" i="9"/>
  <c r="P4" i="9"/>
  <c r="R4" i="21" l="1"/>
  <c r="S3" i="21"/>
  <c r="S3" i="19"/>
  <c r="R4" i="19"/>
  <c r="R4" i="20"/>
  <c r="S3" i="20"/>
  <c r="R4" i="17"/>
  <c r="S3" i="17"/>
  <c r="R3" i="15"/>
  <c r="Q4" i="15"/>
  <c r="R4" i="18"/>
  <c r="S3" i="18"/>
  <c r="R4" i="16"/>
  <c r="S3" i="16"/>
  <c r="R3" i="14"/>
  <c r="Q4" i="14"/>
  <c r="R4" i="13"/>
  <c r="S3" i="13"/>
  <c r="S3" i="12"/>
  <c r="R4" i="12"/>
  <c r="R3" i="11"/>
  <c r="Q4" i="11"/>
  <c r="Q4" i="9"/>
  <c r="R3" i="9"/>
  <c r="S4" i="21" l="1"/>
  <c r="T3" i="21"/>
  <c r="S4" i="19"/>
  <c r="T3" i="19"/>
  <c r="S4" i="20"/>
  <c r="T3" i="20"/>
  <c r="S4" i="17"/>
  <c r="T3" i="17"/>
  <c r="S3" i="15"/>
  <c r="R4" i="15"/>
  <c r="S4" i="18"/>
  <c r="T3" i="18"/>
  <c r="S4" i="16"/>
  <c r="T3" i="16"/>
  <c r="S3" i="14"/>
  <c r="R4" i="14"/>
  <c r="S4" i="13"/>
  <c r="T3" i="13"/>
  <c r="S4" i="12"/>
  <c r="T3" i="12"/>
  <c r="R4" i="11"/>
  <c r="S3" i="11"/>
  <c r="S3" i="9"/>
  <c r="R4" i="9"/>
  <c r="T4" i="21" l="1"/>
  <c r="U3" i="21"/>
  <c r="T4" i="19"/>
  <c r="U3" i="19"/>
  <c r="U3" i="20"/>
  <c r="T4" i="20"/>
  <c r="T4" i="17"/>
  <c r="U3" i="17"/>
  <c r="S4" i="15"/>
  <c r="T3" i="15"/>
  <c r="T4" i="18"/>
  <c r="U3" i="18"/>
  <c r="T4" i="16"/>
  <c r="U3" i="16"/>
  <c r="S4" i="14"/>
  <c r="T3" i="14"/>
  <c r="T4" i="13"/>
  <c r="U3" i="13"/>
  <c r="T4" i="12"/>
  <c r="U3" i="12"/>
  <c r="S4" i="11"/>
  <c r="T3" i="11"/>
  <c r="S4" i="9"/>
  <c r="T3" i="9"/>
  <c r="U4" i="21" l="1"/>
  <c r="V3" i="21"/>
  <c r="V3" i="19"/>
  <c r="U4" i="19"/>
  <c r="U4" i="20"/>
  <c r="V3" i="20"/>
  <c r="U4" i="17"/>
  <c r="V3" i="17"/>
  <c r="T4" i="15"/>
  <c r="U3" i="15"/>
  <c r="U4" i="18"/>
  <c r="V3" i="18"/>
  <c r="U4" i="16"/>
  <c r="V3" i="16"/>
  <c r="T4" i="14"/>
  <c r="U3" i="14"/>
  <c r="V3" i="13"/>
  <c r="U4" i="13"/>
  <c r="V3" i="12"/>
  <c r="U4" i="12"/>
  <c r="U3" i="11"/>
  <c r="T4" i="11"/>
  <c r="T4" i="9"/>
  <c r="U3" i="9"/>
  <c r="W3" i="21" l="1"/>
  <c r="V4" i="21"/>
  <c r="W3" i="19"/>
  <c r="V4" i="19"/>
  <c r="W3" i="20"/>
  <c r="V4" i="20"/>
  <c r="W3" i="17"/>
  <c r="V4" i="17"/>
  <c r="V3" i="15"/>
  <c r="U4" i="15"/>
  <c r="W3" i="18"/>
  <c r="V4" i="18"/>
  <c r="W3" i="16"/>
  <c r="V4" i="16"/>
  <c r="V3" i="14"/>
  <c r="U4" i="14"/>
  <c r="W3" i="13"/>
  <c r="V4" i="13"/>
  <c r="W3" i="12"/>
  <c r="V4" i="12"/>
  <c r="V3" i="11"/>
  <c r="U4" i="11"/>
  <c r="V3" i="9"/>
  <c r="U4" i="9"/>
  <c r="X3" i="21" l="1"/>
  <c r="W4" i="21"/>
  <c r="X3" i="19"/>
  <c r="W4" i="19"/>
  <c r="X3" i="20"/>
  <c r="W4" i="20"/>
  <c r="X3" i="17"/>
  <c r="W4" i="17"/>
  <c r="V4" i="15"/>
  <c r="W3" i="15"/>
  <c r="X3" i="18"/>
  <c r="W4" i="18"/>
  <c r="X3" i="16"/>
  <c r="W4" i="16"/>
  <c r="V4" i="14"/>
  <c r="W3" i="14"/>
  <c r="X3" i="13"/>
  <c r="W4" i="13"/>
  <c r="X3" i="12"/>
  <c r="W4" i="12"/>
  <c r="W3" i="11"/>
  <c r="V4" i="11"/>
  <c r="W3" i="9"/>
  <c r="V4" i="9"/>
  <c r="Y3" i="21" l="1"/>
  <c r="X4" i="21"/>
  <c r="Y3" i="19"/>
  <c r="X4" i="19"/>
  <c r="Y3" i="20"/>
  <c r="X4" i="20"/>
  <c r="Y3" i="17"/>
  <c r="X4" i="17"/>
  <c r="X3" i="15"/>
  <c r="W4" i="15"/>
  <c r="Y3" i="18"/>
  <c r="X4" i="18"/>
  <c r="Y3" i="16"/>
  <c r="X4" i="16"/>
  <c r="W4" i="14"/>
  <c r="X3" i="14"/>
  <c r="X4" i="13"/>
  <c r="Y3" i="13"/>
  <c r="Y3" i="12"/>
  <c r="X4" i="12"/>
  <c r="X3" i="11"/>
  <c r="W4" i="11"/>
  <c r="X3" i="9"/>
  <c r="W4" i="9"/>
  <c r="Z3" i="21" l="1"/>
  <c r="Y4" i="21"/>
  <c r="Z3" i="19"/>
  <c r="Y4" i="19"/>
  <c r="Z3" i="20"/>
  <c r="Y4" i="20"/>
  <c r="Z3" i="17"/>
  <c r="Y4" i="17"/>
  <c r="Y3" i="15"/>
  <c r="X4" i="15"/>
  <c r="Z3" i="18"/>
  <c r="Y4" i="18"/>
  <c r="Z3" i="16"/>
  <c r="Y4" i="16"/>
  <c r="Y3" i="14"/>
  <c r="X4" i="14"/>
  <c r="Z3" i="13"/>
  <c r="Y4" i="13"/>
  <c r="Z3" i="12"/>
  <c r="Y4" i="12"/>
  <c r="Y3" i="11"/>
  <c r="X4" i="11"/>
  <c r="Y3" i="9"/>
  <c r="X4" i="9"/>
  <c r="Z4" i="21" l="1"/>
  <c r="AA3" i="21"/>
  <c r="Z4" i="19"/>
  <c r="AA3" i="19"/>
  <c r="Z4" i="20"/>
  <c r="AA3" i="20"/>
  <c r="Z4" i="17"/>
  <c r="AA3" i="17"/>
  <c r="Z3" i="15"/>
  <c r="Y4" i="15"/>
  <c r="Z4" i="18"/>
  <c r="AA3" i="18"/>
  <c r="Z4" i="16"/>
  <c r="AA3" i="16"/>
  <c r="Z3" i="14"/>
  <c r="Y4" i="14"/>
  <c r="Z4" i="13"/>
  <c r="AA3" i="13"/>
  <c r="AA3" i="12"/>
  <c r="Z4" i="12"/>
  <c r="Z3" i="11"/>
  <c r="Y4" i="11"/>
  <c r="Y4" i="9"/>
  <c r="Z3" i="9"/>
  <c r="AA4" i="21" l="1"/>
  <c r="AB3" i="21"/>
  <c r="AA4" i="19"/>
  <c r="AB3" i="19"/>
  <c r="AA4" i="20"/>
  <c r="AB3" i="20"/>
  <c r="AA4" i="17"/>
  <c r="AB3" i="17"/>
  <c r="Z4" i="15"/>
  <c r="AA3" i="15"/>
  <c r="AA4" i="18"/>
  <c r="AB3" i="18"/>
  <c r="AA4" i="16"/>
  <c r="AB3" i="16"/>
  <c r="AA3" i="14"/>
  <c r="Z4" i="14"/>
  <c r="AA4" i="13"/>
  <c r="AB3" i="13"/>
  <c r="AA4" i="12"/>
  <c r="AB3" i="12"/>
  <c r="AA3" i="11"/>
  <c r="Z4" i="11"/>
  <c r="Z4" i="9"/>
  <c r="AA3" i="9"/>
  <c r="AC3" i="21" l="1"/>
  <c r="AB4" i="21"/>
  <c r="AB4" i="19"/>
  <c r="AC3" i="19"/>
  <c r="AC3" i="20"/>
  <c r="AB4" i="20"/>
  <c r="AB4" i="17"/>
  <c r="AC3" i="17"/>
  <c r="AA4" i="15"/>
  <c r="AB3" i="15"/>
  <c r="AC3" i="18"/>
  <c r="AB4" i="18"/>
  <c r="AB4" i="16"/>
  <c r="AC3" i="16"/>
  <c r="AA4" i="14"/>
  <c r="AB3" i="14"/>
  <c r="AB4" i="13"/>
  <c r="AC3" i="13"/>
  <c r="AB4" i="12"/>
  <c r="AC3" i="12"/>
  <c r="AA4" i="11"/>
  <c r="AB3" i="11"/>
  <c r="AA4" i="9"/>
  <c r="AB3" i="9"/>
  <c r="AD3" i="21" l="1"/>
  <c r="AC4" i="21"/>
  <c r="AD3" i="19"/>
  <c r="AC4" i="19"/>
  <c r="AC4" i="20"/>
  <c r="AD3" i="20"/>
  <c r="AD3" i="17"/>
  <c r="AC4" i="17"/>
  <c r="AB4" i="15"/>
  <c r="AC3" i="15"/>
  <c r="AD3" i="18"/>
  <c r="AC4" i="18"/>
  <c r="AD3" i="16"/>
  <c r="AC4" i="16"/>
  <c r="AB4" i="14"/>
  <c r="AC3" i="14"/>
  <c r="AD3" i="13"/>
  <c r="AC4" i="13"/>
  <c r="AD3" i="12"/>
  <c r="AC4" i="12"/>
  <c r="AB4" i="11"/>
  <c r="AC3" i="11"/>
  <c r="AB4" i="9"/>
  <c r="AC3" i="9"/>
  <c r="AE3" i="21" l="1"/>
  <c r="AD4" i="21"/>
  <c r="AE3" i="19"/>
  <c r="AD4" i="19"/>
  <c r="AE3" i="20"/>
  <c r="AD4" i="20"/>
  <c r="AE3" i="17"/>
  <c r="AD4" i="17"/>
  <c r="AC4" i="15"/>
  <c r="AD3" i="15"/>
  <c r="AE3" i="18"/>
  <c r="AD4" i="18"/>
  <c r="AE3" i="16"/>
  <c r="AD4" i="16"/>
  <c r="AC4" i="14"/>
  <c r="AD3" i="14"/>
  <c r="AE3" i="13"/>
  <c r="AD4" i="13"/>
  <c r="AE3" i="12"/>
  <c r="AD4" i="12"/>
  <c r="AD3" i="11"/>
  <c r="AC4" i="11"/>
  <c r="AD3" i="9"/>
  <c r="AC4" i="9"/>
  <c r="AF3" i="21" l="1"/>
  <c r="AE4" i="21"/>
  <c r="AF3" i="19"/>
  <c r="AE4" i="19"/>
  <c r="AF3" i="20"/>
  <c r="AE4" i="20"/>
  <c r="AE4" i="17"/>
  <c r="AF3" i="17"/>
  <c r="AE3" i="15"/>
  <c r="AD4" i="15"/>
  <c r="AF3" i="18"/>
  <c r="AE4" i="18"/>
  <c r="AF3" i="16"/>
  <c r="AE4" i="16"/>
  <c r="AD4" i="14"/>
  <c r="AE3" i="14"/>
  <c r="AF3" i="13"/>
  <c r="AE4" i="13"/>
  <c r="AE4" i="12"/>
  <c r="AF3" i="12"/>
  <c r="AE3" i="11"/>
  <c r="AD4" i="11"/>
  <c r="AE3" i="9"/>
  <c r="AD4" i="9"/>
  <c r="AG3" i="21" l="1"/>
  <c r="AF4" i="21"/>
  <c r="AG3" i="19"/>
  <c r="AF4" i="19"/>
  <c r="AG3" i="20"/>
  <c r="AF4" i="20"/>
  <c r="AG3" i="17"/>
  <c r="AF4" i="17"/>
  <c r="AF3" i="15"/>
  <c r="AE4" i="15"/>
  <c r="AG3" i="18"/>
  <c r="AF4" i="18"/>
  <c r="AF4" i="16"/>
  <c r="AG3" i="16"/>
  <c r="AF3" i="14"/>
  <c r="AE4" i="14"/>
  <c r="AG3" i="13"/>
  <c r="AF4" i="13"/>
  <c r="AG3" i="12"/>
  <c r="AF4" i="12"/>
  <c r="AF3" i="11"/>
  <c r="AE4" i="11"/>
  <c r="AF3" i="9"/>
  <c r="AE4" i="9"/>
  <c r="AQ24" i="11" l="1"/>
  <c r="AM24" i="11"/>
  <c r="AH24" i="11"/>
  <c r="AN24" i="11"/>
  <c r="AO24" i="11"/>
  <c r="AP24" i="11"/>
  <c r="AJ24" i="11"/>
  <c r="AI24" i="11"/>
  <c r="AL24" i="11"/>
  <c r="AK24" i="11"/>
  <c r="AH3" i="21"/>
  <c r="AG4" i="21"/>
  <c r="AH3" i="19"/>
  <c r="AG4" i="19"/>
  <c r="AH3" i="20"/>
  <c r="AG4" i="20"/>
  <c r="AH3" i="17"/>
  <c r="AG4" i="17"/>
  <c r="AG3" i="15"/>
  <c r="AF4" i="15"/>
  <c r="AH3" i="18"/>
  <c r="AG4" i="18"/>
  <c r="AH3" i="16"/>
  <c r="AG4" i="16"/>
  <c r="AG3" i="14"/>
  <c r="AF4" i="14"/>
  <c r="AH3" i="13"/>
  <c r="AG4" i="13"/>
  <c r="AH3" i="12"/>
  <c r="AG4" i="12"/>
  <c r="AG3" i="11"/>
  <c r="AF4" i="11"/>
  <c r="AF4" i="9"/>
  <c r="AG3" i="9"/>
  <c r="AP37" i="11" l="1"/>
  <c r="AK37" i="11"/>
  <c r="AO37" i="11"/>
  <c r="AQ37" i="11"/>
  <c r="AN37" i="11"/>
  <c r="AM37" i="11"/>
  <c r="AJ37" i="11"/>
  <c r="AH37" i="11"/>
  <c r="AL37" i="11"/>
  <c r="AI37" i="11"/>
  <c r="AM35" i="11"/>
  <c r="AI35" i="11"/>
  <c r="AJ35" i="11"/>
  <c r="AH35" i="11"/>
  <c r="AP35" i="11"/>
  <c r="AQ35" i="11"/>
  <c r="AK35" i="11"/>
  <c r="AN35" i="11"/>
  <c r="AO35" i="11"/>
  <c r="AL35" i="11"/>
  <c r="AR24" i="11"/>
  <c r="AO53" i="11"/>
  <c r="AP53" i="11"/>
  <c r="AJ53" i="11"/>
  <c r="AL53" i="11"/>
  <c r="AK53" i="11"/>
  <c r="AM53" i="11"/>
  <c r="AI53" i="11"/>
  <c r="AH53" i="11"/>
  <c r="AQ53" i="11"/>
  <c r="AN53" i="11"/>
  <c r="AO41" i="11"/>
  <c r="AI41" i="11"/>
  <c r="AP41" i="11"/>
  <c r="AN41" i="11"/>
  <c r="AQ41" i="11"/>
  <c r="AJ41" i="11"/>
  <c r="AL41" i="11"/>
  <c r="AM41" i="11"/>
  <c r="AK41" i="11"/>
  <c r="AH41" i="11"/>
  <c r="AJ54" i="13"/>
  <c r="AS54" i="13"/>
  <c r="AH4" i="21"/>
  <c r="AI3" i="21"/>
  <c r="AH4" i="19"/>
  <c r="AI3" i="19"/>
  <c r="AH4" i="20"/>
  <c r="AI3" i="20"/>
  <c r="AH4" i="17"/>
  <c r="AI3" i="17"/>
  <c r="AH3" i="15"/>
  <c r="AG4" i="15"/>
  <c r="AH4" i="18"/>
  <c r="AI3" i="18"/>
  <c r="AH4" i="16"/>
  <c r="AI3" i="16"/>
  <c r="AH3" i="14"/>
  <c r="AG4" i="14"/>
  <c r="AH4" i="13"/>
  <c r="AI3" i="13"/>
  <c r="AI3" i="12"/>
  <c r="AH4" i="12"/>
  <c r="AG4" i="11"/>
  <c r="AG4" i="9"/>
  <c r="AH3" i="9"/>
  <c r="AR37" i="11" l="1"/>
  <c r="AR35" i="11"/>
  <c r="AR53" i="11"/>
  <c r="AJ49" i="11"/>
  <c r="AP49" i="11"/>
  <c r="AO49" i="11"/>
  <c r="AH49" i="11"/>
  <c r="AI49" i="11"/>
  <c r="AM49" i="11"/>
  <c r="AQ49" i="11"/>
  <c r="AL49" i="11"/>
  <c r="AN49" i="11"/>
  <c r="AK49" i="11"/>
  <c r="AN18" i="11"/>
  <c r="AO18" i="11"/>
  <c r="AP18" i="11"/>
  <c r="AL18" i="11"/>
  <c r="AQ18" i="11"/>
  <c r="AH18" i="11"/>
  <c r="AJ18" i="11"/>
  <c r="AI18" i="11"/>
  <c r="AM18" i="11"/>
  <c r="AK18" i="11"/>
  <c r="AN13" i="11"/>
  <c r="AO13" i="11"/>
  <c r="AP13" i="11"/>
  <c r="AM13" i="11"/>
  <c r="AH13" i="11"/>
  <c r="AK13" i="11"/>
  <c r="AQ13" i="11"/>
  <c r="AJ13" i="11"/>
  <c r="AL13" i="11"/>
  <c r="AI13" i="11"/>
  <c r="AK22" i="11"/>
  <c r="AJ22" i="11"/>
  <c r="AO22" i="11"/>
  <c r="AI22" i="11"/>
  <c r="AH22" i="11"/>
  <c r="AP22" i="11"/>
  <c r="AL22" i="11"/>
  <c r="AM22" i="11"/>
  <c r="AN22" i="11"/>
  <c r="AQ22" i="11"/>
  <c r="AM33" i="11"/>
  <c r="AJ33" i="11"/>
  <c r="AH33" i="11"/>
  <c r="AQ33" i="11"/>
  <c r="AO33" i="11"/>
  <c r="AN33" i="11"/>
  <c r="AK33" i="11"/>
  <c r="AL33" i="11"/>
  <c r="AP33" i="11"/>
  <c r="AI33" i="11"/>
  <c r="AQ6" i="11"/>
  <c r="AK6" i="11"/>
  <c r="AH6" i="11"/>
  <c r="AI6" i="11"/>
  <c r="AJ6" i="11"/>
  <c r="AL6" i="11"/>
  <c r="AM6" i="11"/>
  <c r="AP6" i="11"/>
  <c r="AN6" i="11"/>
  <c r="AO6" i="11"/>
  <c r="AI43" i="11"/>
  <c r="AN43" i="11"/>
  <c r="AM43" i="11"/>
  <c r="AK43" i="11"/>
  <c r="AQ43" i="11"/>
  <c r="AH43" i="11"/>
  <c r="AP43" i="11"/>
  <c r="AJ43" i="11"/>
  <c r="AO43" i="11"/>
  <c r="AL43" i="11"/>
  <c r="AJ9" i="11"/>
  <c r="AM9" i="11"/>
  <c r="AK9" i="11"/>
  <c r="AQ9" i="11"/>
  <c r="AP9" i="11"/>
  <c r="AN9" i="11"/>
  <c r="AO9" i="11"/>
  <c r="AL9" i="11"/>
  <c r="AI9" i="11"/>
  <c r="AH9" i="11"/>
  <c r="AP26" i="11"/>
  <c r="AM26" i="11"/>
  <c r="AK26" i="11"/>
  <c r="AN26" i="11"/>
  <c r="AQ26" i="11"/>
  <c r="AJ26" i="11"/>
  <c r="AO26" i="11"/>
  <c r="AI26" i="11"/>
  <c r="AL26" i="11"/>
  <c r="AH26" i="11"/>
  <c r="AM30" i="11"/>
  <c r="AH30" i="11"/>
  <c r="AO30" i="11"/>
  <c r="AL30" i="11"/>
  <c r="AP30" i="11"/>
  <c r="AJ30" i="11"/>
  <c r="AI30" i="11"/>
  <c r="AQ30" i="11"/>
  <c r="AK30" i="11"/>
  <c r="AN30" i="11"/>
  <c r="AR41" i="11"/>
  <c r="AP52" i="11"/>
  <c r="AO52" i="11"/>
  <c r="AQ52" i="11"/>
  <c r="AJ52" i="11"/>
  <c r="AK52" i="11"/>
  <c r="AM52" i="11"/>
  <c r="AI52" i="11"/>
  <c r="AN52" i="11"/>
  <c r="AH52" i="11"/>
  <c r="AL52" i="11"/>
  <c r="AN28" i="11"/>
  <c r="AI28" i="11"/>
  <c r="AP28" i="11"/>
  <c r="AK28" i="11"/>
  <c r="AH28" i="11"/>
  <c r="AO28" i="11"/>
  <c r="AL28" i="11"/>
  <c r="AQ28" i="11"/>
  <c r="AM28" i="11"/>
  <c r="AJ28" i="11"/>
  <c r="AL31" i="11"/>
  <c r="AM31" i="11"/>
  <c r="AO31" i="11"/>
  <c r="AK31" i="11"/>
  <c r="AJ31" i="11"/>
  <c r="AQ31" i="11"/>
  <c r="AP31" i="11"/>
  <c r="AN31" i="11"/>
  <c r="AH31" i="11"/>
  <c r="AI31" i="11"/>
  <c r="AJ7" i="11"/>
  <c r="AM7" i="11"/>
  <c r="AN7" i="11"/>
  <c r="AL7" i="11"/>
  <c r="AQ7" i="11"/>
  <c r="AO7" i="11"/>
  <c r="AP7" i="11"/>
  <c r="AI7" i="11"/>
  <c r="AK7" i="11"/>
  <c r="AH7" i="11"/>
  <c r="AM29" i="11"/>
  <c r="AO29" i="11"/>
  <c r="AL29" i="11"/>
  <c r="AH29" i="11"/>
  <c r="AI29" i="11"/>
  <c r="AJ29" i="11"/>
  <c r="AK29" i="11"/>
  <c r="AQ29" i="11"/>
  <c r="AP29" i="11"/>
  <c r="AN29" i="11"/>
  <c r="AM50" i="11"/>
  <c r="AN50" i="11"/>
  <c r="AQ50" i="11"/>
  <c r="AL50" i="11"/>
  <c r="AH50" i="11"/>
  <c r="AO50" i="11"/>
  <c r="AK50" i="11"/>
  <c r="AI50" i="11"/>
  <c r="AJ50" i="11"/>
  <c r="AP50" i="11"/>
  <c r="AK36" i="11"/>
  <c r="AP36" i="11"/>
  <c r="AI36" i="11"/>
  <c r="AL36" i="11"/>
  <c r="AM36" i="11"/>
  <c r="AN36" i="11"/>
  <c r="AJ36" i="11"/>
  <c r="AO36" i="11"/>
  <c r="AQ36" i="11"/>
  <c r="AH36" i="11"/>
  <c r="AH46" i="11"/>
  <c r="AO46" i="11"/>
  <c r="AM46" i="11"/>
  <c r="AN46" i="11"/>
  <c r="AQ46" i="11"/>
  <c r="AL46" i="11"/>
  <c r="AI46" i="11"/>
  <c r="AK46" i="11"/>
  <c r="AJ46" i="11"/>
  <c r="AP46" i="11"/>
  <c r="AH32" i="11"/>
  <c r="AQ32" i="11"/>
  <c r="AP32" i="11"/>
  <c r="AO32" i="11"/>
  <c r="AK32" i="11"/>
  <c r="AN32" i="11"/>
  <c r="AJ32" i="11"/>
  <c r="AM32" i="11"/>
  <c r="AI32" i="11"/>
  <c r="AL32" i="11"/>
  <c r="AN10" i="11"/>
  <c r="AM10" i="11"/>
  <c r="AQ10" i="11"/>
  <c r="AI10" i="11"/>
  <c r="AP10" i="11"/>
  <c r="AJ10" i="11"/>
  <c r="AK10" i="11"/>
  <c r="AH10" i="11"/>
  <c r="AO10" i="11"/>
  <c r="AL10" i="11"/>
  <c r="AQ27" i="11"/>
  <c r="AN27" i="11"/>
  <c r="AH27" i="11"/>
  <c r="AO27" i="11"/>
  <c r="AP27" i="11"/>
  <c r="AI27" i="11"/>
  <c r="AJ27" i="11"/>
  <c r="AK27" i="11"/>
  <c r="AM27" i="11"/>
  <c r="AL27" i="11"/>
  <c r="AL54" i="11"/>
  <c r="AP54" i="11"/>
  <c r="AH54" i="11"/>
  <c r="AM54" i="11"/>
  <c r="AN54" i="11"/>
  <c r="AO54" i="11"/>
  <c r="AQ54" i="11"/>
  <c r="AI54" i="11"/>
  <c r="AK54" i="11"/>
  <c r="AJ54" i="11"/>
  <c r="AK51" i="11"/>
  <c r="AJ51" i="11"/>
  <c r="AN51" i="11"/>
  <c r="AQ51" i="11"/>
  <c r="AM51" i="11"/>
  <c r="AH51" i="11"/>
  <c r="AP51" i="11"/>
  <c r="AL51" i="11"/>
  <c r="AO51" i="11"/>
  <c r="AI51" i="11"/>
  <c r="AQ45" i="11"/>
  <c r="AM45" i="11"/>
  <c r="AP45" i="11"/>
  <c r="AI45" i="11"/>
  <c r="AN45" i="11"/>
  <c r="AH45" i="11"/>
  <c r="AK45" i="11"/>
  <c r="AO45" i="11"/>
  <c r="AJ45" i="11"/>
  <c r="AL45" i="11"/>
  <c r="AK11" i="11"/>
  <c r="AQ11" i="11"/>
  <c r="AJ11" i="11"/>
  <c r="AP11" i="11"/>
  <c r="AN11" i="11"/>
  <c r="AL11" i="11"/>
  <c r="AM11" i="11"/>
  <c r="AH11" i="11"/>
  <c r="AI11" i="11"/>
  <c r="AO11" i="11"/>
  <c r="AK15" i="11"/>
  <c r="AP15" i="11"/>
  <c r="AO15" i="11"/>
  <c r="AJ15" i="11"/>
  <c r="AQ15" i="11"/>
  <c r="AI15" i="11"/>
  <c r="AL15" i="11"/>
  <c r="AN15" i="11"/>
  <c r="AM15" i="11"/>
  <c r="AH15" i="11"/>
  <c r="AH20" i="11"/>
  <c r="AQ20" i="11"/>
  <c r="AO20" i="11"/>
  <c r="AI20" i="11"/>
  <c r="AN20" i="11"/>
  <c r="AJ20" i="11"/>
  <c r="AM20" i="11"/>
  <c r="AL20" i="11"/>
  <c r="AP20" i="11"/>
  <c r="AK20" i="11"/>
  <c r="AK39" i="11"/>
  <c r="AQ39" i="11"/>
  <c r="AO39" i="11"/>
  <c r="AH39" i="11"/>
  <c r="AJ39" i="11"/>
  <c r="AI39" i="11"/>
  <c r="AP39" i="11"/>
  <c r="AM39" i="11"/>
  <c r="AL39" i="11"/>
  <c r="AN39" i="11"/>
  <c r="AH38" i="11"/>
  <c r="AL38" i="11"/>
  <c r="AK38" i="11"/>
  <c r="AQ38" i="11"/>
  <c r="AM38" i="11"/>
  <c r="AO38" i="11"/>
  <c r="AI38" i="11"/>
  <c r="AJ38" i="11"/>
  <c r="AN38" i="11"/>
  <c r="AP38" i="11"/>
  <c r="AO25" i="11"/>
  <c r="AM25" i="11"/>
  <c r="AP25" i="11"/>
  <c r="AI25" i="11"/>
  <c r="AJ25" i="11"/>
  <c r="AH25" i="11"/>
  <c r="AK25" i="11"/>
  <c r="AQ25" i="11"/>
  <c r="AL25" i="11"/>
  <c r="AN25" i="11"/>
  <c r="AN16" i="11"/>
  <c r="AL16" i="11"/>
  <c r="AJ16" i="11"/>
  <c r="AM16" i="11"/>
  <c r="AI16" i="11"/>
  <c r="AQ16" i="11"/>
  <c r="AO16" i="11"/>
  <c r="AP16" i="11"/>
  <c r="AH16" i="11"/>
  <c r="AK16" i="11"/>
  <c r="AQ21" i="11"/>
  <c r="AP21" i="11"/>
  <c r="AJ21" i="11"/>
  <c r="AN21" i="11"/>
  <c r="AO21" i="11"/>
  <c r="AL21" i="11"/>
  <c r="AM21" i="11"/>
  <c r="AH21" i="11"/>
  <c r="AK21" i="11"/>
  <c r="AI21" i="11"/>
  <c r="AH17" i="11"/>
  <c r="AJ17" i="11"/>
  <c r="AO17" i="11"/>
  <c r="AN17" i="11"/>
  <c r="AI17" i="11"/>
  <c r="AM17" i="11"/>
  <c r="AP17" i="11"/>
  <c r="AQ17" i="11"/>
  <c r="AL17" i="11"/>
  <c r="AK17" i="11"/>
  <c r="AJ34" i="11"/>
  <c r="AN34" i="11"/>
  <c r="AI34" i="11"/>
  <c r="AO34" i="11"/>
  <c r="AQ34" i="11"/>
  <c r="AK34" i="11"/>
  <c r="AM34" i="11"/>
  <c r="AL34" i="11"/>
  <c r="AP34" i="11"/>
  <c r="AH34" i="11"/>
  <c r="AO44" i="11"/>
  <c r="AK44" i="11"/>
  <c r="AL44" i="11"/>
  <c r="AM44" i="11"/>
  <c r="AI44" i="11"/>
  <c r="AJ44" i="11"/>
  <c r="AH44" i="11"/>
  <c r="AN44" i="11"/>
  <c r="AQ44" i="11"/>
  <c r="AP44" i="11"/>
  <c r="AJ14" i="11"/>
  <c r="AL14" i="11"/>
  <c r="AH14" i="11"/>
  <c r="AP14" i="11"/>
  <c r="AK14" i="11"/>
  <c r="AQ14" i="11"/>
  <c r="AI14" i="11"/>
  <c r="AN14" i="11"/>
  <c r="AM14" i="11"/>
  <c r="AO14" i="11"/>
  <c r="AQ5" i="11"/>
  <c r="AN5" i="11"/>
  <c r="AJ5" i="11"/>
  <c r="AI5" i="11"/>
  <c r="AH5" i="11"/>
  <c r="AK5" i="11"/>
  <c r="AM5" i="11"/>
  <c r="AP5" i="11"/>
  <c r="AO5" i="11"/>
  <c r="AL5" i="11"/>
  <c r="AJ8" i="11"/>
  <c r="AN8" i="11"/>
  <c r="AP8" i="11"/>
  <c r="AL8" i="11"/>
  <c r="AM8" i="11"/>
  <c r="AH8" i="11"/>
  <c r="AK8" i="11"/>
  <c r="AI8" i="11"/>
  <c r="AQ8" i="11"/>
  <c r="AO8" i="11"/>
  <c r="AK47" i="11"/>
  <c r="AJ47" i="11"/>
  <c r="AL47" i="11"/>
  <c r="AM47" i="11"/>
  <c r="AO47" i="11"/>
  <c r="AQ47" i="11"/>
  <c r="AP47" i="11"/>
  <c r="AN47" i="11"/>
  <c r="AH47" i="11"/>
  <c r="AI47" i="11"/>
  <c r="AK40" i="11"/>
  <c r="AO40" i="11"/>
  <c r="AQ40" i="11"/>
  <c r="AM40" i="11"/>
  <c r="AN40" i="11"/>
  <c r="AJ40" i="11"/>
  <c r="AH40" i="11"/>
  <c r="AL40" i="11"/>
  <c r="AI40" i="11"/>
  <c r="AP40" i="11"/>
  <c r="AM42" i="11"/>
  <c r="AL42" i="11"/>
  <c r="AH42" i="11"/>
  <c r="AK42" i="11"/>
  <c r="AQ42" i="11"/>
  <c r="AP42" i="11"/>
  <c r="AO42" i="11"/>
  <c r="AJ42" i="11"/>
  <c r="AN42" i="11"/>
  <c r="AI42" i="11"/>
  <c r="AN19" i="11"/>
  <c r="AH19" i="11"/>
  <c r="AJ19" i="11"/>
  <c r="AP19" i="11"/>
  <c r="AK19" i="11"/>
  <c r="AI19" i="11"/>
  <c r="AQ19" i="11"/>
  <c r="AM19" i="11"/>
  <c r="AL19" i="11"/>
  <c r="AO19" i="11"/>
  <c r="AJ23" i="11"/>
  <c r="AH23" i="11"/>
  <c r="AN23" i="11"/>
  <c r="AQ23" i="11"/>
  <c r="AP23" i="11"/>
  <c r="AO23" i="11"/>
  <c r="AK23" i="11"/>
  <c r="AM23" i="11"/>
  <c r="AL23" i="11"/>
  <c r="AI23" i="11"/>
  <c r="AM12" i="11"/>
  <c r="AH12" i="11"/>
  <c r="AK12" i="11"/>
  <c r="AI12" i="11"/>
  <c r="AO12" i="11"/>
  <c r="AQ12" i="11"/>
  <c r="AP12" i="11"/>
  <c r="AJ12" i="11"/>
  <c r="AN12" i="11"/>
  <c r="AL12" i="11"/>
  <c r="AK48" i="11"/>
  <c r="AM48" i="11"/>
  <c r="AI48" i="11"/>
  <c r="AH48" i="11"/>
  <c r="AN48" i="11"/>
  <c r="AQ48" i="11"/>
  <c r="AJ48" i="11"/>
  <c r="AL48" i="11"/>
  <c r="AP48" i="11"/>
  <c r="AO48" i="11"/>
  <c r="AJ39" i="13"/>
  <c r="AS39" i="13"/>
  <c r="AJ50" i="13"/>
  <c r="AS50" i="13"/>
  <c r="AJ20" i="13"/>
  <c r="AS20" i="13"/>
  <c r="AJ24" i="13"/>
  <c r="AS24" i="13"/>
  <c r="AS17" i="13"/>
  <c r="AJ17" i="13"/>
  <c r="AS13" i="13"/>
  <c r="AJ13" i="13"/>
  <c r="AI4" i="21"/>
  <c r="AJ3" i="21"/>
  <c r="AJ4" i="21" s="1"/>
  <c r="AI4" i="19"/>
  <c r="AJ3" i="19"/>
  <c r="AJ4" i="19" s="1"/>
  <c r="AI4" i="20"/>
  <c r="AI4" i="17"/>
  <c r="AJ3" i="17"/>
  <c r="AI3" i="15"/>
  <c r="AH4" i="15"/>
  <c r="AI4" i="18"/>
  <c r="AI4" i="16"/>
  <c r="AI3" i="14"/>
  <c r="AH4" i="14"/>
  <c r="AI4" i="13"/>
  <c r="AI4" i="12"/>
  <c r="AJ3" i="12"/>
  <c r="AH4" i="9"/>
  <c r="AI3" i="9"/>
  <c r="AR19" i="11" l="1"/>
  <c r="AR34" i="11"/>
  <c r="AR15" i="11"/>
  <c r="AR45" i="11"/>
  <c r="AR7" i="11"/>
  <c r="AR6" i="11"/>
  <c r="AR9" i="11"/>
  <c r="AR40" i="11"/>
  <c r="AR47" i="11"/>
  <c r="AR5" i="11"/>
  <c r="AR16" i="11"/>
  <c r="AR20" i="11"/>
  <c r="AR54" i="11"/>
  <c r="AR32" i="11"/>
  <c r="AR52" i="11"/>
  <c r="AR42" i="11"/>
  <c r="AR44" i="11"/>
  <c r="AR27" i="11"/>
  <c r="AR46" i="11"/>
  <c r="AR50" i="11"/>
  <c r="AR28" i="11"/>
  <c r="AR30" i="11"/>
  <c r="AR49" i="11"/>
  <c r="AR14" i="11"/>
  <c r="AR39" i="11"/>
  <c r="AR51" i="11"/>
  <c r="AR36" i="11"/>
  <c r="AR33" i="11"/>
  <c r="AR22" i="11"/>
  <c r="AR48" i="11"/>
  <c r="AR17" i="11"/>
  <c r="AR38" i="11"/>
  <c r="AR31" i="11"/>
  <c r="AR26" i="11"/>
  <c r="AR43" i="11"/>
  <c r="AR12" i="11"/>
  <c r="AR8" i="11"/>
  <c r="AR25" i="11"/>
  <c r="AR11" i="11"/>
  <c r="AR29" i="11"/>
  <c r="AR13" i="11"/>
  <c r="AR18" i="11"/>
  <c r="AR23" i="11"/>
  <c r="AR21" i="11"/>
  <c r="AR10" i="11"/>
  <c r="AK36" i="17"/>
  <c r="AS36" i="17"/>
  <c r="AL36" i="17"/>
  <c r="AN36" i="17"/>
  <c r="AO36" i="17"/>
  <c r="AM36" i="17"/>
  <c r="AQ36" i="17"/>
  <c r="AP36" i="17"/>
  <c r="AT36" i="17"/>
  <c r="AR36" i="17"/>
  <c r="AK38" i="17"/>
  <c r="AT38" i="17"/>
  <c r="AR38" i="17"/>
  <c r="AP38" i="17"/>
  <c r="AQ38" i="17"/>
  <c r="AN38" i="17"/>
  <c r="AL38" i="17"/>
  <c r="AM38" i="17"/>
  <c r="AS38" i="17"/>
  <c r="AO38" i="17"/>
  <c r="AK39" i="17"/>
  <c r="AM39" i="17"/>
  <c r="AL39" i="17"/>
  <c r="AN39" i="17"/>
  <c r="AP39" i="17"/>
  <c r="AS39" i="17"/>
  <c r="AT39" i="17"/>
  <c r="AQ39" i="17"/>
  <c r="AR39" i="17"/>
  <c r="AO39" i="17"/>
  <c r="AK33" i="17"/>
  <c r="AP33" i="17"/>
  <c r="AO33" i="17"/>
  <c r="AS33" i="17"/>
  <c r="AQ33" i="17"/>
  <c r="AN33" i="17"/>
  <c r="AL33" i="17"/>
  <c r="AT33" i="17"/>
  <c r="AM33" i="17"/>
  <c r="AR33" i="17"/>
  <c r="AK50" i="17"/>
  <c r="AN50" i="17"/>
  <c r="AL50" i="17"/>
  <c r="AO50" i="17"/>
  <c r="AP50" i="17"/>
  <c r="AM50" i="17"/>
  <c r="AR50" i="17"/>
  <c r="AT50" i="17"/>
  <c r="AS50" i="17"/>
  <c r="AQ50" i="17"/>
  <c r="AK34" i="17"/>
  <c r="AO34" i="17"/>
  <c r="AL34" i="17"/>
  <c r="AN34" i="17"/>
  <c r="AQ34" i="17"/>
  <c r="AS34" i="17"/>
  <c r="AM34" i="17"/>
  <c r="AT34" i="17"/>
  <c r="AP34" i="17"/>
  <c r="AR34" i="17"/>
  <c r="AM46" i="18"/>
  <c r="AK46" i="18"/>
  <c r="AJ46" i="18"/>
  <c r="AR46" i="18"/>
  <c r="AP46" i="18"/>
  <c r="AN46" i="18"/>
  <c r="AQ46" i="18"/>
  <c r="AS46" i="18"/>
  <c r="AO46" i="18"/>
  <c r="AL46" i="18"/>
  <c r="AM35" i="18"/>
  <c r="AK35" i="18"/>
  <c r="AN35" i="18"/>
  <c r="AS35" i="18"/>
  <c r="AP35" i="18"/>
  <c r="AO35" i="18"/>
  <c r="AL35" i="18"/>
  <c r="AJ35" i="18"/>
  <c r="AR35" i="18"/>
  <c r="AQ35" i="18"/>
  <c r="AK53" i="18"/>
  <c r="AS53" i="18"/>
  <c r="AR53" i="18"/>
  <c r="AO53" i="18"/>
  <c r="AN53" i="18"/>
  <c r="AJ53" i="18"/>
  <c r="AM53" i="18"/>
  <c r="AQ53" i="18"/>
  <c r="AL53" i="18"/>
  <c r="AP53" i="18"/>
  <c r="AO19" i="18"/>
  <c r="AP19" i="18"/>
  <c r="AN19" i="18"/>
  <c r="AS19" i="18"/>
  <c r="AL19" i="18"/>
  <c r="AK19" i="18"/>
  <c r="AJ19" i="18"/>
  <c r="AM19" i="18"/>
  <c r="AR19" i="18"/>
  <c r="AQ19" i="18"/>
  <c r="AR25" i="18"/>
  <c r="AN25" i="18"/>
  <c r="AM25" i="18"/>
  <c r="AO25" i="18"/>
  <c r="AQ25" i="18"/>
  <c r="AP25" i="18"/>
  <c r="AL25" i="18"/>
  <c r="AS25" i="18"/>
  <c r="AJ25" i="18"/>
  <c r="AK25" i="18"/>
  <c r="AK14" i="18"/>
  <c r="AS14" i="18"/>
  <c r="AR14" i="18"/>
  <c r="AQ14" i="18"/>
  <c r="AN14" i="18"/>
  <c r="AL14" i="18"/>
  <c r="AO14" i="18"/>
  <c r="AP14" i="18"/>
  <c r="AM14" i="18"/>
  <c r="AJ14" i="18"/>
  <c r="AS42" i="18"/>
  <c r="AJ42" i="18"/>
  <c r="AO42" i="18"/>
  <c r="AQ42" i="18"/>
  <c r="AK42" i="18"/>
  <c r="AR42" i="18"/>
  <c r="AL42" i="18"/>
  <c r="AM42" i="18"/>
  <c r="AN42" i="18"/>
  <c r="AP42" i="18"/>
  <c r="AM32" i="18"/>
  <c r="AN32" i="18"/>
  <c r="AS32" i="18"/>
  <c r="AJ32" i="18"/>
  <c r="AO32" i="18"/>
  <c r="AK32" i="18"/>
  <c r="AR32" i="18"/>
  <c r="AQ32" i="18"/>
  <c r="AL32" i="18"/>
  <c r="AP32" i="18"/>
  <c r="AR49" i="18"/>
  <c r="AQ49" i="18"/>
  <c r="AK49" i="18"/>
  <c r="AL49" i="18"/>
  <c r="AO49" i="18"/>
  <c r="AN49" i="18"/>
  <c r="AM49" i="18"/>
  <c r="AJ49" i="18"/>
  <c r="AP49" i="18"/>
  <c r="AS49" i="18"/>
  <c r="AL15" i="18"/>
  <c r="AN15" i="18"/>
  <c r="AK15" i="18"/>
  <c r="AP15" i="18"/>
  <c r="AM15" i="18"/>
  <c r="AQ15" i="18"/>
  <c r="AJ15" i="18"/>
  <c r="AO15" i="18"/>
  <c r="AR15" i="18"/>
  <c r="AS15" i="18"/>
  <c r="AM21" i="18"/>
  <c r="AR21" i="18"/>
  <c r="AP21" i="18"/>
  <c r="AQ21" i="18"/>
  <c r="AJ21" i="18"/>
  <c r="AO21" i="18"/>
  <c r="AK21" i="18"/>
  <c r="AS21" i="18"/>
  <c r="AN21" i="18"/>
  <c r="AL21" i="18"/>
  <c r="AM10" i="18"/>
  <c r="AK10" i="18"/>
  <c r="AP10" i="18"/>
  <c r="AL10" i="18"/>
  <c r="AS10" i="18"/>
  <c r="AO10" i="18"/>
  <c r="AN10" i="18"/>
  <c r="AJ10" i="18"/>
  <c r="AR10" i="18"/>
  <c r="AQ10" i="18"/>
  <c r="AN38" i="18"/>
  <c r="AO38" i="18"/>
  <c r="AS38" i="18"/>
  <c r="AK38" i="18"/>
  <c r="AQ38" i="18"/>
  <c r="AL38" i="18"/>
  <c r="AM38" i="18"/>
  <c r="AJ38" i="18"/>
  <c r="AP38" i="18"/>
  <c r="AR38" i="18"/>
  <c r="AK5" i="18"/>
  <c r="AO5" i="18"/>
  <c r="AQ5" i="18"/>
  <c r="AJ5" i="18"/>
  <c r="AM5" i="18"/>
  <c r="AR5" i="18"/>
  <c r="AP5" i="18"/>
  <c r="AS5" i="18"/>
  <c r="AL5" i="18"/>
  <c r="AN5" i="18"/>
  <c r="AN45" i="18"/>
  <c r="AO45" i="18"/>
  <c r="AL45" i="18"/>
  <c r="AQ45" i="18"/>
  <c r="AK45" i="18"/>
  <c r="AP45" i="18"/>
  <c r="AR45" i="18"/>
  <c r="AS45" i="18"/>
  <c r="AJ45" i="18"/>
  <c r="AM45" i="18"/>
  <c r="AL28" i="18"/>
  <c r="AP28" i="18"/>
  <c r="AJ28" i="18"/>
  <c r="AK28" i="18"/>
  <c r="AR28" i="18"/>
  <c r="AO28" i="18"/>
  <c r="AN28" i="18"/>
  <c r="AM28" i="18"/>
  <c r="AQ28" i="18"/>
  <c r="AS28" i="18"/>
  <c r="AS17" i="18"/>
  <c r="AP17" i="18"/>
  <c r="AN17" i="18"/>
  <c r="AJ17" i="18"/>
  <c r="AQ17" i="18"/>
  <c r="AL17" i="18"/>
  <c r="AM17" i="18"/>
  <c r="AR17" i="18"/>
  <c r="AK17" i="18"/>
  <c r="AO17" i="18"/>
  <c r="AM6" i="18"/>
  <c r="AJ6" i="18"/>
  <c r="AQ6" i="18"/>
  <c r="AK6" i="18"/>
  <c r="AO6" i="18"/>
  <c r="AN6" i="18"/>
  <c r="AL6" i="18"/>
  <c r="AS6" i="18"/>
  <c r="AR6" i="18"/>
  <c r="AP6" i="18"/>
  <c r="AQ34" i="18"/>
  <c r="AJ34" i="18"/>
  <c r="AR34" i="18"/>
  <c r="AP34" i="18"/>
  <c r="AO34" i="18"/>
  <c r="AS34" i="18"/>
  <c r="AK34" i="18"/>
  <c r="AM34" i="18"/>
  <c r="AN34" i="18"/>
  <c r="AL34" i="18"/>
  <c r="AJ52" i="18"/>
  <c r="AP52" i="18"/>
  <c r="AN52" i="18"/>
  <c r="AO52" i="18"/>
  <c r="AK52" i="18"/>
  <c r="AQ52" i="18"/>
  <c r="AR52" i="18"/>
  <c r="AL52" i="18"/>
  <c r="AS52" i="18"/>
  <c r="AM52" i="18"/>
  <c r="AS41" i="18"/>
  <c r="AL41" i="18"/>
  <c r="AP41" i="18"/>
  <c r="AN41" i="18"/>
  <c r="AM41" i="18"/>
  <c r="AR41" i="18"/>
  <c r="AJ41" i="18"/>
  <c r="AK41" i="18"/>
  <c r="AO41" i="18"/>
  <c r="AQ41" i="18"/>
  <c r="AN24" i="18"/>
  <c r="AO24" i="18"/>
  <c r="AQ24" i="18"/>
  <c r="AR24" i="18"/>
  <c r="AS24" i="18"/>
  <c r="AK24" i="18"/>
  <c r="AJ24" i="18"/>
  <c r="AP24" i="18"/>
  <c r="AM24" i="18"/>
  <c r="AL24" i="18"/>
  <c r="AM13" i="18"/>
  <c r="AP13" i="18"/>
  <c r="AR13" i="18"/>
  <c r="AL13" i="18"/>
  <c r="AO13" i="18"/>
  <c r="AN13" i="18"/>
  <c r="AQ13" i="18"/>
  <c r="AS13" i="18"/>
  <c r="AK13" i="18"/>
  <c r="AJ13" i="18"/>
  <c r="AJ11" i="18"/>
  <c r="AQ11" i="18"/>
  <c r="AL11" i="18"/>
  <c r="AR11" i="18"/>
  <c r="AP11" i="18"/>
  <c r="AN11" i="18"/>
  <c r="AM11" i="18"/>
  <c r="AS11" i="18"/>
  <c r="AO11" i="18"/>
  <c r="AK11" i="18"/>
  <c r="AN51" i="18"/>
  <c r="AK51" i="18"/>
  <c r="AM51" i="18"/>
  <c r="AO51" i="18"/>
  <c r="AL51" i="18"/>
  <c r="AQ51" i="18"/>
  <c r="AP51" i="18"/>
  <c r="AR51" i="18"/>
  <c r="AS51" i="18"/>
  <c r="AJ51" i="18"/>
  <c r="AP48" i="18"/>
  <c r="AJ48" i="18"/>
  <c r="AM48" i="18"/>
  <c r="AL48" i="18"/>
  <c r="AK48" i="18"/>
  <c r="AO48" i="18"/>
  <c r="AS48" i="18"/>
  <c r="AR48" i="18"/>
  <c r="AQ48" i="18"/>
  <c r="AN48" i="18"/>
  <c r="AJ37" i="18"/>
  <c r="AO37" i="18"/>
  <c r="AK37" i="18"/>
  <c r="AP37" i="18"/>
  <c r="AN37" i="18"/>
  <c r="AM37" i="18"/>
  <c r="AS37" i="18"/>
  <c r="AR37" i="18"/>
  <c r="AQ37" i="18"/>
  <c r="AL37" i="18"/>
  <c r="AM20" i="18"/>
  <c r="AL20" i="18"/>
  <c r="AS20" i="18"/>
  <c r="AP20" i="18"/>
  <c r="AN20" i="18"/>
  <c r="AO20" i="18"/>
  <c r="AR20" i="18"/>
  <c r="AJ20" i="18"/>
  <c r="AK20" i="18"/>
  <c r="AQ20" i="18"/>
  <c r="AK30" i="18"/>
  <c r="AJ30" i="18"/>
  <c r="AQ30" i="18"/>
  <c r="AM30" i="18"/>
  <c r="AR30" i="18"/>
  <c r="AP30" i="18"/>
  <c r="AS30" i="18"/>
  <c r="AO30" i="18"/>
  <c r="AN30" i="18"/>
  <c r="AL30" i="18"/>
  <c r="AR7" i="18"/>
  <c r="AM7" i="18"/>
  <c r="AL7" i="18"/>
  <c r="AK7" i="18"/>
  <c r="AJ7" i="18"/>
  <c r="AQ7" i="18"/>
  <c r="AS7" i="18"/>
  <c r="AN7" i="18"/>
  <c r="AP7" i="18"/>
  <c r="AO7" i="18"/>
  <c r="AJ50" i="18"/>
  <c r="AN50" i="18"/>
  <c r="AS50" i="18"/>
  <c r="AM50" i="18"/>
  <c r="AK50" i="18"/>
  <c r="AQ50" i="18"/>
  <c r="AR50" i="18"/>
  <c r="AP50" i="18"/>
  <c r="AO50" i="18"/>
  <c r="AL50" i="18"/>
  <c r="AN47" i="18"/>
  <c r="AL47" i="18"/>
  <c r="AM47" i="18"/>
  <c r="AO47" i="18"/>
  <c r="AK47" i="18"/>
  <c r="AP47" i="18"/>
  <c r="AQ47" i="18"/>
  <c r="AJ47" i="18"/>
  <c r="AS47" i="18"/>
  <c r="AR47" i="18"/>
  <c r="AJ44" i="18"/>
  <c r="AK44" i="18"/>
  <c r="AP44" i="18"/>
  <c r="AL44" i="18"/>
  <c r="AS44" i="18"/>
  <c r="AM44" i="18"/>
  <c r="AN44" i="18"/>
  <c r="AO44" i="18"/>
  <c r="AQ44" i="18"/>
  <c r="AR44" i="18"/>
  <c r="AN31" i="18"/>
  <c r="AS31" i="18"/>
  <c r="AL31" i="18"/>
  <c r="AR31" i="18"/>
  <c r="AO31" i="18"/>
  <c r="AQ31" i="18"/>
  <c r="AK31" i="18"/>
  <c r="AM31" i="18"/>
  <c r="AP31" i="18"/>
  <c r="AJ31" i="18"/>
  <c r="AK16" i="18"/>
  <c r="AN16" i="18"/>
  <c r="AM16" i="18"/>
  <c r="AO16" i="18"/>
  <c r="AL16" i="18"/>
  <c r="AR16" i="18"/>
  <c r="AP16" i="18"/>
  <c r="AQ16" i="18"/>
  <c r="AJ16" i="18"/>
  <c r="AS16" i="18"/>
  <c r="AJ26" i="18"/>
  <c r="AM26" i="18"/>
  <c r="AP26" i="18"/>
  <c r="AL26" i="18"/>
  <c r="AO26" i="18"/>
  <c r="AQ26" i="18"/>
  <c r="AK26" i="18"/>
  <c r="AR26" i="18"/>
  <c r="AN26" i="18"/>
  <c r="AS26" i="18"/>
  <c r="AP12" i="18"/>
  <c r="AJ12" i="18"/>
  <c r="AO12" i="18"/>
  <c r="AQ12" i="18"/>
  <c r="AS12" i="18"/>
  <c r="AL12" i="18"/>
  <c r="AR12" i="18"/>
  <c r="AN12" i="18"/>
  <c r="AK12" i="18"/>
  <c r="AM12" i="18"/>
  <c r="AS54" i="18"/>
  <c r="AP54" i="18"/>
  <c r="AL54" i="18"/>
  <c r="AJ54" i="18"/>
  <c r="AR54" i="18"/>
  <c r="AO54" i="18"/>
  <c r="AM54" i="18"/>
  <c r="AN54" i="18"/>
  <c r="AK54" i="18"/>
  <c r="AQ54" i="18"/>
  <c r="AO43" i="18"/>
  <c r="AR43" i="18"/>
  <c r="AP43" i="18"/>
  <c r="AL43" i="18"/>
  <c r="AJ43" i="18"/>
  <c r="AN43" i="18"/>
  <c r="AM43" i="18"/>
  <c r="AK43" i="18"/>
  <c r="AS43" i="18"/>
  <c r="AQ43" i="18"/>
  <c r="AJ40" i="18"/>
  <c r="AS40" i="18"/>
  <c r="AQ40" i="18"/>
  <c r="AM40" i="18"/>
  <c r="AP40" i="18"/>
  <c r="AK40" i="18"/>
  <c r="AL40" i="18"/>
  <c r="AO40" i="18"/>
  <c r="AR40" i="18"/>
  <c r="AN40" i="18"/>
  <c r="AR27" i="18"/>
  <c r="AK27" i="18"/>
  <c r="AJ27" i="18"/>
  <c r="AO27" i="18"/>
  <c r="AN27" i="18"/>
  <c r="AS27" i="18"/>
  <c r="AM27" i="18"/>
  <c r="AL27" i="18"/>
  <c r="AP27" i="18"/>
  <c r="AQ27" i="18"/>
  <c r="AQ33" i="18"/>
  <c r="AO33" i="18"/>
  <c r="AK33" i="18"/>
  <c r="AS33" i="18"/>
  <c r="AN33" i="18"/>
  <c r="AP33" i="18"/>
  <c r="AJ33" i="18"/>
  <c r="AR33" i="18"/>
  <c r="AM33" i="18"/>
  <c r="AL33" i="18"/>
  <c r="AO22" i="18"/>
  <c r="AR22" i="18"/>
  <c r="AK22" i="18"/>
  <c r="AQ22" i="18"/>
  <c r="AP22" i="18"/>
  <c r="AJ22" i="18"/>
  <c r="AM22" i="18"/>
  <c r="AS22" i="18"/>
  <c r="AL22" i="18"/>
  <c r="AN22" i="18"/>
  <c r="AP8" i="18"/>
  <c r="AS8" i="18"/>
  <c r="AL8" i="18"/>
  <c r="AM8" i="18"/>
  <c r="AO8" i="18"/>
  <c r="AQ8" i="18"/>
  <c r="AJ8" i="18"/>
  <c r="AR8" i="18"/>
  <c r="AK8" i="18"/>
  <c r="AN8" i="18"/>
  <c r="AK39" i="18"/>
  <c r="AN39" i="18"/>
  <c r="AP39" i="18"/>
  <c r="AQ39" i="18"/>
  <c r="AS39" i="18"/>
  <c r="AR39" i="18"/>
  <c r="AM39" i="18"/>
  <c r="AL39" i="18"/>
  <c r="AO39" i="18"/>
  <c r="AJ39" i="18"/>
  <c r="AL36" i="18"/>
  <c r="AK36" i="18"/>
  <c r="AM36" i="18"/>
  <c r="AN36" i="18"/>
  <c r="AJ36" i="18"/>
  <c r="AQ36" i="18"/>
  <c r="AO36" i="18"/>
  <c r="AR36" i="18"/>
  <c r="AS36" i="18"/>
  <c r="AP36" i="18"/>
  <c r="AN23" i="18"/>
  <c r="AM23" i="18"/>
  <c r="AJ23" i="18"/>
  <c r="AL23" i="18"/>
  <c r="AQ23" i="18"/>
  <c r="AK23" i="18"/>
  <c r="AO23" i="18"/>
  <c r="AP23" i="18"/>
  <c r="AR23" i="18"/>
  <c r="AS23" i="18"/>
  <c r="AM29" i="18"/>
  <c r="AL29" i="18"/>
  <c r="AK29" i="18"/>
  <c r="AO29" i="18"/>
  <c r="AR29" i="18"/>
  <c r="AJ29" i="18"/>
  <c r="AP29" i="18"/>
  <c r="AQ29" i="18"/>
  <c r="AS29" i="18"/>
  <c r="AN29" i="18"/>
  <c r="AN18" i="18"/>
  <c r="AQ18" i="18"/>
  <c r="AS18" i="18"/>
  <c r="AK18" i="18"/>
  <c r="AR18" i="18"/>
  <c r="AO18" i="18"/>
  <c r="AM18" i="18"/>
  <c r="AJ18" i="18"/>
  <c r="AP18" i="18"/>
  <c r="AL18" i="18"/>
  <c r="AR9" i="18"/>
  <c r="AO9" i="18"/>
  <c r="AS9" i="18"/>
  <c r="AP9" i="18"/>
  <c r="AJ9" i="18"/>
  <c r="AM9" i="18"/>
  <c r="AK9" i="18"/>
  <c r="AL9" i="18"/>
  <c r="AN9" i="18"/>
  <c r="AQ9" i="18"/>
  <c r="AJ4" i="17"/>
  <c r="AS38" i="13"/>
  <c r="AJ38" i="13"/>
  <c r="AS44" i="13"/>
  <c r="AJ44" i="13"/>
  <c r="AS35" i="13"/>
  <c r="AJ35" i="13"/>
  <c r="AJ23" i="13"/>
  <c r="AS23" i="13"/>
  <c r="AJ26" i="13"/>
  <c r="AS26" i="13"/>
  <c r="AS40" i="13"/>
  <c r="AJ40" i="13"/>
  <c r="AS33" i="13"/>
  <c r="AJ33" i="13"/>
  <c r="AJ34" i="13"/>
  <c r="AS34" i="13"/>
  <c r="AJ29" i="13"/>
  <c r="AS29" i="13"/>
  <c r="AJ18" i="13"/>
  <c r="AS18" i="13"/>
  <c r="AJ19" i="13"/>
  <c r="AS19" i="13"/>
  <c r="AJ31" i="13"/>
  <c r="AS31" i="13"/>
  <c r="AS32" i="13"/>
  <c r="AJ32" i="13"/>
  <c r="AP5" i="13"/>
  <c r="AM5" i="13"/>
  <c r="AR5" i="13"/>
  <c r="AL5" i="13"/>
  <c r="AK5" i="13"/>
  <c r="AQ5" i="13"/>
  <c r="AN5" i="13"/>
  <c r="AO5" i="13"/>
  <c r="AS5" i="13"/>
  <c r="AJ5" i="13"/>
  <c r="AS15" i="13"/>
  <c r="AJ15" i="13"/>
  <c r="AS14" i="13"/>
  <c r="AJ14" i="13"/>
  <c r="AJ36" i="13"/>
  <c r="AS36" i="13"/>
  <c r="AJ51" i="13"/>
  <c r="AS51" i="13"/>
  <c r="AJ47" i="13"/>
  <c r="AS47" i="13"/>
  <c r="AJ28" i="13"/>
  <c r="AS28" i="13"/>
  <c r="AS12" i="13"/>
  <c r="AJ12" i="13"/>
  <c r="AJ42" i="13"/>
  <c r="AS42" i="13"/>
  <c r="AS48" i="13"/>
  <c r="AJ48" i="13"/>
  <c r="AS49" i="13"/>
  <c r="AJ49" i="13"/>
  <c r="AJ45" i="13"/>
  <c r="AS45" i="13"/>
  <c r="AJ21" i="13"/>
  <c r="AS21" i="13"/>
  <c r="AJ9" i="13"/>
  <c r="AS9" i="13"/>
  <c r="AJ52" i="13"/>
  <c r="AS52" i="13"/>
  <c r="AJ46" i="13"/>
  <c r="AS46" i="13"/>
  <c r="AS43" i="13"/>
  <c r="AJ43" i="13"/>
  <c r="AJ27" i="13"/>
  <c r="AS27" i="13"/>
  <c r="AJ11" i="13"/>
  <c r="AS11" i="13"/>
  <c r="AJ7" i="13"/>
  <c r="AS7" i="13"/>
  <c r="AJ30" i="13"/>
  <c r="AS30" i="13"/>
  <c r="AJ41" i="13"/>
  <c r="AS41" i="13"/>
  <c r="AJ25" i="13"/>
  <c r="AS25" i="13"/>
  <c r="AJ8" i="13"/>
  <c r="AS8" i="13"/>
  <c r="AJ22" i="13"/>
  <c r="AS22" i="13"/>
  <c r="AJ53" i="13"/>
  <c r="AS53" i="13"/>
  <c r="AS37" i="13"/>
  <c r="AJ37" i="13"/>
  <c r="AJ10" i="13"/>
  <c r="AS10" i="13"/>
  <c r="AS6" i="13"/>
  <c r="AJ6" i="13"/>
  <c r="AJ16" i="13"/>
  <c r="AS16" i="13"/>
  <c r="AJ4" i="12"/>
  <c r="AR6" i="12"/>
  <c r="AL6" i="20"/>
  <c r="AN6" i="21"/>
  <c r="AP6" i="12"/>
  <c r="AM6" i="19"/>
  <c r="AN6" i="12"/>
  <c r="AR6" i="20"/>
  <c r="AM6" i="20"/>
  <c r="AK6" i="19"/>
  <c r="AQ6" i="21"/>
  <c r="AL6" i="19"/>
  <c r="AL6" i="12"/>
  <c r="AM6" i="21"/>
  <c r="AQ6" i="19"/>
  <c r="AO6" i="21"/>
  <c r="AR6" i="19"/>
  <c r="AN6" i="20"/>
  <c r="AS6" i="19"/>
  <c r="AT6" i="12"/>
  <c r="AQ6" i="12"/>
  <c r="AK6" i="12"/>
  <c r="AR6" i="21"/>
  <c r="AS6" i="21"/>
  <c r="AM6" i="12"/>
  <c r="AN6" i="19"/>
  <c r="AL6" i="21"/>
  <c r="AO6" i="12"/>
  <c r="AS6" i="12"/>
  <c r="AJ6" i="20"/>
  <c r="AO6" i="20"/>
  <c r="AO6" i="19"/>
  <c r="AK6" i="21"/>
  <c r="AK6" i="20"/>
  <c r="AP6" i="19"/>
  <c r="AP6" i="21"/>
  <c r="AP6" i="20"/>
  <c r="AQ6" i="20"/>
  <c r="AI4" i="15"/>
  <c r="AJ3" i="15"/>
  <c r="AJ4" i="15" s="1"/>
  <c r="AJ3" i="14"/>
  <c r="AJ4" i="14" s="1"/>
  <c r="AI4" i="14"/>
  <c r="AI4" i="9"/>
  <c r="AJ3" i="9"/>
  <c r="AU36" i="17" l="1"/>
  <c r="AN48" i="17"/>
  <c r="AM48" i="17"/>
  <c r="AR48" i="17"/>
  <c r="AL48" i="17"/>
  <c r="AT48" i="17"/>
  <c r="AP48" i="17"/>
  <c r="AO48" i="17"/>
  <c r="AS48" i="17"/>
  <c r="AQ48" i="17"/>
  <c r="AP46" i="17"/>
  <c r="AO46" i="17"/>
  <c r="AL46" i="17"/>
  <c r="AT46" i="17"/>
  <c r="AM46" i="17"/>
  <c r="AN46" i="17"/>
  <c r="AQ46" i="17"/>
  <c r="AR46" i="17"/>
  <c r="AS46" i="17"/>
  <c r="AO28" i="17"/>
  <c r="AP28" i="17"/>
  <c r="AQ28" i="17"/>
  <c r="AS28" i="17"/>
  <c r="AN28" i="17"/>
  <c r="AT28" i="17"/>
  <c r="AM28" i="17"/>
  <c r="AR28" i="17"/>
  <c r="AL28" i="17"/>
  <c r="AS25" i="17"/>
  <c r="AN25" i="17"/>
  <c r="AL25" i="17"/>
  <c r="AT25" i="17"/>
  <c r="AQ25" i="17"/>
  <c r="AO25" i="17"/>
  <c r="AR25" i="17"/>
  <c r="AM25" i="17"/>
  <c r="AP25" i="17"/>
  <c r="AT10" i="17"/>
  <c r="AL10" i="17"/>
  <c r="AQ10" i="17"/>
  <c r="AO10" i="17"/>
  <c r="AP10" i="17"/>
  <c r="AN10" i="17"/>
  <c r="AR10" i="17"/>
  <c r="AM10" i="17"/>
  <c r="AS10" i="17"/>
  <c r="AQ44" i="17"/>
  <c r="AN44" i="17"/>
  <c r="AO44" i="17"/>
  <c r="AP44" i="17"/>
  <c r="AS44" i="17"/>
  <c r="AL44" i="17"/>
  <c r="AR44" i="17"/>
  <c r="AT44" i="17"/>
  <c r="AM44" i="17"/>
  <c r="AR42" i="17"/>
  <c r="AP42" i="17"/>
  <c r="AL42" i="17"/>
  <c r="AQ42" i="17"/>
  <c r="AM42" i="17"/>
  <c r="AS42" i="17"/>
  <c r="AN42" i="17"/>
  <c r="AT42" i="17"/>
  <c r="AO42" i="17"/>
  <c r="AR20" i="17"/>
  <c r="AL20" i="17"/>
  <c r="AM20" i="17"/>
  <c r="AT20" i="17"/>
  <c r="AS20" i="17"/>
  <c r="AP20" i="17"/>
  <c r="AQ20" i="17"/>
  <c r="AN20" i="17"/>
  <c r="AO20" i="17"/>
  <c r="AN14" i="17"/>
  <c r="AS14" i="17"/>
  <c r="AT14" i="17"/>
  <c r="AO14" i="17"/>
  <c r="AQ14" i="17"/>
  <c r="AR14" i="17"/>
  <c r="AL14" i="17"/>
  <c r="AP14" i="17"/>
  <c r="AM14" i="17"/>
  <c r="AQ6" i="17"/>
  <c r="AL6" i="17"/>
  <c r="AT6" i="17"/>
  <c r="AM6" i="17"/>
  <c r="AN6" i="17"/>
  <c r="AP6" i="17"/>
  <c r="AS6" i="17"/>
  <c r="AR6" i="17"/>
  <c r="AO6" i="17"/>
  <c r="AU34" i="17"/>
  <c r="AU39" i="17"/>
  <c r="AN41" i="17"/>
  <c r="AR41" i="17"/>
  <c r="AL41" i="17"/>
  <c r="AO41" i="17"/>
  <c r="AT41" i="17"/>
  <c r="AP41" i="17"/>
  <c r="AM41" i="17"/>
  <c r="AQ41" i="17"/>
  <c r="AS41" i="17"/>
  <c r="AT35" i="17"/>
  <c r="AR35" i="17"/>
  <c r="AL35" i="17"/>
  <c r="AO35" i="17"/>
  <c r="AN35" i="17"/>
  <c r="AS35" i="17"/>
  <c r="AP35" i="17"/>
  <c r="AM35" i="17"/>
  <c r="AQ35" i="17"/>
  <c r="AN37" i="17"/>
  <c r="AS37" i="17"/>
  <c r="AM37" i="17"/>
  <c r="AP37" i="17"/>
  <c r="AT37" i="17"/>
  <c r="AL37" i="17"/>
  <c r="AQ37" i="17"/>
  <c r="AO37" i="17"/>
  <c r="AR37" i="17"/>
  <c r="AQ16" i="17"/>
  <c r="AT16" i="17"/>
  <c r="AL16" i="17"/>
  <c r="AP16" i="17"/>
  <c r="AN16" i="17"/>
  <c r="AM16" i="17"/>
  <c r="AS16" i="17"/>
  <c r="AO16" i="17"/>
  <c r="AR16" i="17"/>
  <c r="AP23" i="17"/>
  <c r="AT23" i="17"/>
  <c r="AR23" i="17"/>
  <c r="AN23" i="17"/>
  <c r="AL23" i="17"/>
  <c r="AQ23" i="17"/>
  <c r="AO23" i="17"/>
  <c r="AS23" i="17"/>
  <c r="AM23" i="17"/>
  <c r="AU38" i="17"/>
  <c r="AQ51" i="17"/>
  <c r="AO51" i="17"/>
  <c r="AS51" i="17"/>
  <c r="AT51" i="17"/>
  <c r="AR51" i="17"/>
  <c r="AL51" i="17"/>
  <c r="AP51" i="17"/>
  <c r="AN51" i="17"/>
  <c r="AM51" i="17"/>
  <c r="AQ40" i="17"/>
  <c r="AS40" i="17"/>
  <c r="AL40" i="17"/>
  <c r="AR40" i="17"/>
  <c r="AO40" i="17"/>
  <c r="AT40" i="17"/>
  <c r="AN40" i="17"/>
  <c r="AP40" i="17"/>
  <c r="AM40" i="17"/>
  <c r="AM31" i="17"/>
  <c r="AS31" i="17"/>
  <c r="AP31" i="17"/>
  <c r="AQ31" i="17"/>
  <c r="AN31" i="17"/>
  <c r="AR31" i="17"/>
  <c r="AO31" i="17"/>
  <c r="AT31" i="17"/>
  <c r="AL31" i="17"/>
  <c r="AQ29" i="17"/>
  <c r="AT29" i="17"/>
  <c r="AM29" i="17"/>
  <c r="AS29" i="17"/>
  <c r="AL29" i="17"/>
  <c r="AP29" i="17"/>
  <c r="AR29" i="17"/>
  <c r="AO29" i="17"/>
  <c r="AN29" i="17"/>
  <c r="AQ12" i="17"/>
  <c r="AO12" i="17"/>
  <c r="AR12" i="17"/>
  <c r="AT12" i="17"/>
  <c r="AL12" i="17"/>
  <c r="AM12" i="17"/>
  <c r="AN12" i="17"/>
  <c r="AS12" i="17"/>
  <c r="AP12" i="17"/>
  <c r="AM19" i="17"/>
  <c r="AN19" i="17"/>
  <c r="AO19" i="17"/>
  <c r="AL19" i="17"/>
  <c r="AS19" i="17"/>
  <c r="AT19" i="17"/>
  <c r="AP19" i="17"/>
  <c r="AQ19" i="17"/>
  <c r="AR19" i="17"/>
  <c r="AU33" i="17"/>
  <c r="AL47" i="17"/>
  <c r="AS47" i="17"/>
  <c r="AO47" i="17"/>
  <c r="AT47" i="17"/>
  <c r="AP47" i="17"/>
  <c r="AQ47" i="17"/>
  <c r="AR47" i="17"/>
  <c r="AM47" i="17"/>
  <c r="AN47" i="17"/>
  <c r="AL53" i="17"/>
  <c r="AM53" i="17"/>
  <c r="AR53" i="17"/>
  <c r="AO53" i="17"/>
  <c r="AQ53" i="17"/>
  <c r="AP53" i="17"/>
  <c r="AN53" i="17"/>
  <c r="AS53" i="17"/>
  <c r="AT53" i="17"/>
  <c r="AL27" i="17"/>
  <c r="AS27" i="17"/>
  <c r="AP27" i="17"/>
  <c r="AO27" i="17"/>
  <c r="AQ27" i="17"/>
  <c r="AR27" i="17"/>
  <c r="AM27" i="17"/>
  <c r="AN27" i="17"/>
  <c r="AT27" i="17"/>
  <c r="AM26" i="17"/>
  <c r="AT26" i="17"/>
  <c r="AO26" i="17"/>
  <c r="AN26" i="17"/>
  <c r="AP26" i="17"/>
  <c r="AQ26" i="17"/>
  <c r="AL26" i="17"/>
  <c r="AR26" i="17"/>
  <c r="AS26" i="17"/>
  <c r="AL8" i="17"/>
  <c r="AM8" i="17"/>
  <c r="AO8" i="17"/>
  <c r="AP8" i="17"/>
  <c r="AS8" i="17"/>
  <c r="AR8" i="17"/>
  <c r="AT8" i="17"/>
  <c r="AN8" i="17"/>
  <c r="AQ8" i="17"/>
  <c r="AO15" i="17"/>
  <c r="AT15" i="17"/>
  <c r="AP15" i="17"/>
  <c r="AL15" i="17"/>
  <c r="AQ15" i="17"/>
  <c r="AM15" i="17"/>
  <c r="AN15" i="17"/>
  <c r="AS15" i="17"/>
  <c r="AR15" i="17"/>
  <c r="AT43" i="17"/>
  <c r="AN43" i="17"/>
  <c r="AQ43" i="17"/>
  <c r="AL43" i="17"/>
  <c r="AO43" i="17"/>
  <c r="AS43" i="17"/>
  <c r="AP43" i="17"/>
  <c r="AR43" i="17"/>
  <c r="AM43" i="17"/>
  <c r="AR49" i="17"/>
  <c r="AS49" i="17"/>
  <c r="AL49" i="17"/>
  <c r="AM49" i="17"/>
  <c r="AQ49" i="17"/>
  <c r="AO49" i="17"/>
  <c r="AP49" i="17"/>
  <c r="AN49" i="17"/>
  <c r="AT49" i="17"/>
  <c r="AL24" i="17"/>
  <c r="AO24" i="17"/>
  <c r="AQ24" i="17"/>
  <c r="AR24" i="17"/>
  <c r="AM24" i="17"/>
  <c r="AT24" i="17"/>
  <c r="AP24" i="17"/>
  <c r="AS24" i="17"/>
  <c r="AN24" i="17"/>
  <c r="AP17" i="17"/>
  <c r="AR17" i="17"/>
  <c r="AN17" i="17"/>
  <c r="AL17" i="17"/>
  <c r="AT17" i="17"/>
  <c r="AS17" i="17"/>
  <c r="AO17" i="17"/>
  <c r="AM17" i="17"/>
  <c r="AQ17" i="17"/>
  <c r="AT13" i="17"/>
  <c r="AR13" i="17"/>
  <c r="AN13" i="17"/>
  <c r="AS13" i="17"/>
  <c r="AL13" i="17"/>
  <c r="AM13" i="17"/>
  <c r="AQ13" i="17"/>
  <c r="AP13" i="17"/>
  <c r="AO13" i="17"/>
  <c r="AN11" i="17"/>
  <c r="AT11" i="17"/>
  <c r="AQ11" i="17"/>
  <c r="AM11" i="17"/>
  <c r="AO11" i="17"/>
  <c r="AP11" i="17"/>
  <c r="AL11" i="17"/>
  <c r="AS11" i="17"/>
  <c r="AR11" i="17"/>
  <c r="AU50" i="17"/>
  <c r="AR22" i="17"/>
  <c r="AQ22" i="17"/>
  <c r="AO22" i="17"/>
  <c r="AM22" i="17"/>
  <c r="AT22" i="17"/>
  <c r="AS22" i="17"/>
  <c r="AP22" i="17"/>
  <c r="AL22" i="17"/>
  <c r="AN22" i="17"/>
  <c r="AT45" i="17"/>
  <c r="AR45" i="17"/>
  <c r="AM45" i="17"/>
  <c r="AQ45" i="17"/>
  <c r="AL45" i="17"/>
  <c r="AO45" i="17"/>
  <c r="AS45" i="17"/>
  <c r="AP45" i="17"/>
  <c r="AN45" i="17"/>
  <c r="AL18" i="17"/>
  <c r="AS18" i="17"/>
  <c r="AQ18" i="17"/>
  <c r="AM18" i="17"/>
  <c r="AN18" i="17"/>
  <c r="AT18" i="17"/>
  <c r="AR18" i="17"/>
  <c r="AP18" i="17"/>
  <c r="AO18" i="17"/>
  <c r="AR21" i="17"/>
  <c r="AP21" i="17"/>
  <c r="AT21" i="17"/>
  <c r="AM21" i="17"/>
  <c r="AO21" i="17"/>
  <c r="AQ21" i="17"/>
  <c r="AN21" i="17"/>
  <c r="AS21" i="17"/>
  <c r="AL21" i="17"/>
  <c r="AS9" i="17"/>
  <c r="AM9" i="17"/>
  <c r="AT9" i="17"/>
  <c r="AO9" i="17"/>
  <c r="AN9" i="17"/>
  <c r="AP9" i="17"/>
  <c r="AQ9" i="17"/>
  <c r="AR9" i="17"/>
  <c r="AL9" i="17"/>
  <c r="AT7" i="17"/>
  <c r="AQ7" i="17"/>
  <c r="AL7" i="17"/>
  <c r="AP7" i="17"/>
  <c r="AN7" i="17"/>
  <c r="AS7" i="17"/>
  <c r="AR7" i="17"/>
  <c r="AO7" i="17"/>
  <c r="AM7" i="17"/>
  <c r="AQ52" i="17"/>
  <c r="AM52" i="17"/>
  <c r="AS52" i="17"/>
  <c r="AP52" i="17"/>
  <c r="AN52" i="17"/>
  <c r="AO52" i="17"/>
  <c r="AL52" i="17"/>
  <c r="AR52" i="17"/>
  <c r="AT52" i="17"/>
  <c r="AO54" i="17"/>
  <c r="AS54" i="17"/>
  <c r="AM54" i="17"/>
  <c r="AT54" i="17"/>
  <c r="AN54" i="17"/>
  <c r="AQ54" i="17"/>
  <c r="AP54" i="17"/>
  <c r="AR54" i="17"/>
  <c r="AL54" i="17"/>
  <c r="AN32" i="17"/>
  <c r="AP32" i="17"/>
  <c r="AT32" i="17"/>
  <c r="AO32" i="17"/>
  <c r="AM32" i="17"/>
  <c r="AR32" i="17"/>
  <c r="AL32" i="17"/>
  <c r="AS32" i="17"/>
  <c r="AQ32" i="17"/>
  <c r="AM30" i="17"/>
  <c r="AS30" i="17"/>
  <c r="AT30" i="17"/>
  <c r="AL30" i="17"/>
  <c r="AP30" i="17"/>
  <c r="AO30" i="17"/>
  <c r="AN30" i="17"/>
  <c r="AR30" i="17"/>
  <c r="AQ30" i="17"/>
  <c r="AR5" i="17"/>
  <c r="AQ5" i="17"/>
  <c r="AM5" i="17"/>
  <c r="AN5" i="17"/>
  <c r="AL5" i="17"/>
  <c r="AO5" i="17"/>
  <c r="AS5" i="17"/>
  <c r="AP5" i="17"/>
  <c r="AK43" i="17"/>
  <c r="AK53" i="17"/>
  <c r="AK35" i="17"/>
  <c r="AK20" i="17"/>
  <c r="AK25" i="17"/>
  <c r="AK10" i="17"/>
  <c r="AK49" i="17"/>
  <c r="AK31" i="17"/>
  <c r="AK37" i="17"/>
  <c r="AK14" i="17"/>
  <c r="AK6" i="17"/>
  <c r="AK22" i="17"/>
  <c r="AK45" i="17"/>
  <c r="AK27" i="17"/>
  <c r="AK16" i="17"/>
  <c r="AK23" i="17"/>
  <c r="AK52" i="17"/>
  <c r="AK54" i="17"/>
  <c r="AK24" i="17"/>
  <c r="AK29" i="17"/>
  <c r="AK12" i="17"/>
  <c r="AK19" i="17"/>
  <c r="AK48" i="17"/>
  <c r="AK18" i="17"/>
  <c r="AK26" i="17"/>
  <c r="AK8" i="17"/>
  <c r="AK15" i="17"/>
  <c r="AK44" i="17"/>
  <c r="AK46" i="17"/>
  <c r="AK17" i="17"/>
  <c r="AK13" i="17"/>
  <c r="AK11" i="17"/>
  <c r="AK51" i="17"/>
  <c r="AK41" i="17"/>
  <c r="AK42" i="17"/>
  <c r="AK32" i="17"/>
  <c r="AK21" i="17"/>
  <c r="AK9" i="17"/>
  <c r="AK7" i="17"/>
  <c r="AK47" i="17"/>
  <c r="AK40" i="17"/>
  <c r="AK28" i="17"/>
  <c r="AK30" i="17"/>
  <c r="AT5" i="17"/>
  <c r="AK5" i="17"/>
  <c r="AJ4" i="9"/>
  <c r="AP52" i="9"/>
  <c r="AN52" i="9"/>
  <c r="AS52" i="9"/>
  <c r="AL52" i="13"/>
  <c r="AT52" i="9"/>
  <c r="N51" i="25" s="1"/>
  <c r="AQ52" i="13"/>
  <c r="AK52" i="9"/>
  <c r="AL52" i="9"/>
  <c r="AN52" i="13"/>
  <c r="AR52" i="9"/>
  <c r="AO52" i="9"/>
  <c r="AR52" i="13"/>
  <c r="AP52" i="13"/>
  <c r="AO52" i="13"/>
  <c r="AM52" i="9"/>
  <c r="AQ52" i="9"/>
  <c r="AM52" i="13"/>
  <c r="AK52" i="13"/>
  <c r="AK40" i="9"/>
  <c r="AN40" i="9"/>
  <c r="AS40" i="9"/>
  <c r="AL40" i="13"/>
  <c r="AN40" i="13"/>
  <c r="AM40" i="9"/>
  <c r="AK40" i="13"/>
  <c r="AR40" i="9"/>
  <c r="AR40" i="13"/>
  <c r="AO40" i="9"/>
  <c r="AL40" i="9"/>
  <c r="AQ40" i="13"/>
  <c r="AM40" i="13"/>
  <c r="AP40" i="9"/>
  <c r="AO40" i="13"/>
  <c r="AQ40" i="9"/>
  <c r="AT40" i="9"/>
  <c r="N39" i="25" s="1"/>
  <c r="AP40" i="13"/>
  <c r="AN10" i="9"/>
  <c r="AL10" i="9"/>
  <c r="AM10" i="9"/>
  <c r="AP10" i="9"/>
  <c r="AK10" i="13"/>
  <c r="AQ10" i="13"/>
  <c r="AR10" i="9"/>
  <c r="AN10" i="13"/>
  <c r="AO10" i="13"/>
  <c r="AT10" i="9"/>
  <c r="N9" i="25" s="1"/>
  <c r="AP10" i="13"/>
  <c r="AM10" i="13"/>
  <c r="AK10" i="9"/>
  <c r="AS10" i="9"/>
  <c r="AR10" i="13"/>
  <c r="AQ10" i="9"/>
  <c r="AL10" i="13"/>
  <c r="AO10" i="9"/>
  <c r="AT5" i="13"/>
  <c r="AS50" i="21"/>
  <c r="AR50" i="21"/>
  <c r="AM50" i="19"/>
  <c r="AN50" i="21"/>
  <c r="AT50" i="12"/>
  <c r="AO50" i="21"/>
  <c r="AQ50" i="19"/>
  <c r="AM50" i="21"/>
  <c r="AP50" i="20"/>
  <c r="AL50" i="20"/>
  <c r="AO50" i="19"/>
  <c r="AL50" i="12"/>
  <c r="AN50" i="12"/>
  <c r="AK50" i="20"/>
  <c r="AP50" i="19"/>
  <c r="AO50" i="12"/>
  <c r="AL50" i="21"/>
  <c r="AR50" i="20"/>
  <c r="AQ50" i="21"/>
  <c r="AP50" i="12"/>
  <c r="AR50" i="12"/>
  <c r="AR50" i="19"/>
  <c r="AQ50" i="20"/>
  <c r="AM50" i="12"/>
  <c r="AK50" i="12"/>
  <c r="AM50" i="20"/>
  <c r="AS50" i="12"/>
  <c r="AN50" i="20"/>
  <c r="AJ50" i="20"/>
  <c r="AL50" i="19"/>
  <c r="AK50" i="21"/>
  <c r="AN50" i="19"/>
  <c r="AP50" i="21"/>
  <c r="AQ50" i="12"/>
  <c r="AO50" i="20"/>
  <c r="AK50" i="19"/>
  <c r="AS50" i="19"/>
  <c r="AR46" i="19"/>
  <c r="AR46" i="21"/>
  <c r="AP46" i="21"/>
  <c r="AS46" i="12"/>
  <c r="AL46" i="19"/>
  <c r="AK46" i="20"/>
  <c r="AL46" i="12"/>
  <c r="AO46" i="19"/>
  <c r="AP46" i="20"/>
  <c r="AR46" i="20"/>
  <c r="AO46" i="12"/>
  <c r="AS46" i="21"/>
  <c r="AJ46" i="20"/>
  <c r="AQ46" i="21"/>
  <c r="AQ46" i="19"/>
  <c r="AR46" i="12"/>
  <c r="AQ46" i="20"/>
  <c r="AN46" i="19"/>
  <c r="AN46" i="21"/>
  <c r="AK46" i="19"/>
  <c r="AP46" i="12"/>
  <c r="AL46" i="21"/>
  <c r="AM46" i="20"/>
  <c r="AQ46" i="12"/>
  <c r="AO46" i="21"/>
  <c r="AK46" i="12"/>
  <c r="AM46" i="12"/>
  <c r="AN46" i="12"/>
  <c r="AM46" i="19"/>
  <c r="AS46" i="19"/>
  <c r="AK46" i="21"/>
  <c r="AN46" i="20"/>
  <c r="AT46" i="12"/>
  <c r="AO46" i="20"/>
  <c r="AP46" i="19"/>
  <c r="AL46" i="20"/>
  <c r="AM46" i="21"/>
  <c r="AM19" i="20"/>
  <c r="AN19" i="21"/>
  <c r="AS19" i="19"/>
  <c r="AP19" i="19"/>
  <c r="AR19" i="19"/>
  <c r="AN19" i="20"/>
  <c r="AO19" i="21"/>
  <c r="AP19" i="21"/>
  <c r="AO19" i="12"/>
  <c r="AT19" i="12"/>
  <c r="AK19" i="12"/>
  <c r="AL19" i="19"/>
  <c r="AJ19" i="20"/>
  <c r="AN19" i="12"/>
  <c r="AS19" i="12"/>
  <c r="AO19" i="19"/>
  <c r="AK19" i="21"/>
  <c r="AM19" i="12"/>
  <c r="AR19" i="12"/>
  <c r="AL19" i="20"/>
  <c r="AL19" i="12"/>
  <c r="AQ19" i="12"/>
  <c r="AM19" i="19"/>
  <c r="AR19" i="21"/>
  <c r="AL19" i="21"/>
  <c r="AK19" i="19"/>
  <c r="AK19" i="20"/>
  <c r="AS19" i="21"/>
  <c r="AN19" i="19"/>
  <c r="AO19" i="20"/>
  <c r="AQ19" i="20"/>
  <c r="AQ19" i="21"/>
  <c r="AQ19" i="19"/>
  <c r="AP19" i="12"/>
  <c r="AP19" i="20"/>
  <c r="AR19" i="20"/>
  <c r="AM19" i="21"/>
  <c r="AR38" i="21"/>
  <c r="AN38" i="12"/>
  <c r="AM38" i="20"/>
  <c r="AQ38" i="19"/>
  <c r="AO38" i="20"/>
  <c r="AN38" i="19"/>
  <c r="AJ38" i="20"/>
  <c r="AM38" i="12"/>
  <c r="AL38" i="19"/>
  <c r="AT38" i="12"/>
  <c r="AO38" i="12"/>
  <c r="AL38" i="21"/>
  <c r="AM38" i="21"/>
  <c r="AR38" i="19"/>
  <c r="AN38" i="21"/>
  <c r="AQ38" i="21"/>
  <c r="AR38" i="20"/>
  <c r="AK38" i="19"/>
  <c r="AP38" i="20"/>
  <c r="AQ38" i="12"/>
  <c r="AQ38" i="20"/>
  <c r="AS38" i="21"/>
  <c r="AP38" i="19"/>
  <c r="AM38" i="19"/>
  <c r="AR38" i="12"/>
  <c r="AL38" i="20"/>
  <c r="AS38" i="12"/>
  <c r="AS38" i="19"/>
  <c r="AK38" i="20"/>
  <c r="AN38" i="20"/>
  <c r="AO38" i="19"/>
  <c r="AO38" i="21"/>
  <c r="AP38" i="21"/>
  <c r="AK38" i="12"/>
  <c r="AK38" i="21"/>
  <c r="AP38" i="12"/>
  <c r="AL38" i="12"/>
  <c r="AS17" i="21"/>
  <c r="AN17" i="12"/>
  <c r="AJ17" i="20"/>
  <c r="AL17" i="19"/>
  <c r="AR17" i="12"/>
  <c r="AR17" i="20"/>
  <c r="AP17" i="20"/>
  <c r="AS17" i="19"/>
  <c r="AM17" i="20"/>
  <c r="AR17" i="21"/>
  <c r="AQ17" i="12"/>
  <c r="AK17" i="20"/>
  <c r="AO17" i="19"/>
  <c r="AO17" i="20"/>
  <c r="AS17" i="12"/>
  <c r="AN17" i="20"/>
  <c r="AM17" i="21"/>
  <c r="AP17" i="21"/>
  <c r="AO17" i="12"/>
  <c r="AR17" i="19"/>
  <c r="AP17" i="19"/>
  <c r="AL17" i="20"/>
  <c r="AQ17" i="19"/>
  <c r="AK17" i="19"/>
  <c r="AN17" i="19"/>
  <c r="AM17" i="12"/>
  <c r="AN17" i="21"/>
  <c r="AQ17" i="20"/>
  <c r="AQ17" i="21"/>
  <c r="AP17" i="12"/>
  <c r="AK17" i="12"/>
  <c r="AO17" i="21"/>
  <c r="AL17" i="21"/>
  <c r="AM17" i="19"/>
  <c r="AL17" i="12"/>
  <c r="AT17" i="12"/>
  <c r="AK17" i="21"/>
  <c r="AN21" i="20"/>
  <c r="AO21" i="21"/>
  <c r="AQ21" i="12"/>
  <c r="AJ21" i="20"/>
  <c r="AQ21" i="21"/>
  <c r="AM21" i="21"/>
  <c r="AQ21" i="19"/>
  <c r="AQ21" i="20"/>
  <c r="AS21" i="12"/>
  <c r="AK21" i="12"/>
  <c r="AM21" i="20"/>
  <c r="AP21" i="21"/>
  <c r="AO21" i="20"/>
  <c r="AP21" i="19"/>
  <c r="AL21" i="20"/>
  <c r="AS21" i="21"/>
  <c r="AO21" i="12"/>
  <c r="AM21" i="12"/>
  <c r="AP21" i="12"/>
  <c r="AN21" i="21"/>
  <c r="AK21" i="21"/>
  <c r="AR21" i="12"/>
  <c r="AK21" i="19"/>
  <c r="AP21" i="20"/>
  <c r="AN21" i="12"/>
  <c r="AS21" i="19"/>
  <c r="AM21" i="19"/>
  <c r="AL21" i="21"/>
  <c r="AR21" i="20"/>
  <c r="AK21" i="20"/>
  <c r="AT21" i="12"/>
  <c r="AN21" i="19"/>
  <c r="AR21" i="19"/>
  <c r="AL21" i="19"/>
  <c r="AR21" i="21"/>
  <c r="AL21" i="12"/>
  <c r="AO21" i="19"/>
  <c r="AN52" i="12"/>
  <c r="AL52" i="21"/>
  <c r="AL52" i="12"/>
  <c r="AP52" i="21"/>
  <c r="AQ52" i="19"/>
  <c r="AN52" i="20"/>
  <c r="AP52" i="20"/>
  <c r="AQ52" i="21"/>
  <c r="AM52" i="12"/>
  <c r="AM52" i="19"/>
  <c r="AR52" i="12"/>
  <c r="AL52" i="20"/>
  <c r="AT52" i="12"/>
  <c r="AK52" i="19"/>
  <c r="AP52" i="12"/>
  <c r="AJ52" i="20"/>
  <c r="AR52" i="19"/>
  <c r="AR52" i="20"/>
  <c r="AL52" i="19"/>
  <c r="AK52" i="12"/>
  <c r="AN52" i="21"/>
  <c r="AO52" i="21"/>
  <c r="AM52" i="21"/>
  <c r="AQ52" i="20"/>
  <c r="AO52" i="19"/>
  <c r="AR52" i="21"/>
  <c r="AS52" i="12"/>
  <c r="AM52" i="20"/>
  <c r="AS52" i="21"/>
  <c r="AN52" i="19"/>
  <c r="AO52" i="20"/>
  <c r="AP52" i="19"/>
  <c r="AK52" i="20"/>
  <c r="AK52" i="21"/>
  <c r="AQ52" i="12"/>
  <c r="AO52" i="12"/>
  <c r="AS52" i="19"/>
  <c r="AL37" i="21"/>
  <c r="AK37" i="12"/>
  <c r="AR37" i="21"/>
  <c r="AN37" i="20"/>
  <c r="AO37" i="20"/>
  <c r="AN37" i="12"/>
  <c r="AQ37" i="20"/>
  <c r="AS37" i="21"/>
  <c r="AO37" i="19"/>
  <c r="AO37" i="21"/>
  <c r="AK37" i="20"/>
  <c r="AL37" i="19"/>
  <c r="AQ37" i="21"/>
  <c r="AK37" i="21"/>
  <c r="AN37" i="21"/>
  <c r="AR37" i="19"/>
  <c r="AQ37" i="19"/>
  <c r="AO37" i="12"/>
  <c r="AM37" i="12"/>
  <c r="AL37" i="12"/>
  <c r="AL37" i="20"/>
  <c r="AT37" i="12"/>
  <c r="AK37" i="19"/>
  <c r="AQ37" i="12"/>
  <c r="AP37" i="19"/>
  <c r="AP37" i="21"/>
  <c r="AM37" i="19"/>
  <c r="AS37" i="19"/>
  <c r="AS37" i="12"/>
  <c r="AM37" i="21"/>
  <c r="AM37" i="20"/>
  <c r="AR37" i="20"/>
  <c r="AJ37" i="20"/>
  <c r="AP37" i="20"/>
  <c r="AR37" i="12"/>
  <c r="AP37" i="12"/>
  <c r="AN37" i="19"/>
  <c r="AN30" i="12"/>
  <c r="AO30" i="20"/>
  <c r="AR30" i="20"/>
  <c r="AK30" i="20"/>
  <c r="AN30" i="19"/>
  <c r="AL30" i="19"/>
  <c r="AP30" i="12"/>
  <c r="AS30" i="12"/>
  <c r="AM30" i="19"/>
  <c r="AJ30" i="20"/>
  <c r="AQ30" i="19"/>
  <c r="AP30" i="19"/>
  <c r="AQ30" i="20"/>
  <c r="AN30" i="21"/>
  <c r="AO30" i="12"/>
  <c r="AP30" i="21"/>
  <c r="AP30" i="20"/>
  <c r="AS30" i="19"/>
  <c r="AQ30" i="21"/>
  <c r="AM30" i="21"/>
  <c r="AN30" i="20"/>
  <c r="AM30" i="20"/>
  <c r="AR30" i="12"/>
  <c r="AK30" i="12"/>
  <c r="AM30" i="12"/>
  <c r="AL30" i="20"/>
  <c r="AR30" i="21"/>
  <c r="AO30" i="21"/>
  <c r="AR30" i="19"/>
  <c r="AK30" i="21"/>
  <c r="AT30" i="12"/>
  <c r="AK30" i="19"/>
  <c r="AQ30" i="12"/>
  <c r="AL30" i="12"/>
  <c r="AO30" i="19"/>
  <c r="AL30" i="21"/>
  <c r="AS30" i="21"/>
  <c r="AK9" i="20"/>
  <c r="AS9" i="19"/>
  <c r="AO9" i="12"/>
  <c r="AM9" i="19"/>
  <c r="AL9" i="20"/>
  <c r="AS9" i="12"/>
  <c r="AR9" i="20"/>
  <c r="AQ9" i="21"/>
  <c r="AM9" i="20"/>
  <c r="AK9" i="12"/>
  <c r="AN9" i="19"/>
  <c r="AQ9" i="19"/>
  <c r="AQ9" i="12"/>
  <c r="AP9" i="20"/>
  <c r="AR9" i="12"/>
  <c r="AM9" i="21"/>
  <c r="AJ9" i="20"/>
  <c r="AP9" i="19"/>
  <c r="AK9" i="19"/>
  <c r="AO9" i="19"/>
  <c r="AO9" i="21"/>
  <c r="AQ9" i="20"/>
  <c r="AS9" i="21"/>
  <c r="AP9" i="21"/>
  <c r="AT9" i="12"/>
  <c r="AM9" i="12"/>
  <c r="AL9" i="12"/>
  <c r="AN9" i="12"/>
  <c r="AR9" i="19"/>
  <c r="AK9" i="21"/>
  <c r="AR9" i="21"/>
  <c r="AO9" i="20"/>
  <c r="AL9" i="21"/>
  <c r="AP9" i="12"/>
  <c r="AN9" i="20"/>
  <c r="AL9" i="19"/>
  <c r="AN9" i="21"/>
  <c r="AL13" i="21"/>
  <c r="AN13" i="19"/>
  <c r="AP13" i="19"/>
  <c r="AQ13" i="12"/>
  <c r="AK13" i="19"/>
  <c r="AO13" i="21"/>
  <c r="AP13" i="12"/>
  <c r="AQ13" i="20"/>
  <c r="AO13" i="20"/>
  <c r="AN13" i="21"/>
  <c r="AT13" i="12"/>
  <c r="AS13" i="12"/>
  <c r="AM13" i="20"/>
  <c r="AK13" i="21"/>
  <c r="AM13" i="21"/>
  <c r="AK13" i="12"/>
  <c r="AR13" i="12"/>
  <c r="AR13" i="20"/>
  <c r="AP13" i="20"/>
  <c r="AM13" i="12"/>
  <c r="AR13" i="21"/>
  <c r="AL13" i="12"/>
  <c r="AN13" i="12"/>
  <c r="AR13" i="19"/>
  <c r="AK13" i="20"/>
  <c r="AL13" i="20"/>
  <c r="AL13" i="19"/>
  <c r="AO13" i="12"/>
  <c r="AS13" i="21"/>
  <c r="AM13" i="19"/>
  <c r="AQ13" i="21"/>
  <c r="AP13" i="21"/>
  <c r="AS13" i="19"/>
  <c r="AO13" i="19"/>
  <c r="AQ13" i="19"/>
  <c r="AN13" i="20"/>
  <c r="AJ13" i="20"/>
  <c r="AL45" i="21"/>
  <c r="AJ45" i="20"/>
  <c r="AM45" i="20"/>
  <c r="AL45" i="20"/>
  <c r="AO45" i="20"/>
  <c r="AK45" i="21"/>
  <c r="AN45" i="12"/>
  <c r="AL45" i="19"/>
  <c r="AO45" i="21"/>
  <c r="AO45" i="12"/>
  <c r="AS45" i="21"/>
  <c r="AL45" i="12"/>
  <c r="AM45" i="19"/>
  <c r="AP45" i="21"/>
  <c r="AQ45" i="21"/>
  <c r="AS45" i="19"/>
  <c r="AK45" i="12"/>
  <c r="AR45" i="20"/>
  <c r="AK45" i="19"/>
  <c r="AQ45" i="20"/>
  <c r="AR45" i="19"/>
  <c r="AQ45" i="19"/>
  <c r="AR45" i="12"/>
  <c r="AP45" i="12"/>
  <c r="AS45" i="12"/>
  <c r="AK45" i="20"/>
  <c r="AM45" i="12"/>
  <c r="AN45" i="19"/>
  <c r="AM45" i="21"/>
  <c r="AP45" i="20"/>
  <c r="AN45" i="20"/>
  <c r="AP45" i="19"/>
  <c r="AR45" i="21"/>
  <c r="AN45" i="21"/>
  <c r="AO45" i="19"/>
  <c r="AT45" i="12"/>
  <c r="AQ45" i="12"/>
  <c r="AS39" i="12"/>
  <c r="AM39" i="21"/>
  <c r="AS39" i="21"/>
  <c r="AR39" i="12"/>
  <c r="AL39" i="20"/>
  <c r="AN39" i="12"/>
  <c r="AK39" i="12"/>
  <c r="AK39" i="20"/>
  <c r="AL39" i="19"/>
  <c r="AT39" i="12"/>
  <c r="AO39" i="12"/>
  <c r="AK39" i="19"/>
  <c r="AO39" i="20"/>
  <c r="AL39" i="12"/>
  <c r="AO39" i="21"/>
  <c r="AM39" i="12"/>
  <c r="AQ39" i="12"/>
  <c r="AM39" i="19"/>
  <c r="AN39" i="20"/>
  <c r="AR39" i="21"/>
  <c r="AR39" i="20"/>
  <c r="AN39" i="21"/>
  <c r="AP39" i="19"/>
  <c r="AP39" i="12"/>
  <c r="AQ39" i="19"/>
  <c r="AN39" i="19"/>
  <c r="AO39" i="19"/>
  <c r="AQ39" i="20"/>
  <c r="AM39" i="20"/>
  <c r="AL39" i="21"/>
  <c r="AR39" i="19"/>
  <c r="AS39" i="19"/>
  <c r="AK39" i="21"/>
  <c r="AP39" i="20"/>
  <c r="AJ39" i="20"/>
  <c r="AQ39" i="21"/>
  <c r="AP39" i="21"/>
  <c r="AR29" i="12"/>
  <c r="AK29" i="19"/>
  <c r="AM29" i="20"/>
  <c r="AS29" i="19"/>
  <c r="AQ29" i="12"/>
  <c r="AR29" i="19"/>
  <c r="AN29" i="12"/>
  <c r="AK29" i="21"/>
  <c r="AS29" i="21"/>
  <c r="AQ29" i="19"/>
  <c r="AO29" i="19"/>
  <c r="AM29" i="12"/>
  <c r="AR29" i="21"/>
  <c r="AP29" i="19"/>
  <c r="AS29" i="12"/>
  <c r="AP29" i="20"/>
  <c r="AO29" i="21"/>
  <c r="AM29" i="19"/>
  <c r="AR29" i="20"/>
  <c r="AL29" i="21"/>
  <c r="AL29" i="12"/>
  <c r="AK29" i="20"/>
  <c r="AN29" i="21"/>
  <c r="AQ29" i="20"/>
  <c r="AP29" i="21"/>
  <c r="AP29" i="12"/>
  <c r="AJ29" i="20"/>
  <c r="AQ29" i="21"/>
  <c r="AN29" i="19"/>
  <c r="AO29" i="20"/>
  <c r="AT29" i="12"/>
  <c r="AO29" i="12"/>
  <c r="AL29" i="19"/>
  <c r="AM29" i="21"/>
  <c r="AN29" i="20"/>
  <c r="AL29" i="20"/>
  <c r="AK29" i="12"/>
  <c r="AJ26" i="20"/>
  <c r="AP26" i="12"/>
  <c r="AS26" i="21"/>
  <c r="AK26" i="21"/>
  <c r="AQ26" i="19"/>
  <c r="AL26" i="20"/>
  <c r="AL26" i="21"/>
  <c r="AN26" i="20"/>
  <c r="AR26" i="19"/>
  <c r="AK26" i="12"/>
  <c r="AT26" i="12"/>
  <c r="AO26" i="20"/>
  <c r="AR26" i="12"/>
  <c r="AP26" i="19"/>
  <c r="AM26" i="20"/>
  <c r="AL26" i="12"/>
  <c r="AO26" i="21"/>
  <c r="AQ26" i="21"/>
  <c r="AP26" i="20"/>
  <c r="AS26" i="19"/>
  <c r="AK26" i="19"/>
  <c r="AM26" i="12"/>
  <c r="AN26" i="19"/>
  <c r="AP26" i="21"/>
  <c r="AN26" i="12"/>
  <c r="AO26" i="19"/>
  <c r="AL26" i="19"/>
  <c r="AR26" i="21"/>
  <c r="AR26" i="20"/>
  <c r="AM26" i="19"/>
  <c r="AQ26" i="20"/>
  <c r="AN26" i="21"/>
  <c r="AO26" i="12"/>
  <c r="AS26" i="12"/>
  <c r="AQ26" i="12"/>
  <c r="AM26" i="21"/>
  <c r="AK26" i="20"/>
  <c r="AP20" i="20"/>
  <c r="AR20" i="12"/>
  <c r="AR20" i="20"/>
  <c r="AM20" i="19"/>
  <c r="AS20" i="12"/>
  <c r="AO20" i="19"/>
  <c r="AL20" i="20"/>
  <c r="AK20" i="21"/>
  <c r="AP20" i="12"/>
  <c r="AR20" i="21"/>
  <c r="AN20" i="19"/>
  <c r="AJ20" i="20"/>
  <c r="AQ20" i="12"/>
  <c r="AQ20" i="20"/>
  <c r="AL20" i="12"/>
  <c r="AM20" i="20"/>
  <c r="AS20" i="21"/>
  <c r="AL20" i="21"/>
  <c r="AM20" i="21"/>
  <c r="AQ20" i="21"/>
  <c r="AT20" i="12"/>
  <c r="AR20" i="19"/>
  <c r="AK20" i="20"/>
  <c r="AP20" i="21"/>
  <c r="AN20" i="12"/>
  <c r="AO20" i="20"/>
  <c r="AM20" i="12"/>
  <c r="AN20" i="20"/>
  <c r="AN20" i="21"/>
  <c r="AQ20" i="19"/>
  <c r="AO20" i="21"/>
  <c r="AO20" i="12"/>
  <c r="AL20" i="19"/>
  <c r="AS20" i="19"/>
  <c r="AP20" i="19"/>
  <c r="AK20" i="12"/>
  <c r="AK20" i="19"/>
  <c r="AR7" i="21"/>
  <c r="AR7" i="12"/>
  <c r="AK7" i="12"/>
  <c r="AO7" i="21"/>
  <c r="AL7" i="20"/>
  <c r="AN7" i="21"/>
  <c r="AQ7" i="12"/>
  <c r="AK7" i="20"/>
  <c r="AP7" i="21"/>
  <c r="AM7" i="19"/>
  <c r="AQ7" i="19"/>
  <c r="AK7" i="19"/>
  <c r="AN7" i="20"/>
  <c r="AJ7" i="20"/>
  <c r="AL7" i="19"/>
  <c r="AP7" i="19"/>
  <c r="AM7" i="20"/>
  <c r="AL7" i="21"/>
  <c r="AQ7" i="20"/>
  <c r="AS7" i="12"/>
  <c r="AT7" i="12"/>
  <c r="AP7" i="20"/>
  <c r="AR7" i="20"/>
  <c r="AN7" i="19"/>
  <c r="AS7" i="21"/>
  <c r="AO7" i="12"/>
  <c r="AS7" i="19"/>
  <c r="AO7" i="20"/>
  <c r="AN7" i="12"/>
  <c r="AM7" i="21"/>
  <c r="AM7" i="12"/>
  <c r="AK7" i="21"/>
  <c r="AQ7" i="21"/>
  <c r="AP7" i="12"/>
  <c r="AO7" i="19"/>
  <c r="AL7" i="12"/>
  <c r="AR7" i="19"/>
  <c r="AT6" i="20"/>
  <c r="AU6" i="12"/>
  <c r="AL48" i="19"/>
  <c r="AR48" i="21"/>
  <c r="AM48" i="12"/>
  <c r="AM48" i="19"/>
  <c r="AL48" i="12"/>
  <c r="AO48" i="20"/>
  <c r="AN48" i="20"/>
  <c r="AO48" i="21"/>
  <c r="AK48" i="21"/>
  <c r="AK48" i="20"/>
  <c r="AK48" i="19"/>
  <c r="AS48" i="19"/>
  <c r="AQ48" i="19"/>
  <c r="AO48" i="19"/>
  <c r="AM48" i="21"/>
  <c r="AP48" i="20"/>
  <c r="AP48" i="21"/>
  <c r="AR48" i="12"/>
  <c r="AO48" i="12"/>
  <c r="AR48" i="20"/>
  <c r="AN48" i="12"/>
  <c r="AM48" i="20"/>
  <c r="AP48" i="12"/>
  <c r="AL48" i="20"/>
  <c r="AP48" i="19"/>
  <c r="AQ48" i="12"/>
  <c r="AS48" i="12"/>
  <c r="AN48" i="19"/>
  <c r="AJ48" i="20"/>
  <c r="AL48" i="21"/>
  <c r="AT48" i="12"/>
  <c r="AQ48" i="20"/>
  <c r="AR48" i="19"/>
  <c r="AK48" i="12"/>
  <c r="AN48" i="21"/>
  <c r="AQ48" i="21"/>
  <c r="AS48" i="21"/>
  <c r="AQ31" i="12"/>
  <c r="AN31" i="19"/>
  <c r="AK31" i="21"/>
  <c r="AO31" i="20"/>
  <c r="AP31" i="21"/>
  <c r="AP31" i="20"/>
  <c r="AM31" i="19"/>
  <c r="AP31" i="12"/>
  <c r="AO31" i="19"/>
  <c r="AM31" i="20"/>
  <c r="AT31" i="12"/>
  <c r="AN31" i="21"/>
  <c r="AM31" i="21"/>
  <c r="AK31" i="12"/>
  <c r="AM31" i="12"/>
  <c r="AN31" i="12"/>
  <c r="AK31" i="20"/>
  <c r="AS31" i="19"/>
  <c r="AP31" i="19"/>
  <c r="AQ31" i="20"/>
  <c r="AO31" i="12"/>
  <c r="AQ31" i="19"/>
  <c r="AR31" i="21"/>
  <c r="AJ31" i="20"/>
  <c r="AL31" i="12"/>
  <c r="AK31" i="19"/>
  <c r="AO31" i="21"/>
  <c r="AS31" i="12"/>
  <c r="AR31" i="19"/>
  <c r="AN31" i="20"/>
  <c r="AS31" i="21"/>
  <c r="AL31" i="19"/>
  <c r="AR31" i="12"/>
  <c r="AQ31" i="21"/>
  <c r="AL31" i="21"/>
  <c r="AL31" i="20"/>
  <c r="AR31" i="20"/>
  <c r="AN28" i="20"/>
  <c r="AQ28" i="21"/>
  <c r="AQ28" i="19"/>
  <c r="AM28" i="20"/>
  <c r="AO28" i="12"/>
  <c r="AO28" i="20"/>
  <c r="AL28" i="21"/>
  <c r="AO28" i="19"/>
  <c r="AK28" i="12"/>
  <c r="AR28" i="12"/>
  <c r="AN28" i="21"/>
  <c r="AL28" i="20"/>
  <c r="AN28" i="19"/>
  <c r="AS28" i="21"/>
  <c r="AJ28" i="20"/>
  <c r="AP28" i="19"/>
  <c r="AP28" i="21"/>
  <c r="AL28" i="19"/>
  <c r="AP28" i="12"/>
  <c r="AS28" i="12"/>
  <c r="AR28" i="19"/>
  <c r="AO28" i="21"/>
  <c r="AS28" i="19"/>
  <c r="AK28" i="19"/>
  <c r="AM28" i="21"/>
  <c r="AK28" i="20"/>
  <c r="AL28" i="12"/>
  <c r="AT28" i="12"/>
  <c r="AK28" i="21"/>
  <c r="AR28" i="21"/>
  <c r="AQ28" i="12"/>
  <c r="AP28" i="20"/>
  <c r="AR28" i="20"/>
  <c r="AM28" i="19"/>
  <c r="AQ28" i="20"/>
  <c r="AN28" i="12"/>
  <c r="AM28" i="12"/>
  <c r="AM16" i="21"/>
  <c r="AK16" i="12"/>
  <c r="AQ16" i="21"/>
  <c r="AN16" i="20"/>
  <c r="AO16" i="19"/>
  <c r="AS16" i="21"/>
  <c r="AL16" i="12"/>
  <c r="AQ16" i="20"/>
  <c r="AO16" i="12"/>
  <c r="AL16" i="20"/>
  <c r="AJ16" i="20"/>
  <c r="AR16" i="20"/>
  <c r="AT16" i="12"/>
  <c r="AN16" i="19"/>
  <c r="AP16" i="21"/>
  <c r="AM16" i="12"/>
  <c r="AR16" i="21"/>
  <c r="AS16" i="19"/>
  <c r="AL16" i="21"/>
  <c r="AP16" i="12"/>
  <c r="AM16" i="19"/>
  <c r="AO16" i="21"/>
  <c r="AP16" i="20"/>
  <c r="AN16" i="21"/>
  <c r="AQ16" i="12"/>
  <c r="AO16" i="20"/>
  <c r="AN16" i="12"/>
  <c r="AQ16" i="19"/>
  <c r="AL16" i="19"/>
  <c r="AK16" i="21"/>
  <c r="AR16" i="19"/>
  <c r="AP16" i="19"/>
  <c r="AK16" i="19"/>
  <c r="AK16" i="20"/>
  <c r="AS16" i="12"/>
  <c r="AM16" i="20"/>
  <c r="AR16" i="12"/>
  <c r="AP12" i="19"/>
  <c r="AK12" i="12"/>
  <c r="AL12" i="19"/>
  <c r="AP12" i="21"/>
  <c r="AR12" i="21"/>
  <c r="AQ12" i="21"/>
  <c r="AL12" i="20"/>
  <c r="AT12" i="12"/>
  <c r="AM12" i="20"/>
  <c r="AR12" i="12"/>
  <c r="AP12" i="12"/>
  <c r="AO12" i="19"/>
  <c r="AN12" i="21"/>
  <c r="AL12" i="21"/>
  <c r="AJ12" i="20"/>
  <c r="AS12" i="21"/>
  <c r="AM12" i="21"/>
  <c r="AS12" i="19"/>
  <c r="AQ12" i="19"/>
  <c r="AN12" i="12"/>
  <c r="AQ12" i="12"/>
  <c r="AO12" i="12"/>
  <c r="AQ12" i="20"/>
  <c r="AK12" i="19"/>
  <c r="AK12" i="20"/>
  <c r="AP12" i="20"/>
  <c r="AO12" i="21"/>
  <c r="AM12" i="19"/>
  <c r="AK12" i="21"/>
  <c r="AN12" i="20"/>
  <c r="AM12" i="12"/>
  <c r="AL12" i="12"/>
  <c r="AO12" i="20"/>
  <c r="AS12" i="12"/>
  <c r="AN12" i="19"/>
  <c r="AR12" i="20"/>
  <c r="AR12" i="19"/>
  <c r="AQ11" i="12"/>
  <c r="AK11" i="19"/>
  <c r="AK11" i="21"/>
  <c r="AO11" i="20"/>
  <c r="AL11" i="12"/>
  <c r="AL11" i="19"/>
  <c r="AT11" i="12"/>
  <c r="AP11" i="21"/>
  <c r="AN11" i="21"/>
  <c r="AN11" i="19"/>
  <c r="AK11" i="20"/>
  <c r="AN11" i="12"/>
  <c r="AJ11" i="20"/>
  <c r="AS11" i="19"/>
  <c r="AM11" i="19"/>
  <c r="AO11" i="21"/>
  <c r="AO11" i="12"/>
  <c r="AM11" i="21"/>
  <c r="AL11" i="21"/>
  <c r="AO11" i="19"/>
  <c r="AQ11" i="21"/>
  <c r="AK11" i="12"/>
  <c r="AR11" i="19"/>
  <c r="AS11" i="12"/>
  <c r="AL11" i="20"/>
  <c r="AM11" i="12"/>
  <c r="AP11" i="19"/>
  <c r="AP11" i="20"/>
  <c r="AR11" i="20"/>
  <c r="AR11" i="12"/>
  <c r="AR11" i="21"/>
  <c r="AN11" i="20"/>
  <c r="AS11" i="21"/>
  <c r="AM11" i="20"/>
  <c r="AP11" i="12"/>
  <c r="AQ11" i="19"/>
  <c r="AQ11" i="20"/>
  <c r="AM53" i="20"/>
  <c r="AS53" i="12"/>
  <c r="AP53" i="12"/>
  <c r="AQ53" i="20"/>
  <c r="AL53" i="20"/>
  <c r="AL53" i="12"/>
  <c r="AT53" i="12"/>
  <c r="AK53" i="12"/>
  <c r="AP53" i="20"/>
  <c r="AO53" i="21"/>
  <c r="AM53" i="12"/>
  <c r="AJ53" i="20"/>
  <c r="AN53" i="21"/>
  <c r="AO53" i="12"/>
  <c r="AQ53" i="19"/>
  <c r="AL53" i="19"/>
  <c r="AN53" i="19"/>
  <c r="AM53" i="19"/>
  <c r="AR53" i="19"/>
  <c r="AP53" i="19"/>
  <c r="AR53" i="21"/>
  <c r="AO53" i="19"/>
  <c r="AR53" i="20"/>
  <c r="AK53" i="20"/>
  <c r="AK53" i="19"/>
  <c r="AS53" i="21"/>
  <c r="AN53" i="20"/>
  <c r="AL53" i="21"/>
  <c r="AS53" i="19"/>
  <c r="AN53" i="12"/>
  <c r="AR53" i="12"/>
  <c r="AQ53" i="21"/>
  <c r="AK53" i="21"/>
  <c r="AM53" i="21"/>
  <c r="AP53" i="21"/>
  <c r="AQ53" i="12"/>
  <c r="AO53" i="20"/>
  <c r="AU6" i="19"/>
  <c r="AM44" i="20"/>
  <c r="AP44" i="21"/>
  <c r="AN44" i="19"/>
  <c r="AM44" i="12"/>
  <c r="AO44" i="20"/>
  <c r="AL44" i="20"/>
  <c r="AO44" i="21"/>
  <c r="AL44" i="19"/>
  <c r="AS44" i="12"/>
  <c r="AP44" i="19"/>
  <c r="AQ44" i="12"/>
  <c r="AM44" i="21"/>
  <c r="AK44" i="19"/>
  <c r="AT44" i="12"/>
  <c r="AQ44" i="20"/>
  <c r="AL44" i="21"/>
  <c r="AS44" i="21"/>
  <c r="AN44" i="12"/>
  <c r="AR44" i="19"/>
  <c r="AO44" i="12"/>
  <c r="AP44" i="20"/>
  <c r="AQ44" i="19"/>
  <c r="AL44" i="12"/>
  <c r="AO44" i="19"/>
  <c r="AK44" i="21"/>
  <c r="AN44" i="20"/>
  <c r="AK44" i="12"/>
  <c r="AR44" i="20"/>
  <c r="AJ44" i="20"/>
  <c r="AM44" i="19"/>
  <c r="AS44" i="19"/>
  <c r="AQ44" i="21"/>
  <c r="AN44" i="21"/>
  <c r="AK44" i="20"/>
  <c r="AP44" i="12"/>
  <c r="AR44" i="12"/>
  <c r="AR44" i="21"/>
  <c r="AL27" i="21"/>
  <c r="AS27" i="12"/>
  <c r="AK27" i="21"/>
  <c r="AP27" i="21"/>
  <c r="AM27" i="21"/>
  <c r="AQ27" i="20"/>
  <c r="AR27" i="20"/>
  <c r="AT27" i="12"/>
  <c r="AJ27" i="20"/>
  <c r="AL27" i="19"/>
  <c r="AL27" i="12"/>
  <c r="AO27" i="19"/>
  <c r="AS27" i="19"/>
  <c r="AR27" i="21"/>
  <c r="AK27" i="12"/>
  <c r="AN27" i="20"/>
  <c r="AQ27" i="19"/>
  <c r="AO27" i="21"/>
  <c r="AK27" i="20"/>
  <c r="AP27" i="20"/>
  <c r="AM27" i="12"/>
  <c r="AQ27" i="21"/>
  <c r="AQ27" i="12"/>
  <c r="AN27" i="12"/>
  <c r="AR27" i="12"/>
  <c r="AM27" i="19"/>
  <c r="AS27" i="21"/>
  <c r="AP27" i="19"/>
  <c r="AL27" i="20"/>
  <c r="AN27" i="19"/>
  <c r="AR27" i="19"/>
  <c r="AK27" i="19"/>
  <c r="AN27" i="21"/>
  <c r="AO27" i="12"/>
  <c r="AP27" i="12"/>
  <c r="AO27" i="20"/>
  <c r="AM27" i="20"/>
  <c r="AP40" i="20"/>
  <c r="AO40" i="12"/>
  <c r="AL40" i="19"/>
  <c r="AK40" i="12"/>
  <c r="AK40" i="20"/>
  <c r="AK40" i="21"/>
  <c r="AR40" i="20"/>
  <c r="AS40" i="21"/>
  <c r="AM40" i="19"/>
  <c r="AO40" i="19"/>
  <c r="AL40" i="21"/>
  <c r="AJ40" i="20"/>
  <c r="AR40" i="12"/>
  <c r="AP40" i="21"/>
  <c r="AQ40" i="21"/>
  <c r="AP40" i="12"/>
  <c r="AO40" i="20"/>
  <c r="AS40" i="12"/>
  <c r="AK40" i="19"/>
  <c r="AO40" i="21"/>
  <c r="AS40" i="19"/>
  <c r="AL40" i="20"/>
  <c r="AL40" i="12"/>
  <c r="AN40" i="21"/>
  <c r="AR40" i="21"/>
  <c r="AM40" i="21"/>
  <c r="AQ40" i="19"/>
  <c r="AP40" i="19"/>
  <c r="AM40" i="12"/>
  <c r="AT40" i="12"/>
  <c r="AN40" i="20"/>
  <c r="AM40" i="20"/>
  <c r="AQ40" i="12"/>
  <c r="AN40" i="12"/>
  <c r="AN40" i="19"/>
  <c r="AQ40" i="20"/>
  <c r="AR40" i="19"/>
  <c r="AR41" i="21"/>
  <c r="AQ41" i="20"/>
  <c r="AN41" i="19"/>
  <c r="AO41" i="20"/>
  <c r="AS41" i="19"/>
  <c r="AP41" i="12"/>
  <c r="AM41" i="21"/>
  <c r="AJ41" i="20"/>
  <c r="AK41" i="12"/>
  <c r="AQ41" i="21"/>
  <c r="AL41" i="21"/>
  <c r="AN41" i="21"/>
  <c r="AO41" i="12"/>
  <c r="AK41" i="19"/>
  <c r="AS41" i="12"/>
  <c r="AN41" i="20"/>
  <c r="AK41" i="20"/>
  <c r="AP41" i="20"/>
  <c r="AL41" i="12"/>
  <c r="AL41" i="19"/>
  <c r="AQ41" i="19"/>
  <c r="AT41" i="12"/>
  <c r="AR41" i="19"/>
  <c r="AK41" i="21"/>
  <c r="AL41" i="20"/>
  <c r="AP41" i="21"/>
  <c r="AM41" i="20"/>
  <c r="AP41" i="19"/>
  <c r="AO41" i="21"/>
  <c r="AR41" i="12"/>
  <c r="AS41" i="21"/>
  <c r="AM41" i="12"/>
  <c r="AR41" i="20"/>
  <c r="AQ41" i="12"/>
  <c r="AO41" i="19"/>
  <c r="AM41" i="19"/>
  <c r="AN41" i="12"/>
  <c r="AK15" i="19"/>
  <c r="AK15" i="20"/>
  <c r="AN15" i="12"/>
  <c r="AK15" i="21"/>
  <c r="AJ15" i="20"/>
  <c r="AM15" i="12"/>
  <c r="AR15" i="12"/>
  <c r="AP15" i="21"/>
  <c r="AQ15" i="20"/>
  <c r="AL15" i="20"/>
  <c r="AL15" i="21"/>
  <c r="AR15" i="20"/>
  <c r="AQ15" i="12"/>
  <c r="AS15" i="19"/>
  <c r="AL15" i="19"/>
  <c r="AT15" i="12"/>
  <c r="AP15" i="12"/>
  <c r="AQ15" i="21"/>
  <c r="AO15" i="19"/>
  <c r="AO15" i="20"/>
  <c r="AR15" i="21"/>
  <c r="AP15" i="20"/>
  <c r="AR15" i="19"/>
  <c r="AO15" i="12"/>
  <c r="AM15" i="20"/>
  <c r="AK15" i="12"/>
  <c r="AN15" i="20"/>
  <c r="AP15" i="19"/>
  <c r="AQ15" i="19"/>
  <c r="AM15" i="21"/>
  <c r="AN15" i="21"/>
  <c r="AS15" i="12"/>
  <c r="AS15" i="21"/>
  <c r="AL15" i="12"/>
  <c r="AM15" i="19"/>
  <c r="AN15" i="19"/>
  <c r="AO15" i="21"/>
  <c r="AK22" i="21"/>
  <c r="AP22" i="21"/>
  <c r="AQ22" i="19"/>
  <c r="AR22" i="21"/>
  <c r="AL22" i="20"/>
  <c r="AR22" i="12"/>
  <c r="AM22" i="19"/>
  <c r="AQ22" i="21"/>
  <c r="AN22" i="19"/>
  <c r="AT22" i="12"/>
  <c r="AM22" i="12"/>
  <c r="AO22" i="19"/>
  <c r="AL22" i="21"/>
  <c r="AK22" i="20"/>
  <c r="AJ22" i="20"/>
  <c r="AP22" i="20"/>
  <c r="AR22" i="19"/>
  <c r="AM22" i="21"/>
  <c r="AO22" i="20"/>
  <c r="AQ22" i="20"/>
  <c r="AS22" i="21"/>
  <c r="AK22" i="12"/>
  <c r="AO22" i="12"/>
  <c r="AP22" i="12"/>
  <c r="AS22" i="19"/>
  <c r="AN22" i="20"/>
  <c r="AO22" i="21"/>
  <c r="AL22" i="19"/>
  <c r="AN22" i="21"/>
  <c r="AR22" i="20"/>
  <c r="AS22" i="12"/>
  <c r="AP22" i="19"/>
  <c r="AN22" i="12"/>
  <c r="AQ22" i="12"/>
  <c r="AM22" i="20"/>
  <c r="AL22" i="12"/>
  <c r="AK22" i="19"/>
  <c r="AL47" i="12"/>
  <c r="AN47" i="21"/>
  <c r="AN47" i="19"/>
  <c r="AS47" i="21"/>
  <c r="AK47" i="20"/>
  <c r="AT47" i="12"/>
  <c r="AK47" i="19"/>
  <c r="AR47" i="12"/>
  <c r="AS47" i="12"/>
  <c r="AL47" i="19"/>
  <c r="AM47" i="20"/>
  <c r="AP47" i="12"/>
  <c r="AM47" i="21"/>
  <c r="AK47" i="12"/>
  <c r="AS47" i="19"/>
  <c r="AP47" i="19"/>
  <c r="AL47" i="20"/>
  <c r="AQ47" i="21"/>
  <c r="AP47" i="20"/>
  <c r="AN47" i="12"/>
  <c r="AR47" i="20"/>
  <c r="AQ47" i="12"/>
  <c r="AL47" i="21"/>
  <c r="AR47" i="21"/>
  <c r="AN47" i="20"/>
  <c r="AO47" i="21"/>
  <c r="AM47" i="12"/>
  <c r="AJ47" i="20"/>
  <c r="AO47" i="12"/>
  <c r="AR47" i="19"/>
  <c r="AO47" i="19"/>
  <c r="AM47" i="19"/>
  <c r="AK47" i="21"/>
  <c r="AQ47" i="19"/>
  <c r="AO47" i="20"/>
  <c r="AQ47" i="20"/>
  <c r="AO54" i="12"/>
  <c r="AT54" i="12"/>
  <c r="AR54" i="21"/>
  <c r="AM54" i="12"/>
  <c r="AQ54" i="20"/>
  <c r="AM54" i="20"/>
  <c r="AL54" i="21"/>
  <c r="AR54" i="19"/>
  <c r="AR54" i="12"/>
  <c r="AQ54" i="21"/>
  <c r="AJ54" i="20"/>
  <c r="AN54" i="12"/>
  <c r="AM54" i="21"/>
  <c r="AO54" i="20"/>
  <c r="AP54" i="12"/>
  <c r="AS54" i="21"/>
  <c r="AQ54" i="19"/>
  <c r="AO54" i="21"/>
  <c r="AP54" i="21"/>
  <c r="AS54" i="12"/>
  <c r="AQ54" i="12"/>
  <c r="AK54" i="12"/>
  <c r="AO54" i="19"/>
  <c r="AN54" i="21"/>
  <c r="AK54" i="19"/>
  <c r="AM54" i="19"/>
  <c r="AN54" i="20"/>
  <c r="AK54" i="21"/>
  <c r="AL54" i="19"/>
  <c r="AP54" i="19"/>
  <c r="AN54" i="19"/>
  <c r="AS54" i="19"/>
  <c r="AR54" i="20"/>
  <c r="AP54" i="20"/>
  <c r="AK54" i="20"/>
  <c r="AL54" i="20"/>
  <c r="AL54" i="12"/>
  <c r="AL24" i="21"/>
  <c r="AN24" i="19"/>
  <c r="AK24" i="12"/>
  <c r="AN24" i="12"/>
  <c r="AT24" i="12"/>
  <c r="AO24" i="19"/>
  <c r="AO24" i="20"/>
  <c r="AL24" i="19"/>
  <c r="AQ24" i="12"/>
  <c r="AS24" i="19"/>
  <c r="AN24" i="21"/>
  <c r="AP24" i="12"/>
  <c r="AK24" i="19"/>
  <c r="AR24" i="21"/>
  <c r="AM24" i="21"/>
  <c r="AJ24" i="20"/>
  <c r="AQ24" i="21"/>
  <c r="AQ24" i="20"/>
  <c r="AO24" i="12"/>
  <c r="AK24" i="20"/>
  <c r="AQ24" i="19"/>
  <c r="AK24" i="21"/>
  <c r="AM24" i="12"/>
  <c r="AS24" i="12"/>
  <c r="AR24" i="20"/>
  <c r="AL24" i="20"/>
  <c r="AP24" i="21"/>
  <c r="AN24" i="20"/>
  <c r="AP24" i="20"/>
  <c r="AS24" i="21"/>
  <c r="AR24" i="12"/>
  <c r="AP24" i="19"/>
  <c r="AM24" i="19"/>
  <c r="AR24" i="19"/>
  <c r="AO24" i="21"/>
  <c r="AM24" i="20"/>
  <c r="AL24" i="12"/>
  <c r="AP32" i="21"/>
  <c r="AL32" i="12"/>
  <c r="AO32" i="20"/>
  <c r="AL32" i="20"/>
  <c r="AS32" i="21"/>
  <c r="AN32" i="20"/>
  <c r="AR32" i="12"/>
  <c r="AS32" i="19"/>
  <c r="AN32" i="12"/>
  <c r="AN32" i="21"/>
  <c r="AM32" i="12"/>
  <c r="AM32" i="21"/>
  <c r="AK32" i="21"/>
  <c r="AP32" i="19"/>
  <c r="AR32" i="20"/>
  <c r="AM32" i="19"/>
  <c r="AS32" i="12"/>
  <c r="AO32" i="21"/>
  <c r="AM32" i="20"/>
  <c r="AO32" i="19"/>
  <c r="AJ32" i="20"/>
  <c r="AQ32" i="20"/>
  <c r="AP32" i="12"/>
  <c r="AQ32" i="21"/>
  <c r="AT32" i="12"/>
  <c r="AL32" i="19"/>
  <c r="AN32" i="19"/>
  <c r="AR32" i="19"/>
  <c r="AL32" i="21"/>
  <c r="AK32" i="12"/>
  <c r="AK32" i="20"/>
  <c r="AQ32" i="12"/>
  <c r="AP32" i="20"/>
  <c r="AQ32" i="19"/>
  <c r="AK32" i="19"/>
  <c r="AR32" i="21"/>
  <c r="AO32" i="12"/>
  <c r="AP33" i="12"/>
  <c r="AO33" i="12"/>
  <c r="AL33" i="20"/>
  <c r="AL33" i="21"/>
  <c r="AK33" i="21"/>
  <c r="AL33" i="12"/>
  <c r="AR33" i="12"/>
  <c r="AN33" i="12"/>
  <c r="AR33" i="19"/>
  <c r="AS33" i="12"/>
  <c r="AL33" i="19"/>
  <c r="AS33" i="21"/>
  <c r="AP33" i="19"/>
  <c r="AQ33" i="21"/>
  <c r="AQ33" i="12"/>
  <c r="AM33" i="21"/>
  <c r="AO33" i="21"/>
  <c r="AR33" i="21"/>
  <c r="AO33" i="20"/>
  <c r="AR33" i="20"/>
  <c r="AN33" i="19"/>
  <c r="AT33" i="12"/>
  <c r="AM33" i="12"/>
  <c r="AN33" i="21"/>
  <c r="AP33" i="20"/>
  <c r="AM33" i="20"/>
  <c r="AJ33" i="20"/>
  <c r="AN33" i="20"/>
  <c r="AQ33" i="20"/>
  <c r="AK33" i="20"/>
  <c r="AS33" i="19"/>
  <c r="AP33" i="21"/>
  <c r="AK33" i="19"/>
  <c r="AO33" i="19"/>
  <c r="AQ33" i="19"/>
  <c r="AM33" i="19"/>
  <c r="AK33" i="12"/>
  <c r="AP18" i="20"/>
  <c r="AP18" i="19"/>
  <c r="AK18" i="20"/>
  <c r="AP18" i="12"/>
  <c r="AM18" i="21"/>
  <c r="AO18" i="20"/>
  <c r="AO18" i="19"/>
  <c r="AS18" i="12"/>
  <c r="AM18" i="12"/>
  <c r="AK18" i="21"/>
  <c r="AN18" i="21"/>
  <c r="AM18" i="20"/>
  <c r="AR18" i="20"/>
  <c r="AN18" i="19"/>
  <c r="AN18" i="20"/>
  <c r="AR18" i="21"/>
  <c r="AJ18" i="20"/>
  <c r="AK18" i="19"/>
  <c r="AT18" i="12"/>
  <c r="AR18" i="19"/>
  <c r="AN18" i="12"/>
  <c r="AL18" i="20"/>
  <c r="AQ18" i="19"/>
  <c r="AS18" i="21"/>
  <c r="AR18" i="12"/>
  <c r="AL18" i="19"/>
  <c r="AQ18" i="21"/>
  <c r="AQ18" i="20"/>
  <c r="AP18" i="21"/>
  <c r="AL18" i="12"/>
  <c r="AO18" i="21"/>
  <c r="AM18" i="19"/>
  <c r="AK18" i="12"/>
  <c r="AQ18" i="12"/>
  <c r="AL18" i="21"/>
  <c r="AO18" i="12"/>
  <c r="AS18" i="19"/>
  <c r="AK14" i="19"/>
  <c r="AN14" i="12"/>
  <c r="AS14" i="12"/>
  <c r="AN14" i="19"/>
  <c r="AQ14" i="12"/>
  <c r="AK14" i="21"/>
  <c r="AM14" i="12"/>
  <c r="AR14" i="19"/>
  <c r="AO14" i="21"/>
  <c r="AP14" i="19"/>
  <c r="AS14" i="19"/>
  <c r="AM14" i="21"/>
  <c r="AK14" i="12"/>
  <c r="AL14" i="12"/>
  <c r="AL14" i="19"/>
  <c r="AQ14" i="19"/>
  <c r="AP14" i="20"/>
  <c r="AR14" i="20"/>
  <c r="AT14" i="12"/>
  <c r="AJ14" i="20"/>
  <c r="AL14" i="20"/>
  <c r="AN14" i="21"/>
  <c r="AO14" i="19"/>
  <c r="AR14" i="12"/>
  <c r="AM14" i="19"/>
  <c r="AO14" i="20"/>
  <c r="AK14" i="20"/>
  <c r="AP14" i="21"/>
  <c r="AR14" i="21"/>
  <c r="AO14" i="12"/>
  <c r="AP14" i="12"/>
  <c r="AQ14" i="21"/>
  <c r="AN14" i="20"/>
  <c r="AS14" i="21"/>
  <c r="AQ14" i="20"/>
  <c r="AL14" i="21"/>
  <c r="AM14" i="20"/>
  <c r="AU6" i="15"/>
  <c r="AU6" i="21"/>
  <c r="AR51" i="12"/>
  <c r="AL51" i="12"/>
  <c r="AJ51" i="20"/>
  <c r="AP51" i="21"/>
  <c r="AQ51" i="21"/>
  <c r="AQ51" i="19"/>
  <c r="AK51" i="19"/>
  <c r="AN51" i="19"/>
  <c r="AP51" i="12"/>
  <c r="AK51" i="21"/>
  <c r="AN51" i="12"/>
  <c r="AO51" i="21"/>
  <c r="AR51" i="19"/>
  <c r="AN51" i="20"/>
  <c r="AO51" i="12"/>
  <c r="AO51" i="20"/>
  <c r="AR51" i="21"/>
  <c r="AQ51" i="20"/>
  <c r="AM51" i="21"/>
  <c r="AP51" i="19"/>
  <c r="AL51" i="19"/>
  <c r="AM51" i="20"/>
  <c r="AM51" i="19"/>
  <c r="AQ51" i="12"/>
  <c r="AL51" i="21"/>
  <c r="AR51" i="20"/>
  <c r="AS51" i="21"/>
  <c r="AN51" i="21"/>
  <c r="AM51" i="12"/>
  <c r="AK51" i="20"/>
  <c r="AP51" i="20"/>
  <c r="AT51" i="12"/>
  <c r="AS51" i="19"/>
  <c r="AK51" i="12"/>
  <c r="AS51" i="12"/>
  <c r="AL51" i="20"/>
  <c r="AO51" i="19"/>
  <c r="AL42" i="20"/>
  <c r="AM42" i="19"/>
  <c r="AN42" i="21"/>
  <c r="AQ42" i="12"/>
  <c r="AT42" i="12"/>
  <c r="AP42" i="19"/>
  <c r="AQ42" i="20"/>
  <c r="AR42" i="12"/>
  <c r="AJ42" i="20"/>
  <c r="AN42" i="12"/>
  <c r="AM42" i="21"/>
  <c r="AP42" i="20"/>
  <c r="AO42" i="20"/>
  <c r="AK42" i="21"/>
  <c r="AS42" i="19"/>
  <c r="AM42" i="12"/>
  <c r="AR42" i="20"/>
  <c r="AR42" i="21"/>
  <c r="AN42" i="19"/>
  <c r="AN42" i="20"/>
  <c r="AP42" i="12"/>
  <c r="AR42" i="19"/>
  <c r="AK42" i="12"/>
  <c r="AK42" i="19"/>
  <c r="AP42" i="21"/>
  <c r="AL42" i="19"/>
  <c r="AQ42" i="19"/>
  <c r="AM42" i="20"/>
  <c r="AO42" i="19"/>
  <c r="AL42" i="12"/>
  <c r="AS42" i="21"/>
  <c r="AQ42" i="21"/>
  <c r="AO42" i="12"/>
  <c r="AO42" i="21"/>
  <c r="AL42" i="21"/>
  <c r="AS42" i="12"/>
  <c r="AK42" i="20"/>
  <c r="AL43" i="21"/>
  <c r="AR43" i="19"/>
  <c r="AN43" i="21"/>
  <c r="AN43" i="12"/>
  <c r="AQ43" i="19"/>
  <c r="AP43" i="19"/>
  <c r="AO43" i="21"/>
  <c r="AJ43" i="20"/>
  <c r="AM43" i="20"/>
  <c r="AS43" i="21"/>
  <c r="AL43" i="20"/>
  <c r="AO43" i="20"/>
  <c r="AQ43" i="20"/>
  <c r="AK43" i="21"/>
  <c r="AT43" i="12"/>
  <c r="AM43" i="21"/>
  <c r="AL43" i="19"/>
  <c r="AR43" i="12"/>
  <c r="AK43" i="12"/>
  <c r="AO43" i="19"/>
  <c r="AR43" i="21"/>
  <c r="AO43" i="12"/>
  <c r="AN43" i="20"/>
  <c r="AP43" i="20"/>
  <c r="AL43" i="12"/>
  <c r="AM43" i="12"/>
  <c r="AP43" i="12"/>
  <c r="AQ43" i="12"/>
  <c r="AP43" i="21"/>
  <c r="AS43" i="12"/>
  <c r="AR43" i="20"/>
  <c r="AS43" i="19"/>
  <c r="AQ43" i="21"/>
  <c r="AK43" i="19"/>
  <c r="AM43" i="19"/>
  <c r="AN43" i="19"/>
  <c r="AK43" i="20"/>
  <c r="AM23" i="12"/>
  <c r="AR23" i="20"/>
  <c r="AO23" i="21"/>
  <c r="AS23" i="21"/>
  <c r="AR23" i="12"/>
  <c r="AK23" i="12"/>
  <c r="AS23" i="12"/>
  <c r="AM23" i="21"/>
  <c r="AN23" i="20"/>
  <c r="AM23" i="19"/>
  <c r="AL23" i="12"/>
  <c r="AP23" i="19"/>
  <c r="AL23" i="19"/>
  <c r="AJ23" i="20"/>
  <c r="AT23" i="12"/>
  <c r="AM23" i="20"/>
  <c r="AP23" i="12"/>
  <c r="AP23" i="20"/>
  <c r="AS23" i="19"/>
  <c r="AK23" i="20"/>
  <c r="AO23" i="12"/>
  <c r="AN23" i="12"/>
  <c r="AQ23" i="19"/>
  <c r="AK23" i="21"/>
  <c r="AK23" i="19"/>
  <c r="AN23" i="19"/>
  <c r="AR23" i="19"/>
  <c r="AR23" i="21"/>
  <c r="AQ23" i="12"/>
  <c r="AN23" i="21"/>
  <c r="AQ23" i="20"/>
  <c r="AO23" i="20"/>
  <c r="AL23" i="21"/>
  <c r="AP23" i="21"/>
  <c r="AL23" i="20"/>
  <c r="AO23" i="19"/>
  <c r="AQ23" i="21"/>
  <c r="AL10" i="19"/>
  <c r="AP10" i="12"/>
  <c r="AO10" i="21"/>
  <c r="AM10" i="19"/>
  <c r="AT10" i="12"/>
  <c r="AN10" i="12"/>
  <c r="AR10" i="21"/>
  <c r="AK10" i="20"/>
  <c r="AK10" i="21"/>
  <c r="AP10" i="19"/>
  <c r="AO10" i="19"/>
  <c r="AP10" i="20"/>
  <c r="AL10" i="21"/>
  <c r="AQ10" i="20"/>
  <c r="AL10" i="20"/>
  <c r="AS10" i="12"/>
  <c r="AK10" i="19"/>
  <c r="AN10" i="20"/>
  <c r="AO10" i="20"/>
  <c r="AM10" i="20"/>
  <c r="AQ10" i="12"/>
  <c r="AR10" i="12"/>
  <c r="AS10" i="21"/>
  <c r="AM10" i="21"/>
  <c r="AQ10" i="21"/>
  <c r="AO10" i="12"/>
  <c r="AJ10" i="20"/>
  <c r="AM10" i="12"/>
  <c r="AL10" i="12"/>
  <c r="AS10" i="19"/>
  <c r="AR10" i="20"/>
  <c r="AP10" i="21"/>
  <c r="AN10" i="19"/>
  <c r="AN10" i="21"/>
  <c r="AR10" i="19"/>
  <c r="AQ10" i="19"/>
  <c r="AK10" i="12"/>
  <c r="AQ36" i="12"/>
  <c r="AM36" i="19"/>
  <c r="AN36" i="20"/>
  <c r="AP36" i="12"/>
  <c r="AO36" i="12"/>
  <c r="AK36" i="12"/>
  <c r="AN36" i="19"/>
  <c r="AP36" i="19"/>
  <c r="AM36" i="12"/>
  <c r="AM36" i="20"/>
  <c r="AQ36" i="20"/>
  <c r="AP36" i="21"/>
  <c r="AL36" i="12"/>
  <c r="AS36" i="21"/>
  <c r="AO36" i="19"/>
  <c r="AO36" i="21"/>
  <c r="AS36" i="12"/>
  <c r="AL36" i="21"/>
  <c r="AN36" i="12"/>
  <c r="AQ36" i="21"/>
  <c r="AQ36" i="19"/>
  <c r="AR36" i="20"/>
  <c r="AL36" i="19"/>
  <c r="AS36" i="19"/>
  <c r="AP36" i="20"/>
  <c r="AK36" i="20"/>
  <c r="AR36" i="21"/>
  <c r="AO36" i="20"/>
  <c r="AN36" i="21"/>
  <c r="AK36" i="21"/>
  <c r="AK36" i="19"/>
  <c r="AR36" i="19"/>
  <c r="AL36" i="20"/>
  <c r="AT36" i="12"/>
  <c r="AR36" i="12"/>
  <c r="AJ36" i="20"/>
  <c r="AM36" i="21"/>
  <c r="AT49" i="12"/>
  <c r="AL49" i="20"/>
  <c r="AK49" i="20"/>
  <c r="AP49" i="12"/>
  <c r="AO49" i="19"/>
  <c r="AN49" i="12"/>
  <c r="AR49" i="12"/>
  <c r="AS49" i="19"/>
  <c r="AL49" i="12"/>
  <c r="AO49" i="12"/>
  <c r="AQ49" i="19"/>
  <c r="AP49" i="21"/>
  <c r="AM49" i="21"/>
  <c r="AO49" i="21"/>
  <c r="AP49" i="20"/>
  <c r="AR49" i="19"/>
  <c r="AL49" i="19"/>
  <c r="AN49" i="20"/>
  <c r="AQ49" i="21"/>
  <c r="AQ49" i="12"/>
  <c r="AN49" i="19"/>
  <c r="AM49" i="12"/>
  <c r="AL49" i="21"/>
  <c r="AR49" i="21"/>
  <c r="AK49" i="19"/>
  <c r="AS49" i="12"/>
  <c r="AQ49" i="20"/>
  <c r="AM49" i="19"/>
  <c r="AP49" i="19"/>
  <c r="AM49" i="20"/>
  <c r="AR49" i="20"/>
  <c r="AK49" i="12"/>
  <c r="AJ49" i="20"/>
  <c r="AS49" i="21"/>
  <c r="AN49" i="21"/>
  <c r="AK49" i="21"/>
  <c r="AO49" i="20"/>
  <c r="AN34" i="21"/>
  <c r="AM34" i="19"/>
  <c r="AR34" i="12"/>
  <c r="AK34" i="19"/>
  <c r="AJ34" i="20"/>
  <c r="AN34" i="19"/>
  <c r="AO34" i="20"/>
  <c r="AM34" i="20"/>
  <c r="AL34" i="12"/>
  <c r="AP34" i="21"/>
  <c r="AR34" i="20"/>
  <c r="AO34" i="21"/>
  <c r="AP34" i="12"/>
  <c r="AL34" i="19"/>
  <c r="AT34" i="12"/>
  <c r="AS34" i="21"/>
  <c r="AP34" i="20"/>
  <c r="AP34" i="19"/>
  <c r="AQ34" i="12"/>
  <c r="AR34" i="19"/>
  <c r="AO34" i="19"/>
  <c r="AM34" i="12"/>
  <c r="AS34" i="12"/>
  <c r="AR34" i="21"/>
  <c r="AK34" i="20"/>
  <c r="AQ34" i="21"/>
  <c r="AN34" i="12"/>
  <c r="AK34" i="21"/>
  <c r="AO34" i="12"/>
  <c r="AQ34" i="19"/>
  <c r="AL34" i="21"/>
  <c r="AN34" i="20"/>
  <c r="AM34" i="21"/>
  <c r="AL34" i="20"/>
  <c r="AS34" i="19"/>
  <c r="AQ34" i="20"/>
  <c r="AK34" i="12"/>
  <c r="AK35" i="12"/>
  <c r="AO35" i="19"/>
  <c r="AK35" i="19"/>
  <c r="AP35" i="12"/>
  <c r="AP35" i="21"/>
  <c r="AL35" i="12"/>
  <c r="AS35" i="12"/>
  <c r="AN35" i="12"/>
  <c r="AT35" i="12"/>
  <c r="AP35" i="19"/>
  <c r="AL35" i="20"/>
  <c r="AO35" i="12"/>
  <c r="AM35" i="20"/>
  <c r="AL35" i="21"/>
  <c r="AQ35" i="20"/>
  <c r="AO35" i="21"/>
  <c r="AR35" i="21"/>
  <c r="AP35" i="20"/>
  <c r="AM35" i="12"/>
  <c r="AS35" i="19"/>
  <c r="AM35" i="19"/>
  <c r="AN35" i="19"/>
  <c r="AK35" i="20"/>
  <c r="AQ35" i="21"/>
  <c r="AJ35" i="20"/>
  <c r="AR35" i="20"/>
  <c r="AL35" i="19"/>
  <c r="AS35" i="21"/>
  <c r="AQ35" i="19"/>
  <c r="AR35" i="12"/>
  <c r="AN35" i="20"/>
  <c r="AQ35" i="12"/>
  <c r="AK35" i="21"/>
  <c r="AO35" i="20"/>
  <c r="AN35" i="21"/>
  <c r="AR35" i="19"/>
  <c r="AM35" i="21"/>
  <c r="AK25" i="12"/>
  <c r="AL25" i="19"/>
  <c r="AS25" i="21"/>
  <c r="AM25" i="12"/>
  <c r="AP25" i="19"/>
  <c r="AN25" i="12"/>
  <c r="AR25" i="21"/>
  <c r="AP25" i="20"/>
  <c r="AN25" i="21"/>
  <c r="AK25" i="21"/>
  <c r="AO25" i="21"/>
  <c r="AS25" i="12"/>
  <c r="AO25" i="20"/>
  <c r="AM25" i="19"/>
  <c r="AQ25" i="12"/>
  <c r="AP25" i="21"/>
  <c r="AQ25" i="19"/>
  <c r="AM25" i="21"/>
  <c r="AP25" i="12"/>
  <c r="AO25" i="12"/>
  <c r="AR25" i="12"/>
  <c r="AL25" i="21"/>
  <c r="AO25" i="19"/>
  <c r="AL25" i="12"/>
  <c r="AK25" i="20"/>
  <c r="AS25" i="19"/>
  <c r="AQ25" i="20"/>
  <c r="AK25" i="19"/>
  <c r="AR25" i="20"/>
  <c r="AL25" i="20"/>
  <c r="AM25" i="20"/>
  <c r="AN25" i="19"/>
  <c r="AR25" i="19"/>
  <c r="AT25" i="12"/>
  <c r="AN25" i="20"/>
  <c r="AQ25" i="21"/>
  <c r="AJ25" i="20"/>
  <c r="AN8" i="20"/>
  <c r="AM8" i="19"/>
  <c r="AR8" i="19"/>
  <c r="AS8" i="21"/>
  <c r="AR8" i="12"/>
  <c r="AK8" i="19"/>
  <c r="AL8" i="20"/>
  <c r="AN8" i="21"/>
  <c r="AP8" i="19"/>
  <c r="AL8" i="19"/>
  <c r="AM8" i="12"/>
  <c r="AP8" i="12"/>
  <c r="AS8" i="19"/>
  <c r="AP8" i="20"/>
  <c r="AK8" i="12"/>
  <c r="AL8" i="21"/>
  <c r="AO8" i="20"/>
  <c r="AM8" i="20"/>
  <c r="AO8" i="21"/>
  <c r="AL8" i="12"/>
  <c r="AQ8" i="20"/>
  <c r="AM8" i="21"/>
  <c r="AN8" i="19"/>
  <c r="AO8" i="19"/>
  <c r="AS8" i="12"/>
  <c r="AO8" i="12"/>
  <c r="AP8" i="21"/>
  <c r="AN8" i="12"/>
  <c r="AT8" i="12"/>
  <c r="AJ8" i="20"/>
  <c r="AQ8" i="21"/>
  <c r="AK8" i="21"/>
  <c r="AR8" i="21"/>
  <c r="AQ8" i="19"/>
  <c r="AK8" i="20"/>
  <c r="AQ8" i="12"/>
  <c r="AR8" i="20"/>
  <c r="AP47" i="21"/>
  <c r="AN5" i="21"/>
  <c r="AK5" i="19"/>
  <c r="AO5" i="20"/>
  <c r="AP5" i="20"/>
  <c r="AK5" i="12"/>
  <c r="AM5" i="19"/>
  <c r="AO5" i="21"/>
  <c r="AK5" i="20"/>
  <c r="AQ5" i="20"/>
  <c r="AS5" i="21"/>
  <c r="AL5" i="12"/>
  <c r="AP5" i="19"/>
  <c r="AP5" i="12"/>
  <c r="AO5" i="19"/>
  <c r="AM5" i="12"/>
  <c r="AS5" i="12"/>
  <c r="AQ5" i="12"/>
  <c r="AL5" i="21"/>
  <c r="AN5" i="19"/>
  <c r="AP5" i="21"/>
  <c r="AQ5" i="19"/>
  <c r="AN5" i="12"/>
  <c r="AK5" i="21"/>
  <c r="AL5" i="20"/>
  <c r="AR5" i="21"/>
  <c r="AQ5" i="21"/>
  <c r="AO5" i="12"/>
  <c r="AT5" i="12"/>
  <c r="AR5" i="12"/>
  <c r="AM5" i="21"/>
  <c r="AM5" i="20"/>
  <c r="AR5" i="20"/>
  <c r="AL5" i="19"/>
  <c r="AS5" i="19"/>
  <c r="AR5" i="19"/>
  <c r="AN5" i="20"/>
  <c r="AJ5" i="20"/>
  <c r="AU48" i="17" l="1"/>
  <c r="AU44" i="17"/>
  <c r="AU20" i="17"/>
  <c r="AU28" i="17"/>
  <c r="AU16" i="17"/>
  <c r="AU40" i="17"/>
  <c r="AU31" i="17"/>
  <c r="AU41" i="17"/>
  <c r="AU18" i="17"/>
  <c r="AU30" i="17"/>
  <c r="AU22" i="17"/>
  <c r="AU13" i="17"/>
  <c r="AU51" i="17"/>
  <c r="AU35" i="17"/>
  <c r="AU7" i="17"/>
  <c r="AU54" i="17"/>
  <c r="AU17" i="17"/>
  <c r="AU27" i="17"/>
  <c r="AU19" i="17"/>
  <c r="AU25" i="17"/>
  <c r="AU12" i="17"/>
  <c r="AU23" i="17"/>
  <c r="AU10" i="17"/>
  <c r="AU32" i="17"/>
  <c r="AU45" i="17"/>
  <c r="AU37" i="17"/>
  <c r="AU46" i="17"/>
  <c r="AU24" i="17"/>
  <c r="AU6" i="17"/>
  <c r="AU9" i="17"/>
  <c r="AU49" i="17"/>
  <c r="AU43" i="17"/>
  <c r="AU53" i="17"/>
  <c r="AU8" i="17"/>
  <c r="AU14" i="17"/>
  <c r="AU21" i="17"/>
  <c r="AU11" i="17"/>
  <c r="AU26" i="17"/>
  <c r="AU47" i="17"/>
  <c r="AU29" i="17"/>
  <c r="AU52" i="17"/>
  <c r="AU15" i="17"/>
  <c r="AU42" i="17"/>
  <c r="AT52" i="13"/>
  <c r="AT40" i="13"/>
  <c r="AT10" i="13"/>
  <c r="AU40" i="9"/>
  <c r="O39" i="25" s="1"/>
  <c r="AE39" i="25" s="1"/>
  <c r="AK39" i="25" s="1"/>
  <c r="AM39" i="25" s="1"/>
  <c r="AP39" i="25" s="1"/>
  <c r="AU10" i="9"/>
  <c r="O9" i="25" s="1"/>
  <c r="AE9" i="25" s="1"/>
  <c r="AK9" i="25" s="1"/>
  <c r="AM9" i="25" s="1"/>
  <c r="AP9" i="25" s="1"/>
  <c r="AU52" i="9"/>
  <c r="O51" i="25" s="1"/>
  <c r="AE51" i="25" s="1"/>
  <c r="AK51" i="25" s="1"/>
  <c r="AM51" i="25" s="1"/>
  <c r="AP51" i="25" s="1"/>
  <c r="AO51" i="13"/>
  <c r="AM51" i="13"/>
  <c r="AL51" i="13"/>
  <c r="AP51" i="9"/>
  <c r="AR51" i="13"/>
  <c r="AO51" i="9"/>
  <c r="AN51" i="9"/>
  <c r="AM51" i="9"/>
  <c r="AT51" i="9"/>
  <c r="N50" i="25" s="1"/>
  <c r="AQ51" i="13"/>
  <c r="AN51" i="13"/>
  <c r="AL51" i="9"/>
  <c r="AQ51" i="9"/>
  <c r="AP51" i="13"/>
  <c r="AR51" i="9"/>
  <c r="AS51" i="9"/>
  <c r="AK51" i="13"/>
  <c r="AK51" i="9"/>
  <c r="AO49" i="9"/>
  <c r="AQ49" i="9"/>
  <c r="AN49" i="9"/>
  <c r="AR49" i="13"/>
  <c r="AK49" i="13"/>
  <c r="AP49" i="13"/>
  <c r="AL49" i="13"/>
  <c r="AK49" i="9"/>
  <c r="AN49" i="13"/>
  <c r="AM49" i="9"/>
  <c r="AP49" i="9"/>
  <c r="AL49" i="9"/>
  <c r="AO49" i="13"/>
  <c r="AR49" i="9"/>
  <c r="AT49" i="9"/>
  <c r="N48" i="25" s="1"/>
  <c r="AQ49" i="13"/>
  <c r="AS49" i="9"/>
  <c r="AM49" i="13"/>
  <c r="AL33" i="13"/>
  <c r="AP33" i="9"/>
  <c r="AP33" i="13"/>
  <c r="AT33" i="9"/>
  <c r="N32" i="25" s="1"/>
  <c r="AQ33" i="9"/>
  <c r="AN33" i="9"/>
  <c r="AO33" i="13"/>
  <c r="AO33" i="9"/>
  <c r="AM33" i="9"/>
  <c r="AS33" i="9"/>
  <c r="AN33" i="13"/>
  <c r="AM33" i="13"/>
  <c r="AK33" i="13"/>
  <c r="AR33" i="9"/>
  <c r="AL33" i="9"/>
  <c r="AR33" i="13"/>
  <c r="AQ33" i="13"/>
  <c r="AK33" i="9"/>
  <c r="AM47" i="13"/>
  <c r="AL47" i="13"/>
  <c r="AN47" i="13"/>
  <c r="AN47" i="9"/>
  <c r="AT47" i="9"/>
  <c r="N46" i="25" s="1"/>
  <c r="AQ47" i="9"/>
  <c r="AK47" i="9"/>
  <c r="AQ47" i="13"/>
  <c r="AS47" i="9"/>
  <c r="AR47" i="13"/>
  <c r="AO47" i="9"/>
  <c r="AR47" i="9"/>
  <c r="AP47" i="9"/>
  <c r="AK47" i="13"/>
  <c r="AM47" i="9"/>
  <c r="AO47" i="13"/>
  <c r="AL47" i="9"/>
  <c r="AP47" i="13"/>
  <c r="AO35" i="13"/>
  <c r="AQ35" i="9"/>
  <c r="AO35" i="9"/>
  <c r="AK35" i="9"/>
  <c r="AN35" i="9"/>
  <c r="AT35" i="9"/>
  <c r="N34" i="25" s="1"/>
  <c r="AP35" i="9"/>
  <c r="AM35" i="13"/>
  <c r="AR35" i="13"/>
  <c r="AL35" i="13"/>
  <c r="AS35" i="9"/>
  <c r="AR35" i="9"/>
  <c r="AP35" i="13"/>
  <c r="AK35" i="13"/>
  <c r="AQ35" i="13"/>
  <c r="AN35" i="13"/>
  <c r="AL35" i="9"/>
  <c r="AM35" i="9"/>
  <c r="AM54" i="9"/>
  <c r="AP54" i="9"/>
  <c r="AQ54" i="13"/>
  <c r="AS54" i="9"/>
  <c r="AM54" i="13"/>
  <c r="AL54" i="9"/>
  <c r="AN54" i="13"/>
  <c r="AP54" i="13"/>
  <c r="AR54" i="9"/>
  <c r="AO54" i="13"/>
  <c r="AQ54" i="9"/>
  <c r="AK54" i="9"/>
  <c r="AO54" i="9"/>
  <c r="AL54" i="13"/>
  <c r="AR54" i="13"/>
  <c r="AT54" i="9"/>
  <c r="N53" i="25" s="1"/>
  <c r="AN54" i="9"/>
  <c r="AK54" i="13"/>
  <c r="AO45" i="13"/>
  <c r="AP45" i="9"/>
  <c r="AT45" i="9"/>
  <c r="N44" i="25" s="1"/>
  <c r="AR45" i="13"/>
  <c r="AK45" i="13"/>
  <c r="AS45" i="9"/>
  <c r="AL45" i="13"/>
  <c r="AQ45" i="13"/>
  <c r="AP45" i="13"/>
  <c r="AO45" i="9"/>
  <c r="AL45" i="9"/>
  <c r="AN45" i="13"/>
  <c r="AK45" i="9"/>
  <c r="AM45" i="13"/>
  <c r="AQ45" i="9"/>
  <c r="AN45" i="9"/>
  <c r="AR45" i="9"/>
  <c r="AM45" i="9"/>
  <c r="AQ44" i="13"/>
  <c r="AT44" i="9"/>
  <c r="N43" i="25" s="1"/>
  <c r="AN44" i="13"/>
  <c r="AP44" i="13"/>
  <c r="AQ44" i="9"/>
  <c r="AO44" i="9"/>
  <c r="AM44" i="13"/>
  <c r="AP44" i="9"/>
  <c r="AR44" i="13"/>
  <c r="AR44" i="9"/>
  <c r="AO44" i="13"/>
  <c r="AS44" i="9"/>
  <c r="AN44" i="9"/>
  <c r="AL44" i="9"/>
  <c r="AL44" i="13"/>
  <c r="AK44" i="9"/>
  <c r="AM44" i="9"/>
  <c r="AK44" i="13"/>
  <c r="AN50" i="13"/>
  <c r="AM50" i="9"/>
  <c r="AL50" i="13"/>
  <c r="AL50" i="9"/>
  <c r="AS50" i="9"/>
  <c r="AK50" i="13"/>
  <c r="AQ50" i="9"/>
  <c r="AP50" i="9"/>
  <c r="AR50" i="9"/>
  <c r="AT50" i="9"/>
  <c r="N49" i="25" s="1"/>
  <c r="AP50" i="13"/>
  <c r="AQ50" i="13"/>
  <c r="AN50" i="9"/>
  <c r="AO50" i="9"/>
  <c r="AR50" i="13"/>
  <c r="AM50" i="13"/>
  <c r="AO50" i="13"/>
  <c r="AK50" i="9"/>
  <c r="AP46" i="9"/>
  <c r="AN46" i="9"/>
  <c r="AK46" i="9"/>
  <c r="AM46" i="13"/>
  <c r="AQ46" i="13"/>
  <c r="AP46" i="13"/>
  <c r="AO46" i="13"/>
  <c r="AN46" i="13"/>
  <c r="AL46" i="13"/>
  <c r="AM46" i="9"/>
  <c r="AR46" i="13"/>
  <c r="AT46" i="9"/>
  <c r="N45" i="25" s="1"/>
  <c r="AK46" i="13"/>
  <c r="AQ46" i="9"/>
  <c r="AS46" i="9"/>
  <c r="AL46" i="9"/>
  <c r="AO46" i="9"/>
  <c r="AR46" i="9"/>
  <c r="AR53" i="9"/>
  <c r="AR53" i="13"/>
  <c r="AO53" i="13"/>
  <c r="AP53" i="13"/>
  <c r="AQ53" i="9"/>
  <c r="AK53" i="9"/>
  <c r="AN53" i="13"/>
  <c r="AM53" i="13"/>
  <c r="AT53" i="9"/>
  <c r="N52" i="25" s="1"/>
  <c r="AK53" i="13"/>
  <c r="AL53" i="13"/>
  <c r="AO53" i="9"/>
  <c r="AP53" i="9"/>
  <c r="AN53" i="9"/>
  <c r="AL53" i="9"/>
  <c r="AM53" i="9"/>
  <c r="AQ53" i="13"/>
  <c r="AS53" i="9"/>
  <c r="AQ48" i="13"/>
  <c r="AK48" i="9"/>
  <c r="AM48" i="13"/>
  <c r="AK48" i="13"/>
  <c r="AP48" i="13"/>
  <c r="AN48" i="13"/>
  <c r="AT48" i="9"/>
  <c r="N47" i="25" s="1"/>
  <c r="AL48" i="13"/>
  <c r="AQ48" i="9"/>
  <c r="AO48" i="13"/>
  <c r="AR48" i="13"/>
  <c r="AR48" i="9"/>
  <c r="AS48" i="9"/>
  <c r="AM48" i="9"/>
  <c r="AN48" i="9"/>
  <c r="AO48" i="9"/>
  <c r="AP48" i="9"/>
  <c r="AL48" i="9"/>
  <c r="AL27" i="9"/>
  <c r="AN27" i="9"/>
  <c r="AK27" i="9"/>
  <c r="AR27" i="9"/>
  <c r="AP27" i="13"/>
  <c r="AM27" i="13"/>
  <c r="AN27" i="13"/>
  <c r="AO27" i="9"/>
  <c r="AQ27" i="9"/>
  <c r="AT27" i="9"/>
  <c r="N26" i="25" s="1"/>
  <c r="AQ27" i="13"/>
  <c r="AO27" i="13"/>
  <c r="AK27" i="13"/>
  <c r="AL27" i="13"/>
  <c r="AS27" i="9"/>
  <c r="AP27" i="9"/>
  <c r="AM27" i="9"/>
  <c r="AR27" i="13"/>
  <c r="AN39" i="9"/>
  <c r="AP39" i="9"/>
  <c r="AN39" i="13"/>
  <c r="AS39" i="9"/>
  <c r="AM39" i="9"/>
  <c r="AT39" i="9"/>
  <c r="N38" i="25" s="1"/>
  <c r="AR39" i="13"/>
  <c r="AO39" i="9"/>
  <c r="AL39" i="9"/>
  <c r="AK39" i="13"/>
  <c r="AP39" i="13"/>
  <c r="AK39" i="9"/>
  <c r="AQ39" i="13"/>
  <c r="AM39" i="13"/>
  <c r="AL39" i="13"/>
  <c r="AR39" i="9"/>
  <c r="AO39" i="13"/>
  <c r="AQ39" i="9"/>
  <c r="AN25" i="9"/>
  <c r="AP25" i="13"/>
  <c r="AK25" i="9"/>
  <c r="AN25" i="13"/>
  <c r="AL25" i="13"/>
  <c r="AM25" i="9"/>
  <c r="AO25" i="9"/>
  <c r="AQ25" i="13"/>
  <c r="AT25" i="9"/>
  <c r="N24" i="25" s="1"/>
  <c r="AR25" i="9"/>
  <c r="AL25" i="9"/>
  <c r="AR25" i="13"/>
  <c r="AK25" i="13"/>
  <c r="AM25" i="13"/>
  <c r="AS25" i="9"/>
  <c r="AQ25" i="9"/>
  <c r="AO25" i="13"/>
  <c r="AP25" i="9"/>
  <c r="AQ43" i="13"/>
  <c r="AM43" i="9"/>
  <c r="AO43" i="9"/>
  <c r="AN43" i="9"/>
  <c r="AL43" i="13"/>
  <c r="AK43" i="9"/>
  <c r="AP43" i="9"/>
  <c r="AS43" i="9"/>
  <c r="AR43" i="9"/>
  <c r="AN43" i="13"/>
  <c r="AM43" i="13"/>
  <c r="AQ43" i="9"/>
  <c r="AR43" i="13"/>
  <c r="AT43" i="9"/>
  <c r="N42" i="25" s="1"/>
  <c r="AL43" i="9"/>
  <c r="AP43" i="13"/>
  <c r="AK43" i="13"/>
  <c r="AO43" i="13"/>
  <c r="AK41" i="13"/>
  <c r="AR41" i="9"/>
  <c r="AL41" i="9"/>
  <c r="AM41" i="9"/>
  <c r="AQ41" i="9"/>
  <c r="AN41" i="13"/>
  <c r="AT41" i="9"/>
  <c r="N40" i="25" s="1"/>
  <c r="AK41" i="9"/>
  <c r="AP41" i="9"/>
  <c r="AR41" i="13"/>
  <c r="AP41" i="13"/>
  <c r="AL41" i="13"/>
  <c r="AS41" i="9"/>
  <c r="AO41" i="13"/>
  <c r="AO41" i="9"/>
  <c r="AN41" i="9"/>
  <c r="AM41" i="13"/>
  <c r="AQ41" i="13"/>
  <c r="AM30" i="13"/>
  <c r="AP30" i="9"/>
  <c r="AL30" i="13"/>
  <c r="AL30" i="9"/>
  <c r="AS30" i="9"/>
  <c r="AN30" i="9"/>
  <c r="AQ30" i="9"/>
  <c r="AT30" i="9"/>
  <c r="N29" i="25" s="1"/>
  <c r="AK30" i="13"/>
  <c r="AM30" i="9"/>
  <c r="AN30" i="13"/>
  <c r="AR30" i="13"/>
  <c r="AP30" i="13"/>
  <c r="AO30" i="13"/>
  <c r="AO30" i="9"/>
  <c r="AQ30" i="13"/>
  <c r="AK30" i="9"/>
  <c r="AR30" i="9"/>
  <c r="AP37" i="13"/>
  <c r="AP37" i="9"/>
  <c r="AO37" i="9"/>
  <c r="AK37" i="9"/>
  <c r="AO37" i="13"/>
  <c r="AT37" i="9"/>
  <c r="N36" i="25" s="1"/>
  <c r="AR37" i="13"/>
  <c r="AR37" i="9"/>
  <c r="AN37" i="13"/>
  <c r="AL37" i="9"/>
  <c r="AN37" i="9"/>
  <c r="AM37" i="9"/>
  <c r="AK37" i="13"/>
  <c r="AQ37" i="9"/>
  <c r="AS37" i="9"/>
  <c r="AL37" i="13"/>
  <c r="AM37" i="13"/>
  <c r="AQ37" i="13"/>
  <c r="AK32" i="13"/>
  <c r="AP32" i="9"/>
  <c r="AL32" i="9"/>
  <c r="AK32" i="9"/>
  <c r="AR32" i="13"/>
  <c r="AM32" i="13"/>
  <c r="AQ32" i="13"/>
  <c r="AM32" i="9"/>
  <c r="AO32" i="13"/>
  <c r="AN32" i="13"/>
  <c r="AS32" i="9"/>
  <c r="AQ32" i="9"/>
  <c r="AO32" i="9"/>
  <c r="AP32" i="13"/>
  <c r="AT32" i="9"/>
  <c r="N31" i="25" s="1"/>
  <c r="AN32" i="9"/>
  <c r="AL32" i="13"/>
  <c r="AR32" i="9"/>
  <c r="AQ22" i="9"/>
  <c r="AL22" i="13"/>
  <c r="AK22" i="9"/>
  <c r="AR22" i="13"/>
  <c r="AP22" i="9"/>
  <c r="AQ22" i="13"/>
  <c r="AL22" i="9"/>
  <c r="AR22" i="9"/>
  <c r="AT22" i="9"/>
  <c r="N21" i="25" s="1"/>
  <c r="AM22" i="9"/>
  <c r="AN22" i="13"/>
  <c r="AS22" i="9"/>
  <c r="AO22" i="9"/>
  <c r="AO22" i="13"/>
  <c r="AK22" i="13"/>
  <c r="AP22" i="13"/>
  <c r="AN22" i="9"/>
  <c r="AM22" i="13"/>
  <c r="AP19" i="9"/>
  <c r="AK19" i="13"/>
  <c r="AO19" i="13"/>
  <c r="AQ19" i="9"/>
  <c r="AT19" i="9"/>
  <c r="N18" i="25" s="1"/>
  <c r="AR19" i="9"/>
  <c r="AM19" i="9"/>
  <c r="AN19" i="9"/>
  <c r="AM19" i="13"/>
  <c r="AL19" i="9"/>
  <c r="AP19" i="13"/>
  <c r="AK19" i="9"/>
  <c r="AQ19" i="13"/>
  <c r="AN19" i="13"/>
  <c r="AL19" i="13"/>
  <c r="AR19" i="13"/>
  <c r="AO19" i="9"/>
  <c r="AS19" i="9"/>
  <c r="AR34" i="13"/>
  <c r="AN34" i="13"/>
  <c r="AS34" i="9"/>
  <c r="AT34" i="9"/>
  <c r="N33" i="25" s="1"/>
  <c r="AL34" i="9"/>
  <c r="AM34" i="9"/>
  <c r="AO34" i="9"/>
  <c r="AK34" i="9"/>
  <c r="AQ34" i="9"/>
  <c r="AP34" i="13"/>
  <c r="AM34" i="13"/>
  <c r="AK34" i="13"/>
  <c r="AP34" i="9"/>
  <c r="AR34" i="9"/>
  <c r="AL34" i="13"/>
  <c r="AQ34" i="13"/>
  <c r="AN34" i="9"/>
  <c r="AO34" i="13"/>
  <c r="AN23" i="13"/>
  <c r="AO23" i="13"/>
  <c r="AQ23" i="13"/>
  <c r="AP23" i="13"/>
  <c r="AR23" i="13"/>
  <c r="AM23" i="13"/>
  <c r="AM23" i="9"/>
  <c r="AS23" i="9"/>
  <c r="AQ23" i="9"/>
  <c r="AK23" i="9"/>
  <c r="AN23" i="9"/>
  <c r="AR23" i="9"/>
  <c r="AL23" i="13"/>
  <c r="AO23" i="9"/>
  <c r="AT23" i="9"/>
  <c r="N22" i="25" s="1"/>
  <c r="AK23" i="13"/>
  <c r="AP23" i="9"/>
  <c r="AL23" i="9"/>
  <c r="AN38" i="13"/>
  <c r="AO38" i="13"/>
  <c r="AR38" i="9"/>
  <c r="AN38" i="9"/>
  <c r="AQ38" i="13"/>
  <c r="AM38" i="13"/>
  <c r="AO38" i="9"/>
  <c r="AT38" i="9"/>
  <c r="N37" i="25" s="1"/>
  <c r="AQ38" i="9"/>
  <c r="AK38" i="9"/>
  <c r="AK38" i="13"/>
  <c r="AR38" i="13"/>
  <c r="AL38" i="9"/>
  <c r="AM38" i="9"/>
  <c r="AS38" i="9"/>
  <c r="AP38" i="13"/>
  <c r="AL38" i="13"/>
  <c r="AP38" i="9"/>
  <c r="AK16" i="13"/>
  <c r="AN16" i="9"/>
  <c r="AR16" i="9"/>
  <c r="AM16" i="13"/>
  <c r="AQ16" i="9"/>
  <c r="AO16" i="9"/>
  <c r="AN16" i="13"/>
  <c r="AL16" i="13"/>
  <c r="AK16" i="9"/>
  <c r="AP16" i="9"/>
  <c r="AO16" i="13"/>
  <c r="AP16" i="13"/>
  <c r="AQ16" i="13"/>
  <c r="AR16" i="13"/>
  <c r="AM16" i="9"/>
  <c r="AT16" i="9"/>
  <c r="N15" i="25" s="1"/>
  <c r="AS16" i="9"/>
  <c r="AL16" i="9"/>
  <c r="AP42" i="9"/>
  <c r="AT42" i="9"/>
  <c r="N41" i="25" s="1"/>
  <c r="AP42" i="13"/>
  <c r="AK42" i="13"/>
  <c r="AQ42" i="9"/>
  <c r="AQ42" i="13"/>
  <c r="AN42" i="9"/>
  <c r="AK42" i="9"/>
  <c r="AM42" i="9"/>
  <c r="AO42" i="13"/>
  <c r="AM42" i="13"/>
  <c r="AR42" i="13"/>
  <c r="AS42" i="9"/>
  <c r="AL42" i="9"/>
  <c r="AO42" i="9"/>
  <c r="AR42" i="9"/>
  <c r="AL42" i="13"/>
  <c r="AN42" i="13"/>
  <c r="AL36" i="9"/>
  <c r="AK36" i="9"/>
  <c r="AM36" i="9"/>
  <c r="AO36" i="9"/>
  <c r="AN36" i="13"/>
  <c r="AR36" i="9"/>
  <c r="AS36" i="9"/>
  <c r="AQ36" i="9"/>
  <c r="AO36" i="13"/>
  <c r="AT36" i="9"/>
  <c r="N35" i="25" s="1"/>
  <c r="AM36" i="13"/>
  <c r="AK36" i="13"/>
  <c r="AP36" i="13"/>
  <c r="AR36" i="13"/>
  <c r="AP36" i="9"/>
  <c r="AL36" i="13"/>
  <c r="AQ36" i="13"/>
  <c r="AN36" i="9"/>
  <c r="AO31" i="9"/>
  <c r="AM31" i="13"/>
  <c r="AK31" i="13"/>
  <c r="AR31" i="13"/>
  <c r="AN31" i="9"/>
  <c r="AO31" i="13"/>
  <c r="AQ31" i="9"/>
  <c r="AK31" i="9"/>
  <c r="AR31" i="9"/>
  <c r="AS31" i="9"/>
  <c r="AL31" i="9"/>
  <c r="AL31" i="13"/>
  <c r="AT31" i="9"/>
  <c r="N30" i="25" s="1"/>
  <c r="AN31" i="13"/>
  <c r="AM31" i="9"/>
  <c r="AQ31" i="13"/>
  <c r="AP31" i="13"/>
  <c r="AP31" i="9"/>
  <c r="AM29" i="13"/>
  <c r="AP29" i="9"/>
  <c r="AN29" i="9"/>
  <c r="AL29" i="13"/>
  <c r="AQ29" i="13"/>
  <c r="AR29" i="13"/>
  <c r="AS29" i="9"/>
  <c r="AM29" i="9"/>
  <c r="AR29" i="9"/>
  <c r="AK29" i="13"/>
  <c r="AP29" i="13"/>
  <c r="AT29" i="9"/>
  <c r="N28" i="25" s="1"/>
  <c r="AN29" i="13"/>
  <c r="AL29" i="9"/>
  <c r="AQ29" i="9"/>
  <c r="AO29" i="13"/>
  <c r="AO29" i="9"/>
  <c r="AK29" i="9"/>
  <c r="AQ28" i="9"/>
  <c r="AK28" i="9"/>
  <c r="AK28" i="13"/>
  <c r="AP28" i="13"/>
  <c r="AL28" i="13"/>
  <c r="AL28" i="9"/>
  <c r="AO28" i="9"/>
  <c r="AR28" i="9"/>
  <c r="AR28" i="13"/>
  <c r="AN28" i="13"/>
  <c r="AP28" i="9"/>
  <c r="AQ28" i="13"/>
  <c r="AM28" i="13"/>
  <c r="AT28" i="9"/>
  <c r="N27" i="25" s="1"/>
  <c r="AN28" i="9"/>
  <c r="AS28" i="9"/>
  <c r="AM28" i="9"/>
  <c r="AO28" i="13"/>
  <c r="AM24" i="9"/>
  <c r="AO24" i="13"/>
  <c r="AQ24" i="13"/>
  <c r="AS24" i="9"/>
  <c r="AR24" i="13"/>
  <c r="AK24" i="13"/>
  <c r="AK24" i="9"/>
  <c r="AO24" i="9"/>
  <c r="AL24" i="13"/>
  <c r="AT24" i="9"/>
  <c r="N23" i="25" s="1"/>
  <c r="AM24" i="13"/>
  <c r="AP24" i="13"/>
  <c r="AN24" i="13"/>
  <c r="AP24" i="9"/>
  <c r="AN24" i="9"/>
  <c r="AR24" i="9"/>
  <c r="AL24" i="9"/>
  <c r="AQ24" i="9"/>
  <c r="AM9" i="13"/>
  <c r="AS9" i="9"/>
  <c r="AK9" i="13"/>
  <c r="AR9" i="13"/>
  <c r="AP9" i="13"/>
  <c r="AT9" i="9"/>
  <c r="N8" i="25" s="1"/>
  <c r="AK9" i="9"/>
  <c r="AQ9" i="13"/>
  <c r="AL9" i="13"/>
  <c r="AP9" i="9"/>
  <c r="AO9" i="9"/>
  <c r="AO9" i="13"/>
  <c r="AR9" i="9"/>
  <c r="AN9" i="9"/>
  <c r="AN9" i="13"/>
  <c r="AL9" i="9"/>
  <c r="AM9" i="9"/>
  <c r="AQ9" i="9"/>
  <c r="AT21" i="9"/>
  <c r="N20" i="25" s="1"/>
  <c r="AP21" i="13"/>
  <c r="AK21" i="13"/>
  <c r="AO21" i="9"/>
  <c r="AS21" i="9"/>
  <c r="AK21" i="9"/>
  <c r="AM21" i="9"/>
  <c r="AP21" i="9"/>
  <c r="AL21" i="9"/>
  <c r="AN21" i="13"/>
  <c r="AO21" i="13"/>
  <c r="AR21" i="13"/>
  <c r="AQ21" i="9"/>
  <c r="AN21" i="9"/>
  <c r="AM21" i="13"/>
  <c r="AL21" i="13"/>
  <c r="AQ21" i="13"/>
  <c r="AR21" i="9"/>
  <c r="AK13" i="13"/>
  <c r="AR13" i="9"/>
  <c r="AR13" i="13"/>
  <c r="AO13" i="9"/>
  <c r="AT13" i="9"/>
  <c r="N12" i="25" s="1"/>
  <c r="AQ13" i="9"/>
  <c r="AN13" i="9"/>
  <c r="AL13" i="13"/>
  <c r="AL13" i="9"/>
  <c r="AS13" i="9"/>
  <c r="AK13" i="9"/>
  <c r="AP13" i="9"/>
  <c r="AM13" i="9"/>
  <c r="AM13" i="13"/>
  <c r="AO13" i="13"/>
  <c r="AP13" i="13"/>
  <c r="AQ13" i="13"/>
  <c r="AN13" i="13"/>
  <c r="AN8" i="13"/>
  <c r="AQ8" i="9"/>
  <c r="AR8" i="9"/>
  <c r="AP8" i="13"/>
  <c r="AQ8" i="13"/>
  <c r="AK8" i="9"/>
  <c r="AM8" i="9"/>
  <c r="AS8" i="9"/>
  <c r="AM8" i="13"/>
  <c r="AL8" i="13"/>
  <c r="AO8" i="9"/>
  <c r="AN8" i="9"/>
  <c r="AL8" i="9"/>
  <c r="AP8" i="9"/>
  <c r="AK8" i="13"/>
  <c r="AT8" i="9"/>
  <c r="N7" i="25" s="1"/>
  <c r="AO8" i="13"/>
  <c r="AR8" i="13"/>
  <c r="AQ17" i="9"/>
  <c r="AP17" i="9"/>
  <c r="AT17" i="9"/>
  <c r="N16" i="25" s="1"/>
  <c r="AL17" i="13"/>
  <c r="AL17" i="9"/>
  <c r="AK17" i="9"/>
  <c r="AS17" i="9"/>
  <c r="AO17" i="9"/>
  <c r="AR17" i="13"/>
  <c r="AN17" i="9"/>
  <c r="AO17" i="13"/>
  <c r="AQ17" i="13"/>
  <c r="AP17" i="13"/>
  <c r="AK17" i="13"/>
  <c r="AR17" i="9"/>
  <c r="AM17" i="9"/>
  <c r="AN17" i="13"/>
  <c r="AM17" i="13"/>
  <c r="AR14" i="9"/>
  <c r="AS14" i="9"/>
  <c r="AQ14" i="9"/>
  <c r="AL14" i="13"/>
  <c r="AT14" i="9"/>
  <c r="N13" i="25" s="1"/>
  <c r="AO14" i="9"/>
  <c r="AN14" i="13"/>
  <c r="AP14" i="9"/>
  <c r="AO14" i="13"/>
  <c r="AK14" i="9"/>
  <c r="AM14" i="13"/>
  <c r="AQ14" i="13"/>
  <c r="AM14" i="9"/>
  <c r="AN14" i="9"/>
  <c r="AK14" i="13"/>
  <c r="AL14" i="9"/>
  <c r="AR14" i="13"/>
  <c r="AP14" i="13"/>
  <c r="AP11" i="9"/>
  <c r="AM11" i="13"/>
  <c r="AR11" i="9"/>
  <c r="AK11" i="9"/>
  <c r="AL11" i="13"/>
  <c r="AP11" i="13"/>
  <c r="AQ11" i="13"/>
  <c r="AN11" i="9"/>
  <c r="AS11" i="9"/>
  <c r="AO11" i="13"/>
  <c r="AQ11" i="9"/>
  <c r="AR11" i="13"/>
  <c r="AM11" i="9"/>
  <c r="AT11" i="9"/>
  <c r="N10" i="25" s="1"/>
  <c r="AN11" i="13"/>
  <c r="AO11" i="9"/>
  <c r="AK11" i="13"/>
  <c r="AL11" i="9"/>
  <c r="AN7" i="9"/>
  <c r="AO7" i="9"/>
  <c r="AK7" i="13"/>
  <c r="AM7" i="13"/>
  <c r="AQ7" i="13"/>
  <c r="AL7" i="13"/>
  <c r="AP7" i="13"/>
  <c r="AP7" i="9"/>
  <c r="AQ7" i="9"/>
  <c r="AO7" i="13"/>
  <c r="AM7" i="9"/>
  <c r="AK7" i="9"/>
  <c r="AR7" i="9"/>
  <c r="AN7" i="13"/>
  <c r="AL7" i="9"/>
  <c r="AT7" i="9"/>
  <c r="N6" i="25" s="1"/>
  <c r="AR7" i="13"/>
  <c r="AS7" i="9"/>
  <c r="AQ15" i="13"/>
  <c r="AO15" i="13"/>
  <c r="AM15" i="13"/>
  <c r="AL15" i="13"/>
  <c r="AP15" i="9"/>
  <c r="AN15" i="9"/>
  <c r="AK15" i="13"/>
  <c r="AR15" i="13"/>
  <c r="AM15" i="9"/>
  <c r="AT15" i="9"/>
  <c r="N14" i="25" s="1"/>
  <c r="AO15" i="9"/>
  <c r="AQ15" i="9"/>
  <c r="AS15" i="9"/>
  <c r="AK15" i="9"/>
  <c r="AL15" i="9"/>
  <c r="AN15" i="13"/>
  <c r="AP15" i="13"/>
  <c r="AR15" i="9"/>
  <c r="AR26" i="9"/>
  <c r="AP26" i="9"/>
  <c r="AR26" i="13"/>
  <c r="AL26" i="9"/>
  <c r="AO26" i="13"/>
  <c r="AK26" i="9"/>
  <c r="AK26" i="13"/>
  <c r="AS26" i="9"/>
  <c r="AP26" i="13"/>
  <c r="AQ26" i="9"/>
  <c r="AT26" i="9"/>
  <c r="N25" i="25" s="1"/>
  <c r="AN26" i="13"/>
  <c r="AO26" i="9"/>
  <c r="AN26" i="9"/>
  <c r="AQ26" i="13"/>
  <c r="AM26" i="13"/>
  <c r="AM26" i="9"/>
  <c r="AL26" i="13"/>
  <c r="AK20" i="13"/>
  <c r="AP20" i="9"/>
  <c r="AL20" i="13"/>
  <c r="AL20" i="9"/>
  <c r="AQ20" i="13"/>
  <c r="AK20" i="9"/>
  <c r="AR20" i="9"/>
  <c r="AT20" i="9"/>
  <c r="N19" i="25" s="1"/>
  <c r="AN20" i="9"/>
  <c r="AO20" i="9"/>
  <c r="AO20" i="13"/>
  <c r="AR20" i="13"/>
  <c r="AS20" i="9"/>
  <c r="AN20" i="13"/>
  <c r="AP20" i="13"/>
  <c r="AM20" i="13"/>
  <c r="AM20" i="9"/>
  <c r="AQ20" i="9"/>
  <c r="AO12" i="9"/>
  <c r="AN12" i="13"/>
  <c r="AQ12" i="13"/>
  <c r="AP12" i="13"/>
  <c r="AP12" i="9"/>
  <c r="AK12" i="13"/>
  <c r="AQ12" i="9"/>
  <c r="AL12" i="9"/>
  <c r="AK12" i="9"/>
  <c r="AR12" i="9"/>
  <c r="AR12" i="13"/>
  <c r="AS12" i="9"/>
  <c r="AL12" i="13"/>
  <c r="AM12" i="13"/>
  <c r="AN12" i="9"/>
  <c r="AT12" i="9"/>
  <c r="N11" i="25" s="1"/>
  <c r="AO12" i="13"/>
  <c r="AM12" i="9"/>
  <c r="AO18" i="9"/>
  <c r="AO18" i="13"/>
  <c r="AM18" i="9"/>
  <c r="AQ18" i="13"/>
  <c r="AL18" i="13"/>
  <c r="AP18" i="13"/>
  <c r="AL18" i="9"/>
  <c r="AK18" i="13"/>
  <c r="AQ18" i="9"/>
  <c r="AN18" i="9"/>
  <c r="AK18" i="9"/>
  <c r="AN18" i="13"/>
  <c r="AP18" i="9"/>
  <c r="AT18" i="9"/>
  <c r="N17" i="25" s="1"/>
  <c r="AR18" i="9"/>
  <c r="AS18" i="9"/>
  <c r="AM18" i="13"/>
  <c r="AR18" i="13"/>
  <c r="AU9" i="15"/>
  <c r="AU21" i="15"/>
  <c r="AT8" i="20"/>
  <c r="AU34" i="12"/>
  <c r="AU44" i="21"/>
  <c r="AU11" i="21"/>
  <c r="AU54" i="12"/>
  <c r="AU53" i="21"/>
  <c r="AT47" i="20"/>
  <c r="AU47" i="19"/>
  <c r="AU43" i="15"/>
  <c r="AT40" i="20"/>
  <c r="AT39" i="20"/>
  <c r="AU39" i="21"/>
  <c r="AU38" i="12"/>
  <c r="AU38" i="21"/>
  <c r="AU30" i="19"/>
  <c r="AT29" i="20"/>
  <c r="AU26" i="15"/>
  <c r="AU25" i="21"/>
  <c r="AU24" i="12"/>
  <c r="AT23" i="20"/>
  <c r="AU20" i="12"/>
  <c r="AU18" i="12"/>
  <c r="AU18" i="19"/>
  <c r="AU10" i="21"/>
  <c r="AU42" i="12"/>
  <c r="AT33" i="20"/>
  <c r="AU32" i="19"/>
  <c r="AU32" i="12"/>
  <c r="AT32" i="20"/>
  <c r="AU32" i="21"/>
  <c r="AU22" i="15"/>
  <c r="AU15" i="15"/>
  <c r="AU15" i="19"/>
  <c r="AU40" i="15"/>
  <c r="AU27" i="21"/>
  <c r="AU44" i="12"/>
  <c r="AU28" i="12"/>
  <c r="AU31" i="15"/>
  <c r="AU31" i="21"/>
  <c r="AT48" i="20"/>
  <c r="AU20" i="15"/>
  <c r="AU29" i="12"/>
  <c r="AU39" i="15"/>
  <c r="AU45" i="19"/>
  <c r="AT13" i="20"/>
  <c r="AU37" i="21"/>
  <c r="AU52" i="19"/>
  <c r="AU17" i="21"/>
  <c r="AU19" i="12"/>
  <c r="AU14" i="21"/>
  <c r="AU27" i="12"/>
  <c r="AU8" i="21"/>
  <c r="AU8" i="19"/>
  <c r="AU25" i="19"/>
  <c r="AU35" i="19"/>
  <c r="AU35" i="12"/>
  <c r="AT34" i="20"/>
  <c r="AU49" i="12"/>
  <c r="AT10" i="20"/>
  <c r="AU10" i="15"/>
  <c r="AU23" i="19"/>
  <c r="AU23" i="12"/>
  <c r="AU43" i="19"/>
  <c r="AU51" i="12"/>
  <c r="AT18" i="20"/>
  <c r="AU54" i="15"/>
  <c r="AU22" i="12"/>
  <c r="AU15" i="12"/>
  <c r="AT15" i="20"/>
  <c r="AU40" i="19"/>
  <c r="AU27" i="19"/>
  <c r="AU53" i="19"/>
  <c r="AU12" i="15"/>
  <c r="AU20" i="19"/>
  <c r="AU26" i="19"/>
  <c r="AU45" i="21"/>
  <c r="AU13" i="12"/>
  <c r="AU9" i="12"/>
  <c r="AU30" i="21"/>
  <c r="AT52" i="20"/>
  <c r="AU17" i="15"/>
  <c r="AU38" i="19"/>
  <c r="AU19" i="19"/>
  <c r="AU19" i="21"/>
  <c r="AU46" i="15"/>
  <c r="AU46" i="21"/>
  <c r="AT46" i="20"/>
  <c r="AU53" i="12"/>
  <c r="AU11" i="12"/>
  <c r="AU8" i="15"/>
  <c r="AU25" i="12"/>
  <c r="AU34" i="21"/>
  <c r="AU36" i="12"/>
  <c r="AU23" i="21"/>
  <c r="AT43" i="20"/>
  <c r="AU42" i="15"/>
  <c r="AU51" i="21"/>
  <c r="AU14" i="12"/>
  <c r="AU24" i="21"/>
  <c r="AU24" i="19"/>
  <c r="AU54" i="19"/>
  <c r="AU47" i="15"/>
  <c r="AT22" i="20"/>
  <c r="AU44" i="19"/>
  <c r="AU11" i="19"/>
  <c r="AU12" i="21"/>
  <c r="AU12" i="19"/>
  <c r="AU16" i="21"/>
  <c r="AU16" i="12"/>
  <c r="AU31" i="19"/>
  <c r="AU7" i="15"/>
  <c r="AU26" i="12"/>
  <c r="AU29" i="15"/>
  <c r="AU45" i="12"/>
  <c r="AU18" i="21"/>
  <c r="AT49" i="20"/>
  <c r="AU23" i="15"/>
  <c r="AT42" i="20"/>
  <c r="AT14" i="20"/>
  <c r="AU18" i="15"/>
  <c r="AU33" i="19"/>
  <c r="AU33" i="15"/>
  <c r="AU22" i="21"/>
  <c r="AU41" i="21"/>
  <c r="AU41" i="19"/>
  <c r="AU53" i="15"/>
  <c r="AU12" i="12"/>
  <c r="AT16" i="20"/>
  <c r="AU48" i="12"/>
  <c r="AU20" i="21"/>
  <c r="AU26" i="21"/>
  <c r="AU39" i="19"/>
  <c r="AU39" i="12"/>
  <c r="AU45" i="15"/>
  <c r="AU30" i="12"/>
  <c r="AU37" i="15"/>
  <c r="AU21" i="21"/>
  <c r="AT21" i="20"/>
  <c r="AU46" i="19"/>
  <c r="AU50" i="19"/>
  <c r="AU50" i="15"/>
  <c r="AU49" i="19"/>
  <c r="AU8" i="12"/>
  <c r="AU35" i="21"/>
  <c r="AU34" i="19"/>
  <c r="AU36" i="19"/>
  <c r="AU43" i="21"/>
  <c r="AU42" i="21"/>
  <c r="AT51" i="20"/>
  <c r="AU32" i="15"/>
  <c r="AT24" i="20"/>
  <c r="AU47" i="21"/>
  <c r="AU41" i="12"/>
  <c r="AU40" i="21"/>
  <c r="AT44" i="20"/>
  <c r="AU11" i="15"/>
  <c r="AU28" i="15"/>
  <c r="AT31" i="20"/>
  <c r="AU31" i="12"/>
  <c r="AU48" i="19"/>
  <c r="AU7" i="12"/>
  <c r="AU29" i="19"/>
  <c r="AU13" i="19"/>
  <c r="AU9" i="21"/>
  <c r="AU9" i="19"/>
  <c r="AT9" i="20"/>
  <c r="AU30" i="15"/>
  <c r="AT37" i="20"/>
  <c r="AU37" i="12"/>
  <c r="AU52" i="12"/>
  <c r="AU17" i="19"/>
  <c r="AT17" i="20"/>
  <c r="AT38" i="20"/>
  <c r="AU19" i="15"/>
  <c r="AU46" i="12"/>
  <c r="AU50" i="21"/>
  <c r="AU50" i="12"/>
  <c r="AU49" i="21"/>
  <c r="AU36" i="15"/>
  <c r="AU43" i="12"/>
  <c r="AU14" i="15"/>
  <c r="AU14" i="19"/>
  <c r="AU33" i="21"/>
  <c r="AU54" i="21"/>
  <c r="AU47" i="12"/>
  <c r="AU22" i="19"/>
  <c r="AU15" i="21"/>
  <c r="AU44" i="15"/>
  <c r="AT53" i="20"/>
  <c r="AT11" i="20"/>
  <c r="AU16" i="19"/>
  <c r="AU16" i="15"/>
  <c r="AU28" i="21"/>
  <c r="AU28" i="19"/>
  <c r="AT28" i="20"/>
  <c r="AU48" i="15"/>
  <c r="AT20" i="20"/>
  <c r="AU29" i="21"/>
  <c r="AU37" i="19"/>
  <c r="AU38" i="15"/>
  <c r="AT19" i="20"/>
  <c r="AT25" i="20"/>
  <c r="AU10" i="12"/>
  <c r="AU25" i="15"/>
  <c r="AT35" i="20"/>
  <c r="AU35" i="15"/>
  <c r="AU34" i="15"/>
  <c r="AU49" i="15"/>
  <c r="AT36" i="20"/>
  <c r="AU36" i="21"/>
  <c r="AU10" i="19"/>
  <c r="AU51" i="15"/>
  <c r="AU51" i="19"/>
  <c r="AU33" i="12"/>
  <c r="AU24" i="15"/>
  <c r="AT54" i="20"/>
  <c r="AT41" i="20"/>
  <c r="AU41" i="15"/>
  <c r="AU40" i="12"/>
  <c r="AU27" i="15"/>
  <c r="AT27" i="20"/>
  <c r="AT12" i="20"/>
  <c r="AU7" i="21"/>
  <c r="AT45" i="20"/>
  <c r="AU13" i="15"/>
  <c r="AT30" i="20"/>
  <c r="AU52" i="21"/>
  <c r="AU52" i="15"/>
  <c r="AU21" i="19"/>
  <c r="AU17" i="12"/>
  <c r="AT50" i="20"/>
  <c r="AU42" i="19"/>
  <c r="AU48" i="21"/>
  <c r="AU7" i="19"/>
  <c r="AT7" i="20"/>
  <c r="AT26" i="20"/>
  <c r="AU13" i="21"/>
  <c r="AU21" i="12"/>
  <c r="AT5" i="20"/>
  <c r="AU5" i="17"/>
  <c r="AU5" i="21"/>
  <c r="AU5" i="15"/>
  <c r="AU5" i="12"/>
  <c r="AU5" i="19"/>
  <c r="AU30" i="9" l="1"/>
  <c r="O29" i="25" s="1"/>
  <c r="AE29" i="25" s="1"/>
  <c r="AK29" i="25" s="1"/>
  <c r="AM29" i="25" s="1"/>
  <c r="AP29" i="25" s="1"/>
  <c r="AT18" i="13"/>
  <c r="AT54" i="13"/>
  <c r="AT26" i="13"/>
  <c r="AT7" i="13"/>
  <c r="AT14" i="13"/>
  <c r="AT9" i="13"/>
  <c r="AT31" i="13"/>
  <c r="AT16" i="13"/>
  <c r="AT38" i="13"/>
  <c r="AU22" i="9"/>
  <c r="O21" i="25" s="1"/>
  <c r="AE21" i="25" s="1"/>
  <c r="AK21" i="25" s="1"/>
  <c r="AM21" i="25" s="1"/>
  <c r="AP21" i="25" s="1"/>
  <c r="AT30" i="13"/>
  <c r="AU27" i="9"/>
  <c r="O26" i="25" s="1"/>
  <c r="AE26" i="25" s="1"/>
  <c r="AK26" i="25" s="1"/>
  <c r="AM26" i="25" s="1"/>
  <c r="AP26" i="25" s="1"/>
  <c r="AU26" i="9"/>
  <c r="O25" i="25" s="1"/>
  <c r="AE25" i="25" s="1"/>
  <c r="AK25" i="25" s="1"/>
  <c r="AM25" i="25" s="1"/>
  <c r="AP25" i="25" s="1"/>
  <c r="AU50" i="9"/>
  <c r="O49" i="25" s="1"/>
  <c r="AE49" i="25" s="1"/>
  <c r="AK49" i="25" s="1"/>
  <c r="AM49" i="25" s="1"/>
  <c r="AP49" i="25" s="1"/>
  <c r="AU51" i="9"/>
  <c r="O50" i="25" s="1"/>
  <c r="AE50" i="25" s="1"/>
  <c r="AK50" i="25" s="1"/>
  <c r="AM50" i="25" s="1"/>
  <c r="AP50" i="25" s="1"/>
  <c r="AU20" i="9"/>
  <c r="O19" i="25" s="1"/>
  <c r="AE19" i="25" s="1"/>
  <c r="AK19" i="25" s="1"/>
  <c r="AM19" i="25" s="1"/>
  <c r="AP19" i="25" s="1"/>
  <c r="AU7" i="9"/>
  <c r="O6" i="25" s="1"/>
  <c r="AE6" i="25" s="1"/>
  <c r="AU8" i="9"/>
  <c r="O7" i="25" s="1"/>
  <c r="AE7" i="25" s="1"/>
  <c r="AK7" i="25" s="1"/>
  <c r="AM7" i="25" s="1"/>
  <c r="AP7" i="25" s="1"/>
  <c r="AT24" i="13"/>
  <c r="AU29" i="9"/>
  <c r="O28" i="25" s="1"/>
  <c r="AE28" i="25" s="1"/>
  <c r="AK28" i="25" s="1"/>
  <c r="AM28" i="25" s="1"/>
  <c r="AP28" i="25" s="1"/>
  <c r="AT29" i="13"/>
  <c r="AU42" i="9"/>
  <c r="O41" i="25" s="1"/>
  <c r="AE41" i="25" s="1"/>
  <c r="AK41" i="25" s="1"/>
  <c r="AM41" i="25" s="1"/>
  <c r="AP41" i="25" s="1"/>
  <c r="AU34" i="9"/>
  <c r="O33" i="25" s="1"/>
  <c r="AE33" i="25" s="1"/>
  <c r="AK33" i="25" s="1"/>
  <c r="AM33" i="25" s="1"/>
  <c r="AP33" i="25" s="1"/>
  <c r="AT19" i="13"/>
  <c r="AU43" i="9"/>
  <c r="O42" i="25" s="1"/>
  <c r="AE42" i="25" s="1"/>
  <c r="AK42" i="25" s="1"/>
  <c r="AM42" i="25" s="1"/>
  <c r="AP42" i="25" s="1"/>
  <c r="AT39" i="13"/>
  <c r="AU35" i="9"/>
  <c r="O34" i="25" s="1"/>
  <c r="AE34" i="25" s="1"/>
  <c r="AK34" i="25" s="1"/>
  <c r="AM34" i="25" s="1"/>
  <c r="AP34" i="25" s="1"/>
  <c r="AT47" i="13"/>
  <c r="AU16" i="9"/>
  <c r="O15" i="25" s="1"/>
  <c r="AE15" i="25" s="1"/>
  <c r="AK15" i="25" s="1"/>
  <c r="AM15" i="25" s="1"/>
  <c r="AP15" i="25" s="1"/>
  <c r="AU11" i="9"/>
  <c r="O10" i="25" s="1"/>
  <c r="AE10" i="25" s="1"/>
  <c r="AK10" i="25" s="1"/>
  <c r="AM10" i="25" s="1"/>
  <c r="AP10" i="25" s="1"/>
  <c r="AT36" i="13"/>
  <c r="AU38" i="9"/>
  <c r="O37" i="25" s="1"/>
  <c r="AE37" i="25" s="1"/>
  <c r="AK37" i="25" s="1"/>
  <c r="AM37" i="25" s="1"/>
  <c r="AP37" i="25" s="1"/>
  <c r="AU32" i="9"/>
  <c r="O31" i="25" s="1"/>
  <c r="AE31" i="25" s="1"/>
  <c r="AK31" i="25" s="1"/>
  <c r="AM31" i="25" s="1"/>
  <c r="AP31" i="25" s="1"/>
  <c r="AT48" i="13"/>
  <c r="AU53" i="9"/>
  <c r="O52" i="25" s="1"/>
  <c r="AE52" i="25" s="1"/>
  <c r="AK52" i="25" s="1"/>
  <c r="AM52" i="25" s="1"/>
  <c r="AP52" i="25" s="1"/>
  <c r="AU49" i="9"/>
  <c r="O48" i="25" s="1"/>
  <c r="AE48" i="25" s="1"/>
  <c r="AK48" i="25" s="1"/>
  <c r="AM48" i="25" s="1"/>
  <c r="AP48" i="25" s="1"/>
  <c r="AU12" i="9"/>
  <c r="O11" i="25" s="1"/>
  <c r="AE11" i="25" s="1"/>
  <c r="AK11" i="25" s="1"/>
  <c r="AM11" i="25" s="1"/>
  <c r="AP11" i="25" s="1"/>
  <c r="AT15" i="13"/>
  <c r="AT37" i="13"/>
  <c r="AT41" i="13"/>
  <c r="AT25" i="13"/>
  <c r="AU45" i="9"/>
  <c r="O44" i="25" s="1"/>
  <c r="AE44" i="25" s="1"/>
  <c r="AK44" i="25" s="1"/>
  <c r="AM44" i="25" s="1"/>
  <c r="AP44" i="25" s="1"/>
  <c r="AT45" i="13"/>
  <c r="AT33" i="13"/>
  <c r="AT51" i="13"/>
  <c r="AU15" i="9"/>
  <c r="O14" i="25" s="1"/>
  <c r="AE14" i="25" s="1"/>
  <c r="AK14" i="25" s="1"/>
  <c r="AM14" i="25" s="1"/>
  <c r="AP14" i="25" s="1"/>
  <c r="AT17" i="13"/>
  <c r="AU17" i="9"/>
  <c r="O16" i="25" s="1"/>
  <c r="AE16" i="25" s="1"/>
  <c r="AK16" i="25" s="1"/>
  <c r="AM16" i="25" s="1"/>
  <c r="AP16" i="25" s="1"/>
  <c r="AU21" i="9"/>
  <c r="O20" i="25" s="1"/>
  <c r="AE20" i="25" s="1"/>
  <c r="AK20" i="25" s="1"/>
  <c r="AM20" i="25" s="1"/>
  <c r="AP20" i="25" s="1"/>
  <c r="AU31" i="9"/>
  <c r="O30" i="25" s="1"/>
  <c r="AE30" i="25" s="1"/>
  <c r="AK30" i="25" s="1"/>
  <c r="AM30" i="25" s="1"/>
  <c r="AP30" i="25" s="1"/>
  <c r="AU36" i="9"/>
  <c r="O35" i="25" s="1"/>
  <c r="AE35" i="25" s="1"/>
  <c r="AK35" i="25" s="1"/>
  <c r="AM35" i="25" s="1"/>
  <c r="AP35" i="25" s="1"/>
  <c r="AT42" i="13"/>
  <c r="AU23" i="9"/>
  <c r="O22" i="25" s="1"/>
  <c r="AE22" i="25" s="1"/>
  <c r="AK22" i="25" s="1"/>
  <c r="AM22" i="25" s="1"/>
  <c r="AP22" i="25" s="1"/>
  <c r="AT34" i="13"/>
  <c r="AU37" i="9"/>
  <c r="O36" i="25" s="1"/>
  <c r="AE36" i="25" s="1"/>
  <c r="AK36" i="25" s="1"/>
  <c r="AM36" i="25" s="1"/>
  <c r="AP36" i="25" s="1"/>
  <c r="AU41" i="9"/>
  <c r="O40" i="25" s="1"/>
  <c r="AE40" i="25" s="1"/>
  <c r="AK40" i="25" s="1"/>
  <c r="AM40" i="25" s="1"/>
  <c r="AP40" i="25" s="1"/>
  <c r="AU48" i="9"/>
  <c r="O47" i="25" s="1"/>
  <c r="AE47" i="25" s="1"/>
  <c r="AK47" i="25" s="1"/>
  <c r="AM47" i="25" s="1"/>
  <c r="AP47" i="25" s="1"/>
  <c r="AT44" i="13"/>
  <c r="AT20" i="13"/>
  <c r="AT11" i="13"/>
  <c r="AU13" i="9"/>
  <c r="O12" i="25" s="1"/>
  <c r="AE12" i="25" s="1"/>
  <c r="AK12" i="25" s="1"/>
  <c r="AM12" i="25" s="1"/>
  <c r="AP12" i="25" s="1"/>
  <c r="AU9" i="9"/>
  <c r="O8" i="25" s="1"/>
  <c r="AE8" i="25" s="1"/>
  <c r="AK8" i="25" s="1"/>
  <c r="AM8" i="25" s="1"/>
  <c r="AP8" i="25" s="1"/>
  <c r="AT28" i="13"/>
  <c r="AT22" i="13"/>
  <c r="AT32" i="13"/>
  <c r="AT43" i="13"/>
  <c r="AU25" i="9"/>
  <c r="O24" i="25" s="1"/>
  <c r="AE24" i="25" s="1"/>
  <c r="AK24" i="25" s="1"/>
  <c r="AM24" i="25" s="1"/>
  <c r="AP24" i="25" s="1"/>
  <c r="AT46" i="13"/>
  <c r="AT49" i="13"/>
  <c r="AT12" i="13"/>
  <c r="AU14" i="9"/>
  <c r="O13" i="25" s="1"/>
  <c r="AE13" i="25" s="1"/>
  <c r="AK13" i="25" s="1"/>
  <c r="AM13" i="25" s="1"/>
  <c r="AP13" i="25" s="1"/>
  <c r="AU28" i="9"/>
  <c r="O27" i="25" s="1"/>
  <c r="AE27" i="25" s="1"/>
  <c r="AK27" i="25" s="1"/>
  <c r="AM27" i="25" s="1"/>
  <c r="AP27" i="25" s="1"/>
  <c r="AT23" i="13"/>
  <c r="AU19" i="9"/>
  <c r="O18" i="25" s="1"/>
  <c r="AE18" i="25" s="1"/>
  <c r="AK18" i="25" s="1"/>
  <c r="AM18" i="25" s="1"/>
  <c r="AP18" i="25" s="1"/>
  <c r="AU39" i="9"/>
  <c r="O38" i="25" s="1"/>
  <c r="AE38" i="25" s="1"/>
  <c r="AK38" i="25" s="1"/>
  <c r="AM38" i="25" s="1"/>
  <c r="AP38" i="25" s="1"/>
  <c r="AT53" i="13"/>
  <c r="AT50" i="13"/>
  <c r="AU44" i="9"/>
  <c r="O43" i="25" s="1"/>
  <c r="AE43" i="25" s="1"/>
  <c r="AK43" i="25" s="1"/>
  <c r="AM43" i="25" s="1"/>
  <c r="AP43" i="25" s="1"/>
  <c r="AU54" i="9"/>
  <c r="O53" i="25" s="1"/>
  <c r="AE53" i="25" s="1"/>
  <c r="AK53" i="25" s="1"/>
  <c r="AM53" i="25" s="1"/>
  <c r="AP53" i="25" s="1"/>
  <c r="AT35" i="13"/>
  <c r="AU33" i="9"/>
  <c r="O32" i="25" s="1"/>
  <c r="AE32" i="25" s="1"/>
  <c r="AK32" i="25" s="1"/>
  <c r="AM32" i="25" s="1"/>
  <c r="AP32" i="25" s="1"/>
  <c r="AU18" i="9"/>
  <c r="O17" i="25" s="1"/>
  <c r="AE17" i="25" s="1"/>
  <c r="AK17" i="25" s="1"/>
  <c r="AM17" i="25" s="1"/>
  <c r="AP17" i="25" s="1"/>
  <c r="AT8" i="13"/>
  <c r="AT13" i="13"/>
  <c r="AT21" i="13"/>
  <c r="AU24" i="9"/>
  <c r="O23" i="25" s="1"/>
  <c r="AE23" i="25" s="1"/>
  <c r="AK23" i="25" s="1"/>
  <c r="AM23" i="25" s="1"/>
  <c r="AP23" i="25" s="1"/>
  <c r="AT27" i="13"/>
  <c r="AU46" i="9"/>
  <c r="O45" i="25" s="1"/>
  <c r="AE45" i="25" s="1"/>
  <c r="AK45" i="25" s="1"/>
  <c r="AM45" i="25" s="1"/>
  <c r="AP45" i="25" s="1"/>
  <c r="AU47" i="9"/>
  <c r="O46" i="25" s="1"/>
  <c r="AE46" i="25" s="1"/>
  <c r="AK46" i="25" s="1"/>
  <c r="AM46" i="25" s="1"/>
  <c r="AP46" i="25" s="1"/>
  <c r="H27" i="26" l="1"/>
  <c r="H28" i="26"/>
  <c r="H23" i="26"/>
  <c r="H24" i="26"/>
  <c r="AK6" i="25"/>
  <c r="H22" i="26"/>
  <c r="AT5" i="18"/>
  <c r="AT6" i="18"/>
  <c r="AT7" i="18"/>
  <c r="AT8" i="18"/>
  <c r="AT9" i="18"/>
  <c r="AT10" i="18"/>
  <c r="AT11" i="18"/>
  <c r="AT12" i="18"/>
  <c r="AT13" i="18"/>
  <c r="AT14" i="18"/>
  <c r="AT15" i="18"/>
  <c r="AT16" i="18"/>
  <c r="AT17" i="18"/>
  <c r="AT18" i="18"/>
  <c r="AT19" i="18"/>
  <c r="AT20" i="18"/>
  <c r="AT21" i="18"/>
  <c r="AT22" i="18"/>
  <c r="AT23" i="18"/>
  <c r="AT24" i="18"/>
  <c r="AT25" i="18"/>
  <c r="AT26" i="18"/>
  <c r="AT27" i="18"/>
  <c r="AT28" i="18"/>
  <c r="AT29" i="18"/>
  <c r="AT30" i="18"/>
  <c r="AT31" i="18"/>
  <c r="AT32" i="18"/>
  <c r="AT33" i="18"/>
  <c r="AT34" i="18"/>
  <c r="AT35" i="18"/>
  <c r="AT36" i="18"/>
  <c r="AT37" i="18"/>
  <c r="AT38" i="18"/>
  <c r="AT39" i="18"/>
  <c r="AT40" i="18"/>
  <c r="AT41" i="18"/>
  <c r="AT42" i="18"/>
  <c r="AT43" i="18"/>
  <c r="AT44" i="18"/>
  <c r="AT45" i="18"/>
  <c r="AT46" i="18"/>
  <c r="AT47" i="18"/>
  <c r="AT48" i="18"/>
  <c r="AT49" i="18"/>
  <c r="AT50" i="18"/>
  <c r="AT51" i="18"/>
  <c r="AT52" i="18"/>
  <c r="AT53" i="18"/>
  <c r="AT54" i="18"/>
  <c r="AM6" i="25" l="1"/>
  <c r="H36" i="26" s="1"/>
  <c r="H33" i="26"/>
  <c r="AK6" i="9"/>
  <c r="AK6" i="13"/>
  <c r="AK5" i="9"/>
  <c r="AM6" i="9"/>
  <c r="AS6" i="9"/>
  <c r="AT6" i="9"/>
  <c r="N5" i="25" s="1"/>
  <c r="AM6" i="13"/>
  <c r="AO6" i="13"/>
  <c r="AP6" i="13"/>
  <c r="AQ6" i="9"/>
  <c r="AN6" i="9"/>
  <c r="AL6" i="9"/>
  <c r="AR6" i="13"/>
  <c r="AO6" i="9"/>
  <c r="AQ6" i="13"/>
  <c r="AR6" i="9"/>
  <c r="AL6" i="13"/>
  <c r="AN6" i="13"/>
  <c r="AP6" i="9"/>
  <c r="AN5" i="9"/>
  <c r="AQ5" i="9"/>
  <c r="AT5" i="9"/>
  <c r="N4" i="25" s="1"/>
  <c r="AR5" i="9"/>
  <c r="AM5" i="9"/>
  <c r="AP5" i="9"/>
  <c r="AO5" i="9"/>
  <c r="AL5" i="9"/>
  <c r="AS5" i="9"/>
  <c r="AP6" i="25" l="1"/>
  <c r="H35" i="26"/>
  <c r="AU5" i="9"/>
  <c r="O4" i="25" s="1"/>
  <c r="AT6" i="13"/>
  <c r="AU6" i="9"/>
  <c r="O5" i="25" s="1"/>
  <c r="AE5" i="25" s="1"/>
  <c r="AK5" i="25" s="1"/>
  <c r="AM5" i="25" l="1"/>
  <c r="AP5" i="25" s="1"/>
  <c r="H26" i="26"/>
  <c r="AE4" i="25"/>
  <c r="AK4" i="25" s="1"/>
  <c r="H29" i="26" s="1"/>
  <c r="AM4" i="25" l="1"/>
  <c r="H34" i="26" s="1"/>
  <c r="AP4" i="25" l="1"/>
  <c r="H37" i="26" s="1"/>
  <c r="L3" i="28"/>
  <c r="B38" i="26"/>
</calcChain>
</file>

<file path=xl/sharedStrings.xml><?xml version="1.0" encoding="utf-8"?>
<sst xmlns="http://schemas.openxmlformats.org/spreadsheetml/2006/main" count="3813" uniqueCount="541">
  <si>
    <t>Emp_ID</t>
  </si>
  <si>
    <t>Gender</t>
  </si>
  <si>
    <t>Department</t>
  </si>
  <si>
    <t>Designation</t>
  </si>
  <si>
    <t>HRA</t>
  </si>
  <si>
    <t>DA</t>
  </si>
  <si>
    <t>EMP001</t>
  </si>
  <si>
    <t>Male</t>
  </si>
  <si>
    <t>Warehouse</t>
  </si>
  <si>
    <t>Store Assistant</t>
  </si>
  <si>
    <t>EMP002</t>
  </si>
  <si>
    <t>Production</t>
  </si>
  <si>
    <t>Supervisor</t>
  </si>
  <si>
    <t>EMP003</t>
  </si>
  <si>
    <t>Female</t>
  </si>
  <si>
    <t>Operator</t>
  </si>
  <si>
    <t>SBI</t>
  </si>
  <si>
    <t>EMP004</t>
  </si>
  <si>
    <t>EMP005</t>
  </si>
  <si>
    <t>Senior Operator</t>
  </si>
  <si>
    <t>EMP006</t>
  </si>
  <si>
    <t>Sales</t>
  </si>
  <si>
    <t>Sales Officer</t>
  </si>
  <si>
    <t>EMP007</t>
  </si>
  <si>
    <t>EMP008</t>
  </si>
  <si>
    <t>ICICI Bank</t>
  </si>
  <si>
    <t>EMP009</t>
  </si>
  <si>
    <t>Maintenance</t>
  </si>
  <si>
    <t>Technician</t>
  </si>
  <si>
    <t>HDFC Bank</t>
  </si>
  <si>
    <t>EMP010</t>
  </si>
  <si>
    <t>EMP011</t>
  </si>
  <si>
    <t>EMP012</t>
  </si>
  <si>
    <t>EMP013</t>
  </si>
  <si>
    <t>EMP014</t>
  </si>
  <si>
    <t>Accounts</t>
  </si>
  <si>
    <t>Accounts Assistant</t>
  </si>
  <si>
    <t>EMP015</t>
  </si>
  <si>
    <t>HR</t>
  </si>
  <si>
    <t>HR Executive</t>
  </si>
  <si>
    <t>EMP016</t>
  </si>
  <si>
    <t>Warehouse Executive</t>
  </si>
  <si>
    <t>EMP017</t>
  </si>
  <si>
    <t>EMP018</t>
  </si>
  <si>
    <t>EMP019</t>
  </si>
  <si>
    <t>EMP020</t>
  </si>
  <si>
    <t>EMP021</t>
  </si>
  <si>
    <t>EMP022</t>
  </si>
  <si>
    <t>EMP023</t>
  </si>
  <si>
    <t>Accountant</t>
  </si>
  <si>
    <t>EMP024</t>
  </si>
  <si>
    <t>EMP025</t>
  </si>
  <si>
    <t>EMP026</t>
  </si>
  <si>
    <t>EMP027</t>
  </si>
  <si>
    <t>Fitter</t>
  </si>
  <si>
    <t>EMP028</t>
  </si>
  <si>
    <t>EMP029</t>
  </si>
  <si>
    <t>IT</t>
  </si>
  <si>
    <t>IT Support Executive</t>
  </si>
  <si>
    <t>EMP030</t>
  </si>
  <si>
    <t>EMP031</t>
  </si>
  <si>
    <t>EMP032</t>
  </si>
  <si>
    <t>EMP033</t>
  </si>
  <si>
    <t>EMP034</t>
  </si>
  <si>
    <t>EMP035</t>
  </si>
  <si>
    <t>EMP036</t>
  </si>
  <si>
    <t>EMP037</t>
  </si>
  <si>
    <t>Electrician</t>
  </si>
  <si>
    <t>EMP038</t>
  </si>
  <si>
    <t>EMP039</t>
  </si>
  <si>
    <t>EMP040</t>
  </si>
  <si>
    <t>EMP041</t>
  </si>
  <si>
    <t>EMP042</t>
  </si>
  <si>
    <t>EMP043</t>
  </si>
  <si>
    <t>EMP044</t>
  </si>
  <si>
    <t>EMP045</t>
  </si>
  <si>
    <t>EMP046</t>
  </si>
  <si>
    <t>EMP047</t>
  </si>
  <si>
    <t>EMP048</t>
  </si>
  <si>
    <t>EMP049</t>
  </si>
  <si>
    <t>EMP050</t>
  </si>
  <si>
    <t>Days</t>
  </si>
  <si>
    <t>Approval_Status</t>
  </si>
  <si>
    <t>Approved</t>
  </si>
  <si>
    <t>LWP</t>
  </si>
  <si>
    <t>OT_ID</t>
  </si>
  <si>
    <t>OT_Date</t>
  </si>
  <si>
    <t>OT_Hours</t>
  </si>
  <si>
    <t>OT_Rate</t>
  </si>
  <si>
    <t>OT_Amount</t>
  </si>
  <si>
    <t>OT0001</t>
  </si>
  <si>
    <t>OT0002</t>
  </si>
  <si>
    <t>OT0003</t>
  </si>
  <si>
    <t>OT0004</t>
  </si>
  <si>
    <t>OT0005</t>
  </si>
  <si>
    <t>OT0006</t>
  </si>
  <si>
    <t>OT0007</t>
  </si>
  <si>
    <t>OT0008</t>
  </si>
  <si>
    <t>OT0009</t>
  </si>
  <si>
    <t>OT0010</t>
  </si>
  <si>
    <t>OT0011</t>
  </si>
  <si>
    <t>OT0012</t>
  </si>
  <si>
    <t>OT0013</t>
  </si>
  <si>
    <t>OT0014</t>
  </si>
  <si>
    <t>OT0015</t>
  </si>
  <si>
    <t>OT0016</t>
  </si>
  <si>
    <t>OT0017</t>
  </si>
  <si>
    <t>OT0018</t>
  </si>
  <si>
    <t>OT0019</t>
  </si>
  <si>
    <t>OT0020</t>
  </si>
  <si>
    <t>OT0021</t>
  </si>
  <si>
    <t>OT0022</t>
  </si>
  <si>
    <t>OT0023</t>
  </si>
  <si>
    <t>OT0024</t>
  </si>
  <si>
    <t>OT0025</t>
  </si>
  <si>
    <t>OT0026</t>
  </si>
  <si>
    <t>OT0027</t>
  </si>
  <si>
    <t>OT0028</t>
  </si>
  <si>
    <t>OT0029</t>
  </si>
  <si>
    <t>OT0030</t>
  </si>
  <si>
    <t>OT0031</t>
  </si>
  <si>
    <t>OT0032</t>
  </si>
  <si>
    <t>OT0033</t>
  </si>
  <si>
    <t>OT0034</t>
  </si>
  <si>
    <t>OT0035</t>
  </si>
  <si>
    <t>OT0036</t>
  </si>
  <si>
    <t>OT0037</t>
  </si>
  <si>
    <t>OT0038</t>
  </si>
  <si>
    <t>OT0039</t>
  </si>
  <si>
    <t>OT0040</t>
  </si>
  <si>
    <t>OT0041</t>
  </si>
  <si>
    <t>OT0042</t>
  </si>
  <si>
    <t>OT0043</t>
  </si>
  <si>
    <t>OT0044</t>
  </si>
  <si>
    <t>OT0045</t>
  </si>
  <si>
    <t>OT0046</t>
  </si>
  <si>
    <t>OT0047</t>
  </si>
  <si>
    <t>OT0048</t>
  </si>
  <si>
    <t>OT0049</t>
  </si>
  <si>
    <t>OT0050</t>
  </si>
  <si>
    <t>OT0051</t>
  </si>
  <si>
    <t>OT0052</t>
  </si>
  <si>
    <t>OT0053</t>
  </si>
  <si>
    <t>OT0054</t>
  </si>
  <si>
    <t>OT0055</t>
  </si>
  <si>
    <t>OT0056</t>
  </si>
  <si>
    <t>OT0057</t>
  </si>
  <si>
    <t>OT0058</t>
  </si>
  <si>
    <t>OT0059</t>
  </si>
  <si>
    <t>OT0060</t>
  </si>
  <si>
    <t>OT0061</t>
  </si>
  <si>
    <t>OT0062</t>
  </si>
  <si>
    <t>OT0063</t>
  </si>
  <si>
    <t>OT0064</t>
  </si>
  <si>
    <t>OT0065</t>
  </si>
  <si>
    <t>OT0066</t>
  </si>
  <si>
    <t>OT0067</t>
  </si>
  <si>
    <t>OT0068</t>
  </si>
  <si>
    <t>OT0069</t>
  </si>
  <si>
    <t>OT0070</t>
  </si>
  <si>
    <t>OT0071</t>
  </si>
  <si>
    <t>OT0072</t>
  </si>
  <si>
    <t>OT0073</t>
  </si>
  <si>
    <t>OT0074</t>
  </si>
  <si>
    <t>OT0075</t>
  </si>
  <si>
    <t>OT0076</t>
  </si>
  <si>
    <t>OT0077</t>
  </si>
  <si>
    <t>OT0078</t>
  </si>
  <si>
    <t>OT0079</t>
  </si>
  <si>
    <t>OT0080</t>
  </si>
  <si>
    <t>OT0081</t>
  </si>
  <si>
    <t>OT0082</t>
  </si>
  <si>
    <t>OT0083</t>
  </si>
  <si>
    <t>OT0084</t>
  </si>
  <si>
    <t>OT0085</t>
  </si>
  <si>
    <t>OT0086</t>
  </si>
  <si>
    <t>OT0087</t>
  </si>
  <si>
    <t>OT0088</t>
  </si>
  <si>
    <t>OT0089</t>
  </si>
  <si>
    <t>OT0090</t>
  </si>
  <si>
    <t>OT0091</t>
  </si>
  <si>
    <t>OT0092</t>
  </si>
  <si>
    <t>OT0093</t>
  </si>
  <si>
    <t>OT0094</t>
  </si>
  <si>
    <t>OT0095</t>
  </si>
  <si>
    <t>OT0096</t>
  </si>
  <si>
    <t>OT0097</t>
  </si>
  <si>
    <t>OT0098</t>
  </si>
  <si>
    <t>OT0099</t>
  </si>
  <si>
    <t>OT0100</t>
  </si>
  <si>
    <t>OT0101</t>
  </si>
  <si>
    <t>OT0102</t>
  </si>
  <si>
    <t>OT0103</t>
  </si>
  <si>
    <t>OT0104</t>
  </si>
  <si>
    <t>OT0105</t>
  </si>
  <si>
    <t>OT0106</t>
  </si>
  <si>
    <t>OT0107</t>
  </si>
  <si>
    <t>OT0108</t>
  </si>
  <si>
    <t>OT0109</t>
  </si>
  <si>
    <t>OT0110</t>
  </si>
  <si>
    <t>OT0111</t>
  </si>
  <si>
    <t>OT0112</t>
  </si>
  <si>
    <t>OT0113</t>
  </si>
  <si>
    <t>OT0114</t>
  </si>
  <si>
    <t>OT0115</t>
  </si>
  <si>
    <t>OT0116</t>
  </si>
  <si>
    <t>OT0117</t>
  </si>
  <si>
    <t>OT0118</t>
  </si>
  <si>
    <t>OT0119</t>
  </si>
  <si>
    <t>OT0120</t>
  </si>
  <si>
    <t>Balance</t>
  </si>
  <si>
    <t>Status</t>
  </si>
  <si>
    <t>ADV0001</t>
  </si>
  <si>
    <t>ADV0002</t>
  </si>
  <si>
    <t>ADV0003</t>
  </si>
  <si>
    <t>ADV0004</t>
  </si>
  <si>
    <t>ADV0005</t>
  </si>
  <si>
    <t>ADV0007</t>
  </si>
  <si>
    <t>ADV0008</t>
  </si>
  <si>
    <t>ADV0009</t>
  </si>
  <si>
    <t>ADV0011</t>
  </si>
  <si>
    <t>ADV0012</t>
  </si>
  <si>
    <t>ADV0013</t>
  </si>
  <si>
    <t>ADV0014</t>
  </si>
  <si>
    <t>ADV0015</t>
  </si>
  <si>
    <t>ADV0016</t>
  </si>
  <si>
    <t>ADV0017</t>
  </si>
  <si>
    <t>ADV0020</t>
  </si>
  <si>
    <t>ADV0022</t>
  </si>
  <si>
    <t>ADV0023</t>
  </si>
  <si>
    <t>ADV0024</t>
  </si>
  <si>
    <t>ADV0025</t>
  </si>
  <si>
    <t>ADV0026</t>
  </si>
  <si>
    <t>ADV0027</t>
  </si>
  <si>
    <t>ADV0028</t>
  </si>
  <si>
    <t>ADV0029</t>
  </si>
  <si>
    <t>BON0001</t>
  </si>
  <si>
    <t>Performance Bonus</t>
  </si>
  <si>
    <t>BON0002</t>
  </si>
  <si>
    <t>Attendance Bonus</t>
  </si>
  <si>
    <t>BON0003</t>
  </si>
  <si>
    <t>BON0004</t>
  </si>
  <si>
    <t>BON0005</t>
  </si>
  <si>
    <t>BON0006</t>
  </si>
  <si>
    <t>Festival Bonus</t>
  </si>
  <si>
    <t>BON0007</t>
  </si>
  <si>
    <t>BON0008</t>
  </si>
  <si>
    <t>BON0009</t>
  </si>
  <si>
    <t>BON0010</t>
  </si>
  <si>
    <t>BON0011</t>
  </si>
  <si>
    <t>BON0012</t>
  </si>
  <si>
    <t>BON0013</t>
  </si>
  <si>
    <t>BON0014</t>
  </si>
  <si>
    <t>BON0015</t>
  </si>
  <si>
    <t>BON0016</t>
  </si>
  <si>
    <t>BON0017</t>
  </si>
  <si>
    <t>BON0018</t>
  </si>
  <si>
    <t>BON0019</t>
  </si>
  <si>
    <t>BON0020</t>
  </si>
  <si>
    <t>BON0021</t>
  </si>
  <si>
    <t>BON0022</t>
  </si>
  <si>
    <t>BON0023</t>
  </si>
  <si>
    <t>BON0024</t>
  </si>
  <si>
    <t>BON0025</t>
  </si>
  <si>
    <t>BON0026</t>
  </si>
  <si>
    <t>BON0027</t>
  </si>
  <si>
    <t>BON0028</t>
  </si>
  <si>
    <t>BON0029</t>
  </si>
  <si>
    <t>BON0030</t>
  </si>
  <si>
    <t>BON0031</t>
  </si>
  <si>
    <t>BON0032</t>
  </si>
  <si>
    <t>BON0033</t>
  </si>
  <si>
    <t>BON0034</t>
  </si>
  <si>
    <t>BON0035</t>
  </si>
  <si>
    <t>BON0036</t>
  </si>
  <si>
    <t>BON0037</t>
  </si>
  <si>
    <t>BON0038</t>
  </si>
  <si>
    <t>BON0039</t>
  </si>
  <si>
    <t>BON0040</t>
  </si>
  <si>
    <t>BON0041</t>
  </si>
  <si>
    <t>BON0042</t>
  </si>
  <si>
    <t>BON0043</t>
  </si>
  <si>
    <t>BON0044</t>
  </si>
  <si>
    <t>BON0045</t>
  </si>
  <si>
    <t>BON0046</t>
  </si>
  <si>
    <t>BON0047</t>
  </si>
  <si>
    <t>BON0048</t>
  </si>
  <si>
    <t>BON0049</t>
  </si>
  <si>
    <t>BON0050</t>
  </si>
  <si>
    <t>EMI</t>
  </si>
  <si>
    <t>Outstanding</t>
  </si>
  <si>
    <t>Reason</t>
  </si>
  <si>
    <t>Performance</t>
  </si>
  <si>
    <t>Annual Increment</t>
  </si>
  <si>
    <t>Promotion</t>
  </si>
  <si>
    <t>Month</t>
  </si>
  <si>
    <t>Bonus</t>
  </si>
  <si>
    <t>Holiday_ID</t>
  </si>
  <si>
    <t>Holiday_Date</t>
  </si>
  <si>
    <t>Holiday_Name</t>
  </si>
  <si>
    <t>Holiday_Type</t>
  </si>
  <si>
    <t>Applicable_To</t>
  </si>
  <si>
    <t>HOL001</t>
  </si>
  <si>
    <t>Republic Day</t>
  </si>
  <si>
    <t>National Holiday</t>
  </si>
  <si>
    <t>All Employees</t>
  </si>
  <si>
    <t>HOL002</t>
  </si>
  <si>
    <t>Maha Shivratri</t>
  </si>
  <si>
    <t>Restricted Holiday</t>
  </si>
  <si>
    <t>HOL003</t>
  </si>
  <si>
    <t>Holi</t>
  </si>
  <si>
    <t>HOL004</t>
  </si>
  <si>
    <t>Id-ul-Fitr</t>
  </si>
  <si>
    <t>Declared Holiday</t>
  </si>
  <si>
    <t>HOL005</t>
  </si>
  <si>
    <t>Good Friday</t>
  </si>
  <si>
    <t>HOL006</t>
  </si>
  <si>
    <t>Ambedkar Jayanti</t>
  </si>
  <si>
    <t>HOL007</t>
  </si>
  <si>
    <t>May Day</t>
  </si>
  <si>
    <t>HOL008</t>
  </si>
  <si>
    <t>Id-ul-Zuha (Bakrid)</t>
  </si>
  <si>
    <t>HOL009</t>
  </si>
  <si>
    <t>Independence Day</t>
  </si>
  <si>
    <t>HOL010</t>
  </si>
  <si>
    <t>Janmashtami</t>
  </si>
  <si>
    <t>HOL011</t>
  </si>
  <si>
    <t>Gandhi Jayanti</t>
  </si>
  <si>
    <t>HOL012</t>
  </si>
  <si>
    <t>Dussehra</t>
  </si>
  <si>
    <t>HOL013</t>
  </si>
  <si>
    <t>Diwali</t>
  </si>
  <si>
    <t>HOL014</t>
  </si>
  <si>
    <t>Guru Nanak Jayanti</t>
  </si>
  <si>
    <t>HOL015</t>
  </si>
  <si>
    <t>Christmas Day</t>
  </si>
  <si>
    <t>attendance sheet</t>
  </si>
  <si>
    <t>To</t>
  </si>
  <si>
    <t>Emp ID</t>
  </si>
  <si>
    <t>Emp Name</t>
  </si>
  <si>
    <t>Dept.</t>
  </si>
  <si>
    <t>Desig.</t>
  </si>
  <si>
    <t>WO</t>
  </si>
  <si>
    <t>Holly day</t>
  </si>
  <si>
    <t>Paid Leave</t>
  </si>
  <si>
    <t>Half Day</t>
  </si>
  <si>
    <t>Absent</t>
  </si>
  <si>
    <t>Present</t>
  </si>
  <si>
    <t>Total Days</t>
  </si>
  <si>
    <t>Payable Days</t>
  </si>
  <si>
    <t>H</t>
  </si>
  <si>
    <t>Sick Leave</t>
  </si>
  <si>
    <t>Casual Leave</t>
  </si>
  <si>
    <t>Over Time</t>
  </si>
  <si>
    <t>EMP ID</t>
  </si>
  <si>
    <t>Hollyday Register</t>
  </si>
  <si>
    <t>OT Register</t>
  </si>
  <si>
    <t>Recovery Amount</t>
  </si>
  <si>
    <t>Loan Amount</t>
  </si>
  <si>
    <t>Tenure Months</t>
  </si>
  <si>
    <t>EMIs Paid</t>
  </si>
  <si>
    <t>Effective Date</t>
  </si>
  <si>
    <t>Old Basic</t>
  </si>
  <si>
    <t>Increment Percent</t>
  </si>
  <si>
    <t>Increment Amount</t>
  </si>
  <si>
    <t>New Basic</t>
  </si>
  <si>
    <t>Bonus_ID</t>
  </si>
  <si>
    <t>Bonus_Date</t>
  </si>
  <si>
    <t>Bonus_Type</t>
  </si>
  <si>
    <t>Bonus_Amount</t>
  </si>
  <si>
    <t>Advance</t>
  </si>
  <si>
    <t>Salary Sheet</t>
  </si>
  <si>
    <t>Of</t>
  </si>
  <si>
    <t>Earned Salary</t>
  </si>
  <si>
    <t>Deduction</t>
  </si>
  <si>
    <t>Employee Name</t>
  </si>
  <si>
    <t>Joining Date</t>
  </si>
  <si>
    <t>Basic Salary</t>
  </si>
  <si>
    <t>Other Allowance</t>
  </si>
  <si>
    <t>Bank Name</t>
  </si>
  <si>
    <t>IFSC</t>
  </si>
  <si>
    <t>HDFC0001973</t>
  </si>
  <si>
    <t>HDFC0005270</t>
  </si>
  <si>
    <t>HDFC0002408</t>
  </si>
  <si>
    <t>HDFC0003288</t>
  </si>
  <si>
    <t>SBIN0009738</t>
  </si>
  <si>
    <t>Axis Bank</t>
  </si>
  <si>
    <t>HDFC0002218</t>
  </si>
  <si>
    <t>HDFC0002420</t>
  </si>
  <si>
    <t>HDFC0004377</t>
  </si>
  <si>
    <t>HDFC0008501</t>
  </si>
  <si>
    <t>SBIN0005098</t>
  </si>
  <si>
    <t>HDFC0003738</t>
  </si>
  <si>
    <t>HDFC0008619</t>
  </si>
  <si>
    <t>SBIN0002842</t>
  </si>
  <si>
    <t>HDFC0009938</t>
  </si>
  <si>
    <t>SBIN0003816</t>
  </si>
  <si>
    <t>HDFC0001494</t>
  </si>
  <si>
    <t>HDFC0007560</t>
  </si>
  <si>
    <t>SBIN0006510</t>
  </si>
  <si>
    <t>HDFC0004444</t>
  </si>
  <si>
    <t>HDFC0008543</t>
  </si>
  <si>
    <t>HDFC0008562</t>
  </si>
  <si>
    <t>SBIN0004994</t>
  </si>
  <si>
    <t>HDFC0008253</t>
  </si>
  <si>
    <t>HDFC0001045</t>
  </si>
  <si>
    <t>HDFC0003057</t>
  </si>
  <si>
    <t>HDFC0001663</t>
  </si>
  <si>
    <t>SBIN0005668</t>
  </si>
  <si>
    <t>HDFC0003029</t>
  </si>
  <si>
    <t>HDFC0006717</t>
  </si>
  <si>
    <t>HDFC0003696</t>
  </si>
  <si>
    <t>SBIN0009831</t>
  </si>
  <si>
    <t>HDFC0003663</t>
  </si>
  <si>
    <t>HDFC0003745</t>
  </si>
  <si>
    <t>SBIN0006004</t>
  </si>
  <si>
    <t>HDFC0007321</t>
  </si>
  <si>
    <t>HDFC0006125</t>
  </si>
  <si>
    <t>HDFC0005948</t>
  </si>
  <si>
    <t>HDFC0005402</t>
  </si>
  <si>
    <t>HDFC0004427</t>
  </si>
  <si>
    <t>SBIN0006912</t>
  </si>
  <si>
    <t>HDFC0001394</t>
  </si>
  <si>
    <t>HDFC0004597</t>
  </si>
  <si>
    <t>SBIN0001329</t>
  </si>
  <si>
    <t>HDFC0001772</t>
  </si>
  <si>
    <t>HDFC0009135</t>
  </si>
  <si>
    <t>HDFC0002645</t>
  </si>
  <si>
    <t>HDFC0002787</t>
  </si>
  <si>
    <t>SBIN0001999</t>
  </si>
  <si>
    <t>HDFC0002848</t>
  </si>
  <si>
    <t>HDFC0002561</t>
  </si>
  <si>
    <t>Ac Number</t>
  </si>
  <si>
    <t>OT Hours</t>
  </si>
  <si>
    <t>OT Rate</t>
  </si>
  <si>
    <t>OT Amount</t>
  </si>
  <si>
    <t>Balance Loan</t>
  </si>
  <si>
    <t>Loan</t>
  </si>
  <si>
    <t>Tenure Month</t>
  </si>
  <si>
    <t>Paid EMI</t>
  </si>
  <si>
    <t>EMI Start Date</t>
  </si>
  <si>
    <t>Balance EMI</t>
  </si>
  <si>
    <t>Advance Register</t>
  </si>
  <si>
    <t>Bonus Register</t>
  </si>
  <si>
    <t>Adv ID</t>
  </si>
  <si>
    <t>Adv Date</t>
  </si>
  <si>
    <t>Adv Amount</t>
  </si>
  <si>
    <t>Recovery Date</t>
  </si>
  <si>
    <t>Recovery Month</t>
  </si>
  <si>
    <t>Pay Day Salary</t>
  </si>
  <si>
    <t>PF Amount</t>
  </si>
  <si>
    <t>ESI Amount</t>
  </si>
  <si>
    <t>Gross Salary</t>
  </si>
  <si>
    <t>Net Salary</t>
  </si>
  <si>
    <t>Employee ID</t>
  </si>
  <si>
    <t>Account No.</t>
  </si>
  <si>
    <t>IFSC Code</t>
  </si>
  <si>
    <t>Pay Date</t>
  </si>
  <si>
    <t>Earnings</t>
  </si>
  <si>
    <t>Description</t>
  </si>
  <si>
    <t>Amount (Rs)</t>
  </si>
  <si>
    <t>Deductions</t>
  </si>
  <si>
    <t>OT</t>
  </si>
  <si>
    <t>Increment</t>
  </si>
  <si>
    <t>Employee Details</t>
  </si>
  <si>
    <t>Bank Details</t>
  </si>
  <si>
    <t>Salary Details</t>
  </si>
  <si>
    <t>Loan Details</t>
  </si>
  <si>
    <t>Advance Details</t>
  </si>
  <si>
    <t>Pay slip</t>
  </si>
  <si>
    <t>PF 12%</t>
  </si>
  <si>
    <t>ESI 0.75%</t>
  </si>
  <si>
    <t>ABC 
CONSTRUCTION
PVT. LTD.</t>
  </si>
  <si>
    <t>Employee1</t>
  </si>
  <si>
    <t>Employee2</t>
  </si>
  <si>
    <t>Employee3</t>
  </si>
  <si>
    <t>Employee4</t>
  </si>
  <si>
    <t>Employee5</t>
  </si>
  <si>
    <t>Employee6</t>
  </si>
  <si>
    <t>Employee7</t>
  </si>
  <si>
    <t>Employee8</t>
  </si>
  <si>
    <t>Employee9</t>
  </si>
  <si>
    <t>Employee10</t>
  </si>
  <si>
    <t>Employee11</t>
  </si>
  <si>
    <t>Employee12</t>
  </si>
  <si>
    <t>Employee13</t>
  </si>
  <si>
    <t>Employee14</t>
  </si>
  <si>
    <t>Employee15</t>
  </si>
  <si>
    <t>Employee16</t>
  </si>
  <si>
    <t>Employee17</t>
  </si>
  <si>
    <t>Employee18</t>
  </si>
  <si>
    <t>Employee19</t>
  </si>
  <si>
    <t>Employee20</t>
  </si>
  <si>
    <t>Employee21</t>
  </si>
  <si>
    <t>Employee22</t>
  </si>
  <si>
    <t>Employee23</t>
  </si>
  <si>
    <t>Employee24</t>
  </si>
  <si>
    <t>Employee25</t>
  </si>
  <si>
    <t>Employee26</t>
  </si>
  <si>
    <t>Employee27</t>
  </si>
  <si>
    <t>Employee28</t>
  </si>
  <si>
    <t>Employee29</t>
  </si>
  <si>
    <t>Employee30</t>
  </si>
  <si>
    <t>Employee31</t>
  </si>
  <si>
    <t>Employee32</t>
  </si>
  <si>
    <t>Employee33</t>
  </si>
  <si>
    <t>Employee34</t>
  </si>
  <si>
    <t>Employee35</t>
  </si>
  <si>
    <t>Employee36</t>
  </si>
  <si>
    <t>Employee37</t>
  </si>
  <si>
    <t>Employee38</t>
  </si>
  <si>
    <t>Employee39</t>
  </si>
  <si>
    <t>Employee40</t>
  </si>
  <si>
    <t>Employee41</t>
  </si>
  <si>
    <t>Employee42</t>
  </si>
  <si>
    <t>Employee43</t>
  </si>
  <si>
    <t>Employee44</t>
  </si>
  <si>
    <t>Employee45</t>
  </si>
  <si>
    <t>Employee46</t>
  </si>
  <si>
    <t>Employee47</t>
  </si>
  <si>
    <t>Employee48</t>
  </si>
  <si>
    <t>Employee49</t>
  </si>
  <si>
    <t>Employee50</t>
  </si>
  <si>
    <t>Employee Master Sheet</t>
  </si>
  <si>
    <t>Loan Register</t>
  </si>
  <si>
    <t>Increment Register</t>
  </si>
  <si>
    <t>Leave Type</t>
  </si>
  <si>
    <t>Leave Date</t>
  </si>
  <si>
    <t>CL</t>
  </si>
  <si>
    <t>SL</t>
  </si>
  <si>
    <t>PL</t>
  </si>
  <si>
    <t>Start Date</t>
  </si>
  <si>
    <t>End Date</t>
  </si>
  <si>
    <t>Type</t>
  </si>
  <si>
    <t>Total</t>
  </si>
  <si>
    <t>Used</t>
  </si>
  <si>
    <t>Leave Entry</t>
  </si>
  <si>
    <t>Leave Register</t>
  </si>
  <si>
    <t>Allotted Leave</t>
  </si>
  <si>
    <t>A</t>
  </si>
  <si>
    <t>Aug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</si>
</sst>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4" formatCode="_(&quot;₹&quot;* #,##0.00_);_(&quot;₹&quot;* \(#,##0.00\);_(&quot;₹&quot;* &quot;-&quot;??_);_(@_)"/>
    <numFmt numFmtId="164" formatCode="yyyy\-mm\-dd"/>
    <numFmt numFmtId="165" formatCode="dd"/>
    <numFmt numFmtId="166" formatCode="[$-F800]dddd\,\ mmmm\ dd\,\ yyyy"/>
    <numFmt numFmtId="167" formatCode="mmm/yyyy"/>
    <numFmt numFmtId="168" formatCode="0.0"/>
  </numFmts>
  <fonts count="27" x14ac:knownFonts="1">
    <font>
      <sz val="11"/>
      <color theme="1"/>
      <name val="Calibri"/>
      <family val="2"/>
      <scheme val="minor"/>
    </font>
    <font>
      <b/>
      <sz val="36"/>
      <color theme="0"/>
      <name val="Algerian"/>
      <family val="5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2"/>
      <name val="Calibri"/>
      <family val="2"/>
    </font>
    <font>
      <b/>
      <sz val="26"/>
      <color theme="0"/>
      <name val="Algerian"/>
      <family val="5"/>
    </font>
    <font>
      <b/>
      <sz val="2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0"/>
      <name val="Algerian"/>
      <family val="5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</font>
    <font>
      <b/>
      <sz val="16"/>
      <name val="Calibri"/>
      <family val="2"/>
      <scheme val="minor"/>
    </font>
    <font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58223"/>
        <bgColor indexed="64"/>
      </patternFill>
    </fill>
    <fill>
      <patternFill patternType="solid">
        <fgColor theme="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1" fontId="7" fillId="0" borderId="0" applyFont="0" applyFill="0" applyBorder="0" applyAlignment="0" applyProtection="0"/>
  </cellStyleXfs>
  <cellXfs count="105">
    <xf numFmtId="0" fontId="0" fillId="0" borderId="0" xfId="0"/>
    <xf numFmtId="165" fontId="3" fillId="7" borderId="8" xfId="0" applyNumberFormat="1" applyFont="1" applyFill="1" applyBorder="1" applyAlignment="1">
      <alignment horizontal="center" vertical="center"/>
    </xf>
    <xf numFmtId="165" fontId="3" fillId="7" borderId="8" xfId="0" applyNumberFormat="1" applyFont="1" applyFill="1" applyBorder="1" applyAlignment="1">
      <alignment horizontal="center" vertical="center" textRotation="90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41" fontId="0" fillId="0" borderId="1" xfId="1" applyFont="1" applyBorder="1" applyAlignment="1">
      <alignment horizontal="center" vertical="center"/>
    </xf>
    <xf numFmtId="165" fontId="3" fillId="7" borderId="1" xfId="0" applyNumberFormat="1" applyFont="1" applyFill="1" applyBorder="1" applyAlignment="1">
      <alignment horizontal="center" vertical="center"/>
    </xf>
    <xf numFmtId="165" fontId="3" fillId="7" borderId="1" xfId="0" applyNumberFormat="1" applyFont="1" applyFill="1" applyBorder="1" applyAlignment="1">
      <alignment horizontal="center" vertical="center" textRotation="90"/>
    </xf>
    <xf numFmtId="166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14" fontId="0" fillId="0" borderId="0" xfId="0" applyNumberFormat="1"/>
    <xf numFmtId="0" fontId="10" fillId="0" borderId="1" xfId="0" applyFont="1" applyBorder="1" applyAlignment="1">
      <alignment horizontal="center" vertical="center"/>
    </xf>
    <xf numFmtId="0" fontId="10" fillId="0" borderId="0" xfId="0" applyFont="1"/>
    <xf numFmtId="0" fontId="12" fillId="0" borderId="1" xfId="0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0" fontId="14" fillId="0" borderId="1" xfId="0" applyFont="1" applyBorder="1" applyAlignment="1">
      <alignment horizontal="center" vertical="top"/>
    </xf>
    <xf numFmtId="0" fontId="14" fillId="0" borderId="1" xfId="0" applyFont="1" applyBorder="1" applyAlignment="1">
      <alignment horizontal="center" vertical="center"/>
    </xf>
    <xf numFmtId="0" fontId="15" fillId="10" borderId="0" xfId="0" applyFont="1" applyFill="1" applyAlignment="1">
      <alignment vertical="center"/>
    </xf>
    <xf numFmtId="166" fontId="3" fillId="7" borderId="1" xfId="0" applyNumberFormat="1" applyFont="1" applyFill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0" fontId="0" fillId="0" borderId="1" xfId="0" applyBorder="1"/>
    <xf numFmtId="166" fontId="0" fillId="0" borderId="1" xfId="0" applyNumberFormat="1" applyBorder="1"/>
    <xf numFmtId="0" fontId="17" fillId="0" borderId="0" xfId="0" applyFont="1"/>
    <xf numFmtId="14" fontId="6" fillId="0" borderId="0" xfId="0" applyNumberFormat="1" applyFont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166" fontId="2" fillId="9" borderId="1" xfId="0" applyNumberFormat="1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24" fillId="0" borderId="1" xfId="0" applyFont="1" applyBorder="1" applyAlignment="1">
      <alignment horizontal="center" vertical="top"/>
    </xf>
    <xf numFmtId="164" fontId="6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/>
    <xf numFmtId="164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center" vertical="center"/>
    </xf>
    <xf numFmtId="0" fontId="23" fillId="11" borderId="0" xfId="0" applyFont="1" applyFill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2" fillId="7" borderId="7" xfId="0" applyFont="1" applyFill="1" applyBorder="1" applyAlignment="1">
      <alignment horizontal="center" vertical="center" textRotation="90"/>
    </xf>
    <xf numFmtId="0" fontId="2" fillId="7" borderId="10" xfId="0" applyFont="1" applyFill="1" applyBorder="1" applyAlignment="1">
      <alignment horizontal="center" vertical="center" textRotation="90"/>
    </xf>
    <xf numFmtId="0" fontId="2" fillId="7" borderId="7" xfId="0" applyFont="1" applyFill="1" applyBorder="1" applyAlignment="1">
      <alignment horizontal="center" vertical="center" textRotation="90" wrapText="1"/>
    </xf>
    <xf numFmtId="0" fontId="2" fillId="7" borderId="10" xfId="0" applyFont="1" applyFill="1" applyBorder="1" applyAlignment="1">
      <alignment horizontal="center" vertical="center" textRotation="90" wrapText="1"/>
    </xf>
    <xf numFmtId="0" fontId="2" fillId="7" borderId="9" xfId="0" applyFont="1" applyFill="1" applyBorder="1" applyAlignment="1">
      <alignment horizontal="center" vertical="center" textRotation="90"/>
    </xf>
    <xf numFmtId="0" fontId="1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4" fillId="5" borderId="2" xfId="0" applyNumberFormat="1" applyFont="1" applyFill="1" applyBorder="1" applyAlignment="1">
      <alignment horizontal="center" vertical="center"/>
    </xf>
    <xf numFmtId="14" fontId="4" fillId="5" borderId="3" xfId="0" applyNumberFormat="1" applyFont="1" applyFill="1" applyBorder="1" applyAlignment="1">
      <alignment horizontal="center" vertical="center"/>
    </xf>
    <xf numFmtId="14" fontId="4" fillId="5" borderId="4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4" fontId="4" fillId="5" borderId="5" xfId="0" applyNumberFormat="1" applyFont="1" applyFill="1" applyBorder="1" applyAlignment="1">
      <alignment horizontal="center" vertical="center"/>
    </xf>
    <xf numFmtId="14" fontId="4" fillId="5" borderId="6" xfId="0" applyNumberFormat="1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textRotation="90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textRotation="90" wrapText="1"/>
    </xf>
    <xf numFmtId="0" fontId="1" fillId="2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5" fillId="10" borderId="6" xfId="0" applyFont="1" applyFill="1" applyBorder="1" applyAlignment="1">
      <alignment horizontal="center" vertical="center"/>
    </xf>
    <xf numFmtId="0" fontId="16" fillId="10" borderId="7" xfId="0" applyFont="1" applyFill="1" applyBorder="1" applyAlignment="1">
      <alignment horizontal="center" vertical="center"/>
    </xf>
    <xf numFmtId="0" fontId="16" fillId="10" borderId="1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16" fillId="10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11" fillId="7" borderId="0" xfId="0" applyFont="1" applyFill="1" applyAlignment="1">
      <alignment horizontal="center" vertical="center"/>
    </xf>
    <xf numFmtId="44" fontId="22" fillId="0" borderId="0" xfId="0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top"/>
    </xf>
    <xf numFmtId="1" fontId="18" fillId="0" borderId="0" xfId="0" applyNumberFormat="1" applyFont="1"/>
    <xf numFmtId="44" fontId="22" fillId="0" borderId="0" xfId="0" applyNumberFormat="1" applyFont="1" applyAlignment="1">
      <alignment horizontal="right"/>
    </xf>
    <xf numFmtId="168" fontId="22" fillId="0" borderId="0" xfId="0" applyNumberFormat="1" applyFont="1"/>
    <xf numFmtId="0" fontId="9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top"/>
    </xf>
  </cellXfs>
  <cellStyles count="2">
    <cellStyle name="Comma [0]" xfId="1" builtinId="6"/>
    <cellStyle name="Normal" xfId="0" builtinId="0"/>
  </cellStyles>
  <dxfs count="116"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E26B0A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0"/>
      </font>
      <fill>
        <patternFill>
          <bgColor rgb="FFF37F0B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1F0787"/>
        </patternFill>
      </fill>
    </dxf>
    <dxf>
      <font>
        <b/>
        <i val="0"/>
        <color theme="1"/>
      </font>
      <fill>
        <patternFill>
          <bgColor rgb="FFFFFFA3"/>
        </patternFill>
      </fill>
    </dxf>
    <dxf>
      <font>
        <color theme="0"/>
      </font>
      <fill>
        <patternFill>
          <bgColor rgb="FFF545AA"/>
        </patternFill>
      </fill>
    </dxf>
    <dxf>
      <font>
        <color rgb="FFFFFFFF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C8328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E26B0A"/>
      <color rgb="FFF37F0B"/>
      <color rgb="FFFC8328"/>
      <color rgb="FFE4E852"/>
      <color rgb="FFEFF34B"/>
      <color rgb="FFFFFFA3"/>
      <color rgb="FFFFFFFF"/>
      <color rgb="FFF545AA"/>
      <color rgb="FF1F07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0</xdr:row>
      <xdr:rowOff>28575</xdr:rowOff>
    </xdr:from>
    <xdr:to>
      <xdr:col>2</xdr:col>
      <xdr:colOff>523874</xdr:colOff>
      <xdr:row>5</xdr:row>
      <xdr:rowOff>9523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913D9D-571E-447A-A75B-9C65BF0C2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8575"/>
          <a:ext cx="971549" cy="933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2"/>
  <sheetViews>
    <sheetView tabSelected="1" zoomScale="130" zoomScaleNormal="130" workbookViewId="0">
      <pane ySplit="2" topLeftCell="A3" activePane="bottomLeft" state="frozen"/>
      <selection pane="bottomLeft" activeCell="K2" sqref="K2"/>
    </sheetView>
  </sheetViews>
  <sheetFormatPr defaultRowHeight="15" x14ac:dyDescent="0.25"/>
  <cols>
    <col min="1" max="1" width="9.140625" bestFit="1" customWidth="1"/>
    <col min="2" max="2" width="12.28515625" customWidth="1"/>
    <col min="3" max="3" width="9.7109375" bestFit="1" customWidth="1"/>
    <col min="4" max="5" width="15.28515625" bestFit="1" customWidth="1"/>
    <col min="6" max="6" width="15" bestFit="1" customWidth="1"/>
    <col min="7" max="7" width="8.140625" customWidth="1"/>
    <col min="8" max="8" width="6.28515625" bestFit="1" customWidth="1"/>
    <col min="9" max="9" width="5.5703125" bestFit="1" customWidth="1"/>
    <col min="10" max="10" width="12.42578125" customWidth="1"/>
    <col min="11" max="11" width="11.28515625" bestFit="1" customWidth="1"/>
    <col min="12" max="12" width="15.42578125" bestFit="1" customWidth="1"/>
    <col min="13" max="13" width="14.28515625" bestFit="1" customWidth="1"/>
  </cols>
  <sheetData>
    <row r="1" spans="1:17" ht="23.25" x14ac:dyDescent="0.25">
      <c r="A1" s="54" t="s">
        <v>523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</row>
    <row r="2" spans="1:17" ht="56.25" x14ac:dyDescent="0.25">
      <c r="A2" s="44" t="s">
        <v>338</v>
      </c>
      <c r="B2" s="53" t="s">
        <v>375</v>
      </c>
      <c r="C2" s="44" t="s">
        <v>1</v>
      </c>
      <c r="D2" s="44" t="s">
        <v>376</v>
      </c>
      <c r="E2" s="44" t="s">
        <v>2</v>
      </c>
      <c r="F2" s="44" t="s">
        <v>3</v>
      </c>
      <c r="G2" s="53" t="s">
        <v>377</v>
      </c>
      <c r="H2" s="44" t="s">
        <v>4</v>
      </c>
      <c r="I2" s="44" t="s">
        <v>5</v>
      </c>
      <c r="J2" s="53" t="s">
        <v>378</v>
      </c>
      <c r="K2" s="53" t="s">
        <v>379</v>
      </c>
      <c r="L2" s="45" t="s">
        <v>432</v>
      </c>
      <c r="M2" s="45" t="s">
        <v>380</v>
      </c>
    </row>
    <row r="3" spans="1:17" ht="15.75" x14ac:dyDescent="0.25">
      <c r="A3" s="4" t="s">
        <v>6</v>
      </c>
      <c r="B3" s="4" t="s">
        <v>473</v>
      </c>
      <c r="C3" s="4" t="s">
        <v>7</v>
      </c>
      <c r="D3" s="43">
        <v>44760</v>
      </c>
      <c r="E3" s="4" t="s">
        <v>8</v>
      </c>
      <c r="F3" s="4" t="s">
        <v>9</v>
      </c>
      <c r="G3" s="4">
        <v>10000</v>
      </c>
      <c r="H3" s="4">
        <v>4000</v>
      </c>
      <c r="I3" s="4">
        <v>1000</v>
      </c>
      <c r="J3" s="4">
        <v>500</v>
      </c>
      <c r="K3" s="4" t="s">
        <v>25</v>
      </c>
      <c r="L3" s="3">
        <v>69986499952</v>
      </c>
      <c r="M3" s="3" t="s">
        <v>381</v>
      </c>
    </row>
    <row r="4" spans="1:17" ht="15.75" x14ac:dyDescent="0.25">
      <c r="A4" s="4" t="s">
        <v>10</v>
      </c>
      <c r="B4" s="4" t="s">
        <v>474</v>
      </c>
      <c r="C4" s="4" t="s">
        <v>7</v>
      </c>
      <c r="D4" s="43">
        <v>45582</v>
      </c>
      <c r="E4" s="4" t="s">
        <v>11</v>
      </c>
      <c r="F4" s="4" t="s">
        <v>12</v>
      </c>
      <c r="G4" s="4">
        <v>22000</v>
      </c>
      <c r="H4" s="4">
        <v>8800</v>
      </c>
      <c r="I4" s="4">
        <v>2200</v>
      </c>
      <c r="J4" s="4">
        <v>1100</v>
      </c>
      <c r="K4" s="4" t="s">
        <v>29</v>
      </c>
      <c r="L4" s="3">
        <v>47006440804</v>
      </c>
      <c r="M4" s="3" t="s">
        <v>382</v>
      </c>
    </row>
    <row r="5" spans="1:17" ht="15.75" x14ac:dyDescent="0.25">
      <c r="A5" s="4" t="s">
        <v>13</v>
      </c>
      <c r="B5" s="4" t="s">
        <v>475</v>
      </c>
      <c r="C5" s="4" t="s">
        <v>14</v>
      </c>
      <c r="D5" s="43">
        <v>44262</v>
      </c>
      <c r="E5" s="4" t="s">
        <v>11</v>
      </c>
      <c r="F5" s="4" t="s">
        <v>15</v>
      </c>
      <c r="G5" s="4">
        <v>18000</v>
      </c>
      <c r="H5" s="4">
        <v>7200</v>
      </c>
      <c r="I5" s="4">
        <v>1800</v>
      </c>
      <c r="J5" s="4">
        <v>900</v>
      </c>
      <c r="K5" s="4" t="s">
        <v>25</v>
      </c>
      <c r="L5" s="3">
        <v>98375231070</v>
      </c>
      <c r="M5" s="3" t="s">
        <v>383</v>
      </c>
    </row>
    <row r="6" spans="1:17" ht="15.75" x14ac:dyDescent="0.25">
      <c r="A6" s="4" t="s">
        <v>17</v>
      </c>
      <c r="B6" s="4" t="s">
        <v>476</v>
      </c>
      <c r="C6" s="4" t="s">
        <v>7</v>
      </c>
      <c r="D6" s="43">
        <v>45346</v>
      </c>
      <c r="E6" s="4" t="s">
        <v>11</v>
      </c>
      <c r="F6" s="4" t="s">
        <v>15</v>
      </c>
      <c r="G6" s="4">
        <v>12000</v>
      </c>
      <c r="H6" s="4">
        <v>4800</v>
      </c>
      <c r="I6" s="4">
        <v>1200</v>
      </c>
      <c r="J6" s="4">
        <v>600</v>
      </c>
      <c r="K6" s="4" t="s">
        <v>25</v>
      </c>
      <c r="L6" s="3">
        <v>3995806947</v>
      </c>
      <c r="M6" s="3" t="s">
        <v>384</v>
      </c>
    </row>
    <row r="7" spans="1:17" ht="15.75" x14ac:dyDescent="0.25">
      <c r="A7" s="4" t="s">
        <v>18</v>
      </c>
      <c r="B7" s="4" t="s">
        <v>477</v>
      </c>
      <c r="C7" s="4" t="s">
        <v>14</v>
      </c>
      <c r="D7" s="43">
        <v>45403</v>
      </c>
      <c r="E7" s="4" t="s">
        <v>11</v>
      </c>
      <c r="F7" s="4" t="s">
        <v>19</v>
      </c>
      <c r="G7" s="4">
        <v>12000</v>
      </c>
      <c r="H7" s="4">
        <v>4800</v>
      </c>
      <c r="I7" s="4">
        <v>1200</v>
      </c>
      <c r="J7" s="4">
        <v>600</v>
      </c>
      <c r="K7" s="4" t="s">
        <v>16</v>
      </c>
      <c r="L7" s="3">
        <v>63355847415</v>
      </c>
      <c r="M7" s="3" t="s">
        <v>385</v>
      </c>
    </row>
    <row r="8" spans="1:17" ht="15.75" x14ac:dyDescent="0.25">
      <c r="A8" s="4" t="s">
        <v>20</v>
      </c>
      <c r="B8" s="4" t="s">
        <v>478</v>
      </c>
      <c r="C8" s="4" t="s">
        <v>14</v>
      </c>
      <c r="D8" s="43">
        <v>44893</v>
      </c>
      <c r="E8" s="4" t="s">
        <v>21</v>
      </c>
      <c r="F8" s="4" t="s">
        <v>22</v>
      </c>
      <c r="G8" s="4">
        <v>11000</v>
      </c>
      <c r="H8" s="4">
        <v>4400</v>
      </c>
      <c r="I8" s="4">
        <v>1100</v>
      </c>
      <c r="J8" s="4">
        <v>550</v>
      </c>
      <c r="K8" s="4" t="s">
        <v>386</v>
      </c>
      <c r="L8" s="3">
        <v>82002942872</v>
      </c>
      <c r="M8" s="3" t="s">
        <v>387</v>
      </c>
    </row>
    <row r="9" spans="1:17" ht="15.75" x14ac:dyDescent="0.25">
      <c r="A9" s="4" t="s">
        <v>23</v>
      </c>
      <c r="B9" s="4" t="s">
        <v>479</v>
      </c>
      <c r="C9" s="4" t="s">
        <v>7</v>
      </c>
      <c r="D9" s="43">
        <v>44386</v>
      </c>
      <c r="E9" s="4" t="s">
        <v>11</v>
      </c>
      <c r="F9" s="4" t="s">
        <v>19</v>
      </c>
      <c r="G9" s="4">
        <v>13000</v>
      </c>
      <c r="H9" s="4">
        <v>5200</v>
      </c>
      <c r="I9" s="4">
        <v>1300</v>
      </c>
      <c r="J9" s="4">
        <v>650</v>
      </c>
      <c r="K9" s="4" t="s">
        <v>25</v>
      </c>
      <c r="L9" s="3">
        <v>85633147665</v>
      </c>
      <c r="M9" s="3" t="s">
        <v>388</v>
      </c>
    </row>
    <row r="10" spans="1:17" ht="15.75" x14ac:dyDescent="0.25">
      <c r="A10" s="4" t="s">
        <v>24</v>
      </c>
      <c r="B10" s="4" t="s">
        <v>480</v>
      </c>
      <c r="C10" s="4" t="s">
        <v>7</v>
      </c>
      <c r="D10" s="43">
        <v>44285</v>
      </c>
      <c r="E10" s="4" t="s">
        <v>11</v>
      </c>
      <c r="F10" s="4" t="s">
        <v>12</v>
      </c>
      <c r="G10" s="4">
        <v>13000</v>
      </c>
      <c r="H10" s="4">
        <v>5200</v>
      </c>
      <c r="I10" s="4">
        <v>1300</v>
      </c>
      <c r="J10" s="4">
        <v>650</v>
      </c>
      <c r="K10" s="4" t="s">
        <v>386</v>
      </c>
      <c r="L10" s="3">
        <v>24068012276</v>
      </c>
      <c r="M10" s="3" t="s">
        <v>389</v>
      </c>
    </row>
    <row r="11" spans="1:17" ht="15.75" x14ac:dyDescent="0.25">
      <c r="A11" s="4" t="s">
        <v>26</v>
      </c>
      <c r="B11" s="4" t="s">
        <v>481</v>
      </c>
      <c r="C11" s="4" t="s">
        <v>14</v>
      </c>
      <c r="D11" s="43">
        <v>44358</v>
      </c>
      <c r="E11" s="4" t="s">
        <v>27</v>
      </c>
      <c r="F11" s="4" t="s">
        <v>28</v>
      </c>
      <c r="G11" s="4">
        <v>10000</v>
      </c>
      <c r="H11" s="4">
        <v>4000</v>
      </c>
      <c r="I11" s="4">
        <v>1000</v>
      </c>
      <c r="J11" s="4">
        <v>500</v>
      </c>
      <c r="K11" s="4" t="s">
        <v>29</v>
      </c>
      <c r="L11" s="3">
        <v>59938013204</v>
      </c>
      <c r="M11" s="3" t="s">
        <v>390</v>
      </c>
    </row>
    <row r="12" spans="1:17" ht="21" customHeight="1" x14ac:dyDescent="0.4">
      <c r="A12" s="4" t="s">
        <v>30</v>
      </c>
      <c r="B12" s="4" t="s">
        <v>482</v>
      </c>
      <c r="C12" s="4" t="s">
        <v>7</v>
      </c>
      <c r="D12" s="43">
        <v>45379</v>
      </c>
      <c r="E12" s="4" t="s">
        <v>8</v>
      </c>
      <c r="F12" s="4" t="s">
        <v>9</v>
      </c>
      <c r="G12" s="4">
        <v>18000</v>
      </c>
      <c r="H12" s="4">
        <v>7200</v>
      </c>
      <c r="I12" s="4">
        <v>1800</v>
      </c>
      <c r="J12" s="4">
        <v>900</v>
      </c>
      <c r="K12" s="4" t="s">
        <v>16</v>
      </c>
      <c r="L12" s="3">
        <v>61456063735</v>
      </c>
      <c r="M12" s="3" t="s">
        <v>391</v>
      </c>
      <c r="Q12" s="46"/>
    </row>
    <row r="13" spans="1:17" ht="15.75" x14ac:dyDescent="0.25">
      <c r="A13" s="4" t="s">
        <v>31</v>
      </c>
      <c r="B13" s="4" t="s">
        <v>483</v>
      </c>
      <c r="C13" s="4" t="s">
        <v>7</v>
      </c>
      <c r="D13" s="43">
        <v>44789</v>
      </c>
      <c r="E13" s="4" t="s">
        <v>11</v>
      </c>
      <c r="F13" s="4" t="s">
        <v>15</v>
      </c>
      <c r="G13" s="4">
        <v>20000</v>
      </c>
      <c r="H13" s="4">
        <v>8000</v>
      </c>
      <c r="I13" s="4">
        <v>2000</v>
      </c>
      <c r="J13" s="4">
        <v>1000</v>
      </c>
      <c r="K13" s="4" t="s">
        <v>29</v>
      </c>
      <c r="L13" s="3">
        <v>84378327419</v>
      </c>
      <c r="M13" s="3" t="s">
        <v>392</v>
      </c>
    </row>
    <row r="14" spans="1:17" ht="15.75" x14ac:dyDescent="0.25">
      <c r="A14" s="4" t="s">
        <v>32</v>
      </c>
      <c r="B14" s="4" t="s">
        <v>484</v>
      </c>
      <c r="C14" s="4" t="s">
        <v>7</v>
      </c>
      <c r="D14" s="43">
        <v>45125</v>
      </c>
      <c r="E14" s="4" t="s">
        <v>11</v>
      </c>
      <c r="F14" s="4" t="s">
        <v>12</v>
      </c>
      <c r="G14" s="4">
        <v>14000</v>
      </c>
      <c r="H14" s="4">
        <v>5600</v>
      </c>
      <c r="I14" s="4">
        <v>1400</v>
      </c>
      <c r="J14" s="4">
        <v>700</v>
      </c>
      <c r="K14" s="4" t="s">
        <v>29</v>
      </c>
      <c r="L14" s="3">
        <v>82107260087</v>
      </c>
      <c r="M14" s="3" t="s">
        <v>393</v>
      </c>
    </row>
    <row r="15" spans="1:17" ht="15.75" x14ac:dyDescent="0.25">
      <c r="A15" s="4" t="s">
        <v>33</v>
      </c>
      <c r="B15" s="4" t="s">
        <v>485</v>
      </c>
      <c r="C15" s="4" t="s">
        <v>7</v>
      </c>
      <c r="D15" s="43">
        <v>44626</v>
      </c>
      <c r="E15" s="4" t="s">
        <v>11</v>
      </c>
      <c r="F15" s="4" t="s">
        <v>12</v>
      </c>
      <c r="G15" s="4">
        <v>13000</v>
      </c>
      <c r="H15" s="4">
        <v>5200</v>
      </c>
      <c r="I15" s="4">
        <v>1300</v>
      </c>
      <c r="J15" s="4">
        <v>650</v>
      </c>
      <c r="K15" s="4" t="s">
        <v>16</v>
      </c>
      <c r="L15" s="3">
        <v>25230400965</v>
      </c>
      <c r="M15" s="3" t="s">
        <v>394</v>
      </c>
    </row>
    <row r="16" spans="1:17" ht="15.75" x14ac:dyDescent="0.25">
      <c r="A16" s="4" t="s">
        <v>34</v>
      </c>
      <c r="B16" s="4" t="s">
        <v>486</v>
      </c>
      <c r="C16" s="4" t="s">
        <v>7</v>
      </c>
      <c r="D16" s="43">
        <v>45444</v>
      </c>
      <c r="E16" s="4" t="s">
        <v>35</v>
      </c>
      <c r="F16" s="4" t="s">
        <v>36</v>
      </c>
      <c r="G16" s="4">
        <v>20000</v>
      </c>
      <c r="H16" s="4">
        <v>8000</v>
      </c>
      <c r="I16" s="4">
        <v>2000</v>
      </c>
      <c r="J16" s="4">
        <v>1000</v>
      </c>
      <c r="K16" s="4" t="s">
        <v>29</v>
      </c>
      <c r="L16" s="3">
        <v>11601751631</v>
      </c>
      <c r="M16" s="3" t="s">
        <v>395</v>
      </c>
    </row>
    <row r="17" spans="1:13" ht="15.75" x14ac:dyDescent="0.25">
      <c r="A17" s="4" t="s">
        <v>37</v>
      </c>
      <c r="B17" s="4" t="s">
        <v>487</v>
      </c>
      <c r="C17" s="4" t="s">
        <v>7</v>
      </c>
      <c r="D17" s="43">
        <v>45143</v>
      </c>
      <c r="E17" s="4" t="s">
        <v>38</v>
      </c>
      <c r="F17" s="4" t="s">
        <v>39</v>
      </c>
      <c r="G17" s="4">
        <v>12000</v>
      </c>
      <c r="H17" s="4">
        <v>4800</v>
      </c>
      <c r="I17" s="4">
        <v>1200</v>
      </c>
      <c r="J17" s="4">
        <v>600</v>
      </c>
      <c r="K17" s="4" t="s">
        <v>16</v>
      </c>
      <c r="L17" s="3">
        <v>58872214363</v>
      </c>
      <c r="M17" s="3" t="s">
        <v>396</v>
      </c>
    </row>
    <row r="18" spans="1:13" ht="15.75" x14ac:dyDescent="0.25">
      <c r="A18" s="4" t="s">
        <v>40</v>
      </c>
      <c r="B18" s="4" t="s">
        <v>488</v>
      </c>
      <c r="C18" s="4" t="s">
        <v>7</v>
      </c>
      <c r="D18" s="43">
        <v>45599</v>
      </c>
      <c r="E18" s="4" t="s">
        <v>8</v>
      </c>
      <c r="F18" s="4" t="s">
        <v>41</v>
      </c>
      <c r="G18" s="4">
        <v>22000</v>
      </c>
      <c r="H18" s="4">
        <v>8800</v>
      </c>
      <c r="I18" s="4">
        <v>2200</v>
      </c>
      <c r="J18" s="4">
        <v>1100</v>
      </c>
      <c r="K18" s="4" t="s">
        <v>386</v>
      </c>
      <c r="L18" s="3">
        <v>81563563780</v>
      </c>
      <c r="M18" s="3" t="s">
        <v>397</v>
      </c>
    </row>
    <row r="19" spans="1:13" ht="15.75" x14ac:dyDescent="0.25">
      <c r="A19" s="4" t="s">
        <v>42</v>
      </c>
      <c r="B19" s="4" t="s">
        <v>489</v>
      </c>
      <c r="C19" s="4" t="s">
        <v>7</v>
      </c>
      <c r="D19" s="43">
        <v>45018</v>
      </c>
      <c r="E19" s="4" t="s">
        <v>11</v>
      </c>
      <c r="F19" s="4" t="s">
        <v>19</v>
      </c>
      <c r="G19" s="4">
        <v>9000</v>
      </c>
      <c r="H19" s="4">
        <v>3600</v>
      </c>
      <c r="I19" s="4">
        <v>900</v>
      </c>
      <c r="J19" s="4">
        <v>450</v>
      </c>
      <c r="K19" s="4" t="s">
        <v>29</v>
      </c>
      <c r="L19" s="3">
        <v>68941956119</v>
      </c>
      <c r="M19" s="3" t="s">
        <v>398</v>
      </c>
    </row>
    <row r="20" spans="1:13" ht="15.75" x14ac:dyDescent="0.25">
      <c r="A20" s="4" t="s">
        <v>43</v>
      </c>
      <c r="B20" s="4" t="s">
        <v>490</v>
      </c>
      <c r="C20" s="4" t="s">
        <v>7</v>
      </c>
      <c r="D20" s="43">
        <v>44632</v>
      </c>
      <c r="E20" s="4" t="s">
        <v>11</v>
      </c>
      <c r="F20" s="4" t="s">
        <v>12</v>
      </c>
      <c r="G20" s="4">
        <v>18000</v>
      </c>
      <c r="H20" s="4">
        <v>7200</v>
      </c>
      <c r="I20" s="4">
        <v>1800</v>
      </c>
      <c r="J20" s="4">
        <v>900</v>
      </c>
      <c r="K20" s="4" t="s">
        <v>16</v>
      </c>
      <c r="L20" s="3">
        <v>90368266615</v>
      </c>
      <c r="M20" s="3" t="s">
        <v>399</v>
      </c>
    </row>
    <row r="21" spans="1:13" ht="15.75" x14ac:dyDescent="0.25">
      <c r="A21" s="4" t="s">
        <v>44</v>
      </c>
      <c r="B21" s="4" t="s">
        <v>491</v>
      </c>
      <c r="C21" s="4" t="s">
        <v>14</v>
      </c>
      <c r="D21" s="43">
        <v>44489</v>
      </c>
      <c r="E21" s="4" t="s">
        <v>11</v>
      </c>
      <c r="F21" s="4" t="s">
        <v>19</v>
      </c>
      <c r="G21" s="4">
        <v>20000</v>
      </c>
      <c r="H21" s="4">
        <v>8000</v>
      </c>
      <c r="I21" s="4">
        <v>2000</v>
      </c>
      <c r="J21" s="4">
        <v>1000</v>
      </c>
      <c r="K21" s="4" t="s">
        <v>25</v>
      </c>
      <c r="L21" s="3">
        <v>15921514122</v>
      </c>
      <c r="M21" s="3" t="s">
        <v>400</v>
      </c>
    </row>
    <row r="22" spans="1:13" ht="15.75" x14ac:dyDescent="0.25">
      <c r="A22" s="4" t="s">
        <v>45</v>
      </c>
      <c r="B22" s="4" t="s">
        <v>492</v>
      </c>
      <c r="C22" s="4" t="s">
        <v>7</v>
      </c>
      <c r="D22" s="43">
        <v>45394</v>
      </c>
      <c r="E22" s="4" t="s">
        <v>11</v>
      </c>
      <c r="F22" s="4" t="s">
        <v>19</v>
      </c>
      <c r="G22" s="4">
        <v>22000</v>
      </c>
      <c r="H22" s="4">
        <v>8800</v>
      </c>
      <c r="I22" s="4">
        <v>2200</v>
      </c>
      <c r="J22" s="4">
        <v>1100</v>
      </c>
      <c r="K22" s="4" t="s">
        <v>29</v>
      </c>
      <c r="L22" s="3">
        <v>55922067139</v>
      </c>
      <c r="M22" s="3" t="s">
        <v>401</v>
      </c>
    </row>
    <row r="23" spans="1:13" ht="15.75" x14ac:dyDescent="0.25">
      <c r="A23" s="4" t="s">
        <v>46</v>
      </c>
      <c r="B23" s="4" t="s">
        <v>493</v>
      </c>
      <c r="C23" s="4" t="s">
        <v>7</v>
      </c>
      <c r="D23" s="43">
        <v>44480</v>
      </c>
      <c r="E23" s="4" t="s">
        <v>11</v>
      </c>
      <c r="F23" s="4" t="s">
        <v>12</v>
      </c>
      <c r="G23" s="4">
        <v>13000</v>
      </c>
      <c r="H23" s="4">
        <v>5200</v>
      </c>
      <c r="I23" s="4">
        <v>1300</v>
      </c>
      <c r="J23" s="4">
        <v>650</v>
      </c>
      <c r="K23" s="4" t="s">
        <v>386</v>
      </c>
      <c r="L23" s="3">
        <v>67035249824</v>
      </c>
      <c r="M23" s="3" t="s">
        <v>402</v>
      </c>
    </row>
    <row r="24" spans="1:13" ht="15.75" x14ac:dyDescent="0.25">
      <c r="A24" s="4" t="s">
        <v>47</v>
      </c>
      <c r="B24" s="4" t="s">
        <v>494</v>
      </c>
      <c r="C24" s="4" t="s">
        <v>7</v>
      </c>
      <c r="D24" s="43">
        <v>44510</v>
      </c>
      <c r="E24" s="4" t="s">
        <v>11</v>
      </c>
      <c r="F24" s="4" t="s">
        <v>12</v>
      </c>
      <c r="G24" s="4">
        <v>9000</v>
      </c>
      <c r="H24" s="4">
        <v>3600</v>
      </c>
      <c r="I24" s="4">
        <v>900</v>
      </c>
      <c r="J24" s="4">
        <v>450</v>
      </c>
      <c r="K24" s="4" t="s">
        <v>16</v>
      </c>
      <c r="L24" s="3">
        <v>75372238475</v>
      </c>
      <c r="M24" s="3" t="s">
        <v>403</v>
      </c>
    </row>
    <row r="25" spans="1:13" ht="15.75" x14ac:dyDescent="0.25">
      <c r="A25" s="4" t="s">
        <v>48</v>
      </c>
      <c r="B25" s="4" t="s">
        <v>495</v>
      </c>
      <c r="C25" s="4" t="s">
        <v>7</v>
      </c>
      <c r="D25" s="43">
        <v>44985</v>
      </c>
      <c r="E25" s="4" t="s">
        <v>35</v>
      </c>
      <c r="F25" s="4" t="s">
        <v>49</v>
      </c>
      <c r="G25" s="4">
        <v>14000</v>
      </c>
      <c r="H25" s="4">
        <v>5600</v>
      </c>
      <c r="I25" s="4">
        <v>1400</v>
      </c>
      <c r="J25" s="4">
        <v>700</v>
      </c>
      <c r="K25" s="4" t="s">
        <v>29</v>
      </c>
      <c r="L25" s="3">
        <v>27873503702</v>
      </c>
      <c r="M25" s="3" t="s">
        <v>404</v>
      </c>
    </row>
    <row r="26" spans="1:13" ht="15.75" x14ac:dyDescent="0.25">
      <c r="A26" s="4" t="s">
        <v>50</v>
      </c>
      <c r="B26" s="4" t="s">
        <v>496</v>
      </c>
      <c r="C26" s="4" t="s">
        <v>7</v>
      </c>
      <c r="D26" s="43">
        <v>45330</v>
      </c>
      <c r="E26" s="4" t="s">
        <v>11</v>
      </c>
      <c r="F26" s="4" t="s">
        <v>15</v>
      </c>
      <c r="G26" s="4">
        <v>16000</v>
      </c>
      <c r="H26" s="4">
        <v>6400</v>
      </c>
      <c r="I26" s="4">
        <v>1600</v>
      </c>
      <c r="J26" s="4">
        <v>800</v>
      </c>
      <c r="K26" s="4" t="s">
        <v>29</v>
      </c>
      <c r="L26" s="3">
        <v>8183139562</v>
      </c>
      <c r="M26" s="3" t="s">
        <v>405</v>
      </c>
    </row>
    <row r="27" spans="1:13" ht="15.75" x14ac:dyDescent="0.25">
      <c r="A27" s="4" t="s">
        <v>51</v>
      </c>
      <c r="B27" s="4" t="s">
        <v>497</v>
      </c>
      <c r="C27" s="4" t="s">
        <v>7</v>
      </c>
      <c r="D27" s="43">
        <v>45509</v>
      </c>
      <c r="E27" s="4" t="s">
        <v>35</v>
      </c>
      <c r="F27" s="4" t="s">
        <v>49</v>
      </c>
      <c r="G27" s="4">
        <v>16000</v>
      </c>
      <c r="H27" s="4">
        <v>6400</v>
      </c>
      <c r="I27" s="4">
        <v>1600</v>
      </c>
      <c r="J27" s="4">
        <v>800</v>
      </c>
      <c r="K27" s="4" t="s">
        <v>29</v>
      </c>
      <c r="L27" s="3">
        <v>29743668847</v>
      </c>
      <c r="M27" s="3" t="s">
        <v>406</v>
      </c>
    </row>
    <row r="28" spans="1:13" ht="15.75" x14ac:dyDescent="0.25">
      <c r="A28" s="4" t="s">
        <v>52</v>
      </c>
      <c r="B28" s="4" t="s">
        <v>498</v>
      </c>
      <c r="C28" s="4" t="s">
        <v>14</v>
      </c>
      <c r="D28" s="43">
        <v>45126</v>
      </c>
      <c r="E28" s="4" t="s">
        <v>11</v>
      </c>
      <c r="F28" s="4" t="s">
        <v>15</v>
      </c>
      <c r="G28" s="4">
        <v>14000</v>
      </c>
      <c r="H28" s="4">
        <v>5600</v>
      </c>
      <c r="I28" s="4">
        <v>1400</v>
      </c>
      <c r="J28" s="4">
        <v>700</v>
      </c>
      <c r="K28" s="4" t="s">
        <v>386</v>
      </c>
      <c r="L28" s="3">
        <v>90875227496</v>
      </c>
      <c r="M28" s="3" t="s">
        <v>407</v>
      </c>
    </row>
    <row r="29" spans="1:13" ht="15.75" x14ac:dyDescent="0.25">
      <c r="A29" s="4" t="s">
        <v>53</v>
      </c>
      <c r="B29" s="4" t="s">
        <v>499</v>
      </c>
      <c r="C29" s="4" t="s">
        <v>7</v>
      </c>
      <c r="D29" s="43">
        <v>45477</v>
      </c>
      <c r="E29" s="4" t="s">
        <v>27</v>
      </c>
      <c r="F29" s="4" t="s">
        <v>54</v>
      </c>
      <c r="G29" s="4">
        <v>11000</v>
      </c>
      <c r="H29" s="4">
        <v>4400</v>
      </c>
      <c r="I29" s="4">
        <v>1100</v>
      </c>
      <c r="J29" s="4">
        <v>550</v>
      </c>
      <c r="K29" s="4" t="s">
        <v>16</v>
      </c>
      <c r="L29" s="3">
        <v>47993127615</v>
      </c>
      <c r="M29" s="3" t="s">
        <v>408</v>
      </c>
    </row>
    <row r="30" spans="1:13" ht="15.75" x14ac:dyDescent="0.25">
      <c r="A30" s="4" t="s">
        <v>55</v>
      </c>
      <c r="B30" s="4" t="s">
        <v>500</v>
      </c>
      <c r="C30" s="4" t="s">
        <v>7</v>
      </c>
      <c r="D30" s="43">
        <v>44962</v>
      </c>
      <c r="E30" s="4" t="s">
        <v>8</v>
      </c>
      <c r="F30" s="4" t="s">
        <v>9</v>
      </c>
      <c r="G30" s="4">
        <v>12000</v>
      </c>
      <c r="H30" s="4">
        <v>4800</v>
      </c>
      <c r="I30" s="4">
        <v>1200</v>
      </c>
      <c r="J30" s="4">
        <v>600</v>
      </c>
      <c r="K30" s="4" t="s">
        <v>25</v>
      </c>
      <c r="L30" s="3">
        <v>83811866056</v>
      </c>
      <c r="M30" s="3" t="s">
        <v>409</v>
      </c>
    </row>
    <row r="31" spans="1:13" ht="15.75" x14ac:dyDescent="0.25">
      <c r="A31" s="4" t="s">
        <v>56</v>
      </c>
      <c r="B31" s="4" t="s">
        <v>501</v>
      </c>
      <c r="C31" s="4" t="s">
        <v>7</v>
      </c>
      <c r="D31" s="43">
        <v>45423</v>
      </c>
      <c r="E31" s="4" t="s">
        <v>57</v>
      </c>
      <c r="F31" s="4" t="s">
        <v>58</v>
      </c>
      <c r="G31" s="4">
        <v>16000</v>
      </c>
      <c r="H31" s="4">
        <v>6400</v>
      </c>
      <c r="I31" s="4">
        <v>1600</v>
      </c>
      <c r="J31" s="4">
        <v>800</v>
      </c>
      <c r="K31" s="4" t="s">
        <v>25</v>
      </c>
      <c r="L31" s="3">
        <v>55153807403</v>
      </c>
      <c r="M31" s="3" t="s">
        <v>410</v>
      </c>
    </row>
    <row r="32" spans="1:13" ht="15.75" x14ac:dyDescent="0.25">
      <c r="A32" s="4" t="s">
        <v>59</v>
      </c>
      <c r="B32" s="4" t="s">
        <v>502</v>
      </c>
      <c r="C32" s="4" t="s">
        <v>7</v>
      </c>
      <c r="D32" s="43">
        <v>44826</v>
      </c>
      <c r="E32" s="4" t="s">
        <v>11</v>
      </c>
      <c r="F32" s="4" t="s">
        <v>15</v>
      </c>
      <c r="G32" s="4">
        <v>10000</v>
      </c>
      <c r="H32" s="4">
        <v>4000</v>
      </c>
      <c r="I32" s="4">
        <v>1000</v>
      </c>
      <c r="J32" s="4">
        <v>500</v>
      </c>
      <c r="K32" s="4" t="s">
        <v>25</v>
      </c>
      <c r="L32" s="3">
        <v>5146155442</v>
      </c>
      <c r="M32" s="3" t="s">
        <v>411</v>
      </c>
    </row>
    <row r="33" spans="1:13" ht="15.75" x14ac:dyDescent="0.25">
      <c r="A33" s="4" t="s">
        <v>60</v>
      </c>
      <c r="B33" s="4" t="s">
        <v>503</v>
      </c>
      <c r="C33" s="4" t="s">
        <v>7</v>
      </c>
      <c r="D33" s="43">
        <v>44372</v>
      </c>
      <c r="E33" s="4" t="s">
        <v>11</v>
      </c>
      <c r="F33" s="4" t="s">
        <v>12</v>
      </c>
      <c r="G33" s="4">
        <v>18000</v>
      </c>
      <c r="H33" s="4">
        <v>7200</v>
      </c>
      <c r="I33" s="4">
        <v>1800</v>
      </c>
      <c r="J33" s="4">
        <v>900</v>
      </c>
      <c r="K33" s="4" t="s">
        <v>16</v>
      </c>
      <c r="L33" s="3">
        <v>99160552118</v>
      </c>
      <c r="M33" s="3" t="s">
        <v>412</v>
      </c>
    </row>
    <row r="34" spans="1:13" ht="15.75" x14ac:dyDescent="0.25">
      <c r="A34" s="4" t="s">
        <v>61</v>
      </c>
      <c r="B34" s="4" t="s">
        <v>504</v>
      </c>
      <c r="C34" s="4" t="s">
        <v>7</v>
      </c>
      <c r="D34" s="43">
        <v>44459</v>
      </c>
      <c r="E34" s="4" t="s">
        <v>11</v>
      </c>
      <c r="F34" s="4" t="s">
        <v>12</v>
      </c>
      <c r="G34" s="4">
        <v>16000</v>
      </c>
      <c r="H34" s="4">
        <v>6400</v>
      </c>
      <c r="I34" s="4">
        <v>1600</v>
      </c>
      <c r="J34" s="4">
        <v>800</v>
      </c>
      <c r="K34" s="4" t="s">
        <v>25</v>
      </c>
      <c r="L34" s="3">
        <v>46463799694</v>
      </c>
      <c r="M34" s="3" t="s">
        <v>413</v>
      </c>
    </row>
    <row r="35" spans="1:13" ht="15.75" x14ac:dyDescent="0.25">
      <c r="A35" s="4" t="s">
        <v>62</v>
      </c>
      <c r="B35" s="4" t="s">
        <v>505</v>
      </c>
      <c r="C35" s="4" t="s">
        <v>7</v>
      </c>
      <c r="D35" s="43">
        <v>45277</v>
      </c>
      <c r="E35" s="4" t="s">
        <v>27</v>
      </c>
      <c r="F35" s="4" t="s">
        <v>28</v>
      </c>
      <c r="G35" s="4">
        <v>11000</v>
      </c>
      <c r="H35" s="4">
        <v>4400</v>
      </c>
      <c r="I35" s="4">
        <v>1100</v>
      </c>
      <c r="J35" s="4">
        <v>550</v>
      </c>
      <c r="K35" s="4" t="s">
        <v>386</v>
      </c>
      <c r="L35" s="3">
        <v>54614928592</v>
      </c>
      <c r="M35" s="3" t="s">
        <v>414</v>
      </c>
    </row>
    <row r="36" spans="1:13" ht="15.75" x14ac:dyDescent="0.25">
      <c r="A36" s="4" t="s">
        <v>63</v>
      </c>
      <c r="B36" s="4" t="s">
        <v>506</v>
      </c>
      <c r="C36" s="4" t="s">
        <v>7</v>
      </c>
      <c r="D36" s="43">
        <v>45657</v>
      </c>
      <c r="E36" s="4" t="s">
        <v>11</v>
      </c>
      <c r="F36" s="4" t="s">
        <v>19</v>
      </c>
      <c r="G36" s="4">
        <v>16000</v>
      </c>
      <c r="H36" s="4">
        <v>6400</v>
      </c>
      <c r="I36" s="4">
        <v>1600</v>
      </c>
      <c r="J36" s="4">
        <v>800</v>
      </c>
      <c r="K36" s="4" t="s">
        <v>16</v>
      </c>
      <c r="L36" s="3">
        <v>63273059046</v>
      </c>
      <c r="M36" s="3" t="s">
        <v>415</v>
      </c>
    </row>
    <row r="37" spans="1:13" ht="15.75" x14ac:dyDescent="0.25">
      <c r="A37" s="4" t="s">
        <v>64</v>
      </c>
      <c r="B37" s="4" t="s">
        <v>507</v>
      </c>
      <c r="C37" s="4" t="s">
        <v>7</v>
      </c>
      <c r="D37" s="43">
        <v>45094</v>
      </c>
      <c r="E37" s="4" t="s">
        <v>35</v>
      </c>
      <c r="F37" s="4" t="s">
        <v>49</v>
      </c>
      <c r="G37" s="4">
        <v>20000</v>
      </c>
      <c r="H37" s="4">
        <v>8000</v>
      </c>
      <c r="I37" s="4">
        <v>2000</v>
      </c>
      <c r="J37" s="4">
        <v>1000</v>
      </c>
      <c r="K37" s="4" t="s">
        <v>29</v>
      </c>
      <c r="L37" s="3">
        <v>51310226085</v>
      </c>
      <c r="M37" s="3" t="s">
        <v>416</v>
      </c>
    </row>
    <row r="38" spans="1:13" ht="15.75" x14ac:dyDescent="0.25">
      <c r="A38" s="4" t="s">
        <v>65</v>
      </c>
      <c r="B38" s="4" t="s">
        <v>508</v>
      </c>
      <c r="C38" s="4" t="s">
        <v>7</v>
      </c>
      <c r="D38" s="43">
        <v>44889</v>
      </c>
      <c r="E38" s="4" t="s">
        <v>11</v>
      </c>
      <c r="F38" s="4" t="s">
        <v>15</v>
      </c>
      <c r="G38" s="4">
        <v>12000</v>
      </c>
      <c r="H38" s="4">
        <v>4800</v>
      </c>
      <c r="I38" s="4">
        <v>1200</v>
      </c>
      <c r="J38" s="4">
        <v>600</v>
      </c>
      <c r="K38" s="4" t="s">
        <v>386</v>
      </c>
      <c r="L38" s="3">
        <v>32211948115</v>
      </c>
      <c r="M38" s="3" t="s">
        <v>417</v>
      </c>
    </row>
    <row r="39" spans="1:13" ht="15.75" x14ac:dyDescent="0.25">
      <c r="A39" s="4" t="s">
        <v>66</v>
      </c>
      <c r="B39" s="4" t="s">
        <v>509</v>
      </c>
      <c r="C39" s="4" t="s">
        <v>7</v>
      </c>
      <c r="D39" s="43">
        <v>44211</v>
      </c>
      <c r="E39" s="4" t="s">
        <v>27</v>
      </c>
      <c r="F39" s="4" t="s">
        <v>67</v>
      </c>
      <c r="G39" s="4">
        <v>12000</v>
      </c>
      <c r="H39" s="4">
        <v>4800</v>
      </c>
      <c r="I39" s="4">
        <v>1200</v>
      </c>
      <c r="J39" s="4">
        <v>600</v>
      </c>
      <c r="K39" s="4" t="s">
        <v>29</v>
      </c>
      <c r="L39" s="3">
        <v>91354050294</v>
      </c>
      <c r="M39" s="3" t="s">
        <v>418</v>
      </c>
    </row>
    <row r="40" spans="1:13" ht="15.75" x14ac:dyDescent="0.25">
      <c r="A40" s="4" t="s">
        <v>68</v>
      </c>
      <c r="B40" s="4" t="s">
        <v>510</v>
      </c>
      <c r="C40" s="4" t="s">
        <v>7</v>
      </c>
      <c r="D40" s="43">
        <v>44873</v>
      </c>
      <c r="E40" s="4" t="s">
        <v>11</v>
      </c>
      <c r="F40" s="4" t="s">
        <v>15</v>
      </c>
      <c r="G40" s="4">
        <v>10000</v>
      </c>
      <c r="H40" s="4">
        <v>4000</v>
      </c>
      <c r="I40" s="4">
        <v>1000</v>
      </c>
      <c r="J40" s="4">
        <v>500</v>
      </c>
      <c r="K40" s="4" t="s">
        <v>25</v>
      </c>
      <c r="L40" s="3">
        <v>94959740423</v>
      </c>
      <c r="M40" s="3" t="s">
        <v>419</v>
      </c>
    </row>
    <row r="41" spans="1:13" ht="15.75" x14ac:dyDescent="0.25">
      <c r="A41" s="4" t="s">
        <v>69</v>
      </c>
      <c r="B41" s="4" t="s">
        <v>511</v>
      </c>
      <c r="C41" s="4" t="s">
        <v>7</v>
      </c>
      <c r="D41" s="43">
        <v>44635</v>
      </c>
      <c r="E41" s="4" t="s">
        <v>11</v>
      </c>
      <c r="F41" s="4" t="s">
        <v>12</v>
      </c>
      <c r="G41" s="4">
        <v>12500</v>
      </c>
      <c r="H41" s="4">
        <v>5000</v>
      </c>
      <c r="I41" s="4">
        <v>1250</v>
      </c>
      <c r="J41" s="4">
        <v>625</v>
      </c>
      <c r="K41" s="4" t="s">
        <v>386</v>
      </c>
      <c r="L41" s="3">
        <v>76415599587</v>
      </c>
      <c r="M41" s="3" t="s">
        <v>420</v>
      </c>
    </row>
    <row r="42" spans="1:13" ht="15.75" x14ac:dyDescent="0.25">
      <c r="A42" s="4" t="s">
        <v>70</v>
      </c>
      <c r="B42" s="4" t="s">
        <v>512</v>
      </c>
      <c r="C42" s="4" t="s">
        <v>14</v>
      </c>
      <c r="D42" s="43">
        <v>44694</v>
      </c>
      <c r="E42" s="4" t="s">
        <v>38</v>
      </c>
      <c r="F42" s="4" t="s">
        <v>39</v>
      </c>
      <c r="G42" s="4">
        <v>18000</v>
      </c>
      <c r="H42" s="4">
        <v>7200</v>
      </c>
      <c r="I42" s="4">
        <v>1800</v>
      </c>
      <c r="J42" s="4">
        <v>900</v>
      </c>
      <c r="K42" s="4" t="s">
        <v>16</v>
      </c>
      <c r="L42" s="3">
        <v>70465472547</v>
      </c>
      <c r="M42" s="3" t="s">
        <v>421</v>
      </c>
    </row>
    <row r="43" spans="1:13" ht="15.75" x14ac:dyDescent="0.25">
      <c r="A43" s="4" t="s">
        <v>71</v>
      </c>
      <c r="B43" s="4" t="s">
        <v>513</v>
      </c>
      <c r="C43" s="4" t="s">
        <v>7</v>
      </c>
      <c r="D43" s="43">
        <v>45546</v>
      </c>
      <c r="E43" s="4" t="s">
        <v>11</v>
      </c>
      <c r="F43" s="4" t="s">
        <v>19</v>
      </c>
      <c r="G43" s="4">
        <v>10000</v>
      </c>
      <c r="H43" s="4">
        <v>4000</v>
      </c>
      <c r="I43" s="4">
        <v>1000</v>
      </c>
      <c r="J43" s="4">
        <v>500</v>
      </c>
      <c r="K43" s="4" t="s">
        <v>386</v>
      </c>
      <c r="L43" s="3">
        <v>37918899533</v>
      </c>
      <c r="M43" s="3" t="s">
        <v>422</v>
      </c>
    </row>
    <row r="44" spans="1:13" ht="15.75" x14ac:dyDescent="0.25">
      <c r="A44" s="4" t="s">
        <v>72</v>
      </c>
      <c r="B44" s="4" t="s">
        <v>514</v>
      </c>
      <c r="C44" s="4" t="s">
        <v>14</v>
      </c>
      <c r="D44" s="43">
        <v>45690</v>
      </c>
      <c r="E44" s="4" t="s">
        <v>11</v>
      </c>
      <c r="F44" s="4" t="s">
        <v>15</v>
      </c>
      <c r="G44" s="4">
        <v>14000</v>
      </c>
      <c r="H44" s="4">
        <v>5600</v>
      </c>
      <c r="I44" s="4">
        <v>1400</v>
      </c>
      <c r="J44" s="4">
        <v>700</v>
      </c>
      <c r="K44" s="4" t="s">
        <v>29</v>
      </c>
      <c r="L44" s="3">
        <v>54566875540</v>
      </c>
      <c r="M44" s="3" t="s">
        <v>423</v>
      </c>
    </row>
    <row r="45" spans="1:13" ht="15.75" x14ac:dyDescent="0.25">
      <c r="A45" s="4" t="s">
        <v>73</v>
      </c>
      <c r="B45" s="4" t="s">
        <v>515</v>
      </c>
      <c r="C45" s="4" t="s">
        <v>14</v>
      </c>
      <c r="D45" s="43">
        <v>44420</v>
      </c>
      <c r="E45" s="4" t="s">
        <v>11</v>
      </c>
      <c r="F45" s="4" t="s">
        <v>15</v>
      </c>
      <c r="G45" s="4">
        <v>14000</v>
      </c>
      <c r="H45" s="4">
        <v>5600</v>
      </c>
      <c r="I45" s="4">
        <v>1400</v>
      </c>
      <c r="J45" s="4">
        <v>700</v>
      </c>
      <c r="K45" s="4" t="s">
        <v>16</v>
      </c>
      <c r="L45" s="3">
        <v>88879207649</v>
      </c>
      <c r="M45" s="3" t="s">
        <v>424</v>
      </c>
    </row>
    <row r="46" spans="1:13" ht="15.75" x14ac:dyDescent="0.25">
      <c r="A46" s="4" t="s">
        <v>74</v>
      </c>
      <c r="B46" s="4" t="s">
        <v>516</v>
      </c>
      <c r="C46" s="4" t="s">
        <v>14</v>
      </c>
      <c r="D46" s="43">
        <v>44484</v>
      </c>
      <c r="E46" s="4" t="s">
        <v>11</v>
      </c>
      <c r="F46" s="4" t="s">
        <v>19</v>
      </c>
      <c r="G46" s="4">
        <v>16000</v>
      </c>
      <c r="H46" s="4">
        <v>6400</v>
      </c>
      <c r="I46" s="4">
        <v>1600</v>
      </c>
      <c r="J46" s="4">
        <v>800</v>
      </c>
      <c r="K46" s="4" t="s">
        <v>386</v>
      </c>
      <c r="L46" s="3">
        <v>69389188406</v>
      </c>
      <c r="M46" s="3" t="s">
        <v>425</v>
      </c>
    </row>
    <row r="47" spans="1:13" ht="15.75" x14ac:dyDescent="0.25">
      <c r="A47" s="4" t="s">
        <v>75</v>
      </c>
      <c r="B47" s="4" t="s">
        <v>517</v>
      </c>
      <c r="C47" s="4" t="s">
        <v>14</v>
      </c>
      <c r="D47" s="43">
        <v>44351</v>
      </c>
      <c r="E47" s="4" t="s">
        <v>11</v>
      </c>
      <c r="F47" s="4" t="s">
        <v>19</v>
      </c>
      <c r="G47" s="4">
        <v>15000</v>
      </c>
      <c r="H47" s="4">
        <v>6000</v>
      </c>
      <c r="I47" s="4">
        <v>1500</v>
      </c>
      <c r="J47" s="4">
        <v>750</v>
      </c>
      <c r="K47" s="4" t="s">
        <v>386</v>
      </c>
      <c r="L47" s="3">
        <v>99385259541</v>
      </c>
      <c r="M47" s="3" t="s">
        <v>426</v>
      </c>
    </row>
    <row r="48" spans="1:13" ht="15.75" x14ac:dyDescent="0.25">
      <c r="A48" s="4" t="s">
        <v>76</v>
      </c>
      <c r="B48" s="4" t="s">
        <v>518</v>
      </c>
      <c r="C48" s="4" t="s">
        <v>14</v>
      </c>
      <c r="D48" s="43">
        <v>44388</v>
      </c>
      <c r="E48" s="4" t="s">
        <v>11</v>
      </c>
      <c r="F48" s="4" t="s">
        <v>15</v>
      </c>
      <c r="G48" s="4">
        <v>9000</v>
      </c>
      <c r="H48" s="4">
        <v>3600</v>
      </c>
      <c r="I48" s="4">
        <v>900</v>
      </c>
      <c r="J48" s="4">
        <v>450</v>
      </c>
      <c r="K48" s="4" t="s">
        <v>386</v>
      </c>
      <c r="L48" s="3">
        <v>99161543673</v>
      </c>
      <c r="M48" s="3" t="s">
        <v>427</v>
      </c>
    </row>
    <row r="49" spans="1:13" ht="15.75" x14ac:dyDescent="0.25">
      <c r="A49" s="4" t="s">
        <v>77</v>
      </c>
      <c r="B49" s="4" t="s">
        <v>519</v>
      </c>
      <c r="C49" s="4" t="s">
        <v>7</v>
      </c>
      <c r="D49" s="43">
        <v>44634</v>
      </c>
      <c r="E49" s="4" t="s">
        <v>11</v>
      </c>
      <c r="F49" s="4" t="s">
        <v>19</v>
      </c>
      <c r="G49" s="4">
        <v>15000</v>
      </c>
      <c r="H49" s="4">
        <v>6000</v>
      </c>
      <c r="I49" s="4">
        <v>1500</v>
      </c>
      <c r="J49" s="4">
        <v>750</v>
      </c>
      <c r="K49" s="4" t="s">
        <v>386</v>
      </c>
      <c r="L49" s="3">
        <v>4382675</v>
      </c>
      <c r="M49" s="3" t="s">
        <v>428</v>
      </c>
    </row>
    <row r="50" spans="1:13" ht="15.75" x14ac:dyDescent="0.25">
      <c r="A50" s="4" t="s">
        <v>78</v>
      </c>
      <c r="B50" s="4" t="s">
        <v>520</v>
      </c>
      <c r="C50" s="4" t="s">
        <v>14</v>
      </c>
      <c r="D50" s="43">
        <v>44996</v>
      </c>
      <c r="E50" s="4" t="s">
        <v>11</v>
      </c>
      <c r="F50" s="4" t="s">
        <v>19</v>
      </c>
      <c r="G50" s="4">
        <v>14000</v>
      </c>
      <c r="H50" s="4">
        <v>5600</v>
      </c>
      <c r="I50" s="4">
        <v>1400</v>
      </c>
      <c r="J50" s="4">
        <v>700</v>
      </c>
      <c r="K50" s="4" t="s">
        <v>16</v>
      </c>
      <c r="L50" s="3">
        <v>90792737025</v>
      </c>
      <c r="M50" s="3" t="s">
        <v>429</v>
      </c>
    </row>
    <row r="51" spans="1:13" ht="15.75" x14ac:dyDescent="0.25">
      <c r="A51" s="4" t="s">
        <v>79</v>
      </c>
      <c r="B51" s="4" t="s">
        <v>521</v>
      </c>
      <c r="C51" s="4" t="s">
        <v>14</v>
      </c>
      <c r="D51" s="43">
        <v>44514</v>
      </c>
      <c r="E51" s="4" t="s">
        <v>11</v>
      </c>
      <c r="F51" s="4" t="s">
        <v>15</v>
      </c>
      <c r="G51" s="4">
        <v>14000</v>
      </c>
      <c r="H51" s="4">
        <v>5600</v>
      </c>
      <c r="I51" s="4">
        <v>1400</v>
      </c>
      <c r="J51" s="4">
        <v>700</v>
      </c>
      <c r="K51" s="4" t="s">
        <v>29</v>
      </c>
      <c r="L51" s="3">
        <v>81092342911</v>
      </c>
      <c r="M51" s="3" t="s">
        <v>430</v>
      </c>
    </row>
    <row r="52" spans="1:13" ht="15.75" x14ac:dyDescent="0.25">
      <c r="A52" s="4" t="s">
        <v>80</v>
      </c>
      <c r="B52" s="4" t="s">
        <v>522</v>
      </c>
      <c r="C52" s="4" t="s">
        <v>14</v>
      </c>
      <c r="D52" s="43">
        <v>44839</v>
      </c>
      <c r="E52" s="4" t="s">
        <v>11</v>
      </c>
      <c r="F52" s="4" t="s">
        <v>15</v>
      </c>
      <c r="G52" s="4">
        <v>9000</v>
      </c>
      <c r="H52" s="4">
        <v>3600</v>
      </c>
      <c r="I52" s="4">
        <v>900</v>
      </c>
      <c r="J52" s="4">
        <v>450</v>
      </c>
      <c r="K52" s="4" t="s">
        <v>386</v>
      </c>
      <c r="L52" s="3">
        <v>68916662609</v>
      </c>
      <c r="M52" s="3" t="s">
        <v>431</v>
      </c>
    </row>
  </sheetData>
  <mergeCells count="1">
    <mergeCell ref="A1:M1"/>
  </mergeCells>
  <phoneticPr fontId="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7590C-ED42-4E2C-B6A1-A79AB1013EDC}">
  <sheetPr codeName="Sheet2"/>
  <dimension ref="A1:Q110"/>
  <sheetViews>
    <sheetView zoomScale="130" zoomScaleNormal="130" workbookViewId="0">
      <selection activeCell="E3" sqref="E3"/>
    </sheetView>
  </sheetViews>
  <sheetFormatPr defaultRowHeight="15.75" x14ac:dyDescent="0.25"/>
  <cols>
    <col min="1" max="1" width="9.42578125" style="11" bestFit="1" customWidth="1"/>
    <col min="2" max="3" width="18.5703125" style="50" bestFit="1" customWidth="1"/>
    <col min="4" max="4" width="6.7109375" style="11" bestFit="1" customWidth="1"/>
    <col min="5" max="5" width="7" style="11" bestFit="1" customWidth="1"/>
    <col min="6" max="6" width="9.140625" style="11"/>
    <col min="7" max="7" width="9.42578125" style="11" bestFit="1" customWidth="1"/>
    <col min="8" max="9" width="3.85546875" style="11" bestFit="1" customWidth="1"/>
    <col min="10" max="10" width="3.7109375" style="11" bestFit="1" customWidth="1"/>
    <col min="11" max="11" width="7" style="11" bestFit="1" customWidth="1"/>
    <col min="12" max="12" width="10.140625" style="11" bestFit="1" customWidth="1"/>
    <col min="14" max="14" width="9.42578125" bestFit="1" customWidth="1"/>
    <col min="15" max="15" width="13.42578125" bestFit="1" customWidth="1"/>
    <col min="16" max="16" width="13.5703125" bestFit="1" customWidth="1"/>
    <col min="17" max="17" width="6.7109375" bestFit="1" customWidth="1"/>
  </cols>
  <sheetData>
    <row r="1" spans="1:17" s="32" customFormat="1" ht="26.25" x14ac:dyDescent="0.35">
      <c r="A1" s="55" t="s">
        <v>536</v>
      </c>
      <c r="B1" s="55"/>
      <c r="C1" s="55"/>
      <c r="D1" s="55"/>
      <c r="E1" s="55"/>
      <c r="F1" s="52"/>
      <c r="G1" s="55" t="s">
        <v>538</v>
      </c>
      <c r="H1" s="55"/>
      <c r="I1" s="55"/>
      <c r="J1" s="55"/>
      <c r="K1" s="55"/>
      <c r="L1" s="55"/>
      <c r="N1" s="55" t="s">
        <v>537</v>
      </c>
      <c r="O1" s="55"/>
      <c r="P1" s="55"/>
      <c r="Q1" s="55"/>
    </row>
    <row r="2" spans="1:17" ht="18.75" x14ac:dyDescent="0.3">
      <c r="A2" s="48" t="s">
        <v>354</v>
      </c>
      <c r="B2" s="51" t="s">
        <v>531</v>
      </c>
      <c r="C2" s="51" t="s">
        <v>532</v>
      </c>
      <c r="D2" s="48" t="s">
        <v>533</v>
      </c>
      <c r="E2" s="48" t="s">
        <v>534</v>
      </c>
      <c r="F2" s="48"/>
      <c r="G2" s="48" t="s">
        <v>354</v>
      </c>
      <c r="H2" s="48" t="s">
        <v>530</v>
      </c>
      <c r="I2" s="48" t="s">
        <v>528</v>
      </c>
      <c r="J2" s="48" t="s">
        <v>529</v>
      </c>
      <c r="K2" s="48" t="s">
        <v>535</v>
      </c>
      <c r="L2" s="48" t="s">
        <v>210</v>
      </c>
      <c r="N2" s="19" t="s">
        <v>354</v>
      </c>
      <c r="O2" s="19" t="s">
        <v>527</v>
      </c>
      <c r="P2" s="19" t="s">
        <v>526</v>
      </c>
      <c r="Q2" s="19" t="s">
        <v>81</v>
      </c>
    </row>
    <row r="3" spans="1:17" x14ac:dyDescent="0.25">
      <c r="A3" s="14" t="s">
        <v>6</v>
      </c>
      <c r="B3" s="49">
        <v>46193</v>
      </c>
      <c r="C3" s="49">
        <v>46193</v>
      </c>
      <c r="D3" s="14" t="s">
        <v>529</v>
      </c>
      <c r="E3" s="11">
        <f>IF(OR(B3="",C3=""),0,NETWORKDAYS.INTL(lentry!B3,lentry!C3,11)-SUMIFS(holly!$C$3:$C$17,HOLLYDAY,"&gt;="&amp;lentry!B3,HOLLYDAY,"&lt;="&amp;lentry!C3))</f>
        <v>1</v>
      </c>
      <c r="G3" s="11" t="s">
        <v>6</v>
      </c>
      <c r="H3" s="11">
        <v>18</v>
      </c>
      <c r="I3" s="11">
        <v>12</v>
      </c>
      <c r="J3" s="11">
        <v>8</v>
      </c>
      <c r="K3" s="11">
        <f t="shared" ref="K3:K34" si="0">SUMIF($A$3:$A$300,G3,$E$3:$E$300)</f>
        <v>7</v>
      </c>
      <c r="L3" s="11">
        <f>H3+I3+J3-K3</f>
        <v>31</v>
      </c>
      <c r="N3" s="14" t="s">
        <v>6</v>
      </c>
      <c r="O3" s="47">
        <v>46193</v>
      </c>
      <c r="P3" s="14" t="s">
        <v>529</v>
      </c>
      <c r="Q3" s="14">
        <v>1</v>
      </c>
    </row>
    <row r="4" spans="1:17" x14ac:dyDescent="0.25">
      <c r="A4" s="14" t="s">
        <v>6</v>
      </c>
      <c r="B4" s="49">
        <v>46080</v>
      </c>
      <c r="C4" s="49">
        <v>46080</v>
      </c>
      <c r="D4" s="14" t="s">
        <v>530</v>
      </c>
      <c r="E4" s="11">
        <f>IF(OR(B4="",C4=""),0,NETWORKDAYS.INTL(lentry!B4,lentry!C4,11)-SUMIFS(holly!$C$3:$C$17,HOLLYDAY,"&gt;="&amp;lentry!B4,HOLLYDAY,"&lt;="&amp;lentry!C4))</f>
        <v>1</v>
      </c>
      <c r="G4" s="11" t="s">
        <v>10</v>
      </c>
      <c r="H4" s="11">
        <v>18</v>
      </c>
      <c r="I4" s="11">
        <v>12</v>
      </c>
      <c r="J4" s="11">
        <v>8</v>
      </c>
      <c r="K4" s="11">
        <f t="shared" si="0"/>
        <v>3</v>
      </c>
      <c r="L4" s="11">
        <f t="shared" ref="L4:L52" si="1">H4+I4+J4-K4</f>
        <v>35</v>
      </c>
      <c r="N4" s="14" t="s">
        <v>6</v>
      </c>
      <c r="O4" s="47">
        <v>46080</v>
      </c>
      <c r="P4" s="14" t="s">
        <v>530</v>
      </c>
      <c r="Q4" s="14">
        <v>1</v>
      </c>
    </row>
    <row r="5" spans="1:17" x14ac:dyDescent="0.25">
      <c r="A5" s="14" t="s">
        <v>6</v>
      </c>
      <c r="B5" s="49">
        <v>46203</v>
      </c>
      <c r="C5" s="49">
        <v>46204</v>
      </c>
      <c r="D5" s="14" t="s">
        <v>530</v>
      </c>
      <c r="E5" s="11">
        <f>IF(OR(B5="",C5=""),0,NETWORKDAYS.INTL(lentry!B5,lentry!C5,11)-SUMIFS(holly!$C$3:$C$17,HOLLYDAY,"&gt;="&amp;lentry!B5,HOLLYDAY,"&lt;="&amp;lentry!C5))</f>
        <v>2</v>
      </c>
      <c r="G5" s="11" t="s">
        <v>13</v>
      </c>
      <c r="H5" s="11">
        <v>18</v>
      </c>
      <c r="I5" s="11">
        <v>12</v>
      </c>
      <c r="J5" s="11">
        <v>8</v>
      </c>
      <c r="K5" s="11">
        <f t="shared" si="0"/>
        <v>5</v>
      </c>
      <c r="L5" s="11">
        <f t="shared" si="1"/>
        <v>33</v>
      </c>
      <c r="N5" s="14" t="s">
        <v>6</v>
      </c>
      <c r="O5" s="47">
        <v>46203</v>
      </c>
      <c r="P5" s="14" t="s">
        <v>530</v>
      </c>
      <c r="Q5" s="14">
        <v>2</v>
      </c>
    </row>
    <row r="6" spans="1:17" x14ac:dyDescent="0.25">
      <c r="A6" s="14" t="s">
        <v>6</v>
      </c>
      <c r="B6" s="49">
        <v>46385</v>
      </c>
      <c r="C6" s="49">
        <v>46385</v>
      </c>
      <c r="D6" s="14" t="s">
        <v>528</v>
      </c>
      <c r="E6" s="11">
        <f>IF(OR(B6="",C6=""),0,NETWORKDAYS.INTL(lentry!B6,lentry!C6,11)-SUMIFS(holly!$C$3:$C$17,HOLLYDAY,"&gt;="&amp;lentry!B6,HOLLYDAY,"&lt;="&amp;lentry!C6))</f>
        <v>1</v>
      </c>
      <c r="G6" s="11" t="s">
        <v>17</v>
      </c>
      <c r="H6" s="11">
        <v>18</v>
      </c>
      <c r="I6" s="11">
        <v>12</v>
      </c>
      <c r="J6" s="11">
        <v>8</v>
      </c>
      <c r="K6" s="11">
        <f t="shared" si="0"/>
        <v>3</v>
      </c>
      <c r="L6" s="11">
        <f t="shared" si="1"/>
        <v>35</v>
      </c>
      <c r="N6" s="14" t="s">
        <v>6</v>
      </c>
      <c r="O6" s="47">
        <v>46385</v>
      </c>
      <c r="P6" s="14" t="s">
        <v>528</v>
      </c>
      <c r="Q6" s="14">
        <v>1</v>
      </c>
    </row>
    <row r="7" spans="1:17" x14ac:dyDescent="0.25">
      <c r="A7" s="14" t="s">
        <v>10</v>
      </c>
      <c r="B7" s="49">
        <v>46299</v>
      </c>
      <c r="C7" s="49">
        <v>46299</v>
      </c>
      <c r="D7" s="14" t="s">
        <v>530</v>
      </c>
      <c r="E7" s="11">
        <f>IF(OR(B7="",C7=""),0,NETWORKDAYS.INTL(lentry!B7,lentry!C7,11)-SUMIFS(holly!$C$3:$C$17,HOLLYDAY,"&gt;="&amp;lentry!B7,HOLLYDAY,"&lt;="&amp;lentry!C7))</f>
        <v>0</v>
      </c>
      <c r="G7" s="11" t="s">
        <v>18</v>
      </c>
      <c r="H7" s="11">
        <v>18</v>
      </c>
      <c r="I7" s="11">
        <v>12</v>
      </c>
      <c r="J7" s="11">
        <v>8</v>
      </c>
      <c r="K7" s="11">
        <f t="shared" si="0"/>
        <v>3</v>
      </c>
      <c r="L7" s="11">
        <f t="shared" si="1"/>
        <v>35</v>
      </c>
      <c r="N7" s="14" t="s">
        <v>10</v>
      </c>
      <c r="O7" s="47">
        <v>46299</v>
      </c>
      <c r="P7" s="14" t="s">
        <v>530</v>
      </c>
      <c r="Q7" s="14">
        <v>1</v>
      </c>
    </row>
    <row r="8" spans="1:17" x14ac:dyDescent="0.25">
      <c r="A8" s="14" t="s">
        <v>10</v>
      </c>
      <c r="B8" s="49">
        <v>46276</v>
      </c>
      <c r="C8" s="49">
        <v>46276</v>
      </c>
      <c r="D8" s="14" t="s">
        <v>84</v>
      </c>
      <c r="E8" s="11">
        <f>IF(OR(B8="",C8=""),0,NETWORKDAYS.INTL(lentry!B8,lentry!C8,11)-SUMIFS(holly!$C$3:$C$17,HOLLYDAY,"&gt;="&amp;lentry!B8,HOLLYDAY,"&lt;="&amp;lentry!C8))</f>
        <v>1</v>
      </c>
      <c r="G8" s="11" t="s">
        <v>20</v>
      </c>
      <c r="H8" s="11">
        <v>18</v>
      </c>
      <c r="I8" s="11">
        <v>12</v>
      </c>
      <c r="J8" s="11">
        <v>8</v>
      </c>
      <c r="K8" s="11">
        <f t="shared" si="0"/>
        <v>2</v>
      </c>
      <c r="L8" s="11">
        <f t="shared" si="1"/>
        <v>36</v>
      </c>
      <c r="N8" s="14" t="s">
        <v>10</v>
      </c>
      <c r="O8" s="47">
        <v>46276</v>
      </c>
      <c r="P8" s="14" t="s">
        <v>84</v>
      </c>
      <c r="Q8" s="14">
        <v>1</v>
      </c>
    </row>
    <row r="9" spans="1:17" x14ac:dyDescent="0.25">
      <c r="A9" s="14" t="s">
        <v>10</v>
      </c>
      <c r="B9" s="49">
        <v>46070</v>
      </c>
      <c r="C9" s="49">
        <v>46071</v>
      </c>
      <c r="D9" s="14" t="s">
        <v>530</v>
      </c>
      <c r="E9" s="11">
        <f>IF(OR(B9="",C9=""),0,NETWORKDAYS.INTL(lentry!B9,lentry!C9,11)-SUMIFS(holly!$C$3:$C$17,HOLLYDAY,"&gt;="&amp;lentry!B9,HOLLYDAY,"&lt;="&amp;lentry!C9))</f>
        <v>2</v>
      </c>
      <c r="G9" s="11" t="s">
        <v>23</v>
      </c>
      <c r="H9" s="11">
        <v>18</v>
      </c>
      <c r="I9" s="11">
        <v>12</v>
      </c>
      <c r="J9" s="11">
        <v>8</v>
      </c>
      <c r="K9" s="11">
        <f t="shared" si="0"/>
        <v>6</v>
      </c>
      <c r="L9" s="11">
        <f t="shared" si="1"/>
        <v>32</v>
      </c>
      <c r="N9" s="14" t="s">
        <v>10</v>
      </c>
      <c r="O9" s="47">
        <v>46070</v>
      </c>
      <c r="P9" s="14" t="s">
        <v>530</v>
      </c>
      <c r="Q9" s="14">
        <v>2</v>
      </c>
    </row>
    <row r="10" spans="1:17" x14ac:dyDescent="0.25">
      <c r="A10" s="14" t="s">
        <v>13</v>
      </c>
      <c r="B10" s="49">
        <v>46212</v>
      </c>
      <c r="C10" s="49">
        <v>46213</v>
      </c>
      <c r="D10" s="14" t="s">
        <v>528</v>
      </c>
      <c r="E10" s="11">
        <f>IF(OR(B10="",C10=""),0,NETWORKDAYS.INTL(lentry!B10,lentry!C10,11)-SUMIFS(holly!$C$3:$C$17,HOLLYDAY,"&gt;="&amp;lentry!B10,HOLLYDAY,"&lt;="&amp;lentry!C10))</f>
        <v>2</v>
      </c>
      <c r="G10" s="11" t="s">
        <v>24</v>
      </c>
      <c r="H10" s="11">
        <v>18</v>
      </c>
      <c r="I10" s="11">
        <v>12</v>
      </c>
      <c r="J10" s="11">
        <v>8</v>
      </c>
      <c r="K10" s="11">
        <f t="shared" si="0"/>
        <v>3</v>
      </c>
      <c r="L10" s="11">
        <f t="shared" si="1"/>
        <v>35</v>
      </c>
      <c r="N10" s="14" t="s">
        <v>13</v>
      </c>
      <c r="O10" s="47">
        <v>46212</v>
      </c>
      <c r="P10" s="14" t="s">
        <v>528</v>
      </c>
      <c r="Q10" s="14">
        <v>1</v>
      </c>
    </row>
    <row r="11" spans="1:17" x14ac:dyDescent="0.25">
      <c r="A11" s="14" t="s">
        <v>13</v>
      </c>
      <c r="B11" s="49">
        <v>46263</v>
      </c>
      <c r="C11" s="49">
        <v>46264</v>
      </c>
      <c r="D11" s="14" t="s">
        <v>530</v>
      </c>
      <c r="E11" s="11">
        <f>IF(OR(B11="",C11=""),0,NETWORKDAYS.INTL(lentry!B11,lentry!C11,11)-SUMIFS(holly!$C$3:$C$17,HOLLYDAY,"&gt;="&amp;lentry!B11,HOLLYDAY,"&lt;="&amp;lentry!C11))</f>
        <v>1</v>
      </c>
      <c r="G11" s="11" t="s">
        <v>26</v>
      </c>
      <c r="H11" s="11">
        <v>18</v>
      </c>
      <c r="I11" s="11">
        <v>12</v>
      </c>
      <c r="J11" s="11">
        <v>8</v>
      </c>
      <c r="K11" s="11">
        <f t="shared" si="0"/>
        <v>3</v>
      </c>
      <c r="L11" s="11">
        <f t="shared" si="1"/>
        <v>35</v>
      </c>
      <c r="N11" s="14" t="s">
        <v>13</v>
      </c>
      <c r="O11" s="47">
        <v>46263</v>
      </c>
      <c r="P11" s="14" t="s">
        <v>530</v>
      </c>
      <c r="Q11" s="14">
        <v>2</v>
      </c>
    </row>
    <row r="12" spans="1:17" x14ac:dyDescent="0.25">
      <c r="A12" s="14" t="s">
        <v>13</v>
      </c>
      <c r="B12" s="49">
        <v>46385</v>
      </c>
      <c r="C12" s="49">
        <v>46385</v>
      </c>
      <c r="D12" s="14" t="s">
        <v>528</v>
      </c>
      <c r="E12" s="11">
        <f>IF(OR(B12="",C12=""),0,NETWORKDAYS.INTL(lentry!B12,lentry!C12,11)-SUMIFS(holly!$C$3:$C$17,HOLLYDAY,"&gt;="&amp;lentry!B12,HOLLYDAY,"&lt;="&amp;lentry!C12))</f>
        <v>1</v>
      </c>
      <c r="G12" s="11" t="s">
        <v>30</v>
      </c>
      <c r="H12" s="11">
        <v>18</v>
      </c>
      <c r="I12" s="11">
        <v>12</v>
      </c>
      <c r="J12" s="11">
        <v>8</v>
      </c>
      <c r="K12" s="11">
        <f t="shared" si="0"/>
        <v>3</v>
      </c>
      <c r="L12" s="11">
        <f t="shared" si="1"/>
        <v>35</v>
      </c>
      <c r="N12" s="14" t="s">
        <v>13</v>
      </c>
      <c r="O12" s="47">
        <v>46385</v>
      </c>
      <c r="P12" s="14" t="s">
        <v>528</v>
      </c>
      <c r="Q12" s="14">
        <v>1</v>
      </c>
    </row>
    <row r="13" spans="1:17" x14ac:dyDescent="0.25">
      <c r="A13" s="14" t="s">
        <v>13</v>
      </c>
      <c r="B13" s="49">
        <v>46200</v>
      </c>
      <c r="C13" s="49">
        <v>46200</v>
      </c>
      <c r="D13" s="14" t="s">
        <v>528</v>
      </c>
      <c r="E13" s="11">
        <f>IF(OR(B13="",C13=""),0,NETWORKDAYS.INTL(lentry!B13,lentry!C13,11)-SUMIFS(holly!$C$3:$C$17,HOLLYDAY,"&gt;="&amp;lentry!B13,HOLLYDAY,"&lt;="&amp;lentry!C13))</f>
        <v>1</v>
      </c>
      <c r="G13" s="11" t="s">
        <v>31</v>
      </c>
      <c r="H13" s="11">
        <v>18</v>
      </c>
      <c r="I13" s="11">
        <v>12</v>
      </c>
      <c r="J13" s="11">
        <v>8</v>
      </c>
      <c r="K13" s="11">
        <f t="shared" si="0"/>
        <v>0</v>
      </c>
      <c r="L13" s="11">
        <f t="shared" si="1"/>
        <v>38</v>
      </c>
      <c r="N13" s="14" t="s">
        <v>13</v>
      </c>
      <c r="O13" s="47">
        <v>46200</v>
      </c>
      <c r="P13" s="14" t="s">
        <v>528</v>
      </c>
      <c r="Q13" s="14">
        <v>1</v>
      </c>
    </row>
    <row r="14" spans="1:17" x14ac:dyDescent="0.25">
      <c r="A14" s="14" t="s">
        <v>17</v>
      </c>
      <c r="B14" s="49">
        <v>46070</v>
      </c>
      <c r="C14" s="49">
        <v>46070</v>
      </c>
      <c r="D14" s="14" t="s">
        <v>529</v>
      </c>
      <c r="E14" s="11">
        <f>IF(OR(B14="",C14=""),0,NETWORKDAYS.INTL(lentry!B14,lentry!C14,11)-SUMIFS(holly!$C$3:$C$17,HOLLYDAY,"&gt;="&amp;lentry!B14,HOLLYDAY,"&lt;="&amp;lentry!C14))</f>
        <v>1</v>
      </c>
      <c r="G14" s="11" t="s">
        <v>32</v>
      </c>
      <c r="H14" s="11">
        <v>18</v>
      </c>
      <c r="I14" s="11">
        <v>12</v>
      </c>
      <c r="J14" s="11">
        <v>8</v>
      </c>
      <c r="K14" s="11">
        <f t="shared" si="0"/>
        <v>1</v>
      </c>
      <c r="L14" s="11">
        <f t="shared" si="1"/>
        <v>37</v>
      </c>
      <c r="N14" s="14" t="s">
        <v>17</v>
      </c>
      <c r="O14" s="47">
        <v>46070</v>
      </c>
      <c r="P14" s="14" t="s">
        <v>529</v>
      </c>
      <c r="Q14" s="14">
        <v>1</v>
      </c>
    </row>
    <row r="15" spans="1:17" x14ac:dyDescent="0.25">
      <c r="A15" s="14" t="s">
        <v>17</v>
      </c>
      <c r="B15" s="49">
        <v>46128</v>
      </c>
      <c r="C15" s="49">
        <v>46129</v>
      </c>
      <c r="D15" s="14" t="s">
        <v>84</v>
      </c>
      <c r="E15" s="11">
        <f>IF(OR(B15="",C15=""),0,NETWORKDAYS.INTL(lentry!B15,lentry!C15,11)-SUMIFS(holly!$C$3:$C$17,HOLLYDAY,"&gt;="&amp;lentry!B15,HOLLYDAY,"&lt;="&amp;lentry!C15))</f>
        <v>2</v>
      </c>
      <c r="G15" s="11" t="s">
        <v>33</v>
      </c>
      <c r="H15" s="11">
        <v>18</v>
      </c>
      <c r="I15" s="11">
        <v>12</v>
      </c>
      <c r="J15" s="11">
        <v>8</v>
      </c>
      <c r="K15" s="11">
        <f t="shared" si="0"/>
        <v>4</v>
      </c>
      <c r="L15" s="11">
        <f t="shared" si="1"/>
        <v>34</v>
      </c>
      <c r="N15" s="14" t="s">
        <v>17</v>
      </c>
      <c r="O15" s="47">
        <v>46128</v>
      </c>
      <c r="P15" s="14" t="s">
        <v>84</v>
      </c>
      <c r="Q15" s="14">
        <v>2</v>
      </c>
    </row>
    <row r="16" spans="1:17" x14ac:dyDescent="0.25">
      <c r="A16" s="14" t="s">
        <v>17</v>
      </c>
      <c r="B16" s="49">
        <v>46306</v>
      </c>
      <c r="C16" s="49">
        <v>46306</v>
      </c>
      <c r="D16" s="14" t="s">
        <v>530</v>
      </c>
      <c r="E16" s="11">
        <f>IF(OR(B16="",C16=""),0,NETWORKDAYS.INTL(lentry!B16,lentry!C16,11)-SUMIFS(holly!$C$3:$C$17,HOLLYDAY,"&gt;="&amp;lentry!B16,HOLLYDAY,"&lt;="&amp;lentry!C16))</f>
        <v>0</v>
      </c>
      <c r="G16" s="11" t="s">
        <v>34</v>
      </c>
      <c r="H16" s="11">
        <v>18</v>
      </c>
      <c r="I16" s="11">
        <v>12</v>
      </c>
      <c r="J16" s="11">
        <v>8</v>
      </c>
      <c r="K16" s="11">
        <f t="shared" si="0"/>
        <v>4</v>
      </c>
      <c r="L16" s="11">
        <f t="shared" si="1"/>
        <v>34</v>
      </c>
      <c r="N16" s="14" t="s">
        <v>17</v>
      </c>
      <c r="O16" s="47">
        <v>46306</v>
      </c>
      <c r="P16" s="14" t="s">
        <v>530</v>
      </c>
      <c r="Q16" s="14">
        <v>1</v>
      </c>
    </row>
    <row r="17" spans="1:17" x14ac:dyDescent="0.25">
      <c r="A17" s="14" t="s">
        <v>18</v>
      </c>
      <c r="B17" s="49">
        <v>46368</v>
      </c>
      <c r="C17" s="49">
        <v>46369</v>
      </c>
      <c r="D17" s="14" t="s">
        <v>84</v>
      </c>
      <c r="E17" s="11">
        <f>IF(OR(B17="",C17=""),0,NETWORKDAYS.INTL(lentry!B17,lentry!C17,11)-SUMIFS(holly!$C$3:$C$17,HOLLYDAY,"&gt;="&amp;lentry!B17,HOLLYDAY,"&lt;="&amp;lentry!C17))</f>
        <v>1</v>
      </c>
      <c r="G17" s="11" t="s">
        <v>37</v>
      </c>
      <c r="H17" s="11">
        <v>18</v>
      </c>
      <c r="I17" s="11">
        <v>12</v>
      </c>
      <c r="J17" s="11">
        <v>8</v>
      </c>
      <c r="K17" s="11">
        <f t="shared" si="0"/>
        <v>1</v>
      </c>
      <c r="L17" s="11">
        <f t="shared" si="1"/>
        <v>37</v>
      </c>
      <c r="N17" s="14" t="s">
        <v>18</v>
      </c>
      <c r="O17" s="47">
        <v>46368</v>
      </c>
      <c r="P17" s="14" t="s">
        <v>84</v>
      </c>
      <c r="Q17" s="14">
        <v>2</v>
      </c>
    </row>
    <row r="18" spans="1:17" x14ac:dyDescent="0.25">
      <c r="A18" s="14" t="s">
        <v>18</v>
      </c>
      <c r="B18" s="49">
        <v>46148</v>
      </c>
      <c r="C18" s="49">
        <v>46148</v>
      </c>
      <c r="D18" s="14" t="s">
        <v>528</v>
      </c>
      <c r="E18" s="11">
        <f>IF(OR(B18="",C18=""),0,NETWORKDAYS.INTL(lentry!B18,lentry!C18,11)-SUMIFS(holly!$C$3:$C$17,HOLLYDAY,"&gt;="&amp;lentry!B18,HOLLYDAY,"&lt;="&amp;lentry!C18))</f>
        <v>1</v>
      </c>
      <c r="G18" s="11" t="s">
        <v>40</v>
      </c>
      <c r="H18" s="11">
        <v>18</v>
      </c>
      <c r="I18" s="11">
        <v>12</v>
      </c>
      <c r="J18" s="11">
        <v>8</v>
      </c>
      <c r="K18" s="11">
        <f t="shared" si="0"/>
        <v>2</v>
      </c>
      <c r="L18" s="11">
        <f t="shared" si="1"/>
        <v>36</v>
      </c>
      <c r="N18" s="14" t="s">
        <v>18</v>
      </c>
      <c r="O18" s="47">
        <v>46148</v>
      </c>
      <c r="P18" s="14" t="s">
        <v>528</v>
      </c>
      <c r="Q18" s="14">
        <v>1</v>
      </c>
    </row>
    <row r="19" spans="1:17" x14ac:dyDescent="0.25">
      <c r="A19" s="14" t="s">
        <v>18</v>
      </c>
      <c r="B19" s="49">
        <v>46235</v>
      </c>
      <c r="C19" s="49">
        <v>46236</v>
      </c>
      <c r="D19" s="14" t="s">
        <v>528</v>
      </c>
      <c r="E19" s="11">
        <f>IF(OR(B19="",C19=""),0,NETWORKDAYS.INTL(lentry!B19,lentry!C19,11)-SUMIFS(holly!$C$3:$C$17,HOLLYDAY,"&gt;="&amp;lentry!B19,HOLLYDAY,"&lt;="&amp;lentry!C19))</f>
        <v>1</v>
      </c>
      <c r="G19" s="11" t="s">
        <v>42</v>
      </c>
      <c r="H19" s="11">
        <v>18</v>
      </c>
      <c r="I19" s="11">
        <v>12</v>
      </c>
      <c r="J19" s="11">
        <v>8</v>
      </c>
      <c r="K19" s="11">
        <f t="shared" si="0"/>
        <v>0</v>
      </c>
      <c r="L19" s="11">
        <f t="shared" si="1"/>
        <v>38</v>
      </c>
      <c r="N19" s="14" t="s">
        <v>18</v>
      </c>
      <c r="O19" s="47">
        <v>46235</v>
      </c>
      <c r="P19" s="14" t="s">
        <v>528</v>
      </c>
      <c r="Q19" s="14">
        <v>2</v>
      </c>
    </row>
    <row r="20" spans="1:17" x14ac:dyDescent="0.25">
      <c r="A20" s="14" t="s">
        <v>20</v>
      </c>
      <c r="B20" s="49">
        <v>46237</v>
      </c>
      <c r="C20" s="49">
        <v>46238</v>
      </c>
      <c r="D20" s="14" t="s">
        <v>529</v>
      </c>
      <c r="E20" s="11">
        <f>IF(OR(B20="",C20=""),0,NETWORKDAYS.INTL(lentry!B20,lentry!C20,11)-SUMIFS(holly!$C$3:$C$17,HOLLYDAY,"&gt;="&amp;lentry!B20,HOLLYDAY,"&lt;="&amp;lentry!C20))</f>
        <v>2</v>
      </c>
      <c r="G20" s="11" t="s">
        <v>43</v>
      </c>
      <c r="H20" s="11">
        <v>18</v>
      </c>
      <c r="I20" s="11">
        <v>12</v>
      </c>
      <c r="J20" s="11">
        <v>8</v>
      </c>
      <c r="K20" s="11">
        <f t="shared" si="0"/>
        <v>1</v>
      </c>
      <c r="L20" s="11">
        <f t="shared" si="1"/>
        <v>37</v>
      </c>
      <c r="N20" s="14" t="s">
        <v>20</v>
      </c>
      <c r="O20" s="47">
        <v>46237</v>
      </c>
      <c r="P20" s="14" t="s">
        <v>529</v>
      </c>
      <c r="Q20" s="14">
        <v>1</v>
      </c>
    </row>
    <row r="21" spans="1:17" x14ac:dyDescent="0.25">
      <c r="A21" s="14" t="s">
        <v>23</v>
      </c>
      <c r="B21" s="49">
        <v>46328</v>
      </c>
      <c r="C21" s="49">
        <v>46328</v>
      </c>
      <c r="D21" s="14" t="s">
        <v>528</v>
      </c>
      <c r="E21" s="11">
        <f>IF(OR(B21="",C21=""),0,NETWORKDAYS.INTL(lentry!B21,lentry!C21,11)-SUMIFS(holly!$C$3:$C$17,HOLLYDAY,"&gt;="&amp;lentry!B21,HOLLYDAY,"&lt;="&amp;lentry!C21))</f>
        <v>1</v>
      </c>
      <c r="G21" s="11" t="s">
        <v>44</v>
      </c>
      <c r="H21" s="11">
        <v>18</v>
      </c>
      <c r="I21" s="11">
        <v>12</v>
      </c>
      <c r="J21" s="11">
        <v>8</v>
      </c>
      <c r="K21" s="11">
        <f t="shared" si="0"/>
        <v>2</v>
      </c>
      <c r="L21" s="11">
        <f t="shared" si="1"/>
        <v>36</v>
      </c>
      <c r="N21" s="14" t="s">
        <v>23</v>
      </c>
      <c r="O21" s="47">
        <v>46328</v>
      </c>
      <c r="P21" s="14" t="s">
        <v>528</v>
      </c>
      <c r="Q21" s="14">
        <v>1</v>
      </c>
    </row>
    <row r="22" spans="1:17" x14ac:dyDescent="0.25">
      <c r="A22" s="14" t="s">
        <v>23</v>
      </c>
      <c r="B22" s="49">
        <v>46319</v>
      </c>
      <c r="C22" s="49">
        <v>46319</v>
      </c>
      <c r="D22" s="14" t="s">
        <v>530</v>
      </c>
      <c r="E22" s="11">
        <f>IF(OR(B22="",C22=""),0,NETWORKDAYS.INTL(lentry!B22,lentry!C22,11)-SUMIFS(holly!$C$3:$C$17,HOLLYDAY,"&gt;="&amp;lentry!B22,HOLLYDAY,"&lt;="&amp;lentry!C22))</f>
        <v>1</v>
      </c>
      <c r="G22" s="11" t="s">
        <v>45</v>
      </c>
      <c r="H22" s="11">
        <v>18</v>
      </c>
      <c r="I22" s="11">
        <v>12</v>
      </c>
      <c r="J22" s="11">
        <v>8</v>
      </c>
      <c r="K22" s="11">
        <f t="shared" si="0"/>
        <v>4</v>
      </c>
      <c r="L22" s="11">
        <f t="shared" si="1"/>
        <v>34</v>
      </c>
      <c r="N22" s="14" t="s">
        <v>23</v>
      </c>
      <c r="O22" s="47">
        <v>46319</v>
      </c>
      <c r="P22" s="14" t="s">
        <v>530</v>
      </c>
      <c r="Q22" s="14">
        <v>1</v>
      </c>
    </row>
    <row r="23" spans="1:17" x14ac:dyDescent="0.25">
      <c r="A23" s="14" t="s">
        <v>23</v>
      </c>
      <c r="B23" s="49">
        <v>46244</v>
      </c>
      <c r="C23" s="49">
        <v>46245</v>
      </c>
      <c r="D23" s="14" t="s">
        <v>84</v>
      </c>
      <c r="E23" s="11">
        <f>IF(OR(B23="",C23=""),0,NETWORKDAYS.INTL(lentry!B23,lentry!C23,11)-SUMIFS(holly!$C$3:$C$17,HOLLYDAY,"&gt;="&amp;lentry!B23,HOLLYDAY,"&lt;="&amp;lentry!C23))</f>
        <v>2</v>
      </c>
      <c r="G23" s="11" t="s">
        <v>46</v>
      </c>
      <c r="H23" s="11">
        <v>18</v>
      </c>
      <c r="I23" s="11">
        <v>12</v>
      </c>
      <c r="J23" s="11">
        <v>8</v>
      </c>
      <c r="K23" s="11">
        <f t="shared" si="0"/>
        <v>1</v>
      </c>
      <c r="L23" s="11">
        <f t="shared" si="1"/>
        <v>37</v>
      </c>
      <c r="N23" s="14" t="s">
        <v>23</v>
      </c>
      <c r="O23" s="47">
        <v>46244</v>
      </c>
      <c r="P23" s="14" t="s">
        <v>84</v>
      </c>
      <c r="Q23" s="14">
        <v>2</v>
      </c>
    </row>
    <row r="24" spans="1:17" x14ac:dyDescent="0.25">
      <c r="A24" s="14" t="s">
        <v>23</v>
      </c>
      <c r="B24" s="49">
        <v>46029</v>
      </c>
      <c r="C24" s="49">
        <v>46030</v>
      </c>
      <c r="D24" s="14" t="s">
        <v>528</v>
      </c>
      <c r="E24" s="11">
        <f>IF(OR(B24="",C24=""),0,NETWORKDAYS.INTL(lentry!B24,lentry!C24,11)-SUMIFS(holly!$C$3:$C$17,HOLLYDAY,"&gt;="&amp;lentry!B24,HOLLYDAY,"&lt;="&amp;lentry!C24))</f>
        <v>2</v>
      </c>
      <c r="G24" s="11" t="s">
        <v>47</v>
      </c>
      <c r="H24" s="11">
        <v>18</v>
      </c>
      <c r="I24" s="11">
        <v>12</v>
      </c>
      <c r="J24" s="11">
        <v>8</v>
      </c>
      <c r="K24" s="11">
        <f t="shared" si="0"/>
        <v>4</v>
      </c>
      <c r="L24" s="11">
        <f t="shared" si="1"/>
        <v>34</v>
      </c>
      <c r="N24" s="14" t="s">
        <v>23</v>
      </c>
      <c r="O24" s="47">
        <v>46029</v>
      </c>
      <c r="P24" s="14" t="s">
        <v>528</v>
      </c>
      <c r="Q24" s="14">
        <v>2</v>
      </c>
    </row>
    <row r="25" spans="1:17" x14ac:dyDescent="0.25">
      <c r="A25" s="14" t="s">
        <v>24</v>
      </c>
      <c r="B25" s="49">
        <v>46077</v>
      </c>
      <c r="C25" s="49">
        <v>46077</v>
      </c>
      <c r="D25" s="14" t="s">
        <v>529</v>
      </c>
      <c r="E25" s="11">
        <f>IF(OR(B25="",C25=""),0,NETWORKDAYS.INTL(lentry!B25,lentry!C25,11)-SUMIFS(holly!$C$3:$C$17,HOLLYDAY,"&gt;="&amp;lentry!B25,HOLLYDAY,"&lt;="&amp;lentry!C25))</f>
        <v>1</v>
      </c>
      <c r="G25" s="11" t="s">
        <v>48</v>
      </c>
      <c r="H25" s="11">
        <v>18</v>
      </c>
      <c r="I25" s="11">
        <v>12</v>
      </c>
      <c r="J25" s="11">
        <v>8</v>
      </c>
      <c r="K25" s="11">
        <f t="shared" si="0"/>
        <v>0</v>
      </c>
      <c r="L25" s="11">
        <f t="shared" si="1"/>
        <v>38</v>
      </c>
      <c r="N25" s="14" t="s">
        <v>24</v>
      </c>
      <c r="O25" s="47">
        <v>46077</v>
      </c>
      <c r="P25" s="14" t="s">
        <v>529</v>
      </c>
      <c r="Q25" s="14">
        <v>1</v>
      </c>
    </row>
    <row r="26" spans="1:17" x14ac:dyDescent="0.25">
      <c r="A26" s="14" t="s">
        <v>24</v>
      </c>
      <c r="B26" s="49">
        <v>46156</v>
      </c>
      <c r="C26" s="49">
        <v>46156</v>
      </c>
      <c r="D26" s="14" t="s">
        <v>530</v>
      </c>
      <c r="E26" s="11">
        <f>IF(OR(B26="",C26=""),0,NETWORKDAYS.INTL(lentry!B26,lentry!C26,11)-SUMIFS(holly!$C$3:$C$17,HOLLYDAY,"&gt;="&amp;lentry!B26,HOLLYDAY,"&lt;="&amp;lentry!C26))</f>
        <v>1</v>
      </c>
      <c r="G26" s="11" t="s">
        <v>50</v>
      </c>
      <c r="H26" s="11">
        <v>18</v>
      </c>
      <c r="I26" s="11">
        <v>12</v>
      </c>
      <c r="J26" s="11">
        <v>8</v>
      </c>
      <c r="K26" s="11">
        <f t="shared" si="0"/>
        <v>0</v>
      </c>
      <c r="L26" s="11">
        <f t="shared" si="1"/>
        <v>38</v>
      </c>
      <c r="N26" s="14" t="s">
        <v>24</v>
      </c>
      <c r="O26" s="47">
        <v>46156</v>
      </c>
      <c r="P26" s="14" t="s">
        <v>530</v>
      </c>
      <c r="Q26" s="14">
        <v>1</v>
      </c>
    </row>
    <row r="27" spans="1:17" x14ac:dyDescent="0.25">
      <c r="A27" s="14" t="s">
        <v>24</v>
      </c>
      <c r="B27" s="49">
        <v>46121</v>
      </c>
      <c r="C27" s="49">
        <v>46121</v>
      </c>
      <c r="D27" s="14" t="s">
        <v>530</v>
      </c>
      <c r="E27" s="11">
        <f>IF(OR(B27="",C27=""),0,NETWORKDAYS.INTL(lentry!B27,lentry!C27,11)-SUMIFS(holly!$C$3:$C$17,HOLLYDAY,"&gt;="&amp;lentry!B27,HOLLYDAY,"&lt;="&amp;lentry!C27))</f>
        <v>1</v>
      </c>
      <c r="G27" s="11" t="s">
        <v>51</v>
      </c>
      <c r="H27" s="11">
        <v>18</v>
      </c>
      <c r="I27" s="11">
        <v>12</v>
      </c>
      <c r="J27" s="11">
        <v>8</v>
      </c>
      <c r="K27" s="11">
        <f t="shared" si="0"/>
        <v>0</v>
      </c>
      <c r="L27" s="11">
        <f t="shared" si="1"/>
        <v>38</v>
      </c>
      <c r="N27" s="14" t="s">
        <v>24</v>
      </c>
      <c r="O27" s="47">
        <v>46121</v>
      </c>
      <c r="P27" s="14" t="s">
        <v>530</v>
      </c>
      <c r="Q27" s="14">
        <v>1</v>
      </c>
    </row>
    <row r="28" spans="1:17" x14ac:dyDescent="0.25">
      <c r="A28" s="14" t="s">
        <v>26</v>
      </c>
      <c r="B28" s="49">
        <v>46044</v>
      </c>
      <c r="C28" s="49">
        <v>46044</v>
      </c>
      <c r="D28" s="14" t="s">
        <v>530</v>
      </c>
      <c r="E28" s="11">
        <f>IF(OR(B28="",C28=""),0,NETWORKDAYS.INTL(lentry!B28,lentry!C28,11)-SUMIFS(holly!$C$3:$C$17,HOLLYDAY,"&gt;="&amp;lentry!B28,HOLLYDAY,"&lt;="&amp;lentry!C28))</f>
        <v>1</v>
      </c>
      <c r="G28" s="11" t="s">
        <v>52</v>
      </c>
      <c r="H28" s="11">
        <v>18</v>
      </c>
      <c r="I28" s="11">
        <v>12</v>
      </c>
      <c r="J28" s="11">
        <v>8</v>
      </c>
      <c r="K28" s="11">
        <f t="shared" si="0"/>
        <v>2</v>
      </c>
      <c r="L28" s="11">
        <f t="shared" si="1"/>
        <v>36</v>
      </c>
      <c r="N28" s="14" t="s">
        <v>26</v>
      </c>
      <c r="O28" s="47">
        <v>46044</v>
      </c>
      <c r="P28" s="14" t="s">
        <v>530</v>
      </c>
      <c r="Q28" s="14">
        <v>1</v>
      </c>
    </row>
    <row r="29" spans="1:17" x14ac:dyDescent="0.25">
      <c r="A29" s="14" t="s">
        <v>26</v>
      </c>
      <c r="B29" s="49">
        <v>46260</v>
      </c>
      <c r="C29" s="49">
        <v>46260</v>
      </c>
      <c r="D29" s="14" t="s">
        <v>529</v>
      </c>
      <c r="E29" s="11">
        <f>IF(OR(B29="",C29=""),0,NETWORKDAYS.INTL(lentry!B29,lentry!C29,11)-SUMIFS(holly!$C$3:$C$17,HOLLYDAY,"&gt;="&amp;lentry!B29,HOLLYDAY,"&lt;="&amp;lentry!C29))</f>
        <v>0</v>
      </c>
      <c r="G29" s="11" t="s">
        <v>53</v>
      </c>
      <c r="H29" s="11">
        <v>18</v>
      </c>
      <c r="I29" s="11">
        <v>12</v>
      </c>
      <c r="J29" s="11">
        <v>8</v>
      </c>
      <c r="K29" s="11">
        <f t="shared" si="0"/>
        <v>0</v>
      </c>
      <c r="L29" s="11">
        <f t="shared" si="1"/>
        <v>38</v>
      </c>
      <c r="N29" s="14" t="s">
        <v>26</v>
      </c>
      <c r="O29" s="47">
        <v>46260</v>
      </c>
      <c r="P29" s="14" t="s">
        <v>529</v>
      </c>
      <c r="Q29" s="14">
        <v>1</v>
      </c>
    </row>
    <row r="30" spans="1:17" x14ac:dyDescent="0.25">
      <c r="A30" s="14" t="s">
        <v>26</v>
      </c>
      <c r="B30" s="49">
        <v>46259</v>
      </c>
      <c r="C30" s="49">
        <v>46259</v>
      </c>
      <c r="D30" s="14" t="s">
        <v>530</v>
      </c>
      <c r="E30" s="11">
        <f>IF(OR(B30="",C30=""),0,NETWORKDAYS.INTL(lentry!B30,lentry!C30,11)-SUMIFS(holly!$C$3:$C$17,HOLLYDAY,"&gt;="&amp;lentry!B30,HOLLYDAY,"&lt;="&amp;lentry!C30))</f>
        <v>1</v>
      </c>
      <c r="G30" s="11" t="s">
        <v>55</v>
      </c>
      <c r="H30" s="11">
        <v>18</v>
      </c>
      <c r="I30" s="11">
        <v>12</v>
      </c>
      <c r="J30" s="11">
        <v>8</v>
      </c>
      <c r="K30" s="11">
        <f t="shared" si="0"/>
        <v>2</v>
      </c>
      <c r="L30" s="11">
        <f t="shared" si="1"/>
        <v>36</v>
      </c>
      <c r="N30" s="14" t="s">
        <v>26</v>
      </c>
      <c r="O30" s="47">
        <v>46259</v>
      </c>
      <c r="P30" s="14" t="s">
        <v>530</v>
      </c>
      <c r="Q30" s="14">
        <v>1</v>
      </c>
    </row>
    <row r="31" spans="1:17" x14ac:dyDescent="0.25">
      <c r="A31" s="14" t="s">
        <v>26</v>
      </c>
      <c r="B31" s="49">
        <v>46265</v>
      </c>
      <c r="C31" s="49">
        <v>46265</v>
      </c>
      <c r="D31" s="14" t="s">
        <v>529</v>
      </c>
      <c r="E31" s="11">
        <f>IF(OR(B31="",C31=""),0,NETWORKDAYS.INTL(lentry!B31,lentry!C31,11)-SUMIFS(holly!$C$3:$C$17,HOLLYDAY,"&gt;="&amp;lentry!B31,HOLLYDAY,"&lt;="&amp;lentry!C31))</f>
        <v>1</v>
      </c>
      <c r="G31" s="11" t="s">
        <v>56</v>
      </c>
      <c r="H31" s="11">
        <v>18</v>
      </c>
      <c r="I31" s="11">
        <v>12</v>
      </c>
      <c r="J31" s="11">
        <v>8</v>
      </c>
      <c r="K31" s="11">
        <f t="shared" si="0"/>
        <v>4</v>
      </c>
      <c r="L31" s="11">
        <f t="shared" si="1"/>
        <v>34</v>
      </c>
      <c r="N31" s="14" t="s">
        <v>26</v>
      </c>
      <c r="O31" s="47">
        <v>46265</v>
      </c>
      <c r="P31" s="14" t="s">
        <v>529</v>
      </c>
      <c r="Q31" s="14">
        <v>1</v>
      </c>
    </row>
    <row r="32" spans="1:17" x14ac:dyDescent="0.25">
      <c r="A32" s="14" t="s">
        <v>30</v>
      </c>
      <c r="B32" s="49">
        <v>46035</v>
      </c>
      <c r="C32" s="49">
        <v>46036</v>
      </c>
      <c r="D32" s="14" t="s">
        <v>530</v>
      </c>
      <c r="E32" s="11">
        <f>IF(OR(B32="",C32=""),0,NETWORKDAYS.INTL(lentry!B32,lentry!C32,11)-SUMIFS(holly!$C$3:$C$17,HOLLYDAY,"&gt;="&amp;lentry!B32,HOLLYDAY,"&lt;="&amp;lentry!C32))</f>
        <v>2</v>
      </c>
      <c r="G32" s="11" t="s">
        <v>59</v>
      </c>
      <c r="H32" s="11">
        <v>18</v>
      </c>
      <c r="I32" s="11">
        <v>12</v>
      </c>
      <c r="J32" s="11">
        <v>8</v>
      </c>
      <c r="K32" s="11">
        <f t="shared" si="0"/>
        <v>1</v>
      </c>
      <c r="L32" s="11">
        <f t="shared" si="1"/>
        <v>37</v>
      </c>
      <c r="N32" s="14" t="s">
        <v>30</v>
      </c>
      <c r="O32" s="47">
        <v>46035</v>
      </c>
      <c r="P32" s="14" t="s">
        <v>530</v>
      </c>
      <c r="Q32" s="14">
        <v>2</v>
      </c>
    </row>
    <row r="33" spans="1:17" x14ac:dyDescent="0.25">
      <c r="A33" s="14" t="s">
        <v>30</v>
      </c>
      <c r="B33" s="49">
        <v>46141</v>
      </c>
      <c r="C33" s="49">
        <v>46141</v>
      </c>
      <c r="D33" s="14" t="s">
        <v>528</v>
      </c>
      <c r="E33" s="11">
        <f>IF(OR(B33="",C33=""),0,NETWORKDAYS.INTL(lentry!B33,lentry!C33,11)-SUMIFS(holly!$C$3:$C$17,HOLLYDAY,"&gt;="&amp;lentry!B33,HOLLYDAY,"&lt;="&amp;lentry!C33))</f>
        <v>1</v>
      </c>
      <c r="G33" s="11" t="s">
        <v>60</v>
      </c>
      <c r="H33" s="11">
        <v>18</v>
      </c>
      <c r="I33" s="11">
        <v>12</v>
      </c>
      <c r="J33" s="11">
        <v>8</v>
      </c>
      <c r="K33" s="11">
        <f t="shared" si="0"/>
        <v>0</v>
      </c>
      <c r="L33" s="11">
        <f t="shared" si="1"/>
        <v>38</v>
      </c>
      <c r="N33" s="14" t="s">
        <v>30</v>
      </c>
      <c r="O33" s="47">
        <v>46141</v>
      </c>
      <c r="P33" s="14" t="s">
        <v>528</v>
      </c>
      <c r="Q33" s="14">
        <v>1</v>
      </c>
    </row>
    <row r="34" spans="1:17" x14ac:dyDescent="0.25">
      <c r="A34" s="14" t="s">
        <v>32</v>
      </c>
      <c r="B34" s="49">
        <v>46234</v>
      </c>
      <c r="C34" s="49">
        <v>46234</v>
      </c>
      <c r="D34" s="14" t="s">
        <v>530</v>
      </c>
      <c r="E34" s="11">
        <f>IF(OR(B34="",C34=""),0,NETWORKDAYS.INTL(lentry!B34,lentry!C34,11)-SUMIFS(holly!$C$3:$C$17,HOLLYDAY,"&gt;="&amp;lentry!B34,HOLLYDAY,"&lt;="&amp;lentry!C34))</f>
        <v>1</v>
      </c>
      <c r="G34" s="11" t="s">
        <v>61</v>
      </c>
      <c r="H34" s="11">
        <v>18</v>
      </c>
      <c r="I34" s="11">
        <v>12</v>
      </c>
      <c r="J34" s="11">
        <v>8</v>
      </c>
      <c r="K34" s="11">
        <f t="shared" si="0"/>
        <v>1</v>
      </c>
      <c r="L34" s="11">
        <f t="shared" si="1"/>
        <v>37</v>
      </c>
      <c r="N34" s="14" t="s">
        <v>32</v>
      </c>
      <c r="O34" s="47">
        <v>46234</v>
      </c>
      <c r="P34" s="14" t="s">
        <v>530</v>
      </c>
      <c r="Q34" s="14">
        <v>1</v>
      </c>
    </row>
    <row r="35" spans="1:17" x14ac:dyDescent="0.25">
      <c r="A35" s="14" t="s">
        <v>33</v>
      </c>
      <c r="B35" s="49">
        <v>46066</v>
      </c>
      <c r="C35" s="49">
        <v>46067</v>
      </c>
      <c r="D35" s="14" t="s">
        <v>530</v>
      </c>
      <c r="E35" s="11">
        <f>IF(OR(B35="",C35=""),0,NETWORKDAYS.INTL(lentry!B35,lentry!C35,11)-SUMIFS(holly!$C$3:$C$17,HOLLYDAY,"&gt;="&amp;lentry!B35,HOLLYDAY,"&lt;="&amp;lentry!C35))</f>
        <v>2</v>
      </c>
      <c r="G35" s="11" t="s">
        <v>62</v>
      </c>
      <c r="H35" s="11">
        <v>18</v>
      </c>
      <c r="I35" s="11">
        <v>12</v>
      </c>
      <c r="J35" s="11">
        <v>8</v>
      </c>
      <c r="K35" s="11">
        <f t="shared" ref="K35:K52" si="2">SUMIF($A$3:$A$300,G35,$E$3:$E$300)</f>
        <v>2</v>
      </c>
      <c r="L35" s="11">
        <f t="shared" si="1"/>
        <v>36</v>
      </c>
      <c r="N35" s="14" t="s">
        <v>33</v>
      </c>
      <c r="O35" s="47">
        <v>46066</v>
      </c>
      <c r="P35" s="14" t="s">
        <v>530</v>
      </c>
      <c r="Q35" s="14">
        <v>2</v>
      </c>
    </row>
    <row r="36" spans="1:17" x14ac:dyDescent="0.25">
      <c r="A36" s="14" t="s">
        <v>33</v>
      </c>
      <c r="B36" s="49">
        <v>46174</v>
      </c>
      <c r="C36" s="49">
        <v>46175</v>
      </c>
      <c r="D36" s="14" t="s">
        <v>530</v>
      </c>
      <c r="E36" s="11">
        <f>IF(OR(B36="",C36=""),0,NETWORKDAYS.INTL(lentry!B36,lentry!C36,11)-SUMIFS(holly!$C$3:$C$17,HOLLYDAY,"&gt;="&amp;lentry!B36,HOLLYDAY,"&lt;="&amp;lentry!C36))</f>
        <v>2</v>
      </c>
      <c r="G36" s="11" t="s">
        <v>63</v>
      </c>
      <c r="H36" s="11">
        <v>18</v>
      </c>
      <c r="I36" s="11">
        <v>12</v>
      </c>
      <c r="J36" s="11">
        <v>8</v>
      </c>
      <c r="K36" s="11">
        <f t="shared" si="2"/>
        <v>1</v>
      </c>
      <c r="L36" s="11">
        <f t="shared" si="1"/>
        <v>37</v>
      </c>
      <c r="N36" s="14" t="s">
        <v>33</v>
      </c>
      <c r="O36" s="47">
        <v>46174</v>
      </c>
      <c r="P36" s="14" t="s">
        <v>530</v>
      </c>
      <c r="Q36" s="14">
        <v>1</v>
      </c>
    </row>
    <row r="37" spans="1:17" x14ac:dyDescent="0.25">
      <c r="A37" s="14" t="s">
        <v>34</v>
      </c>
      <c r="B37" s="49">
        <v>46365</v>
      </c>
      <c r="C37" s="49">
        <v>46365</v>
      </c>
      <c r="D37" s="14" t="s">
        <v>529</v>
      </c>
      <c r="E37" s="11">
        <f>IF(OR(B37="",C37=""),0,NETWORKDAYS.INTL(lentry!B37,lentry!C37,11)-SUMIFS(holly!$C$3:$C$17,HOLLYDAY,"&gt;="&amp;lentry!B37,HOLLYDAY,"&lt;="&amp;lentry!C37))</f>
        <v>1</v>
      </c>
      <c r="G37" s="11" t="s">
        <v>64</v>
      </c>
      <c r="H37" s="11">
        <v>18</v>
      </c>
      <c r="I37" s="11">
        <v>12</v>
      </c>
      <c r="J37" s="11">
        <v>8</v>
      </c>
      <c r="K37" s="11">
        <f t="shared" si="2"/>
        <v>3</v>
      </c>
      <c r="L37" s="11">
        <f t="shared" si="1"/>
        <v>35</v>
      </c>
      <c r="N37" s="14" t="s">
        <v>34</v>
      </c>
      <c r="O37" s="47">
        <v>46365</v>
      </c>
      <c r="P37" s="14" t="s">
        <v>529</v>
      </c>
      <c r="Q37" s="14">
        <v>1</v>
      </c>
    </row>
    <row r="38" spans="1:17" x14ac:dyDescent="0.25">
      <c r="A38" s="14" t="s">
        <v>34</v>
      </c>
      <c r="B38" s="49">
        <v>46372</v>
      </c>
      <c r="C38" s="49">
        <v>46372</v>
      </c>
      <c r="D38" s="14" t="s">
        <v>530</v>
      </c>
      <c r="E38" s="11">
        <f>IF(OR(B38="",C38=""),0,NETWORKDAYS.INTL(lentry!B38,lentry!C38,11)-SUMIFS(holly!$C$3:$C$17,HOLLYDAY,"&gt;="&amp;lentry!B38,HOLLYDAY,"&lt;="&amp;lentry!C38))</f>
        <v>1</v>
      </c>
      <c r="G38" s="11" t="s">
        <v>65</v>
      </c>
      <c r="H38" s="11">
        <v>18</v>
      </c>
      <c r="I38" s="11">
        <v>12</v>
      </c>
      <c r="J38" s="11">
        <v>8</v>
      </c>
      <c r="K38" s="11">
        <f t="shared" si="2"/>
        <v>4</v>
      </c>
      <c r="L38" s="11">
        <f t="shared" si="1"/>
        <v>34</v>
      </c>
      <c r="N38" s="14" t="s">
        <v>34</v>
      </c>
      <c r="O38" s="47">
        <v>46372</v>
      </c>
      <c r="P38" s="14" t="s">
        <v>530</v>
      </c>
      <c r="Q38" s="14">
        <v>1</v>
      </c>
    </row>
    <row r="39" spans="1:17" x14ac:dyDescent="0.25">
      <c r="A39" s="14" t="s">
        <v>34</v>
      </c>
      <c r="B39" s="49">
        <v>46204</v>
      </c>
      <c r="C39" s="49">
        <v>46204</v>
      </c>
      <c r="D39" s="14" t="s">
        <v>529</v>
      </c>
      <c r="E39" s="11">
        <f>IF(OR(B39="",C39=""),0,NETWORKDAYS.INTL(lentry!B39,lentry!C39,11)-SUMIFS(holly!$C$3:$C$17,HOLLYDAY,"&gt;="&amp;lentry!B39,HOLLYDAY,"&lt;="&amp;lentry!C39))</f>
        <v>1</v>
      </c>
      <c r="G39" s="11" t="s">
        <v>66</v>
      </c>
      <c r="H39" s="11">
        <v>18</v>
      </c>
      <c r="I39" s="11">
        <v>12</v>
      </c>
      <c r="J39" s="11">
        <v>8</v>
      </c>
      <c r="K39" s="11">
        <f t="shared" si="2"/>
        <v>1</v>
      </c>
      <c r="L39" s="11">
        <f t="shared" si="1"/>
        <v>37</v>
      </c>
      <c r="N39" s="14" t="s">
        <v>34</v>
      </c>
      <c r="O39" s="47">
        <v>46204</v>
      </c>
      <c r="P39" s="14" t="s">
        <v>529</v>
      </c>
      <c r="Q39" s="14">
        <v>1</v>
      </c>
    </row>
    <row r="40" spans="1:17" x14ac:dyDescent="0.25">
      <c r="A40" s="14" t="s">
        <v>34</v>
      </c>
      <c r="B40" s="49">
        <v>46270</v>
      </c>
      <c r="C40" s="49">
        <v>46270</v>
      </c>
      <c r="D40" s="14" t="s">
        <v>530</v>
      </c>
      <c r="E40" s="11">
        <f>IF(OR(B40="",C40=""),0,NETWORKDAYS.INTL(lentry!B40,lentry!C40,11)-SUMIFS(holly!$C$3:$C$17,HOLLYDAY,"&gt;="&amp;lentry!B40,HOLLYDAY,"&lt;="&amp;lentry!C40))</f>
        <v>1</v>
      </c>
      <c r="G40" s="11" t="s">
        <v>68</v>
      </c>
      <c r="H40" s="11">
        <v>18</v>
      </c>
      <c r="I40" s="11">
        <v>12</v>
      </c>
      <c r="J40" s="11">
        <v>8</v>
      </c>
      <c r="K40" s="11">
        <f t="shared" si="2"/>
        <v>2</v>
      </c>
      <c r="L40" s="11">
        <f t="shared" si="1"/>
        <v>36</v>
      </c>
      <c r="N40" s="14" t="s">
        <v>34</v>
      </c>
      <c r="O40" s="47">
        <v>46270</v>
      </c>
      <c r="P40" s="14" t="s">
        <v>530</v>
      </c>
      <c r="Q40" s="14">
        <v>1</v>
      </c>
    </row>
    <row r="41" spans="1:17" x14ac:dyDescent="0.25">
      <c r="A41" s="14" t="s">
        <v>37</v>
      </c>
      <c r="B41" s="49">
        <v>46162</v>
      </c>
      <c r="C41" s="49">
        <v>46162</v>
      </c>
      <c r="D41" s="14" t="s">
        <v>528</v>
      </c>
      <c r="E41" s="11">
        <f>IF(OR(B41="",C41=""),0,NETWORKDAYS.INTL(lentry!B41,lentry!C41,11)-SUMIFS(holly!$C$3:$C$17,HOLLYDAY,"&gt;="&amp;lentry!B41,HOLLYDAY,"&lt;="&amp;lentry!C41))</f>
        <v>1</v>
      </c>
      <c r="G41" s="11" t="s">
        <v>69</v>
      </c>
      <c r="H41" s="11">
        <v>18</v>
      </c>
      <c r="I41" s="11">
        <v>12</v>
      </c>
      <c r="J41" s="11">
        <v>8</v>
      </c>
      <c r="K41" s="11">
        <f t="shared" si="2"/>
        <v>3</v>
      </c>
      <c r="L41" s="11">
        <f t="shared" si="1"/>
        <v>35</v>
      </c>
      <c r="N41" s="14" t="s">
        <v>37</v>
      </c>
      <c r="O41" s="47">
        <v>46162</v>
      </c>
      <c r="P41" s="14" t="s">
        <v>528</v>
      </c>
      <c r="Q41" s="14">
        <v>1</v>
      </c>
    </row>
    <row r="42" spans="1:17" x14ac:dyDescent="0.25">
      <c r="A42" s="14" t="s">
        <v>40</v>
      </c>
      <c r="B42" s="49">
        <v>46125</v>
      </c>
      <c r="C42" s="49">
        <v>46125</v>
      </c>
      <c r="D42" s="14" t="s">
        <v>84</v>
      </c>
      <c r="E42" s="11">
        <f>IF(OR(B42="",C42=""),0,NETWORKDAYS.INTL(lentry!B42,lentry!C42,11)-SUMIFS(holly!$C$3:$C$17,HOLLYDAY,"&gt;="&amp;lentry!B42,HOLLYDAY,"&lt;="&amp;lentry!C42))</f>
        <v>1</v>
      </c>
      <c r="G42" s="11" t="s">
        <v>70</v>
      </c>
      <c r="H42" s="11">
        <v>18</v>
      </c>
      <c r="I42" s="11">
        <v>12</v>
      </c>
      <c r="J42" s="11">
        <v>8</v>
      </c>
      <c r="K42" s="11">
        <f t="shared" si="2"/>
        <v>3</v>
      </c>
      <c r="L42" s="11">
        <f t="shared" si="1"/>
        <v>35</v>
      </c>
      <c r="N42" s="14" t="s">
        <v>40</v>
      </c>
      <c r="O42" s="47">
        <v>46125</v>
      </c>
      <c r="P42" s="14" t="s">
        <v>84</v>
      </c>
      <c r="Q42" s="14">
        <v>1</v>
      </c>
    </row>
    <row r="43" spans="1:17" x14ac:dyDescent="0.25">
      <c r="A43" s="14" t="s">
        <v>40</v>
      </c>
      <c r="B43" s="49">
        <v>46067</v>
      </c>
      <c r="C43" s="49">
        <v>46068</v>
      </c>
      <c r="D43" s="14" t="s">
        <v>530</v>
      </c>
      <c r="E43" s="11">
        <f>IF(OR(B43="",C43=""),0,NETWORKDAYS.INTL(lentry!B43,lentry!C43,11)-SUMIFS(holly!$C$3:$C$17,HOLLYDAY,"&gt;="&amp;lentry!B43,HOLLYDAY,"&lt;="&amp;lentry!C43))</f>
        <v>1</v>
      </c>
      <c r="G43" s="11" t="s">
        <v>71</v>
      </c>
      <c r="H43" s="11">
        <v>18</v>
      </c>
      <c r="I43" s="11">
        <v>12</v>
      </c>
      <c r="J43" s="11">
        <v>8</v>
      </c>
      <c r="K43" s="11">
        <f t="shared" si="2"/>
        <v>0</v>
      </c>
      <c r="L43" s="11">
        <f t="shared" si="1"/>
        <v>38</v>
      </c>
      <c r="N43" s="14" t="s">
        <v>40</v>
      </c>
      <c r="O43" s="47">
        <v>46067</v>
      </c>
      <c r="P43" s="14" t="s">
        <v>530</v>
      </c>
      <c r="Q43" s="14">
        <v>2</v>
      </c>
    </row>
    <row r="44" spans="1:17" x14ac:dyDescent="0.25">
      <c r="A44" s="14" t="s">
        <v>43</v>
      </c>
      <c r="B44" s="49">
        <v>46238</v>
      </c>
      <c r="C44" s="49">
        <v>46238</v>
      </c>
      <c r="D44" s="14" t="s">
        <v>530</v>
      </c>
      <c r="E44" s="11">
        <f>IF(OR(B44="",C44=""),0,NETWORKDAYS.INTL(lentry!B44,lentry!C44,11)-SUMIFS(holly!$C$3:$C$17,HOLLYDAY,"&gt;="&amp;lentry!B44,HOLLYDAY,"&lt;="&amp;lentry!C44))</f>
        <v>1</v>
      </c>
      <c r="G44" s="11" t="s">
        <v>72</v>
      </c>
      <c r="H44" s="11">
        <v>18</v>
      </c>
      <c r="I44" s="11">
        <v>12</v>
      </c>
      <c r="J44" s="11">
        <v>8</v>
      </c>
      <c r="K44" s="11">
        <f t="shared" si="2"/>
        <v>2</v>
      </c>
      <c r="L44" s="11">
        <f t="shared" si="1"/>
        <v>36</v>
      </c>
      <c r="N44" s="14" t="s">
        <v>43</v>
      </c>
      <c r="O44" s="47">
        <v>46238</v>
      </c>
      <c r="P44" s="14" t="s">
        <v>530</v>
      </c>
      <c r="Q44" s="14">
        <v>1</v>
      </c>
    </row>
    <row r="45" spans="1:17" x14ac:dyDescent="0.25">
      <c r="A45" s="14" t="s">
        <v>44</v>
      </c>
      <c r="B45" s="49">
        <v>46332</v>
      </c>
      <c r="C45" s="49">
        <v>46332</v>
      </c>
      <c r="D45" s="14" t="s">
        <v>530</v>
      </c>
      <c r="E45" s="11">
        <f>IF(OR(B45="",C45=""),0,NETWORKDAYS.INTL(lentry!B45,lentry!C45,11)-SUMIFS(holly!$C$3:$C$17,HOLLYDAY,"&gt;="&amp;lentry!B45,HOLLYDAY,"&lt;="&amp;lentry!C45))</f>
        <v>1</v>
      </c>
      <c r="G45" s="11" t="s">
        <v>73</v>
      </c>
      <c r="H45" s="11">
        <v>18</v>
      </c>
      <c r="I45" s="11">
        <v>12</v>
      </c>
      <c r="J45" s="11">
        <v>8</v>
      </c>
      <c r="K45" s="11">
        <f t="shared" si="2"/>
        <v>2</v>
      </c>
      <c r="L45" s="11">
        <f t="shared" si="1"/>
        <v>36</v>
      </c>
      <c r="N45" s="14" t="s">
        <v>44</v>
      </c>
      <c r="O45" s="47">
        <v>46332</v>
      </c>
      <c r="P45" s="14" t="s">
        <v>530</v>
      </c>
      <c r="Q45" s="14">
        <v>1</v>
      </c>
    </row>
    <row r="46" spans="1:17" x14ac:dyDescent="0.25">
      <c r="A46" s="14" t="s">
        <v>44</v>
      </c>
      <c r="B46" s="49">
        <v>46130</v>
      </c>
      <c r="C46" s="49">
        <v>46130</v>
      </c>
      <c r="D46" s="14" t="s">
        <v>528</v>
      </c>
      <c r="E46" s="11">
        <f>IF(OR(B46="",C46=""),0,NETWORKDAYS.INTL(lentry!B46,lentry!C46,11)-SUMIFS(holly!$C$3:$C$17,HOLLYDAY,"&gt;="&amp;lentry!B46,HOLLYDAY,"&lt;="&amp;lentry!C46))</f>
        <v>1</v>
      </c>
      <c r="G46" s="11" t="s">
        <v>74</v>
      </c>
      <c r="H46" s="11">
        <v>18</v>
      </c>
      <c r="I46" s="11">
        <v>12</v>
      </c>
      <c r="J46" s="11">
        <v>8</v>
      </c>
      <c r="K46" s="11">
        <f t="shared" si="2"/>
        <v>1</v>
      </c>
      <c r="L46" s="11">
        <f t="shared" si="1"/>
        <v>37</v>
      </c>
      <c r="N46" s="14" t="s">
        <v>44</v>
      </c>
      <c r="O46" s="47">
        <v>46130</v>
      </c>
      <c r="P46" s="14" t="s">
        <v>528</v>
      </c>
      <c r="Q46" s="14">
        <v>1</v>
      </c>
    </row>
    <row r="47" spans="1:17" x14ac:dyDescent="0.25">
      <c r="A47" s="14" t="s">
        <v>45</v>
      </c>
      <c r="B47" s="49">
        <v>46362</v>
      </c>
      <c r="C47" s="49">
        <v>46362</v>
      </c>
      <c r="D47" s="14" t="s">
        <v>530</v>
      </c>
      <c r="E47" s="11">
        <f>IF(OR(B47="",C47=""),0,NETWORKDAYS.INTL(lentry!B47,lentry!C47,11)-SUMIFS(holly!$C$3:$C$17,HOLLYDAY,"&gt;="&amp;lentry!B47,HOLLYDAY,"&lt;="&amp;lentry!C47))</f>
        <v>0</v>
      </c>
      <c r="G47" s="11" t="s">
        <v>75</v>
      </c>
      <c r="H47" s="11">
        <v>18</v>
      </c>
      <c r="I47" s="11">
        <v>12</v>
      </c>
      <c r="J47" s="11">
        <v>8</v>
      </c>
      <c r="K47" s="11">
        <f t="shared" si="2"/>
        <v>4</v>
      </c>
      <c r="L47" s="11">
        <f t="shared" si="1"/>
        <v>34</v>
      </c>
      <c r="N47" s="14" t="s">
        <v>45</v>
      </c>
      <c r="O47" s="47">
        <v>46362</v>
      </c>
      <c r="P47" s="14" t="s">
        <v>530</v>
      </c>
      <c r="Q47" s="14">
        <v>1</v>
      </c>
    </row>
    <row r="48" spans="1:17" x14ac:dyDescent="0.25">
      <c r="A48" s="14" t="s">
        <v>45</v>
      </c>
      <c r="B48" s="49">
        <v>46139</v>
      </c>
      <c r="C48" s="49">
        <v>46139</v>
      </c>
      <c r="D48" s="14" t="s">
        <v>530</v>
      </c>
      <c r="E48" s="11">
        <f>IF(OR(B48="",C48=""),0,NETWORKDAYS.INTL(lentry!B48,lentry!C48,11)-SUMIFS(holly!$C$3:$C$17,HOLLYDAY,"&gt;="&amp;lentry!B48,HOLLYDAY,"&lt;="&amp;lentry!C48))</f>
        <v>1</v>
      </c>
      <c r="G48" s="11" t="s">
        <v>76</v>
      </c>
      <c r="H48" s="11">
        <v>18</v>
      </c>
      <c r="I48" s="11">
        <v>12</v>
      </c>
      <c r="J48" s="11">
        <v>8</v>
      </c>
      <c r="K48" s="11">
        <f t="shared" si="2"/>
        <v>0</v>
      </c>
      <c r="L48" s="11">
        <f t="shared" si="1"/>
        <v>38</v>
      </c>
      <c r="N48" s="14" t="s">
        <v>45</v>
      </c>
      <c r="O48" s="47">
        <v>46139</v>
      </c>
      <c r="P48" s="14" t="s">
        <v>530</v>
      </c>
      <c r="Q48" s="14">
        <v>1</v>
      </c>
    </row>
    <row r="49" spans="1:17" x14ac:dyDescent="0.25">
      <c r="A49" s="14" t="s">
        <v>45</v>
      </c>
      <c r="B49" s="49">
        <v>46364</v>
      </c>
      <c r="C49" s="49">
        <v>46365</v>
      </c>
      <c r="D49" s="14" t="s">
        <v>528</v>
      </c>
      <c r="E49" s="11">
        <f>IF(OR(B49="",C49=""),0,NETWORKDAYS.INTL(lentry!B49,lentry!C49,11)-SUMIFS(holly!$C$3:$C$17,HOLLYDAY,"&gt;="&amp;lentry!B49,HOLLYDAY,"&lt;="&amp;lentry!C49))</f>
        <v>2</v>
      </c>
      <c r="G49" s="11" t="s">
        <v>77</v>
      </c>
      <c r="H49" s="11">
        <v>18</v>
      </c>
      <c r="I49" s="11">
        <v>12</v>
      </c>
      <c r="J49" s="11">
        <v>8</v>
      </c>
      <c r="K49" s="11">
        <f t="shared" si="2"/>
        <v>0</v>
      </c>
      <c r="L49" s="11">
        <f t="shared" si="1"/>
        <v>38</v>
      </c>
      <c r="N49" s="14" t="s">
        <v>45</v>
      </c>
      <c r="O49" s="47">
        <v>46364</v>
      </c>
      <c r="P49" s="14" t="s">
        <v>528</v>
      </c>
      <c r="Q49" s="14">
        <v>2</v>
      </c>
    </row>
    <row r="50" spans="1:17" x14ac:dyDescent="0.25">
      <c r="A50" s="14" t="s">
        <v>45</v>
      </c>
      <c r="B50" s="49">
        <v>46362</v>
      </c>
      <c r="C50" s="49">
        <v>46363</v>
      </c>
      <c r="D50" s="14" t="s">
        <v>528</v>
      </c>
      <c r="E50" s="11">
        <f>IF(OR(B50="",C50=""),0,NETWORKDAYS.INTL(lentry!B50,lentry!C50,11)-SUMIFS(holly!$C$3:$C$17,HOLLYDAY,"&gt;="&amp;lentry!B50,HOLLYDAY,"&lt;="&amp;lentry!C50))</f>
        <v>1</v>
      </c>
      <c r="G50" s="11" t="s">
        <v>78</v>
      </c>
      <c r="H50" s="11">
        <v>18</v>
      </c>
      <c r="I50" s="11">
        <v>12</v>
      </c>
      <c r="J50" s="11">
        <v>8</v>
      </c>
      <c r="K50" s="11">
        <f t="shared" si="2"/>
        <v>3</v>
      </c>
      <c r="L50" s="11">
        <f t="shared" si="1"/>
        <v>35</v>
      </c>
      <c r="N50" s="14" t="s">
        <v>45</v>
      </c>
      <c r="O50" s="47">
        <v>46362</v>
      </c>
      <c r="P50" s="14" t="s">
        <v>528</v>
      </c>
      <c r="Q50" s="14">
        <v>2</v>
      </c>
    </row>
    <row r="51" spans="1:17" x14ac:dyDescent="0.25">
      <c r="A51" s="14" t="s">
        <v>46</v>
      </c>
      <c r="B51" s="49">
        <v>46060</v>
      </c>
      <c r="C51" s="49">
        <v>46060</v>
      </c>
      <c r="D51" s="14" t="s">
        <v>530</v>
      </c>
      <c r="E51" s="11">
        <f>IF(OR(B51="",C51=""),0,NETWORKDAYS.INTL(lentry!B51,lentry!C51,11)-SUMIFS(holly!$C$3:$C$17,HOLLYDAY,"&gt;="&amp;lentry!B51,HOLLYDAY,"&lt;="&amp;lentry!C51))</f>
        <v>1</v>
      </c>
      <c r="G51" s="11" t="s">
        <v>79</v>
      </c>
      <c r="H51" s="11">
        <v>18</v>
      </c>
      <c r="I51" s="11">
        <v>12</v>
      </c>
      <c r="J51" s="11">
        <v>8</v>
      </c>
      <c r="K51" s="11">
        <f t="shared" si="2"/>
        <v>1</v>
      </c>
      <c r="L51" s="11">
        <f t="shared" si="1"/>
        <v>37</v>
      </c>
      <c r="N51" s="14" t="s">
        <v>46</v>
      </c>
      <c r="O51" s="47">
        <v>46060</v>
      </c>
      <c r="P51" s="14" t="s">
        <v>530</v>
      </c>
      <c r="Q51" s="14">
        <v>1</v>
      </c>
    </row>
    <row r="52" spans="1:17" x14ac:dyDescent="0.25">
      <c r="A52" s="14" t="s">
        <v>46</v>
      </c>
      <c r="B52" s="49">
        <v>46362</v>
      </c>
      <c r="C52" s="49">
        <v>46362</v>
      </c>
      <c r="D52" s="14" t="s">
        <v>84</v>
      </c>
      <c r="E52" s="11">
        <f>IF(OR(B52="",C52=""),0,NETWORKDAYS.INTL(lentry!B52,lentry!C52,11)-SUMIFS(holly!$C$3:$C$17,HOLLYDAY,"&gt;="&amp;lentry!B52,HOLLYDAY,"&lt;="&amp;lentry!C52))</f>
        <v>0</v>
      </c>
      <c r="G52" s="11" t="s">
        <v>80</v>
      </c>
      <c r="H52" s="11">
        <v>18</v>
      </c>
      <c r="I52" s="11">
        <v>12</v>
      </c>
      <c r="J52" s="11">
        <v>8</v>
      </c>
      <c r="K52" s="11">
        <f t="shared" si="2"/>
        <v>6</v>
      </c>
      <c r="L52" s="11">
        <f t="shared" si="1"/>
        <v>32</v>
      </c>
      <c r="N52" s="14" t="s">
        <v>46</v>
      </c>
      <c r="O52" s="47">
        <v>46362</v>
      </c>
      <c r="P52" s="14" t="s">
        <v>84</v>
      </c>
      <c r="Q52" s="14">
        <v>1</v>
      </c>
    </row>
    <row r="53" spans="1:17" x14ac:dyDescent="0.25">
      <c r="A53" s="14" t="s">
        <v>46</v>
      </c>
      <c r="B53" s="49">
        <v>46131</v>
      </c>
      <c r="C53" s="49">
        <v>46131</v>
      </c>
      <c r="D53" s="14" t="s">
        <v>528</v>
      </c>
      <c r="E53" s="11">
        <f>IF(OR(B53="",C53=""),0,NETWORKDAYS.INTL(lentry!B53,lentry!C53,11)-SUMIFS(holly!$C$3:$C$17,HOLLYDAY,"&gt;="&amp;lentry!B53,HOLLYDAY,"&lt;="&amp;lentry!C53))</f>
        <v>0</v>
      </c>
      <c r="N53" s="14" t="s">
        <v>46</v>
      </c>
      <c r="O53" s="47">
        <v>46131</v>
      </c>
      <c r="P53" s="14" t="s">
        <v>528</v>
      </c>
      <c r="Q53" s="14">
        <v>1</v>
      </c>
    </row>
    <row r="54" spans="1:17" x14ac:dyDescent="0.25">
      <c r="A54" s="14" t="s">
        <v>47</v>
      </c>
      <c r="B54" s="49">
        <v>46165</v>
      </c>
      <c r="C54" s="49">
        <v>46165</v>
      </c>
      <c r="D54" s="14" t="s">
        <v>84</v>
      </c>
      <c r="E54" s="11">
        <f>IF(OR(B54="",C54=""),0,NETWORKDAYS.INTL(lentry!B54,lentry!C54,11)-SUMIFS(holly!$C$3:$C$17,HOLLYDAY,"&gt;="&amp;lentry!B54,HOLLYDAY,"&lt;="&amp;lentry!C54))</f>
        <v>1</v>
      </c>
      <c r="N54" s="14" t="s">
        <v>47</v>
      </c>
      <c r="O54" s="47">
        <v>46165</v>
      </c>
      <c r="P54" s="14" t="s">
        <v>84</v>
      </c>
      <c r="Q54" s="14">
        <v>1</v>
      </c>
    </row>
    <row r="55" spans="1:17" x14ac:dyDescent="0.25">
      <c r="A55" s="14" t="s">
        <v>47</v>
      </c>
      <c r="B55" s="49">
        <v>46186</v>
      </c>
      <c r="C55" s="49">
        <v>46186</v>
      </c>
      <c r="D55" s="14" t="s">
        <v>84</v>
      </c>
      <c r="E55" s="11">
        <f>IF(OR(B55="",C55=""),0,NETWORKDAYS.INTL(lentry!B55,lentry!C55,11)-SUMIFS(holly!$C$3:$C$17,HOLLYDAY,"&gt;="&amp;lentry!B55,HOLLYDAY,"&lt;="&amp;lentry!C55))</f>
        <v>1</v>
      </c>
      <c r="N55" s="14" t="s">
        <v>47</v>
      </c>
      <c r="O55" s="47">
        <v>46186</v>
      </c>
      <c r="P55" s="14" t="s">
        <v>84</v>
      </c>
      <c r="Q55" s="14">
        <v>1</v>
      </c>
    </row>
    <row r="56" spans="1:17" x14ac:dyDescent="0.25">
      <c r="A56" s="14" t="s">
        <v>47</v>
      </c>
      <c r="B56" s="49">
        <v>46365</v>
      </c>
      <c r="C56" s="49">
        <v>46366</v>
      </c>
      <c r="D56" s="14" t="s">
        <v>529</v>
      </c>
      <c r="E56" s="11">
        <f>IF(OR(B56="",C56=""),0,NETWORKDAYS.INTL(lentry!B56,lentry!C56,11)-SUMIFS(holly!$C$3:$C$17,HOLLYDAY,"&gt;="&amp;lentry!B56,HOLLYDAY,"&lt;="&amp;lentry!C56))</f>
        <v>2</v>
      </c>
      <c r="N56" s="14" t="s">
        <v>47</v>
      </c>
      <c r="O56" s="47">
        <v>46365</v>
      </c>
      <c r="P56" s="14" t="s">
        <v>529</v>
      </c>
      <c r="Q56" s="14">
        <v>2</v>
      </c>
    </row>
    <row r="57" spans="1:17" x14ac:dyDescent="0.25">
      <c r="A57" s="14" t="s">
        <v>52</v>
      </c>
      <c r="B57" s="49">
        <v>46090</v>
      </c>
      <c r="C57" s="49">
        <v>46091</v>
      </c>
      <c r="D57" s="14" t="s">
        <v>529</v>
      </c>
      <c r="E57" s="11">
        <f>IF(OR(B57="",C57=""),0,NETWORKDAYS.INTL(lentry!B57,lentry!C57,11)-SUMIFS(holly!$C$3:$C$17,HOLLYDAY,"&gt;="&amp;lentry!B57,HOLLYDAY,"&lt;="&amp;lentry!C57))</f>
        <v>2</v>
      </c>
      <c r="N57" s="14" t="s">
        <v>52</v>
      </c>
      <c r="O57" s="47">
        <v>46090</v>
      </c>
      <c r="P57" s="14" t="s">
        <v>529</v>
      </c>
      <c r="Q57" s="14">
        <v>1</v>
      </c>
    </row>
    <row r="58" spans="1:17" x14ac:dyDescent="0.25">
      <c r="A58" s="14" t="s">
        <v>55</v>
      </c>
      <c r="B58" s="49">
        <v>46058</v>
      </c>
      <c r="C58" s="49">
        <v>46058</v>
      </c>
      <c r="D58" s="14" t="s">
        <v>84</v>
      </c>
      <c r="E58" s="11">
        <f>IF(OR(B58="",C58=""),0,NETWORKDAYS.INTL(lentry!B58,lentry!C58,11)-SUMIFS(holly!$C$3:$C$17,HOLLYDAY,"&gt;="&amp;lentry!B58,HOLLYDAY,"&lt;="&amp;lentry!C58))</f>
        <v>1</v>
      </c>
      <c r="N58" s="14" t="s">
        <v>55</v>
      </c>
      <c r="O58" s="47">
        <v>46058</v>
      </c>
      <c r="P58" s="14" t="s">
        <v>84</v>
      </c>
      <c r="Q58" s="14">
        <v>1</v>
      </c>
    </row>
    <row r="59" spans="1:17" x14ac:dyDescent="0.25">
      <c r="A59" s="14" t="s">
        <v>55</v>
      </c>
      <c r="B59" s="49">
        <v>46113</v>
      </c>
      <c r="C59" s="49">
        <v>46113</v>
      </c>
      <c r="D59" s="14" t="s">
        <v>529</v>
      </c>
      <c r="E59" s="11">
        <f>IF(OR(B59="",C59=""),0,NETWORKDAYS.INTL(lentry!B59,lentry!C59,11)-SUMIFS(holly!$C$3:$C$17,HOLLYDAY,"&gt;="&amp;lentry!B59,HOLLYDAY,"&lt;="&amp;lentry!C59))</f>
        <v>1</v>
      </c>
      <c r="N59" s="14" t="s">
        <v>55</v>
      </c>
      <c r="O59" s="47">
        <v>46113</v>
      </c>
      <c r="P59" s="14" t="s">
        <v>529</v>
      </c>
      <c r="Q59" s="14">
        <v>1</v>
      </c>
    </row>
    <row r="60" spans="1:17" x14ac:dyDescent="0.25">
      <c r="A60" s="14" t="s">
        <v>56</v>
      </c>
      <c r="B60" s="49">
        <v>46251</v>
      </c>
      <c r="C60" s="49">
        <v>46252</v>
      </c>
      <c r="D60" s="14" t="s">
        <v>529</v>
      </c>
      <c r="E60" s="11">
        <f>IF(OR(B60="",C60=""),0,NETWORKDAYS.INTL(lentry!B60,lentry!C60,11)-SUMIFS(holly!$C$3:$C$17,HOLLYDAY,"&gt;="&amp;lentry!B60,HOLLYDAY,"&lt;="&amp;lentry!C60))</f>
        <v>2</v>
      </c>
      <c r="N60" s="14" t="s">
        <v>56</v>
      </c>
      <c r="O60" s="47">
        <v>46249</v>
      </c>
      <c r="P60" s="14" t="s">
        <v>529</v>
      </c>
      <c r="Q60" s="14">
        <v>2</v>
      </c>
    </row>
    <row r="61" spans="1:17" x14ac:dyDescent="0.25">
      <c r="A61" s="14" t="s">
        <v>56</v>
      </c>
      <c r="B61" s="49">
        <v>46062</v>
      </c>
      <c r="C61" s="49">
        <v>46062</v>
      </c>
      <c r="D61" s="14" t="s">
        <v>529</v>
      </c>
      <c r="E61" s="11">
        <f>IF(OR(B61="",C61=""),0,NETWORKDAYS.INTL(lentry!B61,lentry!C61,11)-SUMIFS(holly!$C$3:$C$17,HOLLYDAY,"&gt;="&amp;lentry!B61,HOLLYDAY,"&lt;="&amp;lentry!C61))</f>
        <v>1</v>
      </c>
      <c r="N61" s="14" t="s">
        <v>56</v>
      </c>
      <c r="O61" s="47">
        <v>46062</v>
      </c>
      <c r="P61" s="14" t="s">
        <v>529</v>
      </c>
      <c r="Q61" s="14">
        <v>1</v>
      </c>
    </row>
    <row r="62" spans="1:17" x14ac:dyDescent="0.25">
      <c r="A62" s="14" t="s">
        <v>56</v>
      </c>
      <c r="B62" s="49">
        <v>46197</v>
      </c>
      <c r="C62" s="49">
        <v>46197</v>
      </c>
      <c r="D62" s="14" t="s">
        <v>530</v>
      </c>
      <c r="E62" s="11">
        <f>IF(OR(B62="",C62=""),0,NETWORKDAYS.INTL(lentry!B62,lentry!C62,11)-SUMIFS(holly!$C$3:$C$17,HOLLYDAY,"&gt;="&amp;lentry!B62,HOLLYDAY,"&lt;="&amp;lentry!C62))</f>
        <v>1</v>
      </c>
      <c r="N62" s="14" t="s">
        <v>56</v>
      </c>
      <c r="O62" s="47">
        <v>46197</v>
      </c>
      <c r="P62" s="14" t="s">
        <v>530</v>
      </c>
      <c r="Q62" s="14">
        <v>1</v>
      </c>
    </row>
    <row r="63" spans="1:17" x14ac:dyDescent="0.25">
      <c r="A63" s="14" t="s">
        <v>59</v>
      </c>
      <c r="B63" s="49">
        <v>46088</v>
      </c>
      <c r="C63" s="49">
        <v>46088</v>
      </c>
      <c r="D63" s="14" t="s">
        <v>84</v>
      </c>
      <c r="E63" s="11">
        <f>IF(OR(B63="",C63=""),0,NETWORKDAYS.INTL(lentry!B63,lentry!C63,11)-SUMIFS(holly!$C$3:$C$17,HOLLYDAY,"&gt;="&amp;lentry!B63,HOLLYDAY,"&lt;="&amp;lentry!C63))</f>
        <v>1</v>
      </c>
      <c r="N63" s="14" t="s">
        <v>59</v>
      </c>
      <c r="O63" s="47">
        <v>46088</v>
      </c>
      <c r="P63" s="14" t="s">
        <v>84</v>
      </c>
      <c r="Q63" s="14">
        <v>1</v>
      </c>
    </row>
    <row r="64" spans="1:17" x14ac:dyDescent="0.25">
      <c r="A64" s="14" t="s">
        <v>61</v>
      </c>
      <c r="B64" s="49">
        <v>46227</v>
      </c>
      <c r="C64" s="49">
        <v>46227</v>
      </c>
      <c r="D64" s="14" t="s">
        <v>530</v>
      </c>
      <c r="E64" s="11">
        <f>IF(OR(B64="",C64=""),0,NETWORKDAYS.INTL(lentry!B64,lentry!C64,11)-SUMIFS(holly!$C$3:$C$17,HOLLYDAY,"&gt;="&amp;lentry!B64,HOLLYDAY,"&lt;="&amp;lentry!C64))</f>
        <v>1</v>
      </c>
      <c r="N64" s="14" t="s">
        <v>61</v>
      </c>
      <c r="O64" s="47">
        <v>46227</v>
      </c>
      <c r="P64" s="14" t="s">
        <v>530</v>
      </c>
      <c r="Q64" s="14">
        <v>1</v>
      </c>
    </row>
    <row r="65" spans="1:17" x14ac:dyDescent="0.25">
      <c r="A65" s="14" t="s">
        <v>62</v>
      </c>
      <c r="B65" s="49">
        <v>46064</v>
      </c>
      <c r="C65" s="49">
        <v>46064</v>
      </c>
      <c r="D65" s="14" t="s">
        <v>84</v>
      </c>
      <c r="E65" s="11">
        <f>IF(OR(B65="",C65=""),0,NETWORKDAYS.INTL(lentry!B65,lentry!C65,11)-SUMIFS(holly!$C$3:$C$17,HOLLYDAY,"&gt;="&amp;lentry!B65,HOLLYDAY,"&lt;="&amp;lentry!C65))</f>
        <v>1</v>
      </c>
      <c r="N65" s="14" t="s">
        <v>62</v>
      </c>
      <c r="O65" s="47">
        <v>46064</v>
      </c>
      <c r="P65" s="14" t="s">
        <v>84</v>
      </c>
      <c r="Q65" s="14">
        <v>1</v>
      </c>
    </row>
    <row r="66" spans="1:17" x14ac:dyDescent="0.25">
      <c r="A66" s="14" t="s">
        <v>62</v>
      </c>
      <c r="B66" s="49">
        <v>46354</v>
      </c>
      <c r="C66" s="49">
        <v>46355</v>
      </c>
      <c r="D66" s="14" t="s">
        <v>530</v>
      </c>
      <c r="E66" s="11">
        <f>IF(OR(B66="",C66=""),0,NETWORKDAYS.INTL(lentry!B66,lentry!C66,11)-SUMIFS(holly!$C$3:$C$17,HOLLYDAY,"&gt;="&amp;lentry!B66,HOLLYDAY,"&lt;="&amp;lentry!C66))</f>
        <v>1</v>
      </c>
      <c r="N66" s="14" t="s">
        <v>62</v>
      </c>
      <c r="O66" s="47">
        <v>46354</v>
      </c>
      <c r="P66" s="14" t="s">
        <v>530</v>
      </c>
      <c r="Q66" s="14">
        <v>2</v>
      </c>
    </row>
    <row r="67" spans="1:17" x14ac:dyDescent="0.25">
      <c r="A67" s="14" t="s">
        <v>63</v>
      </c>
      <c r="B67" s="49">
        <v>46199</v>
      </c>
      <c r="C67" s="49">
        <v>46199</v>
      </c>
      <c r="D67" s="14" t="s">
        <v>528</v>
      </c>
      <c r="E67" s="11">
        <f>IF(OR(B67="",C67=""),0,NETWORKDAYS.INTL(lentry!B67,lentry!C67,11)-SUMIFS(holly!$C$3:$C$17,HOLLYDAY,"&gt;="&amp;lentry!B67,HOLLYDAY,"&lt;="&amp;lentry!C67))</f>
        <v>1</v>
      </c>
      <c r="N67" s="14" t="s">
        <v>63</v>
      </c>
      <c r="O67" s="47">
        <v>46199</v>
      </c>
      <c r="P67" s="14" t="s">
        <v>528</v>
      </c>
      <c r="Q67" s="14">
        <v>1</v>
      </c>
    </row>
    <row r="68" spans="1:17" x14ac:dyDescent="0.25">
      <c r="A68" s="14" t="s">
        <v>64</v>
      </c>
      <c r="B68" s="49">
        <v>46132</v>
      </c>
      <c r="C68" s="49">
        <v>46132</v>
      </c>
      <c r="D68" s="14" t="s">
        <v>528</v>
      </c>
      <c r="E68" s="11">
        <f>IF(OR(B68="",C68=""),0,NETWORKDAYS.INTL(lentry!B68,lentry!C68,11)-SUMIFS(holly!$C$3:$C$17,HOLLYDAY,"&gt;="&amp;lentry!B68,HOLLYDAY,"&lt;="&amp;lentry!C68))</f>
        <v>1</v>
      </c>
      <c r="N68" s="14" t="s">
        <v>64</v>
      </c>
      <c r="O68" s="47">
        <v>46132</v>
      </c>
      <c r="P68" s="14" t="s">
        <v>528</v>
      </c>
      <c r="Q68" s="14">
        <v>1</v>
      </c>
    </row>
    <row r="69" spans="1:17" x14ac:dyDescent="0.25">
      <c r="A69" s="14" t="s">
        <v>64</v>
      </c>
      <c r="B69" s="49">
        <v>46383</v>
      </c>
      <c r="C69" s="49">
        <v>46383</v>
      </c>
      <c r="D69" s="14" t="s">
        <v>530</v>
      </c>
      <c r="E69" s="11">
        <f>IF(OR(B69="",C69=""),0,NETWORKDAYS.INTL(lentry!B69,lentry!C69,11)-SUMIFS(holly!$C$3:$C$17,HOLLYDAY,"&gt;="&amp;lentry!B69,HOLLYDAY,"&lt;="&amp;lentry!C69))</f>
        <v>0</v>
      </c>
      <c r="N69" s="14" t="s">
        <v>64</v>
      </c>
      <c r="O69" s="47">
        <v>46383</v>
      </c>
      <c r="P69" s="14" t="s">
        <v>530</v>
      </c>
      <c r="Q69" s="14">
        <v>1</v>
      </c>
    </row>
    <row r="70" spans="1:17" x14ac:dyDescent="0.25">
      <c r="A70" s="14" t="s">
        <v>64</v>
      </c>
      <c r="B70" s="49">
        <v>46302</v>
      </c>
      <c r="C70" s="49">
        <v>46302</v>
      </c>
      <c r="D70" s="14" t="s">
        <v>529</v>
      </c>
      <c r="E70" s="11">
        <f>IF(OR(B70="",C70=""),0,NETWORKDAYS.INTL(lentry!B70,lentry!C70,11)-SUMIFS(holly!$C$3:$C$17,HOLLYDAY,"&gt;="&amp;lentry!B70,HOLLYDAY,"&lt;="&amp;lentry!C70))</f>
        <v>1</v>
      </c>
      <c r="N70" s="14" t="s">
        <v>64</v>
      </c>
      <c r="O70" s="47">
        <v>46302</v>
      </c>
      <c r="P70" s="14" t="s">
        <v>529</v>
      </c>
      <c r="Q70" s="14">
        <v>1</v>
      </c>
    </row>
    <row r="71" spans="1:17" x14ac:dyDescent="0.25">
      <c r="A71" s="14" t="s">
        <v>64</v>
      </c>
      <c r="B71" s="49">
        <v>46270</v>
      </c>
      <c r="C71" s="49">
        <v>46270</v>
      </c>
      <c r="D71" s="14" t="s">
        <v>528</v>
      </c>
      <c r="E71" s="11">
        <f>IF(OR(B71="",C71=""),0,NETWORKDAYS.INTL(lentry!B71,lentry!C71,11)-SUMIFS(holly!$C$3:$C$17,HOLLYDAY,"&gt;="&amp;lentry!B71,HOLLYDAY,"&lt;="&amp;lentry!C71))</f>
        <v>1</v>
      </c>
      <c r="N71" s="14" t="s">
        <v>64</v>
      </c>
      <c r="O71" s="47">
        <v>46270</v>
      </c>
      <c r="P71" s="14" t="s">
        <v>528</v>
      </c>
      <c r="Q71" s="14">
        <v>1</v>
      </c>
    </row>
    <row r="72" spans="1:17" x14ac:dyDescent="0.25">
      <c r="A72" s="14" t="s">
        <v>65</v>
      </c>
      <c r="B72" s="49">
        <v>46088</v>
      </c>
      <c r="C72" s="49">
        <v>46089</v>
      </c>
      <c r="D72" s="14" t="s">
        <v>530</v>
      </c>
      <c r="E72" s="11">
        <f>IF(OR(B72="",C72=""),0,NETWORKDAYS.INTL(lentry!B72,lentry!C72,11)-SUMIFS(holly!$C$3:$C$17,HOLLYDAY,"&gt;="&amp;lentry!B72,HOLLYDAY,"&lt;="&amp;lentry!C72))</f>
        <v>1</v>
      </c>
      <c r="N72" s="14" t="s">
        <v>65</v>
      </c>
      <c r="O72" s="47">
        <v>46088</v>
      </c>
      <c r="P72" s="14" t="s">
        <v>530</v>
      </c>
      <c r="Q72" s="14">
        <v>2</v>
      </c>
    </row>
    <row r="73" spans="1:17" x14ac:dyDescent="0.25">
      <c r="A73" s="14" t="s">
        <v>65</v>
      </c>
      <c r="B73" s="49">
        <v>46150</v>
      </c>
      <c r="C73" s="49">
        <v>46150</v>
      </c>
      <c r="D73" s="14" t="s">
        <v>84</v>
      </c>
      <c r="E73" s="11">
        <f>IF(OR(B73="",C73=""),0,NETWORKDAYS.INTL(lentry!B73,lentry!C73,11)-SUMIFS(holly!$C$3:$C$17,HOLLYDAY,"&gt;="&amp;lentry!B73,HOLLYDAY,"&lt;="&amp;lentry!C73))</f>
        <v>1</v>
      </c>
      <c r="N73" s="14" t="s">
        <v>65</v>
      </c>
      <c r="O73" s="47">
        <v>46150</v>
      </c>
      <c r="P73" s="14" t="s">
        <v>84</v>
      </c>
      <c r="Q73" s="14">
        <v>1</v>
      </c>
    </row>
    <row r="74" spans="1:17" x14ac:dyDescent="0.25">
      <c r="A74" s="14" t="s">
        <v>65</v>
      </c>
      <c r="B74" s="49">
        <v>46146</v>
      </c>
      <c r="C74" s="49">
        <v>46147</v>
      </c>
      <c r="D74" s="14" t="s">
        <v>529</v>
      </c>
      <c r="E74" s="11">
        <f>IF(OR(B74="",C74=""),0,NETWORKDAYS.INTL(lentry!B74,lentry!C74,11)-SUMIFS(holly!$C$3:$C$17,HOLLYDAY,"&gt;="&amp;lentry!B74,HOLLYDAY,"&lt;="&amp;lentry!C74))</f>
        <v>2</v>
      </c>
      <c r="N74" s="14" t="s">
        <v>65</v>
      </c>
      <c r="O74" s="47">
        <v>46146</v>
      </c>
      <c r="P74" s="14" t="s">
        <v>529</v>
      </c>
      <c r="Q74" s="14">
        <v>2</v>
      </c>
    </row>
    <row r="75" spans="1:17" x14ac:dyDescent="0.25">
      <c r="A75" s="14" t="s">
        <v>66</v>
      </c>
      <c r="B75" s="49">
        <v>46149</v>
      </c>
      <c r="C75" s="49">
        <v>46149</v>
      </c>
      <c r="D75" s="14" t="s">
        <v>528</v>
      </c>
      <c r="E75" s="11">
        <f>IF(OR(B75="",C75=""),0,NETWORKDAYS.INTL(lentry!B75,lentry!C75,11)-SUMIFS(holly!$C$3:$C$17,HOLLYDAY,"&gt;="&amp;lentry!B75,HOLLYDAY,"&lt;="&amp;lentry!C75))</f>
        <v>1</v>
      </c>
      <c r="N75" s="14" t="s">
        <v>66</v>
      </c>
      <c r="O75" s="47">
        <v>46149</v>
      </c>
      <c r="P75" s="14" t="s">
        <v>528</v>
      </c>
      <c r="Q75" s="14">
        <v>1</v>
      </c>
    </row>
    <row r="76" spans="1:17" x14ac:dyDescent="0.25">
      <c r="A76" s="14" t="s">
        <v>68</v>
      </c>
      <c r="B76" s="49">
        <v>46267</v>
      </c>
      <c r="C76" s="49">
        <v>46267</v>
      </c>
      <c r="D76" s="14" t="s">
        <v>528</v>
      </c>
      <c r="E76" s="11">
        <f>IF(OR(B76="",C76=""),0,NETWORKDAYS.INTL(lentry!B76,lentry!C76,11)-SUMIFS(holly!$C$3:$C$17,HOLLYDAY,"&gt;="&amp;lentry!B76,HOLLYDAY,"&lt;="&amp;lentry!C76))</f>
        <v>1</v>
      </c>
      <c r="N76" s="14" t="s">
        <v>68</v>
      </c>
      <c r="O76" s="47">
        <v>46267</v>
      </c>
      <c r="P76" s="14" t="s">
        <v>528</v>
      </c>
      <c r="Q76" s="14">
        <v>1</v>
      </c>
    </row>
    <row r="77" spans="1:17" x14ac:dyDescent="0.25">
      <c r="A77" s="14" t="s">
        <v>68</v>
      </c>
      <c r="B77" s="49">
        <v>46311</v>
      </c>
      <c r="C77" s="49">
        <v>46311</v>
      </c>
      <c r="D77" s="14" t="s">
        <v>529</v>
      </c>
      <c r="E77" s="11">
        <f>IF(OR(B77="",C77=""),0,NETWORKDAYS.INTL(lentry!B77,lentry!C77,11)-SUMIFS(holly!$C$3:$C$17,HOLLYDAY,"&gt;="&amp;lentry!B77,HOLLYDAY,"&lt;="&amp;lentry!C77))</f>
        <v>1</v>
      </c>
      <c r="N77" s="14" t="s">
        <v>68</v>
      </c>
      <c r="O77" s="47">
        <v>46311</v>
      </c>
      <c r="P77" s="14" t="s">
        <v>529</v>
      </c>
      <c r="Q77" s="14">
        <v>1</v>
      </c>
    </row>
    <row r="78" spans="1:17" x14ac:dyDescent="0.25">
      <c r="A78" s="14" t="s">
        <v>68</v>
      </c>
      <c r="B78" s="49">
        <v>46376</v>
      </c>
      <c r="C78" s="49">
        <v>46376</v>
      </c>
      <c r="D78" s="14" t="s">
        <v>84</v>
      </c>
      <c r="E78" s="11">
        <f>IF(OR(B78="",C78=""),0,NETWORKDAYS.INTL(lentry!B78,lentry!C78,11)-SUMIFS(holly!$C$3:$C$17,HOLLYDAY,"&gt;="&amp;lentry!B78,HOLLYDAY,"&lt;="&amp;lentry!C78))</f>
        <v>0</v>
      </c>
      <c r="N78" s="14" t="s">
        <v>68</v>
      </c>
      <c r="O78" s="47">
        <v>46376</v>
      </c>
      <c r="P78" s="14" t="s">
        <v>84</v>
      </c>
      <c r="Q78" s="14">
        <v>1</v>
      </c>
    </row>
    <row r="79" spans="1:17" x14ac:dyDescent="0.25">
      <c r="A79" s="14" t="s">
        <v>69</v>
      </c>
      <c r="B79" s="49">
        <v>46284</v>
      </c>
      <c r="C79" s="49">
        <v>46284</v>
      </c>
      <c r="D79" s="14" t="s">
        <v>530</v>
      </c>
      <c r="E79" s="11">
        <f>IF(OR(B79="",C79=""),0,NETWORKDAYS.INTL(lentry!B79,lentry!C79,11)-SUMIFS(holly!$C$3:$C$17,HOLLYDAY,"&gt;="&amp;lentry!B79,HOLLYDAY,"&lt;="&amp;lentry!C79))</f>
        <v>1</v>
      </c>
      <c r="N79" s="14" t="s">
        <v>69</v>
      </c>
      <c r="O79" s="47">
        <v>46284</v>
      </c>
      <c r="P79" s="14" t="s">
        <v>530</v>
      </c>
      <c r="Q79" s="14">
        <v>1</v>
      </c>
    </row>
    <row r="80" spans="1:17" x14ac:dyDescent="0.25">
      <c r="A80" s="14" t="s">
        <v>69</v>
      </c>
      <c r="B80" s="49">
        <v>46081</v>
      </c>
      <c r="C80" s="49">
        <v>46081</v>
      </c>
      <c r="D80" s="14" t="s">
        <v>529</v>
      </c>
      <c r="E80" s="11">
        <f>IF(OR(B80="",C80=""),0,NETWORKDAYS.INTL(lentry!B80,lentry!C80,11)-SUMIFS(holly!$C$3:$C$17,HOLLYDAY,"&gt;="&amp;lentry!B80,HOLLYDAY,"&lt;="&amp;lentry!C80))</f>
        <v>1</v>
      </c>
      <c r="N80" s="14" t="s">
        <v>69</v>
      </c>
      <c r="O80" s="47">
        <v>46081</v>
      </c>
      <c r="P80" s="14" t="s">
        <v>529</v>
      </c>
      <c r="Q80" s="14">
        <v>1</v>
      </c>
    </row>
    <row r="81" spans="1:17" x14ac:dyDescent="0.25">
      <c r="A81" s="14" t="s">
        <v>69</v>
      </c>
      <c r="B81" s="49">
        <v>46382</v>
      </c>
      <c r="C81" s="49">
        <v>46382</v>
      </c>
      <c r="D81" s="14" t="s">
        <v>84</v>
      </c>
      <c r="E81" s="11">
        <f>IF(OR(B81="",C81=""),0,NETWORKDAYS.INTL(lentry!B81,lentry!C81,11)-SUMIFS(holly!$C$3:$C$17,HOLLYDAY,"&gt;="&amp;lentry!B81,HOLLYDAY,"&lt;="&amp;lentry!C81))</f>
        <v>1</v>
      </c>
      <c r="N81" s="14" t="s">
        <v>69</v>
      </c>
      <c r="O81" s="47">
        <v>46382</v>
      </c>
      <c r="P81" s="14" t="s">
        <v>84</v>
      </c>
      <c r="Q81" s="14">
        <v>1</v>
      </c>
    </row>
    <row r="82" spans="1:17" x14ac:dyDescent="0.25">
      <c r="A82" s="14" t="s">
        <v>70</v>
      </c>
      <c r="B82" s="49">
        <v>46314</v>
      </c>
      <c r="C82" s="49">
        <v>46314</v>
      </c>
      <c r="D82" s="14" t="s">
        <v>530</v>
      </c>
      <c r="E82" s="11">
        <f>IF(OR(B82="",C82=""),0,NETWORKDAYS.INTL(lentry!B82,lentry!C82,11)-SUMIFS(holly!$C$3:$C$17,HOLLYDAY,"&gt;="&amp;lentry!B82,HOLLYDAY,"&lt;="&amp;lentry!C82))</f>
        <v>1</v>
      </c>
      <c r="N82" s="14" t="s">
        <v>70</v>
      </c>
      <c r="O82" s="47">
        <v>46314</v>
      </c>
      <c r="P82" s="14" t="s">
        <v>530</v>
      </c>
      <c r="Q82" s="14">
        <v>1</v>
      </c>
    </row>
    <row r="83" spans="1:17" x14ac:dyDescent="0.25">
      <c r="A83" s="14" t="s">
        <v>70</v>
      </c>
      <c r="B83" s="49">
        <v>46281</v>
      </c>
      <c r="C83" s="49">
        <v>46282</v>
      </c>
      <c r="D83" s="14" t="s">
        <v>528</v>
      </c>
      <c r="E83" s="11">
        <f>IF(OR(B83="",C83=""),0,NETWORKDAYS.INTL(lentry!B83,lentry!C83,11)-SUMIFS(holly!$C$3:$C$17,HOLLYDAY,"&gt;="&amp;lentry!B83,HOLLYDAY,"&lt;="&amp;lentry!C83))</f>
        <v>2</v>
      </c>
      <c r="N83" s="14" t="s">
        <v>70</v>
      </c>
      <c r="O83" s="47">
        <v>46281</v>
      </c>
      <c r="P83" s="14" t="s">
        <v>528</v>
      </c>
      <c r="Q83" s="14">
        <v>2</v>
      </c>
    </row>
    <row r="84" spans="1:17" x14ac:dyDescent="0.25">
      <c r="A84" s="14" t="s">
        <v>72</v>
      </c>
      <c r="B84" s="49">
        <v>46283</v>
      </c>
      <c r="C84" s="49">
        <v>46283</v>
      </c>
      <c r="D84" s="14" t="s">
        <v>528</v>
      </c>
      <c r="E84" s="11">
        <f>IF(OR(B84="",C84=""),0,NETWORKDAYS.INTL(lentry!B84,lentry!C84,11)-SUMIFS(holly!$C$3:$C$17,HOLLYDAY,"&gt;="&amp;lentry!B84,HOLLYDAY,"&lt;="&amp;lentry!C84))</f>
        <v>1</v>
      </c>
      <c r="N84" s="14" t="s">
        <v>72</v>
      </c>
      <c r="O84" s="47">
        <v>46283</v>
      </c>
      <c r="P84" s="14" t="s">
        <v>528</v>
      </c>
      <c r="Q84" s="14">
        <v>1</v>
      </c>
    </row>
    <row r="85" spans="1:17" x14ac:dyDescent="0.25">
      <c r="A85" s="14" t="s">
        <v>72</v>
      </c>
      <c r="B85" s="49">
        <v>46058</v>
      </c>
      <c r="C85" s="49">
        <v>46058</v>
      </c>
      <c r="D85" s="14" t="s">
        <v>529</v>
      </c>
      <c r="E85" s="11">
        <f>IF(OR(B85="",C85=""),0,NETWORKDAYS.INTL(lentry!B85,lentry!C85,11)-SUMIFS(holly!$C$3:$C$17,HOLLYDAY,"&gt;="&amp;lentry!B85,HOLLYDAY,"&lt;="&amp;lentry!C85))</f>
        <v>1</v>
      </c>
      <c r="N85" s="14" t="s">
        <v>72</v>
      </c>
      <c r="O85" s="47">
        <v>46058</v>
      </c>
      <c r="P85" s="14" t="s">
        <v>529</v>
      </c>
      <c r="Q85" s="14">
        <v>1</v>
      </c>
    </row>
    <row r="86" spans="1:17" x14ac:dyDescent="0.25">
      <c r="A86" s="14" t="s">
        <v>73</v>
      </c>
      <c r="B86" s="49">
        <v>46150</v>
      </c>
      <c r="C86" s="49">
        <v>46150</v>
      </c>
      <c r="D86" s="14" t="s">
        <v>530</v>
      </c>
      <c r="E86" s="11">
        <f>IF(OR(B86="",C86=""),0,NETWORKDAYS.INTL(lentry!B86,lentry!C86,11)-SUMIFS(holly!$C$3:$C$17,HOLLYDAY,"&gt;="&amp;lentry!B86,HOLLYDAY,"&lt;="&amp;lentry!C86))</f>
        <v>1</v>
      </c>
      <c r="N86" s="14" t="s">
        <v>73</v>
      </c>
      <c r="O86" s="47">
        <v>46150</v>
      </c>
      <c r="P86" s="14" t="s">
        <v>530</v>
      </c>
      <c r="Q86" s="14">
        <v>1</v>
      </c>
    </row>
    <row r="87" spans="1:17" x14ac:dyDescent="0.25">
      <c r="A87" s="14" t="s">
        <v>73</v>
      </c>
      <c r="B87" s="49">
        <v>46066</v>
      </c>
      <c r="C87" s="49">
        <v>46066</v>
      </c>
      <c r="D87" s="14" t="s">
        <v>530</v>
      </c>
      <c r="E87" s="11">
        <f>IF(OR(B87="",C87=""),0,NETWORKDAYS.INTL(lentry!B87,lentry!C87,11)-SUMIFS(holly!$C$3:$C$17,HOLLYDAY,"&gt;="&amp;lentry!B87,HOLLYDAY,"&lt;="&amp;lentry!C87))</f>
        <v>1</v>
      </c>
      <c r="N87" s="14" t="s">
        <v>73</v>
      </c>
      <c r="O87" s="47">
        <v>46066</v>
      </c>
      <c r="P87" s="14" t="s">
        <v>530</v>
      </c>
      <c r="Q87" s="14">
        <v>1</v>
      </c>
    </row>
    <row r="88" spans="1:17" x14ac:dyDescent="0.25">
      <c r="A88" s="14" t="s">
        <v>74</v>
      </c>
      <c r="B88" s="49">
        <v>46347</v>
      </c>
      <c r="C88" s="49">
        <v>46348</v>
      </c>
      <c r="D88" s="14" t="s">
        <v>84</v>
      </c>
      <c r="E88" s="11">
        <f>IF(OR(B88="",C88=""),0,NETWORKDAYS.INTL(lentry!B88,lentry!C88,11)-SUMIFS(holly!$C$3:$C$17,HOLLYDAY,"&gt;="&amp;lentry!B88,HOLLYDAY,"&lt;="&amp;lentry!C88))</f>
        <v>1</v>
      </c>
      <c r="N88" s="14" t="s">
        <v>74</v>
      </c>
      <c r="O88" s="47">
        <v>46347</v>
      </c>
      <c r="P88" s="14" t="s">
        <v>84</v>
      </c>
      <c r="Q88" s="14">
        <v>2</v>
      </c>
    </row>
    <row r="89" spans="1:17" x14ac:dyDescent="0.25">
      <c r="A89" s="14" t="s">
        <v>74</v>
      </c>
      <c r="B89" s="49">
        <v>46215</v>
      </c>
      <c r="C89" s="49">
        <v>46215</v>
      </c>
      <c r="D89" s="14" t="s">
        <v>528</v>
      </c>
      <c r="E89" s="11">
        <f>IF(OR(B89="",C89=""),0,NETWORKDAYS.INTL(lentry!B89,lentry!C89,11)-SUMIFS(holly!$C$3:$C$17,HOLLYDAY,"&gt;="&amp;lentry!B89,HOLLYDAY,"&lt;="&amp;lentry!C89))</f>
        <v>0</v>
      </c>
      <c r="N89" s="14" t="s">
        <v>74</v>
      </c>
      <c r="O89" s="47">
        <v>46215</v>
      </c>
      <c r="P89" s="14" t="s">
        <v>528</v>
      </c>
      <c r="Q89" s="14">
        <v>1</v>
      </c>
    </row>
    <row r="90" spans="1:17" x14ac:dyDescent="0.25">
      <c r="A90" s="14" t="s">
        <v>75</v>
      </c>
      <c r="B90" s="49">
        <v>46033</v>
      </c>
      <c r="C90" s="49">
        <v>46034</v>
      </c>
      <c r="D90" s="14" t="s">
        <v>84</v>
      </c>
      <c r="E90" s="11">
        <f>IF(OR(B90="",C90=""),0,NETWORKDAYS.INTL(lentry!B90,lentry!C90,11)-SUMIFS(holly!$C$3:$C$17,HOLLYDAY,"&gt;="&amp;lentry!B90,HOLLYDAY,"&lt;="&amp;lentry!C90))</f>
        <v>1</v>
      </c>
      <c r="N90" s="14" t="s">
        <v>75</v>
      </c>
      <c r="O90" s="47">
        <v>46033</v>
      </c>
      <c r="P90" s="14" t="s">
        <v>84</v>
      </c>
      <c r="Q90" s="14">
        <v>2</v>
      </c>
    </row>
    <row r="91" spans="1:17" x14ac:dyDescent="0.25">
      <c r="A91" s="14" t="s">
        <v>75</v>
      </c>
      <c r="B91" s="49">
        <v>46154</v>
      </c>
      <c r="C91" s="49">
        <v>46154</v>
      </c>
      <c r="D91" s="14" t="s">
        <v>529</v>
      </c>
      <c r="E91" s="11">
        <f>IF(OR(B91="",C91=""),0,NETWORKDAYS.INTL(lentry!B91,lentry!C91,11)-SUMIFS(holly!$C$3:$C$17,HOLLYDAY,"&gt;="&amp;lentry!B91,HOLLYDAY,"&lt;="&amp;lentry!C91))</f>
        <v>1</v>
      </c>
      <c r="N91" s="14" t="s">
        <v>75</v>
      </c>
      <c r="O91" s="47">
        <v>46154</v>
      </c>
      <c r="P91" s="14" t="s">
        <v>529</v>
      </c>
      <c r="Q91" s="14">
        <v>1</v>
      </c>
    </row>
    <row r="92" spans="1:17" x14ac:dyDescent="0.25">
      <c r="A92" s="14" t="s">
        <v>75</v>
      </c>
      <c r="B92" s="49">
        <v>46177</v>
      </c>
      <c r="C92" s="49">
        <v>46177</v>
      </c>
      <c r="D92" s="14" t="s">
        <v>84</v>
      </c>
      <c r="E92" s="11">
        <f>IF(OR(B92="",C92=""),0,NETWORKDAYS.INTL(lentry!B92,lentry!C92,11)-SUMIFS(holly!$C$3:$C$17,HOLLYDAY,"&gt;="&amp;lentry!B92,HOLLYDAY,"&lt;="&amp;lentry!C92))</f>
        <v>1</v>
      </c>
      <c r="N92" s="14" t="s">
        <v>75</v>
      </c>
      <c r="O92" s="47">
        <v>46177</v>
      </c>
      <c r="P92" s="14" t="s">
        <v>84</v>
      </c>
      <c r="Q92" s="14">
        <v>1</v>
      </c>
    </row>
    <row r="93" spans="1:17" x14ac:dyDescent="0.25">
      <c r="A93" s="14" t="s">
        <v>75</v>
      </c>
      <c r="B93" s="49">
        <v>46255</v>
      </c>
      <c r="C93" s="49">
        <v>46255</v>
      </c>
      <c r="D93" s="14" t="s">
        <v>530</v>
      </c>
      <c r="E93" s="11">
        <f>IF(OR(B93="",C93=""),0,NETWORKDAYS.INTL(lentry!B93,lentry!C93,11)-SUMIFS(holly!$C$3:$C$17,HOLLYDAY,"&gt;="&amp;lentry!B93,HOLLYDAY,"&lt;="&amp;lentry!C93))</f>
        <v>1</v>
      </c>
      <c r="N93" s="14" t="s">
        <v>75</v>
      </c>
      <c r="O93" s="47">
        <v>46255</v>
      </c>
      <c r="P93" s="14" t="s">
        <v>530</v>
      </c>
      <c r="Q93" s="14">
        <v>1</v>
      </c>
    </row>
    <row r="94" spans="1:17" x14ac:dyDescent="0.25">
      <c r="A94" s="14" t="s">
        <v>78</v>
      </c>
      <c r="B94" s="49">
        <v>46251</v>
      </c>
      <c r="C94" s="49">
        <v>46252</v>
      </c>
      <c r="D94" s="14" t="s">
        <v>528</v>
      </c>
      <c r="E94" s="11">
        <f>IF(OR(B94="",C94=""),0,NETWORKDAYS.INTL(lentry!B94,lentry!C94,11)-SUMIFS(holly!$C$3:$C$17,HOLLYDAY,"&gt;="&amp;lentry!B94,HOLLYDAY,"&lt;="&amp;lentry!C94))</f>
        <v>2</v>
      </c>
      <c r="N94" s="14" t="s">
        <v>78</v>
      </c>
      <c r="O94" s="47">
        <v>46249</v>
      </c>
      <c r="P94" s="14" t="s">
        <v>528</v>
      </c>
      <c r="Q94" s="14">
        <v>2</v>
      </c>
    </row>
    <row r="95" spans="1:17" x14ac:dyDescent="0.25">
      <c r="A95" s="14" t="s">
        <v>78</v>
      </c>
      <c r="B95" s="49">
        <v>46102</v>
      </c>
      <c r="C95" s="49">
        <v>46102</v>
      </c>
      <c r="D95" s="14" t="s">
        <v>84</v>
      </c>
      <c r="E95" s="11">
        <f>IF(OR(B95="",C95=""),0,NETWORKDAYS.INTL(lentry!B95,lentry!C95,11)-SUMIFS(holly!$C$3:$C$17,HOLLYDAY,"&gt;="&amp;lentry!B95,HOLLYDAY,"&lt;="&amp;lentry!C95))</f>
        <v>0</v>
      </c>
      <c r="N95" s="14" t="s">
        <v>78</v>
      </c>
      <c r="O95" s="47">
        <v>46102</v>
      </c>
      <c r="P95" s="14" t="s">
        <v>84</v>
      </c>
      <c r="Q95" s="14">
        <v>1</v>
      </c>
    </row>
    <row r="96" spans="1:17" x14ac:dyDescent="0.25">
      <c r="A96" s="14" t="s">
        <v>78</v>
      </c>
      <c r="B96" s="49">
        <v>46266</v>
      </c>
      <c r="C96" s="49">
        <v>46266</v>
      </c>
      <c r="D96" s="14" t="s">
        <v>528</v>
      </c>
      <c r="E96" s="11">
        <f>IF(OR(B96="",C96=""),0,NETWORKDAYS.INTL(lentry!B96,lentry!C96,11)-SUMIFS(holly!$C$3:$C$17,HOLLYDAY,"&gt;="&amp;lentry!B96,HOLLYDAY,"&lt;="&amp;lentry!C96))</f>
        <v>1</v>
      </c>
      <c r="N96" s="14" t="s">
        <v>78</v>
      </c>
      <c r="O96" s="47">
        <v>46266</v>
      </c>
      <c r="P96" s="14" t="s">
        <v>528</v>
      </c>
      <c r="Q96" s="14">
        <v>1</v>
      </c>
    </row>
    <row r="97" spans="1:17" x14ac:dyDescent="0.25">
      <c r="A97" s="14" t="s">
        <v>79</v>
      </c>
      <c r="B97" s="49">
        <v>46143</v>
      </c>
      <c r="C97" s="49">
        <v>46143</v>
      </c>
      <c r="D97" s="14" t="s">
        <v>529</v>
      </c>
      <c r="E97" s="11">
        <f>IF(OR(B97="",C97=""),0,NETWORKDAYS.INTL(lentry!B97,lentry!C97,11)-SUMIFS(holly!$C$3:$C$17,HOLLYDAY,"&gt;="&amp;lentry!B97,HOLLYDAY,"&lt;="&amp;lentry!C97))</f>
        <v>0</v>
      </c>
      <c r="N97" s="14" t="s">
        <v>79</v>
      </c>
      <c r="O97" s="47">
        <v>46143</v>
      </c>
      <c r="P97" s="14" t="s">
        <v>529</v>
      </c>
      <c r="Q97" s="14">
        <v>1</v>
      </c>
    </row>
    <row r="98" spans="1:17" x14ac:dyDescent="0.25">
      <c r="A98" s="14" t="s">
        <v>79</v>
      </c>
      <c r="B98" s="49">
        <v>46260</v>
      </c>
      <c r="C98" s="49">
        <v>46261</v>
      </c>
      <c r="D98" s="14" t="s">
        <v>528</v>
      </c>
      <c r="E98" s="11">
        <f>IF(OR(B98="",C98=""),0,NETWORKDAYS.INTL(lentry!B98,lentry!C98,11)-SUMIFS(holly!$C$3:$C$17,HOLLYDAY,"&gt;="&amp;lentry!B98,HOLLYDAY,"&lt;="&amp;lentry!C98))</f>
        <v>1</v>
      </c>
      <c r="N98" s="14" t="s">
        <v>79</v>
      </c>
      <c r="O98" s="47">
        <v>46260</v>
      </c>
      <c r="P98" s="14" t="s">
        <v>528</v>
      </c>
      <c r="Q98" s="14">
        <v>2</v>
      </c>
    </row>
    <row r="99" spans="1:17" x14ac:dyDescent="0.25">
      <c r="A99" s="14" t="s">
        <v>80</v>
      </c>
      <c r="B99" s="49">
        <v>46309</v>
      </c>
      <c r="C99" s="49">
        <v>46310</v>
      </c>
      <c r="D99" s="14" t="s">
        <v>84</v>
      </c>
      <c r="E99" s="11">
        <f>IF(OR(B99="",C99=""),0,NETWORKDAYS.INTL(lentry!B99,lentry!C99,11)-SUMIFS(holly!$C$3:$C$17,HOLLYDAY,"&gt;="&amp;lentry!B99,HOLLYDAY,"&lt;="&amp;lentry!C99))</f>
        <v>2</v>
      </c>
      <c r="N99" s="14" t="s">
        <v>80</v>
      </c>
      <c r="O99" s="47">
        <v>46309</v>
      </c>
      <c r="P99" s="14" t="s">
        <v>84</v>
      </c>
      <c r="Q99" s="14">
        <v>2</v>
      </c>
    </row>
    <row r="100" spans="1:17" x14ac:dyDescent="0.25">
      <c r="A100" s="14" t="s">
        <v>80</v>
      </c>
      <c r="B100" s="49">
        <v>46060</v>
      </c>
      <c r="C100" s="49">
        <v>46060</v>
      </c>
      <c r="D100" s="14" t="s">
        <v>528</v>
      </c>
      <c r="E100" s="11">
        <f>IF(OR(B100="",C100=""),0,NETWORKDAYS.INTL(lentry!B100,lentry!C100,11)-SUMIFS(holly!$C$3:$C$17,HOLLYDAY,"&gt;="&amp;lentry!B100,HOLLYDAY,"&lt;="&amp;lentry!C100))</f>
        <v>1</v>
      </c>
      <c r="N100" s="14" t="s">
        <v>80</v>
      </c>
      <c r="O100" s="47">
        <v>46060</v>
      </c>
      <c r="P100" s="14" t="s">
        <v>528</v>
      </c>
      <c r="Q100" s="14">
        <v>1</v>
      </c>
    </row>
    <row r="101" spans="1:17" x14ac:dyDescent="0.25">
      <c r="A101" s="14" t="s">
        <v>80</v>
      </c>
      <c r="B101" s="49">
        <v>46240</v>
      </c>
      <c r="C101" s="49">
        <v>46241</v>
      </c>
      <c r="D101" s="14" t="s">
        <v>530</v>
      </c>
      <c r="E101" s="11">
        <f>IF(OR(B101="",C101=""),0,NETWORKDAYS.INTL(lentry!B101,lentry!C101,11)-SUMIFS(holly!$C$3:$C$17,HOLLYDAY,"&gt;="&amp;lentry!B101,HOLLYDAY,"&lt;="&amp;lentry!C101))</f>
        <v>2</v>
      </c>
      <c r="N101" s="14" t="s">
        <v>80</v>
      </c>
      <c r="O101" s="47">
        <v>46240</v>
      </c>
      <c r="P101" s="14" t="s">
        <v>530</v>
      </c>
      <c r="Q101" s="14">
        <v>2</v>
      </c>
    </row>
    <row r="102" spans="1:17" x14ac:dyDescent="0.25">
      <c r="A102" s="14" t="s">
        <v>80</v>
      </c>
      <c r="B102" s="49">
        <v>46289</v>
      </c>
      <c r="C102" s="49">
        <v>46289</v>
      </c>
      <c r="D102" s="14" t="s">
        <v>528</v>
      </c>
      <c r="E102" s="11">
        <f>IF(OR(B102="",C102=""),0,NETWORKDAYS.INTL(lentry!B102,lentry!C102,11)-SUMIFS(holly!$C$3:$C$17,HOLLYDAY,"&gt;="&amp;lentry!B102,HOLLYDAY,"&lt;="&amp;lentry!C102))</f>
        <v>1</v>
      </c>
      <c r="N102" s="14" t="s">
        <v>80</v>
      </c>
      <c r="O102" s="47">
        <v>46289</v>
      </c>
      <c r="P102" s="14" t="s">
        <v>528</v>
      </c>
      <c r="Q102" s="14">
        <v>1</v>
      </c>
    </row>
    <row r="103" spans="1:17" x14ac:dyDescent="0.25">
      <c r="A103" s="14" t="s">
        <v>6</v>
      </c>
      <c r="B103" s="50">
        <v>46237</v>
      </c>
      <c r="C103" s="50">
        <v>46238</v>
      </c>
      <c r="D103" s="11" t="s">
        <v>530</v>
      </c>
      <c r="E103" s="11">
        <f>IF(OR(B103="",C103=""),0,NETWORKDAYS.INTL(lentry!B103,lentry!C103,11)-SUMIFS(holly!$C$3:$C$17,HOLLYDAY,"&gt;="&amp;lentry!B103,HOLLYDAY,"&lt;="&amp;lentry!C103))</f>
        <v>2</v>
      </c>
    </row>
    <row r="104" spans="1:17" x14ac:dyDescent="0.25">
      <c r="E104" s="11">
        <f>IF(OR(B104="",C104=""),0,NETWORKDAYS.INTL(lentry!B104,lentry!C104,11)-SUMIFS(holly!$C$3:$C$17,HOLLYDAY,"&gt;="&amp;lentry!B104,HOLLYDAY,"&lt;="&amp;lentry!C104))</f>
        <v>0</v>
      </c>
    </row>
    <row r="105" spans="1:17" x14ac:dyDescent="0.25">
      <c r="E105" s="11">
        <f>IF(OR(B105="",C105=""),0,NETWORKDAYS.INTL(lentry!B105,lentry!C105,11)-SUMIFS(holly!$C$3:$C$17,HOLLYDAY,"&gt;="&amp;lentry!B105,HOLLYDAY,"&lt;="&amp;lentry!C105))</f>
        <v>0</v>
      </c>
    </row>
    <row r="106" spans="1:17" x14ac:dyDescent="0.25">
      <c r="E106" s="11">
        <f>IF(OR(B106="",C106=""),0,NETWORKDAYS.INTL(lentry!B106,lentry!C106,11)-SUMIFS(holly!$C$3:$C$17,HOLLYDAY,"&gt;="&amp;lentry!B106,HOLLYDAY,"&lt;="&amp;lentry!C106))</f>
        <v>0</v>
      </c>
    </row>
    <row r="107" spans="1:17" x14ac:dyDescent="0.25">
      <c r="E107" s="11">
        <f>IF(OR(B107="",C107=""),0,NETWORKDAYS.INTL(lentry!B107,lentry!C107,11)-SUMIFS(holly!$C$3:$C$17,HOLLYDAY,"&gt;="&amp;lentry!B107,HOLLYDAY,"&lt;="&amp;lentry!C107))</f>
        <v>0</v>
      </c>
    </row>
    <row r="108" spans="1:17" x14ac:dyDescent="0.25">
      <c r="E108" s="11">
        <f>IF(OR(B108="",C108=""),0,NETWORKDAYS.INTL(lentry!B108,lentry!C108,11)-SUMIFS(holly!$C$3:$C$17,HOLLYDAY,"&gt;="&amp;lentry!B108,HOLLYDAY,"&lt;="&amp;lentry!C108))</f>
        <v>0</v>
      </c>
    </row>
    <row r="109" spans="1:17" x14ac:dyDescent="0.25">
      <c r="E109" s="11">
        <f>IF(OR(B109="",C109=""),0,NETWORKDAYS.INTL(lentry!B109,lentry!C109,11)-SUMIFS(holly!$C$3:$C$17,HOLLYDAY,"&gt;="&amp;lentry!B109,HOLLYDAY,"&lt;="&amp;lentry!C109))</f>
        <v>0</v>
      </c>
    </row>
    <row r="110" spans="1:17" x14ac:dyDescent="0.25">
      <c r="E110" s="11">
        <f>IF(OR(B110="",C110=""),0,NETWORKDAYS.INTL(lentry!B110,lentry!C110,11)-SUMIFS(holly!$C$3:$C$17,HOLLYDAY,"&gt;="&amp;lentry!B110,HOLLYDAY,"&lt;="&amp;lentry!C110))</f>
        <v>0</v>
      </c>
    </row>
  </sheetData>
  <sortState xmlns:xlrd2="http://schemas.microsoft.com/office/spreadsheetml/2017/richdata2" ref="N3:Q102">
    <sortCondition ref="N3:N102"/>
  </sortState>
  <mergeCells count="3">
    <mergeCell ref="A1:E1"/>
    <mergeCell ref="G1:L1"/>
    <mergeCell ref="N1:Q1"/>
  </mergeCells>
  <phoneticPr fontId="5" type="noConversion"/>
  <conditionalFormatting sqref="Q3:Q102">
    <cfRule type="cellIs" dxfId="115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32"/>
  <sheetViews>
    <sheetView zoomScale="130" zoomScaleNormal="130" workbookViewId="0">
      <pane ySplit="2" topLeftCell="A3" activePane="bottomLeft" state="frozen"/>
      <selection pane="bottomLeft" activeCell="H43" sqref="H43"/>
    </sheetView>
  </sheetViews>
  <sheetFormatPr defaultRowHeight="15" x14ac:dyDescent="0.25"/>
  <cols>
    <col min="1" max="1" width="8.5703125" bestFit="1" customWidth="1"/>
    <col min="2" max="2" width="19.7109375" bestFit="1" customWidth="1"/>
    <col min="3" max="3" width="10.42578125" bestFit="1" customWidth="1"/>
    <col min="4" max="4" width="8.5703125" customWidth="1"/>
    <col min="5" max="5" width="19.28515625" style="9" customWidth="1"/>
    <col min="6" max="6" width="9.28515625" bestFit="1" customWidth="1"/>
    <col min="7" max="7" width="15.5703125" customWidth="1"/>
    <col min="8" max="8" width="9.42578125" style="14" bestFit="1" customWidth="1"/>
    <col min="9" max="9" width="11" customWidth="1"/>
    <col min="10" max="10" width="8.5703125" bestFit="1" customWidth="1"/>
    <col min="11" max="11" width="12" bestFit="1" customWidth="1"/>
    <col min="12" max="12" width="8.7109375" customWidth="1"/>
    <col min="13" max="13" width="8.28515625" customWidth="1"/>
    <col min="14" max="14" width="13.42578125" customWidth="1"/>
    <col min="15" max="15" width="13" customWidth="1"/>
    <col min="16" max="16" width="8.42578125" customWidth="1"/>
    <col min="17" max="17" width="17.5703125" bestFit="1" customWidth="1"/>
  </cols>
  <sheetData>
    <row r="1" spans="1:17" ht="23.25" x14ac:dyDescent="0.25">
      <c r="A1" s="56" t="s">
        <v>524</v>
      </c>
      <c r="B1" s="56"/>
      <c r="C1" s="56"/>
      <c r="D1" s="56"/>
      <c r="E1" s="56"/>
      <c r="F1" s="56"/>
      <c r="G1" s="56"/>
      <c r="H1" s="56"/>
      <c r="I1" s="27"/>
      <c r="J1" s="56" t="s">
        <v>525</v>
      </c>
      <c r="K1" s="56"/>
      <c r="L1" s="56"/>
      <c r="M1" s="56"/>
      <c r="N1" s="56"/>
      <c r="O1" s="56"/>
      <c r="P1" s="56"/>
      <c r="Q1" s="56"/>
    </row>
    <row r="2" spans="1:17" ht="45" customHeight="1" x14ac:dyDescent="0.25">
      <c r="A2" s="16" t="s">
        <v>338</v>
      </c>
      <c r="B2" s="25" t="s">
        <v>440</v>
      </c>
      <c r="C2" s="15" t="s">
        <v>358</v>
      </c>
      <c r="D2" s="16" t="s">
        <v>289</v>
      </c>
      <c r="E2" s="15" t="s">
        <v>359</v>
      </c>
      <c r="F2" s="15" t="s">
        <v>360</v>
      </c>
      <c r="G2" s="15" t="s">
        <v>290</v>
      </c>
      <c r="H2" s="16" t="s">
        <v>211</v>
      </c>
      <c r="J2" s="15" t="s">
        <v>338</v>
      </c>
      <c r="K2" s="15" t="s">
        <v>361</v>
      </c>
      <c r="L2" s="15" t="s">
        <v>295</v>
      </c>
      <c r="M2" s="15" t="s">
        <v>362</v>
      </c>
      <c r="N2" s="15" t="s">
        <v>363</v>
      </c>
      <c r="O2" s="15" t="s">
        <v>364</v>
      </c>
      <c r="P2" s="15" t="s">
        <v>365</v>
      </c>
      <c r="Q2" s="15" t="s">
        <v>291</v>
      </c>
    </row>
    <row r="3" spans="1:17" ht="15.75" x14ac:dyDescent="0.25">
      <c r="A3" s="11" t="s">
        <v>10</v>
      </c>
      <c r="B3" s="28">
        <v>45893</v>
      </c>
      <c r="C3" s="4">
        <v>50000</v>
      </c>
      <c r="D3" s="4">
        <v>4166.67</v>
      </c>
      <c r="E3" s="4">
        <f t="shared" ref="E3:E22" si="0">ROUNDUP(C3/D3,0)</f>
        <v>12</v>
      </c>
      <c r="F3" s="4">
        <f>VLOOKUP(loan!$A3,'S Sheet'!$A$3:$AD$53,25,0)</f>
        <v>0</v>
      </c>
      <c r="G3" s="29">
        <f>VLOOKUP(loan!$A3,'S Sheet'!$A$3:$AD$53,26,0)</f>
        <v>0</v>
      </c>
      <c r="H3" s="4" t="str">
        <f>IF(F3=0,"Deactive","Active")</f>
        <v>Deactive</v>
      </c>
      <c r="J3" s="11" t="s">
        <v>77</v>
      </c>
      <c r="K3" s="13">
        <v>46113</v>
      </c>
      <c r="L3" s="13" t="str">
        <f>TEXT(K3,"mmm")</f>
        <v>Apr</v>
      </c>
      <c r="M3" s="11">
        <v>15000</v>
      </c>
      <c r="N3" s="11">
        <v>5</v>
      </c>
      <c r="O3" s="11">
        <v>750</v>
      </c>
      <c r="P3" s="11">
        <v>15750</v>
      </c>
      <c r="Q3" s="11" t="s">
        <v>292</v>
      </c>
    </row>
    <row r="4" spans="1:17" ht="15.75" x14ac:dyDescent="0.25">
      <c r="A4" s="11" t="s">
        <v>17</v>
      </c>
      <c r="B4" s="28">
        <v>45834</v>
      </c>
      <c r="C4" s="4">
        <v>30000</v>
      </c>
      <c r="D4" s="4">
        <v>2500</v>
      </c>
      <c r="E4" s="4">
        <f t="shared" si="0"/>
        <v>12</v>
      </c>
      <c r="F4" s="4">
        <f>VLOOKUP(loan!$A4,'S Sheet'!$A$3:$AD$53,25,0)</f>
        <v>0</v>
      </c>
      <c r="G4" s="29">
        <f>VLOOKUP(loan!$A4,'S Sheet'!$A$3:$AD$53,26,0)</f>
        <v>0</v>
      </c>
      <c r="H4" s="4" t="str">
        <f t="shared" ref="H4:H22" si="1">IF(F4=0,"Deactive","Active")</f>
        <v>Deactive</v>
      </c>
      <c r="J4" s="11" t="s">
        <v>72</v>
      </c>
      <c r="K4" s="13">
        <v>46113</v>
      </c>
      <c r="L4" s="13" t="str">
        <f t="shared" ref="L4:L32" si="2">TEXT(K4,"mmm")</f>
        <v>Apr</v>
      </c>
      <c r="M4" s="11">
        <v>14000</v>
      </c>
      <c r="N4" s="11">
        <v>10</v>
      </c>
      <c r="O4" s="11">
        <v>1400</v>
      </c>
      <c r="P4" s="11">
        <v>15400</v>
      </c>
      <c r="Q4" s="11" t="s">
        <v>292</v>
      </c>
    </row>
    <row r="5" spans="1:17" ht="15.75" x14ac:dyDescent="0.25">
      <c r="A5" s="11" t="s">
        <v>20</v>
      </c>
      <c r="B5" s="28">
        <v>45865</v>
      </c>
      <c r="C5" s="4">
        <v>50000</v>
      </c>
      <c r="D5" s="4">
        <v>2083.33</v>
      </c>
      <c r="E5" s="4">
        <f t="shared" si="0"/>
        <v>25</v>
      </c>
      <c r="F5" s="4">
        <f>VLOOKUP(loan!$A5,'S Sheet'!$A$3:$AD$53,25,0)</f>
        <v>11</v>
      </c>
      <c r="G5" s="29">
        <f>VLOOKUP(loan!$A5,'S Sheet'!$A$3:$AD$53,26,0)</f>
        <v>22000</v>
      </c>
      <c r="H5" s="4" t="str">
        <f t="shared" si="1"/>
        <v>Active</v>
      </c>
      <c r="J5" s="11" t="s">
        <v>30</v>
      </c>
      <c r="K5" s="13">
        <v>46113</v>
      </c>
      <c r="L5" s="13" t="str">
        <f t="shared" si="2"/>
        <v>Apr</v>
      </c>
      <c r="M5" s="11">
        <v>18000</v>
      </c>
      <c r="N5" s="11">
        <v>5</v>
      </c>
      <c r="O5" s="11">
        <v>900</v>
      </c>
      <c r="P5" s="11">
        <v>18900</v>
      </c>
      <c r="Q5" s="11" t="s">
        <v>293</v>
      </c>
    </row>
    <row r="6" spans="1:17" ht="15.75" x14ac:dyDescent="0.25">
      <c r="A6" s="11" t="s">
        <v>23</v>
      </c>
      <c r="B6" s="28">
        <v>45863</v>
      </c>
      <c r="C6" s="4">
        <v>30000</v>
      </c>
      <c r="D6" s="4">
        <v>1250</v>
      </c>
      <c r="E6" s="4">
        <f t="shared" si="0"/>
        <v>24</v>
      </c>
      <c r="F6" s="4">
        <f>VLOOKUP(loan!$A6,'S Sheet'!$A$3:$AD$53,25,0)</f>
        <v>10</v>
      </c>
      <c r="G6" s="29">
        <f>VLOOKUP(loan!$A6,'S Sheet'!$A$3:$AD$53,26,0)</f>
        <v>12500</v>
      </c>
      <c r="H6" s="4" t="str">
        <f t="shared" si="1"/>
        <v>Active</v>
      </c>
      <c r="J6" s="11" t="s">
        <v>40</v>
      </c>
      <c r="K6" s="13">
        <v>46113</v>
      </c>
      <c r="L6" s="13" t="str">
        <f t="shared" si="2"/>
        <v>Apr</v>
      </c>
      <c r="M6" s="11">
        <v>22000</v>
      </c>
      <c r="N6" s="11">
        <v>8</v>
      </c>
      <c r="O6" s="11">
        <v>1760</v>
      </c>
      <c r="P6" s="11">
        <v>23760</v>
      </c>
      <c r="Q6" s="11" t="s">
        <v>292</v>
      </c>
    </row>
    <row r="7" spans="1:17" ht="15.75" x14ac:dyDescent="0.25">
      <c r="A7" s="11" t="s">
        <v>24</v>
      </c>
      <c r="B7" s="28">
        <v>45999</v>
      </c>
      <c r="C7" s="4">
        <v>50000</v>
      </c>
      <c r="D7" s="4">
        <v>2083.33</v>
      </c>
      <c r="E7" s="4">
        <f t="shared" si="0"/>
        <v>25</v>
      </c>
      <c r="F7" s="4">
        <f>VLOOKUP(loan!$A7,'S Sheet'!$A$3:$AD$53,25,0)</f>
        <v>16</v>
      </c>
      <c r="G7" s="29">
        <f>VLOOKUP(loan!$A7,'S Sheet'!$A$3:$AD$53,26,0)</f>
        <v>32000</v>
      </c>
      <c r="H7" s="4" t="str">
        <f t="shared" si="1"/>
        <v>Active</v>
      </c>
      <c r="J7" s="11" t="s">
        <v>23</v>
      </c>
      <c r="K7" s="13">
        <v>46113</v>
      </c>
      <c r="L7" s="13" t="str">
        <f t="shared" si="2"/>
        <v>Apr</v>
      </c>
      <c r="M7" s="11">
        <v>13000</v>
      </c>
      <c r="N7" s="11">
        <v>5</v>
      </c>
      <c r="O7" s="11">
        <v>650</v>
      </c>
      <c r="P7" s="11">
        <v>13650</v>
      </c>
      <c r="Q7" s="11" t="s">
        <v>294</v>
      </c>
    </row>
    <row r="8" spans="1:17" ht="15.75" x14ac:dyDescent="0.25">
      <c r="A8" s="11" t="s">
        <v>26</v>
      </c>
      <c r="B8" s="28">
        <v>45944</v>
      </c>
      <c r="C8" s="4">
        <v>75000</v>
      </c>
      <c r="D8" s="4">
        <v>6250</v>
      </c>
      <c r="E8" s="4">
        <f t="shared" si="0"/>
        <v>12</v>
      </c>
      <c r="F8" s="4">
        <f>VLOOKUP(loan!$A8,'S Sheet'!$A$3:$AD$53,25,0)</f>
        <v>1</v>
      </c>
      <c r="G8" s="29">
        <f>VLOOKUP(loan!$A8,'S Sheet'!$A$3:$AD$53,26,0)</f>
        <v>6250</v>
      </c>
      <c r="H8" s="4" t="str">
        <f t="shared" si="1"/>
        <v>Active</v>
      </c>
      <c r="J8" s="11" t="s">
        <v>78</v>
      </c>
      <c r="K8" s="13">
        <v>46113</v>
      </c>
      <c r="L8" s="13" t="str">
        <f t="shared" si="2"/>
        <v>Apr</v>
      </c>
      <c r="M8" s="11">
        <v>14000</v>
      </c>
      <c r="N8" s="11">
        <v>5</v>
      </c>
      <c r="O8" s="11">
        <v>700</v>
      </c>
      <c r="P8" s="11">
        <v>14700</v>
      </c>
      <c r="Q8" s="11" t="s">
        <v>294</v>
      </c>
    </row>
    <row r="9" spans="1:17" ht="15.75" x14ac:dyDescent="0.25">
      <c r="A9" s="11" t="s">
        <v>34</v>
      </c>
      <c r="B9" s="28">
        <v>45825</v>
      </c>
      <c r="C9" s="4">
        <v>30000</v>
      </c>
      <c r="D9" s="4">
        <v>1666.67</v>
      </c>
      <c r="E9" s="4">
        <f t="shared" si="0"/>
        <v>18</v>
      </c>
      <c r="F9" s="4">
        <f>VLOOKUP(loan!$A9,'S Sheet'!$A$3:$AD$53,25,0)</f>
        <v>3</v>
      </c>
      <c r="G9" s="29">
        <f>VLOOKUP(loan!$A9,'S Sheet'!$A$3:$AD$53,26,0)</f>
        <v>5000</v>
      </c>
      <c r="H9" s="4" t="str">
        <f t="shared" si="1"/>
        <v>Active</v>
      </c>
      <c r="J9" s="11" t="s">
        <v>42</v>
      </c>
      <c r="K9" s="13">
        <v>46113</v>
      </c>
      <c r="L9" s="13" t="str">
        <f t="shared" si="2"/>
        <v>Apr</v>
      </c>
      <c r="M9" s="11">
        <v>9000</v>
      </c>
      <c r="N9" s="11">
        <v>12</v>
      </c>
      <c r="O9" s="11">
        <v>1080</v>
      </c>
      <c r="P9" s="11">
        <v>10080</v>
      </c>
      <c r="Q9" s="11" t="s">
        <v>294</v>
      </c>
    </row>
    <row r="10" spans="1:17" ht="15.75" x14ac:dyDescent="0.25">
      <c r="A10" s="11" t="s">
        <v>37</v>
      </c>
      <c r="B10" s="28">
        <v>45747</v>
      </c>
      <c r="C10" s="4">
        <v>20000</v>
      </c>
      <c r="D10" s="4">
        <v>833.33</v>
      </c>
      <c r="E10" s="4">
        <f t="shared" si="0"/>
        <v>25</v>
      </c>
      <c r="F10" s="4">
        <f>VLOOKUP(loan!$A10,'S Sheet'!$A$3:$AD$53,25,0)</f>
        <v>7</v>
      </c>
      <c r="G10" s="29">
        <f>VLOOKUP(loan!$A10,'S Sheet'!$A$3:$AD$53,26,0)</f>
        <v>5600</v>
      </c>
      <c r="H10" s="4" t="str">
        <f t="shared" si="1"/>
        <v>Active</v>
      </c>
      <c r="J10" s="11" t="s">
        <v>33</v>
      </c>
      <c r="K10" s="13">
        <v>46113</v>
      </c>
      <c r="L10" s="13" t="str">
        <f t="shared" si="2"/>
        <v>Apr</v>
      </c>
      <c r="M10" s="11">
        <v>13000</v>
      </c>
      <c r="N10" s="11">
        <v>10</v>
      </c>
      <c r="O10" s="11">
        <v>1300</v>
      </c>
      <c r="P10" s="11">
        <v>14300</v>
      </c>
      <c r="Q10" s="11" t="s">
        <v>292</v>
      </c>
    </row>
    <row r="11" spans="1:17" ht="15.75" x14ac:dyDescent="0.25">
      <c r="A11" s="11" t="s">
        <v>45</v>
      </c>
      <c r="B11" s="28">
        <v>45964</v>
      </c>
      <c r="C11" s="4">
        <v>20000</v>
      </c>
      <c r="D11" s="4">
        <v>1666.67</v>
      </c>
      <c r="E11" s="4">
        <f t="shared" si="0"/>
        <v>12</v>
      </c>
      <c r="F11" s="4">
        <f>VLOOKUP(loan!$A11,'S Sheet'!$A$3:$AD$53,25,0)</f>
        <v>2</v>
      </c>
      <c r="G11" s="29">
        <f>VLOOKUP(loan!$A11,'S Sheet'!$A$3:$AD$53,26,0)</f>
        <v>3333.3333333333335</v>
      </c>
      <c r="H11" s="4" t="str">
        <f t="shared" si="1"/>
        <v>Active</v>
      </c>
      <c r="J11" s="11" t="s">
        <v>32</v>
      </c>
      <c r="K11" s="13">
        <v>46113</v>
      </c>
      <c r="L11" s="13" t="str">
        <f t="shared" si="2"/>
        <v>Apr</v>
      </c>
      <c r="M11" s="11">
        <v>14000</v>
      </c>
      <c r="N11" s="11">
        <v>12</v>
      </c>
      <c r="O11" s="11">
        <v>1680</v>
      </c>
      <c r="P11" s="11">
        <v>15680</v>
      </c>
      <c r="Q11" s="11" t="s">
        <v>294</v>
      </c>
    </row>
    <row r="12" spans="1:17" ht="15.75" x14ac:dyDescent="0.25">
      <c r="A12" s="11" t="s">
        <v>46</v>
      </c>
      <c r="B12" s="28">
        <v>45930</v>
      </c>
      <c r="C12" s="4">
        <v>20000</v>
      </c>
      <c r="D12" s="4">
        <v>1666.67</v>
      </c>
      <c r="E12" s="4">
        <f t="shared" si="0"/>
        <v>12</v>
      </c>
      <c r="F12" s="4">
        <f>VLOOKUP(loan!$A12,'S Sheet'!$A$3:$AD$53,25,0)</f>
        <v>0</v>
      </c>
      <c r="G12" s="29">
        <f>VLOOKUP(loan!$A12,'S Sheet'!$A$3:$AD$53,26,0)</f>
        <v>0</v>
      </c>
      <c r="H12" s="4" t="str">
        <f t="shared" si="1"/>
        <v>Deactive</v>
      </c>
      <c r="J12" s="11" t="s">
        <v>69</v>
      </c>
      <c r="K12" s="13">
        <v>46113</v>
      </c>
      <c r="L12" s="13" t="str">
        <f t="shared" si="2"/>
        <v>Apr</v>
      </c>
      <c r="M12" s="11">
        <v>12500</v>
      </c>
      <c r="N12" s="11">
        <v>5</v>
      </c>
      <c r="O12" s="11">
        <v>625</v>
      </c>
      <c r="P12" s="11">
        <v>13125</v>
      </c>
      <c r="Q12" s="11" t="s">
        <v>292</v>
      </c>
    </row>
    <row r="13" spans="1:17" ht="15.75" x14ac:dyDescent="0.25">
      <c r="A13" s="11" t="s">
        <v>47</v>
      </c>
      <c r="B13" s="28">
        <v>45697</v>
      </c>
      <c r="C13" s="4">
        <v>30000</v>
      </c>
      <c r="D13" s="4">
        <v>1666.67</v>
      </c>
      <c r="E13" s="4">
        <f t="shared" si="0"/>
        <v>18</v>
      </c>
      <c r="F13" s="4">
        <f>VLOOKUP(loan!$A13,'S Sheet'!$A$3:$AD$53,25,0)</f>
        <v>0</v>
      </c>
      <c r="G13" s="29">
        <f>VLOOKUP(loan!$A13,'S Sheet'!$A$3:$AD$53,26,0)</f>
        <v>0</v>
      </c>
      <c r="H13" s="4" t="str">
        <f t="shared" si="1"/>
        <v>Deactive</v>
      </c>
      <c r="J13" s="11" t="s">
        <v>75</v>
      </c>
      <c r="K13" s="13">
        <v>46113</v>
      </c>
      <c r="L13" s="13" t="str">
        <f t="shared" si="2"/>
        <v>Apr</v>
      </c>
      <c r="M13" s="11">
        <v>15000</v>
      </c>
      <c r="N13" s="11">
        <v>12</v>
      </c>
      <c r="O13" s="11">
        <v>1800</v>
      </c>
      <c r="P13" s="11">
        <v>16800</v>
      </c>
      <c r="Q13" s="11" t="s">
        <v>294</v>
      </c>
    </row>
    <row r="14" spans="1:17" ht="15.75" x14ac:dyDescent="0.25">
      <c r="A14" s="11" t="s">
        <v>55</v>
      </c>
      <c r="B14" s="28">
        <v>45797</v>
      </c>
      <c r="C14" s="4">
        <v>75000</v>
      </c>
      <c r="D14" s="4">
        <v>3125</v>
      </c>
      <c r="E14" s="4">
        <f t="shared" si="0"/>
        <v>24</v>
      </c>
      <c r="F14" s="4">
        <f>VLOOKUP(loan!$A14,'S Sheet'!$A$3:$AD$53,25,0)</f>
        <v>8</v>
      </c>
      <c r="G14" s="29">
        <f>VLOOKUP(loan!$A14,'S Sheet'!$A$3:$AD$53,26,0)</f>
        <v>25000</v>
      </c>
      <c r="H14" s="4" t="str">
        <f t="shared" si="1"/>
        <v>Active</v>
      </c>
      <c r="J14" s="11" t="s">
        <v>18</v>
      </c>
      <c r="K14" s="13">
        <v>46113</v>
      </c>
      <c r="L14" s="13" t="str">
        <f t="shared" si="2"/>
        <v>Apr</v>
      </c>
      <c r="M14" s="11">
        <v>12000</v>
      </c>
      <c r="N14" s="11">
        <v>7</v>
      </c>
      <c r="O14" s="11">
        <v>840</v>
      </c>
      <c r="P14" s="11">
        <v>12840</v>
      </c>
      <c r="Q14" s="11" t="s">
        <v>292</v>
      </c>
    </row>
    <row r="15" spans="1:17" ht="15.75" x14ac:dyDescent="0.25">
      <c r="A15" s="11" t="s">
        <v>56</v>
      </c>
      <c r="B15" s="28">
        <v>45878</v>
      </c>
      <c r="C15" s="4">
        <v>100000</v>
      </c>
      <c r="D15" s="4">
        <v>10000</v>
      </c>
      <c r="E15" s="4">
        <f t="shared" si="0"/>
        <v>10</v>
      </c>
      <c r="F15" s="4">
        <f>VLOOKUP(loan!$A15,'S Sheet'!$A$3:$AD$53,25,0)</f>
        <v>0</v>
      </c>
      <c r="G15" s="29">
        <f>VLOOKUP(loan!$A15,'S Sheet'!$A$3:$AD$53,26,0)</f>
        <v>0</v>
      </c>
      <c r="H15" s="4" t="str">
        <f t="shared" si="1"/>
        <v>Deactive</v>
      </c>
      <c r="J15" s="11" t="s">
        <v>79</v>
      </c>
      <c r="K15" s="13">
        <v>46113</v>
      </c>
      <c r="L15" s="13" t="str">
        <f t="shared" si="2"/>
        <v>Apr</v>
      </c>
      <c r="M15" s="11">
        <v>14000</v>
      </c>
      <c r="N15" s="11">
        <v>12</v>
      </c>
      <c r="O15" s="11">
        <v>1680</v>
      </c>
      <c r="P15" s="11">
        <v>15680</v>
      </c>
      <c r="Q15" s="11" t="s">
        <v>292</v>
      </c>
    </row>
    <row r="16" spans="1:17" ht="15.75" x14ac:dyDescent="0.25">
      <c r="A16" s="11" t="s">
        <v>62</v>
      </c>
      <c r="B16" s="28">
        <v>45837</v>
      </c>
      <c r="C16" s="4">
        <v>20000</v>
      </c>
      <c r="D16" s="4">
        <v>1666.67</v>
      </c>
      <c r="E16" s="4">
        <f t="shared" si="0"/>
        <v>12</v>
      </c>
      <c r="F16" s="4">
        <f>VLOOKUP(loan!$A16,'S Sheet'!$A$3:$AD$53,25,0)</f>
        <v>0</v>
      </c>
      <c r="G16" s="29">
        <f>VLOOKUP(loan!$A16,'S Sheet'!$A$3:$AD$53,26,0)</f>
        <v>0</v>
      </c>
      <c r="H16" s="4" t="str">
        <f t="shared" si="1"/>
        <v>Deactive</v>
      </c>
      <c r="J16" s="11" t="s">
        <v>61</v>
      </c>
      <c r="K16" s="13">
        <v>46113</v>
      </c>
      <c r="L16" s="13" t="str">
        <f t="shared" si="2"/>
        <v>Apr</v>
      </c>
      <c r="M16" s="11">
        <v>16000</v>
      </c>
      <c r="N16" s="11">
        <v>12</v>
      </c>
      <c r="O16" s="11">
        <v>1920</v>
      </c>
      <c r="P16" s="11">
        <v>17920</v>
      </c>
      <c r="Q16" s="11" t="s">
        <v>293</v>
      </c>
    </row>
    <row r="17" spans="1:17" ht="15.75" x14ac:dyDescent="0.25">
      <c r="A17" s="11" t="s">
        <v>63</v>
      </c>
      <c r="B17" s="28">
        <v>45886</v>
      </c>
      <c r="C17" s="4">
        <v>20000</v>
      </c>
      <c r="D17" s="4">
        <v>833.33</v>
      </c>
      <c r="E17" s="4">
        <f t="shared" si="0"/>
        <v>25</v>
      </c>
      <c r="F17" s="4">
        <f>VLOOKUP(loan!$A17,'S Sheet'!$A$3:$AD$53,25,0)</f>
        <v>12</v>
      </c>
      <c r="G17" s="29">
        <f>VLOOKUP(loan!$A17,'S Sheet'!$A$3:$AD$53,26,0)</f>
        <v>9600</v>
      </c>
      <c r="H17" s="4" t="str">
        <f t="shared" si="1"/>
        <v>Active</v>
      </c>
      <c r="J17" s="11" t="s">
        <v>59</v>
      </c>
      <c r="K17" s="13">
        <v>46113</v>
      </c>
      <c r="L17" s="13" t="str">
        <f t="shared" si="2"/>
        <v>Apr</v>
      </c>
      <c r="M17" s="11">
        <v>10000</v>
      </c>
      <c r="N17" s="11">
        <v>5</v>
      </c>
      <c r="O17" s="11">
        <v>500</v>
      </c>
      <c r="P17" s="11">
        <v>10500</v>
      </c>
      <c r="Q17" s="11" t="s">
        <v>292</v>
      </c>
    </row>
    <row r="18" spans="1:17" ht="15.75" x14ac:dyDescent="0.25">
      <c r="A18" s="11" t="s">
        <v>73</v>
      </c>
      <c r="B18" s="28">
        <v>45734</v>
      </c>
      <c r="C18" s="4">
        <v>50000</v>
      </c>
      <c r="D18" s="4">
        <v>5000</v>
      </c>
      <c r="E18" s="4">
        <f t="shared" si="0"/>
        <v>10</v>
      </c>
      <c r="F18" s="4">
        <f>VLOOKUP(loan!$A18,'S Sheet'!$A$3:$AD$53,25,0)</f>
        <v>0</v>
      </c>
      <c r="G18" s="29">
        <f>VLOOKUP(loan!$A18,'S Sheet'!$A$3:$AD$53,26,0)</f>
        <v>0</v>
      </c>
      <c r="H18" s="4" t="str">
        <f t="shared" si="1"/>
        <v>Deactive</v>
      </c>
      <c r="J18" s="11" t="s">
        <v>56</v>
      </c>
      <c r="K18" s="13">
        <v>46113</v>
      </c>
      <c r="L18" s="13" t="str">
        <f t="shared" si="2"/>
        <v>Apr</v>
      </c>
      <c r="M18" s="11">
        <v>16000</v>
      </c>
      <c r="N18" s="11">
        <v>5</v>
      </c>
      <c r="O18" s="11">
        <v>800</v>
      </c>
      <c r="P18" s="11">
        <v>16800</v>
      </c>
      <c r="Q18" s="11" t="s">
        <v>292</v>
      </c>
    </row>
    <row r="19" spans="1:17" ht="15.75" x14ac:dyDescent="0.25">
      <c r="A19" s="11" t="s">
        <v>74</v>
      </c>
      <c r="B19" s="28">
        <v>45996</v>
      </c>
      <c r="C19" s="4">
        <v>20000</v>
      </c>
      <c r="D19" s="4">
        <v>1111.1099999999999</v>
      </c>
      <c r="E19" s="4">
        <f t="shared" si="0"/>
        <v>19</v>
      </c>
      <c r="F19" s="4">
        <f>VLOOKUP(loan!$A19,'S Sheet'!$A$3:$AD$53,25,0)</f>
        <v>10</v>
      </c>
      <c r="G19" s="29">
        <f>VLOOKUP(loan!$A19,'S Sheet'!$A$3:$AD$53,26,0)</f>
        <v>10526.315789473683</v>
      </c>
      <c r="H19" s="4" t="str">
        <f t="shared" si="1"/>
        <v>Active</v>
      </c>
      <c r="J19" s="11" t="s">
        <v>46</v>
      </c>
      <c r="K19" s="13">
        <v>46113</v>
      </c>
      <c r="L19" s="13" t="str">
        <f t="shared" si="2"/>
        <v>Apr</v>
      </c>
      <c r="M19" s="11">
        <v>13000</v>
      </c>
      <c r="N19" s="11">
        <v>5</v>
      </c>
      <c r="O19" s="11">
        <v>650</v>
      </c>
      <c r="P19" s="11">
        <v>13650</v>
      </c>
      <c r="Q19" s="11" t="s">
        <v>294</v>
      </c>
    </row>
    <row r="20" spans="1:17" ht="15.75" x14ac:dyDescent="0.25">
      <c r="A20" s="11" t="s">
        <v>75</v>
      </c>
      <c r="B20" s="28">
        <v>45817</v>
      </c>
      <c r="C20" s="4">
        <v>50000</v>
      </c>
      <c r="D20" s="4">
        <v>5000</v>
      </c>
      <c r="E20" s="4">
        <f t="shared" si="0"/>
        <v>10</v>
      </c>
      <c r="F20" s="4">
        <f>VLOOKUP(loan!$A20,'S Sheet'!$A$3:$AD$53,25,0)</f>
        <v>0</v>
      </c>
      <c r="G20" s="29">
        <f>VLOOKUP(loan!$A20,'S Sheet'!$A$3:$AD$53,26,0)</f>
        <v>0</v>
      </c>
      <c r="H20" s="4" t="str">
        <f t="shared" si="1"/>
        <v>Deactive</v>
      </c>
      <c r="J20" s="11" t="s">
        <v>63</v>
      </c>
      <c r="K20" s="13">
        <v>46113</v>
      </c>
      <c r="L20" s="13" t="str">
        <f t="shared" si="2"/>
        <v>Apr</v>
      </c>
      <c r="M20" s="11">
        <v>16000</v>
      </c>
      <c r="N20" s="11">
        <v>7</v>
      </c>
      <c r="O20" s="11">
        <v>1120</v>
      </c>
      <c r="P20" s="11">
        <v>17120</v>
      </c>
      <c r="Q20" s="11" t="s">
        <v>293</v>
      </c>
    </row>
    <row r="21" spans="1:17" ht="15.75" x14ac:dyDescent="0.25">
      <c r="A21" s="11" t="s">
        <v>76</v>
      </c>
      <c r="B21" s="28">
        <v>45865</v>
      </c>
      <c r="C21" s="4">
        <v>75000</v>
      </c>
      <c r="D21" s="4">
        <v>4166.67</v>
      </c>
      <c r="E21" s="4">
        <f t="shared" si="0"/>
        <v>18</v>
      </c>
      <c r="F21" s="4">
        <f>VLOOKUP(loan!$A21,'S Sheet'!$A$3:$AD$53,25,0)</f>
        <v>4</v>
      </c>
      <c r="G21" s="29">
        <f>VLOOKUP(loan!$A21,'S Sheet'!$A$3:$AD$53,26,0)</f>
        <v>16666.666666666668</v>
      </c>
      <c r="H21" s="4" t="str">
        <f t="shared" si="1"/>
        <v>Active</v>
      </c>
      <c r="J21" s="11" t="s">
        <v>70</v>
      </c>
      <c r="K21" s="13">
        <v>46113</v>
      </c>
      <c r="L21" s="13" t="str">
        <f t="shared" si="2"/>
        <v>Apr</v>
      </c>
      <c r="M21" s="11">
        <v>18000</v>
      </c>
      <c r="N21" s="11">
        <v>7</v>
      </c>
      <c r="O21" s="11">
        <v>1260</v>
      </c>
      <c r="P21" s="11">
        <v>19260</v>
      </c>
      <c r="Q21" s="11" t="s">
        <v>294</v>
      </c>
    </row>
    <row r="22" spans="1:17" ht="15.75" x14ac:dyDescent="0.25">
      <c r="A22" s="11" t="s">
        <v>78</v>
      </c>
      <c r="B22" s="28">
        <v>45893</v>
      </c>
      <c r="C22" s="4">
        <v>20000</v>
      </c>
      <c r="D22" s="4">
        <v>833.33</v>
      </c>
      <c r="E22" s="4">
        <f t="shared" si="0"/>
        <v>25</v>
      </c>
      <c r="F22" s="4">
        <f>VLOOKUP(loan!$A22,'S Sheet'!$A$3:$AD$53,25,0)</f>
        <v>12</v>
      </c>
      <c r="G22" s="29">
        <f>VLOOKUP(loan!$A22,'S Sheet'!$A$3:$AD$53,26,0)</f>
        <v>9600</v>
      </c>
      <c r="H22" s="4" t="str">
        <f t="shared" si="1"/>
        <v>Active</v>
      </c>
      <c r="J22" s="11" t="s">
        <v>37</v>
      </c>
      <c r="K22" s="13">
        <v>46113</v>
      </c>
      <c r="L22" s="13" t="str">
        <f t="shared" si="2"/>
        <v>Apr</v>
      </c>
      <c r="M22" s="11">
        <v>12000</v>
      </c>
      <c r="N22" s="11">
        <v>10</v>
      </c>
      <c r="O22" s="11">
        <v>1200</v>
      </c>
      <c r="P22" s="11">
        <v>13200</v>
      </c>
      <c r="Q22" s="11" t="s">
        <v>292</v>
      </c>
    </row>
    <row r="23" spans="1:17" ht="15.75" x14ac:dyDescent="0.25">
      <c r="F23" s="11"/>
      <c r="J23" s="11" t="s">
        <v>13</v>
      </c>
      <c r="K23" s="13">
        <v>46113</v>
      </c>
      <c r="L23" s="13" t="str">
        <f t="shared" si="2"/>
        <v>Apr</v>
      </c>
      <c r="M23" s="11">
        <v>18000</v>
      </c>
      <c r="N23" s="11">
        <v>12</v>
      </c>
      <c r="O23" s="11">
        <v>2160</v>
      </c>
      <c r="P23" s="11">
        <v>20160</v>
      </c>
      <c r="Q23" s="11" t="s">
        <v>294</v>
      </c>
    </row>
    <row r="24" spans="1:17" ht="15.75" x14ac:dyDescent="0.25">
      <c r="F24" s="11"/>
      <c r="J24" s="11" t="s">
        <v>80</v>
      </c>
      <c r="K24" s="13">
        <v>46113</v>
      </c>
      <c r="L24" s="13" t="str">
        <f t="shared" si="2"/>
        <v>Apr</v>
      </c>
      <c r="M24" s="11">
        <v>9000</v>
      </c>
      <c r="N24" s="11">
        <v>12</v>
      </c>
      <c r="O24" s="11">
        <v>1080</v>
      </c>
      <c r="P24" s="11">
        <v>10080</v>
      </c>
      <c r="Q24" s="11" t="s">
        <v>293</v>
      </c>
    </row>
    <row r="25" spans="1:17" ht="15.75" x14ac:dyDescent="0.25">
      <c r="D25" s="4"/>
      <c r="E25"/>
      <c r="F25" s="11"/>
      <c r="J25" s="11" t="s">
        <v>60</v>
      </c>
      <c r="K25" s="13">
        <v>46113</v>
      </c>
      <c r="L25" s="13" t="str">
        <f t="shared" si="2"/>
        <v>Apr</v>
      </c>
      <c r="M25" s="11">
        <v>18000</v>
      </c>
      <c r="N25" s="11">
        <v>8</v>
      </c>
      <c r="O25" s="11">
        <v>1440</v>
      </c>
      <c r="P25" s="11">
        <v>19440</v>
      </c>
      <c r="Q25" s="11" t="s">
        <v>292</v>
      </c>
    </row>
    <row r="26" spans="1:17" ht="15.75" x14ac:dyDescent="0.25">
      <c r="F26" s="11"/>
      <c r="J26" s="11" t="s">
        <v>62</v>
      </c>
      <c r="K26" s="13">
        <v>46113</v>
      </c>
      <c r="L26" s="13" t="str">
        <f t="shared" si="2"/>
        <v>Apr</v>
      </c>
      <c r="M26" s="11">
        <v>11000</v>
      </c>
      <c r="N26" s="11">
        <v>8</v>
      </c>
      <c r="O26" s="11">
        <v>880</v>
      </c>
      <c r="P26" s="11">
        <v>11880</v>
      </c>
      <c r="Q26" s="11" t="s">
        <v>292</v>
      </c>
    </row>
    <row r="27" spans="1:17" ht="15.75" x14ac:dyDescent="0.25">
      <c r="F27" s="11"/>
      <c r="J27" s="11" t="s">
        <v>66</v>
      </c>
      <c r="K27" s="13">
        <v>46113</v>
      </c>
      <c r="L27" s="13" t="str">
        <f t="shared" si="2"/>
        <v>Apr</v>
      </c>
      <c r="M27" s="11">
        <v>12000</v>
      </c>
      <c r="N27" s="11">
        <v>10</v>
      </c>
      <c r="O27" s="11">
        <v>1200</v>
      </c>
      <c r="P27" s="11">
        <v>13200</v>
      </c>
      <c r="Q27" s="11" t="s">
        <v>292</v>
      </c>
    </row>
    <row r="28" spans="1:17" ht="15.75" x14ac:dyDescent="0.25">
      <c r="F28" s="11"/>
      <c r="J28" s="11" t="s">
        <v>26</v>
      </c>
      <c r="K28" s="13">
        <v>46113</v>
      </c>
      <c r="L28" s="13" t="str">
        <f t="shared" si="2"/>
        <v>Apr</v>
      </c>
      <c r="M28" s="11">
        <v>10000</v>
      </c>
      <c r="N28" s="11">
        <v>12</v>
      </c>
      <c r="O28" s="11">
        <v>1200</v>
      </c>
      <c r="P28" s="11">
        <v>11200</v>
      </c>
      <c r="Q28" s="11" t="s">
        <v>293</v>
      </c>
    </row>
    <row r="29" spans="1:17" ht="15.75" x14ac:dyDescent="0.25">
      <c r="F29" s="11"/>
      <c r="J29" s="11" t="s">
        <v>44</v>
      </c>
      <c r="K29" s="13">
        <v>46113</v>
      </c>
      <c r="L29" s="13" t="str">
        <f t="shared" si="2"/>
        <v>Apr</v>
      </c>
      <c r="M29" s="11">
        <v>20000</v>
      </c>
      <c r="N29" s="11">
        <v>8</v>
      </c>
      <c r="O29" s="11">
        <v>1600</v>
      </c>
      <c r="P29" s="11">
        <v>21600</v>
      </c>
      <c r="Q29" s="11" t="s">
        <v>293</v>
      </c>
    </row>
    <row r="30" spans="1:17" ht="15.75" x14ac:dyDescent="0.25">
      <c r="F30" s="11"/>
      <c r="J30" s="11" t="s">
        <v>10</v>
      </c>
      <c r="K30" s="13">
        <v>46113</v>
      </c>
      <c r="L30" s="13" t="str">
        <f t="shared" si="2"/>
        <v>Apr</v>
      </c>
      <c r="M30" s="11">
        <v>22000</v>
      </c>
      <c r="N30" s="11">
        <v>8</v>
      </c>
      <c r="O30" s="11">
        <v>1760</v>
      </c>
      <c r="P30" s="11">
        <v>23760</v>
      </c>
      <c r="Q30" s="11" t="s">
        <v>293</v>
      </c>
    </row>
    <row r="31" spans="1:17" ht="15.75" x14ac:dyDescent="0.25">
      <c r="F31" s="11"/>
      <c r="J31" s="11" t="s">
        <v>68</v>
      </c>
      <c r="K31" s="13">
        <v>46113</v>
      </c>
      <c r="L31" s="13" t="str">
        <f t="shared" si="2"/>
        <v>Apr</v>
      </c>
      <c r="M31" s="11">
        <v>10000</v>
      </c>
      <c r="N31" s="11">
        <v>12</v>
      </c>
      <c r="O31" s="11">
        <v>1200</v>
      </c>
      <c r="P31" s="11">
        <v>11200</v>
      </c>
      <c r="Q31" s="11" t="s">
        <v>294</v>
      </c>
    </row>
    <row r="32" spans="1:17" ht="15.75" x14ac:dyDescent="0.25">
      <c r="F32" s="11"/>
      <c r="J32" s="11" t="s">
        <v>74</v>
      </c>
      <c r="K32" s="13">
        <v>46113</v>
      </c>
      <c r="L32" s="13" t="str">
        <f t="shared" si="2"/>
        <v>Apr</v>
      </c>
      <c r="M32" s="11">
        <v>16000</v>
      </c>
      <c r="N32" s="11">
        <v>10</v>
      </c>
      <c r="O32" s="11">
        <v>1600</v>
      </c>
      <c r="P32" s="11">
        <v>17600</v>
      </c>
      <c r="Q32" s="11" t="s">
        <v>292</v>
      </c>
    </row>
  </sheetData>
  <sortState xmlns:xlrd2="http://schemas.microsoft.com/office/spreadsheetml/2017/richdata2" ref="A3:H22">
    <sortCondition ref="A3:A22"/>
  </sortState>
  <mergeCells count="2">
    <mergeCell ref="A1:H1"/>
    <mergeCell ref="J1:Q1"/>
  </mergeCells>
  <phoneticPr fontId="5" type="noConversion"/>
  <conditionalFormatting sqref="H3:H22">
    <cfRule type="cellIs" dxfId="114" priority="1" operator="equal">
      <formula>"Deactive"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984CC-78A3-4E38-B54F-9BB5894D4018}">
  <sheetPr codeName="Sheet4"/>
  <dimension ref="A1:R753"/>
  <sheetViews>
    <sheetView zoomScale="110" zoomScaleNormal="110" workbookViewId="0">
      <selection activeCell="L1" sqref="L1:R1"/>
    </sheetView>
  </sheetViews>
  <sheetFormatPr defaultRowHeight="15" x14ac:dyDescent="0.25"/>
  <cols>
    <col min="1" max="1" width="12" bestFit="1" customWidth="1"/>
    <col min="3" max="3" width="12.7109375" bestFit="1" customWidth="1"/>
    <col min="4" max="4" width="13.28515625" customWidth="1"/>
    <col min="5" max="5" width="17" bestFit="1" customWidth="1"/>
    <col min="6" max="7" width="17" customWidth="1"/>
    <col min="8" max="8" width="24" bestFit="1" customWidth="1"/>
    <col min="9" max="9" width="11" bestFit="1" customWidth="1"/>
    <col min="11" max="11" width="4.42578125" customWidth="1"/>
    <col min="12" max="12" width="10.140625" bestFit="1" customWidth="1"/>
    <col min="13" max="13" width="8.5703125" bestFit="1" customWidth="1"/>
    <col min="14" max="14" width="12.7109375" bestFit="1" customWidth="1"/>
    <col min="15" max="15" width="12.7109375" customWidth="1"/>
    <col min="16" max="16" width="19.28515625" bestFit="1" customWidth="1"/>
    <col min="17" max="17" width="16.28515625" bestFit="1" customWidth="1"/>
    <col min="18" max="18" width="9.7109375" bestFit="1" customWidth="1"/>
  </cols>
  <sheetData>
    <row r="1" spans="1:18" s="32" customFormat="1" ht="21" x14ac:dyDescent="0.35">
      <c r="A1" s="57" t="s">
        <v>442</v>
      </c>
      <c r="B1" s="57"/>
      <c r="C1" s="57"/>
      <c r="D1" s="57"/>
      <c r="E1" s="57"/>
      <c r="F1" s="57"/>
      <c r="G1" s="57"/>
      <c r="H1" s="57"/>
      <c r="I1" s="57"/>
      <c r="J1" s="57"/>
      <c r="L1" s="57" t="s">
        <v>443</v>
      </c>
      <c r="M1" s="57"/>
      <c r="N1" s="57"/>
      <c r="O1" s="57"/>
      <c r="P1" s="57"/>
      <c r="Q1" s="57"/>
      <c r="R1" s="57"/>
    </row>
    <row r="2" spans="1:18" ht="15.75" x14ac:dyDescent="0.25">
      <c r="A2" s="12" t="s">
        <v>444</v>
      </c>
      <c r="B2" s="12" t="s">
        <v>354</v>
      </c>
      <c r="C2" s="12" t="s">
        <v>445</v>
      </c>
      <c r="D2" s="12" t="s">
        <v>295</v>
      </c>
      <c r="E2" s="12" t="s">
        <v>446</v>
      </c>
      <c r="F2" s="12" t="s">
        <v>447</v>
      </c>
      <c r="G2" s="12" t="s">
        <v>448</v>
      </c>
      <c r="H2" s="12" t="s">
        <v>357</v>
      </c>
      <c r="I2" s="12" t="s">
        <v>210</v>
      </c>
      <c r="J2" s="12" t="s">
        <v>211</v>
      </c>
      <c r="L2" s="12" t="s">
        <v>366</v>
      </c>
      <c r="M2" s="12" t="s">
        <v>0</v>
      </c>
      <c r="N2" s="12" t="s">
        <v>367</v>
      </c>
      <c r="O2" s="12" t="s">
        <v>295</v>
      </c>
      <c r="P2" s="12" t="s">
        <v>368</v>
      </c>
      <c r="Q2" s="12" t="s">
        <v>369</v>
      </c>
      <c r="R2" s="12" t="s">
        <v>211</v>
      </c>
    </row>
    <row r="3" spans="1:18" ht="15.75" x14ac:dyDescent="0.25">
      <c r="A3" s="11" t="s">
        <v>220</v>
      </c>
      <c r="B3" s="11" t="s">
        <v>50</v>
      </c>
      <c r="C3" s="13">
        <v>46030</v>
      </c>
      <c r="D3" s="13" t="str">
        <f t="shared" ref="D3:D66" si="0">IF(C3="","",TEXT(C3:C1064,"mmm"))</f>
        <v>Jan</v>
      </c>
      <c r="E3" s="11">
        <v>2000</v>
      </c>
      <c r="F3" s="33">
        <v>46053</v>
      </c>
      <c r="G3" s="33" t="str">
        <f>IF(F3="","",TEXT(F3,"mmm"))</f>
        <v>Jan</v>
      </c>
      <c r="H3" s="11">
        <v>2000</v>
      </c>
      <c r="I3" s="11">
        <f>E3-H3</f>
        <v>0</v>
      </c>
      <c r="J3" s="11" t="str">
        <f>IF(I3=0,"Deactive","Active")</f>
        <v>Deactive</v>
      </c>
      <c r="K3" s="14"/>
      <c r="L3" s="11" t="s">
        <v>250</v>
      </c>
      <c r="M3" s="11" t="s">
        <v>70</v>
      </c>
      <c r="N3" s="13">
        <v>46045</v>
      </c>
      <c r="O3" s="13" t="str">
        <f t="shared" ref="O3:O34" si="1">TEXT(N3,"mmm")</f>
        <v>Jan</v>
      </c>
      <c r="P3" s="11" t="s">
        <v>239</v>
      </c>
      <c r="Q3" s="11">
        <v>5000</v>
      </c>
      <c r="R3" s="11" t="s">
        <v>83</v>
      </c>
    </row>
    <row r="4" spans="1:18" ht="15.75" x14ac:dyDescent="0.25">
      <c r="A4" s="11" t="s">
        <v>223</v>
      </c>
      <c r="B4" s="11" t="s">
        <v>23</v>
      </c>
      <c r="C4" s="13">
        <v>46035</v>
      </c>
      <c r="D4" s="13" t="str">
        <f t="shared" si="0"/>
        <v>Jan</v>
      </c>
      <c r="E4" s="11">
        <v>3000</v>
      </c>
      <c r="F4" s="33">
        <v>46053</v>
      </c>
      <c r="G4" s="33" t="str">
        <f t="shared" ref="G4:G67" si="2">IF(F4="","",TEXT(F4,"mmm"))</f>
        <v>Jan</v>
      </c>
      <c r="H4" s="11">
        <v>2000</v>
      </c>
      <c r="I4" s="11">
        <f t="shared" ref="I4:I67" si="3">E4-H4</f>
        <v>1000</v>
      </c>
      <c r="J4" s="11" t="str">
        <f t="shared" ref="J4:J67" si="4">IF(I4=0,"Deactive","Active")</f>
        <v>Active</v>
      </c>
      <c r="K4" s="14"/>
      <c r="L4" s="11" t="s">
        <v>280</v>
      </c>
      <c r="M4" s="11" t="s">
        <v>43</v>
      </c>
      <c r="N4" s="13">
        <v>46037</v>
      </c>
      <c r="O4" s="13" t="str">
        <f t="shared" si="1"/>
        <v>Jan</v>
      </c>
      <c r="P4" s="11" t="s">
        <v>237</v>
      </c>
      <c r="Q4" s="11">
        <v>2000</v>
      </c>
      <c r="R4" s="11" t="s">
        <v>83</v>
      </c>
    </row>
    <row r="5" spans="1:18" ht="15.75" x14ac:dyDescent="0.25">
      <c r="A5" s="11" t="s">
        <v>223</v>
      </c>
      <c r="B5" s="11" t="s">
        <v>23</v>
      </c>
      <c r="C5" s="13">
        <v>46066</v>
      </c>
      <c r="D5" s="13" t="str">
        <f t="shared" si="0"/>
        <v>Feb</v>
      </c>
      <c r="E5" s="11">
        <v>1000</v>
      </c>
      <c r="F5" s="33">
        <v>46081</v>
      </c>
      <c r="G5" s="33" t="str">
        <f t="shared" si="2"/>
        <v>Feb</v>
      </c>
      <c r="H5" s="11">
        <v>1000</v>
      </c>
      <c r="I5" s="11">
        <f t="shared" si="3"/>
        <v>0</v>
      </c>
      <c r="J5" s="11" t="str">
        <f t="shared" si="4"/>
        <v>Deactive</v>
      </c>
      <c r="K5" s="14"/>
      <c r="L5" s="11" t="s">
        <v>247</v>
      </c>
      <c r="M5" s="11" t="s">
        <v>78</v>
      </c>
      <c r="N5" s="13">
        <v>46055</v>
      </c>
      <c r="O5" s="13" t="str">
        <f t="shared" si="1"/>
        <v>Feb</v>
      </c>
      <c r="P5" s="11" t="s">
        <v>244</v>
      </c>
      <c r="Q5" s="11">
        <v>2500</v>
      </c>
      <c r="R5" s="11" t="s">
        <v>83</v>
      </c>
    </row>
    <row r="6" spans="1:18" ht="15.75" x14ac:dyDescent="0.25">
      <c r="A6" s="11" t="s">
        <v>234</v>
      </c>
      <c r="B6" s="11" t="s">
        <v>59</v>
      </c>
      <c r="C6" s="13">
        <v>46033</v>
      </c>
      <c r="D6" s="13" t="str">
        <f t="shared" si="0"/>
        <v>Jan</v>
      </c>
      <c r="E6" s="11">
        <v>2000</v>
      </c>
      <c r="F6" s="33">
        <v>46053</v>
      </c>
      <c r="G6" s="33" t="str">
        <f t="shared" si="2"/>
        <v>Jan</v>
      </c>
      <c r="H6" s="11">
        <v>1000</v>
      </c>
      <c r="I6" s="11">
        <f t="shared" si="3"/>
        <v>1000</v>
      </c>
      <c r="J6" s="11" t="str">
        <f t="shared" si="4"/>
        <v>Active</v>
      </c>
      <c r="K6" s="14"/>
      <c r="L6" s="11" t="s">
        <v>252</v>
      </c>
      <c r="M6" s="11" t="s">
        <v>10</v>
      </c>
      <c r="N6" s="13">
        <v>46054</v>
      </c>
      <c r="O6" s="13" t="str">
        <f t="shared" si="1"/>
        <v>Feb</v>
      </c>
      <c r="P6" s="11" t="s">
        <v>244</v>
      </c>
      <c r="Q6" s="11">
        <v>2500</v>
      </c>
      <c r="R6" s="11" t="s">
        <v>83</v>
      </c>
    </row>
    <row r="7" spans="1:18" ht="15.75" x14ac:dyDescent="0.25">
      <c r="A7" s="11" t="s">
        <v>234</v>
      </c>
      <c r="B7" s="11" t="s">
        <v>59</v>
      </c>
      <c r="C7" s="13">
        <v>46064</v>
      </c>
      <c r="D7" s="13" t="str">
        <f t="shared" si="0"/>
        <v>Feb</v>
      </c>
      <c r="E7" s="11">
        <v>1000</v>
      </c>
      <c r="F7" s="33">
        <v>46081</v>
      </c>
      <c r="G7" s="33" t="str">
        <f t="shared" si="2"/>
        <v>Feb</v>
      </c>
      <c r="H7" s="11">
        <v>1000</v>
      </c>
      <c r="I7" s="11">
        <f t="shared" si="3"/>
        <v>0</v>
      </c>
      <c r="J7" s="11" t="str">
        <f t="shared" si="4"/>
        <v>Deactive</v>
      </c>
      <c r="K7" s="14"/>
      <c r="L7" s="11" t="s">
        <v>264</v>
      </c>
      <c r="M7" s="11" t="s">
        <v>77</v>
      </c>
      <c r="N7" s="13">
        <v>46071</v>
      </c>
      <c r="O7" s="13" t="str">
        <f t="shared" si="1"/>
        <v>Feb</v>
      </c>
      <c r="P7" s="11" t="s">
        <v>244</v>
      </c>
      <c r="Q7" s="11">
        <v>2500</v>
      </c>
      <c r="R7" s="11" t="s">
        <v>83</v>
      </c>
    </row>
    <row r="8" spans="1:18" ht="15.75" x14ac:dyDescent="0.25">
      <c r="A8" s="11" t="s">
        <v>228</v>
      </c>
      <c r="B8" s="11" t="s">
        <v>78</v>
      </c>
      <c r="C8" s="13">
        <v>46073</v>
      </c>
      <c r="D8" s="13" t="str">
        <f t="shared" si="0"/>
        <v>Feb</v>
      </c>
      <c r="E8" s="11">
        <v>3000</v>
      </c>
      <c r="F8" s="33">
        <v>46081</v>
      </c>
      <c r="G8" s="33" t="str">
        <f t="shared" si="2"/>
        <v>Feb</v>
      </c>
      <c r="H8" s="11">
        <v>2000</v>
      </c>
      <c r="I8" s="11">
        <f t="shared" si="3"/>
        <v>1000</v>
      </c>
      <c r="J8" s="11" t="str">
        <f t="shared" si="4"/>
        <v>Active</v>
      </c>
      <c r="K8" s="14"/>
      <c r="L8" s="11" t="s">
        <v>267</v>
      </c>
      <c r="M8" s="11" t="s">
        <v>20</v>
      </c>
      <c r="N8" s="13">
        <v>46066</v>
      </c>
      <c r="O8" s="13" t="str">
        <f t="shared" si="1"/>
        <v>Feb</v>
      </c>
      <c r="P8" s="11" t="s">
        <v>237</v>
      </c>
      <c r="Q8" s="11">
        <v>2500</v>
      </c>
      <c r="R8" s="11" t="s">
        <v>83</v>
      </c>
    </row>
    <row r="9" spans="1:18" ht="15.75" x14ac:dyDescent="0.25">
      <c r="A9" s="11" t="s">
        <v>228</v>
      </c>
      <c r="B9" s="11" t="s">
        <v>78</v>
      </c>
      <c r="C9" s="13">
        <v>46101</v>
      </c>
      <c r="D9" s="13" t="str">
        <f t="shared" si="0"/>
        <v>Mar</v>
      </c>
      <c r="E9" s="11">
        <v>1000</v>
      </c>
      <c r="F9" s="33">
        <v>46112</v>
      </c>
      <c r="G9" s="33" t="str">
        <f t="shared" si="2"/>
        <v>Mar</v>
      </c>
      <c r="H9" s="11">
        <v>1000</v>
      </c>
      <c r="I9" s="11">
        <f t="shared" si="3"/>
        <v>0</v>
      </c>
      <c r="J9" s="11" t="str">
        <f t="shared" si="4"/>
        <v>Deactive</v>
      </c>
      <c r="K9" s="14"/>
      <c r="L9" s="11" t="s">
        <v>273</v>
      </c>
      <c r="M9" s="11" t="s">
        <v>48</v>
      </c>
      <c r="N9" s="13">
        <v>46076</v>
      </c>
      <c r="O9" s="13" t="str">
        <f t="shared" si="1"/>
        <v>Feb</v>
      </c>
      <c r="P9" s="11" t="s">
        <v>239</v>
      </c>
      <c r="Q9" s="11">
        <v>3000</v>
      </c>
      <c r="R9" s="11" t="s">
        <v>83</v>
      </c>
    </row>
    <row r="10" spans="1:18" ht="15.75" x14ac:dyDescent="0.25">
      <c r="A10" s="11" t="s">
        <v>231</v>
      </c>
      <c r="B10" s="11" t="s">
        <v>56</v>
      </c>
      <c r="C10" s="13">
        <v>46073</v>
      </c>
      <c r="D10" s="13" t="str">
        <f t="shared" si="0"/>
        <v>Feb</v>
      </c>
      <c r="E10" s="11">
        <v>3000</v>
      </c>
      <c r="F10" s="33">
        <v>46081</v>
      </c>
      <c r="G10" s="33" t="str">
        <f t="shared" si="2"/>
        <v>Feb</v>
      </c>
      <c r="H10" s="11">
        <v>1500</v>
      </c>
      <c r="I10" s="11">
        <f t="shared" si="3"/>
        <v>1500</v>
      </c>
      <c r="J10" s="11" t="str">
        <f t="shared" si="4"/>
        <v>Active</v>
      </c>
      <c r="K10" s="14"/>
      <c r="L10" s="11" t="s">
        <v>275</v>
      </c>
      <c r="M10" s="11" t="s">
        <v>37</v>
      </c>
      <c r="N10" s="13">
        <v>46078</v>
      </c>
      <c r="O10" s="13" t="str">
        <f t="shared" si="1"/>
        <v>Feb</v>
      </c>
      <c r="P10" s="11" t="s">
        <v>244</v>
      </c>
      <c r="Q10" s="11">
        <v>3000</v>
      </c>
      <c r="R10" s="11" t="s">
        <v>83</v>
      </c>
    </row>
    <row r="11" spans="1:18" ht="15.75" x14ac:dyDescent="0.25">
      <c r="A11" s="11" t="s">
        <v>231</v>
      </c>
      <c r="B11" s="11" t="s">
        <v>56</v>
      </c>
      <c r="C11" s="13">
        <v>46101</v>
      </c>
      <c r="D11" s="13" t="str">
        <f t="shared" si="0"/>
        <v>Mar</v>
      </c>
      <c r="E11" s="11">
        <v>1500</v>
      </c>
      <c r="F11" s="33">
        <v>46112</v>
      </c>
      <c r="G11" s="33" t="str">
        <f t="shared" si="2"/>
        <v>Mar</v>
      </c>
      <c r="H11" s="11">
        <v>1500</v>
      </c>
      <c r="I11" s="11">
        <f t="shared" si="3"/>
        <v>0</v>
      </c>
      <c r="J11" s="11" t="str">
        <f t="shared" si="4"/>
        <v>Deactive</v>
      </c>
      <c r="K11" s="14"/>
      <c r="L11" s="11" t="s">
        <v>276</v>
      </c>
      <c r="M11" s="11" t="s">
        <v>50</v>
      </c>
      <c r="N11" s="13">
        <v>46081</v>
      </c>
      <c r="O11" s="13" t="str">
        <f t="shared" si="1"/>
        <v>Feb</v>
      </c>
      <c r="P11" s="11" t="s">
        <v>244</v>
      </c>
      <c r="Q11" s="11">
        <v>3000</v>
      </c>
      <c r="R11" s="11" t="s">
        <v>83</v>
      </c>
    </row>
    <row r="12" spans="1:18" ht="15.75" x14ac:dyDescent="0.25">
      <c r="A12" s="11" t="s">
        <v>232</v>
      </c>
      <c r="B12" s="11" t="s">
        <v>74</v>
      </c>
      <c r="C12" s="13">
        <v>46054</v>
      </c>
      <c r="D12" s="13" t="str">
        <f t="shared" si="0"/>
        <v>Feb</v>
      </c>
      <c r="E12" s="11">
        <v>5000</v>
      </c>
      <c r="F12" s="33">
        <v>46081</v>
      </c>
      <c r="G12" s="33" t="str">
        <f t="shared" si="2"/>
        <v>Feb</v>
      </c>
      <c r="H12" s="11">
        <v>1500</v>
      </c>
      <c r="I12" s="11">
        <f t="shared" si="3"/>
        <v>3500</v>
      </c>
      <c r="J12" s="11" t="str">
        <f t="shared" si="4"/>
        <v>Active</v>
      </c>
      <c r="K12" s="14"/>
      <c r="L12" s="11" t="s">
        <v>238</v>
      </c>
      <c r="M12" s="11" t="s">
        <v>47</v>
      </c>
      <c r="N12" s="13">
        <v>46098</v>
      </c>
      <c r="O12" s="13" t="str">
        <f t="shared" si="1"/>
        <v>Mar</v>
      </c>
      <c r="P12" s="11" t="s">
        <v>239</v>
      </c>
      <c r="Q12" s="11">
        <v>1000</v>
      </c>
      <c r="R12" s="11" t="s">
        <v>83</v>
      </c>
    </row>
    <row r="13" spans="1:18" ht="15.75" x14ac:dyDescent="0.25">
      <c r="A13" s="11" t="s">
        <v>232</v>
      </c>
      <c r="B13" s="11" t="s">
        <v>74</v>
      </c>
      <c r="C13" s="13">
        <v>46084</v>
      </c>
      <c r="D13" s="13" t="str">
        <f t="shared" si="0"/>
        <v>Mar</v>
      </c>
      <c r="E13" s="11">
        <v>3500</v>
      </c>
      <c r="F13" s="33">
        <v>46112</v>
      </c>
      <c r="G13" s="33" t="str">
        <f t="shared" si="2"/>
        <v>Mar</v>
      </c>
      <c r="H13" s="11">
        <v>2000</v>
      </c>
      <c r="I13" s="11">
        <f t="shared" si="3"/>
        <v>1500</v>
      </c>
      <c r="J13" s="11" t="str">
        <f t="shared" si="4"/>
        <v>Active</v>
      </c>
      <c r="K13" s="14"/>
      <c r="L13" s="11" t="s">
        <v>240</v>
      </c>
      <c r="M13" s="11" t="s">
        <v>43</v>
      </c>
      <c r="N13" s="13">
        <v>46097</v>
      </c>
      <c r="O13" s="13" t="str">
        <f t="shared" si="1"/>
        <v>Mar</v>
      </c>
      <c r="P13" s="11" t="s">
        <v>237</v>
      </c>
      <c r="Q13" s="11">
        <v>3000</v>
      </c>
      <c r="R13" s="11" t="s">
        <v>83</v>
      </c>
    </row>
    <row r="14" spans="1:18" ht="15.75" x14ac:dyDescent="0.25">
      <c r="A14" s="11" t="s">
        <v>232</v>
      </c>
      <c r="B14" s="11" t="s">
        <v>74</v>
      </c>
      <c r="C14" s="13">
        <v>46117</v>
      </c>
      <c r="D14" s="13" t="str">
        <f t="shared" si="0"/>
        <v>Apr</v>
      </c>
      <c r="E14" s="11">
        <v>1500</v>
      </c>
      <c r="F14" s="33">
        <v>46142</v>
      </c>
      <c r="G14" s="33" t="str">
        <f t="shared" si="2"/>
        <v>Apr</v>
      </c>
      <c r="H14" s="11">
        <v>1500</v>
      </c>
      <c r="I14" s="11">
        <f t="shared" si="3"/>
        <v>0</v>
      </c>
      <c r="J14" s="11" t="str">
        <f t="shared" si="4"/>
        <v>Deactive</v>
      </c>
      <c r="K14" s="14"/>
      <c r="L14" s="11" t="s">
        <v>241</v>
      </c>
      <c r="M14" s="11" t="s">
        <v>42</v>
      </c>
      <c r="N14" s="13">
        <v>46112</v>
      </c>
      <c r="O14" s="13" t="str">
        <f t="shared" si="1"/>
        <v>Mar</v>
      </c>
      <c r="P14" s="11" t="s">
        <v>237</v>
      </c>
      <c r="Q14" s="11">
        <v>5000</v>
      </c>
      <c r="R14" s="11" t="s">
        <v>83</v>
      </c>
    </row>
    <row r="15" spans="1:18" ht="15.75" x14ac:dyDescent="0.25">
      <c r="A15" s="11" t="s">
        <v>213</v>
      </c>
      <c r="B15" s="11" t="s">
        <v>71</v>
      </c>
      <c r="C15" s="13">
        <v>46093</v>
      </c>
      <c r="D15" s="13" t="str">
        <f t="shared" si="0"/>
        <v>Mar</v>
      </c>
      <c r="E15" s="11">
        <v>3000</v>
      </c>
      <c r="F15" s="33">
        <v>46142</v>
      </c>
      <c r="G15" s="33" t="str">
        <f t="shared" si="2"/>
        <v>Apr</v>
      </c>
      <c r="H15" s="11">
        <v>1500</v>
      </c>
      <c r="I15" s="11">
        <f t="shared" si="3"/>
        <v>1500</v>
      </c>
      <c r="J15" s="11" t="str">
        <f t="shared" si="4"/>
        <v>Active</v>
      </c>
      <c r="K15" s="14"/>
      <c r="L15" s="11" t="s">
        <v>242</v>
      </c>
      <c r="M15" s="11" t="s">
        <v>10</v>
      </c>
      <c r="N15" s="13">
        <v>46090</v>
      </c>
      <c r="O15" s="13" t="str">
        <f t="shared" si="1"/>
        <v>Mar</v>
      </c>
      <c r="P15" s="11" t="s">
        <v>237</v>
      </c>
      <c r="Q15" s="11">
        <v>2000</v>
      </c>
      <c r="R15" s="11" t="s">
        <v>83</v>
      </c>
    </row>
    <row r="16" spans="1:18" ht="15.75" x14ac:dyDescent="0.25">
      <c r="A16" s="11" t="s">
        <v>213</v>
      </c>
      <c r="B16" s="11" t="s">
        <v>71</v>
      </c>
      <c r="C16" s="13">
        <v>46124</v>
      </c>
      <c r="D16" s="13" t="str">
        <f t="shared" si="0"/>
        <v>Apr</v>
      </c>
      <c r="E16" s="11">
        <v>1500</v>
      </c>
      <c r="F16" s="33">
        <v>46173</v>
      </c>
      <c r="G16" s="33" t="str">
        <f t="shared" si="2"/>
        <v>May</v>
      </c>
      <c r="H16" s="11">
        <v>1500</v>
      </c>
      <c r="I16" s="11">
        <f t="shared" si="3"/>
        <v>0</v>
      </c>
      <c r="J16" s="11" t="str">
        <f t="shared" si="4"/>
        <v>Deactive</v>
      </c>
      <c r="K16" s="14"/>
      <c r="L16" s="11" t="s">
        <v>274</v>
      </c>
      <c r="M16" s="11" t="s">
        <v>34</v>
      </c>
      <c r="N16" s="13">
        <v>46102</v>
      </c>
      <c r="O16" s="13" t="str">
        <f t="shared" si="1"/>
        <v>Mar</v>
      </c>
      <c r="P16" s="11" t="s">
        <v>239</v>
      </c>
      <c r="Q16" s="11">
        <v>2500</v>
      </c>
      <c r="R16" s="11" t="s">
        <v>83</v>
      </c>
    </row>
    <row r="17" spans="1:18" ht="15.75" x14ac:dyDescent="0.25">
      <c r="A17" s="11" t="s">
        <v>215</v>
      </c>
      <c r="B17" s="11" t="s">
        <v>56</v>
      </c>
      <c r="C17" s="13">
        <v>46090</v>
      </c>
      <c r="D17" s="13" t="str">
        <f t="shared" si="0"/>
        <v>Mar</v>
      </c>
      <c r="E17" s="11">
        <v>2000</v>
      </c>
      <c r="F17" s="33">
        <v>46112</v>
      </c>
      <c r="G17" s="33" t="str">
        <f t="shared" si="2"/>
        <v>Mar</v>
      </c>
      <c r="H17" s="11">
        <v>1500</v>
      </c>
      <c r="I17" s="11">
        <f t="shared" si="3"/>
        <v>500</v>
      </c>
      <c r="J17" s="11" t="str">
        <f t="shared" si="4"/>
        <v>Active</v>
      </c>
      <c r="K17" s="14"/>
      <c r="L17" s="11" t="s">
        <v>282</v>
      </c>
      <c r="M17" s="11" t="s">
        <v>6</v>
      </c>
      <c r="N17" s="13">
        <v>46115</v>
      </c>
      <c r="O17" s="13" t="str">
        <f t="shared" si="1"/>
        <v>Apr</v>
      </c>
      <c r="P17" s="11" t="s">
        <v>237</v>
      </c>
      <c r="Q17" s="11">
        <v>3000</v>
      </c>
      <c r="R17" s="11" t="s">
        <v>83</v>
      </c>
    </row>
    <row r="18" spans="1:18" ht="15.75" x14ac:dyDescent="0.25">
      <c r="A18" s="11" t="s">
        <v>215</v>
      </c>
      <c r="B18" s="11" t="s">
        <v>56</v>
      </c>
      <c r="C18" s="13">
        <v>46121</v>
      </c>
      <c r="D18" s="13" t="str">
        <f t="shared" si="0"/>
        <v>Apr</v>
      </c>
      <c r="E18" s="11">
        <v>500</v>
      </c>
      <c r="F18" s="33">
        <v>46142</v>
      </c>
      <c r="G18" s="33" t="str">
        <f t="shared" si="2"/>
        <v>Apr</v>
      </c>
      <c r="H18" s="11">
        <v>500</v>
      </c>
      <c r="I18" s="11">
        <f t="shared" si="3"/>
        <v>0</v>
      </c>
      <c r="J18" s="11" t="str">
        <f t="shared" si="4"/>
        <v>Deactive</v>
      </c>
      <c r="K18" s="14"/>
      <c r="L18" s="11" t="s">
        <v>245</v>
      </c>
      <c r="M18" s="11" t="s">
        <v>32</v>
      </c>
      <c r="N18" s="13">
        <v>46158</v>
      </c>
      <c r="O18" s="13" t="str">
        <f t="shared" si="1"/>
        <v>May</v>
      </c>
      <c r="P18" s="11" t="s">
        <v>237</v>
      </c>
      <c r="Q18" s="11">
        <v>1500</v>
      </c>
      <c r="R18" s="11" t="s">
        <v>83</v>
      </c>
    </row>
    <row r="19" spans="1:18" ht="15.75" x14ac:dyDescent="0.25">
      <c r="A19" s="11" t="s">
        <v>217</v>
      </c>
      <c r="B19" s="11" t="s">
        <v>50</v>
      </c>
      <c r="C19" s="13">
        <v>46107</v>
      </c>
      <c r="D19" s="13" t="str">
        <f t="shared" si="0"/>
        <v>Mar</v>
      </c>
      <c r="E19" s="11">
        <v>10000</v>
      </c>
      <c r="F19" s="33">
        <v>46112</v>
      </c>
      <c r="G19" s="33" t="str">
        <f t="shared" si="2"/>
        <v>Mar</v>
      </c>
      <c r="H19" s="11">
        <v>1500</v>
      </c>
      <c r="I19" s="11">
        <f t="shared" si="3"/>
        <v>8500</v>
      </c>
      <c r="J19" s="11" t="str">
        <f t="shared" si="4"/>
        <v>Active</v>
      </c>
      <c r="K19" s="14"/>
      <c r="L19" s="11" t="s">
        <v>256</v>
      </c>
      <c r="M19" s="11" t="s">
        <v>26</v>
      </c>
      <c r="N19" s="13">
        <v>46163</v>
      </c>
      <c r="O19" s="13" t="str">
        <f t="shared" si="1"/>
        <v>May</v>
      </c>
      <c r="P19" s="11" t="s">
        <v>239</v>
      </c>
      <c r="Q19" s="11">
        <v>5000</v>
      </c>
      <c r="R19" s="11" t="s">
        <v>83</v>
      </c>
    </row>
    <row r="20" spans="1:18" ht="15.75" x14ac:dyDescent="0.25">
      <c r="A20" s="11" t="s">
        <v>217</v>
      </c>
      <c r="B20" s="11" t="s">
        <v>50</v>
      </c>
      <c r="C20" s="13">
        <v>46138</v>
      </c>
      <c r="D20" s="13" t="str">
        <f t="shared" si="0"/>
        <v>Apr</v>
      </c>
      <c r="E20" s="11">
        <v>8500</v>
      </c>
      <c r="F20" s="33">
        <v>46142</v>
      </c>
      <c r="G20" s="33" t="str">
        <f t="shared" si="2"/>
        <v>Apr</v>
      </c>
      <c r="H20" s="11">
        <v>2500</v>
      </c>
      <c r="I20" s="11">
        <f t="shared" si="3"/>
        <v>6000</v>
      </c>
      <c r="J20" s="11" t="str">
        <f t="shared" si="4"/>
        <v>Active</v>
      </c>
      <c r="K20" s="14"/>
      <c r="L20" s="11" t="s">
        <v>272</v>
      </c>
      <c r="M20" s="11" t="s">
        <v>17</v>
      </c>
      <c r="N20" s="13">
        <v>46170</v>
      </c>
      <c r="O20" s="13" t="str">
        <f t="shared" si="1"/>
        <v>May</v>
      </c>
      <c r="P20" s="11" t="s">
        <v>239</v>
      </c>
      <c r="Q20" s="11">
        <v>2000</v>
      </c>
      <c r="R20" s="11" t="s">
        <v>83</v>
      </c>
    </row>
    <row r="21" spans="1:18" ht="15.75" x14ac:dyDescent="0.25">
      <c r="A21" s="11" t="s">
        <v>217</v>
      </c>
      <c r="B21" s="11" t="s">
        <v>50</v>
      </c>
      <c r="C21" s="13">
        <v>46168</v>
      </c>
      <c r="D21" s="13" t="str">
        <f t="shared" si="0"/>
        <v>May</v>
      </c>
      <c r="E21" s="11">
        <v>6000</v>
      </c>
      <c r="F21" s="33">
        <v>46173</v>
      </c>
      <c r="G21" s="33" t="str">
        <f t="shared" si="2"/>
        <v>May</v>
      </c>
      <c r="H21" s="11">
        <v>2000</v>
      </c>
      <c r="I21" s="11">
        <f t="shared" si="3"/>
        <v>4000</v>
      </c>
      <c r="J21" s="11" t="str">
        <f t="shared" si="4"/>
        <v>Active</v>
      </c>
      <c r="K21" s="14"/>
      <c r="L21" s="11" t="s">
        <v>251</v>
      </c>
      <c r="M21" s="11" t="s">
        <v>63</v>
      </c>
      <c r="N21" s="13">
        <v>46177</v>
      </c>
      <c r="O21" s="13" t="str">
        <f t="shared" si="1"/>
        <v>Jun</v>
      </c>
      <c r="P21" s="11" t="s">
        <v>244</v>
      </c>
      <c r="Q21" s="11">
        <v>5000</v>
      </c>
      <c r="R21" s="11" t="s">
        <v>83</v>
      </c>
    </row>
    <row r="22" spans="1:18" ht="15.75" x14ac:dyDescent="0.25">
      <c r="A22" s="11" t="s">
        <v>217</v>
      </c>
      <c r="B22" s="11" t="s">
        <v>50</v>
      </c>
      <c r="C22" s="13">
        <v>46199</v>
      </c>
      <c r="D22" s="13" t="str">
        <f t="shared" si="0"/>
        <v>Jun</v>
      </c>
      <c r="E22" s="11">
        <v>4000</v>
      </c>
      <c r="F22" s="33">
        <v>46203</v>
      </c>
      <c r="G22" s="33" t="str">
        <f t="shared" si="2"/>
        <v>Jun</v>
      </c>
      <c r="H22" s="11">
        <v>2000</v>
      </c>
      <c r="I22" s="11">
        <f t="shared" si="3"/>
        <v>2000</v>
      </c>
      <c r="J22" s="11" t="str">
        <f t="shared" si="4"/>
        <v>Active</v>
      </c>
      <c r="K22" s="14"/>
      <c r="L22" s="11" t="s">
        <v>281</v>
      </c>
      <c r="M22" s="11" t="s">
        <v>75</v>
      </c>
      <c r="N22" s="13">
        <v>46181</v>
      </c>
      <c r="O22" s="13" t="str">
        <f t="shared" si="1"/>
        <v>Jun</v>
      </c>
      <c r="P22" s="11" t="s">
        <v>244</v>
      </c>
      <c r="Q22" s="11">
        <v>2000</v>
      </c>
      <c r="R22" s="11" t="s">
        <v>83</v>
      </c>
    </row>
    <row r="23" spans="1:18" ht="15.75" x14ac:dyDescent="0.25">
      <c r="A23" s="11" t="s">
        <v>217</v>
      </c>
      <c r="B23" s="11" t="s">
        <v>50</v>
      </c>
      <c r="C23" s="13">
        <v>46229</v>
      </c>
      <c r="D23" s="13" t="str">
        <f t="shared" si="0"/>
        <v>Jul</v>
      </c>
      <c r="E23" s="11">
        <v>2000</v>
      </c>
      <c r="F23" s="33">
        <v>46234</v>
      </c>
      <c r="G23" s="33" t="str">
        <f t="shared" si="2"/>
        <v>Jul</v>
      </c>
      <c r="H23" s="11">
        <v>2000</v>
      </c>
      <c r="I23" s="11">
        <f t="shared" si="3"/>
        <v>0</v>
      </c>
      <c r="J23" s="11" t="str">
        <f t="shared" si="4"/>
        <v>Deactive</v>
      </c>
      <c r="K23" s="14"/>
      <c r="L23" s="11" t="s">
        <v>287</v>
      </c>
      <c r="M23" s="11" t="s">
        <v>50</v>
      </c>
      <c r="N23" s="13">
        <v>46182</v>
      </c>
      <c r="O23" s="13" t="str">
        <f t="shared" si="1"/>
        <v>Jun</v>
      </c>
      <c r="P23" s="11" t="s">
        <v>239</v>
      </c>
      <c r="Q23" s="11">
        <v>2000</v>
      </c>
      <c r="R23" s="11" t="s">
        <v>83</v>
      </c>
    </row>
    <row r="24" spans="1:18" ht="15.75" x14ac:dyDescent="0.25">
      <c r="A24" s="11" t="s">
        <v>219</v>
      </c>
      <c r="B24" s="11" t="s">
        <v>24</v>
      </c>
      <c r="C24" s="13">
        <v>46095</v>
      </c>
      <c r="D24" s="13" t="str">
        <f t="shared" si="0"/>
        <v>Mar</v>
      </c>
      <c r="E24" s="11">
        <v>7500</v>
      </c>
      <c r="F24" s="33">
        <v>46112</v>
      </c>
      <c r="G24" s="33" t="str">
        <f t="shared" si="2"/>
        <v>Mar</v>
      </c>
      <c r="H24" s="11">
        <v>500</v>
      </c>
      <c r="I24" s="11">
        <f t="shared" si="3"/>
        <v>7000</v>
      </c>
      <c r="J24" s="11" t="str">
        <f t="shared" si="4"/>
        <v>Active</v>
      </c>
      <c r="K24" s="14"/>
      <c r="L24" s="11" t="s">
        <v>248</v>
      </c>
      <c r="M24" s="11" t="s">
        <v>80</v>
      </c>
      <c r="N24" s="13">
        <v>46208</v>
      </c>
      <c r="O24" s="13" t="str">
        <f t="shared" si="1"/>
        <v>Jul</v>
      </c>
      <c r="P24" s="11" t="s">
        <v>239</v>
      </c>
      <c r="Q24" s="11">
        <v>3000</v>
      </c>
      <c r="R24" s="11" t="s">
        <v>83</v>
      </c>
    </row>
    <row r="25" spans="1:18" ht="15.75" x14ac:dyDescent="0.25">
      <c r="A25" s="11" t="s">
        <v>219</v>
      </c>
      <c r="B25" s="11" t="s">
        <v>24</v>
      </c>
      <c r="C25" s="13">
        <v>46126</v>
      </c>
      <c r="D25" s="13" t="str">
        <f t="shared" si="0"/>
        <v>Apr</v>
      </c>
      <c r="E25" s="11">
        <v>7000</v>
      </c>
      <c r="F25" s="33">
        <v>46142</v>
      </c>
      <c r="G25" s="33" t="str">
        <f t="shared" si="2"/>
        <v>Apr</v>
      </c>
      <c r="H25" s="11">
        <v>2000</v>
      </c>
      <c r="I25" s="11">
        <f t="shared" si="3"/>
        <v>5000</v>
      </c>
      <c r="J25" s="11" t="str">
        <f t="shared" si="4"/>
        <v>Active</v>
      </c>
      <c r="K25" s="14"/>
      <c r="L25" s="11" t="s">
        <v>268</v>
      </c>
      <c r="M25" s="11" t="s">
        <v>23</v>
      </c>
      <c r="N25" s="13">
        <v>46213</v>
      </c>
      <c r="O25" s="13" t="str">
        <f t="shared" si="1"/>
        <v>Jul</v>
      </c>
      <c r="P25" s="11" t="s">
        <v>237</v>
      </c>
      <c r="Q25" s="11">
        <v>3000</v>
      </c>
      <c r="R25" s="11" t="s">
        <v>83</v>
      </c>
    </row>
    <row r="26" spans="1:18" ht="15.75" x14ac:dyDescent="0.25">
      <c r="A26" s="11" t="s">
        <v>219</v>
      </c>
      <c r="B26" s="11" t="s">
        <v>24</v>
      </c>
      <c r="C26" s="13">
        <v>46156</v>
      </c>
      <c r="D26" s="13" t="str">
        <f t="shared" si="0"/>
        <v>May</v>
      </c>
      <c r="E26" s="11">
        <v>5000</v>
      </c>
      <c r="F26" s="33">
        <v>46172</v>
      </c>
      <c r="G26" s="33" t="str">
        <f t="shared" si="2"/>
        <v>May</v>
      </c>
      <c r="H26" s="11">
        <v>1500</v>
      </c>
      <c r="I26" s="11">
        <f t="shared" si="3"/>
        <v>3500</v>
      </c>
      <c r="J26" s="11" t="str">
        <f t="shared" si="4"/>
        <v>Active</v>
      </c>
      <c r="K26" s="14"/>
      <c r="L26" s="11" t="s">
        <v>283</v>
      </c>
      <c r="M26" s="11" t="s">
        <v>73</v>
      </c>
      <c r="N26" s="13">
        <v>46228</v>
      </c>
      <c r="O26" s="13" t="str">
        <f t="shared" si="1"/>
        <v>Jul</v>
      </c>
      <c r="P26" s="11" t="s">
        <v>237</v>
      </c>
      <c r="Q26" s="11">
        <v>1500</v>
      </c>
      <c r="R26" s="11" t="s">
        <v>83</v>
      </c>
    </row>
    <row r="27" spans="1:18" ht="15.75" x14ac:dyDescent="0.25">
      <c r="A27" s="11" t="s">
        <v>219</v>
      </c>
      <c r="B27" s="11" t="s">
        <v>24</v>
      </c>
      <c r="C27" s="13">
        <v>46187</v>
      </c>
      <c r="D27" s="13" t="str">
        <f t="shared" si="0"/>
        <v>Jun</v>
      </c>
      <c r="E27" s="11">
        <v>3500</v>
      </c>
      <c r="F27" s="33">
        <v>46203</v>
      </c>
      <c r="G27" s="33" t="str">
        <f t="shared" si="2"/>
        <v>Jun</v>
      </c>
      <c r="H27" s="11">
        <v>2000</v>
      </c>
      <c r="I27" s="11">
        <f t="shared" si="3"/>
        <v>1500</v>
      </c>
      <c r="J27" s="11" t="str">
        <f t="shared" si="4"/>
        <v>Active</v>
      </c>
      <c r="K27" s="14"/>
      <c r="L27" s="11" t="s">
        <v>246</v>
      </c>
      <c r="M27" s="11" t="s">
        <v>78</v>
      </c>
      <c r="N27" s="13">
        <v>46238</v>
      </c>
      <c r="O27" s="13" t="str">
        <f t="shared" si="1"/>
        <v>Aug</v>
      </c>
      <c r="P27" s="11" t="s">
        <v>239</v>
      </c>
      <c r="Q27" s="11">
        <v>1000</v>
      </c>
      <c r="R27" s="11" t="s">
        <v>83</v>
      </c>
    </row>
    <row r="28" spans="1:18" ht="15.75" x14ac:dyDescent="0.25">
      <c r="A28" s="11" t="s">
        <v>219</v>
      </c>
      <c r="B28" s="11" t="s">
        <v>24</v>
      </c>
      <c r="C28" s="13">
        <v>46217</v>
      </c>
      <c r="D28" s="13" t="str">
        <f t="shared" si="0"/>
        <v>Jul</v>
      </c>
      <c r="E28" s="11">
        <v>1500</v>
      </c>
      <c r="F28" s="33">
        <v>46234</v>
      </c>
      <c r="G28" s="33" t="str">
        <f t="shared" si="2"/>
        <v>Jul</v>
      </c>
      <c r="H28" s="11">
        <v>1500</v>
      </c>
      <c r="I28" s="11">
        <f t="shared" si="3"/>
        <v>0</v>
      </c>
      <c r="J28" s="11" t="str">
        <f t="shared" si="4"/>
        <v>Deactive</v>
      </c>
      <c r="K28" s="14"/>
      <c r="L28" s="11" t="s">
        <v>249</v>
      </c>
      <c r="M28" s="11" t="s">
        <v>23</v>
      </c>
      <c r="N28" s="13">
        <v>46254</v>
      </c>
      <c r="O28" s="13" t="str">
        <f t="shared" si="1"/>
        <v>Aug</v>
      </c>
      <c r="P28" s="11" t="s">
        <v>239</v>
      </c>
      <c r="Q28" s="11">
        <v>1500</v>
      </c>
      <c r="R28" s="11" t="s">
        <v>83</v>
      </c>
    </row>
    <row r="29" spans="1:18" ht="15.75" x14ac:dyDescent="0.25">
      <c r="A29" s="11" t="s">
        <v>226</v>
      </c>
      <c r="B29" s="11" t="s">
        <v>72</v>
      </c>
      <c r="C29" s="13">
        <v>46094</v>
      </c>
      <c r="D29" s="13" t="str">
        <f t="shared" si="0"/>
        <v>Mar</v>
      </c>
      <c r="E29" s="11">
        <v>7500</v>
      </c>
      <c r="F29" s="33">
        <v>46112</v>
      </c>
      <c r="G29" s="33" t="str">
        <f t="shared" si="2"/>
        <v>Mar</v>
      </c>
      <c r="H29" s="11">
        <v>500</v>
      </c>
      <c r="I29" s="11">
        <f t="shared" si="3"/>
        <v>7000</v>
      </c>
      <c r="J29" s="11" t="str">
        <f t="shared" si="4"/>
        <v>Active</v>
      </c>
      <c r="K29" s="14"/>
      <c r="L29" s="11" t="s">
        <v>254</v>
      </c>
      <c r="M29" s="11" t="s">
        <v>76</v>
      </c>
      <c r="N29" s="13">
        <v>46250</v>
      </c>
      <c r="O29" s="13" t="str">
        <f t="shared" si="1"/>
        <v>Aug</v>
      </c>
      <c r="P29" s="11" t="s">
        <v>237</v>
      </c>
      <c r="Q29" s="11">
        <v>1000</v>
      </c>
      <c r="R29" s="11" t="s">
        <v>83</v>
      </c>
    </row>
    <row r="30" spans="1:18" ht="15.75" x14ac:dyDescent="0.25">
      <c r="A30" s="11" t="s">
        <v>226</v>
      </c>
      <c r="B30" s="11" t="s">
        <v>72</v>
      </c>
      <c r="C30" s="13">
        <v>46125</v>
      </c>
      <c r="D30" s="13" t="str">
        <f t="shared" si="0"/>
        <v>Apr</v>
      </c>
      <c r="E30" s="11">
        <v>7000</v>
      </c>
      <c r="F30" s="33">
        <v>46142</v>
      </c>
      <c r="G30" s="33" t="str">
        <f t="shared" si="2"/>
        <v>Apr</v>
      </c>
      <c r="H30" s="11">
        <v>2000</v>
      </c>
      <c r="I30" s="11">
        <f t="shared" si="3"/>
        <v>5000</v>
      </c>
      <c r="J30" s="11" t="str">
        <f t="shared" si="4"/>
        <v>Active</v>
      </c>
      <c r="K30" s="14"/>
      <c r="L30" s="11" t="s">
        <v>262</v>
      </c>
      <c r="M30" s="11" t="s">
        <v>55</v>
      </c>
      <c r="N30" s="13">
        <v>46254</v>
      </c>
      <c r="O30" s="13" t="str">
        <f t="shared" si="1"/>
        <v>Aug</v>
      </c>
      <c r="P30" s="11" t="s">
        <v>237</v>
      </c>
      <c r="Q30" s="11">
        <v>2500</v>
      </c>
      <c r="R30" s="11" t="s">
        <v>83</v>
      </c>
    </row>
    <row r="31" spans="1:18" ht="15.75" x14ac:dyDescent="0.25">
      <c r="A31" s="11" t="s">
        <v>226</v>
      </c>
      <c r="B31" s="11" t="s">
        <v>72</v>
      </c>
      <c r="C31" s="13">
        <v>46155</v>
      </c>
      <c r="D31" s="13" t="str">
        <f t="shared" si="0"/>
        <v>May</v>
      </c>
      <c r="E31" s="11">
        <v>5000</v>
      </c>
      <c r="F31" s="33">
        <v>46172</v>
      </c>
      <c r="G31" s="33" t="str">
        <f t="shared" si="2"/>
        <v>May</v>
      </c>
      <c r="H31" s="11">
        <v>1500</v>
      </c>
      <c r="I31" s="11">
        <f t="shared" si="3"/>
        <v>3500</v>
      </c>
      <c r="J31" s="11" t="str">
        <f t="shared" si="4"/>
        <v>Active</v>
      </c>
      <c r="K31" s="14"/>
      <c r="L31" s="11" t="s">
        <v>263</v>
      </c>
      <c r="M31" s="11" t="s">
        <v>47</v>
      </c>
      <c r="N31" s="13">
        <v>46255</v>
      </c>
      <c r="O31" s="13" t="str">
        <f t="shared" si="1"/>
        <v>Aug</v>
      </c>
      <c r="P31" s="11" t="s">
        <v>244</v>
      </c>
      <c r="Q31" s="11">
        <v>2500</v>
      </c>
      <c r="R31" s="11" t="s">
        <v>83</v>
      </c>
    </row>
    <row r="32" spans="1:18" ht="15.75" x14ac:dyDescent="0.25">
      <c r="A32" s="11" t="s">
        <v>226</v>
      </c>
      <c r="B32" s="11" t="s">
        <v>72</v>
      </c>
      <c r="C32" s="13">
        <v>46186</v>
      </c>
      <c r="D32" s="13" t="str">
        <f t="shared" si="0"/>
        <v>Jun</v>
      </c>
      <c r="E32" s="11">
        <v>3500</v>
      </c>
      <c r="F32" s="33">
        <v>46203</v>
      </c>
      <c r="G32" s="33" t="str">
        <f t="shared" si="2"/>
        <v>Jun</v>
      </c>
      <c r="H32" s="11">
        <v>2000</v>
      </c>
      <c r="I32" s="11">
        <f t="shared" si="3"/>
        <v>1500</v>
      </c>
      <c r="J32" s="11" t="str">
        <f t="shared" si="4"/>
        <v>Active</v>
      </c>
      <c r="K32" s="14"/>
      <c r="L32" s="11" t="s">
        <v>277</v>
      </c>
      <c r="M32" s="11" t="s">
        <v>37</v>
      </c>
      <c r="N32" s="13">
        <v>46242</v>
      </c>
      <c r="O32" s="13" t="str">
        <f t="shared" si="1"/>
        <v>Aug</v>
      </c>
      <c r="P32" s="11" t="s">
        <v>239</v>
      </c>
      <c r="Q32" s="11">
        <v>3000</v>
      </c>
      <c r="R32" s="11" t="s">
        <v>83</v>
      </c>
    </row>
    <row r="33" spans="1:18" ht="15.75" x14ac:dyDescent="0.25">
      <c r="A33" s="11" t="s">
        <v>226</v>
      </c>
      <c r="B33" s="11" t="s">
        <v>72</v>
      </c>
      <c r="C33" s="13">
        <v>46216</v>
      </c>
      <c r="D33" s="13" t="str">
        <f t="shared" si="0"/>
        <v>Jul</v>
      </c>
      <c r="E33" s="11">
        <v>1500</v>
      </c>
      <c r="F33" s="33">
        <v>46234</v>
      </c>
      <c r="G33" s="33" t="str">
        <f t="shared" si="2"/>
        <v>Jul</v>
      </c>
      <c r="H33" s="11">
        <v>1500</v>
      </c>
      <c r="I33" s="11">
        <f t="shared" si="3"/>
        <v>0</v>
      </c>
      <c r="J33" s="11" t="str">
        <f t="shared" si="4"/>
        <v>Deactive</v>
      </c>
      <c r="K33" s="14"/>
      <c r="L33" s="11" t="s">
        <v>286</v>
      </c>
      <c r="M33" s="11" t="s">
        <v>53</v>
      </c>
      <c r="N33" s="13">
        <v>46255</v>
      </c>
      <c r="O33" s="13" t="str">
        <f t="shared" si="1"/>
        <v>Aug</v>
      </c>
      <c r="P33" s="11" t="s">
        <v>244</v>
      </c>
      <c r="Q33" s="11">
        <v>1500</v>
      </c>
      <c r="R33" s="11" t="s">
        <v>83</v>
      </c>
    </row>
    <row r="34" spans="1:18" ht="15.75" x14ac:dyDescent="0.25">
      <c r="A34" s="11" t="s">
        <v>233</v>
      </c>
      <c r="B34" s="11" t="s">
        <v>52</v>
      </c>
      <c r="C34" s="13">
        <v>46085</v>
      </c>
      <c r="D34" s="13" t="str">
        <f t="shared" si="0"/>
        <v>Mar</v>
      </c>
      <c r="E34" s="11">
        <v>5000</v>
      </c>
      <c r="F34" s="33">
        <v>46112</v>
      </c>
      <c r="G34" s="33" t="str">
        <f t="shared" si="2"/>
        <v>Mar</v>
      </c>
      <c r="H34" s="11">
        <v>1000</v>
      </c>
      <c r="I34" s="11">
        <f t="shared" si="3"/>
        <v>4000</v>
      </c>
      <c r="J34" s="11" t="str">
        <f t="shared" si="4"/>
        <v>Active</v>
      </c>
      <c r="K34" s="14"/>
      <c r="L34" s="11" t="s">
        <v>259</v>
      </c>
      <c r="M34" s="11" t="s">
        <v>59</v>
      </c>
      <c r="N34" s="13">
        <v>46281</v>
      </c>
      <c r="O34" s="13" t="str">
        <f t="shared" si="1"/>
        <v>Sep</v>
      </c>
      <c r="P34" s="11" t="s">
        <v>239</v>
      </c>
      <c r="Q34" s="11">
        <v>2500</v>
      </c>
      <c r="R34" s="11" t="s">
        <v>83</v>
      </c>
    </row>
    <row r="35" spans="1:18" ht="15.75" x14ac:dyDescent="0.25">
      <c r="A35" s="11" t="s">
        <v>233</v>
      </c>
      <c r="B35" s="11" t="s">
        <v>52</v>
      </c>
      <c r="C35" s="13">
        <v>46116</v>
      </c>
      <c r="D35" s="13" t="str">
        <f t="shared" si="0"/>
        <v>Apr</v>
      </c>
      <c r="E35" s="11">
        <v>4000</v>
      </c>
      <c r="F35" s="33">
        <v>46142</v>
      </c>
      <c r="G35" s="33" t="str">
        <f t="shared" si="2"/>
        <v>Apr</v>
      </c>
      <c r="H35" s="11">
        <v>2000</v>
      </c>
      <c r="I35" s="11">
        <f t="shared" si="3"/>
        <v>2000</v>
      </c>
      <c r="J35" s="11" t="str">
        <f t="shared" si="4"/>
        <v>Active</v>
      </c>
      <c r="K35" s="14"/>
      <c r="L35" s="11" t="s">
        <v>285</v>
      </c>
      <c r="M35" s="11" t="s">
        <v>78</v>
      </c>
      <c r="N35" s="13">
        <v>46294</v>
      </c>
      <c r="O35" s="13" t="str">
        <f t="shared" ref="O35:O52" si="5">TEXT(N35,"mmm")</f>
        <v>Sep</v>
      </c>
      <c r="P35" s="11" t="s">
        <v>237</v>
      </c>
      <c r="Q35" s="11">
        <v>2500</v>
      </c>
      <c r="R35" s="11" t="s">
        <v>83</v>
      </c>
    </row>
    <row r="36" spans="1:18" ht="15.75" x14ac:dyDescent="0.25">
      <c r="A36" s="11" t="s">
        <v>233</v>
      </c>
      <c r="B36" s="11" t="s">
        <v>52</v>
      </c>
      <c r="C36" s="13">
        <v>46146</v>
      </c>
      <c r="D36" s="13" t="str">
        <f t="shared" si="0"/>
        <v>May</v>
      </c>
      <c r="E36" s="11">
        <v>2000</v>
      </c>
      <c r="F36" s="33">
        <v>46173</v>
      </c>
      <c r="G36" s="33" t="str">
        <f t="shared" si="2"/>
        <v>May</v>
      </c>
      <c r="H36" s="11">
        <v>2000</v>
      </c>
      <c r="I36" s="11">
        <f t="shared" si="3"/>
        <v>0</v>
      </c>
      <c r="J36" s="11" t="str">
        <f t="shared" si="4"/>
        <v>Deactive</v>
      </c>
      <c r="K36" s="14"/>
      <c r="L36" s="11" t="s">
        <v>236</v>
      </c>
      <c r="M36" s="11" t="s">
        <v>34</v>
      </c>
      <c r="N36" s="13">
        <v>46323</v>
      </c>
      <c r="O36" s="13" t="str">
        <f t="shared" si="5"/>
        <v>Oct</v>
      </c>
      <c r="P36" s="11" t="s">
        <v>237</v>
      </c>
      <c r="Q36" s="11">
        <v>1500</v>
      </c>
      <c r="R36" s="11" t="s">
        <v>83</v>
      </c>
    </row>
    <row r="37" spans="1:18" ht="15.75" x14ac:dyDescent="0.25">
      <c r="A37" s="11" t="s">
        <v>235</v>
      </c>
      <c r="B37" s="11" t="s">
        <v>17</v>
      </c>
      <c r="C37" s="13">
        <v>46087</v>
      </c>
      <c r="D37" s="13" t="str">
        <f t="shared" si="0"/>
        <v>Mar</v>
      </c>
      <c r="E37" s="11">
        <v>5000</v>
      </c>
      <c r="F37" s="33">
        <v>46112</v>
      </c>
      <c r="G37" s="33" t="str">
        <f t="shared" si="2"/>
        <v>Mar</v>
      </c>
      <c r="H37" s="11">
        <v>1000</v>
      </c>
      <c r="I37" s="11">
        <f t="shared" si="3"/>
        <v>4000</v>
      </c>
      <c r="J37" s="11" t="str">
        <f t="shared" si="4"/>
        <v>Active</v>
      </c>
      <c r="K37" s="14"/>
      <c r="L37" s="11" t="s">
        <v>243</v>
      </c>
      <c r="M37" s="11" t="s">
        <v>40</v>
      </c>
      <c r="N37" s="13">
        <v>46324</v>
      </c>
      <c r="O37" s="13" t="str">
        <f t="shared" si="5"/>
        <v>Oct</v>
      </c>
      <c r="P37" s="11" t="s">
        <v>244</v>
      </c>
      <c r="Q37" s="11">
        <v>1000</v>
      </c>
      <c r="R37" s="11" t="s">
        <v>83</v>
      </c>
    </row>
    <row r="38" spans="1:18" ht="15.75" x14ac:dyDescent="0.25">
      <c r="A38" s="11" t="s">
        <v>235</v>
      </c>
      <c r="B38" s="11" t="s">
        <v>17</v>
      </c>
      <c r="C38" s="13">
        <v>46118</v>
      </c>
      <c r="D38" s="13" t="str">
        <f t="shared" si="0"/>
        <v>Apr</v>
      </c>
      <c r="E38" s="11">
        <v>4000</v>
      </c>
      <c r="F38" s="33">
        <v>46142</v>
      </c>
      <c r="G38" s="33" t="str">
        <f t="shared" si="2"/>
        <v>Apr</v>
      </c>
      <c r="H38" s="11">
        <v>2000</v>
      </c>
      <c r="I38" s="11">
        <f t="shared" si="3"/>
        <v>2000</v>
      </c>
      <c r="J38" s="11" t="str">
        <f t="shared" si="4"/>
        <v>Active</v>
      </c>
      <c r="K38" s="14"/>
      <c r="L38" s="11" t="s">
        <v>257</v>
      </c>
      <c r="M38" s="11" t="s">
        <v>68</v>
      </c>
      <c r="N38" s="13">
        <v>46303</v>
      </c>
      <c r="O38" s="13" t="str">
        <f t="shared" si="5"/>
        <v>Oct</v>
      </c>
      <c r="P38" s="11" t="s">
        <v>239</v>
      </c>
      <c r="Q38" s="11">
        <v>2000</v>
      </c>
      <c r="R38" s="11" t="s">
        <v>83</v>
      </c>
    </row>
    <row r="39" spans="1:18" ht="15.75" x14ac:dyDescent="0.25">
      <c r="A39" s="11" t="s">
        <v>235</v>
      </c>
      <c r="B39" s="11" t="s">
        <v>17</v>
      </c>
      <c r="C39" s="13">
        <v>46148</v>
      </c>
      <c r="D39" s="13" t="str">
        <f t="shared" si="0"/>
        <v>May</v>
      </c>
      <c r="E39" s="11">
        <v>2000</v>
      </c>
      <c r="F39" s="33">
        <v>46173</v>
      </c>
      <c r="G39" s="33" t="str">
        <f t="shared" si="2"/>
        <v>May</v>
      </c>
      <c r="H39" s="11">
        <v>2000</v>
      </c>
      <c r="I39" s="11">
        <f t="shared" si="3"/>
        <v>0</v>
      </c>
      <c r="J39" s="11" t="str">
        <f t="shared" si="4"/>
        <v>Deactive</v>
      </c>
      <c r="K39" s="14"/>
      <c r="L39" s="11" t="s">
        <v>261</v>
      </c>
      <c r="M39" s="11" t="s">
        <v>72</v>
      </c>
      <c r="N39" s="13">
        <v>46305</v>
      </c>
      <c r="O39" s="13" t="str">
        <f t="shared" si="5"/>
        <v>Oct</v>
      </c>
      <c r="P39" s="11" t="s">
        <v>239</v>
      </c>
      <c r="Q39" s="11">
        <v>1500</v>
      </c>
      <c r="R39" s="11" t="s">
        <v>83</v>
      </c>
    </row>
    <row r="40" spans="1:18" ht="15.75" x14ac:dyDescent="0.25">
      <c r="A40" s="11" t="s">
        <v>212</v>
      </c>
      <c r="B40" s="11" t="s">
        <v>80</v>
      </c>
      <c r="C40" s="13">
        <v>46135</v>
      </c>
      <c r="D40" s="13" t="str">
        <f t="shared" si="0"/>
        <v>Apr</v>
      </c>
      <c r="E40" s="11">
        <v>3000</v>
      </c>
      <c r="F40" s="33">
        <v>46142</v>
      </c>
      <c r="G40" s="33" t="str">
        <f t="shared" si="2"/>
        <v>Apr</v>
      </c>
      <c r="H40" s="11">
        <v>1500</v>
      </c>
      <c r="I40" s="11">
        <f t="shared" si="3"/>
        <v>1500</v>
      </c>
      <c r="J40" s="11" t="str">
        <f t="shared" si="4"/>
        <v>Active</v>
      </c>
      <c r="K40" s="14"/>
      <c r="L40" s="11" t="s">
        <v>269</v>
      </c>
      <c r="M40" s="11" t="s">
        <v>17</v>
      </c>
      <c r="N40" s="13">
        <v>46323</v>
      </c>
      <c r="O40" s="13" t="str">
        <f t="shared" si="5"/>
        <v>Oct</v>
      </c>
      <c r="P40" s="11" t="s">
        <v>239</v>
      </c>
      <c r="Q40" s="11">
        <v>3000</v>
      </c>
      <c r="R40" s="11" t="s">
        <v>83</v>
      </c>
    </row>
    <row r="41" spans="1:18" ht="15.75" x14ac:dyDescent="0.25">
      <c r="A41" s="11" t="s">
        <v>212</v>
      </c>
      <c r="B41" s="11" t="s">
        <v>80</v>
      </c>
      <c r="C41" s="13">
        <v>46165</v>
      </c>
      <c r="D41" s="13" t="str">
        <f t="shared" si="0"/>
        <v>May</v>
      </c>
      <c r="E41" s="11">
        <v>1500</v>
      </c>
      <c r="F41" s="33">
        <v>46173</v>
      </c>
      <c r="G41" s="33" t="str">
        <f t="shared" si="2"/>
        <v>May</v>
      </c>
      <c r="H41" s="11">
        <v>1500</v>
      </c>
      <c r="I41" s="11">
        <f t="shared" si="3"/>
        <v>0</v>
      </c>
      <c r="J41" s="11" t="str">
        <f t="shared" si="4"/>
        <v>Deactive</v>
      </c>
      <c r="K41" s="14"/>
      <c r="L41" s="11" t="s">
        <v>288</v>
      </c>
      <c r="M41" s="11" t="s">
        <v>80</v>
      </c>
      <c r="N41" s="13">
        <v>46313</v>
      </c>
      <c r="O41" s="13" t="str">
        <f t="shared" si="5"/>
        <v>Oct</v>
      </c>
      <c r="P41" s="11" t="s">
        <v>239</v>
      </c>
      <c r="Q41" s="11">
        <v>1000</v>
      </c>
      <c r="R41" s="11" t="s">
        <v>83</v>
      </c>
    </row>
    <row r="42" spans="1:18" ht="15.75" x14ac:dyDescent="0.25">
      <c r="A42" s="11" t="s">
        <v>224</v>
      </c>
      <c r="B42" s="11" t="s">
        <v>70</v>
      </c>
      <c r="C42" s="13">
        <v>46136</v>
      </c>
      <c r="D42" s="13" t="str">
        <f t="shared" si="0"/>
        <v>Apr</v>
      </c>
      <c r="E42" s="11">
        <v>10000</v>
      </c>
      <c r="F42" s="33">
        <v>46142</v>
      </c>
      <c r="G42" s="33" t="str">
        <f t="shared" si="2"/>
        <v>Apr</v>
      </c>
      <c r="H42" s="11">
        <v>1500</v>
      </c>
      <c r="I42" s="11">
        <f t="shared" si="3"/>
        <v>8500</v>
      </c>
      <c r="J42" s="11" t="str">
        <f t="shared" si="4"/>
        <v>Active</v>
      </c>
      <c r="K42" s="14"/>
      <c r="L42" s="11" t="s">
        <v>255</v>
      </c>
      <c r="M42" s="11" t="s">
        <v>46</v>
      </c>
      <c r="N42" s="13">
        <v>46334</v>
      </c>
      <c r="O42" s="13" t="str">
        <f t="shared" si="5"/>
        <v>Nov</v>
      </c>
      <c r="P42" s="11" t="s">
        <v>237</v>
      </c>
      <c r="Q42" s="11">
        <v>1000</v>
      </c>
      <c r="R42" s="11" t="s">
        <v>83</v>
      </c>
    </row>
    <row r="43" spans="1:18" ht="15.75" x14ac:dyDescent="0.25">
      <c r="A43" s="11" t="s">
        <v>224</v>
      </c>
      <c r="B43" s="11" t="s">
        <v>70</v>
      </c>
      <c r="C43" s="13">
        <v>46166</v>
      </c>
      <c r="D43" s="13" t="str">
        <f t="shared" si="0"/>
        <v>May</v>
      </c>
      <c r="E43" s="11">
        <v>8500</v>
      </c>
      <c r="F43" s="33">
        <v>46173</v>
      </c>
      <c r="G43" s="33" t="str">
        <f t="shared" si="2"/>
        <v>May</v>
      </c>
      <c r="H43" s="11">
        <v>2000</v>
      </c>
      <c r="I43" s="11">
        <f t="shared" si="3"/>
        <v>6500</v>
      </c>
      <c r="J43" s="11" t="str">
        <f t="shared" si="4"/>
        <v>Active</v>
      </c>
      <c r="K43" s="14"/>
      <c r="L43" s="11" t="s">
        <v>258</v>
      </c>
      <c r="M43" s="11" t="s">
        <v>51</v>
      </c>
      <c r="N43" s="13">
        <v>46328</v>
      </c>
      <c r="O43" s="13" t="str">
        <f t="shared" si="5"/>
        <v>Nov</v>
      </c>
      <c r="P43" s="11" t="s">
        <v>239</v>
      </c>
      <c r="Q43" s="11">
        <v>2000</v>
      </c>
      <c r="R43" s="11" t="s">
        <v>83</v>
      </c>
    </row>
    <row r="44" spans="1:18" ht="15.75" x14ac:dyDescent="0.25">
      <c r="A44" s="11" t="s">
        <v>224</v>
      </c>
      <c r="B44" s="11" t="s">
        <v>70</v>
      </c>
      <c r="C44" s="13">
        <v>46197</v>
      </c>
      <c r="D44" s="13" t="str">
        <f t="shared" si="0"/>
        <v>Jun</v>
      </c>
      <c r="E44" s="11">
        <v>6500</v>
      </c>
      <c r="F44" s="33">
        <v>46203</v>
      </c>
      <c r="G44" s="33" t="str">
        <f t="shared" si="2"/>
        <v>Jun</v>
      </c>
      <c r="H44" s="11">
        <v>2000</v>
      </c>
      <c r="I44" s="11">
        <f t="shared" si="3"/>
        <v>4500</v>
      </c>
      <c r="J44" s="11" t="str">
        <f t="shared" si="4"/>
        <v>Active</v>
      </c>
      <c r="K44" s="14"/>
      <c r="L44" s="11" t="s">
        <v>279</v>
      </c>
      <c r="M44" s="11" t="s">
        <v>10</v>
      </c>
      <c r="N44" s="13">
        <v>46334</v>
      </c>
      <c r="O44" s="13" t="str">
        <f t="shared" si="5"/>
        <v>Nov</v>
      </c>
      <c r="P44" s="11" t="s">
        <v>239</v>
      </c>
      <c r="Q44" s="11">
        <v>5000</v>
      </c>
      <c r="R44" s="11" t="s">
        <v>83</v>
      </c>
    </row>
    <row r="45" spans="1:18" ht="15.75" x14ac:dyDescent="0.25">
      <c r="A45" s="11" t="s">
        <v>224</v>
      </c>
      <c r="B45" s="11" t="s">
        <v>70</v>
      </c>
      <c r="C45" s="13">
        <v>46227</v>
      </c>
      <c r="D45" s="13" t="str">
        <f t="shared" si="0"/>
        <v>Jul</v>
      </c>
      <c r="E45" s="11">
        <v>4500</v>
      </c>
      <c r="F45" s="33">
        <v>46234</v>
      </c>
      <c r="G45" s="33" t="str">
        <f t="shared" si="2"/>
        <v>Jul</v>
      </c>
      <c r="H45" s="11">
        <v>2000</v>
      </c>
      <c r="I45" s="11">
        <f t="shared" si="3"/>
        <v>2500</v>
      </c>
      <c r="J45" s="11" t="str">
        <f t="shared" si="4"/>
        <v>Active</v>
      </c>
      <c r="K45" s="14"/>
      <c r="L45" s="11" t="s">
        <v>284</v>
      </c>
      <c r="M45" s="11" t="s">
        <v>78</v>
      </c>
      <c r="N45" s="13">
        <v>46347</v>
      </c>
      <c r="O45" s="13" t="str">
        <f t="shared" si="5"/>
        <v>Nov</v>
      </c>
      <c r="P45" s="11" t="s">
        <v>237</v>
      </c>
      <c r="Q45" s="11">
        <v>1000</v>
      </c>
      <c r="R45" s="11" t="s">
        <v>83</v>
      </c>
    </row>
    <row r="46" spans="1:18" ht="15.75" x14ac:dyDescent="0.25">
      <c r="A46" s="11" t="s">
        <v>224</v>
      </c>
      <c r="B46" s="11" t="s">
        <v>70</v>
      </c>
      <c r="C46" s="13">
        <v>46258</v>
      </c>
      <c r="D46" s="13" t="str">
        <f t="shared" si="0"/>
        <v>Aug</v>
      </c>
      <c r="E46" s="11">
        <v>2500</v>
      </c>
      <c r="F46" s="33">
        <v>46265</v>
      </c>
      <c r="G46" s="33" t="str">
        <f t="shared" si="2"/>
        <v>Aug</v>
      </c>
      <c r="H46" s="11">
        <v>2000</v>
      </c>
      <c r="I46" s="11">
        <f t="shared" si="3"/>
        <v>500</v>
      </c>
      <c r="J46" s="11" t="str">
        <f t="shared" si="4"/>
        <v>Active</v>
      </c>
      <c r="K46" s="14"/>
      <c r="L46" s="11" t="s">
        <v>253</v>
      </c>
      <c r="M46" s="11" t="s">
        <v>55</v>
      </c>
      <c r="N46" s="13">
        <v>46374</v>
      </c>
      <c r="O46" s="13" t="str">
        <f t="shared" si="5"/>
        <v>Dec</v>
      </c>
      <c r="P46" s="11" t="s">
        <v>237</v>
      </c>
      <c r="Q46" s="11">
        <v>2500</v>
      </c>
      <c r="R46" s="11" t="s">
        <v>83</v>
      </c>
    </row>
    <row r="47" spans="1:18" ht="15.75" x14ac:dyDescent="0.25">
      <c r="A47" s="11" t="s">
        <v>224</v>
      </c>
      <c r="B47" s="11" t="s">
        <v>70</v>
      </c>
      <c r="C47" s="13">
        <v>46289</v>
      </c>
      <c r="D47" s="13" t="str">
        <f t="shared" si="0"/>
        <v>Sep</v>
      </c>
      <c r="E47" s="11">
        <v>2500</v>
      </c>
      <c r="F47" s="33">
        <v>46295</v>
      </c>
      <c r="G47" s="33" t="str">
        <f t="shared" si="2"/>
        <v>Sep</v>
      </c>
      <c r="H47" s="11">
        <v>2500</v>
      </c>
      <c r="I47" s="11">
        <f t="shared" si="3"/>
        <v>0</v>
      </c>
      <c r="J47" s="11" t="str">
        <f t="shared" si="4"/>
        <v>Deactive</v>
      </c>
      <c r="K47" s="14"/>
      <c r="L47" s="11" t="s">
        <v>260</v>
      </c>
      <c r="M47" s="11" t="s">
        <v>23</v>
      </c>
      <c r="N47" s="13">
        <v>46382</v>
      </c>
      <c r="O47" s="13" t="str">
        <f t="shared" si="5"/>
        <v>Dec</v>
      </c>
      <c r="P47" s="11" t="s">
        <v>237</v>
      </c>
      <c r="Q47" s="11">
        <v>5000</v>
      </c>
      <c r="R47" s="11" t="s">
        <v>83</v>
      </c>
    </row>
    <row r="48" spans="1:18" ht="15.75" x14ac:dyDescent="0.25">
      <c r="A48" s="11" t="s">
        <v>229</v>
      </c>
      <c r="B48" s="11" t="s">
        <v>61</v>
      </c>
      <c r="C48" s="13">
        <v>46166</v>
      </c>
      <c r="D48" s="13" t="str">
        <f t="shared" si="0"/>
        <v>May</v>
      </c>
      <c r="E48" s="11">
        <v>10000</v>
      </c>
      <c r="F48" s="33">
        <v>46173</v>
      </c>
      <c r="G48" s="33" t="str">
        <f t="shared" si="2"/>
        <v>May</v>
      </c>
      <c r="H48" s="11">
        <v>2000</v>
      </c>
      <c r="I48" s="11">
        <f t="shared" si="3"/>
        <v>8000</v>
      </c>
      <c r="J48" s="11" t="str">
        <f t="shared" si="4"/>
        <v>Active</v>
      </c>
      <c r="K48" s="14"/>
      <c r="L48" s="11" t="s">
        <v>265</v>
      </c>
      <c r="M48" s="11" t="s">
        <v>46</v>
      </c>
      <c r="N48" s="13">
        <v>46363</v>
      </c>
      <c r="O48" s="13" t="str">
        <f t="shared" si="5"/>
        <v>Dec</v>
      </c>
      <c r="P48" s="11" t="s">
        <v>244</v>
      </c>
      <c r="Q48" s="11">
        <v>2000</v>
      </c>
      <c r="R48" s="11" t="s">
        <v>83</v>
      </c>
    </row>
    <row r="49" spans="1:18" ht="15.75" x14ac:dyDescent="0.25">
      <c r="A49" s="11" t="s">
        <v>229</v>
      </c>
      <c r="B49" s="11" t="s">
        <v>61</v>
      </c>
      <c r="C49" s="13">
        <v>46197</v>
      </c>
      <c r="D49" s="13" t="str">
        <f t="shared" si="0"/>
        <v>Jun</v>
      </c>
      <c r="E49" s="11">
        <v>8000</v>
      </c>
      <c r="F49" s="33">
        <v>46203</v>
      </c>
      <c r="G49" s="33" t="str">
        <f t="shared" si="2"/>
        <v>Jun</v>
      </c>
      <c r="H49" s="11">
        <v>2500</v>
      </c>
      <c r="I49" s="11">
        <f>E49-H49</f>
        <v>5500</v>
      </c>
      <c r="J49" s="11" t="str">
        <f t="shared" si="4"/>
        <v>Active</v>
      </c>
      <c r="K49" s="14"/>
      <c r="L49" s="11" t="s">
        <v>266</v>
      </c>
      <c r="M49" s="11" t="s">
        <v>30</v>
      </c>
      <c r="N49" s="13">
        <v>46374</v>
      </c>
      <c r="O49" s="13" t="str">
        <f t="shared" si="5"/>
        <v>Dec</v>
      </c>
      <c r="P49" s="11" t="s">
        <v>244</v>
      </c>
      <c r="Q49" s="11">
        <v>1000</v>
      </c>
      <c r="R49" s="11" t="s">
        <v>83</v>
      </c>
    </row>
    <row r="50" spans="1:18" ht="15.75" x14ac:dyDescent="0.25">
      <c r="A50" s="11" t="s">
        <v>229</v>
      </c>
      <c r="B50" s="11" t="s">
        <v>61</v>
      </c>
      <c r="C50" s="13">
        <v>46227</v>
      </c>
      <c r="D50" s="13" t="str">
        <f t="shared" si="0"/>
        <v>Jul</v>
      </c>
      <c r="E50" s="11">
        <v>5500</v>
      </c>
      <c r="F50" s="33">
        <v>46234</v>
      </c>
      <c r="G50" s="33" t="str">
        <f t="shared" si="2"/>
        <v>Jul</v>
      </c>
      <c r="H50" s="11">
        <v>2500</v>
      </c>
      <c r="I50" s="11">
        <f>E50-H50</f>
        <v>3000</v>
      </c>
      <c r="J50" s="11" t="str">
        <f t="shared" si="4"/>
        <v>Active</v>
      </c>
      <c r="K50" s="14"/>
      <c r="L50" s="11" t="s">
        <v>270</v>
      </c>
      <c r="M50" s="11" t="s">
        <v>47</v>
      </c>
      <c r="N50" s="13">
        <v>46366</v>
      </c>
      <c r="O50" s="13" t="str">
        <f t="shared" si="5"/>
        <v>Dec</v>
      </c>
      <c r="P50" s="11" t="s">
        <v>237</v>
      </c>
      <c r="Q50" s="11">
        <v>2500</v>
      </c>
      <c r="R50" s="11" t="s">
        <v>83</v>
      </c>
    </row>
    <row r="51" spans="1:18" ht="15.75" x14ac:dyDescent="0.25">
      <c r="A51" s="11" t="s">
        <v>229</v>
      </c>
      <c r="B51" s="11" t="s">
        <v>61</v>
      </c>
      <c r="C51" s="13">
        <v>46258</v>
      </c>
      <c r="D51" s="13" t="str">
        <f t="shared" si="0"/>
        <v>Aug</v>
      </c>
      <c r="E51" s="11">
        <v>3000</v>
      </c>
      <c r="F51" s="33">
        <v>46265</v>
      </c>
      <c r="G51" s="33" t="str">
        <f t="shared" si="2"/>
        <v>Aug</v>
      </c>
      <c r="H51" s="11">
        <v>3000</v>
      </c>
      <c r="I51" s="11">
        <f>E51-H51</f>
        <v>0</v>
      </c>
      <c r="J51" s="11" t="str">
        <f t="shared" si="4"/>
        <v>Deactive</v>
      </c>
      <c r="K51" s="14"/>
      <c r="L51" s="11" t="s">
        <v>271</v>
      </c>
      <c r="M51" s="11" t="s">
        <v>48</v>
      </c>
      <c r="N51" s="13">
        <v>46363</v>
      </c>
      <c r="O51" s="13" t="str">
        <f t="shared" si="5"/>
        <v>Dec</v>
      </c>
      <c r="P51" s="11" t="s">
        <v>244</v>
      </c>
      <c r="Q51" s="11">
        <v>5000</v>
      </c>
      <c r="R51" s="11" t="s">
        <v>83</v>
      </c>
    </row>
    <row r="52" spans="1:18" ht="15.75" x14ac:dyDescent="0.25">
      <c r="A52" s="11" t="s">
        <v>214</v>
      </c>
      <c r="B52" s="11" t="s">
        <v>71</v>
      </c>
      <c r="C52" s="13">
        <v>46181</v>
      </c>
      <c r="D52" s="13" t="str">
        <f t="shared" si="0"/>
        <v>Jun</v>
      </c>
      <c r="E52" s="11">
        <v>2000</v>
      </c>
      <c r="F52" s="33">
        <v>46203</v>
      </c>
      <c r="G52" s="33" t="str">
        <f t="shared" si="2"/>
        <v>Jun</v>
      </c>
      <c r="H52" s="11">
        <v>500</v>
      </c>
      <c r="I52" s="11">
        <f t="shared" si="3"/>
        <v>1500</v>
      </c>
      <c r="J52" s="11" t="str">
        <f t="shared" si="4"/>
        <v>Active</v>
      </c>
      <c r="K52" s="14"/>
      <c r="L52" s="11" t="s">
        <v>278</v>
      </c>
      <c r="M52" s="11" t="s">
        <v>70</v>
      </c>
      <c r="N52" s="13">
        <v>46368</v>
      </c>
      <c r="O52" s="13" t="str">
        <f t="shared" si="5"/>
        <v>Dec</v>
      </c>
      <c r="P52" s="11" t="s">
        <v>239</v>
      </c>
      <c r="Q52" s="11">
        <v>3000</v>
      </c>
      <c r="R52" s="11" t="s">
        <v>83</v>
      </c>
    </row>
    <row r="53" spans="1:18" ht="15.75" x14ac:dyDescent="0.25">
      <c r="A53" s="11" t="s">
        <v>214</v>
      </c>
      <c r="B53" s="11" t="s">
        <v>71</v>
      </c>
      <c r="C53" s="13">
        <v>46211</v>
      </c>
      <c r="D53" s="13" t="str">
        <f t="shared" si="0"/>
        <v>Jul</v>
      </c>
      <c r="E53" s="11">
        <v>1500</v>
      </c>
      <c r="F53" s="33">
        <v>46234</v>
      </c>
      <c r="G53" s="33" t="str">
        <f t="shared" si="2"/>
        <v>Jul</v>
      </c>
      <c r="H53" s="11">
        <v>1500</v>
      </c>
      <c r="I53" s="11">
        <f t="shared" si="3"/>
        <v>0</v>
      </c>
      <c r="J53" s="11" t="str">
        <f t="shared" si="4"/>
        <v>Deactive</v>
      </c>
      <c r="K53" s="14"/>
    </row>
    <row r="54" spans="1:18" ht="15.75" x14ac:dyDescent="0.25">
      <c r="A54" s="11" t="s">
        <v>218</v>
      </c>
      <c r="B54" s="11" t="s">
        <v>42</v>
      </c>
      <c r="C54" s="13">
        <v>46196</v>
      </c>
      <c r="D54" s="13" t="str">
        <f t="shared" si="0"/>
        <v>Jun</v>
      </c>
      <c r="E54" s="11">
        <v>7500</v>
      </c>
      <c r="F54" s="33">
        <v>46203</v>
      </c>
      <c r="G54" s="33" t="str">
        <f t="shared" si="2"/>
        <v>Jun</v>
      </c>
      <c r="H54" s="11">
        <v>1500</v>
      </c>
      <c r="I54" s="11">
        <f t="shared" si="3"/>
        <v>6000</v>
      </c>
      <c r="J54" s="11" t="str">
        <f t="shared" si="4"/>
        <v>Active</v>
      </c>
      <c r="K54" s="14"/>
      <c r="M54" s="11"/>
      <c r="N54" s="17"/>
      <c r="O54" s="13"/>
      <c r="Q54" s="11"/>
    </row>
    <row r="55" spans="1:18" ht="15.75" x14ac:dyDescent="0.25">
      <c r="A55" s="11" t="s">
        <v>218</v>
      </c>
      <c r="B55" s="11" t="s">
        <v>42</v>
      </c>
      <c r="C55" s="13">
        <v>46226</v>
      </c>
      <c r="D55" s="13" t="str">
        <f t="shared" si="0"/>
        <v>Jul</v>
      </c>
      <c r="E55" s="11">
        <v>6000</v>
      </c>
      <c r="F55" s="33">
        <v>46234</v>
      </c>
      <c r="G55" s="33" t="str">
        <f t="shared" si="2"/>
        <v>Jul</v>
      </c>
      <c r="H55" s="11">
        <v>2000</v>
      </c>
      <c r="I55" s="11">
        <f t="shared" si="3"/>
        <v>4000</v>
      </c>
      <c r="J55" s="11" t="str">
        <f t="shared" si="4"/>
        <v>Active</v>
      </c>
      <c r="K55" s="14"/>
    </row>
    <row r="56" spans="1:18" ht="15.75" x14ac:dyDescent="0.25">
      <c r="A56" s="11" t="s">
        <v>218</v>
      </c>
      <c r="B56" s="11" t="s">
        <v>42</v>
      </c>
      <c r="C56" s="13">
        <v>46257</v>
      </c>
      <c r="D56" s="13" t="str">
        <f t="shared" si="0"/>
        <v>Aug</v>
      </c>
      <c r="E56" s="11">
        <v>4000</v>
      </c>
      <c r="F56" s="33">
        <v>46265</v>
      </c>
      <c r="G56" s="33" t="str">
        <f t="shared" si="2"/>
        <v>Aug</v>
      </c>
      <c r="H56" s="11">
        <v>2000</v>
      </c>
      <c r="I56" s="11">
        <f t="shared" si="3"/>
        <v>2000</v>
      </c>
      <c r="J56" s="11" t="str">
        <f t="shared" si="4"/>
        <v>Active</v>
      </c>
      <c r="K56" s="14"/>
    </row>
    <row r="57" spans="1:18" ht="15.75" x14ac:dyDescent="0.25">
      <c r="A57" s="11" t="s">
        <v>218</v>
      </c>
      <c r="B57" s="11" t="s">
        <v>42</v>
      </c>
      <c r="C57" s="13">
        <v>46288</v>
      </c>
      <c r="D57" s="13" t="str">
        <f t="shared" si="0"/>
        <v>Sep</v>
      </c>
      <c r="E57" s="11">
        <v>2000</v>
      </c>
      <c r="F57" s="33">
        <v>46295</v>
      </c>
      <c r="G57" s="33" t="str">
        <f t="shared" si="2"/>
        <v>Sep</v>
      </c>
      <c r="H57" s="11">
        <v>1000</v>
      </c>
      <c r="I57" s="11">
        <f t="shared" si="3"/>
        <v>1000</v>
      </c>
      <c r="J57" s="11" t="str">
        <f t="shared" si="4"/>
        <v>Active</v>
      </c>
      <c r="K57" s="14"/>
    </row>
    <row r="58" spans="1:18" ht="15.75" x14ac:dyDescent="0.25">
      <c r="A58" s="11" t="s">
        <v>218</v>
      </c>
      <c r="B58" s="11" t="s">
        <v>42</v>
      </c>
      <c r="C58" s="13">
        <v>46318</v>
      </c>
      <c r="D58" s="13" t="str">
        <f t="shared" si="0"/>
        <v>Oct</v>
      </c>
      <c r="E58" s="11">
        <v>1000</v>
      </c>
      <c r="F58" s="33">
        <v>46326</v>
      </c>
      <c r="G58" s="33" t="str">
        <f t="shared" si="2"/>
        <v>Oct</v>
      </c>
      <c r="H58" s="11">
        <v>1000</v>
      </c>
      <c r="I58" s="11">
        <f t="shared" si="3"/>
        <v>0</v>
      </c>
      <c r="J58" s="11" t="str">
        <f t="shared" si="4"/>
        <v>Deactive</v>
      </c>
      <c r="K58" s="14"/>
    </row>
    <row r="59" spans="1:18" ht="15.75" x14ac:dyDescent="0.25">
      <c r="A59" s="11" t="s">
        <v>225</v>
      </c>
      <c r="B59" s="11" t="s">
        <v>72</v>
      </c>
      <c r="C59" s="13">
        <v>46177</v>
      </c>
      <c r="D59" s="13" t="str">
        <f t="shared" si="0"/>
        <v>Jun</v>
      </c>
      <c r="E59" s="11">
        <v>2000</v>
      </c>
      <c r="F59" s="33">
        <v>46203</v>
      </c>
      <c r="G59" s="33" t="str">
        <f t="shared" si="2"/>
        <v>Jun</v>
      </c>
      <c r="H59" s="11">
        <v>2000</v>
      </c>
      <c r="I59" s="11">
        <f t="shared" si="3"/>
        <v>0</v>
      </c>
      <c r="J59" s="11" t="str">
        <f t="shared" si="4"/>
        <v>Deactive</v>
      </c>
      <c r="K59" s="14"/>
    </row>
    <row r="60" spans="1:18" ht="15.75" x14ac:dyDescent="0.25">
      <c r="A60" s="11" t="s">
        <v>222</v>
      </c>
      <c r="B60" s="11" t="s">
        <v>50</v>
      </c>
      <c r="C60" s="13">
        <v>46213</v>
      </c>
      <c r="D60" s="13" t="str">
        <f t="shared" si="0"/>
        <v>Jul</v>
      </c>
      <c r="E60" s="11">
        <v>5000</v>
      </c>
      <c r="F60" s="33">
        <v>46234</v>
      </c>
      <c r="G60" s="33" t="str">
        <f t="shared" si="2"/>
        <v>Jul</v>
      </c>
      <c r="H60" s="11">
        <v>2000</v>
      </c>
      <c r="I60" s="11">
        <f t="shared" si="3"/>
        <v>3000</v>
      </c>
      <c r="J60" s="11" t="str">
        <f t="shared" si="4"/>
        <v>Active</v>
      </c>
      <c r="K60" s="14"/>
    </row>
    <row r="61" spans="1:18" ht="15.75" x14ac:dyDescent="0.25">
      <c r="A61" s="11" t="s">
        <v>222</v>
      </c>
      <c r="B61" s="11" t="s">
        <v>50</v>
      </c>
      <c r="C61" s="13">
        <v>46244</v>
      </c>
      <c r="D61" s="13" t="str">
        <f t="shared" si="0"/>
        <v>Aug</v>
      </c>
      <c r="E61" s="11">
        <v>3000</v>
      </c>
      <c r="F61" s="33">
        <v>46265</v>
      </c>
      <c r="G61" s="33" t="str">
        <f t="shared" si="2"/>
        <v>Aug</v>
      </c>
      <c r="H61" s="11">
        <v>1500</v>
      </c>
      <c r="I61" s="11">
        <f t="shared" si="3"/>
        <v>1500</v>
      </c>
      <c r="J61" s="11" t="str">
        <f t="shared" si="4"/>
        <v>Active</v>
      </c>
      <c r="K61" s="14"/>
    </row>
    <row r="62" spans="1:18" ht="15.75" x14ac:dyDescent="0.25">
      <c r="A62" s="11" t="s">
        <v>222</v>
      </c>
      <c r="B62" s="11" t="s">
        <v>50</v>
      </c>
      <c r="C62" s="13">
        <v>46275</v>
      </c>
      <c r="D62" s="13" t="str">
        <f t="shared" si="0"/>
        <v>Sep</v>
      </c>
      <c r="E62" s="11">
        <v>1500</v>
      </c>
      <c r="F62" s="33">
        <v>46295</v>
      </c>
      <c r="G62" s="33" t="str">
        <f t="shared" si="2"/>
        <v>Sep</v>
      </c>
      <c r="H62" s="11">
        <v>1500</v>
      </c>
      <c r="I62" s="11">
        <f t="shared" si="3"/>
        <v>0</v>
      </c>
      <c r="J62" s="11" t="str">
        <f t="shared" si="4"/>
        <v>Deactive</v>
      </c>
      <c r="K62" s="14"/>
    </row>
    <row r="63" spans="1:18" ht="15.75" x14ac:dyDescent="0.25">
      <c r="A63" s="11" t="s">
        <v>227</v>
      </c>
      <c r="B63" s="11" t="s">
        <v>26</v>
      </c>
      <c r="C63" s="13">
        <v>46212</v>
      </c>
      <c r="D63" s="13" t="str">
        <f t="shared" si="0"/>
        <v>Jul</v>
      </c>
      <c r="E63" s="11">
        <v>7500</v>
      </c>
      <c r="F63" s="33">
        <v>46234</v>
      </c>
      <c r="G63" s="33" t="str">
        <f t="shared" si="2"/>
        <v>Jul</v>
      </c>
      <c r="H63" s="11">
        <v>2000</v>
      </c>
      <c r="I63" s="11">
        <f t="shared" si="3"/>
        <v>5500</v>
      </c>
      <c r="J63" s="11" t="str">
        <f t="shared" si="4"/>
        <v>Active</v>
      </c>
      <c r="K63" s="14"/>
    </row>
    <row r="64" spans="1:18" ht="15.75" x14ac:dyDescent="0.25">
      <c r="A64" s="11" t="s">
        <v>227</v>
      </c>
      <c r="B64" s="11" t="s">
        <v>26</v>
      </c>
      <c r="C64" s="13">
        <v>46243</v>
      </c>
      <c r="D64" s="13" t="str">
        <f t="shared" si="0"/>
        <v>Aug</v>
      </c>
      <c r="E64" s="11">
        <v>5000</v>
      </c>
      <c r="F64" s="33">
        <v>46265</v>
      </c>
      <c r="G64" s="33" t="str">
        <f t="shared" si="2"/>
        <v>Aug</v>
      </c>
      <c r="H64" s="11">
        <v>1500</v>
      </c>
      <c r="I64" s="11">
        <f t="shared" si="3"/>
        <v>3500</v>
      </c>
      <c r="J64" s="11" t="str">
        <f t="shared" si="4"/>
        <v>Active</v>
      </c>
      <c r="K64" s="14"/>
    </row>
    <row r="65" spans="1:11" ht="15.75" x14ac:dyDescent="0.25">
      <c r="A65" s="11" t="s">
        <v>227</v>
      </c>
      <c r="B65" s="11" t="s">
        <v>26</v>
      </c>
      <c r="C65" s="13">
        <v>46274</v>
      </c>
      <c r="D65" s="13" t="str">
        <f t="shared" si="0"/>
        <v>Sep</v>
      </c>
      <c r="E65" s="11">
        <v>3500</v>
      </c>
      <c r="F65" s="33">
        <v>46295</v>
      </c>
      <c r="G65" s="33" t="str">
        <f t="shared" si="2"/>
        <v>Sep</v>
      </c>
      <c r="H65" s="11">
        <v>2000</v>
      </c>
      <c r="I65" s="11">
        <f t="shared" si="3"/>
        <v>1500</v>
      </c>
      <c r="J65" s="11" t="str">
        <f t="shared" si="4"/>
        <v>Active</v>
      </c>
      <c r="K65" s="14"/>
    </row>
    <row r="66" spans="1:11" ht="15.75" x14ac:dyDescent="0.25">
      <c r="A66" s="11" t="s">
        <v>227</v>
      </c>
      <c r="B66" s="11" t="s">
        <v>26</v>
      </c>
      <c r="C66" s="13">
        <v>46304</v>
      </c>
      <c r="D66" s="13" t="str">
        <f t="shared" si="0"/>
        <v>Oct</v>
      </c>
      <c r="E66" s="11">
        <v>1500</v>
      </c>
      <c r="F66" s="33">
        <v>46326</v>
      </c>
      <c r="G66" s="33" t="str">
        <f t="shared" si="2"/>
        <v>Oct</v>
      </c>
      <c r="H66" s="11">
        <v>1500</v>
      </c>
      <c r="I66" s="11">
        <f t="shared" si="3"/>
        <v>0</v>
      </c>
      <c r="J66" s="11" t="str">
        <f t="shared" si="4"/>
        <v>Deactive</v>
      </c>
      <c r="K66" s="14"/>
    </row>
    <row r="67" spans="1:11" ht="15.75" x14ac:dyDescent="0.25">
      <c r="A67" s="11" t="s">
        <v>216</v>
      </c>
      <c r="B67" s="11" t="s">
        <v>20</v>
      </c>
      <c r="C67" s="13">
        <v>46235</v>
      </c>
      <c r="D67" s="13" t="str">
        <f t="shared" ref="D67:D87" si="6">IF(C67="","",TEXT(C67:C1128,"mmm"))</f>
        <v>Aug</v>
      </c>
      <c r="E67" s="11">
        <v>5000</v>
      </c>
      <c r="F67" s="33">
        <v>46264</v>
      </c>
      <c r="G67" s="33" t="str">
        <f t="shared" si="2"/>
        <v>Aug</v>
      </c>
      <c r="H67" s="11">
        <v>1500</v>
      </c>
      <c r="I67" s="11">
        <f t="shared" si="3"/>
        <v>3500</v>
      </c>
      <c r="J67" s="11" t="str">
        <f t="shared" si="4"/>
        <v>Active</v>
      </c>
      <c r="K67" s="14"/>
    </row>
    <row r="68" spans="1:11" ht="15.75" x14ac:dyDescent="0.25">
      <c r="A68" s="11" t="s">
        <v>216</v>
      </c>
      <c r="B68" s="11" t="s">
        <v>20</v>
      </c>
      <c r="C68" s="13">
        <v>46266</v>
      </c>
      <c r="D68" s="13" t="str">
        <f t="shared" si="6"/>
        <v>Sep</v>
      </c>
      <c r="E68" s="11">
        <v>3500</v>
      </c>
      <c r="F68" s="33">
        <v>46295</v>
      </c>
      <c r="G68" s="33" t="str">
        <f t="shared" ref="G68:G81" si="7">IF(F68="","",TEXT(F68,"mmm"))</f>
        <v>Sep</v>
      </c>
      <c r="H68" s="11">
        <v>2000</v>
      </c>
      <c r="I68" s="11">
        <f t="shared" ref="I68:I81" si="8">E68-H68</f>
        <v>1500</v>
      </c>
      <c r="J68" s="11" t="str">
        <f t="shared" ref="J68:J81" si="9">IF(I68=0,"Deactive","Active")</f>
        <v>Active</v>
      </c>
      <c r="K68" s="14"/>
    </row>
    <row r="69" spans="1:11" ht="15.75" x14ac:dyDescent="0.25">
      <c r="A69" s="11" t="s">
        <v>216</v>
      </c>
      <c r="B69" s="11" t="s">
        <v>20</v>
      </c>
      <c r="C69" s="13">
        <v>46296</v>
      </c>
      <c r="D69" s="13" t="str">
        <f t="shared" si="6"/>
        <v>Oct</v>
      </c>
      <c r="E69" s="11">
        <v>1500</v>
      </c>
      <c r="F69" s="33">
        <v>46325</v>
      </c>
      <c r="G69" s="33" t="str">
        <f t="shared" si="7"/>
        <v>Oct</v>
      </c>
      <c r="H69" s="11">
        <v>1500</v>
      </c>
      <c r="I69" s="11">
        <f t="shared" si="8"/>
        <v>0</v>
      </c>
      <c r="J69" s="11" t="str">
        <f t="shared" si="9"/>
        <v>Deactive</v>
      </c>
      <c r="K69" s="14"/>
    </row>
    <row r="70" spans="1:11" ht="15.75" x14ac:dyDescent="0.25">
      <c r="A70" s="11" t="s">
        <v>221</v>
      </c>
      <c r="B70" s="11" t="s">
        <v>42</v>
      </c>
      <c r="C70" s="13">
        <v>46255</v>
      </c>
      <c r="D70" s="13" t="str">
        <f t="shared" si="6"/>
        <v>Aug</v>
      </c>
      <c r="E70" s="11">
        <v>10000</v>
      </c>
      <c r="F70" s="33">
        <v>46264</v>
      </c>
      <c r="G70" s="33" t="str">
        <f t="shared" si="7"/>
        <v>Aug</v>
      </c>
      <c r="H70" s="11">
        <v>500</v>
      </c>
      <c r="I70" s="11">
        <f t="shared" si="8"/>
        <v>9500</v>
      </c>
      <c r="J70" s="11" t="str">
        <f t="shared" si="9"/>
        <v>Active</v>
      </c>
      <c r="K70" s="14"/>
    </row>
    <row r="71" spans="1:11" ht="15.75" x14ac:dyDescent="0.25">
      <c r="A71" s="11" t="s">
        <v>221</v>
      </c>
      <c r="B71" s="11" t="s">
        <v>42</v>
      </c>
      <c r="C71" s="13">
        <v>46286</v>
      </c>
      <c r="D71" s="13" t="str">
        <f t="shared" si="6"/>
        <v>Sep</v>
      </c>
      <c r="E71" s="11">
        <v>9500</v>
      </c>
      <c r="F71" s="33">
        <v>46295</v>
      </c>
      <c r="G71" s="33" t="str">
        <f t="shared" si="7"/>
        <v>Sep</v>
      </c>
      <c r="H71" s="11">
        <v>1500</v>
      </c>
      <c r="I71" s="11">
        <f t="shared" si="8"/>
        <v>8000</v>
      </c>
      <c r="J71" s="11" t="str">
        <f t="shared" si="9"/>
        <v>Active</v>
      </c>
      <c r="K71" s="14"/>
    </row>
    <row r="72" spans="1:11" ht="15.75" x14ac:dyDescent="0.25">
      <c r="A72" s="11" t="s">
        <v>221</v>
      </c>
      <c r="B72" s="11" t="s">
        <v>42</v>
      </c>
      <c r="C72" s="13">
        <v>46316</v>
      </c>
      <c r="D72" s="13" t="str">
        <f t="shared" si="6"/>
        <v>Oct</v>
      </c>
      <c r="E72" s="11">
        <v>8000</v>
      </c>
      <c r="F72" s="33">
        <v>46325</v>
      </c>
      <c r="G72" s="33" t="str">
        <f t="shared" si="7"/>
        <v>Oct</v>
      </c>
      <c r="H72" s="11">
        <v>2500</v>
      </c>
      <c r="I72" s="11">
        <f t="shared" si="8"/>
        <v>5500</v>
      </c>
      <c r="J72" s="11" t="str">
        <f t="shared" si="9"/>
        <v>Active</v>
      </c>
      <c r="K72" s="14"/>
    </row>
    <row r="73" spans="1:11" ht="15.75" x14ac:dyDescent="0.25">
      <c r="A73" s="11" t="s">
        <v>221</v>
      </c>
      <c r="B73" s="11" t="s">
        <v>42</v>
      </c>
      <c r="C73" s="13">
        <v>46347</v>
      </c>
      <c r="D73" s="13" t="str">
        <f t="shared" si="6"/>
        <v>Nov</v>
      </c>
      <c r="E73" s="11">
        <v>5500</v>
      </c>
      <c r="F73" s="33">
        <v>46356</v>
      </c>
      <c r="G73" s="33" t="str">
        <f t="shared" si="7"/>
        <v>Nov</v>
      </c>
      <c r="H73" s="11">
        <v>1500</v>
      </c>
      <c r="I73" s="11">
        <f t="shared" si="8"/>
        <v>4000</v>
      </c>
      <c r="J73" s="11" t="str">
        <f t="shared" si="9"/>
        <v>Active</v>
      </c>
      <c r="K73" s="14"/>
    </row>
    <row r="74" spans="1:11" ht="15.75" x14ac:dyDescent="0.25">
      <c r="A74" s="11" t="s">
        <v>221</v>
      </c>
      <c r="B74" s="11" t="s">
        <v>42</v>
      </c>
      <c r="C74" s="13">
        <v>46377</v>
      </c>
      <c r="D74" s="13" t="str">
        <f t="shared" si="6"/>
        <v>Dec</v>
      </c>
      <c r="E74" s="11">
        <v>4000</v>
      </c>
      <c r="F74" s="33">
        <v>46386</v>
      </c>
      <c r="G74" s="33" t="str">
        <f t="shared" si="7"/>
        <v>Dec</v>
      </c>
      <c r="H74" s="11">
        <v>1000</v>
      </c>
      <c r="I74" s="11">
        <f t="shared" si="8"/>
        <v>3000</v>
      </c>
      <c r="J74" s="11" t="str">
        <f t="shared" si="9"/>
        <v>Active</v>
      </c>
      <c r="K74" s="14"/>
    </row>
    <row r="75" spans="1:11" ht="15.75" x14ac:dyDescent="0.25">
      <c r="A75" s="11" t="s">
        <v>221</v>
      </c>
      <c r="B75" s="11" t="s">
        <v>42</v>
      </c>
      <c r="C75" s="13">
        <v>46408</v>
      </c>
      <c r="D75" s="13" t="str">
        <f t="shared" si="6"/>
        <v>Jan</v>
      </c>
      <c r="E75" s="11">
        <v>3000</v>
      </c>
      <c r="F75" s="33">
        <v>46417</v>
      </c>
      <c r="G75" s="33" t="str">
        <f t="shared" si="7"/>
        <v>Jan</v>
      </c>
      <c r="H75" s="11">
        <v>1000</v>
      </c>
      <c r="I75" s="11">
        <f t="shared" si="8"/>
        <v>2000</v>
      </c>
      <c r="J75" s="11" t="str">
        <f t="shared" si="9"/>
        <v>Active</v>
      </c>
      <c r="K75" s="14"/>
    </row>
    <row r="76" spans="1:11" ht="15.75" x14ac:dyDescent="0.25">
      <c r="A76" s="11" t="s">
        <v>221</v>
      </c>
      <c r="B76" s="11" t="s">
        <v>42</v>
      </c>
      <c r="C76" s="13">
        <v>46439</v>
      </c>
      <c r="D76" s="13" t="str">
        <f t="shared" si="6"/>
        <v>Feb</v>
      </c>
      <c r="E76" s="11">
        <v>2000</v>
      </c>
      <c r="F76" s="33">
        <v>46446</v>
      </c>
      <c r="G76" s="33" t="str">
        <f t="shared" si="7"/>
        <v>Feb</v>
      </c>
      <c r="H76" s="11">
        <v>1000</v>
      </c>
      <c r="I76" s="11">
        <f t="shared" si="8"/>
        <v>1000</v>
      </c>
      <c r="J76" s="11" t="str">
        <f t="shared" si="9"/>
        <v>Active</v>
      </c>
      <c r="K76" s="14"/>
    </row>
    <row r="77" spans="1:11" ht="15.75" x14ac:dyDescent="0.25">
      <c r="A77" s="11" t="s">
        <v>221</v>
      </c>
      <c r="B77" s="11" t="s">
        <v>42</v>
      </c>
      <c r="C77" s="13">
        <v>46467</v>
      </c>
      <c r="D77" s="13" t="str">
        <f t="shared" si="6"/>
        <v>Mar</v>
      </c>
      <c r="E77" s="11">
        <v>1000</v>
      </c>
      <c r="F77" s="33">
        <v>46476</v>
      </c>
      <c r="G77" s="33" t="str">
        <f t="shared" si="7"/>
        <v>Mar</v>
      </c>
      <c r="H77" s="11">
        <v>1000</v>
      </c>
      <c r="I77" s="11">
        <f t="shared" si="8"/>
        <v>0</v>
      </c>
      <c r="J77" s="11" t="str">
        <f t="shared" si="9"/>
        <v>Deactive</v>
      </c>
      <c r="K77" s="14"/>
    </row>
    <row r="78" spans="1:11" ht="15.75" x14ac:dyDescent="0.25">
      <c r="A78" s="11" t="s">
        <v>230</v>
      </c>
      <c r="B78" s="11" t="s">
        <v>13</v>
      </c>
      <c r="C78" s="13">
        <v>46250</v>
      </c>
      <c r="D78" s="13" t="str">
        <f t="shared" si="6"/>
        <v>Aug</v>
      </c>
      <c r="E78" s="11">
        <v>5000</v>
      </c>
      <c r="F78" s="33">
        <v>46265</v>
      </c>
      <c r="G78" s="33" t="str">
        <f t="shared" si="7"/>
        <v>Aug</v>
      </c>
      <c r="H78" s="11">
        <v>1000</v>
      </c>
      <c r="I78" s="11">
        <f t="shared" si="8"/>
        <v>4000</v>
      </c>
      <c r="J78" s="11" t="str">
        <f t="shared" si="9"/>
        <v>Active</v>
      </c>
      <c r="K78" s="14"/>
    </row>
    <row r="79" spans="1:11" ht="15.75" x14ac:dyDescent="0.25">
      <c r="A79" s="11" t="s">
        <v>230</v>
      </c>
      <c r="B79" s="11" t="s">
        <v>13</v>
      </c>
      <c r="C79" s="13">
        <v>46281</v>
      </c>
      <c r="D79" s="13" t="str">
        <f t="shared" si="6"/>
        <v>Sep</v>
      </c>
      <c r="E79" s="11">
        <v>4000</v>
      </c>
      <c r="F79" s="33">
        <v>46295</v>
      </c>
      <c r="G79" s="33" t="str">
        <f t="shared" si="7"/>
        <v>Sep</v>
      </c>
      <c r="H79" s="11">
        <v>1000</v>
      </c>
      <c r="I79" s="11">
        <f t="shared" si="8"/>
        <v>3000</v>
      </c>
      <c r="J79" s="11" t="str">
        <f t="shared" si="9"/>
        <v>Active</v>
      </c>
      <c r="K79" s="14"/>
    </row>
    <row r="80" spans="1:11" ht="15.75" x14ac:dyDescent="0.25">
      <c r="A80" s="11" t="s">
        <v>230</v>
      </c>
      <c r="B80" s="11" t="s">
        <v>13</v>
      </c>
      <c r="C80" s="13">
        <v>46311</v>
      </c>
      <c r="D80" s="13" t="str">
        <f t="shared" si="6"/>
        <v>Oct</v>
      </c>
      <c r="E80" s="11">
        <v>3000</v>
      </c>
      <c r="F80" s="33">
        <v>46326</v>
      </c>
      <c r="G80" s="33" t="str">
        <f t="shared" si="7"/>
        <v>Oct</v>
      </c>
      <c r="H80" s="11">
        <v>2000</v>
      </c>
      <c r="I80" s="11">
        <f t="shared" si="8"/>
        <v>1000</v>
      </c>
      <c r="J80" s="11" t="str">
        <f t="shared" si="9"/>
        <v>Active</v>
      </c>
      <c r="K80" s="14"/>
    </row>
    <row r="81" spans="1:11" ht="15.75" x14ac:dyDescent="0.25">
      <c r="A81" s="11" t="s">
        <v>230</v>
      </c>
      <c r="B81" s="11" t="s">
        <v>13</v>
      </c>
      <c r="C81" s="13">
        <v>46342</v>
      </c>
      <c r="D81" s="13" t="str">
        <f t="shared" si="6"/>
        <v>Nov</v>
      </c>
      <c r="E81" s="11">
        <v>1000</v>
      </c>
      <c r="F81" s="33">
        <v>46356</v>
      </c>
      <c r="G81" s="33" t="str">
        <f t="shared" si="7"/>
        <v>Nov</v>
      </c>
      <c r="H81" s="11">
        <v>1000</v>
      </c>
      <c r="I81" s="11">
        <f t="shared" si="8"/>
        <v>0</v>
      </c>
      <c r="J81" s="11" t="str">
        <f t="shared" si="9"/>
        <v>Deactive</v>
      </c>
      <c r="K81" s="14"/>
    </row>
    <row r="82" spans="1:11" ht="15.75" x14ac:dyDescent="0.25">
      <c r="A82" s="11"/>
      <c r="B82" s="11"/>
      <c r="C82" s="13"/>
      <c r="D82" s="13" t="str">
        <f t="shared" si="6"/>
        <v/>
      </c>
      <c r="E82" s="11"/>
      <c r="F82" s="11"/>
      <c r="G82" s="33"/>
      <c r="H82" s="11"/>
      <c r="I82" s="11"/>
      <c r="J82" s="11"/>
      <c r="K82" s="14"/>
    </row>
    <row r="83" spans="1:11" ht="15.75" x14ac:dyDescent="0.25">
      <c r="A83" s="11"/>
      <c r="B83" s="11"/>
      <c r="C83" s="13"/>
      <c r="D83" s="13" t="str">
        <f t="shared" si="6"/>
        <v/>
      </c>
      <c r="E83" s="11"/>
      <c r="F83" s="11"/>
      <c r="G83" s="33"/>
      <c r="H83" s="11"/>
      <c r="I83" s="11"/>
      <c r="J83" s="11"/>
      <c r="K83" s="14"/>
    </row>
    <row r="84" spans="1:11" ht="15.75" x14ac:dyDescent="0.25">
      <c r="A84" s="11"/>
      <c r="B84" s="11"/>
      <c r="C84" s="13"/>
      <c r="D84" s="13" t="str">
        <f t="shared" si="6"/>
        <v/>
      </c>
      <c r="E84" s="11"/>
      <c r="F84" s="11"/>
      <c r="G84" s="33"/>
      <c r="H84" s="11"/>
      <c r="I84" s="11"/>
      <c r="J84" s="11"/>
      <c r="K84" s="14"/>
    </row>
    <row r="85" spans="1:11" ht="15.75" x14ac:dyDescent="0.25">
      <c r="A85" s="11"/>
      <c r="B85" s="11"/>
      <c r="C85" s="13"/>
      <c r="D85" s="13" t="str">
        <f t="shared" si="6"/>
        <v/>
      </c>
      <c r="E85" s="11"/>
      <c r="F85" s="11"/>
      <c r="G85" s="33"/>
      <c r="H85" s="11"/>
      <c r="I85" s="11"/>
      <c r="J85" s="11"/>
      <c r="K85" s="14"/>
    </row>
    <row r="86" spans="1:11" ht="15.75" x14ac:dyDescent="0.25">
      <c r="A86" s="11"/>
      <c r="B86" s="11"/>
      <c r="C86" s="13"/>
      <c r="D86" s="13" t="str">
        <f t="shared" si="6"/>
        <v/>
      </c>
      <c r="E86" s="11"/>
      <c r="F86" s="11"/>
      <c r="G86" s="33"/>
      <c r="H86" s="11"/>
      <c r="I86" s="11"/>
      <c r="J86" s="11"/>
      <c r="K86" s="14"/>
    </row>
    <row r="87" spans="1:11" ht="15.75" x14ac:dyDescent="0.25">
      <c r="A87" s="11"/>
      <c r="B87" s="11"/>
      <c r="C87" s="13"/>
      <c r="D87" s="13" t="str">
        <f t="shared" si="6"/>
        <v/>
      </c>
      <c r="E87" s="11"/>
      <c r="F87" s="11"/>
      <c r="G87" s="33"/>
      <c r="H87" s="11"/>
      <c r="I87" s="11"/>
      <c r="J87" s="11"/>
      <c r="K87" s="14"/>
    </row>
    <row r="88" spans="1:11" ht="15.75" x14ac:dyDescent="0.25">
      <c r="A88" s="11"/>
      <c r="B88" s="11"/>
      <c r="C88" s="13"/>
      <c r="D88" s="13"/>
      <c r="E88" s="11"/>
      <c r="F88" s="11"/>
      <c r="G88" s="33"/>
      <c r="H88" s="11"/>
      <c r="I88" s="11"/>
      <c r="J88" s="11"/>
      <c r="K88" s="14"/>
    </row>
    <row r="89" spans="1:11" ht="15.75" x14ac:dyDescent="0.25">
      <c r="A89" s="11"/>
      <c r="B89" s="11"/>
      <c r="C89" s="13"/>
      <c r="D89" s="13"/>
      <c r="E89" s="11"/>
      <c r="F89" s="11"/>
      <c r="G89" s="33"/>
      <c r="H89" s="11"/>
      <c r="I89" s="11"/>
      <c r="J89" s="11"/>
      <c r="K89" s="14"/>
    </row>
    <row r="90" spans="1:11" ht="15.75" x14ac:dyDescent="0.25">
      <c r="A90" s="11"/>
      <c r="B90" s="11"/>
      <c r="C90" s="13"/>
      <c r="D90" s="13"/>
      <c r="E90" s="11"/>
      <c r="F90" s="11"/>
      <c r="G90" s="33"/>
      <c r="H90" s="11"/>
      <c r="I90" s="11"/>
      <c r="J90" s="11"/>
      <c r="K90" s="14"/>
    </row>
    <row r="91" spans="1:11" ht="15.75" x14ac:dyDescent="0.25">
      <c r="A91" s="11"/>
      <c r="B91" s="11"/>
      <c r="C91" s="13"/>
      <c r="D91" s="13"/>
      <c r="E91" s="11"/>
      <c r="F91" s="11"/>
      <c r="G91" s="33"/>
      <c r="H91" s="11"/>
      <c r="I91" s="11"/>
      <c r="J91" s="11"/>
      <c r="K91" s="14"/>
    </row>
    <row r="92" spans="1:11" ht="15.75" x14ac:dyDescent="0.25">
      <c r="A92" s="11"/>
      <c r="B92" s="11"/>
      <c r="C92" s="13"/>
      <c r="D92" s="13"/>
      <c r="E92" s="11"/>
      <c r="F92" s="11"/>
      <c r="G92" s="33"/>
      <c r="H92" s="11"/>
      <c r="I92" s="11"/>
      <c r="J92" s="11"/>
      <c r="K92" s="14"/>
    </row>
    <row r="93" spans="1:11" ht="15.75" x14ac:dyDescent="0.25">
      <c r="A93" s="11"/>
      <c r="B93" s="11"/>
      <c r="C93" s="13"/>
      <c r="D93" s="13"/>
      <c r="E93" s="11"/>
      <c r="F93" s="11"/>
      <c r="G93" s="33"/>
      <c r="H93" s="11"/>
      <c r="I93" s="11"/>
      <c r="J93" s="11"/>
      <c r="K93" s="14"/>
    </row>
    <row r="94" spans="1:11" ht="15.75" x14ac:dyDescent="0.25">
      <c r="A94" s="11"/>
      <c r="B94" s="11"/>
      <c r="C94" s="13"/>
      <c r="D94" s="13"/>
      <c r="E94" s="11"/>
      <c r="F94" s="11"/>
      <c r="G94" s="33"/>
      <c r="H94" s="11"/>
      <c r="I94" s="11"/>
      <c r="J94" s="11"/>
      <c r="K94" s="14"/>
    </row>
    <row r="95" spans="1:11" ht="15.75" x14ac:dyDescent="0.25">
      <c r="A95" s="11"/>
      <c r="B95" s="11"/>
      <c r="C95" s="13"/>
      <c r="D95" s="13"/>
      <c r="E95" s="11"/>
      <c r="F95" s="11"/>
      <c r="G95" s="33"/>
      <c r="H95" s="11"/>
      <c r="I95" s="11"/>
      <c r="J95" s="11"/>
      <c r="K95" s="14"/>
    </row>
    <row r="96" spans="1:11" ht="15.75" x14ac:dyDescent="0.25">
      <c r="A96" s="11"/>
      <c r="B96" s="11"/>
      <c r="C96" s="13"/>
      <c r="D96" s="13"/>
      <c r="E96" s="11"/>
      <c r="F96" s="11"/>
      <c r="G96" s="33"/>
      <c r="H96" s="11"/>
      <c r="I96" s="11"/>
      <c r="J96" s="11"/>
      <c r="K96" s="14"/>
    </row>
    <row r="97" spans="1:11" ht="15.75" x14ac:dyDescent="0.25">
      <c r="A97" s="11"/>
      <c r="B97" s="11"/>
      <c r="C97" s="13"/>
      <c r="D97" s="13"/>
      <c r="E97" s="11"/>
      <c r="F97" s="11"/>
      <c r="G97" s="33"/>
      <c r="H97" s="11"/>
      <c r="I97" s="11"/>
      <c r="J97" s="11"/>
      <c r="K97" s="14"/>
    </row>
    <row r="98" spans="1:11" ht="15.75" x14ac:dyDescent="0.25">
      <c r="A98" s="12"/>
      <c r="B98" s="12"/>
      <c r="C98" s="12"/>
      <c r="D98" s="13"/>
      <c r="E98" s="12"/>
      <c r="F98" s="12"/>
      <c r="G98" s="33"/>
      <c r="H98" s="12"/>
      <c r="I98" s="11"/>
      <c r="J98" s="11"/>
      <c r="K98" s="14"/>
    </row>
    <row r="99" spans="1:11" ht="15.75" x14ac:dyDescent="0.25">
      <c r="A99" s="14"/>
      <c r="B99" s="14"/>
      <c r="C99" s="14"/>
      <c r="D99" s="13"/>
      <c r="E99" s="14"/>
      <c r="F99" s="14"/>
      <c r="G99" s="33"/>
      <c r="H99" s="14"/>
      <c r="I99" s="11"/>
      <c r="J99" s="11"/>
      <c r="K99" s="14"/>
    </row>
    <row r="100" spans="1:11" ht="15.75" x14ac:dyDescent="0.25">
      <c r="A100" s="14"/>
      <c r="B100" s="14"/>
      <c r="C100" s="14"/>
      <c r="D100" s="13"/>
      <c r="E100" s="14"/>
      <c r="F100" s="14"/>
      <c r="G100" s="33"/>
      <c r="H100" s="14"/>
      <c r="I100" s="11"/>
      <c r="J100" s="11"/>
      <c r="K100" s="14"/>
    </row>
    <row r="101" spans="1:11" ht="15.75" x14ac:dyDescent="0.25">
      <c r="A101" s="14"/>
      <c r="B101" s="14"/>
      <c r="C101" s="14"/>
      <c r="D101" s="13"/>
      <c r="E101" s="14"/>
      <c r="F101" s="14"/>
      <c r="G101" s="33"/>
      <c r="H101" s="14"/>
      <c r="I101" s="11"/>
      <c r="J101" s="11"/>
      <c r="K101" s="14"/>
    </row>
    <row r="102" spans="1:11" ht="15.75" x14ac:dyDescent="0.25">
      <c r="A102" s="14"/>
      <c r="B102" s="14"/>
      <c r="C102" s="14"/>
      <c r="D102" s="13"/>
      <c r="E102" s="14"/>
      <c r="F102" s="14"/>
      <c r="G102" s="33"/>
      <c r="H102" s="14"/>
      <c r="I102" s="11"/>
      <c r="J102" s="11"/>
      <c r="K102" s="14"/>
    </row>
    <row r="103" spans="1:11" ht="15.75" x14ac:dyDescent="0.25">
      <c r="A103" s="14"/>
      <c r="B103" s="14"/>
      <c r="C103" s="14"/>
      <c r="D103" s="13"/>
      <c r="E103" s="14"/>
      <c r="F103" s="14"/>
      <c r="G103" s="33"/>
      <c r="H103" s="14"/>
      <c r="I103" s="11"/>
      <c r="J103" s="11"/>
      <c r="K103" s="14"/>
    </row>
    <row r="104" spans="1:11" ht="15.75" x14ac:dyDescent="0.25">
      <c r="A104" s="14"/>
      <c r="B104" s="14"/>
      <c r="C104" s="14"/>
      <c r="D104" s="13"/>
      <c r="E104" s="14"/>
      <c r="F104" s="14"/>
      <c r="G104" s="33"/>
      <c r="H104" s="14"/>
      <c r="I104" s="11"/>
      <c r="J104" s="11"/>
      <c r="K104" s="14"/>
    </row>
    <row r="105" spans="1:11" ht="15.75" x14ac:dyDescent="0.25">
      <c r="A105" s="14"/>
      <c r="B105" s="14"/>
      <c r="C105" s="14"/>
      <c r="D105" s="13"/>
      <c r="E105" s="14"/>
      <c r="F105" s="14"/>
      <c r="G105" s="33"/>
      <c r="H105" s="14"/>
      <c r="I105" s="11"/>
      <c r="J105" s="11"/>
      <c r="K105" s="14"/>
    </row>
    <row r="106" spans="1:11" ht="15.75" x14ac:dyDescent="0.25">
      <c r="A106" s="14"/>
      <c r="B106" s="14"/>
      <c r="C106" s="14"/>
      <c r="D106" s="13"/>
      <c r="E106" s="14"/>
      <c r="F106" s="14"/>
      <c r="G106" s="33"/>
      <c r="H106" s="14"/>
      <c r="I106" s="11"/>
      <c r="J106" s="11"/>
      <c r="K106" s="14"/>
    </row>
    <row r="107" spans="1:11" ht="15.75" x14ac:dyDescent="0.25">
      <c r="A107" s="14"/>
      <c r="B107" s="14"/>
      <c r="C107" s="14"/>
      <c r="D107" s="13"/>
      <c r="E107" s="14"/>
      <c r="F107" s="14"/>
      <c r="G107" s="33"/>
      <c r="H107" s="14"/>
      <c r="I107" s="11"/>
      <c r="J107" s="11"/>
      <c r="K107" s="14"/>
    </row>
    <row r="108" spans="1:11" ht="15.75" x14ac:dyDescent="0.25">
      <c r="A108" s="14"/>
      <c r="B108" s="14"/>
      <c r="C108" s="14"/>
      <c r="D108" s="13"/>
      <c r="E108" s="14"/>
      <c r="F108" s="14"/>
      <c r="G108" s="33"/>
      <c r="H108" s="14"/>
      <c r="I108" s="11"/>
      <c r="J108" s="11"/>
      <c r="K108" s="14"/>
    </row>
    <row r="109" spans="1:11" ht="15.75" x14ac:dyDescent="0.25">
      <c r="A109" s="14"/>
      <c r="B109" s="14"/>
      <c r="C109" s="14"/>
      <c r="D109" s="13"/>
      <c r="E109" s="14"/>
      <c r="F109" s="14"/>
      <c r="G109" s="33"/>
      <c r="H109" s="14"/>
      <c r="I109" s="11"/>
      <c r="J109" s="11"/>
      <c r="K109" s="14"/>
    </row>
    <row r="110" spans="1:11" ht="15.75" x14ac:dyDescent="0.25">
      <c r="A110" s="14"/>
      <c r="B110" s="14"/>
      <c r="C110" s="14"/>
      <c r="D110" s="13"/>
      <c r="E110" s="14"/>
      <c r="F110" s="14"/>
      <c r="G110" s="33"/>
      <c r="H110" s="14"/>
      <c r="I110" s="11"/>
      <c r="J110" s="11"/>
      <c r="K110" s="14"/>
    </row>
    <row r="111" spans="1:11" ht="15.75" x14ac:dyDescent="0.25">
      <c r="A111" s="14"/>
      <c r="B111" s="14"/>
      <c r="C111" s="14"/>
      <c r="D111" s="13"/>
      <c r="E111" s="14"/>
      <c r="F111" s="14"/>
      <c r="G111" s="33"/>
      <c r="H111" s="14"/>
      <c r="I111" s="11"/>
      <c r="J111" s="11"/>
      <c r="K111" s="14"/>
    </row>
    <row r="112" spans="1:11" ht="15.75" x14ac:dyDescent="0.25">
      <c r="A112" s="14"/>
      <c r="B112" s="14"/>
      <c r="C112" s="14"/>
      <c r="D112" s="13"/>
      <c r="E112" s="14"/>
      <c r="F112" s="14"/>
      <c r="G112" s="33"/>
      <c r="H112" s="14"/>
      <c r="I112" s="11"/>
      <c r="J112" s="11"/>
      <c r="K112" s="14"/>
    </row>
    <row r="113" spans="1:11" ht="15.75" x14ac:dyDescent="0.25">
      <c r="A113" s="14"/>
      <c r="B113" s="14"/>
      <c r="C113" s="14"/>
      <c r="D113" s="13"/>
      <c r="E113" s="14"/>
      <c r="F113" s="14"/>
      <c r="G113" s="33"/>
      <c r="H113" s="14"/>
      <c r="I113" s="11"/>
      <c r="J113" s="11"/>
      <c r="K113" s="14"/>
    </row>
    <row r="114" spans="1:11" ht="15.75" x14ac:dyDescent="0.25">
      <c r="A114" s="14"/>
      <c r="B114" s="14"/>
      <c r="C114" s="14"/>
      <c r="D114" s="13"/>
      <c r="E114" s="14"/>
      <c r="F114" s="14"/>
      <c r="G114" s="33"/>
      <c r="H114" s="14"/>
      <c r="I114" s="11"/>
      <c r="J114" s="11"/>
      <c r="K114" s="14"/>
    </row>
    <row r="115" spans="1:11" ht="15.75" x14ac:dyDescent="0.25">
      <c r="A115" s="14"/>
      <c r="B115" s="14"/>
      <c r="C115" s="14"/>
      <c r="D115" s="13"/>
      <c r="E115" s="14"/>
      <c r="F115" s="14"/>
      <c r="G115" s="33"/>
      <c r="H115" s="14"/>
      <c r="I115" s="11"/>
      <c r="J115" s="11"/>
      <c r="K115" s="14"/>
    </row>
    <row r="116" spans="1:11" ht="15.75" x14ac:dyDescent="0.25">
      <c r="A116" s="14"/>
      <c r="B116" s="14"/>
      <c r="C116" s="14"/>
      <c r="D116" s="13"/>
      <c r="E116" s="14"/>
      <c r="F116" s="14"/>
      <c r="G116" s="33"/>
      <c r="H116" s="14"/>
      <c r="I116" s="11"/>
      <c r="J116" s="11"/>
      <c r="K116" s="14"/>
    </row>
    <row r="117" spans="1:11" ht="15.75" x14ac:dyDescent="0.25">
      <c r="A117" s="14"/>
      <c r="B117" s="14"/>
      <c r="C117" s="14"/>
      <c r="D117" s="13"/>
      <c r="E117" s="14"/>
      <c r="F117" s="14"/>
      <c r="G117" s="33"/>
      <c r="H117" s="14"/>
      <c r="I117" s="11"/>
      <c r="J117" s="11"/>
      <c r="K117" s="14"/>
    </row>
    <row r="118" spans="1:11" ht="15.75" x14ac:dyDescent="0.25">
      <c r="A118" s="14"/>
      <c r="B118" s="14"/>
      <c r="C118" s="14"/>
      <c r="D118" s="13"/>
      <c r="E118" s="14"/>
      <c r="F118" s="14"/>
      <c r="G118" s="33"/>
      <c r="H118" s="14"/>
      <c r="I118" s="11"/>
      <c r="J118" s="11"/>
      <c r="K118" s="14"/>
    </row>
    <row r="119" spans="1:11" ht="15.75" x14ac:dyDescent="0.25">
      <c r="D119" s="13"/>
      <c r="G119" s="33"/>
      <c r="I119" s="11"/>
      <c r="J119" s="11"/>
    </row>
    <row r="120" spans="1:11" ht="15.75" x14ac:dyDescent="0.25">
      <c r="D120" s="13"/>
      <c r="G120" s="33"/>
      <c r="I120" s="11"/>
      <c r="J120" s="11"/>
    </row>
    <row r="121" spans="1:11" ht="15.75" x14ac:dyDescent="0.25">
      <c r="D121" s="13"/>
      <c r="G121" s="33"/>
      <c r="I121" s="11"/>
      <c r="J121" s="11"/>
    </row>
    <row r="122" spans="1:11" ht="15.75" x14ac:dyDescent="0.25">
      <c r="D122" s="13"/>
      <c r="G122" s="33"/>
      <c r="I122" s="11"/>
      <c r="J122" s="11"/>
    </row>
    <row r="123" spans="1:11" ht="15.75" x14ac:dyDescent="0.25">
      <c r="D123" s="13"/>
      <c r="G123" s="33"/>
      <c r="I123" s="11"/>
      <c r="J123" s="11"/>
    </row>
    <row r="124" spans="1:11" ht="15.75" x14ac:dyDescent="0.25">
      <c r="D124" s="13"/>
      <c r="G124" s="33"/>
      <c r="I124" s="11"/>
      <c r="J124" s="11"/>
    </row>
    <row r="125" spans="1:11" ht="15.75" x14ac:dyDescent="0.25">
      <c r="D125" s="13"/>
      <c r="G125" s="33"/>
      <c r="I125" s="11"/>
      <c r="J125" s="11"/>
    </row>
    <row r="126" spans="1:11" ht="15.75" x14ac:dyDescent="0.25">
      <c r="D126" s="13"/>
      <c r="G126" s="33"/>
      <c r="I126" s="11"/>
      <c r="J126" s="11"/>
    </row>
    <row r="127" spans="1:11" ht="15.75" x14ac:dyDescent="0.25">
      <c r="D127" s="13"/>
      <c r="G127" s="33"/>
      <c r="I127" s="11"/>
      <c r="J127" s="11"/>
    </row>
    <row r="128" spans="1:11" ht="15.75" x14ac:dyDescent="0.25">
      <c r="D128" s="13"/>
      <c r="G128" s="33"/>
      <c r="I128" s="11"/>
      <c r="J128" s="11"/>
    </row>
    <row r="129" spans="4:10" ht="15.75" x14ac:dyDescent="0.25">
      <c r="D129" s="13"/>
      <c r="G129" s="33"/>
      <c r="I129" s="11"/>
      <c r="J129" s="11"/>
    </row>
    <row r="130" spans="4:10" ht="15.75" x14ac:dyDescent="0.25">
      <c r="D130" s="13"/>
      <c r="G130" s="33"/>
      <c r="I130" s="11"/>
      <c r="J130" s="11"/>
    </row>
    <row r="131" spans="4:10" ht="15.75" x14ac:dyDescent="0.25">
      <c r="D131" s="13"/>
      <c r="G131" s="33"/>
      <c r="I131" s="11"/>
      <c r="J131" s="11"/>
    </row>
    <row r="132" spans="4:10" ht="15.75" x14ac:dyDescent="0.25">
      <c r="D132" s="13"/>
      <c r="G132" s="33"/>
      <c r="I132" s="11"/>
      <c r="J132" s="11"/>
    </row>
    <row r="133" spans="4:10" ht="15.75" x14ac:dyDescent="0.25">
      <c r="D133" s="13"/>
      <c r="G133" s="33"/>
      <c r="I133" s="11"/>
      <c r="J133" s="11"/>
    </row>
    <row r="134" spans="4:10" ht="15.75" x14ac:dyDescent="0.25">
      <c r="D134" s="13"/>
      <c r="G134" s="33"/>
      <c r="I134" s="11"/>
      <c r="J134" s="11"/>
    </row>
    <row r="135" spans="4:10" ht="15.75" x14ac:dyDescent="0.25">
      <c r="D135" s="13"/>
      <c r="G135" s="33"/>
      <c r="I135" s="11"/>
      <c r="J135" s="11"/>
    </row>
    <row r="136" spans="4:10" ht="15.75" x14ac:dyDescent="0.25">
      <c r="D136" s="13"/>
      <c r="G136" s="33"/>
      <c r="I136" s="11"/>
      <c r="J136" s="11"/>
    </row>
    <row r="137" spans="4:10" ht="15.75" x14ac:dyDescent="0.25">
      <c r="D137" s="13"/>
      <c r="G137" s="33"/>
      <c r="I137" s="11"/>
      <c r="J137" s="11"/>
    </row>
    <row r="138" spans="4:10" ht="15.75" x14ac:dyDescent="0.25">
      <c r="D138" s="13"/>
      <c r="G138" s="33"/>
      <c r="I138" s="11"/>
      <c r="J138" s="11"/>
    </row>
    <row r="139" spans="4:10" ht="15.75" x14ac:dyDescent="0.25">
      <c r="D139" s="13"/>
      <c r="G139" s="33"/>
      <c r="I139" s="11"/>
      <c r="J139" s="11"/>
    </row>
    <row r="140" spans="4:10" ht="15.75" x14ac:dyDescent="0.25">
      <c r="D140" s="13"/>
      <c r="G140" s="33"/>
      <c r="I140" s="11"/>
      <c r="J140" s="11"/>
    </row>
    <row r="141" spans="4:10" ht="15.75" x14ac:dyDescent="0.25">
      <c r="D141" s="13"/>
      <c r="G141" s="33"/>
      <c r="I141" s="11"/>
      <c r="J141" s="11"/>
    </row>
    <row r="142" spans="4:10" ht="15.75" x14ac:dyDescent="0.25">
      <c r="D142" s="13"/>
      <c r="G142" s="33"/>
      <c r="I142" s="11"/>
      <c r="J142" s="11"/>
    </row>
    <row r="143" spans="4:10" ht="15.75" x14ac:dyDescent="0.25">
      <c r="D143" s="13"/>
      <c r="G143" s="33"/>
      <c r="I143" s="11"/>
      <c r="J143" s="11"/>
    </row>
    <row r="144" spans="4:10" ht="15.75" x14ac:dyDescent="0.25">
      <c r="D144" s="13"/>
      <c r="G144" s="33"/>
      <c r="I144" s="11"/>
      <c r="J144" s="11"/>
    </row>
    <row r="145" spans="4:10" ht="15.75" x14ac:dyDescent="0.25">
      <c r="D145" s="13"/>
      <c r="G145" s="33"/>
      <c r="I145" s="11"/>
      <c r="J145" s="11"/>
    </row>
    <row r="146" spans="4:10" ht="15.75" x14ac:dyDescent="0.25">
      <c r="D146" s="13"/>
      <c r="G146" s="33"/>
      <c r="I146" s="11"/>
      <c r="J146" s="11"/>
    </row>
    <row r="147" spans="4:10" ht="15.75" x14ac:dyDescent="0.25">
      <c r="D147" s="13"/>
      <c r="G147" s="33"/>
      <c r="I147" s="11"/>
      <c r="J147" s="11"/>
    </row>
    <row r="148" spans="4:10" ht="15.75" x14ac:dyDescent="0.25">
      <c r="D148" s="13"/>
      <c r="G148" s="33"/>
      <c r="I148" s="11"/>
      <c r="J148" s="11"/>
    </row>
    <row r="149" spans="4:10" ht="15.75" x14ac:dyDescent="0.25">
      <c r="D149" s="13"/>
      <c r="G149" s="33"/>
      <c r="I149" s="11"/>
      <c r="J149" s="11"/>
    </row>
    <row r="150" spans="4:10" ht="15.75" x14ac:dyDescent="0.25">
      <c r="D150" s="13"/>
      <c r="G150" s="33"/>
      <c r="I150" s="11"/>
      <c r="J150" s="11"/>
    </row>
    <row r="151" spans="4:10" ht="15.75" x14ac:dyDescent="0.25">
      <c r="D151" s="13"/>
      <c r="G151" s="33"/>
      <c r="I151" s="11"/>
      <c r="J151" s="11"/>
    </row>
    <row r="152" spans="4:10" ht="15.75" x14ac:dyDescent="0.25">
      <c r="D152" s="13"/>
      <c r="G152" s="33"/>
      <c r="I152" s="11"/>
      <c r="J152" s="11"/>
    </row>
    <row r="153" spans="4:10" ht="15.75" x14ac:dyDescent="0.25">
      <c r="D153" s="13"/>
      <c r="G153" s="33"/>
      <c r="I153" s="11"/>
      <c r="J153" s="11"/>
    </row>
    <row r="154" spans="4:10" ht="15.75" x14ac:dyDescent="0.25">
      <c r="D154" s="13"/>
      <c r="G154" s="33"/>
      <c r="I154" s="11"/>
      <c r="J154" s="11"/>
    </row>
    <row r="155" spans="4:10" ht="15.75" x14ac:dyDescent="0.25">
      <c r="D155" s="13"/>
      <c r="G155" s="33"/>
      <c r="I155" s="11"/>
      <c r="J155" s="11"/>
    </row>
    <row r="156" spans="4:10" ht="15.75" x14ac:dyDescent="0.25">
      <c r="D156" s="13"/>
      <c r="G156" s="33"/>
      <c r="I156" s="11"/>
      <c r="J156" s="11"/>
    </row>
    <row r="157" spans="4:10" ht="15.75" x14ac:dyDescent="0.25">
      <c r="D157" s="13"/>
      <c r="G157" s="33"/>
      <c r="I157" s="11"/>
      <c r="J157" s="11"/>
    </row>
    <row r="158" spans="4:10" ht="15.75" x14ac:dyDescent="0.25">
      <c r="D158" s="13"/>
      <c r="G158" s="33"/>
      <c r="I158" s="11"/>
      <c r="J158" s="11"/>
    </row>
    <row r="159" spans="4:10" ht="15.75" x14ac:dyDescent="0.25">
      <c r="D159" s="13"/>
      <c r="G159" s="33"/>
      <c r="I159" s="11"/>
      <c r="J159" s="11"/>
    </row>
    <row r="160" spans="4:10" ht="15.75" x14ac:dyDescent="0.25">
      <c r="D160" s="13"/>
      <c r="G160" s="33"/>
      <c r="I160" s="11"/>
      <c r="J160" s="11"/>
    </row>
    <row r="161" spans="4:10" ht="15.75" x14ac:dyDescent="0.25">
      <c r="D161" s="13"/>
      <c r="G161" s="33"/>
      <c r="I161" s="11"/>
      <c r="J161" s="11"/>
    </row>
    <row r="162" spans="4:10" ht="15.75" x14ac:dyDescent="0.25">
      <c r="D162" s="13"/>
      <c r="G162" s="33"/>
      <c r="I162" s="11"/>
      <c r="J162" s="11"/>
    </row>
    <row r="163" spans="4:10" ht="15.75" x14ac:dyDescent="0.25">
      <c r="D163" s="13"/>
      <c r="G163" s="33"/>
      <c r="I163" s="11"/>
      <c r="J163" s="11"/>
    </row>
    <row r="164" spans="4:10" ht="15.75" x14ac:dyDescent="0.25">
      <c r="D164" s="13"/>
      <c r="G164" s="33"/>
      <c r="I164" s="11"/>
      <c r="J164" s="11"/>
    </row>
    <row r="165" spans="4:10" ht="15.75" x14ac:dyDescent="0.25">
      <c r="D165" s="13"/>
      <c r="G165" s="33"/>
      <c r="I165" s="11"/>
      <c r="J165" s="11"/>
    </row>
    <row r="166" spans="4:10" ht="15.75" x14ac:dyDescent="0.25">
      <c r="D166" s="13"/>
      <c r="G166" s="33"/>
      <c r="I166" s="11"/>
      <c r="J166" s="11"/>
    </row>
    <row r="167" spans="4:10" ht="15.75" x14ac:dyDescent="0.25">
      <c r="D167" s="13"/>
      <c r="G167" s="33"/>
      <c r="I167" s="11"/>
      <c r="J167" s="11"/>
    </row>
    <row r="168" spans="4:10" ht="15.75" x14ac:dyDescent="0.25">
      <c r="D168" s="13"/>
      <c r="G168" s="33"/>
      <c r="I168" s="11"/>
      <c r="J168" s="11"/>
    </row>
    <row r="169" spans="4:10" ht="15.75" x14ac:dyDescent="0.25">
      <c r="D169" s="13"/>
      <c r="G169" s="33"/>
      <c r="I169" s="11"/>
      <c r="J169" s="11"/>
    </row>
    <row r="170" spans="4:10" ht="15.75" x14ac:dyDescent="0.25">
      <c r="D170" s="13"/>
      <c r="G170" s="33"/>
      <c r="I170" s="11"/>
      <c r="J170" s="11"/>
    </row>
    <row r="171" spans="4:10" ht="15.75" x14ac:dyDescent="0.25">
      <c r="D171" s="13"/>
      <c r="G171" s="33"/>
      <c r="I171" s="11"/>
      <c r="J171" s="11"/>
    </row>
    <row r="172" spans="4:10" ht="15.75" x14ac:dyDescent="0.25">
      <c r="D172" s="13"/>
      <c r="G172" s="33"/>
      <c r="I172" s="11"/>
      <c r="J172" s="11"/>
    </row>
    <row r="173" spans="4:10" ht="15.75" x14ac:dyDescent="0.25">
      <c r="D173" s="13"/>
      <c r="G173" s="33"/>
      <c r="I173" s="11"/>
      <c r="J173" s="11"/>
    </row>
    <row r="174" spans="4:10" ht="15.75" x14ac:dyDescent="0.25">
      <c r="D174" s="13"/>
      <c r="G174" s="33"/>
      <c r="I174" s="11"/>
      <c r="J174" s="11"/>
    </row>
    <row r="175" spans="4:10" ht="15.75" x14ac:dyDescent="0.25">
      <c r="D175" s="13"/>
      <c r="G175" s="33"/>
      <c r="I175" s="11"/>
      <c r="J175" s="11"/>
    </row>
    <row r="176" spans="4:10" ht="15.75" x14ac:dyDescent="0.25">
      <c r="D176" s="13"/>
      <c r="G176" s="33"/>
      <c r="I176" s="11"/>
      <c r="J176" s="11"/>
    </row>
    <row r="177" spans="4:10" ht="15.75" x14ac:dyDescent="0.25">
      <c r="D177" s="13"/>
      <c r="G177" s="33"/>
      <c r="I177" s="11"/>
      <c r="J177" s="11"/>
    </row>
    <row r="178" spans="4:10" ht="15.75" x14ac:dyDescent="0.25">
      <c r="D178" s="13"/>
      <c r="G178" s="33"/>
      <c r="I178" s="11"/>
      <c r="J178" s="11"/>
    </row>
    <row r="179" spans="4:10" ht="15.75" x14ac:dyDescent="0.25">
      <c r="D179" s="13"/>
      <c r="G179" s="33"/>
      <c r="I179" s="11"/>
      <c r="J179" s="11"/>
    </row>
    <row r="180" spans="4:10" ht="15.75" x14ac:dyDescent="0.25">
      <c r="D180" s="13"/>
      <c r="G180" s="33"/>
      <c r="I180" s="11"/>
      <c r="J180" s="11"/>
    </row>
    <row r="181" spans="4:10" ht="15.75" x14ac:dyDescent="0.25">
      <c r="D181" s="13"/>
      <c r="G181" s="33"/>
      <c r="I181" s="11"/>
      <c r="J181" s="11"/>
    </row>
    <row r="182" spans="4:10" ht="15.75" x14ac:dyDescent="0.25">
      <c r="D182" s="13"/>
      <c r="G182" s="33"/>
      <c r="I182" s="11"/>
      <c r="J182" s="11"/>
    </row>
    <row r="183" spans="4:10" ht="15.75" x14ac:dyDescent="0.25">
      <c r="D183" s="13"/>
      <c r="I183" s="11"/>
      <c r="J183" s="11"/>
    </row>
    <row r="184" spans="4:10" ht="15.75" x14ac:dyDescent="0.25">
      <c r="D184" s="13"/>
      <c r="I184" s="11"/>
      <c r="J184" s="11"/>
    </row>
    <row r="185" spans="4:10" ht="15.75" x14ac:dyDescent="0.25">
      <c r="D185" s="13"/>
      <c r="I185" s="11"/>
      <c r="J185" s="11"/>
    </row>
    <row r="186" spans="4:10" ht="15.75" x14ac:dyDescent="0.25">
      <c r="D186" s="13"/>
      <c r="I186" s="11"/>
      <c r="J186" s="11"/>
    </row>
    <row r="187" spans="4:10" ht="15.75" x14ac:dyDescent="0.25">
      <c r="D187" s="13"/>
      <c r="I187" s="11"/>
      <c r="J187" s="11"/>
    </row>
    <row r="188" spans="4:10" ht="15.75" x14ac:dyDescent="0.25">
      <c r="D188" s="13"/>
      <c r="I188" s="11"/>
      <c r="J188" s="11"/>
    </row>
    <row r="189" spans="4:10" ht="15.75" x14ac:dyDescent="0.25">
      <c r="D189" s="13"/>
      <c r="I189" s="11"/>
      <c r="J189" s="11"/>
    </row>
    <row r="190" spans="4:10" ht="15.75" x14ac:dyDescent="0.25">
      <c r="D190" s="13"/>
      <c r="I190" s="11"/>
      <c r="J190" s="11"/>
    </row>
    <row r="191" spans="4:10" ht="15.75" x14ac:dyDescent="0.25">
      <c r="D191" s="13"/>
      <c r="I191" s="11"/>
      <c r="J191" s="11"/>
    </row>
    <row r="192" spans="4:10" ht="15.75" x14ac:dyDescent="0.25">
      <c r="D192" s="13"/>
      <c r="I192" s="11"/>
      <c r="J192" s="11"/>
    </row>
    <row r="193" spans="4:10" ht="15.75" x14ac:dyDescent="0.25">
      <c r="D193" s="13"/>
      <c r="I193" s="11"/>
      <c r="J193" s="11"/>
    </row>
    <row r="194" spans="4:10" ht="15.75" x14ac:dyDescent="0.25">
      <c r="D194" s="13"/>
      <c r="I194" s="11"/>
      <c r="J194" s="11"/>
    </row>
    <row r="195" spans="4:10" ht="15.75" x14ac:dyDescent="0.25">
      <c r="D195" s="13"/>
      <c r="I195" s="11"/>
      <c r="J195" s="11"/>
    </row>
    <row r="196" spans="4:10" ht="15.75" x14ac:dyDescent="0.25">
      <c r="D196" s="13"/>
      <c r="I196" s="11"/>
      <c r="J196" s="11"/>
    </row>
    <row r="197" spans="4:10" ht="15.75" x14ac:dyDescent="0.25">
      <c r="D197" s="13"/>
      <c r="I197" s="11"/>
      <c r="J197" s="11"/>
    </row>
    <row r="198" spans="4:10" ht="15.75" x14ac:dyDescent="0.25">
      <c r="D198" s="13"/>
      <c r="I198" s="11"/>
      <c r="J198" s="11"/>
    </row>
    <row r="199" spans="4:10" ht="15.75" x14ac:dyDescent="0.25">
      <c r="D199" s="13"/>
      <c r="I199" s="11"/>
      <c r="J199" s="11"/>
    </row>
    <row r="200" spans="4:10" ht="15.75" x14ac:dyDescent="0.25">
      <c r="D200" s="13"/>
      <c r="I200" s="11"/>
      <c r="J200" s="11"/>
    </row>
    <row r="201" spans="4:10" ht="15.75" x14ac:dyDescent="0.25">
      <c r="D201" s="13"/>
      <c r="I201" s="11"/>
      <c r="J201" s="11"/>
    </row>
    <row r="202" spans="4:10" ht="15.75" x14ac:dyDescent="0.25">
      <c r="D202" s="13"/>
      <c r="I202" s="11"/>
      <c r="J202" s="11"/>
    </row>
    <row r="203" spans="4:10" ht="15.75" x14ac:dyDescent="0.25">
      <c r="D203" s="13"/>
      <c r="I203" s="11"/>
      <c r="J203" s="11"/>
    </row>
    <row r="204" spans="4:10" ht="15.75" x14ac:dyDescent="0.25">
      <c r="D204" s="13"/>
      <c r="I204" s="11"/>
      <c r="J204" s="11"/>
    </row>
    <row r="205" spans="4:10" ht="15.75" x14ac:dyDescent="0.25">
      <c r="D205" s="13"/>
      <c r="I205" s="11"/>
      <c r="J205" s="11"/>
    </row>
    <row r="206" spans="4:10" ht="15.75" x14ac:dyDescent="0.25">
      <c r="D206" s="13"/>
      <c r="I206" s="11"/>
      <c r="J206" s="11"/>
    </row>
    <row r="207" spans="4:10" ht="15.75" x14ac:dyDescent="0.25">
      <c r="D207" s="13"/>
      <c r="I207" s="11"/>
      <c r="J207" s="11"/>
    </row>
    <row r="208" spans="4:10" ht="15.75" x14ac:dyDescent="0.25">
      <c r="D208" s="13"/>
      <c r="I208" s="11"/>
      <c r="J208" s="11"/>
    </row>
    <row r="209" spans="4:10" ht="15.75" x14ac:dyDescent="0.25">
      <c r="D209" s="13"/>
      <c r="I209" s="11"/>
      <c r="J209" s="11"/>
    </row>
    <row r="210" spans="4:10" ht="15.75" x14ac:dyDescent="0.25">
      <c r="D210" s="13"/>
      <c r="I210" s="11"/>
      <c r="J210" s="11"/>
    </row>
    <row r="211" spans="4:10" ht="15.75" x14ac:dyDescent="0.25">
      <c r="D211" s="13"/>
      <c r="I211" s="11"/>
      <c r="J211" s="11"/>
    </row>
    <row r="212" spans="4:10" ht="15.75" x14ac:dyDescent="0.25">
      <c r="D212" s="13"/>
      <c r="I212" s="11"/>
      <c r="J212" s="11"/>
    </row>
    <row r="213" spans="4:10" ht="15.75" x14ac:dyDescent="0.25">
      <c r="D213" s="13"/>
      <c r="I213" s="11"/>
      <c r="J213" s="11"/>
    </row>
    <row r="214" spans="4:10" ht="15.75" x14ac:dyDescent="0.25">
      <c r="D214" s="13"/>
      <c r="I214" s="11"/>
      <c r="J214" s="11"/>
    </row>
    <row r="215" spans="4:10" ht="15.75" x14ac:dyDescent="0.25">
      <c r="D215" s="13"/>
      <c r="I215" s="11"/>
      <c r="J215" s="11"/>
    </row>
    <row r="216" spans="4:10" ht="15.75" x14ac:dyDescent="0.25">
      <c r="D216" s="13"/>
      <c r="I216" s="11"/>
      <c r="J216" s="11"/>
    </row>
    <row r="217" spans="4:10" ht="15.75" x14ac:dyDescent="0.25">
      <c r="D217" s="13"/>
      <c r="I217" s="11"/>
      <c r="J217" s="11"/>
    </row>
    <row r="218" spans="4:10" ht="15.75" x14ac:dyDescent="0.25">
      <c r="D218" s="13"/>
      <c r="I218" s="11"/>
      <c r="J218" s="11"/>
    </row>
    <row r="219" spans="4:10" ht="15.75" x14ac:dyDescent="0.25">
      <c r="D219" s="13"/>
      <c r="I219" s="11"/>
      <c r="J219" s="11"/>
    </row>
    <row r="220" spans="4:10" ht="15.75" x14ac:dyDescent="0.25">
      <c r="D220" s="13"/>
      <c r="I220" s="11"/>
      <c r="J220" s="11"/>
    </row>
    <row r="221" spans="4:10" ht="15.75" x14ac:dyDescent="0.25">
      <c r="D221" s="13"/>
      <c r="I221" s="11"/>
      <c r="J221" s="11"/>
    </row>
    <row r="222" spans="4:10" ht="15.75" x14ac:dyDescent="0.25">
      <c r="D222" s="13"/>
      <c r="I222" s="11"/>
      <c r="J222" s="11"/>
    </row>
    <row r="223" spans="4:10" ht="15.75" x14ac:dyDescent="0.25">
      <c r="D223" s="13"/>
      <c r="I223" s="11"/>
      <c r="J223" s="11"/>
    </row>
    <row r="224" spans="4:10" ht="15.75" x14ac:dyDescent="0.25">
      <c r="D224" s="13"/>
      <c r="I224" s="11"/>
      <c r="J224" s="11"/>
    </row>
    <row r="225" spans="4:10" ht="15.75" x14ac:dyDescent="0.25">
      <c r="D225" s="13"/>
      <c r="I225" s="11"/>
      <c r="J225" s="11"/>
    </row>
    <row r="226" spans="4:10" ht="15.75" x14ac:dyDescent="0.25">
      <c r="D226" s="13"/>
      <c r="I226" s="11"/>
      <c r="J226" s="11"/>
    </row>
    <row r="227" spans="4:10" ht="15.75" x14ac:dyDescent="0.25">
      <c r="D227" s="13"/>
      <c r="I227" s="11"/>
      <c r="J227" s="11"/>
    </row>
    <row r="228" spans="4:10" ht="15.75" x14ac:dyDescent="0.25">
      <c r="D228" s="13"/>
      <c r="I228" s="11"/>
      <c r="J228" s="11"/>
    </row>
    <row r="229" spans="4:10" ht="15.75" x14ac:dyDescent="0.25">
      <c r="D229" s="13"/>
      <c r="I229" s="11"/>
      <c r="J229" s="11"/>
    </row>
    <row r="230" spans="4:10" ht="15.75" x14ac:dyDescent="0.25">
      <c r="D230" s="13"/>
      <c r="I230" s="11"/>
      <c r="J230" s="11"/>
    </row>
    <row r="231" spans="4:10" ht="15.75" x14ac:dyDescent="0.25">
      <c r="D231" s="13"/>
      <c r="I231" s="11"/>
      <c r="J231" s="11"/>
    </row>
    <row r="232" spans="4:10" ht="15.75" x14ac:dyDescent="0.25">
      <c r="D232" s="13"/>
      <c r="I232" s="11"/>
      <c r="J232" s="11"/>
    </row>
    <row r="233" spans="4:10" ht="15.75" x14ac:dyDescent="0.25">
      <c r="D233" s="13"/>
      <c r="I233" s="11"/>
      <c r="J233" s="11"/>
    </row>
    <row r="234" spans="4:10" ht="15.75" x14ac:dyDescent="0.25">
      <c r="D234" s="13"/>
      <c r="I234" s="11"/>
      <c r="J234" s="11"/>
    </row>
    <row r="235" spans="4:10" ht="15.75" x14ac:dyDescent="0.25">
      <c r="D235" s="13"/>
      <c r="I235" s="11"/>
      <c r="J235" s="11"/>
    </row>
    <row r="236" spans="4:10" ht="15.75" x14ac:dyDescent="0.25">
      <c r="D236" s="13"/>
      <c r="I236" s="11"/>
      <c r="J236" s="11"/>
    </row>
    <row r="237" spans="4:10" ht="15.75" x14ac:dyDescent="0.25">
      <c r="D237" s="13"/>
      <c r="I237" s="11"/>
      <c r="J237" s="11"/>
    </row>
    <row r="238" spans="4:10" ht="15.75" x14ac:dyDescent="0.25">
      <c r="D238" s="13"/>
      <c r="I238" s="11"/>
      <c r="J238" s="11"/>
    </row>
    <row r="239" spans="4:10" ht="15.75" x14ac:dyDescent="0.25">
      <c r="D239" s="13"/>
      <c r="I239" s="11"/>
      <c r="J239" s="11"/>
    </row>
    <row r="240" spans="4:10" ht="15.75" x14ac:dyDescent="0.25">
      <c r="D240" s="13"/>
      <c r="I240" s="11"/>
      <c r="J240" s="11"/>
    </row>
    <row r="241" spans="4:10" ht="15.75" x14ac:dyDescent="0.25">
      <c r="D241" s="13"/>
      <c r="I241" s="11"/>
      <c r="J241" s="11"/>
    </row>
    <row r="242" spans="4:10" ht="15.75" x14ac:dyDescent="0.25">
      <c r="D242" s="13"/>
      <c r="I242" s="11"/>
      <c r="J242" s="11"/>
    </row>
    <row r="243" spans="4:10" ht="15.75" x14ac:dyDescent="0.25">
      <c r="D243" s="13"/>
      <c r="I243" s="11"/>
      <c r="J243" s="11"/>
    </row>
    <row r="244" spans="4:10" ht="15.75" x14ac:dyDescent="0.25">
      <c r="D244" s="13"/>
      <c r="I244" s="11"/>
      <c r="J244" s="11"/>
    </row>
    <row r="245" spans="4:10" ht="15.75" x14ac:dyDescent="0.25">
      <c r="D245" s="13"/>
      <c r="I245" s="11"/>
      <c r="J245" s="11"/>
    </row>
    <row r="246" spans="4:10" ht="15.75" x14ac:dyDescent="0.25">
      <c r="D246" s="13"/>
      <c r="I246" s="11"/>
      <c r="J246" s="11"/>
    </row>
    <row r="247" spans="4:10" ht="15.75" x14ac:dyDescent="0.25">
      <c r="D247" s="13"/>
      <c r="I247" s="11"/>
      <c r="J247" s="11"/>
    </row>
    <row r="248" spans="4:10" ht="15.75" x14ac:dyDescent="0.25">
      <c r="D248" s="13"/>
      <c r="I248" s="11"/>
      <c r="J248" s="11"/>
    </row>
    <row r="249" spans="4:10" ht="15.75" x14ac:dyDescent="0.25">
      <c r="D249" s="13"/>
      <c r="I249" s="11"/>
      <c r="J249" s="11"/>
    </row>
    <row r="250" spans="4:10" ht="15.75" x14ac:dyDescent="0.25">
      <c r="D250" s="13"/>
      <c r="I250" s="11"/>
      <c r="J250" s="11"/>
    </row>
    <row r="251" spans="4:10" ht="15.75" x14ac:dyDescent="0.25">
      <c r="D251" s="13"/>
      <c r="I251" s="11"/>
      <c r="J251" s="11"/>
    </row>
    <row r="252" spans="4:10" ht="15.75" x14ac:dyDescent="0.25">
      <c r="D252" s="13"/>
      <c r="I252" s="11"/>
      <c r="J252" s="11"/>
    </row>
    <row r="253" spans="4:10" ht="15.75" x14ac:dyDescent="0.25">
      <c r="D253" s="13"/>
      <c r="I253" s="11"/>
      <c r="J253" s="11"/>
    </row>
    <row r="254" spans="4:10" ht="15.75" x14ac:dyDescent="0.25">
      <c r="D254" s="13"/>
      <c r="I254" s="11"/>
      <c r="J254" s="11"/>
    </row>
    <row r="255" spans="4:10" ht="15.75" x14ac:dyDescent="0.25">
      <c r="D255" s="13"/>
      <c r="I255" s="11"/>
      <c r="J255" s="11"/>
    </row>
    <row r="256" spans="4:10" ht="15.75" x14ac:dyDescent="0.25">
      <c r="D256" s="13"/>
      <c r="I256" s="11"/>
      <c r="J256" s="11"/>
    </row>
    <row r="257" spans="4:10" ht="15.75" x14ac:dyDescent="0.25">
      <c r="D257" s="13"/>
      <c r="I257" s="11"/>
      <c r="J257" s="11"/>
    </row>
    <row r="258" spans="4:10" ht="15.75" x14ac:dyDescent="0.25">
      <c r="D258" s="13"/>
      <c r="I258" s="11"/>
      <c r="J258" s="11"/>
    </row>
    <row r="259" spans="4:10" ht="15.75" x14ac:dyDescent="0.25">
      <c r="D259" s="13"/>
      <c r="I259" s="11"/>
      <c r="J259" s="11"/>
    </row>
    <row r="260" spans="4:10" ht="15.75" x14ac:dyDescent="0.25">
      <c r="D260" s="13"/>
      <c r="I260" s="11"/>
      <c r="J260" s="11"/>
    </row>
    <row r="261" spans="4:10" ht="15.75" x14ac:dyDescent="0.25">
      <c r="D261" s="13"/>
      <c r="I261" s="11"/>
      <c r="J261" s="11"/>
    </row>
    <row r="262" spans="4:10" ht="15.75" x14ac:dyDescent="0.25">
      <c r="D262" s="13"/>
      <c r="I262" s="11"/>
      <c r="J262" s="11"/>
    </row>
    <row r="263" spans="4:10" ht="15.75" x14ac:dyDescent="0.25">
      <c r="D263" s="13"/>
      <c r="I263" s="11"/>
      <c r="J263" s="11"/>
    </row>
    <row r="264" spans="4:10" ht="15.75" x14ac:dyDescent="0.25">
      <c r="D264" s="13"/>
      <c r="I264" s="11"/>
      <c r="J264" s="11"/>
    </row>
    <row r="265" spans="4:10" ht="15.75" x14ac:dyDescent="0.25">
      <c r="D265" s="13"/>
      <c r="I265" s="11"/>
      <c r="J265" s="11"/>
    </row>
    <row r="266" spans="4:10" ht="15.75" x14ac:dyDescent="0.25">
      <c r="D266" s="13"/>
      <c r="I266" s="11"/>
      <c r="J266" s="11"/>
    </row>
    <row r="267" spans="4:10" ht="15.75" x14ac:dyDescent="0.25">
      <c r="D267" s="13"/>
      <c r="I267" s="11"/>
      <c r="J267" s="11"/>
    </row>
    <row r="268" spans="4:10" ht="15.75" x14ac:dyDescent="0.25">
      <c r="D268" s="13"/>
      <c r="I268" s="11"/>
      <c r="J268" s="11"/>
    </row>
    <row r="269" spans="4:10" ht="15.75" x14ac:dyDescent="0.25">
      <c r="D269" s="13"/>
      <c r="I269" s="11"/>
      <c r="J269" s="11"/>
    </row>
    <row r="270" spans="4:10" ht="15.75" x14ac:dyDescent="0.25">
      <c r="D270" s="13"/>
      <c r="I270" s="11"/>
      <c r="J270" s="11"/>
    </row>
    <row r="271" spans="4:10" ht="15.75" x14ac:dyDescent="0.25">
      <c r="D271" s="13"/>
      <c r="I271" s="11"/>
      <c r="J271" s="11"/>
    </row>
    <row r="272" spans="4:10" ht="15.75" x14ac:dyDescent="0.25">
      <c r="D272" s="13"/>
      <c r="I272" s="11"/>
      <c r="J272" s="11"/>
    </row>
    <row r="273" spans="4:10" ht="15.75" x14ac:dyDescent="0.25">
      <c r="D273" s="13"/>
      <c r="I273" s="11"/>
      <c r="J273" s="11"/>
    </row>
    <row r="274" spans="4:10" ht="15.75" x14ac:dyDescent="0.25">
      <c r="D274" s="13"/>
      <c r="I274" s="11"/>
      <c r="J274" s="11"/>
    </row>
    <row r="275" spans="4:10" ht="15.75" x14ac:dyDescent="0.25">
      <c r="D275" s="13"/>
      <c r="I275" s="11"/>
      <c r="J275" s="11"/>
    </row>
    <row r="276" spans="4:10" ht="15.75" x14ac:dyDescent="0.25">
      <c r="D276" s="13"/>
      <c r="I276" s="11"/>
      <c r="J276" s="11"/>
    </row>
    <row r="277" spans="4:10" ht="15.75" x14ac:dyDescent="0.25">
      <c r="D277" s="13"/>
      <c r="I277" s="11"/>
      <c r="J277" s="11"/>
    </row>
    <row r="278" spans="4:10" ht="15.75" x14ac:dyDescent="0.25">
      <c r="D278" s="13"/>
      <c r="I278" s="11"/>
      <c r="J278" s="11"/>
    </row>
    <row r="279" spans="4:10" ht="15.75" x14ac:dyDescent="0.25">
      <c r="D279" s="13"/>
      <c r="I279" s="11"/>
      <c r="J279" s="11"/>
    </row>
    <row r="280" spans="4:10" ht="15.75" x14ac:dyDescent="0.25">
      <c r="D280" s="13"/>
      <c r="I280" s="11"/>
      <c r="J280" s="11"/>
    </row>
    <row r="281" spans="4:10" ht="15.75" x14ac:dyDescent="0.25">
      <c r="D281" s="13"/>
      <c r="I281" s="11"/>
      <c r="J281" s="11"/>
    </row>
    <row r="282" spans="4:10" ht="15.75" x14ac:dyDescent="0.25">
      <c r="D282" s="13"/>
      <c r="I282" s="11"/>
      <c r="J282" s="11"/>
    </row>
    <row r="283" spans="4:10" ht="15.75" x14ac:dyDescent="0.25">
      <c r="D283" s="13"/>
      <c r="I283" s="11"/>
      <c r="J283" s="11"/>
    </row>
    <row r="284" spans="4:10" ht="15.75" x14ac:dyDescent="0.25">
      <c r="D284" s="13"/>
      <c r="I284" s="11"/>
      <c r="J284" s="11"/>
    </row>
    <row r="285" spans="4:10" ht="15.75" x14ac:dyDescent="0.25">
      <c r="D285" s="13"/>
      <c r="I285" s="11"/>
      <c r="J285" s="11"/>
    </row>
    <row r="286" spans="4:10" ht="15.75" x14ac:dyDescent="0.25">
      <c r="D286" s="13"/>
      <c r="I286" s="11"/>
      <c r="J286" s="11"/>
    </row>
    <row r="287" spans="4:10" ht="15.75" x14ac:dyDescent="0.25">
      <c r="D287" s="13"/>
      <c r="I287" s="11"/>
      <c r="J287" s="11"/>
    </row>
    <row r="288" spans="4:10" ht="15.75" x14ac:dyDescent="0.25">
      <c r="D288" s="13"/>
      <c r="I288" s="11"/>
      <c r="J288" s="11"/>
    </row>
    <row r="289" spans="4:10" ht="15.75" x14ac:dyDescent="0.25">
      <c r="D289" s="13"/>
      <c r="I289" s="11"/>
      <c r="J289" s="11"/>
    </row>
    <row r="290" spans="4:10" ht="15.75" x14ac:dyDescent="0.25">
      <c r="D290" s="13"/>
      <c r="I290" s="11"/>
      <c r="J290" s="11"/>
    </row>
    <row r="291" spans="4:10" ht="15.75" x14ac:dyDescent="0.25">
      <c r="D291" s="13"/>
      <c r="I291" s="11"/>
      <c r="J291" s="11"/>
    </row>
    <row r="292" spans="4:10" ht="15.75" x14ac:dyDescent="0.25">
      <c r="D292" s="13"/>
      <c r="I292" s="11"/>
      <c r="J292" s="11"/>
    </row>
    <row r="293" spans="4:10" ht="15.75" x14ac:dyDescent="0.25">
      <c r="D293" s="13"/>
      <c r="I293" s="11"/>
      <c r="J293" s="11"/>
    </row>
    <row r="294" spans="4:10" ht="15.75" x14ac:dyDescent="0.25">
      <c r="D294" s="13"/>
      <c r="I294" s="11"/>
      <c r="J294" s="11"/>
    </row>
    <row r="295" spans="4:10" ht="15.75" x14ac:dyDescent="0.25">
      <c r="D295" s="13"/>
      <c r="I295" s="11"/>
      <c r="J295" s="11"/>
    </row>
    <row r="296" spans="4:10" ht="15.75" x14ac:dyDescent="0.25">
      <c r="D296" s="13"/>
      <c r="I296" s="11"/>
      <c r="J296" s="11"/>
    </row>
    <row r="297" spans="4:10" ht="15.75" x14ac:dyDescent="0.25">
      <c r="D297" s="13"/>
      <c r="I297" s="11"/>
      <c r="J297" s="11"/>
    </row>
    <row r="298" spans="4:10" ht="15.75" x14ac:dyDescent="0.25">
      <c r="D298" s="13"/>
      <c r="I298" s="11"/>
      <c r="J298" s="11"/>
    </row>
    <row r="299" spans="4:10" ht="15.75" x14ac:dyDescent="0.25">
      <c r="D299" s="13"/>
      <c r="I299" s="11"/>
      <c r="J299" s="11"/>
    </row>
    <row r="300" spans="4:10" ht="15.75" x14ac:dyDescent="0.25">
      <c r="D300" s="13"/>
      <c r="I300" s="11"/>
      <c r="J300" s="11"/>
    </row>
    <row r="301" spans="4:10" ht="15.75" x14ac:dyDescent="0.25">
      <c r="D301" s="13"/>
      <c r="I301" s="11"/>
      <c r="J301" s="11"/>
    </row>
    <row r="302" spans="4:10" ht="15.75" x14ac:dyDescent="0.25">
      <c r="D302" s="13"/>
      <c r="I302" s="11"/>
      <c r="J302" s="11"/>
    </row>
    <row r="303" spans="4:10" ht="15.75" x14ac:dyDescent="0.25">
      <c r="D303" s="13"/>
      <c r="I303" s="11"/>
      <c r="J303" s="11"/>
    </row>
    <row r="304" spans="4:10" ht="15.75" x14ac:dyDescent="0.25">
      <c r="D304" s="13"/>
      <c r="I304" s="11"/>
      <c r="J304" s="11"/>
    </row>
    <row r="305" spans="4:10" ht="15.75" x14ac:dyDescent="0.25">
      <c r="D305" s="13"/>
      <c r="I305" s="11"/>
      <c r="J305" s="11"/>
    </row>
    <row r="306" spans="4:10" ht="15.75" x14ac:dyDescent="0.25">
      <c r="D306" s="13"/>
      <c r="I306" s="11"/>
      <c r="J306" s="11"/>
    </row>
    <row r="307" spans="4:10" ht="15.75" x14ac:dyDescent="0.25">
      <c r="D307" s="13"/>
      <c r="I307" s="11"/>
      <c r="J307" s="11"/>
    </row>
    <row r="308" spans="4:10" ht="15.75" x14ac:dyDescent="0.25">
      <c r="D308" s="13"/>
      <c r="I308" s="11"/>
      <c r="J308" s="11"/>
    </row>
    <row r="309" spans="4:10" ht="15.75" x14ac:dyDescent="0.25">
      <c r="D309" s="13"/>
      <c r="I309" s="11"/>
      <c r="J309" s="11"/>
    </row>
    <row r="310" spans="4:10" ht="15.75" x14ac:dyDescent="0.25">
      <c r="D310" s="13"/>
      <c r="I310" s="11"/>
      <c r="J310" s="11"/>
    </row>
    <row r="311" spans="4:10" ht="15.75" x14ac:dyDescent="0.25">
      <c r="D311" s="13"/>
      <c r="I311" s="11"/>
      <c r="J311" s="11"/>
    </row>
    <row r="312" spans="4:10" ht="15.75" x14ac:dyDescent="0.25">
      <c r="D312" s="13"/>
      <c r="I312" s="11"/>
      <c r="J312" s="11"/>
    </row>
    <row r="313" spans="4:10" ht="15.75" x14ac:dyDescent="0.25">
      <c r="D313" s="13"/>
      <c r="I313" s="11"/>
      <c r="J313" s="11"/>
    </row>
    <row r="314" spans="4:10" ht="15.75" x14ac:dyDescent="0.25">
      <c r="D314" s="13"/>
      <c r="I314" s="11"/>
      <c r="J314" s="11"/>
    </row>
    <row r="315" spans="4:10" ht="15.75" x14ac:dyDescent="0.25">
      <c r="D315" s="13"/>
      <c r="I315" s="11"/>
      <c r="J315" s="11"/>
    </row>
    <row r="316" spans="4:10" ht="15.75" x14ac:dyDescent="0.25">
      <c r="D316" s="13"/>
      <c r="I316" s="11"/>
      <c r="J316" s="11"/>
    </row>
    <row r="317" spans="4:10" ht="15.75" x14ac:dyDescent="0.25">
      <c r="D317" s="13"/>
      <c r="I317" s="11"/>
      <c r="J317" s="11"/>
    </row>
    <row r="318" spans="4:10" ht="15.75" x14ac:dyDescent="0.25">
      <c r="D318" s="13"/>
      <c r="I318" s="11"/>
      <c r="J318" s="11"/>
    </row>
    <row r="319" spans="4:10" ht="15.75" x14ac:dyDescent="0.25">
      <c r="D319" s="13"/>
      <c r="I319" s="11"/>
      <c r="J319" s="11"/>
    </row>
    <row r="320" spans="4:10" ht="15.75" x14ac:dyDescent="0.25">
      <c r="D320" s="13"/>
      <c r="I320" s="11"/>
      <c r="J320" s="11"/>
    </row>
    <row r="321" spans="4:10" ht="15.75" x14ac:dyDescent="0.25">
      <c r="D321" s="13"/>
      <c r="I321" s="11"/>
      <c r="J321" s="11"/>
    </row>
    <row r="322" spans="4:10" ht="15.75" x14ac:dyDescent="0.25">
      <c r="D322" s="13"/>
      <c r="I322" s="11"/>
      <c r="J322" s="11"/>
    </row>
    <row r="323" spans="4:10" ht="15.75" x14ac:dyDescent="0.25">
      <c r="D323" s="13"/>
      <c r="I323" s="11"/>
      <c r="J323" s="11"/>
    </row>
    <row r="324" spans="4:10" ht="15.75" x14ac:dyDescent="0.25">
      <c r="D324" s="13"/>
      <c r="I324" s="11"/>
      <c r="J324" s="11"/>
    </row>
    <row r="325" spans="4:10" ht="15.75" x14ac:dyDescent="0.25">
      <c r="D325" s="13"/>
      <c r="I325" s="11"/>
      <c r="J325" s="11"/>
    </row>
    <row r="326" spans="4:10" ht="15.75" x14ac:dyDescent="0.25">
      <c r="D326" s="13"/>
      <c r="I326" s="11"/>
      <c r="J326" s="11"/>
    </row>
    <row r="327" spans="4:10" ht="15.75" x14ac:dyDescent="0.25">
      <c r="D327" s="13"/>
    </row>
    <row r="328" spans="4:10" ht="15.75" x14ac:dyDescent="0.25">
      <c r="D328" s="13"/>
    </row>
    <row r="329" spans="4:10" ht="15.75" x14ac:dyDescent="0.25">
      <c r="D329" s="13"/>
    </row>
    <row r="330" spans="4:10" ht="15.75" x14ac:dyDescent="0.25">
      <c r="D330" s="13"/>
    </row>
    <row r="331" spans="4:10" ht="15.75" x14ac:dyDescent="0.25">
      <c r="D331" s="13"/>
    </row>
    <row r="332" spans="4:10" ht="15.75" x14ac:dyDescent="0.25">
      <c r="D332" s="13"/>
    </row>
    <row r="333" spans="4:10" ht="15.75" x14ac:dyDescent="0.25">
      <c r="D333" s="13"/>
    </row>
    <row r="334" spans="4:10" ht="15.75" x14ac:dyDescent="0.25">
      <c r="D334" s="13"/>
    </row>
    <row r="335" spans="4:10" ht="15.75" x14ac:dyDescent="0.25">
      <c r="D335" s="13"/>
    </row>
    <row r="336" spans="4:10" ht="15.75" x14ac:dyDescent="0.25">
      <c r="D336" s="13"/>
    </row>
    <row r="337" spans="4:4" ht="15.75" x14ac:dyDescent="0.25">
      <c r="D337" s="13"/>
    </row>
    <row r="338" spans="4:4" ht="15.75" x14ac:dyDescent="0.25">
      <c r="D338" s="13"/>
    </row>
    <row r="339" spans="4:4" ht="15.75" x14ac:dyDescent="0.25">
      <c r="D339" s="13"/>
    </row>
    <row r="340" spans="4:4" ht="15.75" x14ac:dyDescent="0.25">
      <c r="D340" s="13"/>
    </row>
    <row r="341" spans="4:4" ht="15.75" x14ac:dyDescent="0.25">
      <c r="D341" s="13"/>
    </row>
    <row r="342" spans="4:4" ht="15.75" x14ac:dyDescent="0.25">
      <c r="D342" s="13"/>
    </row>
    <row r="343" spans="4:4" ht="15.75" x14ac:dyDescent="0.25">
      <c r="D343" s="13"/>
    </row>
    <row r="344" spans="4:4" ht="15.75" x14ac:dyDescent="0.25">
      <c r="D344" s="13"/>
    </row>
    <row r="345" spans="4:4" ht="15.75" x14ac:dyDescent="0.25">
      <c r="D345" s="13"/>
    </row>
    <row r="346" spans="4:4" ht="15.75" x14ac:dyDescent="0.25">
      <c r="D346" s="13"/>
    </row>
    <row r="347" spans="4:4" ht="15.75" x14ac:dyDescent="0.25">
      <c r="D347" s="13"/>
    </row>
    <row r="348" spans="4:4" ht="15.75" x14ac:dyDescent="0.25">
      <c r="D348" s="13"/>
    </row>
    <row r="349" spans="4:4" ht="15.75" x14ac:dyDescent="0.25">
      <c r="D349" s="13"/>
    </row>
    <row r="350" spans="4:4" ht="15.75" x14ac:dyDescent="0.25">
      <c r="D350" s="13"/>
    </row>
    <row r="351" spans="4:4" ht="15.75" x14ac:dyDescent="0.25">
      <c r="D351" s="13"/>
    </row>
    <row r="352" spans="4:4" ht="15.75" x14ac:dyDescent="0.25">
      <c r="D352" s="13"/>
    </row>
    <row r="353" spans="4:4" ht="15.75" x14ac:dyDescent="0.25">
      <c r="D353" s="13"/>
    </row>
    <row r="354" spans="4:4" ht="15.75" x14ac:dyDescent="0.25">
      <c r="D354" s="13"/>
    </row>
    <row r="355" spans="4:4" ht="15.75" x14ac:dyDescent="0.25">
      <c r="D355" s="13"/>
    </row>
    <row r="356" spans="4:4" ht="15.75" x14ac:dyDescent="0.25">
      <c r="D356" s="13"/>
    </row>
    <row r="357" spans="4:4" ht="15.75" x14ac:dyDescent="0.25">
      <c r="D357" s="13"/>
    </row>
    <row r="358" spans="4:4" ht="15.75" x14ac:dyDescent="0.25">
      <c r="D358" s="13"/>
    </row>
    <row r="359" spans="4:4" ht="15.75" x14ac:dyDescent="0.25">
      <c r="D359" s="13"/>
    </row>
    <row r="360" spans="4:4" ht="15.75" x14ac:dyDescent="0.25">
      <c r="D360" s="13"/>
    </row>
    <row r="361" spans="4:4" ht="15.75" x14ac:dyDescent="0.25">
      <c r="D361" s="13"/>
    </row>
    <row r="362" spans="4:4" ht="15.75" x14ac:dyDescent="0.25">
      <c r="D362" s="13"/>
    </row>
    <row r="363" spans="4:4" ht="15.75" x14ac:dyDescent="0.25">
      <c r="D363" s="13"/>
    </row>
    <row r="364" spans="4:4" ht="15.75" x14ac:dyDescent="0.25">
      <c r="D364" s="13"/>
    </row>
    <row r="365" spans="4:4" ht="15.75" x14ac:dyDescent="0.25">
      <c r="D365" s="13"/>
    </row>
    <row r="366" spans="4:4" ht="15.75" x14ac:dyDescent="0.25">
      <c r="D366" s="13"/>
    </row>
    <row r="367" spans="4:4" ht="15.75" x14ac:dyDescent="0.25">
      <c r="D367" s="13"/>
    </row>
    <row r="368" spans="4:4" ht="15.75" x14ac:dyDescent="0.25">
      <c r="D368" s="13"/>
    </row>
    <row r="369" spans="4:4" ht="15.75" x14ac:dyDescent="0.25">
      <c r="D369" s="13"/>
    </row>
    <row r="370" spans="4:4" ht="15.75" x14ac:dyDescent="0.25">
      <c r="D370" s="13"/>
    </row>
    <row r="371" spans="4:4" ht="15.75" x14ac:dyDescent="0.25">
      <c r="D371" s="13"/>
    </row>
    <row r="372" spans="4:4" ht="15.75" x14ac:dyDescent="0.25">
      <c r="D372" s="13"/>
    </row>
    <row r="373" spans="4:4" ht="15.75" x14ac:dyDescent="0.25">
      <c r="D373" s="13"/>
    </row>
    <row r="374" spans="4:4" ht="15.75" x14ac:dyDescent="0.25">
      <c r="D374" s="13"/>
    </row>
    <row r="375" spans="4:4" ht="15.75" x14ac:dyDescent="0.25">
      <c r="D375" s="13"/>
    </row>
    <row r="376" spans="4:4" ht="15.75" x14ac:dyDescent="0.25">
      <c r="D376" s="13"/>
    </row>
    <row r="377" spans="4:4" ht="15.75" x14ac:dyDescent="0.25">
      <c r="D377" s="13"/>
    </row>
    <row r="378" spans="4:4" ht="15.75" x14ac:dyDescent="0.25">
      <c r="D378" s="13"/>
    </row>
    <row r="379" spans="4:4" ht="15.75" x14ac:dyDescent="0.25">
      <c r="D379" s="13"/>
    </row>
    <row r="380" spans="4:4" ht="15.75" x14ac:dyDescent="0.25">
      <c r="D380" s="13"/>
    </row>
    <row r="381" spans="4:4" ht="15.75" x14ac:dyDescent="0.25">
      <c r="D381" s="13"/>
    </row>
    <row r="382" spans="4:4" ht="15.75" x14ac:dyDescent="0.25">
      <c r="D382" s="13"/>
    </row>
    <row r="383" spans="4:4" ht="15.75" x14ac:dyDescent="0.25">
      <c r="D383" s="13"/>
    </row>
    <row r="384" spans="4:4" ht="15.75" x14ac:dyDescent="0.25">
      <c r="D384" s="13"/>
    </row>
    <row r="385" spans="4:4" ht="15.75" x14ac:dyDescent="0.25">
      <c r="D385" s="13"/>
    </row>
    <row r="386" spans="4:4" ht="15.75" x14ac:dyDescent="0.25">
      <c r="D386" s="13"/>
    </row>
    <row r="387" spans="4:4" ht="15.75" x14ac:dyDescent="0.25">
      <c r="D387" s="13"/>
    </row>
    <row r="388" spans="4:4" ht="15.75" x14ac:dyDescent="0.25">
      <c r="D388" s="13"/>
    </row>
    <row r="389" spans="4:4" ht="15.75" x14ac:dyDescent="0.25">
      <c r="D389" s="13"/>
    </row>
    <row r="390" spans="4:4" ht="15.75" x14ac:dyDescent="0.25">
      <c r="D390" s="13"/>
    </row>
    <row r="391" spans="4:4" ht="15.75" x14ac:dyDescent="0.25">
      <c r="D391" s="13"/>
    </row>
    <row r="392" spans="4:4" ht="15.75" x14ac:dyDescent="0.25">
      <c r="D392" s="13"/>
    </row>
    <row r="393" spans="4:4" ht="15.75" x14ac:dyDescent="0.25">
      <c r="D393" s="13"/>
    </row>
    <row r="394" spans="4:4" ht="15.75" x14ac:dyDescent="0.25">
      <c r="D394" s="13"/>
    </row>
    <row r="395" spans="4:4" ht="15.75" x14ac:dyDescent="0.25">
      <c r="D395" s="13"/>
    </row>
    <row r="396" spans="4:4" ht="15.75" x14ac:dyDescent="0.25">
      <c r="D396" s="13"/>
    </row>
    <row r="397" spans="4:4" ht="15.75" x14ac:dyDescent="0.25">
      <c r="D397" s="13"/>
    </row>
    <row r="398" spans="4:4" ht="15.75" x14ac:dyDescent="0.25">
      <c r="D398" s="13"/>
    </row>
    <row r="399" spans="4:4" ht="15.75" x14ac:dyDescent="0.25">
      <c r="D399" s="13"/>
    </row>
    <row r="400" spans="4:4" ht="15.75" x14ac:dyDescent="0.25">
      <c r="D400" s="13"/>
    </row>
    <row r="401" spans="4:4" ht="15.75" x14ac:dyDescent="0.25">
      <c r="D401" s="13"/>
    </row>
    <row r="402" spans="4:4" ht="15.75" x14ac:dyDescent="0.25">
      <c r="D402" s="13"/>
    </row>
    <row r="403" spans="4:4" ht="15.75" x14ac:dyDescent="0.25">
      <c r="D403" s="13"/>
    </row>
    <row r="404" spans="4:4" ht="15.75" x14ac:dyDescent="0.25">
      <c r="D404" s="13"/>
    </row>
    <row r="405" spans="4:4" ht="15.75" x14ac:dyDescent="0.25">
      <c r="D405" s="13"/>
    </row>
    <row r="406" spans="4:4" ht="15.75" x14ac:dyDescent="0.25">
      <c r="D406" s="13"/>
    </row>
    <row r="407" spans="4:4" ht="15.75" x14ac:dyDescent="0.25">
      <c r="D407" s="13"/>
    </row>
    <row r="408" spans="4:4" ht="15.75" x14ac:dyDescent="0.25">
      <c r="D408" s="13"/>
    </row>
    <row r="409" spans="4:4" ht="15.75" x14ac:dyDescent="0.25">
      <c r="D409" s="13"/>
    </row>
    <row r="410" spans="4:4" ht="15.75" x14ac:dyDescent="0.25">
      <c r="D410" s="13"/>
    </row>
    <row r="411" spans="4:4" ht="15.75" x14ac:dyDescent="0.25">
      <c r="D411" s="13"/>
    </row>
    <row r="412" spans="4:4" ht="15.75" x14ac:dyDescent="0.25">
      <c r="D412" s="13"/>
    </row>
    <row r="413" spans="4:4" ht="15.75" x14ac:dyDescent="0.25">
      <c r="D413" s="13"/>
    </row>
    <row r="414" spans="4:4" ht="15.75" x14ac:dyDescent="0.25">
      <c r="D414" s="13"/>
    </row>
    <row r="415" spans="4:4" ht="15.75" x14ac:dyDescent="0.25">
      <c r="D415" s="13"/>
    </row>
    <row r="416" spans="4:4" ht="15.75" x14ac:dyDescent="0.25">
      <c r="D416" s="13"/>
    </row>
    <row r="417" spans="4:4" ht="15.75" x14ac:dyDescent="0.25">
      <c r="D417" s="13"/>
    </row>
    <row r="418" spans="4:4" ht="15.75" x14ac:dyDescent="0.25">
      <c r="D418" s="13"/>
    </row>
    <row r="419" spans="4:4" ht="15.75" x14ac:dyDescent="0.25">
      <c r="D419" s="13"/>
    </row>
    <row r="420" spans="4:4" ht="15.75" x14ac:dyDescent="0.25">
      <c r="D420" s="13"/>
    </row>
    <row r="421" spans="4:4" ht="15.75" x14ac:dyDescent="0.25">
      <c r="D421" s="13"/>
    </row>
    <row r="422" spans="4:4" ht="15.75" x14ac:dyDescent="0.25">
      <c r="D422" s="13"/>
    </row>
    <row r="423" spans="4:4" ht="15.75" x14ac:dyDescent="0.25">
      <c r="D423" s="13"/>
    </row>
    <row r="424" spans="4:4" ht="15.75" x14ac:dyDescent="0.25">
      <c r="D424" s="13"/>
    </row>
    <row r="425" spans="4:4" ht="15.75" x14ac:dyDescent="0.25">
      <c r="D425" s="13"/>
    </row>
    <row r="426" spans="4:4" ht="15.75" x14ac:dyDescent="0.25">
      <c r="D426" s="13"/>
    </row>
    <row r="427" spans="4:4" ht="15.75" x14ac:dyDescent="0.25">
      <c r="D427" s="13"/>
    </row>
    <row r="428" spans="4:4" ht="15.75" x14ac:dyDescent="0.25">
      <c r="D428" s="13"/>
    </row>
    <row r="429" spans="4:4" ht="15.75" x14ac:dyDescent="0.25">
      <c r="D429" s="13"/>
    </row>
    <row r="430" spans="4:4" ht="15.75" x14ac:dyDescent="0.25">
      <c r="D430" s="13"/>
    </row>
    <row r="431" spans="4:4" ht="15.75" x14ac:dyDescent="0.25">
      <c r="D431" s="13"/>
    </row>
    <row r="432" spans="4:4" ht="15.75" x14ac:dyDescent="0.25">
      <c r="D432" s="13"/>
    </row>
    <row r="433" spans="4:4" ht="15.75" x14ac:dyDescent="0.25">
      <c r="D433" s="13"/>
    </row>
    <row r="434" spans="4:4" ht="15.75" x14ac:dyDescent="0.25">
      <c r="D434" s="13"/>
    </row>
    <row r="435" spans="4:4" ht="15.75" x14ac:dyDescent="0.25">
      <c r="D435" s="13"/>
    </row>
    <row r="436" spans="4:4" ht="15.75" x14ac:dyDescent="0.25">
      <c r="D436" s="13"/>
    </row>
    <row r="437" spans="4:4" ht="15.75" x14ac:dyDescent="0.25">
      <c r="D437" s="13"/>
    </row>
    <row r="438" spans="4:4" ht="15.75" x14ac:dyDescent="0.25">
      <c r="D438" s="13"/>
    </row>
    <row r="439" spans="4:4" ht="15.75" x14ac:dyDescent="0.25">
      <c r="D439" s="13"/>
    </row>
    <row r="440" spans="4:4" ht="15.75" x14ac:dyDescent="0.25">
      <c r="D440" s="13"/>
    </row>
    <row r="441" spans="4:4" ht="15.75" x14ac:dyDescent="0.25">
      <c r="D441" s="13"/>
    </row>
    <row r="442" spans="4:4" ht="15.75" x14ac:dyDescent="0.25">
      <c r="D442" s="13"/>
    </row>
    <row r="443" spans="4:4" ht="15.75" x14ac:dyDescent="0.25">
      <c r="D443" s="13"/>
    </row>
    <row r="444" spans="4:4" ht="15.75" x14ac:dyDescent="0.25">
      <c r="D444" s="13"/>
    </row>
    <row r="445" spans="4:4" ht="15.75" x14ac:dyDescent="0.25">
      <c r="D445" s="13"/>
    </row>
    <row r="446" spans="4:4" ht="15.75" x14ac:dyDescent="0.25">
      <c r="D446" s="13"/>
    </row>
    <row r="447" spans="4:4" ht="15.75" x14ac:dyDescent="0.25">
      <c r="D447" s="13"/>
    </row>
    <row r="448" spans="4:4" ht="15.75" x14ac:dyDescent="0.25">
      <c r="D448" s="13"/>
    </row>
    <row r="449" spans="4:4" ht="15.75" x14ac:dyDescent="0.25">
      <c r="D449" s="13"/>
    </row>
    <row r="450" spans="4:4" ht="15.75" x14ac:dyDescent="0.25">
      <c r="D450" s="13"/>
    </row>
    <row r="451" spans="4:4" ht="15.75" x14ac:dyDescent="0.25">
      <c r="D451" s="13"/>
    </row>
    <row r="452" spans="4:4" ht="15.75" x14ac:dyDescent="0.25">
      <c r="D452" s="13"/>
    </row>
    <row r="453" spans="4:4" ht="15.75" x14ac:dyDescent="0.25">
      <c r="D453" s="13"/>
    </row>
    <row r="454" spans="4:4" ht="15.75" x14ac:dyDescent="0.25">
      <c r="D454" s="13"/>
    </row>
    <row r="455" spans="4:4" ht="15.75" x14ac:dyDescent="0.25">
      <c r="D455" s="13"/>
    </row>
    <row r="456" spans="4:4" ht="15.75" x14ac:dyDescent="0.25">
      <c r="D456" s="13"/>
    </row>
    <row r="457" spans="4:4" ht="15.75" x14ac:dyDescent="0.25">
      <c r="D457" s="13"/>
    </row>
    <row r="458" spans="4:4" ht="15.75" x14ac:dyDescent="0.25">
      <c r="D458" s="13"/>
    </row>
    <row r="459" spans="4:4" ht="15.75" x14ac:dyDescent="0.25">
      <c r="D459" s="13"/>
    </row>
    <row r="460" spans="4:4" ht="15.75" x14ac:dyDescent="0.25">
      <c r="D460" s="13"/>
    </row>
    <row r="461" spans="4:4" ht="15.75" x14ac:dyDescent="0.25">
      <c r="D461" s="13"/>
    </row>
    <row r="462" spans="4:4" ht="15.75" x14ac:dyDescent="0.25">
      <c r="D462" s="13"/>
    </row>
    <row r="463" spans="4:4" ht="15.75" x14ac:dyDescent="0.25">
      <c r="D463" s="13"/>
    </row>
    <row r="464" spans="4:4" ht="15.75" x14ac:dyDescent="0.25">
      <c r="D464" s="13"/>
    </row>
    <row r="465" spans="4:4" ht="15.75" x14ac:dyDescent="0.25">
      <c r="D465" s="13"/>
    </row>
    <row r="466" spans="4:4" ht="15.75" x14ac:dyDescent="0.25">
      <c r="D466" s="13"/>
    </row>
    <row r="467" spans="4:4" ht="15.75" x14ac:dyDescent="0.25">
      <c r="D467" s="13"/>
    </row>
    <row r="468" spans="4:4" ht="15.75" x14ac:dyDescent="0.25">
      <c r="D468" s="13"/>
    </row>
    <row r="469" spans="4:4" ht="15.75" x14ac:dyDescent="0.25">
      <c r="D469" s="13"/>
    </row>
    <row r="470" spans="4:4" ht="15.75" x14ac:dyDescent="0.25">
      <c r="D470" s="13"/>
    </row>
    <row r="471" spans="4:4" ht="15.75" x14ac:dyDescent="0.25">
      <c r="D471" s="13"/>
    </row>
    <row r="472" spans="4:4" ht="15.75" x14ac:dyDescent="0.25">
      <c r="D472" s="13"/>
    </row>
    <row r="473" spans="4:4" ht="15.75" x14ac:dyDescent="0.25">
      <c r="D473" s="13"/>
    </row>
    <row r="474" spans="4:4" ht="15.75" x14ac:dyDescent="0.25">
      <c r="D474" s="13"/>
    </row>
    <row r="475" spans="4:4" ht="15.75" x14ac:dyDescent="0.25">
      <c r="D475" s="13"/>
    </row>
    <row r="476" spans="4:4" ht="15.75" x14ac:dyDescent="0.25">
      <c r="D476" s="13"/>
    </row>
    <row r="477" spans="4:4" ht="15.75" x14ac:dyDescent="0.25">
      <c r="D477" s="13"/>
    </row>
    <row r="478" spans="4:4" ht="15.75" x14ac:dyDescent="0.25">
      <c r="D478" s="13"/>
    </row>
    <row r="479" spans="4:4" ht="15.75" x14ac:dyDescent="0.25">
      <c r="D479" s="13"/>
    </row>
    <row r="480" spans="4:4" ht="15.75" x14ac:dyDescent="0.25">
      <c r="D480" s="13"/>
    </row>
    <row r="481" spans="4:4" ht="15.75" x14ac:dyDescent="0.25">
      <c r="D481" s="13"/>
    </row>
    <row r="482" spans="4:4" ht="15.75" x14ac:dyDescent="0.25">
      <c r="D482" s="13"/>
    </row>
    <row r="483" spans="4:4" ht="15.75" x14ac:dyDescent="0.25">
      <c r="D483" s="13"/>
    </row>
    <row r="484" spans="4:4" ht="15.75" x14ac:dyDescent="0.25">
      <c r="D484" s="13"/>
    </row>
    <row r="485" spans="4:4" ht="15.75" x14ac:dyDescent="0.25">
      <c r="D485" s="13"/>
    </row>
    <row r="486" spans="4:4" ht="15.75" x14ac:dyDescent="0.25">
      <c r="D486" s="13"/>
    </row>
    <row r="487" spans="4:4" ht="15.75" x14ac:dyDescent="0.25">
      <c r="D487" s="13"/>
    </row>
    <row r="488" spans="4:4" ht="15.75" x14ac:dyDescent="0.25">
      <c r="D488" s="13"/>
    </row>
    <row r="489" spans="4:4" ht="15.75" x14ac:dyDescent="0.25">
      <c r="D489" s="13"/>
    </row>
    <row r="490" spans="4:4" ht="15.75" x14ac:dyDescent="0.25">
      <c r="D490" s="13"/>
    </row>
    <row r="491" spans="4:4" ht="15.75" x14ac:dyDescent="0.25">
      <c r="D491" s="13"/>
    </row>
    <row r="492" spans="4:4" ht="15.75" x14ac:dyDescent="0.25">
      <c r="D492" s="13"/>
    </row>
    <row r="493" spans="4:4" ht="15.75" x14ac:dyDescent="0.25">
      <c r="D493" s="13"/>
    </row>
    <row r="494" spans="4:4" ht="15.75" x14ac:dyDescent="0.25">
      <c r="D494" s="13"/>
    </row>
    <row r="495" spans="4:4" ht="15.75" x14ac:dyDescent="0.25">
      <c r="D495" s="13"/>
    </row>
    <row r="496" spans="4:4" ht="15.75" x14ac:dyDescent="0.25">
      <c r="D496" s="13"/>
    </row>
    <row r="497" spans="4:4" ht="15.75" x14ac:dyDescent="0.25">
      <c r="D497" s="13"/>
    </row>
    <row r="498" spans="4:4" ht="15.75" x14ac:dyDescent="0.25">
      <c r="D498" s="13"/>
    </row>
    <row r="499" spans="4:4" ht="15.75" x14ac:dyDescent="0.25">
      <c r="D499" s="13"/>
    </row>
    <row r="500" spans="4:4" ht="15.75" x14ac:dyDescent="0.25">
      <c r="D500" s="13"/>
    </row>
    <row r="501" spans="4:4" ht="15.75" x14ac:dyDescent="0.25">
      <c r="D501" s="13"/>
    </row>
    <row r="502" spans="4:4" ht="15.75" x14ac:dyDescent="0.25">
      <c r="D502" s="13"/>
    </row>
    <row r="503" spans="4:4" ht="15.75" x14ac:dyDescent="0.25">
      <c r="D503" s="13"/>
    </row>
    <row r="504" spans="4:4" ht="15.75" x14ac:dyDescent="0.25">
      <c r="D504" s="13"/>
    </row>
    <row r="505" spans="4:4" ht="15.75" x14ac:dyDescent="0.25">
      <c r="D505" s="13"/>
    </row>
    <row r="506" spans="4:4" ht="15.75" x14ac:dyDescent="0.25">
      <c r="D506" s="13"/>
    </row>
    <row r="507" spans="4:4" ht="15.75" x14ac:dyDescent="0.25">
      <c r="D507" s="13"/>
    </row>
    <row r="508" spans="4:4" ht="15.75" x14ac:dyDescent="0.25">
      <c r="D508" s="13"/>
    </row>
    <row r="509" spans="4:4" ht="15.75" x14ac:dyDescent="0.25">
      <c r="D509" s="13"/>
    </row>
    <row r="510" spans="4:4" ht="15.75" x14ac:dyDescent="0.25">
      <c r="D510" s="13"/>
    </row>
    <row r="511" spans="4:4" ht="15.75" x14ac:dyDescent="0.25">
      <c r="D511" s="13"/>
    </row>
    <row r="512" spans="4:4" ht="15.75" x14ac:dyDescent="0.25">
      <c r="D512" s="13"/>
    </row>
    <row r="513" spans="4:4" ht="15.75" x14ac:dyDescent="0.25">
      <c r="D513" s="13"/>
    </row>
    <row r="514" spans="4:4" ht="15.75" x14ac:dyDescent="0.25">
      <c r="D514" s="13"/>
    </row>
    <row r="515" spans="4:4" ht="15.75" x14ac:dyDescent="0.25">
      <c r="D515" s="13"/>
    </row>
    <row r="516" spans="4:4" ht="15.75" x14ac:dyDescent="0.25">
      <c r="D516" s="13"/>
    </row>
    <row r="517" spans="4:4" ht="15.75" x14ac:dyDescent="0.25">
      <c r="D517" s="13"/>
    </row>
    <row r="518" spans="4:4" ht="15.75" x14ac:dyDescent="0.25">
      <c r="D518" s="13"/>
    </row>
    <row r="519" spans="4:4" ht="15.75" x14ac:dyDescent="0.25">
      <c r="D519" s="13"/>
    </row>
    <row r="520" spans="4:4" ht="15.75" x14ac:dyDescent="0.25">
      <c r="D520" s="13"/>
    </row>
    <row r="521" spans="4:4" ht="15.75" x14ac:dyDescent="0.25">
      <c r="D521" s="13"/>
    </row>
    <row r="522" spans="4:4" ht="15.75" x14ac:dyDescent="0.25">
      <c r="D522" s="13"/>
    </row>
    <row r="523" spans="4:4" ht="15.75" x14ac:dyDescent="0.25">
      <c r="D523" s="13"/>
    </row>
    <row r="524" spans="4:4" ht="15.75" x14ac:dyDescent="0.25">
      <c r="D524" s="13"/>
    </row>
    <row r="525" spans="4:4" ht="15.75" x14ac:dyDescent="0.25">
      <c r="D525" s="13"/>
    </row>
    <row r="526" spans="4:4" ht="15.75" x14ac:dyDescent="0.25">
      <c r="D526" s="13"/>
    </row>
    <row r="527" spans="4:4" ht="15.75" x14ac:dyDescent="0.25">
      <c r="D527" s="13"/>
    </row>
    <row r="528" spans="4:4" ht="15.75" x14ac:dyDescent="0.25">
      <c r="D528" s="13"/>
    </row>
    <row r="529" spans="4:4" ht="15.75" x14ac:dyDescent="0.25">
      <c r="D529" s="13"/>
    </row>
    <row r="530" spans="4:4" ht="15.75" x14ac:dyDescent="0.25">
      <c r="D530" s="13"/>
    </row>
    <row r="531" spans="4:4" ht="15.75" x14ac:dyDescent="0.25">
      <c r="D531" s="13"/>
    </row>
    <row r="532" spans="4:4" ht="15.75" x14ac:dyDescent="0.25">
      <c r="D532" s="13"/>
    </row>
    <row r="533" spans="4:4" ht="15.75" x14ac:dyDescent="0.25">
      <c r="D533" s="13"/>
    </row>
    <row r="534" spans="4:4" ht="15.75" x14ac:dyDescent="0.25">
      <c r="D534" s="13"/>
    </row>
    <row r="535" spans="4:4" ht="15.75" x14ac:dyDescent="0.25">
      <c r="D535" s="13"/>
    </row>
    <row r="536" spans="4:4" ht="15.75" x14ac:dyDescent="0.25">
      <c r="D536" s="13"/>
    </row>
    <row r="537" spans="4:4" ht="15.75" x14ac:dyDescent="0.25">
      <c r="D537" s="13"/>
    </row>
    <row r="538" spans="4:4" ht="15.75" x14ac:dyDescent="0.25">
      <c r="D538" s="13"/>
    </row>
    <row r="539" spans="4:4" ht="15.75" x14ac:dyDescent="0.25">
      <c r="D539" s="13"/>
    </row>
    <row r="540" spans="4:4" ht="15.75" x14ac:dyDescent="0.25">
      <c r="D540" s="13"/>
    </row>
    <row r="541" spans="4:4" ht="15.75" x14ac:dyDescent="0.25">
      <c r="D541" s="13"/>
    </row>
    <row r="542" spans="4:4" ht="15.75" x14ac:dyDescent="0.25">
      <c r="D542" s="13"/>
    </row>
    <row r="543" spans="4:4" ht="15.75" x14ac:dyDescent="0.25">
      <c r="D543" s="13"/>
    </row>
    <row r="544" spans="4:4" ht="15.75" x14ac:dyDescent="0.25">
      <c r="D544" s="13"/>
    </row>
    <row r="545" spans="4:4" ht="15.75" x14ac:dyDescent="0.25">
      <c r="D545" s="13"/>
    </row>
    <row r="546" spans="4:4" ht="15.75" x14ac:dyDescent="0.25">
      <c r="D546" s="13"/>
    </row>
    <row r="547" spans="4:4" ht="15.75" x14ac:dyDescent="0.25">
      <c r="D547" s="13"/>
    </row>
    <row r="548" spans="4:4" ht="15.75" x14ac:dyDescent="0.25">
      <c r="D548" s="13"/>
    </row>
    <row r="549" spans="4:4" ht="15.75" x14ac:dyDescent="0.25">
      <c r="D549" s="13"/>
    </row>
    <row r="550" spans="4:4" ht="15.75" x14ac:dyDescent="0.25">
      <c r="D550" s="13"/>
    </row>
    <row r="551" spans="4:4" ht="15.75" x14ac:dyDescent="0.25">
      <c r="D551" s="13"/>
    </row>
    <row r="552" spans="4:4" ht="15.75" x14ac:dyDescent="0.25">
      <c r="D552" s="13"/>
    </row>
    <row r="553" spans="4:4" ht="15.75" x14ac:dyDescent="0.25">
      <c r="D553" s="13"/>
    </row>
    <row r="554" spans="4:4" ht="15.75" x14ac:dyDescent="0.25">
      <c r="D554" s="13"/>
    </row>
    <row r="555" spans="4:4" ht="15.75" x14ac:dyDescent="0.25">
      <c r="D555" s="13"/>
    </row>
    <row r="556" spans="4:4" ht="15.75" x14ac:dyDescent="0.25">
      <c r="D556" s="13"/>
    </row>
    <row r="557" spans="4:4" ht="15.75" x14ac:dyDescent="0.25">
      <c r="D557" s="13"/>
    </row>
    <row r="558" spans="4:4" ht="15.75" x14ac:dyDescent="0.25">
      <c r="D558" s="13"/>
    </row>
    <row r="559" spans="4:4" ht="15.75" x14ac:dyDescent="0.25">
      <c r="D559" s="13"/>
    </row>
    <row r="560" spans="4:4" ht="15.75" x14ac:dyDescent="0.25">
      <c r="D560" s="13"/>
    </row>
    <row r="561" spans="4:4" ht="15.75" x14ac:dyDescent="0.25">
      <c r="D561" s="13"/>
    </row>
    <row r="562" spans="4:4" ht="15.75" x14ac:dyDescent="0.25">
      <c r="D562" s="13"/>
    </row>
    <row r="563" spans="4:4" ht="15.75" x14ac:dyDescent="0.25">
      <c r="D563" s="13"/>
    </row>
    <row r="564" spans="4:4" ht="15.75" x14ac:dyDescent="0.25">
      <c r="D564" s="13"/>
    </row>
    <row r="565" spans="4:4" ht="15.75" x14ac:dyDescent="0.25">
      <c r="D565" s="13"/>
    </row>
    <row r="566" spans="4:4" ht="15.75" x14ac:dyDescent="0.25">
      <c r="D566" s="13"/>
    </row>
    <row r="567" spans="4:4" ht="15.75" x14ac:dyDescent="0.25">
      <c r="D567" s="13"/>
    </row>
    <row r="568" spans="4:4" ht="15.75" x14ac:dyDescent="0.25">
      <c r="D568" s="13"/>
    </row>
    <row r="569" spans="4:4" ht="15.75" x14ac:dyDescent="0.25">
      <c r="D569" s="13"/>
    </row>
    <row r="570" spans="4:4" ht="15.75" x14ac:dyDescent="0.25">
      <c r="D570" s="13"/>
    </row>
    <row r="571" spans="4:4" ht="15.75" x14ac:dyDescent="0.25">
      <c r="D571" s="13"/>
    </row>
    <row r="572" spans="4:4" ht="15.75" x14ac:dyDescent="0.25">
      <c r="D572" s="13"/>
    </row>
    <row r="573" spans="4:4" ht="15.75" x14ac:dyDescent="0.25">
      <c r="D573" s="13"/>
    </row>
    <row r="574" spans="4:4" ht="15.75" x14ac:dyDescent="0.25">
      <c r="D574" s="13"/>
    </row>
    <row r="575" spans="4:4" ht="15.75" x14ac:dyDescent="0.25">
      <c r="D575" s="13"/>
    </row>
    <row r="576" spans="4:4" ht="15.75" x14ac:dyDescent="0.25">
      <c r="D576" s="13"/>
    </row>
    <row r="577" spans="4:4" ht="15.75" x14ac:dyDescent="0.25">
      <c r="D577" s="13"/>
    </row>
    <row r="578" spans="4:4" ht="15.75" x14ac:dyDescent="0.25">
      <c r="D578" s="13"/>
    </row>
    <row r="579" spans="4:4" ht="15.75" x14ac:dyDescent="0.25">
      <c r="D579" s="13"/>
    </row>
    <row r="580" spans="4:4" ht="15.75" x14ac:dyDescent="0.25">
      <c r="D580" s="13"/>
    </row>
    <row r="581" spans="4:4" ht="15.75" x14ac:dyDescent="0.25">
      <c r="D581" s="13"/>
    </row>
    <row r="582" spans="4:4" ht="15.75" x14ac:dyDescent="0.25">
      <c r="D582" s="13"/>
    </row>
    <row r="583" spans="4:4" ht="15.75" x14ac:dyDescent="0.25">
      <c r="D583" s="13"/>
    </row>
    <row r="584" spans="4:4" ht="15.75" x14ac:dyDescent="0.25">
      <c r="D584" s="13"/>
    </row>
    <row r="585" spans="4:4" ht="15.75" x14ac:dyDescent="0.25">
      <c r="D585" s="13"/>
    </row>
    <row r="586" spans="4:4" ht="15.75" x14ac:dyDescent="0.25">
      <c r="D586" s="13"/>
    </row>
    <row r="587" spans="4:4" ht="15.75" x14ac:dyDescent="0.25">
      <c r="D587" s="13"/>
    </row>
    <row r="588" spans="4:4" ht="15.75" x14ac:dyDescent="0.25">
      <c r="D588" s="13"/>
    </row>
    <row r="589" spans="4:4" ht="15.75" x14ac:dyDescent="0.25">
      <c r="D589" s="13"/>
    </row>
    <row r="590" spans="4:4" ht="15.75" x14ac:dyDescent="0.25">
      <c r="D590" s="13"/>
    </row>
    <row r="591" spans="4:4" ht="15.75" x14ac:dyDescent="0.25">
      <c r="D591" s="13"/>
    </row>
    <row r="592" spans="4:4" ht="15.75" x14ac:dyDescent="0.25">
      <c r="D592" s="13"/>
    </row>
    <row r="593" spans="4:4" ht="15.75" x14ac:dyDescent="0.25">
      <c r="D593" s="13"/>
    </row>
    <row r="594" spans="4:4" ht="15.75" x14ac:dyDescent="0.25">
      <c r="D594" s="13"/>
    </row>
    <row r="595" spans="4:4" ht="15.75" x14ac:dyDescent="0.25">
      <c r="D595" s="13"/>
    </row>
    <row r="596" spans="4:4" ht="15.75" x14ac:dyDescent="0.25">
      <c r="D596" s="13"/>
    </row>
    <row r="597" spans="4:4" ht="15.75" x14ac:dyDescent="0.25">
      <c r="D597" s="13"/>
    </row>
    <row r="598" spans="4:4" ht="15.75" x14ac:dyDescent="0.25">
      <c r="D598" s="13"/>
    </row>
    <row r="599" spans="4:4" ht="15.75" x14ac:dyDescent="0.25">
      <c r="D599" s="13"/>
    </row>
    <row r="600" spans="4:4" ht="15.75" x14ac:dyDescent="0.25">
      <c r="D600" s="13"/>
    </row>
    <row r="601" spans="4:4" ht="15.75" x14ac:dyDescent="0.25">
      <c r="D601" s="13"/>
    </row>
    <row r="602" spans="4:4" ht="15.75" x14ac:dyDescent="0.25">
      <c r="D602" s="13"/>
    </row>
    <row r="603" spans="4:4" ht="15.75" x14ac:dyDescent="0.25">
      <c r="D603" s="13"/>
    </row>
    <row r="604" spans="4:4" ht="15.75" x14ac:dyDescent="0.25">
      <c r="D604" s="13"/>
    </row>
    <row r="605" spans="4:4" ht="15.75" x14ac:dyDescent="0.25">
      <c r="D605" s="13"/>
    </row>
    <row r="606" spans="4:4" ht="15.75" x14ac:dyDescent="0.25">
      <c r="D606" s="13"/>
    </row>
    <row r="607" spans="4:4" ht="15.75" x14ac:dyDescent="0.25">
      <c r="D607" s="13"/>
    </row>
    <row r="608" spans="4:4" ht="15.75" x14ac:dyDescent="0.25">
      <c r="D608" s="13"/>
    </row>
    <row r="609" spans="4:4" ht="15.75" x14ac:dyDescent="0.25">
      <c r="D609" s="13"/>
    </row>
    <row r="610" spans="4:4" ht="15.75" x14ac:dyDescent="0.25">
      <c r="D610" s="13"/>
    </row>
    <row r="611" spans="4:4" ht="15.75" x14ac:dyDescent="0.25">
      <c r="D611" s="13"/>
    </row>
    <row r="612" spans="4:4" ht="15.75" x14ac:dyDescent="0.25">
      <c r="D612" s="13"/>
    </row>
    <row r="613" spans="4:4" ht="15.75" x14ac:dyDescent="0.25">
      <c r="D613" s="13"/>
    </row>
    <row r="614" spans="4:4" ht="15.75" x14ac:dyDescent="0.25">
      <c r="D614" s="13"/>
    </row>
    <row r="615" spans="4:4" ht="15.75" x14ac:dyDescent="0.25">
      <c r="D615" s="13"/>
    </row>
    <row r="616" spans="4:4" ht="15.75" x14ac:dyDescent="0.25">
      <c r="D616" s="13"/>
    </row>
    <row r="617" spans="4:4" ht="15.75" x14ac:dyDescent="0.25">
      <c r="D617" s="13"/>
    </row>
    <row r="618" spans="4:4" ht="15.75" x14ac:dyDescent="0.25">
      <c r="D618" s="13"/>
    </row>
    <row r="619" spans="4:4" ht="15.75" x14ac:dyDescent="0.25">
      <c r="D619" s="13"/>
    </row>
    <row r="620" spans="4:4" ht="15.75" x14ac:dyDescent="0.25">
      <c r="D620" s="13"/>
    </row>
    <row r="621" spans="4:4" ht="15.75" x14ac:dyDescent="0.25">
      <c r="D621" s="13"/>
    </row>
    <row r="622" spans="4:4" ht="15.75" x14ac:dyDescent="0.25">
      <c r="D622" s="13"/>
    </row>
    <row r="623" spans="4:4" ht="15.75" x14ac:dyDescent="0.25">
      <c r="D623" s="13"/>
    </row>
    <row r="624" spans="4:4" ht="15.75" x14ac:dyDescent="0.25">
      <c r="D624" s="13"/>
    </row>
    <row r="625" spans="4:4" ht="15.75" x14ac:dyDescent="0.25">
      <c r="D625" s="13"/>
    </row>
    <row r="626" spans="4:4" ht="15.75" x14ac:dyDescent="0.25">
      <c r="D626" s="13"/>
    </row>
    <row r="627" spans="4:4" ht="15.75" x14ac:dyDescent="0.25">
      <c r="D627" s="13"/>
    </row>
    <row r="628" spans="4:4" ht="15.75" x14ac:dyDescent="0.25">
      <c r="D628" s="13"/>
    </row>
    <row r="629" spans="4:4" ht="15.75" x14ac:dyDescent="0.25">
      <c r="D629" s="13"/>
    </row>
    <row r="630" spans="4:4" ht="15.75" x14ac:dyDescent="0.25">
      <c r="D630" s="13"/>
    </row>
    <row r="631" spans="4:4" ht="15.75" x14ac:dyDescent="0.25">
      <c r="D631" s="13"/>
    </row>
    <row r="632" spans="4:4" ht="15.75" x14ac:dyDescent="0.25">
      <c r="D632" s="13"/>
    </row>
    <row r="633" spans="4:4" ht="15.75" x14ac:dyDescent="0.25">
      <c r="D633" s="13"/>
    </row>
    <row r="634" spans="4:4" ht="15.75" x14ac:dyDescent="0.25">
      <c r="D634" s="13"/>
    </row>
    <row r="635" spans="4:4" ht="15.75" x14ac:dyDescent="0.25">
      <c r="D635" s="13"/>
    </row>
    <row r="636" spans="4:4" ht="15.75" x14ac:dyDescent="0.25">
      <c r="D636" s="13"/>
    </row>
    <row r="637" spans="4:4" ht="15.75" x14ac:dyDescent="0.25">
      <c r="D637" s="13"/>
    </row>
    <row r="638" spans="4:4" ht="15.75" x14ac:dyDescent="0.25">
      <c r="D638" s="13"/>
    </row>
    <row r="639" spans="4:4" ht="15.75" x14ac:dyDescent="0.25">
      <c r="D639" s="13"/>
    </row>
    <row r="640" spans="4:4" ht="15.75" x14ac:dyDescent="0.25">
      <c r="D640" s="13"/>
    </row>
    <row r="641" spans="4:4" ht="15.75" x14ac:dyDescent="0.25">
      <c r="D641" s="13"/>
    </row>
    <row r="642" spans="4:4" ht="15.75" x14ac:dyDescent="0.25">
      <c r="D642" s="13"/>
    </row>
    <row r="643" spans="4:4" ht="15.75" x14ac:dyDescent="0.25">
      <c r="D643" s="13"/>
    </row>
    <row r="644" spans="4:4" ht="15.75" x14ac:dyDescent="0.25">
      <c r="D644" s="13"/>
    </row>
    <row r="645" spans="4:4" ht="15.75" x14ac:dyDescent="0.25">
      <c r="D645" s="13"/>
    </row>
    <row r="646" spans="4:4" ht="15.75" x14ac:dyDescent="0.25">
      <c r="D646" s="13"/>
    </row>
    <row r="647" spans="4:4" ht="15.75" x14ac:dyDescent="0.25">
      <c r="D647" s="13"/>
    </row>
    <row r="648" spans="4:4" ht="15.75" x14ac:dyDescent="0.25">
      <c r="D648" s="13"/>
    </row>
    <row r="649" spans="4:4" ht="15.75" x14ac:dyDescent="0.25">
      <c r="D649" s="13"/>
    </row>
    <row r="650" spans="4:4" ht="15.75" x14ac:dyDescent="0.25">
      <c r="D650" s="13"/>
    </row>
    <row r="651" spans="4:4" ht="15.75" x14ac:dyDescent="0.25">
      <c r="D651" s="13"/>
    </row>
    <row r="652" spans="4:4" ht="15.75" x14ac:dyDescent="0.25">
      <c r="D652" s="13"/>
    </row>
    <row r="653" spans="4:4" ht="15.75" x14ac:dyDescent="0.25">
      <c r="D653" s="13"/>
    </row>
    <row r="654" spans="4:4" ht="15.75" x14ac:dyDescent="0.25">
      <c r="D654" s="13"/>
    </row>
    <row r="655" spans="4:4" ht="15.75" x14ac:dyDescent="0.25">
      <c r="D655" s="13"/>
    </row>
    <row r="656" spans="4:4" ht="15.75" x14ac:dyDescent="0.25">
      <c r="D656" s="13"/>
    </row>
    <row r="657" spans="4:4" ht="15.75" x14ac:dyDescent="0.25">
      <c r="D657" s="13"/>
    </row>
    <row r="658" spans="4:4" ht="15.75" x14ac:dyDescent="0.25">
      <c r="D658" s="13"/>
    </row>
    <row r="659" spans="4:4" ht="15.75" x14ac:dyDescent="0.25">
      <c r="D659" s="13"/>
    </row>
    <row r="660" spans="4:4" ht="15.75" x14ac:dyDescent="0.25">
      <c r="D660" s="13"/>
    </row>
    <row r="661" spans="4:4" ht="15.75" x14ac:dyDescent="0.25">
      <c r="D661" s="13"/>
    </row>
    <row r="662" spans="4:4" ht="15.75" x14ac:dyDescent="0.25">
      <c r="D662" s="13"/>
    </row>
    <row r="663" spans="4:4" ht="15.75" x14ac:dyDescent="0.25">
      <c r="D663" s="13"/>
    </row>
    <row r="664" spans="4:4" ht="15.75" x14ac:dyDescent="0.25">
      <c r="D664" s="13"/>
    </row>
    <row r="665" spans="4:4" ht="15.75" x14ac:dyDescent="0.25">
      <c r="D665" s="13"/>
    </row>
    <row r="666" spans="4:4" ht="15.75" x14ac:dyDescent="0.25">
      <c r="D666" s="13"/>
    </row>
    <row r="667" spans="4:4" ht="15.75" x14ac:dyDescent="0.25">
      <c r="D667" s="13"/>
    </row>
    <row r="668" spans="4:4" ht="15.75" x14ac:dyDescent="0.25">
      <c r="D668" s="13"/>
    </row>
    <row r="669" spans="4:4" ht="15.75" x14ac:dyDescent="0.25">
      <c r="D669" s="13"/>
    </row>
    <row r="670" spans="4:4" ht="15.75" x14ac:dyDescent="0.25">
      <c r="D670" s="13"/>
    </row>
    <row r="671" spans="4:4" ht="15.75" x14ac:dyDescent="0.25">
      <c r="D671" s="13"/>
    </row>
    <row r="672" spans="4:4" ht="15.75" x14ac:dyDescent="0.25">
      <c r="D672" s="13"/>
    </row>
    <row r="673" spans="4:4" ht="15.75" x14ac:dyDescent="0.25">
      <c r="D673" s="13"/>
    </row>
    <row r="674" spans="4:4" ht="15.75" x14ac:dyDescent="0.25">
      <c r="D674" s="13"/>
    </row>
    <row r="675" spans="4:4" ht="15.75" x14ac:dyDescent="0.25">
      <c r="D675" s="13"/>
    </row>
    <row r="676" spans="4:4" ht="15.75" x14ac:dyDescent="0.25">
      <c r="D676" s="13"/>
    </row>
    <row r="677" spans="4:4" ht="15.75" x14ac:dyDescent="0.25">
      <c r="D677" s="13"/>
    </row>
    <row r="678" spans="4:4" ht="15.75" x14ac:dyDescent="0.25">
      <c r="D678" s="13"/>
    </row>
    <row r="679" spans="4:4" ht="15.75" x14ac:dyDescent="0.25">
      <c r="D679" s="13"/>
    </row>
    <row r="680" spans="4:4" ht="15.75" x14ac:dyDescent="0.25">
      <c r="D680" s="13"/>
    </row>
    <row r="681" spans="4:4" ht="15.75" x14ac:dyDescent="0.25">
      <c r="D681" s="13"/>
    </row>
    <row r="682" spans="4:4" ht="15.75" x14ac:dyDescent="0.25">
      <c r="D682" s="13"/>
    </row>
    <row r="683" spans="4:4" ht="15.75" x14ac:dyDescent="0.25">
      <c r="D683" s="13"/>
    </row>
    <row r="684" spans="4:4" ht="15.75" x14ac:dyDescent="0.25">
      <c r="D684" s="13"/>
    </row>
    <row r="685" spans="4:4" ht="15.75" x14ac:dyDescent="0.25">
      <c r="D685" s="13"/>
    </row>
    <row r="686" spans="4:4" ht="15.75" x14ac:dyDescent="0.25">
      <c r="D686" s="13"/>
    </row>
    <row r="687" spans="4:4" ht="15.75" x14ac:dyDescent="0.25">
      <c r="D687" s="13"/>
    </row>
    <row r="688" spans="4:4" ht="15.75" x14ac:dyDescent="0.25">
      <c r="D688" s="13"/>
    </row>
    <row r="689" spans="4:4" ht="15.75" x14ac:dyDescent="0.25">
      <c r="D689" s="13"/>
    </row>
    <row r="690" spans="4:4" ht="15.75" x14ac:dyDescent="0.25">
      <c r="D690" s="13"/>
    </row>
    <row r="691" spans="4:4" ht="15.75" x14ac:dyDescent="0.25">
      <c r="D691" s="13"/>
    </row>
    <row r="692" spans="4:4" ht="15.75" x14ac:dyDescent="0.25">
      <c r="D692" s="13"/>
    </row>
    <row r="693" spans="4:4" ht="15.75" x14ac:dyDescent="0.25">
      <c r="D693" s="13"/>
    </row>
    <row r="694" spans="4:4" ht="15.75" x14ac:dyDescent="0.25">
      <c r="D694" s="13"/>
    </row>
    <row r="695" spans="4:4" ht="15.75" x14ac:dyDescent="0.25">
      <c r="D695" s="13"/>
    </row>
    <row r="696" spans="4:4" ht="15.75" x14ac:dyDescent="0.25">
      <c r="D696" s="13"/>
    </row>
    <row r="697" spans="4:4" ht="15.75" x14ac:dyDescent="0.25">
      <c r="D697" s="13"/>
    </row>
    <row r="698" spans="4:4" ht="15.75" x14ac:dyDescent="0.25">
      <c r="D698" s="13"/>
    </row>
    <row r="699" spans="4:4" ht="15.75" x14ac:dyDescent="0.25">
      <c r="D699" s="13"/>
    </row>
    <row r="700" spans="4:4" ht="15.75" x14ac:dyDescent="0.25">
      <c r="D700" s="13"/>
    </row>
    <row r="701" spans="4:4" ht="15.75" x14ac:dyDescent="0.25">
      <c r="D701" s="13"/>
    </row>
    <row r="702" spans="4:4" ht="15.75" x14ac:dyDescent="0.25">
      <c r="D702" s="13"/>
    </row>
    <row r="703" spans="4:4" ht="15.75" x14ac:dyDescent="0.25">
      <c r="D703" s="13"/>
    </row>
    <row r="704" spans="4:4" ht="15.75" x14ac:dyDescent="0.25">
      <c r="D704" s="13"/>
    </row>
    <row r="705" spans="4:4" ht="15.75" x14ac:dyDescent="0.25">
      <c r="D705" s="13"/>
    </row>
    <row r="706" spans="4:4" ht="15.75" x14ac:dyDescent="0.25">
      <c r="D706" s="13"/>
    </row>
    <row r="707" spans="4:4" ht="15.75" x14ac:dyDescent="0.25">
      <c r="D707" s="13"/>
    </row>
    <row r="708" spans="4:4" ht="15.75" x14ac:dyDescent="0.25">
      <c r="D708" s="13"/>
    </row>
    <row r="709" spans="4:4" ht="15.75" x14ac:dyDescent="0.25">
      <c r="D709" s="13"/>
    </row>
    <row r="710" spans="4:4" ht="15.75" x14ac:dyDescent="0.25">
      <c r="D710" s="13"/>
    </row>
    <row r="711" spans="4:4" ht="15.75" x14ac:dyDescent="0.25">
      <c r="D711" s="13"/>
    </row>
    <row r="712" spans="4:4" ht="15.75" x14ac:dyDescent="0.25">
      <c r="D712" s="13"/>
    </row>
    <row r="713" spans="4:4" ht="15.75" x14ac:dyDescent="0.25">
      <c r="D713" s="13"/>
    </row>
    <row r="714" spans="4:4" ht="15.75" x14ac:dyDescent="0.25">
      <c r="D714" s="13"/>
    </row>
    <row r="715" spans="4:4" ht="15.75" x14ac:dyDescent="0.25">
      <c r="D715" s="13"/>
    </row>
    <row r="716" spans="4:4" ht="15.75" x14ac:dyDescent="0.25">
      <c r="D716" s="13"/>
    </row>
    <row r="717" spans="4:4" ht="15.75" x14ac:dyDescent="0.25">
      <c r="D717" s="13"/>
    </row>
    <row r="718" spans="4:4" ht="15.75" x14ac:dyDescent="0.25">
      <c r="D718" s="13"/>
    </row>
    <row r="719" spans="4:4" ht="15.75" x14ac:dyDescent="0.25">
      <c r="D719" s="13"/>
    </row>
    <row r="720" spans="4:4" ht="15.75" x14ac:dyDescent="0.25">
      <c r="D720" s="13"/>
    </row>
    <row r="721" spans="4:4" ht="15.75" x14ac:dyDescent="0.25">
      <c r="D721" s="13"/>
    </row>
    <row r="722" spans="4:4" ht="15.75" x14ac:dyDescent="0.25">
      <c r="D722" s="13"/>
    </row>
    <row r="723" spans="4:4" ht="15.75" x14ac:dyDescent="0.25">
      <c r="D723" s="13"/>
    </row>
    <row r="724" spans="4:4" ht="15.75" x14ac:dyDescent="0.25">
      <c r="D724" s="13"/>
    </row>
    <row r="725" spans="4:4" ht="15.75" x14ac:dyDescent="0.25">
      <c r="D725" s="13"/>
    </row>
    <row r="726" spans="4:4" ht="15.75" x14ac:dyDescent="0.25">
      <c r="D726" s="13"/>
    </row>
    <row r="727" spans="4:4" ht="15.75" x14ac:dyDescent="0.25">
      <c r="D727" s="13"/>
    </row>
    <row r="728" spans="4:4" ht="15.75" x14ac:dyDescent="0.25">
      <c r="D728" s="13"/>
    </row>
    <row r="729" spans="4:4" ht="15.75" x14ac:dyDescent="0.25">
      <c r="D729" s="13"/>
    </row>
    <row r="730" spans="4:4" ht="15.75" x14ac:dyDescent="0.25">
      <c r="D730" s="13"/>
    </row>
    <row r="731" spans="4:4" ht="15.75" x14ac:dyDescent="0.25">
      <c r="D731" s="13"/>
    </row>
    <row r="732" spans="4:4" ht="15.75" x14ac:dyDescent="0.25">
      <c r="D732" s="13"/>
    </row>
    <row r="733" spans="4:4" ht="15.75" x14ac:dyDescent="0.25">
      <c r="D733" s="13"/>
    </row>
    <row r="734" spans="4:4" ht="15.75" x14ac:dyDescent="0.25">
      <c r="D734" s="13"/>
    </row>
    <row r="735" spans="4:4" ht="15.75" x14ac:dyDescent="0.25">
      <c r="D735" s="13"/>
    </row>
    <row r="736" spans="4:4" ht="15.75" x14ac:dyDescent="0.25">
      <c r="D736" s="13"/>
    </row>
    <row r="737" spans="4:4" ht="15.75" x14ac:dyDescent="0.25">
      <c r="D737" s="13"/>
    </row>
    <row r="738" spans="4:4" ht="15.75" x14ac:dyDescent="0.25">
      <c r="D738" s="13"/>
    </row>
    <row r="739" spans="4:4" ht="15.75" x14ac:dyDescent="0.25">
      <c r="D739" s="13"/>
    </row>
    <row r="740" spans="4:4" ht="15.75" x14ac:dyDescent="0.25">
      <c r="D740" s="13"/>
    </row>
    <row r="741" spans="4:4" ht="15.75" x14ac:dyDescent="0.25">
      <c r="D741" s="13"/>
    </row>
    <row r="742" spans="4:4" ht="15.75" x14ac:dyDescent="0.25">
      <c r="D742" s="13"/>
    </row>
    <row r="743" spans="4:4" ht="15.75" x14ac:dyDescent="0.25">
      <c r="D743" s="13"/>
    </row>
    <row r="744" spans="4:4" ht="15.75" x14ac:dyDescent="0.25">
      <c r="D744" s="13"/>
    </row>
    <row r="745" spans="4:4" ht="15.75" x14ac:dyDescent="0.25">
      <c r="D745" s="13"/>
    </row>
    <row r="746" spans="4:4" ht="15.75" x14ac:dyDescent="0.25">
      <c r="D746" s="13"/>
    </row>
    <row r="747" spans="4:4" ht="15.75" x14ac:dyDescent="0.25">
      <c r="D747" s="13"/>
    </row>
    <row r="748" spans="4:4" ht="15.75" x14ac:dyDescent="0.25">
      <c r="D748" s="13"/>
    </row>
    <row r="749" spans="4:4" ht="15.75" x14ac:dyDescent="0.25">
      <c r="D749" s="13"/>
    </row>
    <row r="750" spans="4:4" ht="15.75" x14ac:dyDescent="0.25">
      <c r="D750" s="13"/>
    </row>
    <row r="751" spans="4:4" ht="15.75" x14ac:dyDescent="0.25">
      <c r="D751" s="13"/>
    </row>
    <row r="752" spans="4:4" ht="15.75" x14ac:dyDescent="0.25">
      <c r="D752" s="13"/>
    </row>
    <row r="753" spans="4:4" ht="15.75" x14ac:dyDescent="0.25">
      <c r="D753" s="13"/>
    </row>
  </sheetData>
  <sortState xmlns:xlrd2="http://schemas.microsoft.com/office/spreadsheetml/2017/richdata2" ref="A1:J97">
    <sortCondition ref="D3:D98" customList="Jan,Feb,Mar,Apr,May,Jun,Jul,Aug,Sep,Oct,Nov,Dec"/>
  </sortState>
  <mergeCells count="2">
    <mergeCell ref="A1:J1"/>
    <mergeCell ref="L1:R1"/>
  </mergeCells>
  <phoneticPr fontId="5" type="noConversion"/>
  <conditionalFormatting sqref="J3:J81">
    <cfRule type="cellIs" dxfId="113" priority="1" operator="equal">
      <formula>"Deactive"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05E75-CB92-4162-963D-F74AF4606CE2}">
  <sheetPr codeName="Sheet5"/>
  <dimension ref="A1:O123"/>
  <sheetViews>
    <sheetView zoomScale="130" zoomScaleNormal="130" workbookViewId="0">
      <selection activeCell="C20" sqref="C20"/>
    </sheetView>
  </sheetViews>
  <sheetFormatPr defaultRowHeight="15" x14ac:dyDescent="0.25"/>
  <cols>
    <col min="1" max="1" width="10.5703125" bestFit="1" customWidth="1"/>
    <col min="2" max="2" width="18.140625" bestFit="1" customWidth="1"/>
    <col min="3" max="3" width="18.140625" customWidth="1"/>
    <col min="4" max="4" width="18.140625" bestFit="1" customWidth="1"/>
    <col min="5" max="5" width="17.42578125" bestFit="1" customWidth="1"/>
    <col min="6" max="6" width="13.7109375" bestFit="1" customWidth="1"/>
    <col min="10" max="10" width="9.140625" style="17"/>
    <col min="15" max="15" width="15.5703125" bestFit="1" customWidth="1"/>
  </cols>
  <sheetData>
    <row r="1" spans="1:15" ht="23.25" x14ac:dyDescent="0.25">
      <c r="A1" s="58" t="s">
        <v>355</v>
      </c>
      <c r="B1" s="58"/>
      <c r="C1" s="58"/>
      <c r="D1" s="58"/>
      <c r="E1" s="58"/>
      <c r="F1" s="58"/>
      <c r="H1" s="59" t="s">
        <v>356</v>
      </c>
      <c r="I1" s="59"/>
      <c r="J1" s="59"/>
      <c r="K1" s="59"/>
      <c r="L1" s="59"/>
      <c r="M1" s="59"/>
      <c r="N1" s="59"/>
      <c r="O1" s="59"/>
    </row>
    <row r="2" spans="1:15" x14ac:dyDescent="0.25">
      <c r="A2" t="s">
        <v>297</v>
      </c>
      <c r="B2" t="s">
        <v>298</v>
      </c>
      <c r="D2" t="s">
        <v>299</v>
      </c>
      <c r="E2" t="s">
        <v>300</v>
      </c>
      <c r="F2" t="s">
        <v>301</v>
      </c>
      <c r="H2" t="s">
        <v>85</v>
      </c>
      <c r="I2" t="s">
        <v>0</v>
      </c>
      <c r="J2" s="17" t="s">
        <v>86</v>
      </c>
      <c r="K2" t="s">
        <v>295</v>
      </c>
      <c r="L2" t="s">
        <v>87</v>
      </c>
      <c r="M2" t="s">
        <v>88</v>
      </c>
      <c r="N2" t="s">
        <v>89</v>
      </c>
      <c r="O2" t="s">
        <v>82</v>
      </c>
    </row>
    <row r="3" spans="1:15" x14ac:dyDescent="0.25">
      <c r="A3" t="s">
        <v>302</v>
      </c>
      <c r="B3" s="9">
        <v>46048</v>
      </c>
      <c r="C3" s="14">
        <f>IF(WEEKDAY(B3,1)=1,0,1)</f>
        <v>1</v>
      </c>
      <c r="D3" t="s">
        <v>303</v>
      </c>
      <c r="E3" t="s">
        <v>304</v>
      </c>
      <c r="F3" t="s">
        <v>305</v>
      </c>
      <c r="H3" t="s">
        <v>208</v>
      </c>
      <c r="I3" t="s">
        <v>6</v>
      </c>
      <c r="J3" s="17">
        <v>46312</v>
      </c>
      <c r="K3" t="str">
        <f t="shared" ref="K3:K34" si="0">TEXT(J3,"mmm")</f>
        <v>Oct</v>
      </c>
      <c r="L3">
        <v>1</v>
      </c>
      <c r="M3">
        <v>72.12</v>
      </c>
      <c r="N3">
        <v>72.12</v>
      </c>
      <c r="O3" t="s">
        <v>83</v>
      </c>
    </row>
    <row r="4" spans="1:15" x14ac:dyDescent="0.25">
      <c r="A4" t="s">
        <v>306</v>
      </c>
      <c r="B4" s="9">
        <v>46068</v>
      </c>
      <c r="C4" s="14">
        <f t="shared" ref="C4:C17" si="1">IF(WEEKDAY(B4,1)=1,0,1)</f>
        <v>0</v>
      </c>
      <c r="D4" t="s">
        <v>307</v>
      </c>
      <c r="E4" t="s">
        <v>308</v>
      </c>
      <c r="F4" t="s">
        <v>305</v>
      </c>
      <c r="H4" t="s">
        <v>139</v>
      </c>
      <c r="I4" t="s">
        <v>6</v>
      </c>
      <c r="J4" s="17">
        <v>46359</v>
      </c>
      <c r="K4" t="str">
        <f t="shared" si="0"/>
        <v>Dec</v>
      </c>
      <c r="L4">
        <v>4</v>
      </c>
      <c r="M4">
        <v>72.12</v>
      </c>
      <c r="N4">
        <v>288.48</v>
      </c>
      <c r="O4" t="s">
        <v>83</v>
      </c>
    </row>
    <row r="5" spans="1:15" x14ac:dyDescent="0.25">
      <c r="A5" t="s">
        <v>309</v>
      </c>
      <c r="B5" s="9">
        <v>46085</v>
      </c>
      <c r="C5" s="14">
        <f t="shared" si="1"/>
        <v>1</v>
      </c>
      <c r="D5" t="s">
        <v>310</v>
      </c>
      <c r="E5" t="s">
        <v>304</v>
      </c>
      <c r="F5" t="s">
        <v>305</v>
      </c>
      <c r="H5" t="s">
        <v>187</v>
      </c>
      <c r="I5" t="s">
        <v>10</v>
      </c>
      <c r="J5" s="17">
        <v>46046</v>
      </c>
      <c r="K5" t="str">
        <f t="shared" si="0"/>
        <v>Jan</v>
      </c>
      <c r="L5">
        <v>2</v>
      </c>
      <c r="M5">
        <v>158.65</v>
      </c>
      <c r="N5">
        <v>317.3</v>
      </c>
      <c r="O5" t="s">
        <v>83</v>
      </c>
    </row>
    <row r="6" spans="1:15" x14ac:dyDescent="0.25">
      <c r="A6" t="s">
        <v>311</v>
      </c>
      <c r="B6" s="9">
        <v>46102</v>
      </c>
      <c r="C6" s="14">
        <f t="shared" si="1"/>
        <v>1</v>
      </c>
      <c r="D6" t="s">
        <v>312</v>
      </c>
      <c r="E6" t="s">
        <v>313</v>
      </c>
      <c r="F6" t="s">
        <v>305</v>
      </c>
      <c r="H6" t="s">
        <v>168</v>
      </c>
      <c r="I6" t="s">
        <v>13</v>
      </c>
      <c r="J6" s="17">
        <v>46185</v>
      </c>
      <c r="K6" t="str">
        <f t="shared" si="0"/>
        <v>Jun</v>
      </c>
      <c r="L6">
        <v>3</v>
      </c>
      <c r="M6">
        <v>129.81</v>
      </c>
      <c r="N6">
        <v>389.43</v>
      </c>
      <c r="O6" t="s">
        <v>83</v>
      </c>
    </row>
    <row r="7" spans="1:15" x14ac:dyDescent="0.25">
      <c r="A7" t="s">
        <v>314</v>
      </c>
      <c r="B7" s="9">
        <v>46115</v>
      </c>
      <c r="C7" s="14">
        <f t="shared" si="1"/>
        <v>1</v>
      </c>
      <c r="D7" t="s">
        <v>315</v>
      </c>
      <c r="E7" t="s">
        <v>313</v>
      </c>
      <c r="F7" t="s">
        <v>305</v>
      </c>
      <c r="H7" t="s">
        <v>115</v>
      </c>
      <c r="I7" t="s">
        <v>17</v>
      </c>
      <c r="J7" s="17">
        <v>46107</v>
      </c>
      <c r="K7" t="str">
        <f t="shared" si="0"/>
        <v>Mar</v>
      </c>
      <c r="L7">
        <v>2</v>
      </c>
      <c r="M7">
        <v>86.54</v>
      </c>
      <c r="N7">
        <v>173.08</v>
      </c>
      <c r="O7" t="s">
        <v>83</v>
      </c>
    </row>
    <row r="8" spans="1:15" x14ac:dyDescent="0.25">
      <c r="A8" t="s">
        <v>316</v>
      </c>
      <c r="B8" s="9">
        <v>46126</v>
      </c>
      <c r="C8" s="14">
        <f t="shared" si="1"/>
        <v>1</v>
      </c>
      <c r="D8" t="s">
        <v>317</v>
      </c>
      <c r="E8" t="s">
        <v>313</v>
      </c>
      <c r="F8" t="s">
        <v>305</v>
      </c>
      <c r="H8" t="s">
        <v>188</v>
      </c>
      <c r="I8" t="s">
        <v>17</v>
      </c>
      <c r="J8" s="17">
        <v>46173</v>
      </c>
      <c r="K8" t="str">
        <f t="shared" si="0"/>
        <v>May</v>
      </c>
      <c r="L8">
        <v>2</v>
      </c>
      <c r="M8">
        <v>86.54</v>
      </c>
      <c r="N8">
        <v>173.08</v>
      </c>
      <c r="O8" t="s">
        <v>83</v>
      </c>
    </row>
    <row r="9" spans="1:15" x14ac:dyDescent="0.25">
      <c r="A9" t="s">
        <v>318</v>
      </c>
      <c r="B9" s="9">
        <v>46143</v>
      </c>
      <c r="C9" s="14">
        <f t="shared" si="1"/>
        <v>1</v>
      </c>
      <c r="D9" t="s">
        <v>319</v>
      </c>
      <c r="E9" t="s">
        <v>313</v>
      </c>
      <c r="F9" t="s">
        <v>305</v>
      </c>
      <c r="H9" t="s">
        <v>105</v>
      </c>
      <c r="I9" t="s">
        <v>18</v>
      </c>
      <c r="J9" s="17">
        <v>46103</v>
      </c>
      <c r="K9" t="str">
        <f t="shared" si="0"/>
        <v>Mar</v>
      </c>
      <c r="L9">
        <v>1</v>
      </c>
      <c r="M9">
        <v>86.54</v>
      </c>
      <c r="N9">
        <v>86.54</v>
      </c>
      <c r="O9" t="s">
        <v>83</v>
      </c>
    </row>
    <row r="10" spans="1:15" x14ac:dyDescent="0.25">
      <c r="A10" t="s">
        <v>320</v>
      </c>
      <c r="B10" s="9">
        <v>46169</v>
      </c>
      <c r="C10" s="14">
        <f t="shared" si="1"/>
        <v>1</v>
      </c>
      <c r="D10" t="s">
        <v>321</v>
      </c>
      <c r="E10" t="s">
        <v>313</v>
      </c>
      <c r="F10" t="s">
        <v>305</v>
      </c>
      <c r="H10" t="s">
        <v>183</v>
      </c>
      <c r="I10" t="s">
        <v>18</v>
      </c>
      <c r="J10" s="17">
        <v>46143</v>
      </c>
      <c r="K10" t="str">
        <f t="shared" si="0"/>
        <v>May</v>
      </c>
      <c r="L10">
        <v>2</v>
      </c>
      <c r="M10">
        <v>86.54</v>
      </c>
      <c r="N10">
        <v>173.08</v>
      </c>
      <c r="O10" t="s">
        <v>83</v>
      </c>
    </row>
    <row r="11" spans="1:15" x14ac:dyDescent="0.25">
      <c r="A11" t="s">
        <v>322</v>
      </c>
      <c r="B11" s="9">
        <v>46249</v>
      </c>
      <c r="C11" s="14">
        <f t="shared" si="1"/>
        <v>1</v>
      </c>
      <c r="D11" t="s">
        <v>323</v>
      </c>
      <c r="E11" t="s">
        <v>304</v>
      </c>
      <c r="F11" t="s">
        <v>305</v>
      </c>
      <c r="H11" t="s">
        <v>130</v>
      </c>
      <c r="I11" t="s">
        <v>20</v>
      </c>
      <c r="J11" s="17">
        <v>46263</v>
      </c>
      <c r="K11" t="str">
        <f t="shared" si="0"/>
        <v>Aug</v>
      </c>
      <c r="L11">
        <v>2</v>
      </c>
      <c r="M11">
        <v>79.33</v>
      </c>
      <c r="N11">
        <v>158.66</v>
      </c>
      <c r="O11" t="s">
        <v>83</v>
      </c>
    </row>
    <row r="12" spans="1:15" x14ac:dyDescent="0.25">
      <c r="A12" t="s">
        <v>324</v>
      </c>
      <c r="B12" s="9">
        <v>46260</v>
      </c>
      <c r="C12" s="14">
        <f t="shared" si="1"/>
        <v>1</v>
      </c>
      <c r="D12" t="s">
        <v>325</v>
      </c>
      <c r="E12" t="s">
        <v>313</v>
      </c>
      <c r="F12" t="s">
        <v>305</v>
      </c>
      <c r="H12" t="s">
        <v>173</v>
      </c>
      <c r="I12" t="s">
        <v>23</v>
      </c>
      <c r="J12" s="17">
        <v>46248</v>
      </c>
      <c r="K12" t="str">
        <f t="shared" si="0"/>
        <v>Aug</v>
      </c>
      <c r="L12">
        <v>1</v>
      </c>
      <c r="M12">
        <v>93.75</v>
      </c>
      <c r="N12">
        <v>93.75</v>
      </c>
      <c r="O12" t="s">
        <v>83</v>
      </c>
    </row>
    <row r="13" spans="1:15" x14ac:dyDescent="0.25">
      <c r="A13" t="s">
        <v>326</v>
      </c>
      <c r="B13" s="9">
        <v>46297</v>
      </c>
      <c r="C13" s="14">
        <f t="shared" si="1"/>
        <v>1</v>
      </c>
      <c r="D13" t="s">
        <v>327</v>
      </c>
      <c r="E13" t="s">
        <v>304</v>
      </c>
      <c r="F13" t="s">
        <v>305</v>
      </c>
      <c r="H13" t="s">
        <v>185</v>
      </c>
      <c r="I13" t="s">
        <v>23</v>
      </c>
      <c r="J13" s="17">
        <v>46347</v>
      </c>
      <c r="K13" t="str">
        <f t="shared" si="0"/>
        <v>Nov</v>
      </c>
      <c r="L13">
        <v>1</v>
      </c>
      <c r="M13">
        <v>93.75</v>
      </c>
      <c r="N13">
        <v>93.75</v>
      </c>
      <c r="O13" t="s">
        <v>83</v>
      </c>
    </row>
    <row r="14" spans="1:15" x14ac:dyDescent="0.25">
      <c r="A14" t="s">
        <v>328</v>
      </c>
      <c r="B14" s="9">
        <v>46315</v>
      </c>
      <c r="C14" s="14">
        <f t="shared" si="1"/>
        <v>1</v>
      </c>
      <c r="D14" t="s">
        <v>329</v>
      </c>
      <c r="E14" t="s">
        <v>313</v>
      </c>
      <c r="F14" t="s">
        <v>305</v>
      </c>
      <c r="H14" t="s">
        <v>146</v>
      </c>
      <c r="I14" t="s">
        <v>24</v>
      </c>
      <c r="J14" s="17">
        <v>46037</v>
      </c>
      <c r="K14" t="str">
        <f t="shared" si="0"/>
        <v>Jan</v>
      </c>
      <c r="L14">
        <v>4</v>
      </c>
      <c r="M14">
        <v>93.75</v>
      </c>
      <c r="N14">
        <v>375</v>
      </c>
      <c r="O14" t="s">
        <v>83</v>
      </c>
    </row>
    <row r="15" spans="1:15" x14ac:dyDescent="0.25">
      <c r="A15" t="s">
        <v>330</v>
      </c>
      <c r="B15" s="9">
        <v>46334</v>
      </c>
      <c r="C15" s="14">
        <f t="shared" si="1"/>
        <v>0</v>
      </c>
      <c r="D15" t="s">
        <v>331</v>
      </c>
      <c r="E15" t="s">
        <v>313</v>
      </c>
      <c r="F15" t="s">
        <v>305</v>
      </c>
      <c r="H15" t="s">
        <v>95</v>
      </c>
      <c r="I15" t="s">
        <v>24</v>
      </c>
      <c r="J15" s="17">
        <v>46308</v>
      </c>
      <c r="K15" t="str">
        <f t="shared" si="0"/>
        <v>Oct</v>
      </c>
      <c r="L15">
        <v>3</v>
      </c>
      <c r="M15">
        <v>93.75</v>
      </c>
      <c r="N15">
        <v>281.25</v>
      </c>
      <c r="O15" t="s">
        <v>83</v>
      </c>
    </row>
    <row r="16" spans="1:15" x14ac:dyDescent="0.25">
      <c r="A16" t="s">
        <v>332</v>
      </c>
      <c r="B16" s="9">
        <v>46350</v>
      </c>
      <c r="C16" s="14">
        <f t="shared" si="1"/>
        <v>1</v>
      </c>
      <c r="D16" t="s">
        <v>333</v>
      </c>
      <c r="E16" t="s">
        <v>313</v>
      </c>
      <c r="F16" t="s">
        <v>305</v>
      </c>
      <c r="H16" t="s">
        <v>151</v>
      </c>
      <c r="I16" t="s">
        <v>24</v>
      </c>
      <c r="J16" s="17">
        <v>46354</v>
      </c>
      <c r="K16" t="str">
        <f t="shared" si="0"/>
        <v>Nov</v>
      </c>
      <c r="L16">
        <v>2</v>
      </c>
      <c r="M16">
        <v>93.75</v>
      </c>
      <c r="N16">
        <v>187.5</v>
      </c>
      <c r="O16" t="s">
        <v>83</v>
      </c>
    </row>
    <row r="17" spans="1:15" x14ac:dyDescent="0.25">
      <c r="A17" t="s">
        <v>334</v>
      </c>
      <c r="B17" s="9">
        <v>46381</v>
      </c>
      <c r="C17" s="14">
        <f t="shared" si="1"/>
        <v>1</v>
      </c>
      <c r="D17" t="s">
        <v>335</v>
      </c>
      <c r="E17" t="s">
        <v>313</v>
      </c>
      <c r="F17" t="s">
        <v>305</v>
      </c>
      <c r="H17" t="s">
        <v>93</v>
      </c>
      <c r="I17" t="s">
        <v>30</v>
      </c>
      <c r="J17" s="17">
        <v>46099</v>
      </c>
      <c r="K17" t="str">
        <f t="shared" si="0"/>
        <v>Mar</v>
      </c>
      <c r="L17">
        <v>4</v>
      </c>
      <c r="M17">
        <v>129.81</v>
      </c>
      <c r="N17">
        <v>519.24</v>
      </c>
      <c r="O17" t="s">
        <v>83</v>
      </c>
    </row>
    <row r="18" spans="1:15" x14ac:dyDescent="0.25">
      <c r="H18" t="s">
        <v>162</v>
      </c>
      <c r="I18" t="s">
        <v>30</v>
      </c>
      <c r="J18" s="17">
        <v>46251</v>
      </c>
      <c r="K18" t="str">
        <f t="shared" si="0"/>
        <v>Aug</v>
      </c>
      <c r="L18">
        <v>4</v>
      </c>
      <c r="M18">
        <v>129.81</v>
      </c>
      <c r="N18">
        <v>519.24</v>
      </c>
      <c r="O18" t="s">
        <v>83</v>
      </c>
    </row>
    <row r="19" spans="1:15" x14ac:dyDescent="0.25">
      <c r="H19" t="s">
        <v>199</v>
      </c>
      <c r="I19" t="s">
        <v>31</v>
      </c>
      <c r="J19" s="17">
        <v>46060</v>
      </c>
      <c r="K19" t="str">
        <f t="shared" si="0"/>
        <v>Feb</v>
      </c>
      <c r="L19">
        <v>3</v>
      </c>
      <c r="M19">
        <v>144.22999999999999</v>
      </c>
      <c r="N19">
        <v>432.69</v>
      </c>
      <c r="O19" t="s">
        <v>83</v>
      </c>
    </row>
    <row r="20" spans="1:15" x14ac:dyDescent="0.25">
      <c r="H20" t="s">
        <v>192</v>
      </c>
      <c r="I20" t="s">
        <v>31</v>
      </c>
      <c r="J20" s="17">
        <v>46112</v>
      </c>
      <c r="K20" t="str">
        <f t="shared" si="0"/>
        <v>Mar</v>
      </c>
      <c r="L20">
        <v>1</v>
      </c>
      <c r="M20">
        <v>144.22999999999999</v>
      </c>
      <c r="N20">
        <v>144.22999999999999</v>
      </c>
      <c r="O20" t="s">
        <v>83</v>
      </c>
    </row>
    <row r="21" spans="1:15" x14ac:dyDescent="0.25">
      <c r="H21" t="s">
        <v>141</v>
      </c>
      <c r="I21" t="s">
        <v>33</v>
      </c>
      <c r="J21" s="17">
        <v>46288</v>
      </c>
      <c r="K21" t="str">
        <f t="shared" si="0"/>
        <v>Sep</v>
      </c>
      <c r="L21">
        <v>2</v>
      </c>
      <c r="M21">
        <v>93.75</v>
      </c>
      <c r="N21">
        <v>187.5</v>
      </c>
      <c r="O21" t="s">
        <v>83</v>
      </c>
    </row>
    <row r="22" spans="1:15" x14ac:dyDescent="0.25">
      <c r="H22" t="s">
        <v>150</v>
      </c>
      <c r="I22" t="s">
        <v>37</v>
      </c>
      <c r="J22" s="17">
        <v>46081</v>
      </c>
      <c r="K22" t="str">
        <f t="shared" si="0"/>
        <v>Feb</v>
      </c>
      <c r="L22">
        <v>3</v>
      </c>
      <c r="M22">
        <v>86.54</v>
      </c>
      <c r="N22">
        <v>259.62</v>
      </c>
      <c r="O22" t="s">
        <v>83</v>
      </c>
    </row>
    <row r="23" spans="1:15" x14ac:dyDescent="0.25">
      <c r="H23" t="s">
        <v>184</v>
      </c>
      <c r="I23" t="s">
        <v>37</v>
      </c>
      <c r="J23" s="17">
        <v>46069</v>
      </c>
      <c r="K23" t="str">
        <f t="shared" si="0"/>
        <v>Feb</v>
      </c>
      <c r="L23">
        <v>3</v>
      </c>
      <c r="M23">
        <v>86.54</v>
      </c>
      <c r="N23">
        <v>259.62</v>
      </c>
      <c r="O23" t="s">
        <v>83</v>
      </c>
    </row>
    <row r="24" spans="1:15" x14ac:dyDescent="0.25">
      <c r="H24" t="s">
        <v>108</v>
      </c>
      <c r="I24" t="s">
        <v>37</v>
      </c>
      <c r="J24" s="17">
        <v>46170</v>
      </c>
      <c r="K24" t="str">
        <f t="shared" si="0"/>
        <v>May</v>
      </c>
      <c r="L24">
        <v>2</v>
      </c>
      <c r="M24">
        <v>86.54</v>
      </c>
      <c r="N24">
        <v>173.08</v>
      </c>
      <c r="O24" t="s">
        <v>83</v>
      </c>
    </row>
    <row r="25" spans="1:15" x14ac:dyDescent="0.25">
      <c r="H25" t="s">
        <v>97</v>
      </c>
      <c r="I25" t="s">
        <v>37</v>
      </c>
      <c r="J25" s="17">
        <v>46290</v>
      </c>
      <c r="K25" t="str">
        <f t="shared" si="0"/>
        <v>Sep</v>
      </c>
      <c r="L25">
        <v>3</v>
      </c>
      <c r="M25">
        <v>86.54</v>
      </c>
      <c r="N25">
        <v>259.62</v>
      </c>
      <c r="O25" t="s">
        <v>83</v>
      </c>
    </row>
    <row r="26" spans="1:15" x14ac:dyDescent="0.25">
      <c r="H26" t="s">
        <v>113</v>
      </c>
      <c r="I26" t="s">
        <v>37</v>
      </c>
      <c r="J26" s="17">
        <v>46354</v>
      </c>
      <c r="K26" t="str">
        <f t="shared" si="0"/>
        <v>Nov</v>
      </c>
      <c r="L26">
        <v>2</v>
      </c>
      <c r="M26">
        <v>86.54</v>
      </c>
      <c r="N26">
        <v>173.08</v>
      </c>
      <c r="O26" t="s">
        <v>83</v>
      </c>
    </row>
    <row r="27" spans="1:15" x14ac:dyDescent="0.25">
      <c r="H27" t="s">
        <v>124</v>
      </c>
      <c r="I27" t="s">
        <v>37</v>
      </c>
      <c r="J27" s="17">
        <v>46368</v>
      </c>
      <c r="K27" t="str">
        <f t="shared" si="0"/>
        <v>Dec</v>
      </c>
      <c r="L27">
        <v>4</v>
      </c>
      <c r="M27">
        <v>86.54</v>
      </c>
      <c r="N27">
        <v>346.16</v>
      </c>
      <c r="O27" t="s">
        <v>83</v>
      </c>
    </row>
    <row r="28" spans="1:15" x14ac:dyDescent="0.25">
      <c r="H28" t="s">
        <v>104</v>
      </c>
      <c r="I28" t="s">
        <v>40</v>
      </c>
      <c r="J28" s="17">
        <v>46111</v>
      </c>
      <c r="K28" t="str">
        <f t="shared" si="0"/>
        <v>Mar</v>
      </c>
      <c r="L28">
        <v>4</v>
      </c>
      <c r="M28">
        <v>158.65</v>
      </c>
      <c r="N28">
        <v>634.6</v>
      </c>
      <c r="O28" t="s">
        <v>83</v>
      </c>
    </row>
    <row r="29" spans="1:15" x14ac:dyDescent="0.25">
      <c r="H29" t="s">
        <v>204</v>
      </c>
      <c r="I29" t="s">
        <v>40</v>
      </c>
      <c r="J29" s="17">
        <v>46218</v>
      </c>
      <c r="K29" t="str">
        <f t="shared" si="0"/>
        <v>Jul</v>
      </c>
      <c r="L29">
        <v>4</v>
      </c>
      <c r="M29">
        <v>158.65</v>
      </c>
      <c r="N29">
        <v>634.6</v>
      </c>
      <c r="O29" t="s">
        <v>83</v>
      </c>
    </row>
    <row r="30" spans="1:15" x14ac:dyDescent="0.25">
      <c r="H30" t="s">
        <v>190</v>
      </c>
      <c r="I30" t="s">
        <v>40</v>
      </c>
      <c r="J30" s="17">
        <v>46294</v>
      </c>
      <c r="K30" t="str">
        <f t="shared" si="0"/>
        <v>Sep</v>
      </c>
      <c r="L30">
        <v>3</v>
      </c>
      <c r="M30">
        <v>158.65</v>
      </c>
      <c r="N30">
        <v>475.95</v>
      </c>
      <c r="O30" t="s">
        <v>83</v>
      </c>
    </row>
    <row r="31" spans="1:15" x14ac:dyDescent="0.25">
      <c r="H31" t="s">
        <v>147</v>
      </c>
      <c r="I31" t="s">
        <v>40</v>
      </c>
      <c r="J31" s="17">
        <v>46386</v>
      </c>
      <c r="K31" t="str">
        <f t="shared" si="0"/>
        <v>Dec</v>
      </c>
      <c r="L31">
        <v>2</v>
      </c>
      <c r="M31">
        <v>158.65</v>
      </c>
      <c r="N31">
        <v>317.3</v>
      </c>
      <c r="O31" t="s">
        <v>83</v>
      </c>
    </row>
    <row r="32" spans="1:15" x14ac:dyDescent="0.25">
      <c r="H32" t="s">
        <v>123</v>
      </c>
      <c r="I32" t="s">
        <v>42</v>
      </c>
      <c r="J32" s="17">
        <v>46036</v>
      </c>
      <c r="K32" t="str">
        <f t="shared" si="0"/>
        <v>Jan</v>
      </c>
      <c r="L32">
        <v>1</v>
      </c>
      <c r="M32">
        <v>64.900000000000006</v>
      </c>
      <c r="N32">
        <v>64.900000000000006</v>
      </c>
      <c r="O32" t="s">
        <v>83</v>
      </c>
    </row>
    <row r="33" spans="8:15" x14ac:dyDescent="0.25">
      <c r="H33" t="s">
        <v>137</v>
      </c>
      <c r="I33" t="s">
        <v>42</v>
      </c>
      <c r="J33" s="17">
        <v>46188</v>
      </c>
      <c r="K33" t="str">
        <f t="shared" si="0"/>
        <v>Jun</v>
      </c>
      <c r="L33">
        <v>1</v>
      </c>
      <c r="M33">
        <v>64.900000000000006</v>
      </c>
      <c r="N33">
        <v>64.900000000000006</v>
      </c>
      <c r="O33" t="s">
        <v>83</v>
      </c>
    </row>
    <row r="34" spans="8:15" x14ac:dyDescent="0.25">
      <c r="H34" t="s">
        <v>114</v>
      </c>
      <c r="I34" t="s">
        <v>43</v>
      </c>
      <c r="J34" s="17">
        <v>46095</v>
      </c>
      <c r="K34" t="str">
        <f t="shared" si="0"/>
        <v>Mar</v>
      </c>
      <c r="L34">
        <v>1</v>
      </c>
      <c r="M34">
        <v>129.81</v>
      </c>
      <c r="N34">
        <v>129.81</v>
      </c>
      <c r="O34" t="s">
        <v>83</v>
      </c>
    </row>
    <row r="35" spans="8:15" x14ac:dyDescent="0.25">
      <c r="H35" t="s">
        <v>128</v>
      </c>
      <c r="I35" t="s">
        <v>43</v>
      </c>
      <c r="J35" s="17">
        <v>46115</v>
      </c>
      <c r="K35" t="str">
        <f t="shared" ref="K35:K66" si="2">TEXT(J35,"mmm")</f>
        <v>Apr</v>
      </c>
      <c r="L35">
        <v>4</v>
      </c>
      <c r="M35">
        <v>129.81</v>
      </c>
      <c r="N35">
        <v>519.24</v>
      </c>
      <c r="O35" t="s">
        <v>83</v>
      </c>
    </row>
    <row r="36" spans="8:15" x14ac:dyDescent="0.25">
      <c r="H36" t="s">
        <v>158</v>
      </c>
      <c r="I36" t="s">
        <v>43</v>
      </c>
      <c r="J36" s="17">
        <v>46235</v>
      </c>
      <c r="K36" t="str">
        <f t="shared" si="2"/>
        <v>Aug</v>
      </c>
      <c r="L36">
        <v>2</v>
      </c>
      <c r="M36">
        <v>129.81</v>
      </c>
      <c r="N36">
        <v>259.62</v>
      </c>
      <c r="O36" t="s">
        <v>83</v>
      </c>
    </row>
    <row r="37" spans="8:15" x14ac:dyDescent="0.25">
      <c r="H37" t="s">
        <v>119</v>
      </c>
      <c r="I37" t="s">
        <v>43</v>
      </c>
      <c r="J37" s="17">
        <v>46279</v>
      </c>
      <c r="K37" t="str">
        <f t="shared" si="2"/>
        <v>Sep</v>
      </c>
      <c r="L37">
        <v>4</v>
      </c>
      <c r="M37">
        <v>129.81</v>
      </c>
      <c r="N37">
        <v>519.24</v>
      </c>
      <c r="O37" t="s">
        <v>83</v>
      </c>
    </row>
    <row r="38" spans="8:15" x14ac:dyDescent="0.25">
      <c r="H38" t="s">
        <v>144</v>
      </c>
      <c r="I38" t="s">
        <v>43</v>
      </c>
      <c r="J38" s="17">
        <v>46304</v>
      </c>
      <c r="K38" t="str">
        <f t="shared" si="2"/>
        <v>Oct</v>
      </c>
      <c r="L38">
        <v>2</v>
      </c>
      <c r="M38">
        <v>129.81</v>
      </c>
      <c r="N38">
        <v>259.62</v>
      </c>
      <c r="O38" t="s">
        <v>83</v>
      </c>
    </row>
    <row r="39" spans="8:15" x14ac:dyDescent="0.25">
      <c r="H39" t="s">
        <v>160</v>
      </c>
      <c r="I39" t="s">
        <v>44</v>
      </c>
      <c r="J39" s="17">
        <v>46175</v>
      </c>
      <c r="K39" t="str">
        <f t="shared" si="2"/>
        <v>Jun</v>
      </c>
      <c r="L39">
        <v>4</v>
      </c>
      <c r="M39">
        <v>144.22999999999999</v>
      </c>
      <c r="N39">
        <v>576.91999999999996</v>
      </c>
      <c r="O39" t="s">
        <v>83</v>
      </c>
    </row>
    <row r="40" spans="8:15" x14ac:dyDescent="0.25">
      <c r="H40" t="s">
        <v>145</v>
      </c>
      <c r="I40" t="s">
        <v>44</v>
      </c>
      <c r="J40" s="17">
        <v>46247</v>
      </c>
      <c r="K40" t="str">
        <f t="shared" si="2"/>
        <v>Aug</v>
      </c>
      <c r="L40">
        <v>3</v>
      </c>
      <c r="M40">
        <v>144.22999999999999</v>
      </c>
      <c r="N40">
        <v>432.69</v>
      </c>
      <c r="O40" t="s">
        <v>83</v>
      </c>
    </row>
    <row r="41" spans="8:15" x14ac:dyDescent="0.25">
      <c r="H41" t="s">
        <v>134</v>
      </c>
      <c r="I41" t="s">
        <v>44</v>
      </c>
      <c r="J41" s="17">
        <v>46362</v>
      </c>
      <c r="K41" t="str">
        <f t="shared" si="2"/>
        <v>Dec</v>
      </c>
      <c r="L41">
        <v>3</v>
      </c>
      <c r="M41">
        <v>144.22999999999999</v>
      </c>
      <c r="N41">
        <v>432.69</v>
      </c>
      <c r="O41" t="s">
        <v>83</v>
      </c>
    </row>
    <row r="42" spans="8:15" x14ac:dyDescent="0.25">
      <c r="H42" t="s">
        <v>94</v>
      </c>
      <c r="I42" t="s">
        <v>45</v>
      </c>
      <c r="J42" s="17">
        <v>46066</v>
      </c>
      <c r="K42" t="str">
        <f t="shared" si="2"/>
        <v>Feb</v>
      </c>
      <c r="L42">
        <v>2</v>
      </c>
      <c r="M42">
        <v>158.65</v>
      </c>
      <c r="N42">
        <v>317.3</v>
      </c>
      <c r="O42" t="s">
        <v>83</v>
      </c>
    </row>
    <row r="43" spans="8:15" x14ac:dyDescent="0.25">
      <c r="H43" t="s">
        <v>148</v>
      </c>
      <c r="I43" t="s">
        <v>45</v>
      </c>
      <c r="J43" s="17">
        <v>46305</v>
      </c>
      <c r="K43" t="str">
        <f t="shared" si="2"/>
        <v>Oct</v>
      </c>
      <c r="L43">
        <v>1</v>
      </c>
      <c r="M43">
        <v>158.65</v>
      </c>
      <c r="N43">
        <v>158.65</v>
      </c>
      <c r="O43" t="s">
        <v>83</v>
      </c>
    </row>
    <row r="44" spans="8:15" x14ac:dyDescent="0.25">
      <c r="H44" t="s">
        <v>181</v>
      </c>
      <c r="I44" t="s">
        <v>46</v>
      </c>
      <c r="J44" s="17">
        <v>46343</v>
      </c>
      <c r="K44" t="str">
        <f t="shared" si="2"/>
        <v>Nov</v>
      </c>
      <c r="L44">
        <v>3</v>
      </c>
      <c r="M44">
        <v>93.75</v>
      </c>
      <c r="N44">
        <v>281.25</v>
      </c>
      <c r="O44" t="s">
        <v>83</v>
      </c>
    </row>
    <row r="45" spans="8:15" x14ac:dyDescent="0.25">
      <c r="H45" t="s">
        <v>133</v>
      </c>
      <c r="I45" t="s">
        <v>47</v>
      </c>
      <c r="J45" s="17">
        <v>46233</v>
      </c>
      <c r="K45" t="str">
        <f t="shared" si="2"/>
        <v>Jul</v>
      </c>
      <c r="L45">
        <v>3</v>
      </c>
      <c r="M45">
        <v>64.900000000000006</v>
      </c>
      <c r="N45">
        <v>194.7</v>
      </c>
      <c r="O45" t="s">
        <v>83</v>
      </c>
    </row>
    <row r="46" spans="8:15" x14ac:dyDescent="0.25">
      <c r="H46" t="s">
        <v>200</v>
      </c>
      <c r="I46" t="s">
        <v>48</v>
      </c>
      <c r="J46" s="17">
        <v>46323</v>
      </c>
      <c r="K46" t="str">
        <f t="shared" si="2"/>
        <v>Oct</v>
      </c>
      <c r="L46">
        <v>2</v>
      </c>
      <c r="M46">
        <v>100.96</v>
      </c>
      <c r="N46">
        <v>201.92</v>
      </c>
      <c r="O46" t="s">
        <v>83</v>
      </c>
    </row>
    <row r="47" spans="8:15" x14ac:dyDescent="0.25">
      <c r="H47" t="s">
        <v>205</v>
      </c>
      <c r="I47" t="s">
        <v>48</v>
      </c>
      <c r="J47" s="17">
        <v>46317</v>
      </c>
      <c r="K47" t="str">
        <f t="shared" si="2"/>
        <v>Oct</v>
      </c>
      <c r="L47">
        <v>2</v>
      </c>
      <c r="M47">
        <v>100.96</v>
      </c>
      <c r="N47">
        <v>201.92</v>
      </c>
      <c r="O47" t="s">
        <v>83</v>
      </c>
    </row>
    <row r="48" spans="8:15" x14ac:dyDescent="0.25">
      <c r="H48" t="s">
        <v>189</v>
      </c>
      <c r="I48" t="s">
        <v>50</v>
      </c>
      <c r="J48" s="17">
        <v>46243</v>
      </c>
      <c r="K48" t="str">
        <f t="shared" si="2"/>
        <v>Aug</v>
      </c>
      <c r="L48">
        <v>2</v>
      </c>
      <c r="M48">
        <v>115.38</v>
      </c>
      <c r="N48">
        <v>230.76</v>
      </c>
      <c r="O48" t="s">
        <v>83</v>
      </c>
    </row>
    <row r="49" spans="8:15" x14ac:dyDescent="0.25">
      <c r="H49" t="s">
        <v>156</v>
      </c>
      <c r="I49" t="s">
        <v>51</v>
      </c>
      <c r="J49" s="17">
        <v>46120</v>
      </c>
      <c r="K49" t="str">
        <f t="shared" si="2"/>
        <v>Apr</v>
      </c>
      <c r="L49">
        <v>4</v>
      </c>
      <c r="M49">
        <v>115.38</v>
      </c>
      <c r="N49">
        <v>461.52</v>
      </c>
      <c r="O49" t="s">
        <v>83</v>
      </c>
    </row>
    <row r="50" spans="8:15" x14ac:dyDescent="0.25">
      <c r="H50" t="s">
        <v>167</v>
      </c>
      <c r="I50" t="s">
        <v>51</v>
      </c>
      <c r="J50" s="17">
        <v>46142</v>
      </c>
      <c r="K50" t="str">
        <f t="shared" si="2"/>
        <v>Apr</v>
      </c>
      <c r="L50">
        <v>3</v>
      </c>
      <c r="M50">
        <v>115.38</v>
      </c>
      <c r="N50">
        <v>346.14</v>
      </c>
      <c r="O50" t="s">
        <v>83</v>
      </c>
    </row>
    <row r="51" spans="8:15" x14ac:dyDescent="0.25">
      <c r="H51" t="s">
        <v>203</v>
      </c>
      <c r="I51" t="s">
        <v>51</v>
      </c>
      <c r="J51" s="17">
        <v>46270</v>
      </c>
      <c r="K51" t="str">
        <f t="shared" si="2"/>
        <v>Sep</v>
      </c>
      <c r="L51">
        <v>1</v>
      </c>
      <c r="M51">
        <v>115.38</v>
      </c>
      <c r="N51">
        <v>115.38</v>
      </c>
      <c r="O51" t="s">
        <v>83</v>
      </c>
    </row>
    <row r="52" spans="8:15" x14ac:dyDescent="0.25">
      <c r="H52" t="s">
        <v>91</v>
      </c>
      <c r="I52" t="s">
        <v>52</v>
      </c>
      <c r="J52" s="17">
        <v>46274</v>
      </c>
      <c r="K52" t="str">
        <f t="shared" si="2"/>
        <v>Sep</v>
      </c>
      <c r="L52">
        <v>1</v>
      </c>
      <c r="M52">
        <v>100.96</v>
      </c>
      <c r="N52">
        <v>100.96</v>
      </c>
      <c r="O52" t="s">
        <v>83</v>
      </c>
    </row>
    <row r="53" spans="8:15" x14ac:dyDescent="0.25">
      <c r="H53" t="s">
        <v>131</v>
      </c>
      <c r="I53" t="s">
        <v>53</v>
      </c>
      <c r="J53" s="17">
        <v>46193</v>
      </c>
      <c r="K53" t="str">
        <f t="shared" si="2"/>
        <v>Jun</v>
      </c>
      <c r="L53">
        <v>2</v>
      </c>
      <c r="M53">
        <v>79.33</v>
      </c>
      <c r="N53">
        <v>158.66</v>
      </c>
      <c r="O53" t="s">
        <v>83</v>
      </c>
    </row>
    <row r="54" spans="8:15" x14ac:dyDescent="0.25">
      <c r="H54" t="s">
        <v>106</v>
      </c>
      <c r="I54" t="s">
        <v>53</v>
      </c>
      <c r="J54" s="17">
        <v>46253</v>
      </c>
      <c r="K54" t="str">
        <f t="shared" si="2"/>
        <v>Aug</v>
      </c>
      <c r="L54">
        <v>4</v>
      </c>
      <c r="M54">
        <v>79.33</v>
      </c>
      <c r="N54">
        <v>317.32</v>
      </c>
      <c r="O54" t="s">
        <v>83</v>
      </c>
    </row>
    <row r="55" spans="8:15" x14ac:dyDescent="0.25">
      <c r="H55" t="s">
        <v>112</v>
      </c>
      <c r="I55" t="s">
        <v>55</v>
      </c>
      <c r="J55" s="17">
        <v>46081</v>
      </c>
      <c r="K55" t="str">
        <f t="shared" si="2"/>
        <v>Feb</v>
      </c>
      <c r="L55">
        <v>4</v>
      </c>
      <c r="M55">
        <v>86.54</v>
      </c>
      <c r="N55">
        <v>346.16</v>
      </c>
      <c r="O55" t="s">
        <v>83</v>
      </c>
    </row>
    <row r="56" spans="8:15" x14ac:dyDescent="0.25">
      <c r="H56" t="s">
        <v>129</v>
      </c>
      <c r="I56" t="s">
        <v>55</v>
      </c>
      <c r="J56" s="17">
        <v>46348</v>
      </c>
      <c r="K56" t="str">
        <f t="shared" si="2"/>
        <v>Nov</v>
      </c>
      <c r="L56">
        <v>3</v>
      </c>
      <c r="M56">
        <v>86.54</v>
      </c>
      <c r="N56">
        <v>259.62</v>
      </c>
      <c r="O56" t="s">
        <v>83</v>
      </c>
    </row>
    <row r="57" spans="8:15" x14ac:dyDescent="0.25">
      <c r="H57" t="s">
        <v>117</v>
      </c>
      <c r="I57" t="s">
        <v>56</v>
      </c>
      <c r="J57" s="17">
        <v>46086</v>
      </c>
      <c r="K57" t="str">
        <f t="shared" si="2"/>
        <v>Mar</v>
      </c>
      <c r="L57">
        <v>3</v>
      </c>
      <c r="M57">
        <v>115.38</v>
      </c>
      <c r="N57">
        <v>346.14</v>
      </c>
      <c r="O57" t="s">
        <v>83</v>
      </c>
    </row>
    <row r="58" spans="8:15" x14ac:dyDescent="0.25">
      <c r="H58" t="s">
        <v>186</v>
      </c>
      <c r="I58" t="s">
        <v>56</v>
      </c>
      <c r="J58" s="17">
        <v>46108</v>
      </c>
      <c r="K58" t="str">
        <f t="shared" si="2"/>
        <v>Mar</v>
      </c>
      <c r="L58">
        <v>2</v>
      </c>
      <c r="M58">
        <v>115.38</v>
      </c>
      <c r="N58">
        <v>230.76</v>
      </c>
      <c r="O58" t="s">
        <v>83</v>
      </c>
    </row>
    <row r="59" spans="8:15" x14ac:dyDescent="0.25">
      <c r="H59" t="s">
        <v>98</v>
      </c>
      <c r="I59" t="s">
        <v>56</v>
      </c>
      <c r="J59" s="17">
        <v>46249</v>
      </c>
      <c r="K59" t="str">
        <f t="shared" si="2"/>
        <v>Aug</v>
      </c>
      <c r="L59">
        <v>2</v>
      </c>
      <c r="M59">
        <v>115.38</v>
      </c>
      <c r="N59">
        <v>230.76</v>
      </c>
      <c r="O59" t="s">
        <v>83</v>
      </c>
    </row>
    <row r="60" spans="8:15" x14ac:dyDescent="0.25">
      <c r="H60" t="s">
        <v>136</v>
      </c>
      <c r="I60" t="s">
        <v>59</v>
      </c>
      <c r="J60" s="17">
        <v>46068</v>
      </c>
      <c r="K60" t="str">
        <f t="shared" si="2"/>
        <v>Feb</v>
      </c>
      <c r="L60">
        <v>2</v>
      </c>
      <c r="M60">
        <v>72.12</v>
      </c>
      <c r="N60">
        <v>144.24</v>
      </c>
      <c r="O60" t="s">
        <v>83</v>
      </c>
    </row>
    <row r="61" spans="8:15" x14ac:dyDescent="0.25">
      <c r="H61" t="s">
        <v>197</v>
      </c>
      <c r="I61" t="s">
        <v>59</v>
      </c>
      <c r="J61" s="17">
        <v>46153</v>
      </c>
      <c r="K61" t="str">
        <f t="shared" si="2"/>
        <v>May</v>
      </c>
      <c r="L61">
        <v>1</v>
      </c>
      <c r="M61">
        <v>72.12</v>
      </c>
      <c r="N61">
        <v>72.12</v>
      </c>
      <c r="O61" t="s">
        <v>83</v>
      </c>
    </row>
    <row r="62" spans="8:15" x14ac:dyDescent="0.25">
      <c r="H62" t="s">
        <v>198</v>
      </c>
      <c r="I62" t="s">
        <v>59</v>
      </c>
      <c r="J62" s="17">
        <v>46170</v>
      </c>
      <c r="K62" t="str">
        <f t="shared" si="2"/>
        <v>May</v>
      </c>
      <c r="L62">
        <v>4</v>
      </c>
      <c r="M62">
        <v>72.12</v>
      </c>
      <c r="N62">
        <v>288.48</v>
      </c>
      <c r="O62" t="s">
        <v>83</v>
      </c>
    </row>
    <row r="63" spans="8:15" x14ac:dyDescent="0.25">
      <c r="H63" t="s">
        <v>165</v>
      </c>
      <c r="I63" t="s">
        <v>59</v>
      </c>
      <c r="J63" s="17">
        <v>46187</v>
      </c>
      <c r="K63" t="str">
        <f t="shared" si="2"/>
        <v>Jun</v>
      </c>
      <c r="L63">
        <v>2</v>
      </c>
      <c r="M63">
        <v>72.12</v>
      </c>
      <c r="N63">
        <v>144.24</v>
      </c>
      <c r="O63" t="s">
        <v>83</v>
      </c>
    </row>
    <row r="64" spans="8:15" x14ac:dyDescent="0.25">
      <c r="H64" t="s">
        <v>202</v>
      </c>
      <c r="I64" t="s">
        <v>59</v>
      </c>
      <c r="J64" s="17">
        <v>46177</v>
      </c>
      <c r="K64" t="str">
        <f t="shared" si="2"/>
        <v>Jun</v>
      </c>
      <c r="L64">
        <v>2</v>
      </c>
      <c r="M64">
        <v>72.12</v>
      </c>
      <c r="N64">
        <v>144.24</v>
      </c>
      <c r="O64" t="s">
        <v>83</v>
      </c>
    </row>
    <row r="65" spans="8:15" x14ac:dyDescent="0.25">
      <c r="H65" t="s">
        <v>140</v>
      </c>
      <c r="I65" t="s">
        <v>59</v>
      </c>
      <c r="J65" s="17">
        <v>46234</v>
      </c>
      <c r="K65" t="str">
        <f t="shared" si="2"/>
        <v>Jul</v>
      </c>
      <c r="L65">
        <v>1</v>
      </c>
      <c r="M65">
        <v>72.12</v>
      </c>
      <c r="N65">
        <v>72.12</v>
      </c>
      <c r="O65" t="s">
        <v>83</v>
      </c>
    </row>
    <row r="66" spans="8:15" x14ac:dyDescent="0.25">
      <c r="H66" t="s">
        <v>155</v>
      </c>
      <c r="I66" t="s">
        <v>59</v>
      </c>
      <c r="J66" s="17">
        <v>46305</v>
      </c>
      <c r="K66" t="str">
        <f t="shared" si="2"/>
        <v>Oct</v>
      </c>
      <c r="L66">
        <v>2</v>
      </c>
      <c r="M66">
        <v>72.12</v>
      </c>
      <c r="N66">
        <v>144.24</v>
      </c>
      <c r="O66" t="s">
        <v>83</v>
      </c>
    </row>
    <row r="67" spans="8:15" x14ac:dyDescent="0.25">
      <c r="H67" t="s">
        <v>196</v>
      </c>
      <c r="I67" t="s">
        <v>59</v>
      </c>
      <c r="J67" s="17">
        <v>46349</v>
      </c>
      <c r="K67" t="str">
        <f t="shared" ref="K67:K98" si="3">TEXT(J67,"mmm")</f>
        <v>Nov</v>
      </c>
      <c r="L67">
        <v>2</v>
      </c>
      <c r="M67">
        <v>72.12</v>
      </c>
      <c r="N67">
        <v>144.24</v>
      </c>
      <c r="O67" t="s">
        <v>83</v>
      </c>
    </row>
    <row r="68" spans="8:15" x14ac:dyDescent="0.25">
      <c r="H68" t="s">
        <v>90</v>
      </c>
      <c r="I68" t="s">
        <v>60</v>
      </c>
      <c r="J68" s="17">
        <v>46081</v>
      </c>
      <c r="K68" t="str">
        <f t="shared" si="3"/>
        <v>Feb</v>
      </c>
      <c r="L68">
        <v>1</v>
      </c>
      <c r="M68">
        <v>129.81</v>
      </c>
      <c r="N68">
        <v>129.81</v>
      </c>
      <c r="O68" t="s">
        <v>83</v>
      </c>
    </row>
    <row r="69" spans="8:15" x14ac:dyDescent="0.25">
      <c r="H69" t="s">
        <v>107</v>
      </c>
      <c r="I69" t="s">
        <v>60</v>
      </c>
      <c r="J69" s="17">
        <v>46172</v>
      </c>
      <c r="K69" t="str">
        <f t="shared" si="3"/>
        <v>May</v>
      </c>
      <c r="L69">
        <v>1</v>
      </c>
      <c r="M69">
        <v>129.81</v>
      </c>
      <c r="N69">
        <v>129.81</v>
      </c>
      <c r="O69" t="s">
        <v>83</v>
      </c>
    </row>
    <row r="70" spans="8:15" x14ac:dyDescent="0.25">
      <c r="H70" t="s">
        <v>177</v>
      </c>
      <c r="I70" t="s">
        <v>60</v>
      </c>
      <c r="J70" s="17">
        <v>46158</v>
      </c>
      <c r="K70" t="str">
        <f t="shared" si="3"/>
        <v>May</v>
      </c>
      <c r="L70">
        <v>2</v>
      </c>
      <c r="M70">
        <v>129.81</v>
      </c>
      <c r="N70">
        <v>259.62</v>
      </c>
      <c r="O70" t="s">
        <v>83</v>
      </c>
    </row>
    <row r="71" spans="8:15" x14ac:dyDescent="0.25">
      <c r="H71" t="s">
        <v>163</v>
      </c>
      <c r="I71" t="s">
        <v>60</v>
      </c>
      <c r="J71" s="17">
        <v>46199</v>
      </c>
      <c r="K71" t="str">
        <f t="shared" si="3"/>
        <v>Jun</v>
      </c>
      <c r="L71">
        <v>2</v>
      </c>
      <c r="M71">
        <v>129.81</v>
      </c>
      <c r="N71">
        <v>259.62</v>
      </c>
      <c r="O71" t="s">
        <v>83</v>
      </c>
    </row>
    <row r="72" spans="8:15" x14ac:dyDescent="0.25">
      <c r="H72" t="s">
        <v>154</v>
      </c>
      <c r="I72" t="s">
        <v>60</v>
      </c>
      <c r="J72" s="17">
        <v>46264</v>
      </c>
      <c r="K72" t="str">
        <f t="shared" si="3"/>
        <v>Aug</v>
      </c>
      <c r="L72">
        <v>2</v>
      </c>
      <c r="M72">
        <v>129.81</v>
      </c>
      <c r="N72">
        <v>259.62</v>
      </c>
      <c r="O72" t="s">
        <v>83</v>
      </c>
    </row>
    <row r="73" spans="8:15" x14ac:dyDescent="0.25">
      <c r="H73" t="s">
        <v>127</v>
      </c>
      <c r="I73" t="s">
        <v>60</v>
      </c>
      <c r="J73" s="17">
        <v>46288</v>
      </c>
      <c r="K73" t="str">
        <f t="shared" si="3"/>
        <v>Sep</v>
      </c>
      <c r="L73">
        <v>3</v>
      </c>
      <c r="M73">
        <v>129.81</v>
      </c>
      <c r="N73">
        <v>389.43</v>
      </c>
      <c r="O73" t="s">
        <v>83</v>
      </c>
    </row>
    <row r="74" spans="8:15" x14ac:dyDescent="0.25">
      <c r="H74" t="s">
        <v>171</v>
      </c>
      <c r="I74" t="s">
        <v>61</v>
      </c>
      <c r="J74" s="17">
        <v>46041</v>
      </c>
      <c r="K74" t="str">
        <f t="shared" si="3"/>
        <v>Jan</v>
      </c>
      <c r="L74">
        <v>2</v>
      </c>
      <c r="M74">
        <v>115.38</v>
      </c>
      <c r="N74">
        <v>230.76</v>
      </c>
      <c r="O74" t="s">
        <v>83</v>
      </c>
    </row>
    <row r="75" spans="8:15" x14ac:dyDescent="0.25">
      <c r="H75" t="s">
        <v>152</v>
      </c>
      <c r="I75" t="s">
        <v>61</v>
      </c>
      <c r="J75" s="17">
        <v>46172</v>
      </c>
      <c r="K75" t="str">
        <f t="shared" si="3"/>
        <v>May</v>
      </c>
      <c r="L75">
        <v>4</v>
      </c>
      <c r="M75">
        <v>115.38</v>
      </c>
      <c r="N75">
        <v>461.52</v>
      </c>
      <c r="O75" t="s">
        <v>83</v>
      </c>
    </row>
    <row r="76" spans="8:15" x14ac:dyDescent="0.25">
      <c r="H76" t="s">
        <v>120</v>
      </c>
      <c r="I76" t="s">
        <v>61</v>
      </c>
      <c r="J76" s="17">
        <v>46247</v>
      </c>
      <c r="K76" t="str">
        <f t="shared" si="3"/>
        <v>Aug</v>
      </c>
      <c r="L76">
        <v>1</v>
      </c>
      <c r="M76">
        <v>115.38</v>
      </c>
      <c r="N76">
        <v>115.38</v>
      </c>
      <c r="O76" t="s">
        <v>83</v>
      </c>
    </row>
    <row r="77" spans="8:15" x14ac:dyDescent="0.25">
      <c r="H77" t="s">
        <v>157</v>
      </c>
      <c r="I77" t="s">
        <v>62</v>
      </c>
      <c r="J77" s="17">
        <v>46092</v>
      </c>
      <c r="K77" t="str">
        <f t="shared" si="3"/>
        <v>Mar</v>
      </c>
      <c r="L77">
        <v>1</v>
      </c>
      <c r="M77">
        <v>79.33</v>
      </c>
      <c r="N77">
        <v>79.33</v>
      </c>
      <c r="O77" t="s">
        <v>83</v>
      </c>
    </row>
    <row r="78" spans="8:15" x14ac:dyDescent="0.25">
      <c r="H78" t="s">
        <v>159</v>
      </c>
      <c r="I78" t="s">
        <v>62</v>
      </c>
      <c r="J78" s="17">
        <v>46159</v>
      </c>
      <c r="K78" t="str">
        <f t="shared" si="3"/>
        <v>May</v>
      </c>
      <c r="L78">
        <v>1</v>
      </c>
      <c r="M78">
        <v>79.33</v>
      </c>
      <c r="N78">
        <v>79.33</v>
      </c>
      <c r="O78" t="s">
        <v>83</v>
      </c>
    </row>
    <row r="79" spans="8:15" x14ac:dyDescent="0.25">
      <c r="H79" t="s">
        <v>172</v>
      </c>
      <c r="I79" t="s">
        <v>62</v>
      </c>
      <c r="J79" s="17">
        <v>46325</v>
      </c>
      <c r="K79" t="str">
        <f t="shared" si="3"/>
        <v>Oct</v>
      </c>
      <c r="L79">
        <v>2</v>
      </c>
      <c r="M79">
        <v>79.33</v>
      </c>
      <c r="N79">
        <v>158.66</v>
      </c>
      <c r="O79" t="s">
        <v>83</v>
      </c>
    </row>
    <row r="80" spans="8:15" x14ac:dyDescent="0.25">
      <c r="H80" t="s">
        <v>174</v>
      </c>
      <c r="I80" t="s">
        <v>63</v>
      </c>
      <c r="J80" s="17">
        <v>46256</v>
      </c>
      <c r="K80" t="str">
        <f t="shared" si="3"/>
        <v>Aug</v>
      </c>
      <c r="L80">
        <v>1</v>
      </c>
      <c r="M80">
        <v>115.38</v>
      </c>
      <c r="N80">
        <v>115.38</v>
      </c>
      <c r="O80" t="s">
        <v>83</v>
      </c>
    </row>
    <row r="81" spans="8:15" x14ac:dyDescent="0.25">
      <c r="H81" t="s">
        <v>182</v>
      </c>
      <c r="I81" t="s">
        <v>64</v>
      </c>
      <c r="J81" s="17">
        <v>46041</v>
      </c>
      <c r="K81" t="str">
        <f t="shared" si="3"/>
        <v>Jan</v>
      </c>
      <c r="L81">
        <v>4</v>
      </c>
      <c r="M81">
        <v>144.22999999999999</v>
      </c>
      <c r="N81">
        <v>576.91999999999996</v>
      </c>
      <c r="O81" t="s">
        <v>83</v>
      </c>
    </row>
    <row r="82" spans="8:15" x14ac:dyDescent="0.25">
      <c r="H82" t="s">
        <v>149</v>
      </c>
      <c r="I82" t="s">
        <v>65</v>
      </c>
      <c r="J82" s="17">
        <v>46231</v>
      </c>
      <c r="K82" t="str">
        <f t="shared" si="3"/>
        <v>Jul</v>
      </c>
      <c r="L82">
        <v>1</v>
      </c>
      <c r="M82">
        <v>86.54</v>
      </c>
      <c r="N82">
        <v>86.54</v>
      </c>
      <c r="O82" t="s">
        <v>83</v>
      </c>
    </row>
    <row r="83" spans="8:15" x14ac:dyDescent="0.25">
      <c r="H83" t="s">
        <v>164</v>
      </c>
      <c r="I83" t="s">
        <v>65</v>
      </c>
      <c r="J83" s="17">
        <v>46301</v>
      </c>
      <c r="K83" t="str">
        <f t="shared" si="3"/>
        <v>Oct</v>
      </c>
      <c r="L83">
        <v>3</v>
      </c>
      <c r="M83">
        <v>86.54</v>
      </c>
      <c r="N83">
        <v>259.62</v>
      </c>
      <c r="O83" t="s">
        <v>83</v>
      </c>
    </row>
    <row r="84" spans="8:15" x14ac:dyDescent="0.25">
      <c r="H84" t="s">
        <v>126</v>
      </c>
      <c r="I84" t="s">
        <v>66</v>
      </c>
      <c r="J84" s="17">
        <v>46043</v>
      </c>
      <c r="K84" t="str">
        <f t="shared" si="3"/>
        <v>Jan</v>
      </c>
      <c r="L84">
        <v>2</v>
      </c>
      <c r="M84">
        <v>86.54</v>
      </c>
      <c r="N84">
        <v>173.08</v>
      </c>
      <c r="O84" t="s">
        <v>83</v>
      </c>
    </row>
    <row r="85" spans="8:15" x14ac:dyDescent="0.25">
      <c r="H85" t="s">
        <v>92</v>
      </c>
      <c r="I85" t="s">
        <v>66</v>
      </c>
      <c r="J85" s="17">
        <v>46345</v>
      </c>
      <c r="K85" t="str">
        <f t="shared" si="3"/>
        <v>Nov</v>
      </c>
      <c r="L85">
        <v>1</v>
      </c>
      <c r="M85">
        <v>86.54</v>
      </c>
      <c r="N85">
        <v>86.54</v>
      </c>
      <c r="O85" t="s">
        <v>83</v>
      </c>
    </row>
    <row r="86" spans="8:15" x14ac:dyDescent="0.25">
      <c r="H86" t="s">
        <v>100</v>
      </c>
      <c r="I86" t="s">
        <v>66</v>
      </c>
      <c r="J86" s="17">
        <v>46340</v>
      </c>
      <c r="K86" t="str">
        <f t="shared" si="3"/>
        <v>Nov</v>
      </c>
      <c r="L86">
        <v>1</v>
      </c>
      <c r="M86">
        <v>86.54</v>
      </c>
      <c r="N86">
        <v>86.54</v>
      </c>
      <c r="O86" t="s">
        <v>83</v>
      </c>
    </row>
    <row r="87" spans="8:15" x14ac:dyDescent="0.25">
      <c r="H87" t="s">
        <v>191</v>
      </c>
      <c r="I87" t="s">
        <v>66</v>
      </c>
      <c r="J87" s="17">
        <v>46372</v>
      </c>
      <c r="K87" t="str">
        <f t="shared" si="3"/>
        <v>Dec</v>
      </c>
      <c r="L87">
        <v>2</v>
      </c>
      <c r="M87">
        <v>86.54</v>
      </c>
      <c r="N87">
        <v>173.08</v>
      </c>
      <c r="O87" t="s">
        <v>83</v>
      </c>
    </row>
    <row r="88" spans="8:15" x14ac:dyDescent="0.25">
      <c r="H88" t="s">
        <v>125</v>
      </c>
      <c r="I88" t="s">
        <v>68</v>
      </c>
      <c r="J88" s="17">
        <v>46033</v>
      </c>
      <c r="K88" t="str">
        <f t="shared" si="3"/>
        <v>Jan</v>
      </c>
      <c r="L88">
        <v>2</v>
      </c>
      <c r="M88">
        <v>72.12</v>
      </c>
      <c r="N88">
        <v>144.24</v>
      </c>
      <c r="O88" t="s">
        <v>83</v>
      </c>
    </row>
    <row r="89" spans="8:15" x14ac:dyDescent="0.25">
      <c r="H89" t="s">
        <v>195</v>
      </c>
      <c r="I89" t="s">
        <v>68</v>
      </c>
      <c r="J89" s="17">
        <v>46096</v>
      </c>
      <c r="K89" t="str">
        <f t="shared" si="3"/>
        <v>Mar</v>
      </c>
      <c r="L89">
        <v>2</v>
      </c>
      <c r="M89">
        <v>72.12</v>
      </c>
      <c r="N89">
        <v>144.24</v>
      </c>
      <c r="O89" t="s">
        <v>83</v>
      </c>
    </row>
    <row r="90" spans="8:15" x14ac:dyDescent="0.25">
      <c r="H90" t="s">
        <v>99</v>
      </c>
      <c r="I90" t="s">
        <v>68</v>
      </c>
      <c r="J90" s="17">
        <v>46242</v>
      </c>
      <c r="K90" t="str">
        <f t="shared" si="3"/>
        <v>Aug</v>
      </c>
      <c r="L90">
        <v>2</v>
      </c>
      <c r="M90">
        <v>72.12</v>
      </c>
      <c r="N90">
        <v>144.24</v>
      </c>
      <c r="O90" t="s">
        <v>83</v>
      </c>
    </row>
    <row r="91" spans="8:15" x14ac:dyDescent="0.25">
      <c r="H91" t="s">
        <v>161</v>
      </c>
      <c r="I91" t="s">
        <v>68</v>
      </c>
      <c r="J91" s="17">
        <v>46360</v>
      </c>
      <c r="K91" t="str">
        <f t="shared" si="3"/>
        <v>Dec</v>
      </c>
      <c r="L91">
        <v>3</v>
      </c>
      <c r="M91">
        <v>72.12</v>
      </c>
      <c r="N91">
        <v>216.36</v>
      </c>
      <c r="O91" t="s">
        <v>83</v>
      </c>
    </row>
    <row r="92" spans="8:15" x14ac:dyDescent="0.25">
      <c r="H92" t="s">
        <v>121</v>
      </c>
      <c r="I92" t="s">
        <v>69</v>
      </c>
      <c r="J92" s="17">
        <v>46043</v>
      </c>
      <c r="K92" t="str">
        <f t="shared" si="3"/>
        <v>Jan</v>
      </c>
      <c r="L92">
        <v>3</v>
      </c>
      <c r="M92">
        <v>90.14</v>
      </c>
      <c r="N92">
        <v>270.42</v>
      </c>
      <c r="O92" t="s">
        <v>83</v>
      </c>
    </row>
    <row r="93" spans="8:15" x14ac:dyDescent="0.25">
      <c r="H93" t="s">
        <v>209</v>
      </c>
      <c r="I93" t="s">
        <v>69</v>
      </c>
      <c r="J93" s="17">
        <v>46277</v>
      </c>
      <c r="K93" t="str">
        <f t="shared" si="3"/>
        <v>Sep</v>
      </c>
      <c r="L93">
        <v>2</v>
      </c>
      <c r="M93">
        <v>90.14</v>
      </c>
      <c r="N93">
        <v>180.28</v>
      </c>
      <c r="O93" t="s">
        <v>83</v>
      </c>
    </row>
    <row r="94" spans="8:15" x14ac:dyDescent="0.25">
      <c r="H94" t="s">
        <v>116</v>
      </c>
      <c r="I94" t="s">
        <v>69</v>
      </c>
      <c r="J94" s="17">
        <v>46314</v>
      </c>
      <c r="K94" t="str">
        <f t="shared" si="3"/>
        <v>Oct</v>
      </c>
      <c r="L94">
        <v>2</v>
      </c>
      <c r="M94">
        <v>90.14</v>
      </c>
      <c r="N94">
        <v>180.28</v>
      </c>
      <c r="O94" t="s">
        <v>83</v>
      </c>
    </row>
    <row r="95" spans="8:15" x14ac:dyDescent="0.25">
      <c r="H95" t="s">
        <v>96</v>
      </c>
      <c r="I95" t="s">
        <v>69</v>
      </c>
      <c r="J95" s="17">
        <v>46328</v>
      </c>
      <c r="K95" t="str">
        <f t="shared" si="3"/>
        <v>Nov</v>
      </c>
      <c r="L95">
        <v>4</v>
      </c>
      <c r="M95">
        <v>90.14</v>
      </c>
      <c r="N95">
        <v>360.56</v>
      </c>
      <c r="O95" t="s">
        <v>83</v>
      </c>
    </row>
    <row r="96" spans="8:15" x14ac:dyDescent="0.25">
      <c r="H96" t="s">
        <v>101</v>
      </c>
      <c r="I96" t="s">
        <v>70</v>
      </c>
      <c r="J96" s="17">
        <v>46073</v>
      </c>
      <c r="K96" t="str">
        <f t="shared" si="3"/>
        <v>Feb</v>
      </c>
      <c r="L96">
        <v>2</v>
      </c>
      <c r="M96">
        <v>129.81</v>
      </c>
      <c r="N96">
        <v>259.62</v>
      </c>
      <c r="O96" t="s">
        <v>83</v>
      </c>
    </row>
    <row r="97" spans="8:15" x14ac:dyDescent="0.25">
      <c r="H97" t="s">
        <v>193</v>
      </c>
      <c r="I97" t="s">
        <v>70</v>
      </c>
      <c r="J97" s="17">
        <v>46218</v>
      </c>
      <c r="K97" t="str">
        <f t="shared" si="3"/>
        <v>Jul</v>
      </c>
      <c r="L97">
        <v>4</v>
      </c>
      <c r="M97">
        <v>129.81</v>
      </c>
      <c r="N97">
        <v>519.24</v>
      </c>
      <c r="O97" t="s">
        <v>83</v>
      </c>
    </row>
    <row r="98" spans="8:15" x14ac:dyDescent="0.25">
      <c r="H98" t="s">
        <v>142</v>
      </c>
      <c r="I98" t="s">
        <v>70</v>
      </c>
      <c r="J98" s="17">
        <v>46278</v>
      </c>
      <c r="K98" t="str">
        <f t="shared" si="3"/>
        <v>Sep</v>
      </c>
      <c r="L98">
        <v>3</v>
      </c>
      <c r="M98">
        <v>129.81</v>
      </c>
      <c r="N98">
        <v>389.43</v>
      </c>
      <c r="O98" t="s">
        <v>83</v>
      </c>
    </row>
    <row r="99" spans="8:15" x14ac:dyDescent="0.25">
      <c r="H99" t="s">
        <v>178</v>
      </c>
      <c r="I99" t="s">
        <v>70</v>
      </c>
      <c r="J99" s="17">
        <v>46377</v>
      </c>
      <c r="K99" t="str">
        <f t="shared" ref="K99:K122" si="4">TEXT(J99,"mmm")</f>
        <v>Dec</v>
      </c>
      <c r="L99">
        <v>3</v>
      </c>
      <c r="M99">
        <v>129.81</v>
      </c>
      <c r="N99">
        <v>389.43</v>
      </c>
      <c r="O99" t="s">
        <v>83</v>
      </c>
    </row>
    <row r="100" spans="8:15" x14ac:dyDescent="0.25">
      <c r="H100" t="s">
        <v>102</v>
      </c>
      <c r="I100" t="s">
        <v>71</v>
      </c>
      <c r="J100" s="17">
        <v>46131</v>
      </c>
      <c r="K100" t="str">
        <f t="shared" si="4"/>
        <v>Apr</v>
      </c>
      <c r="L100">
        <v>2</v>
      </c>
      <c r="M100">
        <v>72.12</v>
      </c>
      <c r="N100">
        <v>144.24</v>
      </c>
      <c r="O100" t="s">
        <v>83</v>
      </c>
    </row>
    <row r="101" spans="8:15" x14ac:dyDescent="0.25">
      <c r="H101" t="s">
        <v>201</v>
      </c>
      <c r="I101" t="s">
        <v>71</v>
      </c>
      <c r="J101" s="17">
        <v>46240</v>
      </c>
      <c r="K101" t="str">
        <f t="shared" si="4"/>
        <v>Aug</v>
      </c>
      <c r="L101">
        <v>2</v>
      </c>
      <c r="M101">
        <v>72.12</v>
      </c>
      <c r="N101">
        <v>144.24</v>
      </c>
      <c r="O101" t="s">
        <v>83</v>
      </c>
    </row>
    <row r="102" spans="8:15" x14ac:dyDescent="0.25">
      <c r="H102" t="s">
        <v>111</v>
      </c>
      <c r="I102" t="s">
        <v>71</v>
      </c>
      <c r="J102" s="17">
        <v>46324</v>
      </c>
      <c r="K102" t="str">
        <f t="shared" si="4"/>
        <v>Oct</v>
      </c>
      <c r="L102">
        <v>2</v>
      </c>
      <c r="M102">
        <v>72.12</v>
      </c>
      <c r="N102">
        <v>144.24</v>
      </c>
      <c r="O102" t="s">
        <v>83</v>
      </c>
    </row>
    <row r="103" spans="8:15" x14ac:dyDescent="0.25">
      <c r="H103" t="s">
        <v>179</v>
      </c>
      <c r="I103" t="s">
        <v>72</v>
      </c>
      <c r="J103" s="17">
        <v>46064</v>
      </c>
      <c r="K103" t="str">
        <f t="shared" si="4"/>
        <v>Feb</v>
      </c>
      <c r="L103">
        <v>2</v>
      </c>
      <c r="M103">
        <v>100.96</v>
      </c>
      <c r="N103">
        <v>201.92</v>
      </c>
      <c r="O103" t="s">
        <v>83</v>
      </c>
    </row>
    <row r="104" spans="8:15" x14ac:dyDescent="0.25">
      <c r="H104" t="s">
        <v>176</v>
      </c>
      <c r="I104" t="s">
        <v>72</v>
      </c>
      <c r="J104" s="17">
        <v>46102</v>
      </c>
      <c r="K104" t="str">
        <f t="shared" si="4"/>
        <v>Mar</v>
      </c>
      <c r="L104">
        <v>1</v>
      </c>
      <c r="M104">
        <v>100.96</v>
      </c>
      <c r="N104">
        <v>100.96</v>
      </c>
      <c r="O104" t="s">
        <v>83</v>
      </c>
    </row>
    <row r="105" spans="8:15" x14ac:dyDescent="0.25">
      <c r="H105" t="s">
        <v>103</v>
      </c>
      <c r="I105" t="s">
        <v>73</v>
      </c>
      <c r="J105" s="17">
        <v>46064</v>
      </c>
      <c r="K105" t="str">
        <f t="shared" si="4"/>
        <v>Feb</v>
      </c>
      <c r="L105">
        <v>2</v>
      </c>
      <c r="M105">
        <v>100.96</v>
      </c>
      <c r="N105">
        <v>201.92</v>
      </c>
      <c r="O105" t="s">
        <v>83</v>
      </c>
    </row>
    <row r="106" spans="8:15" x14ac:dyDescent="0.25">
      <c r="H106" t="s">
        <v>132</v>
      </c>
      <c r="I106" t="s">
        <v>73</v>
      </c>
      <c r="J106" s="17">
        <v>46076</v>
      </c>
      <c r="K106" t="str">
        <f t="shared" si="4"/>
        <v>Feb</v>
      </c>
      <c r="L106">
        <v>2</v>
      </c>
      <c r="M106">
        <v>100.96</v>
      </c>
      <c r="N106">
        <v>201.92</v>
      </c>
      <c r="O106" t="s">
        <v>83</v>
      </c>
    </row>
    <row r="107" spans="8:15" x14ac:dyDescent="0.25">
      <c r="H107" t="s">
        <v>207</v>
      </c>
      <c r="I107" t="s">
        <v>73</v>
      </c>
      <c r="J107" s="17">
        <v>46225</v>
      </c>
      <c r="K107" t="str">
        <f t="shared" si="4"/>
        <v>Jul</v>
      </c>
      <c r="L107">
        <v>2</v>
      </c>
      <c r="M107">
        <v>100.96</v>
      </c>
      <c r="N107">
        <v>201.92</v>
      </c>
      <c r="O107" t="s">
        <v>83</v>
      </c>
    </row>
    <row r="108" spans="8:15" x14ac:dyDescent="0.25">
      <c r="H108" t="s">
        <v>170</v>
      </c>
      <c r="I108" t="s">
        <v>73</v>
      </c>
      <c r="J108" s="17">
        <v>46356</v>
      </c>
      <c r="K108" t="str">
        <f t="shared" si="4"/>
        <v>Nov</v>
      </c>
      <c r="L108">
        <v>2</v>
      </c>
      <c r="M108">
        <v>100.96</v>
      </c>
      <c r="N108">
        <v>201.92</v>
      </c>
      <c r="O108" t="s">
        <v>83</v>
      </c>
    </row>
    <row r="109" spans="8:15" x14ac:dyDescent="0.25">
      <c r="H109" t="s">
        <v>110</v>
      </c>
      <c r="I109" t="s">
        <v>74</v>
      </c>
      <c r="J109" s="17">
        <v>46142</v>
      </c>
      <c r="K109" t="str">
        <f t="shared" si="4"/>
        <v>Apr</v>
      </c>
      <c r="L109">
        <v>2</v>
      </c>
      <c r="M109">
        <v>115.38</v>
      </c>
      <c r="N109">
        <v>230.76</v>
      </c>
      <c r="O109" t="s">
        <v>83</v>
      </c>
    </row>
    <row r="110" spans="8:15" x14ac:dyDescent="0.25">
      <c r="H110" t="s">
        <v>194</v>
      </c>
      <c r="I110" t="s">
        <v>74</v>
      </c>
      <c r="J110" s="17">
        <v>46146</v>
      </c>
      <c r="K110" t="str">
        <f t="shared" si="4"/>
        <v>May</v>
      </c>
      <c r="L110">
        <v>3</v>
      </c>
      <c r="M110">
        <v>115.38</v>
      </c>
      <c r="N110">
        <v>346.14</v>
      </c>
      <c r="O110" t="s">
        <v>83</v>
      </c>
    </row>
    <row r="111" spans="8:15" x14ac:dyDescent="0.25">
      <c r="H111" t="s">
        <v>180</v>
      </c>
      <c r="I111" t="s">
        <v>74</v>
      </c>
      <c r="J111" s="17">
        <v>46296</v>
      </c>
      <c r="K111" t="str">
        <f t="shared" si="4"/>
        <v>Oct</v>
      </c>
      <c r="L111">
        <v>3</v>
      </c>
      <c r="M111">
        <v>115.38</v>
      </c>
      <c r="N111">
        <v>346.14</v>
      </c>
      <c r="O111" t="s">
        <v>83</v>
      </c>
    </row>
    <row r="112" spans="8:15" x14ac:dyDescent="0.25">
      <c r="H112" t="s">
        <v>166</v>
      </c>
      <c r="I112" t="s">
        <v>75</v>
      </c>
      <c r="J112" s="17">
        <v>46145</v>
      </c>
      <c r="K112" t="str">
        <f t="shared" si="4"/>
        <v>May</v>
      </c>
      <c r="L112">
        <v>4</v>
      </c>
      <c r="M112">
        <v>108.17</v>
      </c>
      <c r="N112">
        <v>432.68</v>
      </c>
      <c r="O112" t="s">
        <v>83</v>
      </c>
    </row>
    <row r="113" spans="8:15" x14ac:dyDescent="0.25">
      <c r="H113" t="s">
        <v>118</v>
      </c>
      <c r="I113" t="s">
        <v>75</v>
      </c>
      <c r="J113" s="17">
        <v>46178</v>
      </c>
      <c r="K113" t="str">
        <f t="shared" si="4"/>
        <v>Jun</v>
      </c>
      <c r="L113">
        <v>3</v>
      </c>
      <c r="M113">
        <v>108.17</v>
      </c>
      <c r="N113">
        <v>324.51</v>
      </c>
      <c r="O113" t="s">
        <v>83</v>
      </c>
    </row>
    <row r="114" spans="8:15" x14ac:dyDescent="0.25">
      <c r="H114" t="s">
        <v>206</v>
      </c>
      <c r="I114" t="s">
        <v>75</v>
      </c>
      <c r="J114" s="17">
        <v>46174</v>
      </c>
      <c r="K114" t="str">
        <f t="shared" si="4"/>
        <v>Jun</v>
      </c>
      <c r="L114">
        <v>1</v>
      </c>
      <c r="M114">
        <v>108.17</v>
      </c>
      <c r="N114">
        <v>108.17</v>
      </c>
      <c r="O114" t="s">
        <v>83</v>
      </c>
    </row>
    <row r="115" spans="8:15" x14ac:dyDescent="0.25">
      <c r="H115" t="s">
        <v>109</v>
      </c>
      <c r="I115" t="s">
        <v>75</v>
      </c>
      <c r="J115" s="17">
        <v>46255</v>
      </c>
      <c r="K115" t="str">
        <f t="shared" si="4"/>
        <v>Aug</v>
      </c>
      <c r="L115">
        <v>1</v>
      </c>
      <c r="M115">
        <v>108.17</v>
      </c>
      <c r="N115">
        <v>108.17</v>
      </c>
      <c r="O115" t="s">
        <v>83</v>
      </c>
    </row>
    <row r="116" spans="8:15" x14ac:dyDescent="0.25">
      <c r="H116" t="s">
        <v>153</v>
      </c>
      <c r="I116" t="s">
        <v>76</v>
      </c>
      <c r="J116" s="17">
        <v>46162</v>
      </c>
      <c r="K116" t="str">
        <f t="shared" si="4"/>
        <v>May</v>
      </c>
      <c r="L116">
        <v>3</v>
      </c>
      <c r="M116">
        <v>64.900000000000006</v>
      </c>
      <c r="N116">
        <v>194.7</v>
      </c>
      <c r="O116" t="s">
        <v>83</v>
      </c>
    </row>
    <row r="117" spans="8:15" x14ac:dyDescent="0.25">
      <c r="H117" t="s">
        <v>169</v>
      </c>
      <c r="I117" t="s">
        <v>76</v>
      </c>
      <c r="J117" s="17">
        <v>46218</v>
      </c>
      <c r="K117" t="str">
        <f t="shared" si="4"/>
        <v>Jul</v>
      </c>
      <c r="L117">
        <v>3</v>
      </c>
      <c r="M117">
        <v>64.900000000000006</v>
      </c>
      <c r="N117">
        <v>194.7</v>
      </c>
      <c r="O117" t="s">
        <v>83</v>
      </c>
    </row>
    <row r="118" spans="8:15" x14ac:dyDescent="0.25">
      <c r="H118" t="s">
        <v>175</v>
      </c>
      <c r="I118" t="s">
        <v>77</v>
      </c>
      <c r="J118" s="17">
        <v>46096</v>
      </c>
      <c r="K118" t="str">
        <f t="shared" si="4"/>
        <v>Mar</v>
      </c>
      <c r="L118">
        <v>3</v>
      </c>
      <c r="M118">
        <v>108.17</v>
      </c>
      <c r="N118">
        <v>324.51</v>
      </c>
      <c r="O118" t="s">
        <v>83</v>
      </c>
    </row>
    <row r="119" spans="8:15" x14ac:dyDescent="0.25">
      <c r="H119" t="s">
        <v>122</v>
      </c>
      <c r="I119" t="s">
        <v>78</v>
      </c>
      <c r="J119" s="17">
        <v>46188</v>
      </c>
      <c r="K119" t="str">
        <f t="shared" si="4"/>
        <v>Jun</v>
      </c>
      <c r="L119">
        <v>4</v>
      </c>
      <c r="M119">
        <v>100.96</v>
      </c>
      <c r="N119">
        <v>403.84</v>
      </c>
      <c r="O119" t="s">
        <v>83</v>
      </c>
    </row>
    <row r="120" spans="8:15" x14ac:dyDescent="0.25">
      <c r="H120" t="s">
        <v>143</v>
      </c>
      <c r="I120" t="s">
        <v>79</v>
      </c>
      <c r="J120" s="17">
        <v>46049</v>
      </c>
      <c r="K120" t="str">
        <f t="shared" si="4"/>
        <v>Jan</v>
      </c>
      <c r="L120">
        <v>2</v>
      </c>
      <c r="M120">
        <v>100.96</v>
      </c>
      <c r="N120">
        <v>201.92</v>
      </c>
      <c r="O120" t="s">
        <v>83</v>
      </c>
    </row>
    <row r="121" spans="8:15" x14ac:dyDescent="0.25">
      <c r="H121" t="s">
        <v>135</v>
      </c>
      <c r="I121" t="s">
        <v>79</v>
      </c>
      <c r="J121" s="17">
        <v>46304</v>
      </c>
      <c r="K121" t="str">
        <f t="shared" si="4"/>
        <v>Oct</v>
      </c>
      <c r="L121">
        <v>1</v>
      </c>
      <c r="M121">
        <v>100.96</v>
      </c>
      <c r="N121">
        <v>100.96</v>
      </c>
      <c r="O121" t="s">
        <v>83</v>
      </c>
    </row>
    <row r="122" spans="8:15" x14ac:dyDescent="0.25">
      <c r="H122" t="s">
        <v>138</v>
      </c>
      <c r="I122" t="s">
        <v>80</v>
      </c>
      <c r="J122" s="17">
        <v>46229</v>
      </c>
      <c r="K122" t="str">
        <f t="shared" si="4"/>
        <v>Jul</v>
      </c>
      <c r="L122">
        <v>4</v>
      </c>
      <c r="M122">
        <v>64.900000000000006</v>
      </c>
      <c r="N122">
        <v>259.60000000000002</v>
      </c>
      <c r="O122" t="s">
        <v>83</v>
      </c>
    </row>
    <row r="123" spans="8:15" x14ac:dyDescent="0.25">
      <c r="I123" t="s">
        <v>26</v>
      </c>
    </row>
  </sheetData>
  <sortState xmlns:xlrd2="http://schemas.microsoft.com/office/spreadsheetml/2017/richdata2" ref="H3:O122">
    <sortCondition ref="I3:I122"/>
  </sortState>
  <mergeCells count="2">
    <mergeCell ref="A1:F1"/>
    <mergeCell ref="H1:O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1FF46-6DDF-45CB-9EDC-C9DEE75A49B9}">
  <sheetPr codeName="Sheet6"/>
  <dimension ref="A1:AU54"/>
  <sheetViews>
    <sheetView zoomScale="145" zoomScaleNormal="145" workbookViewId="0">
      <pane xSplit="1" topLeftCell="B1" activePane="topRight" state="frozen"/>
      <selection pane="topRight" activeCell="H5" sqref="H5"/>
    </sheetView>
  </sheetViews>
  <sheetFormatPr defaultRowHeight="15" x14ac:dyDescent="0.25"/>
  <cols>
    <col min="1" max="1" width="10.140625" bestFit="1" customWidth="1"/>
    <col min="2" max="2" width="15" customWidth="1"/>
    <col min="3" max="3" width="10.42578125" customWidth="1"/>
    <col min="4" max="4" width="13.28515625" customWidth="1"/>
    <col min="5" max="5" width="16.7109375" customWidth="1"/>
    <col min="6" max="35" width="4.7109375" bestFit="1" customWidth="1"/>
    <col min="36" max="36" width="4.7109375" customWidth="1"/>
    <col min="37" max="39" width="5.140625" customWidth="1"/>
    <col min="40" max="40" width="4" customWidth="1"/>
    <col min="41" max="46" width="5.140625" customWidth="1"/>
    <col min="47" max="47" width="6.28515625" customWidth="1"/>
    <col min="48" max="50" width="5.42578125" customWidth="1"/>
    <col min="51" max="51" width="3.7109375" customWidth="1"/>
    <col min="52" max="54" width="3.5703125" customWidth="1"/>
    <col min="55" max="55" width="3.140625" customWidth="1"/>
    <col min="56" max="56" width="3.42578125" customWidth="1"/>
    <col min="57" max="58" width="3.5703125" customWidth="1"/>
    <col min="59" max="59" width="2.7109375" customWidth="1"/>
    <col min="60" max="61" width="3.140625" customWidth="1"/>
    <col min="62" max="81" width="4.28515625" bestFit="1" customWidth="1"/>
  </cols>
  <sheetData>
    <row r="1" spans="1:47" ht="51" x14ac:dyDescent="0.25">
      <c r="A1" s="65" t="s">
        <v>336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</row>
    <row r="2" spans="1:47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Jan</v>
      </c>
      <c r="M2" s="67"/>
      <c r="N2" s="67"/>
      <c r="O2" s="67"/>
      <c r="P2" s="68">
        <f>DATE(2026,1,1)</f>
        <v>46023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70"/>
      <c r="AB2" s="71" t="s">
        <v>337</v>
      </c>
      <c r="AC2" s="71"/>
      <c r="AD2" s="71"/>
      <c r="AE2" s="71"/>
      <c r="AF2" s="72">
        <f>EOMONTH(P2,0)</f>
        <v>46053</v>
      </c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</row>
    <row r="3" spans="1:47" ht="18.75" x14ac:dyDescent="0.25">
      <c r="A3" s="74" t="s">
        <v>338</v>
      </c>
      <c r="B3" s="74" t="s">
        <v>339</v>
      </c>
      <c r="C3" s="74" t="s">
        <v>1</v>
      </c>
      <c r="D3" s="74" t="s">
        <v>340</v>
      </c>
      <c r="E3" s="74" t="s">
        <v>341</v>
      </c>
      <c r="F3" s="1">
        <f>P2</f>
        <v>46023</v>
      </c>
      <c r="G3" s="1">
        <f>IF(F3&lt;$AF$2,F3+1,"")</f>
        <v>46024</v>
      </c>
      <c r="H3" s="1">
        <f t="shared" ref="H3:AJ3" si="0">IF(G3&lt;$AF$2,G3+1,"")</f>
        <v>46025</v>
      </c>
      <c r="I3" s="1">
        <f t="shared" si="0"/>
        <v>46026</v>
      </c>
      <c r="J3" s="1">
        <f t="shared" si="0"/>
        <v>46027</v>
      </c>
      <c r="K3" s="1">
        <f t="shared" si="0"/>
        <v>46028</v>
      </c>
      <c r="L3" s="1">
        <f t="shared" si="0"/>
        <v>46029</v>
      </c>
      <c r="M3" s="1">
        <f t="shared" si="0"/>
        <v>46030</v>
      </c>
      <c r="N3" s="1">
        <f t="shared" si="0"/>
        <v>46031</v>
      </c>
      <c r="O3" s="1">
        <f t="shared" si="0"/>
        <v>46032</v>
      </c>
      <c r="P3" s="1">
        <f t="shared" si="0"/>
        <v>46033</v>
      </c>
      <c r="Q3" s="1">
        <f t="shared" si="0"/>
        <v>46034</v>
      </c>
      <c r="R3" s="1">
        <f t="shared" si="0"/>
        <v>46035</v>
      </c>
      <c r="S3" s="1">
        <f t="shared" si="0"/>
        <v>46036</v>
      </c>
      <c r="T3" s="1">
        <f t="shared" si="0"/>
        <v>46037</v>
      </c>
      <c r="U3" s="1">
        <f t="shared" si="0"/>
        <v>46038</v>
      </c>
      <c r="V3" s="1">
        <f t="shared" si="0"/>
        <v>46039</v>
      </c>
      <c r="W3" s="1">
        <f t="shared" si="0"/>
        <v>46040</v>
      </c>
      <c r="X3" s="1">
        <f t="shared" si="0"/>
        <v>46041</v>
      </c>
      <c r="Y3" s="1">
        <f t="shared" si="0"/>
        <v>46042</v>
      </c>
      <c r="Z3" s="1">
        <f t="shared" si="0"/>
        <v>46043</v>
      </c>
      <c r="AA3" s="1">
        <f t="shared" si="0"/>
        <v>46044</v>
      </c>
      <c r="AB3" s="1">
        <f t="shared" si="0"/>
        <v>46045</v>
      </c>
      <c r="AC3" s="1">
        <f t="shared" si="0"/>
        <v>46046</v>
      </c>
      <c r="AD3" s="1">
        <f t="shared" si="0"/>
        <v>46047</v>
      </c>
      <c r="AE3" s="1">
        <f t="shared" si="0"/>
        <v>46048</v>
      </c>
      <c r="AF3" s="1">
        <f t="shared" si="0"/>
        <v>46049</v>
      </c>
      <c r="AG3" s="1">
        <f t="shared" si="0"/>
        <v>46050</v>
      </c>
      <c r="AH3" s="1">
        <f t="shared" si="0"/>
        <v>46051</v>
      </c>
      <c r="AI3" s="1">
        <f t="shared" si="0"/>
        <v>46052</v>
      </c>
      <c r="AJ3" s="1">
        <f t="shared" si="0"/>
        <v>46053</v>
      </c>
      <c r="AK3" s="60" t="s">
        <v>342</v>
      </c>
      <c r="AL3" s="60" t="s">
        <v>343</v>
      </c>
      <c r="AM3" s="60" t="s">
        <v>344</v>
      </c>
      <c r="AN3" s="62" t="s">
        <v>84</v>
      </c>
      <c r="AO3" s="60" t="s">
        <v>345</v>
      </c>
      <c r="AP3" s="60" t="s">
        <v>351</v>
      </c>
      <c r="AQ3" s="60" t="s">
        <v>352</v>
      </c>
      <c r="AR3" s="60" t="s">
        <v>346</v>
      </c>
      <c r="AS3" s="60" t="s">
        <v>347</v>
      </c>
      <c r="AT3" s="60" t="s">
        <v>348</v>
      </c>
      <c r="AU3" s="60" t="s">
        <v>349</v>
      </c>
    </row>
    <row r="4" spans="1:47" ht="86.25" customHeight="1" x14ac:dyDescent="0.25">
      <c r="A4" s="75"/>
      <c r="B4" s="75"/>
      <c r="C4" s="75"/>
      <c r="D4" s="75"/>
      <c r="E4" s="75"/>
      <c r="F4" s="2" t="str">
        <f>TEXT(F3,"ddd")</f>
        <v>Thu</v>
      </c>
      <c r="G4" s="2" t="str">
        <f t="shared" ref="G4:AJ4" si="1">TEXT(G3,"ddd")</f>
        <v>Fri</v>
      </c>
      <c r="H4" s="2" t="str">
        <f t="shared" si="1"/>
        <v>Sat</v>
      </c>
      <c r="I4" s="2" t="str">
        <f t="shared" si="1"/>
        <v>Sun</v>
      </c>
      <c r="J4" s="2" t="str">
        <f t="shared" si="1"/>
        <v>Mon</v>
      </c>
      <c r="K4" s="2" t="str">
        <f t="shared" si="1"/>
        <v>Tue</v>
      </c>
      <c r="L4" s="2" t="str">
        <f t="shared" si="1"/>
        <v>Wed</v>
      </c>
      <c r="M4" s="2" t="str">
        <f t="shared" si="1"/>
        <v>Thu</v>
      </c>
      <c r="N4" s="2" t="str">
        <f t="shared" si="1"/>
        <v>Fri</v>
      </c>
      <c r="O4" s="2" t="str">
        <f t="shared" si="1"/>
        <v>Sat</v>
      </c>
      <c r="P4" s="2" t="str">
        <f t="shared" si="1"/>
        <v>Sun</v>
      </c>
      <c r="Q4" s="2" t="str">
        <f t="shared" si="1"/>
        <v>Mon</v>
      </c>
      <c r="R4" s="2" t="str">
        <f t="shared" si="1"/>
        <v>Tue</v>
      </c>
      <c r="S4" s="2" t="str">
        <f t="shared" si="1"/>
        <v>Wed</v>
      </c>
      <c r="T4" s="2" t="str">
        <f t="shared" si="1"/>
        <v>Thu</v>
      </c>
      <c r="U4" s="2" t="str">
        <f t="shared" si="1"/>
        <v>Fri</v>
      </c>
      <c r="V4" s="2" t="str">
        <f t="shared" si="1"/>
        <v>Sat</v>
      </c>
      <c r="W4" s="2" t="str">
        <f t="shared" si="1"/>
        <v>Sun</v>
      </c>
      <c r="X4" s="2" t="str">
        <f t="shared" si="1"/>
        <v>Mon</v>
      </c>
      <c r="Y4" s="2" t="str">
        <f t="shared" si="1"/>
        <v>Tue</v>
      </c>
      <c r="Z4" s="2" t="str">
        <f t="shared" si="1"/>
        <v>Wed</v>
      </c>
      <c r="AA4" s="2" t="str">
        <f t="shared" si="1"/>
        <v>Thu</v>
      </c>
      <c r="AB4" s="2" t="str">
        <f t="shared" si="1"/>
        <v>Fri</v>
      </c>
      <c r="AC4" s="2" t="str">
        <f t="shared" si="1"/>
        <v>Sat</v>
      </c>
      <c r="AD4" s="2" t="str">
        <f t="shared" si="1"/>
        <v>Sun</v>
      </c>
      <c r="AE4" s="2" t="str">
        <f t="shared" si="1"/>
        <v>Mon</v>
      </c>
      <c r="AF4" s="2" t="str">
        <f t="shared" si="1"/>
        <v>Tue</v>
      </c>
      <c r="AG4" s="2" t="str">
        <f t="shared" si="1"/>
        <v>Wed</v>
      </c>
      <c r="AH4" s="2" t="str">
        <f t="shared" si="1"/>
        <v>Thu</v>
      </c>
      <c r="AI4" s="2" t="str">
        <f t="shared" si="1"/>
        <v>Fri</v>
      </c>
      <c r="AJ4" s="2" t="str">
        <f t="shared" si="1"/>
        <v>Sat</v>
      </c>
      <c r="AK4" s="61"/>
      <c r="AL4" s="61"/>
      <c r="AM4" s="61"/>
      <c r="AN4" s="63"/>
      <c r="AO4" s="61"/>
      <c r="AP4" s="64"/>
      <c r="AQ4" s="64"/>
      <c r="AR4" s="61"/>
      <c r="AS4" s="61"/>
      <c r="AT4" s="61"/>
      <c r="AU4" s="61"/>
    </row>
    <row r="5" spans="1:47" ht="19.5" customHeight="1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6" t="s">
        <v>539</v>
      </c>
      <c r="G5" s="6" t="str">
        <f>IFERROR(LOOKUP(2,1/((lentry!$A$3:$A$3999=jan!$A5)*(lentry!$B$3:$B$3999&lt;=jan!G$3)*(lentry!$C$3:$C$3999&gt;=jan!G$3)),lentry!$D$3:$D$3999),IF(WEEKDAY(jan!G$3,1)=1,"WO","P"))</f>
        <v>P</v>
      </c>
      <c r="H5" s="6" t="str">
        <f>IFERROR(LOOKUP(2,1/((lentry!$A$3:$A$3999=jan!$A5)*(lentry!$B$3:$B$3999&lt;=jan!H$3)*(lentry!$C$3:$C$3999&gt;=jan!H$3)),lentry!$D$3:$D$3999),IF(WEEKDAY(jan!H$3,1)=1,"WO","P"))</f>
        <v>P</v>
      </c>
      <c r="I5" s="6" t="str">
        <f>IFERROR(LOOKUP(2,1/((lentry!$A$3:$A$3999=jan!$A5)*(lentry!$B$3:$B$3999&lt;=jan!I$3)*(lentry!$C$3:$C$3999&gt;=jan!I$3)),lentry!$D$3:$D$3999),IF(WEEKDAY(jan!I$3,1)=1,"WO","P"))</f>
        <v>WO</v>
      </c>
      <c r="J5" s="6" t="str">
        <f>IFERROR(LOOKUP(2,1/((lentry!$A$3:$A$3999=jan!$A5)*(lentry!$B$3:$B$3999&lt;=jan!J$3)*(lentry!$C$3:$C$3999&gt;=jan!J$3)),lentry!$D$3:$D$3999),IF(WEEKDAY(jan!J$3,1)=1,"WO","P"))</f>
        <v>P</v>
      </c>
      <c r="K5" s="6" t="str">
        <f>IFERROR(LOOKUP(2,1/((lentry!$A$3:$A$3999=jan!$A5)*(lentry!$B$3:$B$3999&lt;=jan!K$3)*(lentry!$C$3:$C$3999&gt;=jan!K$3)),lentry!$D$3:$D$3999),IF(WEEKDAY(jan!K$3,1)=1,"WO","P"))</f>
        <v>P</v>
      </c>
      <c r="L5" s="6" t="str">
        <f>IFERROR(LOOKUP(2,1/((lentry!$A$3:$A$3999=jan!$A5)*(lentry!$B$3:$B$3999&lt;=jan!L$3)*(lentry!$C$3:$C$3999&gt;=jan!L$3)),lentry!$D$3:$D$3999),IF(WEEKDAY(jan!L$3,1)=1,"WO","P"))</f>
        <v>P</v>
      </c>
      <c r="M5" s="6" t="str">
        <f>IFERROR(LOOKUP(2,1/((lentry!$A$3:$A$3999=jan!$A5)*(lentry!$B$3:$B$3999&lt;=jan!M$3)*(lentry!$C$3:$C$3999&gt;=jan!M$3)),lentry!$D$3:$D$3999),IF(WEEKDAY(jan!M$3,1)=1,"WO","P"))</f>
        <v>P</v>
      </c>
      <c r="N5" s="6" t="str">
        <f>IFERROR(LOOKUP(2,1/((lentry!$A$3:$A$3999=jan!$A5)*(lentry!$B$3:$B$3999&lt;=jan!N$3)*(lentry!$C$3:$C$3999&gt;=jan!N$3)),lentry!$D$3:$D$3999),IF(WEEKDAY(jan!N$3,1)=1,"WO","P"))</f>
        <v>P</v>
      </c>
      <c r="O5" s="6" t="str">
        <f>IFERROR(LOOKUP(2,1/((lentry!$A$3:$A$3999=jan!$A5)*(lentry!$B$3:$B$3999&lt;=jan!O$3)*(lentry!$C$3:$C$3999&gt;=jan!O$3)),lentry!$D$3:$D$3999),IF(WEEKDAY(jan!O$3,1)=1,"WO","P"))</f>
        <v>P</v>
      </c>
      <c r="P5" s="6" t="s">
        <v>342</v>
      </c>
      <c r="Q5" s="6" t="str">
        <f>IFERROR(LOOKUP(2,1/((lentry!$A$3:$A$3999=jan!$A5)*(lentry!$B$3:$B$3999&lt;=jan!Q$3)*(lentry!$C$3:$C$3999&gt;=jan!Q$3)),lentry!$D$3:$D$3999),IF(WEEKDAY(jan!Q$3,1)=1,"WO","P"))</f>
        <v>P</v>
      </c>
      <c r="R5" s="6" t="str">
        <f>IFERROR(LOOKUP(2,1/((lentry!$A$3:$A$3999=jan!$A5)*(lentry!$B$3:$B$3999&lt;=jan!R$3)*(lentry!$C$3:$C$3999&gt;=jan!R$3)),lentry!$D$3:$D$3999),IF(WEEKDAY(jan!R$3,1)=1,"WO","P"))</f>
        <v>P</v>
      </c>
      <c r="S5" s="6" t="str">
        <f>IFERROR(LOOKUP(2,1/((lentry!$A$3:$A$3999=jan!$A5)*(lentry!$B$3:$B$3999&lt;=jan!S$3)*(lentry!$C$3:$C$3999&gt;=jan!S$3)),lentry!$D$3:$D$3999),IF(WEEKDAY(jan!S$3,1)=1,"WO","P"))</f>
        <v>P</v>
      </c>
      <c r="T5" s="6" t="str">
        <f>IFERROR(LOOKUP(2,1/((lentry!$A$3:$A$3999=jan!$A5)*(lentry!$B$3:$B$3999&lt;=jan!T$3)*(lentry!$C$3:$C$3999&gt;=jan!T$3)),lentry!$D$3:$D$3999),IF(WEEKDAY(jan!T$3,1)=1,"WO","P"))</f>
        <v>P</v>
      </c>
      <c r="U5" s="6" t="str">
        <f>IFERROR(LOOKUP(2,1/((lentry!$A$3:$A$3999=jan!$A5)*(lentry!$B$3:$B$3999&lt;=jan!U$3)*(lentry!$C$3:$C$3999&gt;=jan!U$3)),lentry!$D$3:$D$3999),IF(WEEKDAY(jan!U$3,1)=1,"WO","P"))</f>
        <v>P</v>
      </c>
      <c r="V5" s="6" t="str">
        <f>IFERROR(LOOKUP(2,1/((lentry!$A$3:$A$3999=jan!$A5)*(lentry!$B$3:$B$3999&lt;=jan!V$3)*(lentry!$C$3:$C$3999&gt;=jan!V$3)),lentry!$D$3:$D$3999),IF(WEEKDAY(jan!V$3,1)=1,"WO","P"))</f>
        <v>P</v>
      </c>
      <c r="W5" s="6" t="str">
        <f>IFERROR(LOOKUP(2,1/((lentry!$A$3:$A$3999=jan!$A5)*(lentry!$B$3:$B$3999&lt;=jan!W$3)*(lentry!$C$3:$C$3999&gt;=jan!W$3)),lentry!$D$3:$D$3999),IF(WEEKDAY(jan!W$3,1)=1,"WO","P"))</f>
        <v>WO</v>
      </c>
      <c r="X5" s="6" t="str">
        <f>IFERROR(LOOKUP(2,1/((lentry!$A$3:$A$3999=jan!$A5)*(lentry!$B$3:$B$3999&lt;=jan!X$3)*(lentry!$C$3:$C$3999&gt;=jan!X$3)),lentry!$D$3:$D$3999),IF(WEEKDAY(jan!X$3,1)=1,"WO","P"))</f>
        <v>P</v>
      </c>
      <c r="Y5" s="6" t="str">
        <f>IFERROR(LOOKUP(2,1/((lentry!$A$3:$A$3999=jan!$A5)*(lentry!$B$3:$B$3999&lt;=jan!Y$3)*(lentry!$C$3:$C$3999&gt;=jan!Y$3)),lentry!$D$3:$D$3999),IF(WEEKDAY(jan!Y$3,1)=1,"WO","P"))</f>
        <v>P</v>
      </c>
      <c r="Z5" s="6" t="str">
        <f>IFERROR(LOOKUP(2,1/((lentry!$A$3:$A$3999=jan!$A5)*(lentry!$B$3:$B$3999&lt;=jan!Z$3)*(lentry!$C$3:$C$3999&gt;=jan!Z$3)),lentry!$D$3:$D$3999),IF(WEEKDAY(jan!Z$3,1)=1,"WO","P"))</f>
        <v>P</v>
      </c>
      <c r="AA5" s="6" t="str">
        <f>IFERROR(LOOKUP(2,1/((lentry!$A$3:$A$3999=jan!$A5)*(lentry!$B$3:$B$3999&lt;=jan!AA$3)*(lentry!$C$3:$C$3999&gt;=jan!AA$3)),lentry!$D$3:$D$3999),IF(WEEKDAY(jan!AA$3,1)=1,"WO","P"))</f>
        <v>P</v>
      </c>
      <c r="AB5" s="6" t="str">
        <f>IFERROR(LOOKUP(2,1/((lentry!$A$3:$A$3999=jan!$A5)*(lentry!$B$3:$B$3999&lt;=jan!AB$3)*(lentry!$C$3:$C$3999&gt;=jan!AB$3)),lentry!$D$3:$D$3999),IF(WEEKDAY(jan!AB$3,1)=1,"WO","P"))</f>
        <v>P</v>
      </c>
      <c r="AC5" s="6" t="str">
        <f>IFERROR(LOOKUP(2,1/((lentry!$A$3:$A$3999=jan!$A5)*(lentry!$B$3:$B$3999&lt;=jan!AC$3)*(lentry!$C$3:$C$3999&gt;=jan!AC$3)),lentry!$D$3:$D$3999),IF(WEEKDAY(jan!AC$3,1)=1,"WO","P"))</f>
        <v>P</v>
      </c>
      <c r="AD5" s="6" t="str">
        <f>IFERROR(LOOKUP(2,1/((lentry!$A$3:$A$3999=jan!$A5)*(lentry!$B$3:$B$3999&lt;=jan!AD$3)*(lentry!$C$3:$C$3999&gt;=jan!AD$3)),lentry!$D$3:$D$3999),IF(WEEKDAY(jan!AD$3,1)=1,"WO","P"))</f>
        <v>WO</v>
      </c>
      <c r="AE5" s="6" t="s">
        <v>350</v>
      </c>
      <c r="AF5" s="6" t="str">
        <f>IFERROR(LOOKUP(2,1/((lentry!$A$3:$A$3999=jan!$A5)*(lentry!$B$3:$B$3999&lt;=jan!AF$3)*(lentry!$C$3:$C$3999&gt;=jan!AF$3)),lentry!$D$3:$D$3999),IF(WEEKDAY(jan!AF$3,1)=1,"WO","P"))</f>
        <v>P</v>
      </c>
      <c r="AG5" s="6" t="str">
        <f>IFERROR(LOOKUP(2,1/((lentry!$A$3:$A$3999=jan!$A5)*(lentry!$B$3:$B$3999&lt;=jan!AG$3)*(lentry!$C$3:$C$3999&gt;=jan!AG$3)),lentry!$D$3:$D$3999),IF(WEEKDAY(jan!AG$3,1)=1,"WO","P"))</f>
        <v>P</v>
      </c>
      <c r="AH5" s="6" t="str">
        <f>IFERROR(LOOKUP(2,1/((lentry!$A$3:$A$3999=jan!$A5)*(lentry!$B$3:$B$3999&lt;=jan!AH$3)*(lentry!$C$3:$C$3999&gt;=jan!AH$3)),lentry!$D$3:$D$3999),IF(WEEKDAY(jan!AH$3,1)=1,"WO","P"))</f>
        <v>P</v>
      </c>
      <c r="AI5" s="6" t="str">
        <f>IFERROR(LOOKUP(2,1/((lentry!$A$3:$A$3999=jan!$A5)*(lentry!$B$3:$B$3999&lt;=jan!AI$3)*(lentry!$C$3:$C$3999&gt;=jan!AI$3)),lentry!$D$3:$D$3999),IF(WEEKDAY(jan!AI$3,1)=1,"WO","P"))</f>
        <v>P</v>
      </c>
      <c r="AJ5" s="6" t="str">
        <f>IFERROR(LOOKUP(2,1/((lentry!$A$3:$A$3999=jan!$A5)*(lentry!$B$3:$B$3999&lt;=jan!AJ$3)*(lentry!$C$3:$C$3999&gt;=jan!AJ$3)),lentry!$D$3:$D$3999),IF(WEEKDAY(jan!AJ$3,1)=1,"WO","P"))</f>
        <v>P</v>
      </c>
      <c r="AK5" s="18">
        <f>COUNTIF(jan!$F5:$AJ5,"WO")</f>
        <v>4</v>
      </c>
      <c r="AL5" s="18">
        <f>COUNTIF(jan!$F5:$AJ5,"H")</f>
        <v>1</v>
      </c>
      <c r="AM5" s="18">
        <f>COUNTIF(jan!$F5:$AJ5,"PL")</f>
        <v>0</v>
      </c>
      <c r="AN5" s="18">
        <f>COUNTIF(jan!$F5:$AJ5,"LWP")</f>
        <v>0</v>
      </c>
      <c r="AO5" s="18">
        <f>COUNTIF(jan!$F5:$AJ5,"HD")</f>
        <v>0</v>
      </c>
      <c r="AP5" s="18">
        <f>COUNTIF(jan!$F5:$AJ5,"SL")</f>
        <v>0</v>
      </c>
      <c r="AQ5" s="18">
        <f>COUNTIF(jan!$F5:$AJ5,"CL")</f>
        <v>0</v>
      </c>
      <c r="AR5" s="18">
        <f>COUNTIF(jan!$F5:$AJ5,"A")</f>
        <v>1</v>
      </c>
      <c r="AS5" s="18">
        <f>COUNTIF(jan!$F5:$AJ5,"P")</f>
        <v>25</v>
      </c>
      <c r="AT5" s="18">
        <f>COUNTA($F5:$AJ5)</f>
        <v>31</v>
      </c>
      <c r="AU5" s="18">
        <f>AK5+AL5+AM5+AP5+AQ5+AS5+(AO5/2)</f>
        <v>30</v>
      </c>
    </row>
    <row r="6" spans="1:47" ht="18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6" t="str">
        <f>IFERROR(LOOKUP(2,1/((lentry!$A$3:$A$3999=jan!$A6)*(lentry!$B$3:$B$3999&lt;=jan!F$3)*(lentry!$C$3:$C$3999&gt;=jan!F$3)),lentry!$D$3:$D$3999),IF(WEEKDAY(jan!F$3,1)=1,"WO","P"))</f>
        <v>P</v>
      </c>
      <c r="G6" s="6" t="str">
        <f>IFERROR(LOOKUP(2,1/((lentry!$A$3:$A$3999=jan!$A6)*(lentry!$B$3:$B$3999&lt;=jan!G$3)*(lentry!$C$3:$C$3999&gt;=jan!G$3)),lentry!$D$3:$D$3999),IF(WEEKDAY(jan!G$3,1)=1,"WO","P"))</f>
        <v>P</v>
      </c>
      <c r="H6" s="6" t="str">
        <f>IFERROR(LOOKUP(2,1/((lentry!$A$3:$A$3999=jan!$A6)*(lentry!$B$3:$B$3999&lt;=jan!H$3)*(lentry!$C$3:$C$3999&gt;=jan!H$3)),lentry!$D$3:$D$3999),IF(WEEKDAY(jan!H$3,1)=1,"WO","P"))</f>
        <v>P</v>
      </c>
      <c r="I6" s="6" t="str">
        <f>IFERROR(LOOKUP(2,1/((lentry!$A$3:$A$3999=jan!$A6)*(lentry!$B$3:$B$3999&lt;=jan!I$3)*(lentry!$C$3:$C$3999&gt;=jan!I$3)),lentry!$D$3:$D$3999),IF(WEEKDAY(jan!I$3,1)=1,"WO","P"))</f>
        <v>WO</v>
      </c>
      <c r="J6" s="6" t="str">
        <f>IFERROR(LOOKUP(2,1/((lentry!$A$3:$A$3999=jan!$A6)*(lentry!$B$3:$B$3999&lt;=jan!J$3)*(lentry!$C$3:$C$3999&gt;=jan!J$3)),lentry!$D$3:$D$3999),IF(WEEKDAY(jan!J$3,1)=1,"WO","P"))</f>
        <v>P</v>
      </c>
      <c r="K6" s="6" t="str">
        <f>IFERROR(LOOKUP(2,1/((lentry!$A$3:$A$3999=jan!$A6)*(lentry!$B$3:$B$3999&lt;=jan!K$3)*(lentry!$C$3:$C$3999&gt;=jan!K$3)),lentry!$D$3:$D$3999),IF(WEEKDAY(jan!K$3,1)=1,"WO","P"))</f>
        <v>P</v>
      </c>
      <c r="L6" s="6" t="str">
        <f>IFERROR(LOOKUP(2,1/((lentry!$A$3:$A$3999=jan!$A6)*(lentry!$B$3:$B$3999&lt;=jan!L$3)*(lentry!$C$3:$C$3999&gt;=jan!L$3)),lentry!$D$3:$D$3999),IF(WEEKDAY(jan!L$3,1)=1,"WO","P"))</f>
        <v>P</v>
      </c>
      <c r="M6" s="6" t="str">
        <f>IFERROR(LOOKUP(2,1/((lentry!$A$3:$A$3999=jan!$A6)*(lentry!$B$3:$B$3999&lt;=jan!M$3)*(lentry!$C$3:$C$3999&gt;=jan!M$3)),lentry!$D$3:$D$3999),IF(WEEKDAY(jan!M$3,1)=1,"WO","P"))</f>
        <v>P</v>
      </c>
      <c r="N6" s="6" t="str">
        <f>IFERROR(LOOKUP(2,1/((lentry!$A$3:$A$3999=jan!$A6)*(lentry!$B$3:$B$3999&lt;=jan!N$3)*(lentry!$C$3:$C$3999&gt;=jan!N$3)),lentry!$D$3:$D$3999),IF(WEEKDAY(jan!N$3,1)=1,"WO","P"))</f>
        <v>P</v>
      </c>
      <c r="O6" s="6" t="str">
        <f>IFERROR(LOOKUP(2,1/((lentry!$A$3:$A$3999=jan!$A6)*(lentry!$B$3:$B$3999&lt;=jan!O$3)*(lentry!$C$3:$C$3999&gt;=jan!O$3)),lentry!$D$3:$D$3999),IF(WEEKDAY(jan!O$3,1)=1,"WO","P"))</f>
        <v>P</v>
      </c>
      <c r="P6" s="6" t="s">
        <v>342</v>
      </c>
      <c r="Q6" s="6" t="str">
        <f>IFERROR(LOOKUP(2,1/((lentry!$A$3:$A$3999=jan!$A6)*(lentry!$B$3:$B$3999&lt;=jan!Q$3)*(lentry!$C$3:$C$3999&gt;=jan!Q$3)),lentry!$D$3:$D$3999),IF(WEEKDAY(jan!Q$3,1)=1,"WO","P"))</f>
        <v>P</v>
      </c>
      <c r="R6" s="6" t="str">
        <f>IFERROR(LOOKUP(2,1/((lentry!$A$3:$A$3999=jan!$A6)*(lentry!$B$3:$B$3999&lt;=jan!R$3)*(lentry!$C$3:$C$3999&gt;=jan!R$3)),lentry!$D$3:$D$3999),IF(WEEKDAY(jan!R$3,1)=1,"WO","P"))</f>
        <v>P</v>
      </c>
      <c r="S6" s="6" t="str">
        <f>IFERROR(LOOKUP(2,1/((lentry!$A$3:$A$3999=jan!$A6)*(lentry!$B$3:$B$3999&lt;=jan!S$3)*(lentry!$C$3:$C$3999&gt;=jan!S$3)),lentry!$D$3:$D$3999),IF(WEEKDAY(jan!S$3,1)=1,"WO","P"))</f>
        <v>P</v>
      </c>
      <c r="T6" s="6" t="str">
        <f>IFERROR(LOOKUP(2,1/((lentry!$A$3:$A$3999=jan!$A6)*(lentry!$B$3:$B$3999&lt;=jan!T$3)*(lentry!$C$3:$C$3999&gt;=jan!T$3)),lentry!$D$3:$D$3999),IF(WEEKDAY(jan!T$3,1)=1,"WO","P"))</f>
        <v>P</v>
      </c>
      <c r="U6" s="6" t="str">
        <f>IFERROR(LOOKUP(2,1/((lentry!$A$3:$A$3999=jan!$A6)*(lentry!$B$3:$B$3999&lt;=jan!U$3)*(lentry!$C$3:$C$3999&gt;=jan!U$3)),lentry!$D$3:$D$3999),IF(WEEKDAY(jan!U$3,1)=1,"WO","P"))</f>
        <v>P</v>
      </c>
      <c r="V6" s="6" t="str">
        <f>IFERROR(LOOKUP(2,1/((lentry!$A$3:$A$3999=jan!$A6)*(lentry!$B$3:$B$3999&lt;=jan!V$3)*(lentry!$C$3:$C$3999&gt;=jan!V$3)),lentry!$D$3:$D$3999),IF(WEEKDAY(jan!V$3,1)=1,"WO","P"))</f>
        <v>P</v>
      </c>
      <c r="W6" s="6" t="str">
        <f>IFERROR(LOOKUP(2,1/((lentry!$A$3:$A$3999=jan!$A6)*(lentry!$B$3:$B$3999&lt;=jan!W$3)*(lentry!$C$3:$C$3999&gt;=jan!W$3)),lentry!$D$3:$D$3999),IF(WEEKDAY(jan!W$3,1)=1,"WO","P"))</f>
        <v>WO</v>
      </c>
      <c r="X6" s="6" t="str">
        <f>IFERROR(LOOKUP(2,1/((lentry!$A$3:$A$3999=jan!$A6)*(lentry!$B$3:$B$3999&lt;=jan!X$3)*(lentry!$C$3:$C$3999&gt;=jan!X$3)),lentry!$D$3:$D$3999),IF(WEEKDAY(jan!X$3,1)=1,"WO","P"))</f>
        <v>P</v>
      </c>
      <c r="Y6" s="6" t="str">
        <f>IFERROR(LOOKUP(2,1/((lentry!$A$3:$A$3999=jan!$A6)*(lentry!$B$3:$B$3999&lt;=jan!Y$3)*(lentry!$C$3:$C$3999&gt;=jan!Y$3)),lentry!$D$3:$D$3999),IF(WEEKDAY(jan!Y$3,1)=1,"WO","P"))</f>
        <v>P</v>
      </c>
      <c r="Z6" s="6" t="str">
        <f>IFERROR(LOOKUP(2,1/((lentry!$A$3:$A$3999=jan!$A6)*(lentry!$B$3:$B$3999&lt;=jan!Z$3)*(lentry!$C$3:$C$3999&gt;=jan!Z$3)),lentry!$D$3:$D$3999),IF(WEEKDAY(jan!Z$3,1)=1,"WO","P"))</f>
        <v>P</v>
      </c>
      <c r="AA6" s="6" t="s">
        <v>539</v>
      </c>
      <c r="AB6" s="6" t="str">
        <f>IFERROR(LOOKUP(2,1/((lentry!$A$3:$A$3999=jan!$A6)*(lentry!$B$3:$B$3999&lt;=jan!AB$3)*(lentry!$C$3:$C$3999&gt;=jan!AB$3)),lentry!$D$3:$D$3999),IF(WEEKDAY(jan!AB$3,1)=1,"WO","P"))</f>
        <v>P</v>
      </c>
      <c r="AC6" s="6" t="str">
        <f>IFERROR(LOOKUP(2,1/((lentry!$A$3:$A$3999=jan!$A6)*(lentry!$B$3:$B$3999&lt;=jan!AC$3)*(lentry!$C$3:$C$3999&gt;=jan!AC$3)),lentry!$D$3:$D$3999),IF(WEEKDAY(jan!AC$3,1)=1,"WO","P"))</f>
        <v>P</v>
      </c>
      <c r="AD6" s="6" t="str">
        <f>IFERROR(LOOKUP(2,1/((lentry!$A$3:$A$3999=jan!$A6)*(lentry!$B$3:$B$3999&lt;=jan!AD$3)*(lentry!$C$3:$C$3999&gt;=jan!AD$3)),lentry!$D$3:$D$3999),IF(WEEKDAY(jan!AD$3,1)=1,"WO","P"))</f>
        <v>WO</v>
      </c>
      <c r="AE6" s="6" t="s">
        <v>350</v>
      </c>
      <c r="AF6" s="6" t="str">
        <f>IFERROR(LOOKUP(2,1/((lentry!$A$3:$A$3999=jan!$A6)*(lentry!$B$3:$B$3999&lt;=jan!AF$3)*(lentry!$C$3:$C$3999&gt;=jan!AF$3)),lentry!$D$3:$D$3999),IF(WEEKDAY(jan!AF$3,1)=1,"WO","P"))</f>
        <v>P</v>
      </c>
      <c r="AG6" s="6" t="str">
        <f>IFERROR(LOOKUP(2,1/((lentry!$A$3:$A$3999=jan!$A6)*(lentry!$B$3:$B$3999&lt;=jan!AG$3)*(lentry!$C$3:$C$3999&gt;=jan!AG$3)),lentry!$D$3:$D$3999),IF(WEEKDAY(jan!AG$3,1)=1,"WO","P"))</f>
        <v>P</v>
      </c>
      <c r="AH6" s="6" t="str">
        <f>IFERROR(LOOKUP(2,1/((lentry!$A$3:$A$3999=jan!$A6)*(lentry!$B$3:$B$3999&lt;=jan!AH$3)*(lentry!$C$3:$C$3999&gt;=jan!AH$3)),lentry!$D$3:$D$3999),IF(WEEKDAY(jan!AH$3,1)=1,"WO","P"))</f>
        <v>P</v>
      </c>
      <c r="AI6" s="6" t="str">
        <f>IFERROR(LOOKUP(2,1/((lentry!$A$3:$A$3999=jan!$A6)*(lentry!$B$3:$B$3999&lt;=jan!AI$3)*(lentry!$C$3:$C$3999&gt;=jan!AI$3)),lentry!$D$3:$D$3999),IF(WEEKDAY(jan!AI$3,1)=1,"WO","P"))</f>
        <v>P</v>
      </c>
      <c r="AJ6" s="6" t="str">
        <f>IFERROR(LOOKUP(2,1/((lentry!$A$3:$A$3999=jan!$A6)*(lentry!$B$3:$B$3999&lt;=jan!AJ$3)*(lentry!$C$3:$C$3999&gt;=jan!AJ$3)),lentry!$D$3:$D$3999),IF(WEEKDAY(jan!AJ$3,1)=1,"WO","P"))</f>
        <v>P</v>
      </c>
      <c r="AK6" s="18">
        <f>COUNTIF(jan!$F6:$AJ6,"WO")</f>
        <v>4</v>
      </c>
      <c r="AL6" s="18">
        <f>COUNTIF(jan!$F6:$AJ6,"H")</f>
        <v>1</v>
      </c>
      <c r="AM6" s="18">
        <f>COUNTIF(jan!$F6:$AJ6,"PL")</f>
        <v>0</v>
      </c>
      <c r="AN6" s="18">
        <f>COUNTIF(jan!$F6:$AJ6,"LWP")</f>
        <v>0</v>
      </c>
      <c r="AO6" s="18">
        <f>COUNTIF(jan!$F6:$AJ6,"HD")</f>
        <v>0</v>
      </c>
      <c r="AP6" s="18">
        <f>COUNTIF(jan!$F6:$AJ6,"SL")</f>
        <v>0</v>
      </c>
      <c r="AQ6" s="18">
        <f>COUNTIF(jan!$F6:$AJ6,"CL")</f>
        <v>0</v>
      </c>
      <c r="AR6" s="18">
        <f>COUNTIF(jan!$F6:$AJ6,"A")</f>
        <v>1</v>
      </c>
      <c r="AS6" s="18">
        <f>COUNTIF(jan!$F6:$AJ6,"P")</f>
        <v>25</v>
      </c>
      <c r="AT6" s="18">
        <f t="shared" ref="AT6:AT54" si="2">COUNTA($F6:$AJ6)</f>
        <v>31</v>
      </c>
      <c r="AU6" s="18">
        <f t="shared" ref="AU6:AU54" si="3">AK6+AL6+AM6+AP6+AQ6+AS6+(AO6/2)</f>
        <v>30</v>
      </c>
    </row>
    <row r="7" spans="1:47" ht="18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6" t="str">
        <f>IFERROR(LOOKUP(2,1/((lentry!$A$3:$A$3999=jan!$A7)*(lentry!$B$3:$B$3999&lt;=jan!F$3)*(lentry!$C$3:$C$3999&gt;=jan!F$3)),lentry!$D$3:$D$3999),IF(WEEKDAY(jan!F$3,1)=1,"WO","P"))</f>
        <v>P</v>
      </c>
      <c r="G7" s="6" t="str">
        <f>IFERROR(LOOKUP(2,1/((lentry!$A$3:$A$3999=jan!$A7)*(lentry!$B$3:$B$3999&lt;=jan!G$3)*(lentry!$C$3:$C$3999&gt;=jan!G$3)),lentry!$D$3:$D$3999),IF(WEEKDAY(jan!G$3,1)=1,"WO","P"))</f>
        <v>P</v>
      </c>
      <c r="H7" s="6" t="s">
        <v>539</v>
      </c>
      <c r="I7" s="6" t="str">
        <f>IFERROR(LOOKUP(2,1/((lentry!$A$3:$A$3999=jan!$A7)*(lentry!$B$3:$B$3999&lt;=jan!I$3)*(lentry!$C$3:$C$3999&gt;=jan!I$3)),lentry!$D$3:$D$3999),IF(WEEKDAY(jan!I$3,1)=1,"WO","P"))</f>
        <v>WO</v>
      </c>
      <c r="J7" s="6" t="str">
        <f>IFERROR(LOOKUP(2,1/((lentry!$A$3:$A$3999=jan!$A7)*(lentry!$B$3:$B$3999&lt;=jan!J$3)*(lentry!$C$3:$C$3999&gt;=jan!J$3)),lentry!$D$3:$D$3999),IF(WEEKDAY(jan!J$3,1)=1,"WO","P"))</f>
        <v>P</v>
      </c>
      <c r="K7" s="6" t="str">
        <f>IFERROR(LOOKUP(2,1/((lentry!$A$3:$A$3999=jan!$A7)*(lentry!$B$3:$B$3999&lt;=jan!K$3)*(lentry!$C$3:$C$3999&gt;=jan!K$3)),lentry!$D$3:$D$3999),IF(WEEKDAY(jan!K$3,1)=1,"WO","P"))</f>
        <v>P</v>
      </c>
      <c r="L7" s="6" t="str">
        <f>IFERROR(LOOKUP(2,1/((lentry!$A$3:$A$3999=jan!$A7)*(lentry!$B$3:$B$3999&lt;=jan!L$3)*(lentry!$C$3:$C$3999&gt;=jan!L$3)),lentry!$D$3:$D$3999),IF(WEEKDAY(jan!L$3,1)=1,"WO","P"))</f>
        <v>P</v>
      </c>
      <c r="M7" s="6" t="str">
        <f>IFERROR(LOOKUP(2,1/((lentry!$A$3:$A$3999=jan!$A7)*(lentry!$B$3:$B$3999&lt;=jan!M$3)*(lentry!$C$3:$C$3999&gt;=jan!M$3)),lentry!$D$3:$D$3999),IF(WEEKDAY(jan!M$3,1)=1,"WO","P"))</f>
        <v>P</v>
      </c>
      <c r="N7" s="6" t="str">
        <f>IFERROR(LOOKUP(2,1/((lentry!$A$3:$A$3999=jan!$A7)*(lentry!$B$3:$B$3999&lt;=jan!N$3)*(lentry!$C$3:$C$3999&gt;=jan!N$3)),lentry!$D$3:$D$3999),IF(WEEKDAY(jan!N$3,1)=1,"WO","P"))</f>
        <v>P</v>
      </c>
      <c r="O7" s="6" t="str">
        <f>IFERROR(LOOKUP(2,1/((lentry!$A$3:$A$3999=jan!$A7)*(lentry!$B$3:$B$3999&lt;=jan!O$3)*(lentry!$C$3:$C$3999&gt;=jan!O$3)),lentry!$D$3:$D$3999),IF(WEEKDAY(jan!O$3,1)=1,"WO","P"))</f>
        <v>P</v>
      </c>
      <c r="P7" s="6" t="s">
        <v>342</v>
      </c>
      <c r="Q7" s="6" t="str">
        <f>IFERROR(LOOKUP(2,1/((lentry!$A$3:$A$3999=jan!$A7)*(lentry!$B$3:$B$3999&lt;=jan!Q$3)*(lentry!$C$3:$C$3999&gt;=jan!Q$3)),lentry!$D$3:$D$3999),IF(WEEKDAY(jan!Q$3,1)=1,"WO","P"))</f>
        <v>P</v>
      </c>
      <c r="R7" s="6" t="str">
        <f>IFERROR(LOOKUP(2,1/((lentry!$A$3:$A$3999=jan!$A7)*(lentry!$B$3:$B$3999&lt;=jan!R$3)*(lentry!$C$3:$C$3999&gt;=jan!R$3)),lentry!$D$3:$D$3999),IF(WEEKDAY(jan!R$3,1)=1,"WO","P"))</f>
        <v>P</v>
      </c>
      <c r="S7" s="6" t="str">
        <f>IFERROR(LOOKUP(2,1/((lentry!$A$3:$A$3999=jan!$A7)*(lentry!$B$3:$B$3999&lt;=jan!S$3)*(lentry!$C$3:$C$3999&gt;=jan!S$3)),lentry!$D$3:$D$3999),IF(WEEKDAY(jan!S$3,1)=1,"WO","P"))</f>
        <v>P</v>
      </c>
      <c r="T7" s="6" t="str">
        <f>IFERROR(LOOKUP(2,1/((lentry!$A$3:$A$3999=jan!$A7)*(lentry!$B$3:$B$3999&lt;=jan!T$3)*(lentry!$C$3:$C$3999&gt;=jan!T$3)),lentry!$D$3:$D$3999),IF(WEEKDAY(jan!T$3,1)=1,"WO","P"))</f>
        <v>P</v>
      </c>
      <c r="U7" s="6" t="str">
        <f>IFERROR(LOOKUP(2,1/((lentry!$A$3:$A$3999=jan!$A7)*(lentry!$B$3:$B$3999&lt;=jan!U$3)*(lentry!$C$3:$C$3999&gt;=jan!U$3)),lentry!$D$3:$D$3999),IF(WEEKDAY(jan!U$3,1)=1,"WO","P"))</f>
        <v>P</v>
      </c>
      <c r="V7" s="6" t="str">
        <f>IFERROR(LOOKUP(2,1/((lentry!$A$3:$A$3999=jan!$A7)*(lentry!$B$3:$B$3999&lt;=jan!V$3)*(lentry!$C$3:$C$3999&gt;=jan!V$3)),lentry!$D$3:$D$3999),IF(WEEKDAY(jan!V$3,1)=1,"WO","P"))</f>
        <v>P</v>
      </c>
      <c r="W7" s="6" t="str">
        <f>IFERROR(LOOKUP(2,1/((lentry!$A$3:$A$3999=jan!$A7)*(lentry!$B$3:$B$3999&lt;=jan!W$3)*(lentry!$C$3:$C$3999&gt;=jan!W$3)),lentry!$D$3:$D$3999),IF(WEEKDAY(jan!W$3,1)=1,"WO","P"))</f>
        <v>WO</v>
      </c>
      <c r="X7" s="6" t="str">
        <f>IFERROR(LOOKUP(2,1/((lentry!$A$3:$A$3999=jan!$A7)*(lentry!$B$3:$B$3999&lt;=jan!X$3)*(lentry!$C$3:$C$3999&gt;=jan!X$3)),lentry!$D$3:$D$3999),IF(WEEKDAY(jan!X$3,1)=1,"WO","P"))</f>
        <v>P</v>
      </c>
      <c r="Y7" s="6" t="str">
        <f>IFERROR(LOOKUP(2,1/((lentry!$A$3:$A$3999=jan!$A7)*(lentry!$B$3:$B$3999&lt;=jan!Y$3)*(lentry!$C$3:$C$3999&gt;=jan!Y$3)),lentry!$D$3:$D$3999),IF(WEEKDAY(jan!Y$3,1)=1,"WO","P"))</f>
        <v>P</v>
      </c>
      <c r="Z7" s="6" t="str">
        <f>IFERROR(LOOKUP(2,1/((lentry!$A$3:$A$3999=jan!$A7)*(lentry!$B$3:$B$3999&lt;=jan!Z$3)*(lentry!$C$3:$C$3999&gt;=jan!Z$3)),lentry!$D$3:$D$3999),IF(WEEKDAY(jan!Z$3,1)=1,"WO","P"))</f>
        <v>P</v>
      </c>
      <c r="AA7" s="6" t="str">
        <f>IFERROR(LOOKUP(2,1/((lentry!$A$3:$A$3999=jan!$A7)*(lentry!$B$3:$B$3999&lt;=jan!AA$3)*(lentry!$C$3:$C$3999&gt;=jan!AA$3)),lentry!$D$3:$D$3999),IF(WEEKDAY(jan!AA$3,1)=1,"WO","P"))</f>
        <v>P</v>
      </c>
      <c r="AB7" s="6" t="str">
        <f>IFERROR(LOOKUP(2,1/((lentry!$A$3:$A$3999=jan!$A7)*(lentry!$B$3:$B$3999&lt;=jan!AB$3)*(lentry!$C$3:$C$3999&gt;=jan!AB$3)),lentry!$D$3:$D$3999),IF(WEEKDAY(jan!AB$3,1)=1,"WO","P"))</f>
        <v>P</v>
      </c>
      <c r="AC7" s="6" t="str">
        <f>IFERROR(LOOKUP(2,1/((lentry!$A$3:$A$3999=jan!$A7)*(lentry!$B$3:$B$3999&lt;=jan!AC$3)*(lentry!$C$3:$C$3999&gt;=jan!AC$3)),lentry!$D$3:$D$3999),IF(WEEKDAY(jan!AC$3,1)=1,"WO","P"))</f>
        <v>P</v>
      </c>
      <c r="AD7" s="6" t="str">
        <f>IFERROR(LOOKUP(2,1/((lentry!$A$3:$A$3999=jan!$A7)*(lentry!$B$3:$B$3999&lt;=jan!AD$3)*(lentry!$C$3:$C$3999&gt;=jan!AD$3)),lentry!$D$3:$D$3999),IF(WEEKDAY(jan!AD$3,1)=1,"WO","P"))</f>
        <v>WO</v>
      </c>
      <c r="AE7" s="6" t="s">
        <v>350</v>
      </c>
      <c r="AF7" s="6" t="str">
        <f>IFERROR(LOOKUP(2,1/((lentry!$A$3:$A$3999=jan!$A7)*(lentry!$B$3:$B$3999&lt;=jan!AF$3)*(lentry!$C$3:$C$3999&gt;=jan!AF$3)),lentry!$D$3:$D$3999),IF(WEEKDAY(jan!AF$3,1)=1,"WO","P"))</f>
        <v>P</v>
      </c>
      <c r="AG7" s="6" t="str">
        <f>IFERROR(LOOKUP(2,1/((lentry!$A$3:$A$3999=jan!$A7)*(lentry!$B$3:$B$3999&lt;=jan!AG$3)*(lentry!$C$3:$C$3999&gt;=jan!AG$3)),lentry!$D$3:$D$3999),IF(WEEKDAY(jan!AG$3,1)=1,"WO","P"))</f>
        <v>P</v>
      </c>
      <c r="AH7" s="6" t="str">
        <f>IFERROR(LOOKUP(2,1/((lentry!$A$3:$A$3999=jan!$A7)*(lentry!$B$3:$B$3999&lt;=jan!AH$3)*(lentry!$C$3:$C$3999&gt;=jan!AH$3)),lentry!$D$3:$D$3999),IF(WEEKDAY(jan!AH$3,1)=1,"WO","P"))</f>
        <v>P</v>
      </c>
      <c r="AI7" s="6" t="str">
        <f>IFERROR(LOOKUP(2,1/((lentry!$A$3:$A$3999=jan!$A7)*(lentry!$B$3:$B$3999&lt;=jan!AI$3)*(lentry!$C$3:$C$3999&gt;=jan!AI$3)),lentry!$D$3:$D$3999),IF(WEEKDAY(jan!AI$3,1)=1,"WO","P"))</f>
        <v>P</v>
      </c>
      <c r="AJ7" s="6" t="str">
        <f>IFERROR(LOOKUP(2,1/((lentry!$A$3:$A$3999=jan!$A7)*(lentry!$B$3:$B$3999&lt;=jan!AJ$3)*(lentry!$C$3:$C$3999&gt;=jan!AJ$3)),lentry!$D$3:$D$3999),IF(WEEKDAY(jan!AJ$3,1)=1,"WO","P"))</f>
        <v>P</v>
      </c>
      <c r="AK7" s="18">
        <f>COUNTIF(jan!$F7:$AJ7,"WO")</f>
        <v>4</v>
      </c>
      <c r="AL7" s="18">
        <f>COUNTIF(jan!$F7:$AJ7,"H")</f>
        <v>1</v>
      </c>
      <c r="AM7" s="18">
        <f>COUNTIF(jan!$F7:$AJ7,"PL")</f>
        <v>0</v>
      </c>
      <c r="AN7" s="18">
        <f>COUNTIF(jan!$F7:$AJ7,"LWP")</f>
        <v>0</v>
      </c>
      <c r="AO7" s="18">
        <f>COUNTIF(jan!$F7:$AJ7,"HD")</f>
        <v>0</v>
      </c>
      <c r="AP7" s="18">
        <f>COUNTIF(jan!$F7:$AJ7,"SL")</f>
        <v>0</v>
      </c>
      <c r="AQ7" s="18">
        <f>COUNTIF(jan!$F7:$AJ7,"CL")</f>
        <v>0</v>
      </c>
      <c r="AR7" s="18">
        <f>COUNTIF(jan!$F7:$AJ7,"A")</f>
        <v>1</v>
      </c>
      <c r="AS7" s="18">
        <f>COUNTIF(jan!$F7:$AJ7,"P")</f>
        <v>25</v>
      </c>
      <c r="AT7" s="18">
        <f t="shared" si="2"/>
        <v>31</v>
      </c>
      <c r="AU7" s="18">
        <f t="shared" si="3"/>
        <v>30</v>
      </c>
    </row>
    <row r="8" spans="1:47" ht="18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6" t="str">
        <f>IFERROR(LOOKUP(2,1/((lentry!$A$3:$A$3999=jan!$A8)*(lentry!$B$3:$B$3999&lt;=jan!F$3)*(lentry!$C$3:$C$3999&gt;=jan!F$3)),lentry!$D$3:$D$3999),IF(WEEKDAY(jan!F$3,1)=1,"WO","P"))</f>
        <v>P</v>
      </c>
      <c r="G8" s="6" t="str">
        <f>IFERROR(LOOKUP(2,1/((lentry!$A$3:$A$3999=jan!$A8)*(lentry!$B$3:$B$3999&lt;=jan!G$3)*(lentry!$C$3:$C$3999&gt;=jan!G$3)),lentry!$D$3:$D$3999),IF(WEEKDAY(jan!G$3,1)=1,"WO","P"))</f>
        <v>P</v>
      </c>
      <c r="H8" s="6" t="str">
        <f>IFERROR(LOOKUP(2,1/((lentry!$A$3:$A$3999=jan!$A8)*(lentry!$B$3:$B$3999&lt;=jan!H$3)*(lentry!$C$3:$C$3999&gt;=jan!H$3)),lentry!$D$3:$D$3999),IF(WEEKDAY(jan!H$3,1)=1,"WO","P"))</f>
        <v>P</v>
      </c>
      <c r="I8" s="6" t="str">
        <f>IFERROR(LOOKUP(2,1/((lentry!$A$3:$A$3999=jan!$A8)*(lentry!$B$3:$B$3999&lt;=jan!I$3)*(lentry!$C$3:$C$3999&gt;=jan!I$3)),lentry!$D$3:$D$3999),IF(WEEKDAY(jan!I$3,1)=1,"WO","P"))</f>
        <v>WO</v>
      </c>
      <c r="J8" s="6" t="str">
        <f>IFERROR(LOOKUP(2,1/((lentry!$A$3:$A$3999=jan!$A8)*(lentry!$B$3:$B$3999&lt;=jan!J$3)*(lentry!$C$3:$C$3999&gt;=jan!J$3)),lentry!$D$3:$D$3999),IF(WEEKDAY(jan!J$3,1)=1,"WO","P"))</f>
        <v>P</v>
      </c>
      <c r="K8" s="6" t="str">
        <f>IFERROR(LOOKUP(2,1/((lentry!$A$3:$A$3999=jan!$A8)*(lentry!$B$3:$B$3999&lt;=jan!K$3)*(lentry!$C$3:$C$3999&gt;=jan!K$3)),lentry!$D$3:$D$3999),IF(WEEKDAY(jan!K$3,1)=1,"WO","P"))</f>
        <v>P</v>
      </c>
      <c r="L8" s="6" t="str">
        <f>IFERROR(LOOKUP(2,1/((lentry!$A$3:$A$3999=jan!$A8)*(lentry!$B$3:$B$3999&lt;=jan!L$3)*(lentry!$C$3:$C$3999&gt;=jan!L$3)),lentry!$D$3:$D$3999),IF(WEEKDAY(jan!L$3,1)=1,"WO","P"))</f>
        <v>P</v>
      </c>
      <c r="M8" s="6" t="str">
        <f>IFERROR(LOOKUP(2,1/((lentry!$A$3:$A$3999=jan!$A8)*(lentry!$B$3:$B$3999&lt;=jan!M$3)*(lentry!$C$3:$C$3999&gt;=jan!M$3)),lentry!$D$3:$D$3999),IF(WEEKDAY(jan!M$3,1)=1,"WO","P"))</f>
        <v>P</v>
      </c>
      <c r="N8" s="6" t="str">
        <f>IFERROR(LOOKUP(2,1/((lentry!$A$3:$A$3999=jan!$A8)*(lentry!$B$3:$B$3999&lt;=jan!N$3)*(lentry!$C$3:$C$3999&gt;=jan!N$3)),lentry!$D$3:$D$3999),IF(WEEKDAY(jan!N$3,1)=1,"WO","P"))</f>
        <v>P</v>
      </c>
      <c r="O8" s="6" t="str">
        <f>IFERROR(LOOKUP(2,1/((lentry!$A$3:$A$3999=jan!$A8)*(lentry!$B$3:$B$3999&lt;=jan!O$3)*(lentry!$C$3:$C$3999&gt;=jan!O$3)),lentry!$D$3:$D$3999),IF(WEEKDAY(jan!O$3,1)=1,"WO","P"))</f>
        <v>P</v>
      </c>
      <c r="P8" s="6" t="s">
        <v>342</v>
      </c>
      <c r="Q8" s="6" t="str">
        <f>IFERROR(LOOKUP(2,1/((lentry!$A$3:$A$3999=jan!$A8)*(lentry!$B$3:$B$3999&lt;=jan!Q$3)*(lentry!$C$3:$C$3999&gt;=jan!Q$3)),lentry!$D$3:$D$3999),IF(WEEKDAY(jan!Q$3,1)=1,"WO","P"))</f>
        <v>P</v>
      </c>
      <c r="R8" s="6" t="str">
        <f>IFERROR(LOOKUP(2,1/((lentry!$A$3:$A$3999=jan!$A8)*(lentry!$B$3:$B$3999&lt;=jan!R$3)*(lentry!$C$3:$C$3999&gt;=jan!R$3)),lentry!$D$3:$D$3999),IF(WEEKDAY(jan!R$3,1)=1,"WO","P"))</f>
        <v>P</v>
      </c>
      <c r="S8" s="6" t="str">
        <f>IFERROR(LOOKUP(2,1/((lentry!$A$3:$A$3999=jan!$A8)*(lentry!$B$3:$B$3999&lt;=jan!S$3)*(lentry!$C$3:$C$3999&gt;=jan!S$3)),lentry!$D$3:$D$3999),IF(WEEKDAY(jan!S$3,1)=1,"WO","P"))</f>
        <v>P</v>
      </c>
      <c r="T8" s="6" t="str">
        <f>IFERROR(LOOKUP(2,1/((lentry!$A$3:$A$3999=jan!$A8)*(lentry!$B$3:$B$3999&lt;=jan!T$3)*(lentry!$C$3:$C$3999&gt;=jan!T$3)),lentry!$D$3:$D$3999),IF(WEEKDAY(jan!T$3,1)=1,"WO","P"))</f>
        <v>P</v>
      </c>
      <c r="U8" s="6" t="str">
        <f>IFERROR(LOOKUP(2,1/((lentry!$A$3:$A$3999=jan!$A8)*(lentry!$B$3:$B$3999&lt;=jan!U$3)*(lentry!$C$3:$C$3999&gt;=jan!U$3)),lentry!$D$3:$D$3999),IF(WEEKDAY(jan!U$3,1)=1,"WO","P"))</f>
        <v>P</v>
      </c>
      <c r="V8" s="6" t="str">
        <f>IFERROR(LOOKUP(2,1/((lentry!$A$3:$A$3999=jan!$A8)*(lentry!$B$3:$B$3999&lt;=jan!V$3)*(lentry!$C$3:$C$3999&gt;=jan!V$3)),lentry!$D$3:$D$3999),IF(WEEKDAY(jan!V$3,1)=1,"WO","P"))</f>
        <v>P</v>
      </c>
      <c r="W8" s="6" t="str">
        <f>IFERROR(LOOKUP(2,1/((lentry!$A$3:$A$3999=jan!$A8)*(lentry!$B$3:$B$3999&lt;=jan!W$3)*(lentry!$C$3:$C$3999&gt;=jan!W$3)),lentry!$D$3:$D$3999),IF(WEEKDAY(jan!W$3,1)=1,"WO","P"))</f>
        <v>WO</v>
      </c>
      <c r="X8" s="6" t="str">
        <f>IFERROR(LOOKUP(2,1/((lentry!$A$3:$A$3999=jan!$A8)*(lentry!$B$3:$B$3999&lt;=jan!X$3)*(lentry!$C$3:$C$3999&gt;=jan!X$3)),lentry!$D$3:$D$3999),IF(WEEKDAY(jan!X$3,1)=1,"WO","P"))</f>
        <v>P</v>
      </c>
      <c r="Y8" s="6" t="s">
        <v>539</v>
      </c>
      <c r="Z8" s="6" t="str">
        <f>IFERROR(LOOKUP(2,1/((lentry!$A$3:$A$3999=jan!$A8)*(lentry!$B$3:$B$3999&lt;=jan!Z$3)*(lentry!$C$3:$C$3999&gt;=jan!Z$3)),lentry!$D$3:$D$3999),IF(WEEKDAY(jan!Z$3,1)=1,"WO","P"))</f>
        <v>P</v>
      </c>
      <c r="AA8" s="6" t="str">
        <f>IFERROR(LOOKUP(2,1/((lentry!$A$3:$A$3999=jan!$A8)*(lentry!$B$3:$B$3999&lt;=jan!AA$3)*(lentry!$C$3:$C$3999&gt;=jan!AA$3)),lentry!$D$3:$D$3999),IF(WEEKDAY(jan!AA$3,1)=1,"WO","P"))</f>
        <v>P</v>
      </c>
      <c r="AB8" s="6" t="str">
        <f>IFERROR(LOOKUP(2,1/((lentry!$A$3:$A$3999=jan!$A8)*(lentry!$B$3:$B$3999&lt;=jan!AB$3)*(lentry!$C$3:$C$3999&gt;=jan!AB$3)),lentry!$D$3:$D$3999),IF(WEEKDAY(jan!AB$3,1)=1,"WO","P"))</f>
        <v>P</v>
      </c>
      <c r="AC8" s="6" t="str">
        <f>IFERROR(LOOKUP(2,1/((lentry!$A$3:$A$3999=jan!$A8)*(lentry!$B$3:$B$3999&lt;=jan!AC$3)*(lentry!$C$3:$C$3999&gt;=jan!AC$3)),lentry!$D$3:$D$3999),IF(WEEKDAY(jan!AC$3,1)=1,"WO","P"))</f>
        <v>P</v>
      </c>
      <c r="AD8" s="6" t="str">
        <f>IFERROR(LOOKUP(2,1/((lentry!$A$3:$A$3999=jan!$A8)*(lentry!$B$3:$B$3999&lt;=jan!AD$3)*(lentry!$C$3:$C$3999&gt;=jan!AD$3)),lentry!$D$3:$D$3999),IF(WEEKDAY(jan!AD$3,1)=1,"WO","P"))</f>
        <v>WO</v>
      </c>
      <c r="AE8" s="6" t="s">
        <v>350</v>
      </c>
      <c r="AF8" s="6" t="str">
        <f>IFERROR(LOOKUP(2,1/((lentry!$A$3:$A$3999=jan!$A8)*(lentry!$B$3:$B$3999&lt;=jan!AF$3)*(lentry!$C$3:$C$3999&gt;=jan!AF$3)),lentry!$D$3:$D$3999),IF(WEEKDAY(jan!AF$3,1)=1,"WO","P"))</f>
        <v>P</v>
      </c>
      <c r="AG8" s="6" t="str">
        <f>IFERROR(LOOKUP(2,1/((lentry!$A$3:$A$3999=jan!$A8)*(lentry!$B$3:$B$3999&lt;=jan!AG$3)*(lentry!$C$3:$C$3999&gt;=jan!AG$3)),lentry!$D$3:$D$3999),IF(WEEKDAY(jan!AG$3,1)=1,"WO","P"))</f>
        <v>P</v>
      </c>
      <c r="AH8" s="6" t="str">
        <f>IFERROR(LOOKUP(2,1/((lentry!$A$3:$A$3999=jan!$A8)*(lentry!$B$3:$B$3999&lt;=jan!AH$3)*(lentry!$C$3:$C$3999&gt;=jan!AH$3)),lentry!$D$3:$D$3999),IF(WEEKDAY(jan!AH$3,1)=1,"WO","P"))</f>
        <v>P</v>
      </c>
      <c r="AI8" s="6" t="str">
        <f>IFERROR(LOOKUP(2,1/((lentry!$A$3:$A$3999=jan!$A8)*(lentry!$B$3:$B$3999&lt;=jan!AI$3)*(lentry!$C$3:$C$3999&gt;=jan!AI$3)),lentry!$D$3:$D$3999),IF(WEEKDAY(jan!AI$3,1)=1,"WO","P"))</f>
        <v>P</v>
      </c>
      <c r="AJ8" s="6" t="str">
        <f>IFERROR(LOOKUP(2,1/((lentry!$A$3:$A$3999=jan!$A8)*(lentry!$B$3:$B$3999&lt;=jan!AJ$3)*(lentry!$C$3:$C$3999&gt;=jan!AJ$3)),lentry!$D$3:$D$3999),IF(WEEKDAY(jan!AJ$3,1)=1,"WO","P"))</f>
        <v>P</v>
      </c>
      <c r="AK8" s="18">
        <f>COUNTIF(jan!$F8:$AJ8,"WO")</f>
        <v>4</v>
      </c>
      <c r="AL8" s="18">
        <f>COUNTIF(jan!$F8:$AJ8,"H")</f>
        <v>1</v>
      </c>
      <c r="AM8" s="18">
        <f>COUNTIF(jan!$F8:$AJ8,"PL")</f>
        <v>0</v>
      </c>
      <c r="AN8" s="18">
        <f>COUNTIF(jan!$F8:$AJ8,"LWP")</f>
        <v>0</v>
      </c>
      <c r="AO8" s="18">
        <f>COUNTIF(jan!$F8:$AJ8,"HD")</f>
        <v>0</v>
      </c>
      <c r="AP8" s="18">
        <f>COUNTIF(jan!$F8:$AJ8,"SL")</f>
        <v>0</v>
      </c>
      <c r="AQ8" s="18">
        <f>COUNTIF(jan!$F8:$AJ8,"CL")</f>
        <v>0</v>
      </c>
      <c r="AR8" s="18">
        <f>COUNTIF(jan!$F8:$AJ8,"A")</f>
        <v>1</v>
      </c>
      <c r="AS8" s="18">
        <f>COUNTIF(jan!$F8:$AJ8,"P")</f>
        <v>25</v>
      </c>
      <c r="AT8" s="18">
        <f t="shared" si="2"/>
        <v>31</v>
      </c>
      <c r="AU8" s="18">
        <f t="shared" si="3"/>
        <v>30</v>
      </c>
    </row>
    <row r="9" spans="1:47" ht="18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6" t="str">
        <f>IFERROR(LOOKUP(2,1/((lentry!$A$3:$A$3999=jan!$A9)*(lentry!$B$3:$B$3999&lt;=jan!F$3)*(lentry!$C$3:$C$3999&gt;=jan!F$3)),lentry!$D$3:$D$3999),IF(WEEKDAY(jan!F$3,1)=1,"WO","P"))</f>
        <v>P</v>
      </c>
      <c r="G9" s="6" t="str">
        <f>IFERROR(LOOKUP(2,1/((lentry!$A$3:$A$3999=jan!$A9)*(lentry!$B$3:$B$3999&lt;=jan!G$3)*(lentry!$C$3:$C$3999&gt;=jan!G$3)),lentry!$D$3:$D$3999),IF(WEEKDAY(jan!G$3,1)=1,"WO","P"))</f>
        <v>P</v>
      </c>
      <c r="H9" s="6" t="str">
        <f>IFERROR(LOOKUP(2,1/((lentry!$A$3:$A$3999=jan!$A9)*(lentry!$B$3:$B$3999&lt;=jan!H$3)*(lentry!$C$3:$C$3999&gt;=jan!H$3)),lentry!$D$3:$D$3999),IF(WEEKDAY(jan!H$3,1)=1,"WO","P"))</f>
        <v>P</v>
      </c>
      <c r="I9" s="6" t="str">
        <f>IFERROR(LOOKUP(2,1/((lentry!$A$3:$A$3999=jan!$A9)*(lentry!$B$3:$B$3999&lt;=jan!I$3)*(lentry!$C$3:$C$3999&gt;=jan!I$3)),lentry!$D$3:$D$3999),IF(WEEKDAY(jan!I$3,1)=1,"WO","P"))</f>
        <v>WO</v>
      </c>
      <c r="J9" s="6" t="str">
        <f>IFERROR(LOOKUP(2,1/((lentry!$A$3:$A$3999=jan!$A9)*(lentry!$B$3:$B$3999&lt;=jan!J$3)*(lentry!$C$3:$C$3999&gt;=jan!J$3)),lentry!$D$3:$D$3999),IF(WEEKDAY(jan!J$3,1)=1,"WO","P"))</f>
        <v>P</v>
      </c>
      <c r="K9" s="6" t="s">
        <v>539</v>
      </c>
      <c r="L9" s="6" t="str">
        <f>IFERROR(LOOKUP(2,1/((lentry!$A$3:$A$3999=jan!$A9)*(lentry!$B$3:$B$3999&lt;=jan!L$3)*(lentry!$C$3:$C$3999&gt;=jan!L$3)),lentry!$D$3:$D$3999),IF(WEEKDAY(jan!L$3,1)=1,"WO","P"))</f>
        <v>P</v>
      </c>
      <c r="M9" s="6" t="str">
        <f>IFERROR(LOOKUP(2,1/((lentry!$A$3:$A$3999=jan!$A9)*(lentry!$B$3:$B$3999&lt;=jan!M$3)*(lentry!$C$3:$C$3999&gt;=jan!M$3)),lentry!$D$3:$D$3999),IF(WEEKDAY(jan!M$3,1)=1,"WO","P"))</f>
        <v>P</v>
      </c>
      <c r="N9" s="6" t="str">
        <f>IFERROR(LOOKUP(2,1/((lentry!$A$3:$A$3999=jan!$A9)*(lentry!$B$3:$B$3999&lt;=jan!N$3)*(lentry!$C$3:$C$3999&gt;=jan!N$3)),lentry!$D$3:$D$3999),IF(WEEKDAY(jan!N$3,1)=1,"WO","P"))</f>
        <v>P</v>
      </c>
      <c r="O9" s="6" t="str">
        <f>IFERROR(LOOKUP(2,1/((lentry!$A$3:$A$3999=jan!$A9)*(lentry!$B$3:$B$3999&lt;=jan!O$3)*(lentry!$C$3:$C$3999&gt;=jan!O$3)),lentry!$D$3:$D$3999),IF(WEEKDAY(jan!O$3,1)=1,"WO","P"))</f>
        <v>P</v>
      </c>
      <c r="P9" s="6" t="s">
        <v>342</v>
      </c>
      <c r="Q9" s="6" t="str">
        <f>IFERROR(LOOKUP(2,1/((lentry!$A$3:$A$3999=jan!$A9)*(lentry!$B$3:$B$3999&lt;=jan!Q$3)*(lentry!$C$3:$C$3999&gt;=jan!Q$3)),lentry!$D$3:$D$3999),IF(WEEKDAY(jan!Q$3,1)=1,"WO","P"))</f>
        <v>P</v>
      </c>
      <c r="R9" s="6" t="str">
        <f>IFERROR(LOOKUP(2,1/((lentry!$A$3:$A$3999=jan!$A9)*(lentry!$B$3:$B$3999&lt;=jan!R$3)*(lentry!$C$3:$C$3999&gt;=jan!R$3)),lentry!$D$3:$D$3999),IF(WEEKDAY(jan!R$3,1)=1,"WO","P"))</f>
        <v>P</v>
      </c>
      <c r="S9" s="6" t="str">
        <f>IFERROR(LOOKUP(2,1/((lentry!$A$3:$A$3999=jan!$A9)*(lentry!$B$3:$B$3999&lt;=jan!S$3)*(lentry!$C$3:$C$3999&gt;=jan!S$3)),lentry!$D$3:$D$3999),IF(WEEKDAY(jan!S$3,1)=1,"WO","P"))</f>
        <v>P</v>
      </c>
      <c r="T9" s="6" t="str">
        <f>IFERROR(LOOKUP(2,1/((lentry!$A$3:$A$3999=jan!$A9)*(lentry!$B$3:$B$3999&lt;=jan!T$3)*(lentry!$C$3:$C$3999&gt;=jan!T$3)),lentry!$D$3:$D$3999),IF(WEEKDAY(jan!T$3,1)=1,"WO","P"))</f>
        <v>P</v>
      </c>
      <c r="U9" s="6" t="str">
        <f>IFERROR(LOOKUP(2,1/((lentry!$A$3:$A$3999=jan!$A9)*(lentry!$B$3:$B$3999&lt;=jan!U$3)*(lentry!$C$3:$C$3999&gt;=jan!U$3)),lentry!$D$3:$D$3999),IF(WEEKDAY(jan!U$3,1)=1,"WO","P"))</f>
        <v>P</v>
      </c>
      <c r="V9" s="6" t="str">
        <f>IFERROR(LOOKUP(2,1/((lentry!$A$3:$A$3999=jan!$A9)*(lentry!$B$3:$B$3999&lt;=jan!V$3)*(lentry!$C$3:$C$3999&gt;=jan!V$3)),lentry!$D$3:$D$3999),IF(WEEKDAY(jan!V$3,1)=1,"WO","P"))</f>
        <v>P</v>
      </c>
      <c r="W9" s="6" t="str">
        <f>IFERROR(LOOKUP(2,1/((lentry!$A$3:$A$3999=jan!$A9)*(lentry!$B$3:$B$3999&lt;=jan!W$3)*(lentry!$C$3:$C$3999&gt;=jan!W$3)),lentry!$D$3:$D$3999),IF(WEEKDAY(jan!W$3,1)=1,"WO","P"))</f>
        <v>WO</v>
      </c>
      <c r="X9" s="6" t="str">
        <f>IFERROR(LOOKUP(2,1/((lentry!$A$3:$A$3999=jan!$A9)*(lentry!$B$3:$B$3999&lt;=jan!X$3)*(lentry!$C$3:$C$3999&gt;=jan!X$3)),lentry!$D$3:$D$3999),IF(WEEKDAY(jan!X$3,1)=1,"WO","P"))</f>
        <v>P</v>
      </c>
      <c r="Y9" s="6" t="str">
        <f>IFERROR(LOOKUP(2,1/((lentry!$A$3:$A$3999=jan!$A9)*(lentry!$B$3:$B$3999&lt;=jan!Y$3)*(lentry!$C$3:$C$3999&gt;=jan!Y$3)),lentry!$D$3:$D$3999),IF(WEEKDAY(jan!Y$3,1)=1,"WO","P"))</f>
        <v>P</v>
      </c>
      <c r="Z9" s="6" t="str">
        <f>IFERROR(LOOKUP(2,1/((lentry!$A$3:$A$3999=jan!$A9)*(lentry!$B$3:$B$3999&lt;=jan!Z$3)*(lentry!$C$3:$C$3999&gt;=jan!Z$3)),lentry!$D$3:$D$3999),IF(WEEKDAY(jan!Z$3,1)=1,"WO","P"))</f>
        <v>P</v>
      </c>
      <c r="AA9" s="6" t="str">
        <f>IFERROR(LOOKUP(2,1/((lentry!$A$3:$A$3999=jan!$A9)*(lentry!$B$3:$B$3999&lt;=jan!AA$3)*(lentry!$C$3:$C$3999&gt;=jan!AA$3)),lentry!$D$3:$D$3999),IF(WEEKDAY(jan!AA$3,1)=1,"WO","P"))</f>
        <v>P</v>
      </c>
      <c r="AB9" s="6" t="str">
        <f>IFERROR(LOOKUP(2,1/((lentry!$A$3:$A$3999=jan!$A9)*(lentry!$B$3:$B$3999&lt;=jan!AB$3)*(lentry!$C$3:$C$3999&gt;=jan!AB$3)),lentry!$D$3:$D$3999),IF(WEEKDAY(jan!AB$3,1)=1,"WO","P"))</f>
        <v>P</v>
      </c>
      <c r="AC9" s="6" t="str">
        <f>IFERROR(LOOKUP(2,1/((lentry!$A$3:$A$3999=jan!$A9)*(lentry!$B$3:$B$3999&lt;=jan!AC$3)*(lentry!$C$3:$C$3999&gt;=jan!AC$3)),lentry!$D$3:$D$3999),IF(WEEKDAY(jan!AC$3,1)=1,"WO","P"))</f>
        <v>P</v>
      </c>
      <c r="AD9" s="6" t="str">
        <f>IFERROR(LOOKUP(2,1/((lentry!$A$3:$A$3999=jan!$A9)*(lentry!$B$3:$B$3999&lt;=jan!AD$3)*(lentry!$C$3:$C$3999&gt;=jan!AD$3)),lentry!$D$3:$D$3999),IF(WEEKDAY(jan!AD$3,1)=1,"WO","P"))</f>
        <v>WO</v>
      </c>
      <c r="AE9" s="6" t="s">
        <v>350</v>
      </c>
      <c r="AF9" s="6" t="str">
        <f>IFERROR(LOOKUP(2,1/((lentry!$A$3:$A$3999=jan!$A9)*(lentry!$B$3:$B$3999&lt;=jan!AF$3)*(lentry!$C$3:$C$3999&gt;=jan!AF$3)),lentry!$D$3:$D$3999),IF(WEEKDAY(jan!AF$3,1)=1,"WO","P"))</f>
        <v>P</v>
      </c>
      <c r="AG9" s="6" t="str">
        <f>IFERROR(LOOKUP(2,1/((lentry!$A$3:$A$3999=jan!$A9)*(lentry!$B$3:$B$3999&lt;=jan!AG$3)*(lentry!$C$3:$C$3999&gt;=jan!AG$3)),lentry!$D$3:$D$3999),IF(WEEKDAY(jan!AG$3,1)=1,"WO","P"))</f>
        <v>P</v>
      </c>
      <c r="AH9" s="6" t="str">
        <f>IFERROR(LOOKUP(2,1/((lentry!$A$3:$A$3999=jan!$A9)*(lentry!$B$3:$B$3999&lt;=jan!AH$3)*(lentry!$C$3:$C$3999&gt;=jan!AH$3)),lentry!$D$3:$D$3999),IF(WEEKDAY(jan!AH$3,1)=1,"WO","P"))</f>
        <v>P</v>
      </c>
      <c r="AI9" s="6" t="str">
        <f>IFERROR(LOOKUP(2,1/((lentry!$A$3:$A$3999=jan!$A9)*(lentry!$B$3:$B$3999&lt;=jan!AI$3)*(lentry!$C$3:$C$3999&gt;=jan!AI$3)),lentry!$D$3:$D$3999),IF(WEEKDAY(jan!AI$3,1)=1,"WO","P"))</f>
        <v>P</v>
      </c>
      <c r="AJ9" s="6" t="str">
        <f>IFERROR(LOOKUP(2,1/((lentry!$A$3:$A$3999=jan!$A9)*(lentry!$B$3:$B$3999&lt;=jan!AJ$3)*(lentry!$C$3:$C$3999&gt;=jan!AJ$3)),lentry!$D$3:$D$3999),IF(WEEKDAY(jan!AJ$3,1)=1,"WO","P"))</f>
        <v>P</v>
      </c>
      <c r="AK9" s="18">
        <f>COUNTIF(jan!$F9:$AJ9,"WO")</f>
        <v>4</v>
      </c>
      <c r="AL9" s="18">
        <f>COUNTIF(jan!$F9:$AJ9,"H")</f>
        <v>1</v>
      </c>
      <c r="AM9" s="18">
        <f>COUNTIF(jan!$F9:$AJ9,"PL")</f>
        <v>0</v>
      </c>
      <c r="AN9" s="18">
        <f>COUNTIF(jan!$F9:$AJ9,"LWP")</f>
        <v>0</v>
      </c>
      <c r="AO9" s="18">
        <f>COUNTIF(jan!$F9:$AJ9,"HD")</f>
        <v>0</v>
      </c>
      <c r="AP9" s="18">
        <f>COUNTIF(jan!$F9:$AJ9,"SL")</f>
        <v>0</v>
      </c>
      <c r="AQ9" s="18">
        <f>COUNTIF(jan!$F9:$AJ9,"CL")</f>
        <v>0</v>
      </c>
      <c r="AR9" s="18">
        <f>COUNTIF(jan!$F9:$AJ9,"A")</f>
        <v>1</v>
      </c>
      <c r="AS9" s="18">
        <f>COUNTIF(jan!$F9:$AJ9,"P")</f>
        <v>25</v>
      </c>
      <c r="AT9" s="18">
        <f t="shared" si="2"/>
        <v>31</v>
      </c>
      <c r="AU9" s="18">
        <f t="shared" si="3"/>
        <v>30</v>
      </c>
    </row>
    <row r="10" spans="1:47" ht="18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6" t="str">
        <f>IFERROR(LOOKUP(2,1/((lentry!$A$3:$A$3999=jan!$A10)*(lentry!$B$3:$B$3999&lt;=jan!F$3)*(lentry!$C$3:$C$3999&gt;=jan!F$3)),lentry!$D$3:$D$3999),IF(WEEKDAY(jan!F$3,1)=1,"WO","P"))</f>
        <v>P</v>
      </c>
      <c r="G10" s="6" t="str">
        <f>IFERROR(LOOKUP(2,1/((lentry!$A$3:$A$3999=jan!$A10)*(lentry!$B$3:$B$3999&lt;=jan!G$3)*(lentry!$C$3:$C$3999&gt;=jan!G$3)),lentry!$D$3:$D$3999),IF(WEEKDAY(jan!G$3,1)=1,"WO","P"))</f>
        <v>P</v>
      </c>
      <c r="H10" s="6" t="str">
        <f>IFERROR(LOOKUP(2,1/((lentry!$A$3:$A$3999=jan!$A10)*(lentry!$B$3:$B$3999&lt;=jan!H$3)*(lentry!$C$3:$C$3999&gt;=jan!H$3)),lentry!$D$3:$D$3999),IF(WEEKDAY(jan!H$3,1)=1,"WO","P"))</f>
        <v>P</v>
      </c>
      <c r="I10" s="6" t="str">
        <f>IFERROR(LOOKUP(2,1/((lentry!$A$3:$A$3999=jan!$A10)*(lentry!$B$3:$B$3999&lt;=jan!I$3)*(lentry!$C$3:$C$3999&gt;=jan!I$3)),lentry!$D$3:$D$3999),IF(WEEKDAY(jan!I$3,1)=1,"WO","P"))</f>
        <v>WO</v>
      </c>
      <c r="J10" s="6" t="str">
        <f>IFERROR(LOOKUP(2,1/((lentry!$A$3:$A$3999=jan!$A10)*(lentry!$B$3:$B$3999&lt;=jan!J$3)*(lentry!$C$3:$C$3999&gt;=jan!J$3)),lentry!$D$3:$D$3999),IF(WEEKDAY(jan!J$3,1)=1,"WO","P"))</f>
        <v>P</v>
      </c>
      <c r="K10" s="6" t="str">
        <f>IFERROR(LOOKUP(2,1/((lentry!$A$3:$A$3999=jan!$A10)*(lentry!$B$3:$B$3999&lt;=jan!K$3)*(lentry!$C$3:$C$3999&gt;=jan!K$3)),lentry!$D$3:$D$3999),IF(WEEKDAY(jan!K$3,1)=1,"WO","P"))</f>
        <v>P</v>
      </c>
      <c r="L10" s="6" t="str">
        <f>IFERROR(LOOKUP(2,1/((lentry!$A$3:$A$3999=jan!$A10)*(lentry!$B$3:$B$3999&lt;=jan!L$3)*(lentry!$C$3:$C$3999&gt;=jan!L$3)),lentry!$D$3:$D$3999),IF(WEEKDAY(jan!L$3,1)=1,"WO","P"))</f>
        <v>P</v>
      </c>
      <c r="M10" s="6" t="str">
        <f>IFERROR(LOOKUP(2,1/((lentry!$A$3:$A$3999=jan!$A10)*(lentry!$B$3:$B$3999&lt;=jan!M$3)*(lentry!$C$3:$C$3999&gt;=jan!M$3)),lentry!$D$3:$D$3999),IF(WEEKDAY(jan!M$3,1)=1,"WO","P"))</f>
        <v>P</v>
      </c>
      <c r="N10" s="6" t="str">
        <f>IFERROR(LOOKUP(2,1/((lentry!$A$3:$A$3999=jan!$A10)*(lentry!$B$3:$B$3999&lt;=jan!N$3)*(lentry!$C$3:$C$3999&gt;=jan!N$3)),lentry!$D$3:$D$3999),IF(WEEKDAY(jan!N$3,1)=1,"WO","P"))</f>
        <v>P</v>
      </c>
      <c r="O10" s="6" t="str">
        <f>IFERROR(LOOKUP(2,1/((lentry!$A$3:$A$3999=jan!$A10)*(lentry!$B$3:$B$3999&lt;=jan!O$3)*(lentry!$C$3:$C$3999&gt;=jan!O$3)),lentry!$D$3:$D$3999),IF(WEEKDAY(jan!O$3,1)=1,"WO","P"))</f>
        <v>P</v>
      </c>
      <c r="P10" s="6" t="s">
        <v>342</v>
      </c>
      <c r="Q10" s="6" t="str">
        <f>IFERROR(LOOKUP(2,1/((lentry!$A$3:$A$3999=jan!$A10)*(lentry!$B$3:$B$3999&lt;=jan!Q$3)*(lentry!$C$3:$C$3999&gt;=jan!Q$3)),lentry!$D$3:$D$3999),IF(WEEKDAY(jan!Q$3,1)=1,"WO","P"))</f>
        <v>P</v>
      </c>
      <c r="R10" s="6" t="str">
        <f>IFERROR(LOOKUP(2,1/((lentry!$A$3:$A$3999=jan!$A10)*(lentry!$B$3:$B$3999&lt;=jan!R$3)*(lentry!$C$3:$C$3999&gt;=jan!R$3)),lentry!$D$3:$D$3999),IF(WEEKDAY(jan!R$3,1)=1,"WO","P"))</f>
        <v>P</v>
      </c>
      <c r="S10" s="6" t="str">
        <f>IFERROR(LOOKUP(2,1/((lentry!$A$3:$A$3999=jan!$A10)*(lentry!$B$3:$B$3999&lt;=jan!S$3)*(lentry!$C$3:$C$3999&gt;=jan!S$3)),lentry!$D$3:$D$3999),IF(WEEKDAY(jan!S$3,1)=1,"WO","P"))</f>
        <v>P</v>
      </c>
      <c r="T10" s="6" t="str">
        <f>IFERROR(LOOKUP(2,1/((lentry!$A$3:$A$3999=jan!$A10)*(lentry!$B$3:$B$3999&lt;=jan!T$3)*(lentry!$C$3:$C$3999&gt;=jan!T$3)),lentry!$D$3:$D$3999),IF(WEEKDAY(jan!T$3,1)=1,"WO","P"))</f>
        <v>P</v>
      </c>
      <c r="U10" s="6" t="str">
        <f>IFERROR(LOOKUP(2,1/((lentry!$A$3:$A$3999=jan!$A10)*(lentry!$B$3:$B$3999&lt;=jan!U$3)*(lentry!$C$3:$C$3999&gt;=jan!U$3)),lentry!$D$3:$D$3999),IF(WEEKDAY(jan!U$3,1)=1,"WO","P"))</f>
        <v>P</v>
      </c>
      <c r="V10" s="6" t="str">
        <f>IFERROR(LOOKUP(2,1/((lentry!$A$3:$A$3999=jan!$A10)*(lentry!$B$3:$B$3999&lt;=jan!V$3)*(lentry!$C$3:$C$3999&gt;=jan!V$3)),lentry!$D$3:$D$3999),IF(WEEKDAY(jan!V$3,1)=1,"WO","P"))</f>
        <v>P</v>
      </c>
      <c r="W10" s="6" t="str">
        <f>IFERROR(LOOKUP(2,1/((lentry!$A$3:$A$3999=jan!$A10)*(lentry!$B$3:$B$3999&lt;=jan!W$3)*(lentry!$C$3:$C$3999&gt;=jan!W$3)),lentry!$D$3:$D$3999),IF(WEEKDAY(jan!W$3,1)=1,"WO","P"))</f>
        <v>WO</v>
      </c>
      <c r="X10" s="6" t="str">
        <f>IFERROR(LOOKUP(2,1/((lentry!$A$3:$A$3999=jan!$A10)*(lentry!$B$3:$B$3999&lt;=jan!X$3)*(lentry!$C$3:$C$3999&gt;=jan!X$3)),lentry!$D$3:$D$3999),IF(WEEKDAY(jan!X$3,1)=1,"WO","P"))</f>
        <v>P</v>
      </c>
      <c r="Y10" s="6" t="str">
        <f>IFERROR(LOOKUP(2,1/((lentry!$A$3:$A$3999=jan!$A10)*(lentry!$B$3:$B$3999&lt;=jan!Y$3)*(lentry!$C$3:$C$3999&gt;=jan!Y$3)),lentry!$D$3:$D$3999),IF(WEEKDAY(jan!Y$3,1)=1,"WO","P"))</f>
        <v>P</v>
      </c>
      <c r="Z10" s="6" t="str">
        <f>IFERROR(LOOKUP(2,1/((lentry!$A$3:$A$3999=jan!$A10)*(lentry!$B$3:$B$3999&lt;=jan!Z$3)*(lentry!$C$3:$C$3999&gt;=jan!Z$3)),lentry!$D$3:$D$3999),IF(WEEKDAY(jan!Z$3,1)=1,"WO","P"))</f>
        <v>P</v>
      </c>
      <c r="AA10" s="6" t="str">
        <f>IFERROR(LOOKUP(2,1/((lentry!$A$3:$A$3999=jan!$A10)*(lentry!$B$3:$B$3999&lt;=jan!AA$3)*(lentry!$C$3:$C$3999&gt;=jan!AA$3)),lentry!$D$3:$D$3999),IF(WEEKDAY(jan!AA$3,1)=1,"WO","P"))</f>
        <v>P</v>
      </c>
      <c r="AB10" s="6" t="str">
        <f>IFERROR(LOOKUP(2,1/((lentry!$A$3:$A$3999=jan!$A10)*(lentry!$B$3:$B$3999&lt;=jan!AB$3)*(lentry!$C$3:$C$3999&gt;=jan!AB$3)),lentry!$D$3:$D$3999),IF(WEEKDAY(jan!AB$3,1)=1,"WO","P"))</f>
        <v>P</v>
      </c>
      <c r="AC10" s="6" t="str">
        <f>IFERROR(LOOKUP(2,1/((lentry!$A$3:$A$3999=jan!$A10)*(lentry!$B$3:$B$3999&lt;=jan!AC$3)*(lentry!$C$3:$C$3999&gt;=jan!AC$3)),lentry!$D$3:$D$3999),IF(WEEKDAY(jan!AC$3,1)=1,"WO","P"))</f>
        <v>P</v>
      </c>
      <c r="AD10" s="6" t="str">
        <f>IFERROR(LOOKUP(2,1/((lentry!$A$3:$A$3999=jan!$A10)*(lentry!$B$3:$B$3999&lt;=jan!AD$3)*(lentry!$C$3:$C$3999&gt;=jan!AD$3)),lentry!$D$3:$D$3999),IF(WEEKDAY(jan!AD$3,1)=1,"WO","P"))</f>
        <v>WO</v>
      </c>
      <c r="AE10" s="6" t="s">
        <v>350</v>
      </c>
      <c r="AF10" s="6" t="str">
        <f>IFERROR(LOOKUP(2,1/((lentry!$A$3:$A$3999=jan!$A10)*(lentry!$B$3:$B$3999&lt;=jan!AF$3)*(lentry!$C$3:$C$3999&gt;=jan!AF$3)),lentry!$D$3:$D$3999),IF(WEEKDAY(jan!AF$3,1)=1,"WO","P"))</f>
        <v>P</v>
      </c>
      <c r="AG10" s="6" t="str">
        <f>IFERROR(LOOKUP(2,1/((lentry!$A$3:$A$3999=jan!$A10)*(lentry!$B$3:$B$3999&lt;=jan!AG$3)*(lentry!$C$3:$C$3999&gt;=jan!AG$3)),lentry!$D$3:$D$3999),IF(WEEKDAY(jan!AG$3,1)=1,"WO","P"))</f>
        <v>P</v>
      </c>
      <c r="AH10" s="6" t="str">
        <f>IFERROR(LOOKUP(2,1/((lentry!$A$3:$A$3999=jan!$A10)*(lentry!$B$3:$B$3999&lt;=jan!AH$3)*(lentry!$C$3:$C$3999&gt;=jan!AH$3)),lentry!$D$3:$D$3999),IF(WEEKDAY(jan!AH$3,1)=1,"WO","P"))</f>
        <v>P</v>
      </c>
      <c r="AI10" s="6" t="str">
        <f>IFERROR(LOOKUP(2,1/((lentry!$A$3:$A$3999=jan!$A10)*(lentry!$B$3:$B$3999&lt;=jan!AI$3)*(lentry!$C$3:$C$3999&gt;=jan!AI$3)),lentry!$D$3:$D$3999),IF(WEEKDAY(jan!AI$3,1)=1,"WO","P"))</f>
        <v>P</v>
      </c>
      <c r="AJ10" s="6" t="str">
        <f>IFERROR(LOOKUP(2,1/((lentry!$A$3:$A$3999=jan!$A10)*(lentry!$B$3:$B$3999&lt;=jan!AJ$3)*(lentry!$C$3:$C$3999&gt;=jan!AJ$3)),lentry!$D$3:$D$3999),IF(WEEKDAY(jan!AJ$3,1)=1,"WO","P"))</f>
        <v>P</v>
      </c>
      <c r="AK10" s="18">
        <f>COUNTIF(jan!$F10:$AJ10,"WO")</f>
        <v>4</v>
      </c>
      <c r="AL10" s="18">
        <f>COUNTIF(jan!$F10:$AJ10,"H")</f>
        <v>1</v>
      </c>
      <c r="AM10" s="18">
        <f>COUNTIF(jan!$F10:$AJ10,"PL")</f>
        <v>0</v>
      </c>
      <c r="AN10" s="18">
        <f>COUNTIF(jan!$F10:$AJ10,"LWP")</f>
        <v>0</v>
      </c>
      <c r="AO10" s="18">
        <f>COUNTIF(jan!$F10:$AJ10,"HD")</f>
        <v>0</v>
      </c>
      <c r="AP10" s="18">
        <f>COUNTIF(jan!$F10:$AJ10,"SL")</f>
        <v>0</v>
      </c>
      <c r="AQ10" s="18">
        <f>COUNTIF(jan!$F10:$AJ10,"CL")</f>
        <v>0</v>
      </c>
      <c r="AR10" s="18">
        <f>COUNTIF(jan!$F10:$AJ10,"A")</f>
        <v>0</v>
      </c>
      <c r="AS10" s="18">
        <f>COUNTIF(jan!$F10:$AJ10,"P")</f>
        <v>26</v>
      </c>
      <c r="AT10" s="18">
        <f t="shared" si="2"/>
        <v>31</v>
      </c>
      <c r="AU10" s="18">
        <f t="shared" si="3"/>
        <v>31</v>
      </c>
    </row>
    <row r="11" spans="1:47" ht="18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6" t="str">
        <f>IFERROR(LOOKUP(2,1/((lentry!$A$3:$A$3999=jan!$A11)*(lentry!$B$3:$B$3999&lt;=jan!F$3)*(lentry!$C$3:$C$3999&gt;=jan!F$3)),lentry!$D$3:$D$3999),IF(WEEKDAY(jan!F$3,1)=1,"WO","P"))</f>
        <v>P</v>
      </c>
      <c r="G11" s="6" t="str">
        <f>IFERROR(LOOKUP(2,1/((lentry!$A$3:$A$3999=jan!$A11)*(lentry!$B$3:$B$3999&lt;=jan!G$3)*(lentry!$C$3:$C$3999&gt;=jan!G$3)),lentry!$D$3:$D$3999),IF(WEEKDAY(jan!G$3,1)=1,"WO","P"))</f>
        <v>P</v>
      </c>
      <c r="H11" s="6" t="str">
        <f>IFERROR(LOOKUP(2,1/((lentry!$A$3:$A$3999=jan!$A11)*(lentry!$B$3:$B$3999&lt;=jan!H$3)*(lentry!$C$3:$C$3999&gt;=jan!H$3)),lentry!$D$3:$D$3999),IF(WEEKDAY(jan!H$3,1)=1,"WO","P"))</f>
        <v>P</v>
      </c>
      <c r="I11" s="6" t="str">
        <f>IFERROR(LOOKUP(2,1/((lentry!$A$3:$A$3999=jan!$A11)*(lentry!$B$3:$B$3999&lt;=jan!I$3)*(lentry!$C$3:$C$3999&gt;=jan!I$3)),lentry!$D$3:$D$3999),IF(WEEKDAY(jan!I$3,1)=1,"WO","P"))</f>
        <v>WO</v>
      </c>
      <c r="J11" s="6" t="str">
        <f>IFERROR(LOOKUP(2,1/((lentry!$A$3:$A$3999=jan!$A11)*(lentry!$B$3:$B$3999&lt;=jan!J$3)*(lentry!$C$3:$C$3999&gt;=jan!J$3)),lentry!$D$3:$D$3999),IF(WEEKDAY(jan!J$3,1)=1,"WO","P"))</f>
        <v>P</v>
      </c>
      <c r="K11" s="6" t="str">
        <f>IFERROR(LOOKUP(2,1/((lentry!$A$3:$A$3999=jan!$A11)*(lentry!$B$3:$B$3999&lt;=jan!K$3)*(lentry!$C$3:$C$3999&gt;=jan!K$3)),lentry!$D$3:$D$3999),IF(WEEKDAY(jan!K$3,1)=1,"WO","P"))</f>
        <v>P</v>
      </c>
      <c r="L11" s="6" t="str">
        <f>IFERROR(LOOKUP(2,1/((lentry!$A$3:$A$3999=jan!$A11)*(lentry!$B$3:$B$3999&lt;=jan!L$3)*(lentry!$C$3:$C$3999&gt;=jan!L$3)),lentry!$D$3:$D$3999),IF(WEEKDAY(jan!L$3,1)=1,"WO","P"))</f>
        <v>CL</v>
      </c>
      <c r="M11" s="6" t="str">
        <f>IFERROR(LOOKUP(2,1/((lentry!$A$3:$A$3999=jan!$A11)*(lentry!$B$3:$B$3999&lt;=jan!M$3)*(lentry!$C$3:$C$3999&gt;=jan!M$3)),lentry!$D$3:$D$3999),IF(WEEKDAY(jan!M$3,1)=1,"WO","P"))</f>
        <v>CL</v>
      </c>
      <c r="N11" s="6" t="str">
        <f>IFERROR(LOOKUP(2,1/((lentry!$A$3:$A$3999=jan!$A11)*(lentry!$B$3:$B$3999&lt;=jan!N$3)*(lentry!$C$3:$C$3999&gt;=jan!N$3)),lentry!$D$3:$D$3999),IF(WEEKDAY(jan!N$3,1)=1,"WO","P"))</f>
        <v>P</v>
      </c>
      <c r="O11" s="6" t="str">
        <f>IFERROR(LOOKUP(2,1/((lentry!$A$3:$A$3999=jan!$A11)*(lentry!$B$3:$B$3999&lt;=jan!O$3)*(lentry!$C$3:$C$3999&gt;=jan!O$3)),lentry!$D$3:$D$3999),IF(WEEKDAY(jan!O$3,1)=1,"WO","P"))</f>
        <v>P</v>
      </c>
      <c r="P11" s="6" t="s">
        <v>342</v>
      </c>
      <c r="Q11" s="6" t="str">
        <f>IFERROR(LOOKUP(2,1/((lentry!$A$3:$A$3999=jan!$A11)*(lentry!$B$3:$B$3999&lt;=jan!Q$3)*(lentry!$C$3:$C$3999&gt;=jan!Q$3)),lentry!$D$3:$D$3999),IF(WEEKDAY(jan!Q$3,1)=1,"WO","P"))</f>
        <v>P</v>
      </c>
      <c r="R11" s="6" t="str">
        <f>IFERROR(LOOKUP(2,1/((lentry!$A$3:$A$3999=jan!$A11)*(lentry!$B$3:$B$3999&lt;=jan!R$3)*(lentry!$C$3:$C$3999&gt;=jan!R$3)),lentry!$D$3:$D$3999),IF(WEEKDAY(jan!R$3,1)=1,"WO","P"))</f>
        <v>P</v>
      </c>
      <c r="S11" s="6" t="str">
        <f>IFERROR(LOOKUP(2,1/((lentry!$A$3:$A$3999=jan!$A11)*(lentry!$B$3:$B$3999&lt;=jan!S$3)*(lentry!$C$3:$C$3999&gt;=jan!S$3)),lentry!$D$3:$D$3999),IF(WEEKDAY(jan!S$3,1)=1,"WO","P"))</f>
        <v>P</v>
      </c>
      <c r="T11" s="6" t="str">
        <f>IFERROR(LOOKUP(2,1/((lentry!$A$3:$A$3999=jan!$A11)*(lentry!$B$3:$B$3999&lt;=jan!T$3)*(lentry!$C$3:$C$3999&gt;=jan!T$3)),lentry!$D$3:$D$3999),IF(WEEKDAY(jan!T$3,1)=1,"WO","P"))</f>
        <v>P</v>
      </c>
      <c r="U11" s="6" t="str">
        <f>IFERROR(LOOKUP(2,1/((lentry!$A$3:$A$3999=jan!$A11)*(lentry!$B$3:$B$3999&lt;=jan!U$3)*(lentry!$C$3:$C$3999&gt;=jan!U$3)),lentry!$D$3:$D$3999),IF(WEEKDAY(jan!U$3,1)=1,"WO","P"))</f>
        <v>P</v>
      </c>
      <c r="V11" s="6" t="str">
        <f>IFERROR(LOOKUP(2,1/((lentry!$A$3:$A$3999=jan!$A11)*(lentry!$B$3:$B$3999&lt;=jan!V$3)*(lentry!$C$3:$C$3999&gt;=jan!V$3)),lentry!$D$3:$D$3999),IF(WEEKDAY(jan!V$3,1)=1,"WO","P"))</f>
        <v>P</v>
      </c>
      <c r="W11" s="6" t="str">
        <f>IFERROR(LOOKUP(2,1/((lentry!$A$3:$A$3999=jan!$A11)*(lentry!$B$3:$B$3999&lt;=jan!W$3)*(lentry!$C$3:$C$3999&gt;=jan!W$3)),lentry!$D$3:$D$3999),IF(WEEKDAY(jan!W$3,1)=1,"WO","P"))</f>
        <v>WO</v>
      </c>
      <c r="X11" s="6" t="str">
        <f>IFERROR(LOOKUP(2,1/((lentry!$A$3:$A$3999=jan!$A11)*(lentry!$B$3:$B$3999&lt;=jan!X$3)*(lentry!$C$3:$C$3999&gt;=jan!X$3)),lentry!$D$3:$D$3999),IF(WEEKDAY(jan!X$3,1)=1,"WO","P"))</f>
        <v>P</v>
      </c>
      <c r="Y11" s="6" t="str">
        <f>IFERROR(LOOKUP(2,1/((lentry!$A$3:$A$3999=jan!$A11)*(lentry!$B$3:$B$3999&lt;=jan!Y$3)*(lentry!$C$3:$C$3999&gt;=jan!Y$3)),lentry!$D$3:$D$3999),IF(WEEKDAY(jan!Y$3,1)=1,"WO","P"))</f>
        <v>P</v>
      </c>
      <c r="Z11" s="6" t="str">
        <f>IFERROR(LOOKUP(2,1/((lentry!$A$3:$A$3999=jan!$A11)*(lentry!$B$3:$B$3999&lt;=jan!Z$3)*(lentry!$C$3:$C$3999&gt;=jan!Z$3)),lentry!$D$3:$D$3999),IF(WEEKDAY(jan!Z$3,1)=1,"WO","P"))</f>
        <v>P</v>
      </c>
      <c r="AA11" s="6" t="str">
        <f>IFERROR(LOOKUP(2,1/((lentry!$A$3:$A$3999=jan!$A11)*(lentry!$B$3:$B$3999&lt;=jan!AA$3)*(lentry!$C$3:$C$3999&gt;=jan!AA$3)),lentry!$D$3:$D$3999),IF(WEEKDAY(jan!AA$3,1)=1,"WO","P"))</f>
        <v>P</v>
      </c>
      <c r="AB11" s="6" t="str">
        <f>IFERROR(LOOKUP(2,1/((lentry!$A$3:$A$3999=jan!$A11)*(lentry!$B$3:$B$3999&lt;=jan!AB$3)*(lentry!$C$3:$C$3999&gt;=jan!AB$3)),lentry!$D$3:$D$3999),IF(WEEKDAY(jan!AB$3,1)=1,"WO","P"))</f>
        <v>P</v>
      </c>
      <c r="AC11" s="6" t="str">
        <f>IFERROR(LOOKUP(2,1/((lentry!$A$3:$A$3999=jan!$A11)*(lentry!$B$3:$B$3999&lt;=jan!AC$3)*(lentry!$C$3:$C$3999&gt;=jan!AC$3)),lentry!$D$3:$D$3999),IF(WEEKDAY(jan!AC$3,1)=1,"WO","P"))</f>
        <v>P</v>
      </c>
      <c r="AD11" s="6" t="str">
        <f>IFERROR(LOOKUP(2,1/((lentry!$A$3:$A$3999=jan!$A11)*(lentry!$B$3:$B$3999&lt;=jan!AD$3)*(lentry!$C$3:$C$3999&gt;=jan!AD$3)),lentry!$D$3:$D$3999),IF(WEEKDAY(jan!AD$3,1)=1,"WO","P"))</f>
        <v>WO</v>
      </c>
      <c r="AE11" s="6" t="s">
        <v>350</v>
      </c>
      <c r="AF11" s="6" t="str">
        <f>IFERROR(LOOKUP(2,1/((lentry!$A$3:$A$3999=jan!$A11)*(lentry!$B$3:$B$3999&lt;=jan!AF$3)*(lentry!$C$3:$C$3999&gt;=jan!AF$3)),lentry!$D$3:$D$3999),IF(WEEKDAY(jan!AF$3,1)=1,"WO","P"))</f>
        <v>P</v>
      </c>
      <c r="AG11" s="6" t="str">
        <f>IFERROR(LOOKUP(2,1/((lentry!$A$3:$A$3999=jan!$A11)*(lentry!$B$3:$B$3999&lt;=jan!AG$3)*(lentry!$C$3:$C$3999&gt;=jan!AG$3)),lentry!$D$3:$D$3999),IF(WEEKDAY(jan!AG$3,1)=1,"WO","P"))</f>
        <v>P</v>
      </c>
      <c r="AH11" s="6" t="str">
        <f>IFERROR(LOOKUP(2,1/((lentry!$A$3:$A$3999=jan!$A11)*(lentry!$B$3:$B$3999&lt;=jan!AH$3)*(lentry!$C$3:$C$3999&gt;=jan!AH$3)),lentry!$D$3:$D$3999),IF(WEEKDAY(jan!AH$3,1)=1,"WO","P"))</f>
        <v>P</v>
      </c>
      <c r="AI11" s="6" t="str">
        <f>IFERROR(LOOKUP(2,1/((lentry!$A$3:$A$3999=jan!$A11)*(lentry!$B$3:$B$3999&lt;=jan!AI$3)*(lentry!$C$3:$C$3999&gt;=jan!AI$3)),lentry!$D$3:$D$3999),IF(WEEKDAY(jan!AI$3,1)=1,"WO","P"))</f>
        <v>P</v>
      </c>
      <c r="AJ11" s="6" t="str">
        <f>IFERROR(LOOKUP(2,1/((lentry!$A$3:$A$3999=jan!$A11)*(lentry!$B$3:$B$3999&lt;=jan!AJ$3)*(lentry!$C$3:$C$3999&gt;=jan!AJ$3)),lentry!$D$3:$D$3999),IF(WEEKDAY(jan!AJ$3,1)=1,"WO","P"))</f>
        <v>P</v>
      </c>
      <c r="AK11" s="18">
        <f>COUNTIF(jan!$F11:$AJ11,"WO")</f>
        <v>4</v>
      </c>
      <c r="AL11" s="18">
        <f>COUNTIF(jan!$F11:$AJ11,"H")</f>
        <v>1</v>
      </c>
      <c r="AM11" s="18">
        <f>COUNTIF(jan!$F11:$AJ11,"PL")</f>
        <v>0</v>
      </c>
      <c r="AN11" s="18">
        <f>COUNTIF(jan!$F11:$AJ11,"LWP")</f>
        <v>0</v>
      </c>
      <c r="AO11" s="18">
        <f>COUNTIF(jan!$F11:$AJ11,"HD")</f>
        <v>0</v>
      </c>
      <c r="AP11" s="18">
        <f>COUNTIF(jan!$F11:$AJ11,"SL")</f>
        <v>0</v>
      </c>
      <c r="AQ11" s="18">
        <f>COUNTIF(jan!$F11:$AJ11,"CL")</f>
        <v>2</v>
      </c>
      <c r="AR11" s="18">
        <f>COUNTIF(jan!$F11:$AJ11,"A")</f>
        <v>0</v>
      </c>
      <c r="AS11" s="18">
        <f>COUNTIF(jan!$F11:$AJ11,"P")</f>
        <v>24</v>
      </c>
      <c r="AT11" s="18">
        <f t="shared" si="2"/>
        <v>31</v>
      </c>
      <c r="AU11" s="18">
        <f t="shared" si="3"/>
        <v>31</v>
      </c>
    </row>
    <row r="12" spans="1:47" ht="18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6" t="str">
        <f>IFERROR(LOOKUP(2,1/((lentry!$A$3:$A$3999=jan!$A12)*(lentry!$B$3:$B$3999&lt;=jan!F$3)*(lentry!$C$3:$C$3999&gt;=jan!F$3)),lentry!$D$3:$D$3999),IF(WEEKDAY(jan!F$3,1)=1,"WO","P"))</f>
        <v>P</v>
      </c>
      <c r="G12" s="6" t="str">
        <f>IFERROR(LOOKUP(2,1/((lentry!$A$3:$A$3999=jan!$A12)*(lentry!$B$3:$B$3999&lt;=jan!G$3)*(lentry!$C$3:$C$3999&gt;=jan!G$3)),lentry!$D$3:$D$3999),IF(WEEKDAY(jan!G$3,1)=1,"WO","P"))</f>
        <v>P</v>
      </c>
      <c r="H12" s="6" t="str">
        <f>IFERROR(LOOKUP(2,1/((lentry!$A$3:$A$3999=jan!$A12)*(lentry!$B$3:$B$3999&lt;=jan!H$3)*(lentry!$C$3:$C$3999&gt;=jan!H$3)),lentry!$D$3:$D$3999),IF(WEEKDAY(jan!H$3,1)=1,"WO","P"))</f>
        <v>P</v>
      </c>
      <c r="I12" s="6" t="str">
        <f>IFERROR(LOOKUP(2,1/((lentry!$A$3:$A$3999=jan!$A12)*(lentry!$B$3:$B$3999&lt;=jan!I$3)*(lentry!$C$3:$C$3999&gt;=jan!I$3)),lentry!$D$3:$D$3999),IF(WEEKDAY(jan!I$3,1)=1,"WO","P"))</f>
        <v>WO</v>
      </c>
      <c r="J12" s="6" t="str">
        <f>IFERROR(LOOKUP(2,1/((lentry!$A$3:$A$3999=jan!$A12)*(lentry!$B$3:$B$3999&lt;=jan!J$3)*(lentry!$C$3:$C$3999&gt;=jan!J$3)),lentry!$D$3:$D$3999),IF(WEEKDAY(jan!J$3,1)=1,"WO","P"))</f>
        <v>P</v>
      </c>
      <c r="K12" s="6" t="str">
        <f>IFERROR(LOOKUP(2,1/((lentry!$A$3:$A$3999=jan!$A12)*(lentry!$B$3:$B$3999&lt;=jan!K$3)*(lentry!$C$3:$C$3999&gt;=jan!K$3)),lentry!$D$3:$D$3999),IF(WEEKDAY(jan!K$3,1)=1,"WO","P"))</f>
        <v>P</v>
      </c>
      <c r="L12" s="6" t="str">
        <f>IFERROR(LOOKUP(2,1/((lentry!$A$3:$A$3999=jan!$A12)*(lentry!$B$3:$B$3999&lt;=jan!L$3)*(lentry!$C$3:$C$3999&gt;=jan!L$3)),lentry!$D$3:$D$3999),IF(WEEKDAY(jan!L$3,1)=1,"WO","P"))</f>
        <v>P</v>
      </c>
      <c r="M12" s="6" t="str">
        <f>IFERROR(LOOKUP(2,1/((lentry!$A$3:$A$3999=jan!$A12)*(lentry!$B$3:$B$3999&lt;=jan!M$3)*(lentry!$C$3:$C$3999&gt;=jan!M$3)),lentry!$D$3:$D$3999),IF(WEEKDAY(jan!M$3,1)=1,"WO","P"))</f>
        <v>P</v>
      </c>
      <c r="N12" s="6" t="str">
        <f>IFERROR(LOOKUP(2,1/((lentry!$A$3:$A$3999=jan!$A12)*(lentry!$B$3:$B$3999&lt;=jan!N$3)*(lentry!$C$3:$C$3999&gt;=jan!N$3)),lentry!$D$3:$D$3999),IF(WEEKDAY(jan!N$3,1)=1,"WO","P"))</f>
        <v>P</v>
      </c>
      <c r="O12" s="6" t="s">
        <v>539</v>
      </c>
      <c r="P12" s="6" t="s">
        <v>342</v>
      </c>
      <c r="Q12" s="6" t="str">
        <f>IFERROR(LOOKUP(2,1/((lentry!$A$3:$A$3999=jan!$A12)*(lentry!$B$3:$B$3999&lt;=jan!Q$3)*(lentry!$C$3:$C$3999&gt;=jan!Q$3)),lentry!$D$3:$D$3999),IF(WEEKDAY(jan!Q$3,1)=1,"WO","P"))</f>
        <v>P</v>
      </c>
      <c r="R12" s="6" t="str">
        <f>IFERROR(LOOKUP(2,1/((lentry!$A$3:$A$3999=jan!$A12)*(lentry!$B$3:$B$3999&lt;=jan!R$3)*(lentry!$C$3:$C$3999&gt;=jan!R$3)),lentry!$D$3:$D$3999),IF(WEEKDAY(jan!R$3,1)=1,"WO","P"))</f>
        <v>P</v>
      </c>
      <c r="S12" s="6" t="str">
        <f>IFERROR(LOOKUP(2,1/((lentry!$A$3:$A$3999=jan!$A12)*(lentry!$B$3:$B$3999&lt;=jan!S$3)*(lentry!$C$3:$C$3999&gt;=jan!S$3)),lentry!$D$3:$D$3999),IF(WEEKDAY(jan!S$3,1)=1,"WO","P"))</f>
        <v>P</v>
      </c>
      <c r="T12" s="6" t="str">
        <f>IFERROR(LOOKUP(2,1/((lentry!$A$3:$A$3999=jan!$A12)*(lentry!$B$3:$B$3999&lt;=jan!T$3)*(lentry!$C$3:$C$3999&gt;=jan!T$3)),lentry!$D$3:$D$3999),IF(WEEKDAY(jan!T$3,1)=1,"WO","P"))</f>
        <v>P</v>
      </c>
      <c r="U12" s="6" t="str">
        <f>IFERROR(LOOKUP(2,1/((lentry!$A$3:$A$3999=jan!$A12)*(lentry!$B$3:$B$3999&lt;=jan!U$3)*(lentry!$C$3:$C$3999&gt;=jan!U$3)),lentry!$D$3:$D$3999),IF(WEEKDAY(jan!U$3,1)=1,"WO","P"))</f>
        <v>P</v>
      </c>
      <c r="V12" s="6" t="str">
        <f>IFERROR(LOOKUP(2,1/((lentry!$A$3:$A$3999=jan!$A12)*(lentry!$B$3:$B$3999&lt;=jan!V$3)*(lentry!$C$3:$C$3999&gt;=jan!V$3)),lentry!$D$3:$D$3999),IF(WEEKDAY(jan!V$3,1)=1,"WO","P"))</f>
        <v>P</v>
      </c>
      <c r="W12" s="6" t="str">
        <f>IFERROR(LOOKUP(2,1/((lentry!$A$3:$A$3999=jan!$A12)*(lentry!$B$3:$B$3999&lt;=jan!W$3)*(lentry!$C$3:$C$3999&gt;=jan!W$3)),lentry!$D$3:$D$3999),IF(WEEKDAY(jan!W$3,1)=1,"WO","P"))</f>
        <v>WO</v>
      </c>
      <c r="X12" s="6" t="str">
        <f>IFERROR(LOOKUP(2,1/((lentry!$A$3:$A$3999=jan!$A12)*(lentry!$B$3:$B$3999&lt;=jan!X$3)*(lentry!$C$3:$C$3999&gt;=jan!X$3)),lentry!$D$3:$D$3999),IF(WEEKDAY(jan!X$3,1)=1,"WO","P"))</f>
        <v>P</v>
      </c>
      <c r="Y12" s="6" t="str">
        <f>IFERROR(LOOKUP(2,1/((lentry!$A$3:$A$3999=jan!$A12)*(lentry!$B$3:$B$3999&lt;=jan!Y$3)*(lentry!$C$3:$C$3999&gt;=jan!Y$3)),lentry!$D$3:$D$3999),IF(WEEKDAY(jan!Y$3,1)=1,"WO","P"))</f>
        <v>P</v>
      </c>
      <c r="Z12" s="6" t="str">
        <f>IFERROR(LOOKUP(2,1/((lentry!$A$3:$A$3999=jan!$A12)*(lentry!$B$3:$B$3999&lt;=jan!Z$3)*(lentry!$C$3:$C$3999&gt;=jan!Z$3)),lentry!$D$3:$D$3999),IF(WEEKDAY(jan!Z$3,1)=1,"WO","P"))</f>
        <v>P</v>
      </c>
      <c r="AA12" s="6" t="str">
        <f>IFERROR(LOOKUP(2,1/((lentry!$A$3:$A$3999=jan!$A12)*(lentry!$B$3:$B$3999&lt;=jan!AA$3)*(lentry!$C$3:$C$3999&gt;=jan!AA$3)),lentry!$D$3:$D$3999),IF(WEEKDAY(jan!AA$3,1)=1,"WO","P"))</f>
        <v>P</v>
      </c>
      <c r="AB12" s="6" t="str">
        <f>IFERROR(LOOKUP(2,1/((lentry!$A$3:$A$3999=jan!$A12)*(lentry!$B$3:$B$3999&lt;=jan!AB$3)*(lentry!$C$3:$C$3999&gt;=jan!AB$3)),lentry!$D$3:$D$3999),IF(WEEKDAY(jan!AB$3,1)=1,"WO","P"))</f>
        <v>P</v>
      </c>
      <c r="AC12" s="6" t="str">
        <f>IFERROR(LOOKUP(2,1/((lentry!$A$3:$A$3999=jan!$A12)*(lentry!$B$3:$B$3999&lt;=jan!AC$3)*(lentry!$C$3:$C$3999&gt;=jan!AC$3)),lentry!$D$3:$D$3999),IF(WEEKDAY(jan!AC$3,1)=1,"WO","P"))</f>
        <v>P</v>
      </c>
      <c r="AD12" s="6" t="str">
        <f>IFERROR(LOOKUP(2,1/((lentry!$A$3:$A$3999=jan!$A12)*(lentry!$B$3:$B$3999&lt;=jan!AD$3)*(lentry!$C$3:$C$3999&gt;=jan!AD$3)),lentry!$D$3:$D$3999),IF(WEEKDAY(jan!AD$3,1)=1,"WO","P"))</f>
        <v>WO</v>
      </c>
      <c r="AE12" s="6" t="s">
        <v>350</v>
      </c>
      <c r="AF12" s="6" t="str">
        <f>IFERROR(LOOKUP(2,1/((lentry!$A$3:$A$3999=jan!$A12)*(lentry!$B$3:$B$3999&lt;=jan!AF$3)*(lentry!$C$3:$C$3999&gt;=jan!AF$3)),lentry!$D$3:$D$3999),IF(WEEKDAY(jan!AF$3,1)=1,"WO","P"))</f>
        <v>P</v>
      </c>
      <c r="AG12" s="6" t="str">
        <f>IFERROR(LOOKUP(2,1/((lentry!$A$3:$A$3999=jan!$A12)*(lentry!$B$3:$B$3999&lt;=jan!AG$3)*(lentry!$C$3:$C$3999&gt;=jan!AG$3)),lentry!$D$3:$D$3999),IF(WEEKDAY(jan!AG$3,1)=1,"WO","P"))</f>
        <v>P</v>
      </c>
      <c r="AH12" s="6" t="str">
        <f>IFERROR(LOOKUP(2,1/((lentry!$A$3:$A$3999=jan!$A12)*(lentry!$B$3:$B$3999&lt;=jan!AH$3)*(lentry!$C$3:$C$3999&gt;=jan!AH$3)),lentry!$D$3:$D$3999),IF(WEEKDAY(jan!AH$3,1)=1,"WO","P"))</f>
        <v>P</v>
      </c>
      <c r="AI12" s="6" t="s">
        <v>539</v>
      </c>
      <c r="AJ12" s="6" t="str">
        <f>IFERROR(LOOKUP(2,1/((lentry!$A$3:$A$3999=jan!$A12)*(lentry!$B$3:$B$3999&lt;=jan!AJ$3)*(lentry!$C$3:$C$3999&gt;=jan!AJ$3)),lentry!$D$3:$D$3999),IF(WEEKDAY(jan!AJ$3,1)=1,"WO","P"))</f>
        <v>P</v>
      </c>
      <c r="AK12" s="18">
        <f>COUNTIF(jan!$F12:$AJ12,"WO")</f>
        <v>4</v>
      </c>
      <c r="AL12" s="18">
        <f>COUNTIF(jan!$F12:$AJ12,"H")</f>
        <v>1</v>
      </c>
      <c r="AM12" s="18">
        <f>COUNTIF(jan!$F12:$AJ12,"PL")</f>
        <v>0</v>
      </c>
      <c r="AN12" s="18">
        <f>COUNTIF(jan!$F12:$AJ12,"LWP")</f>
        <v>0</v>
      </c>
      <c r="AO12" s="18">
        <f>COUNTIF(jan!$F12:$AJ12,"HD")</f>
        <v>0</v>
      </c>
      <c r="AP12" s="18">
        <f>COUNTIF(jan!$F12:$AJ12,"SL")</f>
        <v>0</v>
      </c>
      <c r="AQ12" s="18">
        <f>COUNTIF(jan!$F12:$AJ12,"CL")</f>
        <v>0</v>
      </c>
      <c r="AR12" s="18">
        <f>COUNTIF(jan!$F12:$AJ12,"A")</f>
        <v>2</v>
      </c>
      <c r="AS12" s="18">
        <f>COUNTIF(jan!$F12:$AJ12,"P")</f>
        <v>24</v>
      </c>
      <c r="AT12" s="18">
        <f t="shared" si="2"/>
        <v>31</v>
      </c>
      <c r="AU12" s="18">
        <f t="shared" si="3"/>
        <v>29</v>
      </c>
    </row>
    <row r="13" spans="1:47" ht="18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6" t="str">
        <f>IFERROR(LOOKUP(2,1/((lentry!$A$3:$A$3999=jan!$A13)*(lentry!$B$3:$B$3999&lt;=jan!F$3)*(lentry!$C$3:$C$3999&gt;=jan!F$3)),lentry!$D$3:$D$3999),IF(WEEKDAY(jan!F$3,1)=1,"WO","P"))</f>
        <v>P</v>
      </c>
      <c r="G13" s="6" t="str">
        <f>IFERROR(LOOKUP(2,1/((lentry!$A$3:$A$3999=jan!$A13)*(lentry!$B$3:$B$3999&lt;=jan!G$3)*(lentry!$C$3:$C$3999&gt;=jan!G$3)),lentry!$D$3:$D$3999),IF(WEEKDAY(jan!G$3,1)=1,"WO","P"))</f>
        <v>P</v>
      </c>
      <c r="H13" s="6" t="str">
        <f>IFERROR(LOOKUP(2,1/((lentry!$A$3:$A$3999=jan!$A13)*(lentry!$B$3:$B$3999&lt;=jan!H$3)*(lentry!$C$3:$C$3999&gt;=jan!H$3)),lentry!$D$3:$D$3999),IF(WEEKDAY(jan!H$3,1)=1,"WO","P"))</f>
        <v>P</v>
      </c>
      <c r="I13" s="6" t="str">
        <f>IFERROR(LOOKUP(2,1/((lentry!$A$3:$A$3999=jan!$A13)*(lentry!$B$3:$B$3999&lt;=jan!I$3)*(lentry!$C$3:$C$3999&gt;=jan!I$3)),lentry!$D$3:$D$3999),IF(WEEKDAY(jan!I$3,1)=1,"WO","P"))</f>
        <v>WO</v>
      </c>
      <c r="J13" s="6" t="str">
        <f>IFERROR(LOOKUP(2,1/((lentry!$A$3:$A$3999=jan!$A13)*(lentry!$B$3:$B$3999&lt;=jan!J$3)*(lentry!$C$3:$C$3999&gt;=jan!J$3)),lentry!$D$3:$D$3999),IF(WEEKDAY(jan!J$3,1)=1,"WO","P"))</f>
        <v>P</v>
      </c>
      <c r="K13" s="6" t="str">
        <f>IFERROR(LOOKUP(2,1/((lentry!$A$3:$A$3999=jan!$A13)*(lentry!$B$3:$B$3999&lt;=jan!K$3)*(lentry!$C$3:$C$3999&gt;=jan!K$3)),lentry!$D$3:$D$3999),IF(WEEKDAY(jan!K$3,1)=1,"WO","P"))</f>
        <v>P</v>
      </c>
      <c r="L13" s="6" t="str">
        <f>IFERROR(LOOKUP(2,1/((lentry!$A$3:$A$3999=jan!$A13)*(lentry!$B$3:$B$3999&lt;=jan!L$3)*(lentry!$C$3:$C$3999&gt;=jan!L$3)),lentry!$D$3:$D$3999),IF(WEEKDAY(jan!L$3,1)=1,"WO","P"))</f>
        <v>P</v>
      </c>
      <c r="M13" s="6" t="str">
        <f>IFERROR(LOOKUP(2,1/((lentry!$A$3:$A$3999=jan!$A13)*(lentry!$B$3:$B$3999&lt;=jan!M$3)*(lentry!$C$3:$C$3999&gt;=jan!M$3)),lentry!$D$3:$D$3999),IF(WEEKDAY(jan!M$3,1)=1,"WO","P"))</f>
        <v>P</v>
      </c>
      <c r="N13" s="6" t="str">
        <f>IFERROR(LOOKUP(2,1/((lentry!$A$3:$A$3999=jan!$A13)*(lentry!$B$3:$B$3999&lt;=jan!N$3)*(lentry!$C$3:$C$3999&gt;=jan!N$3)),lentry!$D$3:$D$3999),IF(WEEKDAY(jan!N$3,1)=1,"WO","P"))</f>
        <v>P</v>
      </c>
      <c r="O13" s="6" t="str">
        <f>IFERROR(LOOKUP(2,1/((lentry!$A$3:$A$3999=jan!$A13)*(lentry!$B$3:$B$3999&lt;=jan!O$3)*(lentry!$C$3:$C$3999&gt;=jan!O$3)),lentry!$D$3:$D$3999),IF(WEEKDAY(jan!O$3,1)=1,"WO","P"))</f>
        <v>P</v>
      </c>
      <c r="P13" s="6" t="s">
        <v>342</v>
      </c>
      <c r="Q13" s="6" t="str">
        <f>IFERROR(LOOKUP(2,1/((lentry!$A$3:$A$3999=jan!$A13)*(lentry!$B$3:$B$3999&lt;=jan!Q$3)*(lentry!$C$3:$C$3999&gt;=jan!Q$3)),lentry!$D$3:$D$3999),IF(WEEKDAY(jan!Q$3,1)=1,"WO","P"))</f>
        <v>P</v>
      </c>
      <c r="R13" s="6" t="str">
        <f>IFERROR(LOOKUP(2,1/((lentry!$A$3:$A$3999=jan!$A13)*(lentry!$B$3:$B$3999&lt;=jan!R$3)*(lentry!$C$3:$C$3999&gt;=jan!R$3)),lentry!$D$3:$D$3999),IF(WEEKDAY(jan!R$3,1)=1,"WO","P"))</f>
        <v>P</v>
      </c>
      <c r="S13" s="6" t="str">
        <f>IFERROR(LOOKUP(2,1/((lentry!$A$3:$A$3999=jan!$A13)*(lentry!$B$3:$B$3999&lt;=jan!S$3)*(lentry!$C$3:$C$3999&gt;=jan!S$3)),lentry!$D$3:$D$3999),IF(WEEKDAY(jan!S$3,1)=1,"WO","P"))</f>
        <v>P</v>
      </c>
      <c r="T13" s="6" t="str">
        <f>IFERROR(LOOKUP(2,1/((lentry!$A$3:$A$3999=jan!$A13)*(lentry!$B$3:$B$3999&lt;=jan!T$3)*(lentry!$C$3:$C$3999&gt;=jan!T$3)),lentry!$D$3:$D$3999),IF(WEEKDAY(jan!T$3,1)=1,"WO","P"))</f>
        <v>P</v>
      </c>
      <c r="U13" s="6" t="str">
        <f>IFERROR(LOOKUP(2,1/((lentry!$A$3:$A$3999=jan!$A13)*(lentry!$B$3:$B$3999&lt;=jan!U$3)*(lentry!$C$3:$C$3999&gt;=jan!U$3)),lentry!$D$3:$D$3999),IF(WEEKDAY(jan!U$3,1)=1,"WO","P"))</f>
        <v>P</v>
      </c>
      <c r="V13" s="6" t="str">
        <f>IFERROR(LOOKUP(2,1/((lentry!$A$3:$A$3999=jan!$A13)*(lentry!$B$3:$B$3999&lt;=jan!V$3)*(lentry!$C$3:$C$3999&gt;=jan!V$3)),lentry!$D$3:$D$3999),IF(WEEKDAY(jan!V$3,1)=1,"WO","P"))</f>
        <v>P</v>
      </c>
      <c r="W13" s="6" t="str">
        <f>IFERROR(LOOKUP(2,1/((lentry!$A$3:$A$3999=jan!$A13)*(lentry!$B$3:$B$3999&lt;=jan!W$3)*(lentry!$C$3:$C$3999&gt;=jan!W$3)),lentry!$D$3:$D$3999),IF(WEEKDAY(jan!W$3,1)=1,"WO","P"))</f>
        <v>WO</v>
      </c>
      <c r="X13" s="6" t="str">
        <f>IFERROR(LOOKUP(2,1/((lentry!$A$3:$A$3999=jan!$A13)*(lentry!$B$3:$B$3999&lt;=jan!X$3)*(lentry!$C$3:$C$3999&gt;=jan!X$3)),lentry!$D$3:$D$3999),IF(WEEKDAY(jan!X$3,1)=1,"WO","P"))</f>
        <v>P</v>
      </c>
      <c r="Y13" s="6" t="str">
        <f>IFERROR(LOOKUP(2,1/((lentry!$A$3:$A$3999=jan!$A13)*(lentry!$B$3:$B$3999&lt;=jan!Y$3)*(lentry!$C$3:$C$3999&gt;=jan!Y$3)),lentry!$D$3:$D$3999),IF(WEEKDAY(jan!Y$3,1)=1,"WO","P"))</f>
        <v>P</v>
      </c>
      <c r="Z13" s="6" t="str">
        <f>IFERROR(LOOKUP(2,1/((lentry!$A$3:$A$3999=jan!$A13)*(lentry!$B$3:$B$3999&lt;=jan!Z$3)*(lentry!$C$3:$C$3999&gt;=jan!Z$3)),lentry!$D$3:$D$3999),IF(WEEKDAY(jan!Z$3,1)=1,"WO","P"))</f>
        <v>P</v>
      </c>
      <c r="AA13" s="6" t="str">
        <f>IFERROR(LOOKUP(2,1/((lentry!$A$3:$A$3999=jan!$A13)*(lentry!$B$3:$B$3999&lt;=jan!AA$3)*(lentry!$C$3:$C$3999&gt;=jan!AA$3)),lentry!$D$3:$D$3999),IF(WEEKDAY(jan!AA$3,1)=1,"WO","P"))</f>
        <v>PL</v>
      </c>
      <c r="AB13" s="6" t="str">
        <f>IFERROR(LOOKUP(2,1/((lentry!$A$3:$A$3999=jan!$A13)*(lentry!$B$3:$B$3999&lt;=jan!AB$3)*(lentry!$C$3:$C$3999&gt;=jan!AB$3)),lentry!$D$3:$D$3999),IF(WEEKDAY(jan!AB$3,1)=1,"WO","P"))</f>
        <v>P</v>
      </c>
      <c r="AC13" s="6" t="str">
        <f>IFERROR(LOOKUP(2,1/((lentry!$A$3:$A$3999=jan!$A13)*(lentry!$B$3:$B$3999&lt;=jan!AC$3)*(lentry!$C$3:$C$3999&gt;=jan!AC$3)),lentry!$D$3:$D$3999),IF(WEEKDAY(jan!AC$3,1)=1,"WO","P"))</f>
        <v>P</v>
      </c>
      <c r="AD13" s="6" t="str">
        <f>IFERROR(LOOKUP(2,1/((lentry!$A$3:$A$3999=jan!$A13)*(lentry!$B$3:$B$3999&lt;=jan!AD$3)*(lentry!$C$3:$C$3999&gt;=jan!AD$3)),lentry!$D$3:$D$3999),IF(WEEKDAY(jan!AD$3,1)=1,"WO","P"))</f>
        <v>WO</v>
      </c>
      <c r="AE13" s="6" t="s">
        <v>350</v>
      </c>
      <c r="AF13" s="6" t="str">
        <f>IFERROR(LOOKUP(2,1/((lentry!$A$3:$A$3999=jan!$A13)*(lentry!$B$3:$B$3999&lt;=jan!AF$3)*(lentry!$C$3:$C$3999&gt;=jan!AF$3)),lentry!$D$3:$D$3999),IF(WEEKDAY(jan!AF$3,1)=1,"WO","P"))</f>
        <v>P</v>
      </c>
      <c r="AG13" s="6" t="str">
        <f>IFERROR(LOOKUP(2,1/((lentry!$A$3:$A$3999=jan!$A13)*(lentry!$B$3:$B$3999&lt;=jan!AG$3)*(lentry!$C$3:$C$3999&gt;=jan!AG$3)),lentry!$D$3:$D$3999),IF(WEEKDAY(jan!AG$3,1)=1,"WO","P"))</f>
        <v>P</v>
      </c>
      <c r="AH13" s="6" t="str">
        <f>IFERROR(LOOKUP(2,1/((lentry!$A$3:$A$3999=jan!$A13)*(lentry!$B$3:$B$3999&lt;=jan!AH$3)*(lentry!$C$3:$C$3999&gt;=jan!AH$3)),lentry!$D$3:$D$3999),IF(WEEKDAY(jan!AH$3,1)=1,"WO","P"))</f>
        <v>P</v>
      </c>
      <c r="AI13" s="6" t="str">
        <f>IFERROR(LOOKUP(2,1/((lentry!$A$3:$A$3999=jan!$A13)*(lentry!$B$3:$B$3999&lt;=jan!AI$3)*(lentry!$C$3:$C$3999&gt;=jan!AI$3)),lentry!$D$3:$D$3999),IF(WEEKDAY(jan!AI$3,1)=1,"WO","P"))</f>
        <v>P</v>
      </c>
      <c r="AJ13" s="6" t="str">
        <f>IFERROR(LOOKUP(2,1/((lentry!$A$3:$A$3999=jan!$A13)*(lentry!$B$3:$B$3999&lt;=jan!AJ$3)*(lentry!$C$3:$C$3999&gt;=jan!AJ$3)),lentry!$D$3:$D$3999),IF(WEEKDAY(jan!AJ$3,1)=1,"WO","P"))</f>
        <v>P</v>
      </c>
      <c r="AK13" s="18">
        <f>COUNTIF(jan!$F13:$AJ13,"WO")</f>
        <v>4</v>
      </c>
      <c r="AL13" s="18">
        <f>COUNTIF(jan!$F13:$AJ13,"H")</f>
        <v>1</v>
      </c>
      <c r="AM13" s="18">
        <f>COUNTIF(jan!$F13:$AJ13,"PL")</f>
        <v>1</v>
      </c>
      <c r="AN13" s="18">
        <f>COUNTIF(jan!$F13:$AJ13,"LWP")</f>
        <v>0</v>
      </c>
      <c r="AO13" s="18">
        <f>COUNTIF(jan!$F13:$AJ13,"HD")</f>
        <v>0</v>
      </c>
      <c r="AP13" s="18">
        <f>COUNTIF(jan!$F13:$AJ13,"SL")</f>
        <v>0</v>
      </c>
      <c r="AQ13" s="18">
        <f>COUNTIF(jan!$F13:$AJ13,"CL")</f>
        <v>0</v>
      </c>
      <c r="AR13" s="18">
        <f>COUNTIF(jan!$F13:$AJ13,"A")</f>
        <v>0</v>
      </c>
      <c r="AS13" s="18">
        <f>COUNTIF(jan!$F13:$AJ13,"P")</f>
        <v>25</v>
      </c>
      <c r="AT13" s="18">
        <f t="shared" si="2"/>
        <v>31</v>
      </c>
      <c r="AU13" s="18">
        <f t="shared" si="3"/>
        <v>31</v>
      </c>
    </row>
    <row r="14" spans="1:47" ht="18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6" t="str">
        <f>IFERROR(LOOKUP(2,1/((lentry!$A$3:$A$3999=jan!$A14)*(lentry!$B$3:$B$3999&lt;=jan!F$3)*(lentry!$C$3:$C$3999&gt;=jan!F$3)),lentry!$D$3:$D$3999),IF(WEEKDAY(jan!F$3,1)=1,"WO","P"))</f>
        <v>P</v>
      </c>
      <c r="G14" s="6" t="str">
        <f>IFERROR(LOOKUP(2,1/((lentry!$A$3:$A$3999=jan!$A14)*(lentry!$B$3:$B$3999&lt;=jan!G$3)*(lentry!$C$3:$C$3999&gt;=jan!G$3)),lentry!$D$3:$D$3999),IF(WEEKDAY(jan!G$3,1)=1,"WO","P"))</f>
        <v>P</v>
      </c>
      <c r="H14" s="6" t="str">
        <f>IFERROR(LOOKUP(2,1/((lentry!$A$3:$A$3999=jan!$A14)*(lentry!$B$3:$B$3999&lt;=jan!H$3)*(lentry!$C$3:$C$3999&gt;=jan!H$3)),lentry!$D$3:$D$3999),IF(WEEKDAY(jan!H$3,1)=1,"WO","P"))</f>
        <v>P</v>
      </c>
      <c r="I14" s="6" t="str">
        <f>IFERROR(LOOKUP(2,1/((lentry!$A$3:$A$3999=jan!$A14)*(lentry!$B$3:$B$3999&lt;=jan!I$3)*(lentry!$C$3:$C$3999&gt;=jan!I$3)),lentry!$D$3:$D$3999),IF(WEEKDAY(jan!I$3,1)=1,"WO","P"))</f>
        <v>WO</v>
      </c>
      <c r="J14" s="6" t="str">
        <f>IFERROR(LOOKUP(2,1/((lentry!$A$3:$A$3999=jan!$A14)*(lentry!$B$3:$B$3999&lt;=jan!J$3)*(lentry!$C$3:$C$3999&gt;=jan!J$3)),lentry!$D$3:$D$3999),IF(WEEKDAY(jan!J$3,1)=1,"WO","P"))</f>
        <v>P</v>
      </c>
      <c r="K14" s="6" t="str">
        <f>IFERROR(LOOKUP(2,1/((lentry!$A$3:$A$3999=jan!$A14)*(lentry!$B$3:$B$3999&lt;=jan!K$3)*(lentry!$C$3:$C$3999&gt;=jan!K$3)),lentry!$D$3:$D$3999),IF(WEEKDAY(jan!K$3,1)=1,"WO","P"))</f>
        <v>P</v>
      </c>
      <c r="L14" s="6" t="str">
        <f>IFERROR(LOOKUP(2,1/((lentry!$A$3:$A$3999=jan!$A14)*(lentry!$B$3:$B$3999&lt;=jan!L$3)*(lentry!$C$3:$C$3999&gt;=jan!L$3)),lentry!$D$3:$D$3999),IF(WEEKDAY(jan!L$3,1)=1,"WO","P"))</f>
        <v>P</v>
      </c>
      <c r="M14" s="6" t="str">
        <f>IFERROR(LOOKUP(2,1/((lentry!$A$3:$A$3999=jan!$A14)*(lentry!$B$3:$B$3999&lt;=jan!M$3)*(lentry!$C$3:$C$3999&gt;=jan!M$3)),lentry!$D$3:$D$3999),IF(WEEKDAY(jan!M$3,1)=1,"WO","P"))</f>
        <v>P</v>
      </c>
      <c r="N14" s="6" t="str">
        <f>IFERROR(LOOKUP(2,1/((lentry!$A$3:$A$3999=jan!$A14)*(lentry!$B$3:$B$3999&lt;=jan!N$3)*(lentry!$C$3:$C$3999&gt;=jan!N$3)),lentry!$D$3:$D$3999),IF(WEEKDAY(jan!N$3,1)=1,"WO","P"))</f>
        <v>P</v>
      </c>
      <c r="O14" s="6" t="str">
        <f>IFERROR(LOOKUP(2,1/((lentry!$A$3:$A$3999=jan!$A14)*(lentry!$B$3:$B$3999&lt;=jan!O$3)*(lentry!$C$3:$C$3999&gt;=jan!O$3)),lentry!$D$3:$D$3999),IF(WEEKDAY(jan!O$3,1)=1,"WO","P"))</f>
        <v>P</v>
      </c>
      <c r="P14" s="6" t="s">
        <v>342</v>
      </c>
      <c r="Q14" s="6" t="str">
        <f>IFERROR(LOOKUP(2,1/((lentry!$A$3:$A$3999=jan!$A14)*(lentry!$B$3:$B$3999&lt;=jan!Q$3)*(lentry!$C$3:$C$3999&gt;=jan!Q$3)),lentry!$D$3:$D$3999),IF(WEEKDAY(jan!Q$3,1)=1,"WO","P"))</f>
        <v>P</v>
      </c>
      <c r="R14" s="6" t="str">
        <f>IFERROR(LOOKUP(2,1/((lentry!$A$3:$A$3999=jan!$A14)*(lentry!$B$3:$B$3999&lt;=jan!R$3)*(lentry!$C$3:$C$3999&gt;=jan!R$3)),lentry!$D$3:$D$3999),IF(WEEKDAY(jan!R$3,1)=1,"WO","P"))</f>
        <v>PL</v>
      </c>
      <c r="S14" s="6" t="str">
        <f>IFERROR(LOOKUP(2,1/((lentry!$A$3:$A$3999=jan!$A14)*(lentry!$B$3:$B$3999&lt;=jan!S$3)*(lentry!$C$3:$C$3999&gt;=jan!S$3)),lentry!$D$3:$D$3999),IF(WEEKDAY(jan!S$3,1)=1,"WO","P"))</f>
        <v>PL</v>
      </c>
      <c r="T14" s="6" t="str">
        <f>IFERROR(LOOKUP(2,1/((lentry!$A$3:$A$3999=jan!$A14)*(lentry!$B$3:$B$3999&lt;=jan!T$3)*(lentry!$C$3:$C$3999&gt;=jan!T$3)),lentry!$D$3:$D$3999),IF(WEEKDAY(jan!T$3,1)=1,"WO","P"))</f>
        <v>P</v>
      </c>
      <c r="U14" s="6" t="str">
        <f>IFERROR(LOOKUP(2,1/((lentry!$A$3:$A$3999=jan!$A14)*(lentry!$B$3:$B$3999&lt;=jan!U$3)*(lentry!$C$3:$C$3999&gt;=jan!U$3)),lentry!$D$3:$D$3999),IF(WEEKDAY(jan!U$3,1)=1,"WO","P"))</f>
        <v>P</v>
      </c>
      <c r="V14" s="6" t="str">
        <f>IFERROR(LOOKUP(2,1/((lentry!$A$3:$A$3999=jan!$A14)*(lentry!$B$3:$B$3999&lt;=jan!V$3)*(lentry!$C$3:$C$3999&gt;=jan!V$3)),lentry!$D$3:$D$3999),IF(WEEKDAY(jan!V$3,1)=1,"WO","P"))</f>
        <v>P</v>
      </c>
      <c r="W14" s="6" t="str">
        <f>IFERROR(LOOKUP(2,1/((lentry!$A$3:$A$3999=jan!$A14)*(lentry!$B$3:$B$3999&lt;=jan!W$3)*(lentry!$C$3:$C$3999&gt;=jan!W$3)),lentry!$D$3:$D$3999),IF(WEEKDAY(jan!W$3,1)=1,"WO","P"))</f>
        <v>WO</v>
      </c>
      <c r="X14" s="6" t="str">
        <f>IFERROR(LOOKUP(2,1/((lentry!$A$3:$A$3999=jan!$A14)*(lentry!$B$3:$B$3999&lt;=jan!X$3)*(lentry!$C$3:$C$3999&gt;=jan!X$3)),lentry!$D$3:$D$3999),IF(WEEKDAY(jan!X$3,1)=1,"WO","P"))</f>
        <v>P</v>
      </c>
      <c r="Y14" s="6" t="str">
        <f>IFERROR(LOOKUP(2,1/((lentry!$A$3:$A$3999=jan!$A14)*(lentry!$B$3:$B$3999&lt;=jan!Y$3)*(lentry!$C$3:$C$3999&gt;=jan!Y$3)),lentry!$D$3:$D$3999),IF(WEEKDAY(jan!Y$3,1)=1,"WO","P"))</f>
        <v>P</v>
      </c>
      <c r="Z14" s="6" t="str">
        <f>IFERROR(LOOKUP(2,1/((lentry!$A$3:$A$3999=jan!$A14)*(lentry!$B$3:$B$3999&lt;=jan!Z$3)*(lentry!$C$3:$C$3999&gt;=jan!Z$3)),lentry!$D$3:$D$3999),IF(WEEKDAY(jan!Z$3,1)=1,"WO","P"))</f>
        <v>P</v>
      </c>
      <c r="AA14" s="6" t="str">
        <f>IFERROR(LOOKUP(2,1/((lentry!$A$3:$A$3999=jan!$A14)*(lentry!$B$3:$B$3999&lt;=jan!AA$3)*(lentry!$C$3:$C$3999&gt;=jan!AA$3)),lentry!$D$3:$D$3999),IF(WEEKDAY(jan!AA$3,1)=1,"WO","P"))</f>
        <v>P</v>
      </c>
      <c r="AB14" s="6" t="str">
        <f>IFERROR(LOOKUP(2,1/((lentry!$A$3:$A$3999=jan!$A14)*(lentry!$B$3:$B$3999&lt;=jan!AB$3)*(lentry!$C$3:$C$3999&gt;=jan!AB$3)),lentry!$D$3:$D$3999),IF(WEEKDAY(jan!AB$3,1)=1,"WO","P"))</f>
        <v>P</v>
      </c>
      <c r="AC14" s="6" t="str">
        <f>IFERROR(LOOKUP(2,1/((lentry!$A$3:$A$3999=jan!$A14)*(lentry!$B$3:$B$3999&lt;=jan!AC$3)*(lentry!$C$3:$C$3999&gt;=jan!AC$3)),lentry!$D$3:$D$3999),IF(WEEKDAY(jan!AC$3,1)=1,"WO","P"))</f>
        <v>P</v>
      </c>
      <c r="AD14" s="6" t="str">
        <f>IFERROR(LOOKUP(2,1/((lentry!$A$3:$A$3999=jan!$A14)*(lentry!$B$3:$B$3999&lt;=jan!AD$3)*(lentry!$C$3:$C$3999&gt;=jan!AD$3)),lentry!$D$3:$D$3999),IF(WEEKDAY(jan!AD$3,1)=1,"WO","P"))</f>
        <v>WO</v>
      </c>
      <c r="AE14" s="6" t="s">
        <v>350</v>
      </c>
      <c r="AF14" s="6" t="str">
        <f>IFERROR(LOOKUP(2,1/((lentry!$A$3:$A$3999=jan!$A14)*(lentry!$B$3:$B$3999&lt;=jan!AF$3)*(lentry!$C$3:$C$3999&gt;=jan!AF$3)),lentry!$D$3:$D$3999),IF(WEEKDAY(jan!AF$3,1)=1,"WO","P"))</f>
        <v>P</v>
      </c>
      <c r="AG14" s="6" t="str">
        <f>IFERROR(LOOKUP(2,1/((lentry!$A$3:$A$3999=jan!$A14)*(lentry!$B$3:$B$3999&lt;=jan!AG$3)*(lentry!$C$3:$C$3999&gt;=jan!AG$3)),lentry!$D$3:$D$3999),IF(WEEKDAY(jan!AG$3,1)=1,"WO","P"))</f>
        <v>P</v>
      </c>
      <c r="AH14" s="6" t="str">
        <f>IFERROR(LOOKUP(2,1/((lentry!$A$3:$A$3999=jan!$A14)*(lentry!$B$3:$B$3999&lt;=jan!AH$3)*(lentry!$C$3:$C$3999&gt;=jan!AH$3)),lentry!$D$3:$D$3999),IF(WEEKDAY(jan!AH$3,1)=1,"WO","P"))</f>
        <v>P</v>
      </c>
      <c r="AI14" s="6" t="str">
        <f>IFERROR(LOOKUP(2,1/((lentry!$A$3:$A$3999=jan!$A14)*(lentry!$B$3:$B$3999&lt;=jan!AI$3)*(lentry!$C$3:$C$3999&gt;=jan!AI$3)),lentry!$D$3:$D$3999),IF(WEEKDAY(jan!AI$3,1)=1,"WO","P"))</f>
        <v>P</v>
      </c>
      <c r="AJ14" s="6" t="str">
        <f>IFERROR(LOOKUP(2,1/((lentry!$A$3:$A$3999=jan!$A14)*(lentry!$B$3:$B$3999&lt;=jan!AJ$3)*(lentry!$C$3:$C$3999&gt;=jan!AJ$3)),lentry!$D$3:$D$3999),IF(WEEKDAY(jan!AJ$3,1)=1,"WO","P"))</f>
        <v>P</v>
      </c>
      <c r="AK14" s="18">
        <f>COUNTIF(jan!$F14:$AJ14,"WO")</f>
        <v>4</v>
      </c>
      <c r="AL14" s="18">
        <f>COUNTIF(jan!$F14:$AJ14,"H")</f>
        <v>1</v>
      </c>
      <c r="AM14" s="18">
        <f>COUNTIF(jan!$F14:$AJ14,"PL")</f>
        <v>2</v>
      </c>
      <c r="AN14" s="18">
        <f>COUNTIF(jan!$F14:$AJ14,"LWP")</f>
        <v>0</v>
      </c>
      <c r="AO14" s="18">
        <f>COUNTIF(jan!$F14:$AJ14,"HD")</f>
        <v>0</v>
      </c>
      <c r="AP14" s="18">
        <f>COUNTIF(jan!$F14:$AJ14,"SL")</f>
        <v>0</v>
      </c>
      <c r="AQ14" s="18">
        <f>COUNTIF(jan!$F14:$AJ14,"CL")</f>
        <v>0</v>
      </c>
      <c r="AR14" s="18">
        <f>COUNTIF(jan!$F14:$AJ14,"A")</f>
        <v>0</v>
      </c>
      <c r="AS14" s="18">
        <f>COUNTIF(jan!$F14:$AJ14,"P")</f>
        <v>24</v>
      </c>
      <c r="AT14" s="18">
        <f t="shared" si="2"/>
        <v>31</v>
      </c>
      <c r="AU14" s="18">
        <f t="shared" si="3"/>
        <v>31</v>
      </c>
    </row>
    <row r="15" spans="1:47" ht="18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6" t="str">
        <f>IFERROR(LOOKUP(2,1/((lentry!$A$3:$A$3999=jan!$A15)*(lentry!$B$3:$B$3999&lt;=jan!F$3)*(lentry!$C$3:$C$3999&gt;=jan!F$3)),lentry!$D$3:$D$3999),IF(WEEKDAY(jan!F$3,1)=1,"WO","P"))</f>
        <v>P</v>
      </c>
      <c r="G15" s="6" t="str">
        <f>IFERROR(LOOKUP(2,1/((lentry!$A$3:$A$3999=jan!$A15)*(lentry!$B$3:$B$3999&lt;=jan!G$3)*(lentry!$C$3:$C$3999&gt;=jan!G$3)),lentry!$D$3:$D$3999),IF(WEEKDAY(jan!G$3,1)=1,"WO","P"))</f>
        <v>P</v>
      </c>
      <c r="H15" s="6" t="str">
        <f>IFERROR(LOOKUP(2,1/((lentry!$A$3:$A$3999=jan!$A15)*(lentry!$B$3:$B$3999&lt;=jan!H$3)*(lentry!$C$3:$C$3999&gt;=jan!H$3)),lentry!$D$3:$D$3999),IF(WEEKDAY(jan!H$3,1)=1,"WO","P"))</f>
        <v>P</v>
      </c>
      <c r="I15" s="6" t="str">
        <f>IFERROR(LOOKUP(2,1/((lentry!$A$3:$A$3999=jan!$A15)*(lentry!$B$3:$B$3999&lt;=jan!I$3)*(lentry!$C$3:$C$3999&gt;=jan!I$3)),lentry!$D$3:$D$3999),IF(WEEKDAY(jan!I$3,1)=1,"WO","P"))</f>
        <v>WO</v>
      </c>
      <c r="J15" s="6" t="str">
        <f>IFERROR(LOOKUP(2,1/((lentry!$A$3:$A$3999=jan!$A15)*(lentry!$B$3:$B$3999&lt;=jan!J$3)*(lentry!$C$3:$C$3999&gt;=jan!J$3)),lentry!$D$3:$D$3999),IF(WEEKDAY(jan!J$3,1)=1,"WO","P"))</f>
        <v>P</v>
      </c>
      <c r="K15" s="6" t="str">
        <f>IFERROR(LOOKUP(2,1/((lentry!$A$3:$A$3999=jan!$A15)*(lentry!$B$3:$B$3999&lt;=jan!K$3)*(lentry!$C$3:$C$3999&gt;=jan!K$3)),lentry!$D$3:$D$3999),IF(WEEKDAY(jan!K$3,1)=1,"WO","P"))</f>
        <v>P</v>
      </c>
      <c r="L15" s="6" t="str">
        <f>IFERROR(LOOKUP(2,1/((lentry!$A$3:$A$3999=jan!$A15)*(lentry!$B$3:$B$3999&lt;=jan!L$3)*(lentry!$C$3:$C$3999&gt;=jan!L$3)),lentry!$D$3:$D$3999),IF(WEEKDAY(jan!L$3,1)=1,"WO","P"))</f>
        <v>P</v>
      </c>
      <c r="M15" s="6" t="str">
        <f>IFERROR(LOOKUP(2,1/((lentry!$A$3:$A$3999=jan!$A15)*(lentry!$B$3:$B$3999&lt;=jan!M$3)*(lentry!$C$3:$C$3999&gt;=jan!M$3)),lentry!$D$3:$D$3999),IF(WEEKDAY(jan!M$3,1)=1,"WO","P"))</f>
        <v>P</v>
      </c>
      <c r="N15" s="6" t="str">
        <f>IFERROR(LOOKUP(2,1/((lentry!$A$3:$A$3999=jan!$A15)*(lentry!$B$3:$B$3999&lt;=jan!N$3)*(lentry!$C$3:$C$3999&gt;=jan!N$3)),lentry!$D$3:$D$3999),IF(WEEKDAY(jan!N$3,1)=1,"WO","P"))</f>
        <v>P</v>
      </c>
      <c r="O15" s="6" t="str">
        <f>IFERROR(LOOKUP(2,1/((lentry!$A$3:$A$3999=jan!$A15)*(lentry!$B$3:$B$3999&lt;=jan!O$3)*(lentry!$C$3:$C$3999&gt;=jan!O$3)),lentry!$D$3:$D$3999),IF(WEEKDAY(jan!O$3,1)=1,"WO","P"))</f>
        <v>P</v>
      </c>
      <c r="P15" s="6" t="s">
        <v>342</v>
      </c>
      <c r="Q15" s="6" t="str">
        <f>IFERROR(LOOKUP(2,1/((lentry!$A$3:$A$3999=jan!$A15)*(lentry!$B$3:$B$3999&lt;=jan!Q$3)*(lentry!$C$3:$C$3999&gt;=jan!Q$3)),lentry!$D$3:$D$3999),IF(WEEKDAY(jan!Q$3,1)=1,"WO","P"))</f>
        <v>P</v>
      </c>
      <c r="R15" s="6" t="str">
        <f>IFERROR(LOOKUP(2,1/((lentry!$A$3:$A$3999=jan!$A15)*(lentry!$B$3:$B$3999&lt;=jan!R$3)*(lentry!$C$3:$C$3999&gt;=jan!R$3)),lentry!$D$3:$D$3999),IF(WEEKDAY(jan!R$3,1)=1,"WO","P"))</f>
        <v>P</v>
      </c>
      <c r="S15" s="6" t="str">
        <f>IFERROR(LOOKUP(2,1/((lentry!$A$3:$A$3999=jan!$A15)*(lentry!$B$3:$B$3999&lt;=jan!S$3)*(lentry!$C$3:$C$3999&gt;=jan!S$3)),lentry!$D$3:$D$3999),IF(WEEKDAY(jan!S$3,1)=1,"WO","P"))</f>
        <v>P</v>
      </c>
      <c r="T15" s="6" t="str">
        <f>IFERROR(LOOKUP(2,1/((lentry!$A$3:$A$3999=jan!$A15)*(lentry!$B$3:$B$3999&lt;=jan!T$3)*(lentry!$C$3:$C$3999&gt;=jan!T$3)),lentry!$D$3:$D$3999),IF(WEEKDAY(jan!T$3,1)=1,"WO","P"))</f>
        <v>P</v>
      </c>
      <c r="U15" s="6" t="str">
        <f>IFERROR(LOOKUP(2,1/((lentry!$A$3:$A$3999=jan!$A15)*(lentry!$B$3:$B$3999&lt;=jan!U$3)*(lentry!$C$3:$C$3999&gt;=jan!U$3)),lentry!$D$3:$D$3999),IF(WEEKDAY(jan!U$3,1)=1,"WO","P"))</f>
        <v>P</v>
      </c>
      <c r="V15" s="6" t="str">
        <f>IFERROR(LOOKUP(2,1/((lentry!$A$3:$A$3999=jan!$A15)*(lentry!$B$3:$B$3999&lt;=jan!V$3)*(lentry!$C$3:$C$3999&gt;=jan!V$3)),lentry!$D$3:$D$3999),IF(WEEKDAY(jan!V$3,1)=1,"WO","P"))</f>
        <v>P</v>
      </c>
      <c r="W15" s="6" t="str">
        <f>IFERROR(LOOKUP(2,1/((lentry!$A$3:$A$3999=jan!$A15)*(lentry!$B$3:$B$3999&lt;=jan!W$3)*(lentry!$C$3:$C$3999&gt;=jan!W$3)),lentry!$D$3:$D$3999),IF(WEEKDAY(jan!W$3,1)=1,"WO","P"))</f>
        <v>WO</v>
      </c>
      <c r="X15" s="6" t="str">
        <f>IFERROR(LOOKUP(2,1/((lentry!$A$3:$A$3999=jan!$A15)*(lentry!$B$3:$B$3999&lt;=jan!X$3)*(lentry!$C$3:$C$3999&gt;=jan!X$3)),lentry!$D$3:$D$3999),IF(WEEKDAY(jan!X$3,1)=1,"WO","P"))</f>
        <v>P</v>
      </c>
      <c r="Y15" s="6" t="str">
        <f>IFERROR(LOOKUP(2,1/((lentry!$A$3:$A$3999=jan!$A15)*(lentry!$B$3:$B$3999&lt;=jan!Y$3)*(lentry!$C$3:$C$3999&gt;=jan!Y$3)),lentry!$D$3:$D$3999),IF(WEEKDAY(jan!Y$3,1)=1,"WO","P"))</f>
        <v>P</v>
      </c>
      <c r="Z15" s="6" t="str">
        <f>IFERROR(LOOKUP(2,1/((lentry!$A$3:$A$3999=jan!$A15)*(lentry!$B$3:$B$3999&lt;=jan!Z$3)*(lentry!$C$3:$C$3999&gt;=jan!Z$3)),lentry!$D$3:$D$3999),IF(WEEKDAY(jan!Z$3,1)=1,"WO","P"))</f>
        <v>P</v>
      </c>
      <c r="AA15" s="6" t="str">
        <f>IFERROR(LOOKUP(2,1/((lentry!$A$3:$A$3999=jan!$A15)*(lentry!$B$3:$B$3999&lt;=jan!AA$3)*(lentry!$C$3:$C$3999&gt;=jan!AA$3)),lentry!$D$3:$D$3999),IF(WEEKDAY(jan!AA$3,1)=1,"WO","P"))</f>
        <v>P</v>
      </c>
      <c r="AB15" s="6" t="str">
        <f>IFERROR(LOOKUP(2,1/((lentry!$A$3:$A$3999=jan!$A15)*(lentry!$B$3:$B$3999&lt;=jan!AB$3)*(lentry!$C$3:$C$3999&gt;=jan!AB$3)),lentry!$D$3:$D$3999),IF(WEEKDAY(jan!AB$3,1)=1,"WO","P"))</f>
        <v>P</v>
      </c>
      <c r="AC15" s="6" t="str">
        <f>IFERROR(LOOKUP(2,1/((lentry!$A$3:$A$3999=jan!$A15)*(lentry!$B$3:$B$3999&lt;=jan!AC$3)*(lentry!$C$3:$C$3999&gt;=jan!AC$3)),lentry!$D$3:$D$3999),IF(WEEKDAY(jan!AC$3,1)=1,"WO","P"))</f>
        <v>P</v>
      </c>
      <c r="AD15" s="6" t="str">
        <f>IFERROR(LOOKUP(2,1/((lentry!$A$3:$A$3999=jan!$A15)*(lentry!$B$3:$B$3999&lt;=jan!AD$3)*(lentry!$C$3:$C$3999&gt;=jan!AD$3)),lentry!$D$3:$D$3999),IF(WEEKDAY(jan!AD$3,1)=1,"WO","P"))</f>
        <v>WO</v>
      </c>
      <c r="AE15" s="6" t="s">
        <v>350</v>
      </c>
      <c r="AF15" s="6" t="str">
        <f>IFERROR(LOOKUP(2,1/((lentry!$A$3:$A$3999=jan!$A15)*(lentry!$B$3:$B$3999&lt;=jan!AF$3)*(lentry!$C$3:$C$3999&gt;=jan!AF$3)),lentry!$D$3:$D$3999),IF(WEEKDAY(jan!AF$3,1)=1,"WO","P"))</f>
        <v>P</v>
      </c>
      <c r="AG15" s="6" t="str">
        <f>IFERROR(LOOKUP(2,1/((lentry!$A$3:$A$3999=jan!$A15)*(lentry!$B$3:$B$3999&lt;=jan!AG$3)*(lentry!$C$3:$C$3999&gt;=jan!AG$3)),lentry!$D$3:$D$3999),IF(WEEKDAY(jan!AG$3,1)=1,"WO","P"))</f>
        <v>P</v>
      </c>
      <c r="AH15" s="6" t="str">
        <f>IFERROR(LOOKUP(2,1/((lentry!$A$3:$A$3999=jan!$A15)*(lentry!$B$3:$B$3999&lt;=jan!AH$3)*(lentry!$C$3:$C$3999&gt;=jan!AH$3)),lentry!$D$3:$D$3999),IF(WEEKDAY(jan!AH$3,1)=1,"WO","P"))</f>
        <v>P</v>
      </c>
      <c r="AI15" s="6" t="str">
        <f>IFERROR(LOOKUP(2,1/((lentry!$A$3:$A$3999=jan!$A15)*(lentry!$B$3:$B$3999&lt;=jan!AI$3)*(lentry!$C$3:$C$3999&gt;=jan!AI$3)),lentry!$D$3:$D$3999),IF(WEEKDAY(jan!AI$3,1)=1,"WO","P"))</f>
        <v>P</v>
      </c>
      <c r="AJ15" s="6" t="str">
        <f>IFERROR(LOOKUP(2,1/((lentry!$A$3:$A$3999=jan!$A15)*(lentry!$B$3:$B$3999&lt;=jan!AJ$3)*(lentry!$C$3:$C$3999&gt;=jan!AJ$3)),lentry!$D$3:$D$3999),IF(WEEKDAY(jan!AJ$3,1)=1,"WO","P"))</f>
        <v>P</v>
      </c>
      <c r="AK15" s="18">
        <f>COUNTIF(jan!$F15:$AJ15,"WO")</f>
        <v>4</v>
      </c>
      <c r="AL15" s="18">
        <f>COUNTIF(jan!$F15:$AJ15,"H")</f>
        <v>1</v>
      </c>
      <c r="AM15" s="18">
        <f>COUNTIF(jan!$F15:$AJ15,"PL")</f>
        <v>0</v>
      </c>
      <c r="AN15" s="18">
        <f>COUNTIF(jan!$F15:$AJ15,"LWP")</f>
        <v>0</v>
      </c>
      <c r="AO15" s="18">
        <f>COUNTIF(jan!$F15:$AJ15,"HD")</f>
        <v>0</v>
      </c>
      <c r="AP15" s="18">
        <f>COUNTIF(jan!$F15:$AJ15,"SL")</f>
        <v>0</v>
      </c>
      <c r="AQ15" s="18">
        <f>COUNTIF(jan!$F15:$AJ15,"CL")</f>
        <v>0</v>
      </c>
      <c r="AR15" s="18">
        <f>COUNTIF(jan!$F15:$AJ15,"A")</f>
        <v>0</v>
      </c>
      <c r="AS15" s="18">
        <f>COUNTIF(jan!$F15:$AJ15,"P")</f>
        <v>26</v>
      </c>
      <c r="AT15" s="18">
        <f t="shared" si="2"/>
        <v>31</v>
      </c>
      <c r="AU15" s="18">
        <f t="shared" si="3"/>
        <v>31</v>
      </c>
    </row>
    <row r="16" spans="1:47" ht="18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6" t="str">
        <f>IFERROR(LOOKUP(2,1/((lentry!$A$3:$A$3999=jan!$A16)*(lentry!$B$3:$B$3999&lt;=jan!F$3)*(lentry!$C$3:$C$3999&gt;=jan!F$3)),lentry!$D$3:$D$3999),IF(WEEKDAY(jan!F$3,1)=1,"WO","P"))</f>
        <v>P</v>
      </c>
      <c r="G16" s="6" t="s">
        <v>539</v>
      </c>
      <c r="H16" s="6" t="str">
        <f>IFERROR(LOOKUP(2,1/((lentry!$A$3:$A$3999=jan!$A16)*(lentry!$B$3:$B$3999&lt;=jan!H$3)*(lentry!$C$3:$C$3999&gt;=jan!H$3)),lentry!$D$3:$D$3999),IF(WEEKDAY(jan!H$3,1)=1,"WO","P"))</f>
        <v>P</v>
      </c>
      <c r="I16" s="6" t="str">
        <f>IFERROR(LOOKUP(2,1/((lentry!$A$3:$A$3999=jan!$A16)*(lentry!$B$3:$B$3999&lt;=jan!I$3)*(lentry!$C$3:$C$3999&gt;=jan!I$3)),lentry!$D$3:$D$3999),IF(WEEKDAY(jan!I$3,1)=1,"WO","P"))</f>
        <v>WO</v>
      </c>
      <c r="J16" s="6" t="str">
        <f>IFERROR(LOOKUP(2,1/((lentry!$A$3:$A$3999=jan!$A16)*(lentry!$B$3:$B$3999&lt;=jan!J$3)*(lentry!$C$3:$C$3999&gt;=jan!J$3)),lentry!$D$3:$D$3999),IF(WEEKDAY(jan!J$3,1)=1,"WO","P"))</f>
        <v>P</v>
      </c>
      <c r="K16" s="6" t="str">
        <f>IFERROR(LOOKUP(2,1/((lentry!$A$3:$A$3999=jan!$A16)*(lentry!$B$3:$B$3999&lt;=jan!K$3)*(lentry!$C$3:$C$3999&gt;=jan!K$3)),lentry!$D$3:$D$3999),IF(WEEKDAY(jan!K$3,1)=1,"WO","P"))</f>
        <v>P</v>
      </c>
      <c r="L16" s="6" t="str">
        <f>IFERROR(LOOKUP(2,1/((lentry!$A$3:$A$3999=jan!$A16)*(lentry!$B$3:$B$3999&lt;=jan!L$3)*(lentry!$C$3:$C$3999&gt;=jan!L$3)),lentry!$D$3:$D$3999),IF(WEEKDAY(jan!L$3,1)=1,"WO","P"))</f>
        <v>P</v>
      </c>
      <c r="M16" s="6" t="str">
        <f>IFERROR(LOOKUP(2,1/((lentry!$A$3:$A$3999=jan!$A16)*(lentry!$B$3:$B$3999&lt;=jan!M$3)*(lentry!$C$3:$C$3999&gt;=jan!M$3)),lentry!$D$3:$D$3999),IF(WEEKDAY(jan!M$3,1)=1,"WO","P"))</f>
        <v>P</v>
      </c>
      <c r="N16" s="6" t="str">
        <f>IFERROR(LOOKUP(2,1/((lentry!$A$3:$A$3999=jan!$A16)*(lentry!$B$3:$B$3999&lt;=jan!N$3)*(lentry!$C$3:$C$3999&gt;=jan!N$3)),lentry!$D$3:$D$3999),IF(WEEKDAY(jan!N$3,1)=1,"WO","P"))</f>
        <v>P</v>
      </c>
      <c r="O16" s="6" t="str">
        <f>IFERROR(LOOKUP(2,1/((lentry!$A$3:$A$3999=jan!$A16)*(lentry!$B$3:$B$3999&lt;=jan!O$3)*(lentry!$C$3:$C$3999&gt;=jan!O$3)),lentry!$D$3:$D$3999),IF(WEEKDAY(jan!O$3,1)=1,"WO","P"))</f>
        <v>P</v>
      </c>
      <c r="P16" s="6" t="s">
        <v>342</v>
      </c>
      <c r="Q16" s="6" t="str">
        <f>IFERROR(LOOKUP(2,1/((lentry!$A$3:$A$3999=jan!$A16)*(lentry!$B$3:$B$3999&lt;=jan!Q$3)*(lentry!$C$3:$C$3999&gt;=jan!Q$3)),lentry!$D$3:$D$3999),IF(WEEKDAY(jan!Q$3,1)=1,"WO","P"))</f>
        <v>P</v>
      </c>
      <c r="R16" s="6" t="str">
        <f>IFERROR(LOOKUP(2,1/((lentry!$A$3:$A$3999=jan!$A16)*(lentry!$B$3:$B$3999&lt;=jan!R$3)*(lentry!$C$3:$C$3999&gt;=jan!R$3)),lentry!$D$3:$D$3999),IF(WEEKDAY(jan!R$3,1)=1,"WO","P"))</f>
        <v>P</v>
      </c>
      <c r="S16" s="6" t="str">
        <f>IFERROR(LOOKUP(2,1/((lentry!$A$3:$A$3999=jan!$A16)*(lentry!$B$3:$B$3999&lt;=jan!S$3)*(lentry!$C$3:$C$3999&gt;=jan!S$3)),lentry!$D$3:$D$3999),IF(WEEKDAY(jan!S$3,1)=1,"WO","P"))</f>
        <v>P</v>
      </c>
      <c r="T16" s="6" t="str">
        <f>IFERROR(LOOKUP(2,1/((lentry!$A$3:$A$3999=jan!$A16)*(lentry!$B$3:$B$3999&lt;=jan!T$3)*(lentry!$C$3:$C$3999&gt;=jan!T$3)),lentry!$D$3:$D$3999),IF(WEEKDAY(jan!T$3,1)=1,"WO","P"))</f>
        <v>P</v>
      </c>
      <c r="U16" s="6" t="str">
        <f>IFERROR(LOOKUP(2,1/((lentry!$A$3:$A$3999=jan!$A16)*(lentry!$B$3:$B$3999&lt;=jan!U$3)*(lentry!$C$3:$C$3999&gt;=jan!U$3)),lentry!$D$3:$D$3999),IF(WEEKDAY(jan!U$3,1)=1,"WO","P"))</f>
        <v>P</v>
      </c>
      <c r="V16" s="6" t="str">
        <f>IFERROR(LOOKUP(2,1/((lentry!$A$3:$A$3999=jan!$A16)*(lentry!$B$3:$B$3999&lt;=jan!V$3)*(lentry!$C$3:$C$3999&gt;=jan!V$3)),lentry!$D$3:$D$3999),IF(WEEKDAY(jan!V$3,1)=1,"WO","P"))</f>
        <v>P</v>
      </c>
      <c r="W16" s="6" t="str">
        <f>IFERROR(LOOKUP(2,1/((lentry!$A$3:$A$3999=jan!$A16)*(lentry!$B$3:$B$3999&lt;=jan!W$3)*(lentry!$C$3:$C$3999&gt;=jan!W$3)),lentry!$D$3:$D$3999),IF(WEEKDAY(jan!W$3,1)=1,"WO","P"))</f>
        <v>WO</v>
      </c>
      <c r="X16" s="6" t="str">
        <f>IFERROR(LOOKUP(2,1/((lentry!$A$3:$A$3999=jan!$A16)*(lentry!$B$3:$B$3999&lt;=jan!X$3)*(lentry!$C$3:$C$3999&gt;=jan!X$3)),lentry!$D$3:$D$3999),IF(WEEKDAY(jan!X$3,1)=1,"WO","P"))</f>
        <v>P</v>
      </c>
      <c r="Y16" s="6" t="str">
        <f>IFERROR(LOOKUP(2,1/((lentry!$A$3:$A$3999=jan!$A16)*(lentry!$B$3:$B$3999&lt;=jan!Y$3)*(lentry!$C$3:$C$3999&gt;=jan!Y$3)),lentry!$D$3:$D$3999),IF(WEEKDAY(jan!Y$3,1)=1,"WO","P"))</f>
        <v>P</v>
      </c>
      <c r="Z16" s="6" t="s">
        <v>539</v>
      </c>
      <c r="AA16" s="6" t="str">
        <f>IFERROR(LOOKUP(2,1/((lentry!$A$3:$A$3999=jan!$A16)*(lentry!$B$3:$B$3999&lt;=jan!AA$3)*(lentry!$C$3:$C$3999&gt;=jan!AA$3)),lentry!$D$3:$D$3999),IF(WEEKDAY(jan!AA$3,1)=1,"WO","P"))</f>
        <v>P</v>
      </c>
      <c r="AB16" s="6" t="str">
        <f>IFERROR(LOOKUP(2,1/((lentry!$A$3:$A$3999=jan!$A16)*(lentry!$B$3:$B$3999&lt;=jan!AB$3)*(lentry!$C$3:$C$3999&gt;=jan!AB$3)),lentry!$D$3:$D$3999),IF(WEEKDAY(jan!AB$3,1)=1,"WO","P"))</f>
        <v>P</v>
      </c>
      <c r="AC16" s="6" t="str">
        <f>IFERROR(LOOKUP(2,1/((lentry!$A$3:$A$3999=jan!$A16)*(lentry!$B$3:$B$3999&lt;=jan!AC$3)*(lentry!$C$3:$C$3999&gt;=jan!AC$3)),lentry!$D$3:$D$3999),IF(WEEKDAY(jan!AC$3,1)=1,"WO","P"))</f>
        <v>P</v>
      </c>
      <c r="AD16" s="6" t="str">
        <f>IFERROR(LOOKUP(2,1/((lentry!$A$3:$A$3999=jan!$A16)*(lentry!$B$3:$B$3999&lt;=jan!AD$3)*(lentry!$C$3:$C$3999&gt;=jan!AD$3)),lentry!$D$3:$D$3999),IF(WEEKDAY(jan!AD$3,1)=1,"WO","P"))</f>
        <v>WO</v>
      </c>
      <c r="AE16" s="6" t="s">
        <v>350</v>
      </c>
      <c r="AF16" s="6" t="str">
        <f>IFERROR(LOOKUP(2,1/((lentry!$A$3:$A$3999=jan!$A16)*(lentry!$B$3:$B$3999&lt;=jan!AF$3)*(lentry!$C$3:$C$3999&gt;=jan!AF$3)),lentry!$D$3:$D$3999),IF(WEEKDAY(jan!AF$3,1)=1,"WO","P"))</f>
        <v>P</v>
      </c>
      <c r="AG16" s="6" t="str">
        <f>IFERROR(LOOKUP(2,1/((lentry!$A$3:$A$3999=jan!$A16)*(lentry!$B$3:$B$3999&lt;=jan!AG$3)*(lentry!$C$3:$C$3999&gt;=jan!AG$3)),lentry!$D$3:$D$3999),IF(WEEKDAY(jan!AG$3,1)=1,"WO","P"))</f>
        <v>P</v>
      </c>
      <c r="AH16" s="6" t="str">
        <f>IFERROR(LOOKUP(2,1/((lentry!$A$3:$A$3999=jan!$A16)*(lentry!$B$3:$B$3999&lt;=jan!AH$3)*(lentry!$C$3:$C$3999&gt;=jan!AH$3)),lentry!$D$3:$D$3999),IF(WEEKDAY(jan!AH$3,1)=1,"WO","P"))</f>
        <v>P</v>
      </c>
      <c r="AI16" s="6" t="str">
        <f>IFERROR(LOOKUP(2,1/((lentry!$A$3:$A$3999=jan!$A16)*(lentry!$B$3:$B$3999&lt;=jan!AI$3)*(lentry!$C$3:$C$3999&gt;=jan!AI$3)),lentry!$D$3:$D$3999),IF(WEEKDAY(jan!AI$3,1)=1,"WO","P"))</f>
        <v>P</v>
      </c>
      <c r="AJ16" s="6" t="str">
        <f>IFERROR(LOOKUP(2,1/((lentry!$A$3:$A$3999=jan!$A16)*(lentry!$B$3:$B$3999&lt;=jan!AJ$3)*(lentry!$C$3:$C$3999&gt;=jan!AJ$3)),lentry!$D$3:$D$3999),IF(WEEKDAY(jan!AJ$3,1)=1,"WO","P"))</f>
        <v>P</v>
      </c>
      <c r="AK16" s="18">
        <f>COUNTIF(jan!$F16:$AJ16,"WO")</f>
        <v>4</v>
      </c>
      <c r="AL16" s="18">
        <f>COUNTIF(jan!$F16:$AJ16,"H")</f>
        <v>1</v>
      </c>
      <c r="AM16" s="18">
        <f>COUNTIF(jan!$F16:$AJ16,"PL")</f>
        <v>0</v>
      </c>
      <c r="AN16" s="18">
        <f>COUNTIF(jan!$F16:$AJ16,"LWP")</f>
        <v>0</v>
      </c>
      <c r="AO16" s="18">
        <f>COUNTIF(jan!$F16:$AJ16,"HD")</f>
        <v>0</v>
      </c>
      <c r="AP16" s="18">
        <f>COUNTIF(jan!$F16:$AJ16,"SL")</f>
        <v>0</v>
      </c>
      <c r="AQ16" s="18">
        <f>COUNTIF(jan!$F16:$AJ16,"CL")</f>
        <v>0</v>
      </c>
      <c r="AR16" s="18">
        <f>COUNTIF(jan!$F16:$AJ16,"A")</f>
        <v>2</v>
      </c>
      <c r="AS16" s="18">
        <f>COUNTIF(jan!$F16:$AJ16,"P")</f>
        <v>24</v>
      </c>
      <c r="AT16" s="18">
        <f t="shared" si="2"/>
        <v>31</v>
      </c>
      <c r="AU16" s="18">
        <f t="shared" si="3"/>
        <v>29</v>
      </c>
    </row>
    <row r="17" spans="1:47" ht="18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6" t="str">
        <f>IFERROR(LOOKUP(2,1/((lentry!$A$3:$A$3999=jan!$A17)*(lentry!$B$3:$B$3999&lt;=jan!F$3)*(lentry!$C$3:$C$3999&gt;=jan!F$3)),lentry!$D$3:$D$3999),IF(WEEKDAY(jan!F$3,1)=1,"WO","P"))</f>
        <v>P</v>
      </c>
      <c r="G17" s="6" t="str">
        <f>IFERROR(LOOKUP(2,1/((lentry!$A$3:$A$3999=jan!$A17)*(lentry!$B$3:$B$3999&lt;=jan!G$3)*(lentry!$C$3:$C$3999&gt;=jan!G$3)),lentry!$D$3:$D$3999),IF(WEEKDAY(jan!G$3,1)=1,"WO","P"))</f>
        <v>P</v>
      </c>
      <c r="H17" s="6" t="str">
        <f>IFERROR(LOOKUP(2,1/((lentry!$A$3:$A$3999=jan!$A17)*(lentry!$B$3:$B$3999&lt;=jan!H$3)*(lentry!$C$3:$C$3999&gt;=jan!H$3)),lentry!$D$3:$D$3999),IF(WEEKDAY(jan!H$3,1)=1,"WO","P"))</f>
        <v>P</v>
      </c>
      <c r="I17" s="6" t="str">
        <f>IFERROR(LOOKUP(2,1/((lentry!$A$3:$A$3999=jan!$A17)*(lentry!$B$3:$B$3999&lt;=jan!I$3)*(lentry!$C$3:$C$3999&gt;=jan!I$3)),lentry!$D$3:$D$3999),IF(WEEKDAY(jan!I$3,1)=1,"WO","P"))</f>
        <v>WO</v>
      </c>
      <c r="J17" s="6" t="str">
        <f>IFERROR(LOOKUP(2,1/((lentry!$A$3:$A$3999=jan!$A17)*(lentry!$B$3:$B$3999&lt;=jan!J$3)*(lentry!$C$3:$C$3999&gt;=jan!J$3)),lentry!$D$3:$D$3999),IF(WEEKDAY(jan!J$3,1)=1,"WO","P"))</f>
        <v>P</v>
      </c>
      <c r="K17" s="6" t="str">
        <f>IFERROR(LOOKUP(2,1/((lentry!$A$3:$A$3999=jan!$A17)*(lentry!$B$3:$B$3999&lt;=jan!K$3)*(lentry!$C$3:$C$3999&gt;=jan!K$3)),lentry!$D$3:$D$3999),IF(WEEKDAY(jan!K$3,1)=1,"WO","P"))</f>
        <v>P</v>
      </c>
      <c r="L17" s="6" t="str">
        <f>IFERROR(LOOKUP(2,1/((lentry!$A$3:$A$3999=jan!$A17)*(lentry!$B$3:$B$3999&lt;=jan!L$3)*(lentry!$C$3:$C$3999&gt;=jan!L$3)),lentry!$D$3:$D$3999),IF(WEEKDAY(jan!L$3,1)=1,"WO","P"))</f>
        <v>P</v>
      </c>
      <c r="M17" s="6" t="str">
        <f>IFERROR(LOOKUP(2,1/((lentry!$A$3:$A$3999=jan!$A17)*(lentry!$B$3:$B$3999&lt;=jan!M$3)*(lentry!$C$3:$C$3999&gt;=jan!M$3)),lentry!$D$3:$D$3999),IF(WEEKDAY(jan!M$3,1)=1,"WO","P"))</f>
        <v>P</v>
      </c>
      <c r="N17" s="6" t="str">
        <f>IFERROR(LOOKUP(2,1/((lentry!$A$3:$A$3999=jan!$A17)*(lentry!$B$3:$B$3999&lt;=jan!N$3)*(lentry!$C$3:$C$3999&gt;=jan!N$3)),lentry!$D$3:$D$3999),IF(WEEKDAY(jan!N$3,1)=1,"WO","P"))</f>
        <v>P</v>
      </c>
      <c r="O17" s="6" t="str">
        <f>IFERROR(LOOKUP(2,1/((lentry!$A$3:$A$3999=jan!$A17)*(lentry!$B$3:$B$3999&lt;=jan!O$3)*(lentry!$C$3:$C$3999&gt;=jan!O$3)),lentry!$D$3:$D$3999),IF(WEEKDAY(jan!O$3,1)=1,"WO","P"))</f>
        <v>P</v>
      </c>
      <c r="P17" s="6" t="s">
        <v>342</v>
      </c>
      <c r="Q17" s="6" t="str">
        <f>IFERROR(LOOKUP(2,1/((lentry!$A$3:$A$3999=jan!$A17)*(lentry!$B$3:$B$3999&lt;=jan!Q$3)*(lentry!$C$3:$C$3999&gt;=jan!Q$3)),lentry!$D$3:$D$3999),IF(WEEKDAY(jan!Q$3,1)=1,"WO","P"))</f>
        <v>P</v>
      </c>
      <c r="R17" s="6" t="str">
        <f>IFERROR(LOOKUP(2,1/((lentry!$A$3:$A$3999=jan!$A17)*(lentry!$B$3:$B$3999&lt;=jan!R$3)*(lentry!$C$3:$C$3999&gt;=jan!R$3)),lentry!$D$3:$D$3999),IF(WEEKDAY(jan!R$3,1)=1,"WO","P"))</f>
        <v>P</v>
      </c>
      <c r="S17" s="6" t="str">
        <f>IFERROR(LOOKUP(2,1/((lentry!$A$3:$A$3999=jan!$A17)*(lentry!$B$3:$B$3999&lt;=jan!S$3)*(lentry!$C$3:$C$3999&gt;=jan!S$3)),lentry!$D$3:$D$3999),IF(WEEKDAY(jan!S$3,1)=1,"WO","P"))</f>
        <v>P</v>
      </c>
      <c r="T17" s="6" t="str">
        <f>IFERROR(LOOKUP(2,1/((lentry!$A$3:$A$3999=jan!$A17)*(lentry!$B$3:$B$3999&lt;=jan!T$3)*(lentry!$C$3:$C$3999&gt;=jan!T$3)),lentry!$D$3:$D$3999),IF(WEEKDAY(jan!T$3,1)=1,"WO","P"))</f>
        <v>P</v>
      </c>
      <c r="U17" s="6" t="str">
        <f>IFERROR(LOOKUP(2,1/((lentry!$A$3:$A$3999=jan!$A17)*(lentry!$B$3:$B$3999&lt;=jan!U$3)*(lentry!$C$3:$C$3999&gt;=jan!U$3)),lentry!$D$3:$D$3999),IF(WEEKDAY(jan!U$3,1)=1,"WO","P"))</f>
        <v>P</v>
      </c>
      <c r="V17" s="6" t="str">
        <f>IFERROR(LOOKUP(2,1/((lentry!$A$3:$A$3999=jan!$A17)*(lentry!$B$3:$B$3999&lt;=jan!V$3)*(lentry!$C$3:$C$3999&gt;=jan!V$3)),lentry!$D$3:$D$3999),IF(WEEKDAY(jan!V$3,1)=1,"WO","P"))</f>
        <v>P</v>
      </c>
      <c r="W17" s="6" t="str">
        <f>IFERROR(LOOKUP(2,1/((lentry!$A$3:$A$3999=jan!$A17)*(lentry!$B$3:$B$3999&lt;=jan!W$3)*(lentry!$C$3:$C$3999&gt;=jan!W$3)),lentry!$D$3:$D$3999),IF(WEEKDAY(jan!W$3,1)=1,"WO","P"))</f>
        <v>WO</v>
      </c>
      <c r="X17" s="6" t="str">
        <f>IFERROR(LOOKUP(2,1/((lentry!$A$3:$A$3999=jan!$A17)*(lentry!$B$3:$B$3999&lt;=jan!X$3)*(lentry!$C$3:$C$3999&gt;=jan!X$3)),lentry!$D$3:$D$3999),IF(WEEKDAY(jan!X$3,1)=1,"WO","P"))</f>
        <v>P</v>
      </c>
      <c r="Y17" s="6" t="str">
        <f>IFERROR(LOOKUP(2,1/((lentry!$A$3:$A$3999=jan!$A17)*(lentry!$B$3:$B$3999&lt;=jan!Y$3)*(lentry!$C$3:$C$3999&gt;=jan!Y$3)),lentry!$D$3:$D$3999),IF(WEEKDAY(jan!Y$3,1)=1,"WO","P"))</f>
        <v>P</v>
      </c>
      <c r="Z17" s="6" t="str">
        <f>IFERROR(LOOKUP(2,1/((lentry!$A$3:$A$3999=jan!$A17)*(lentry!$B$3:$B$3999&lt;=jan!Z$3)*(lentry!$C$3:$C$3999&gt;=jan!Z$3)),lentry!$D$3:$D$3999),IF(WEEKDAY(jan!Z$3,1)=1,"WO","P"))</f>
        <v>P</v>
      </c>
      <c r="AA17" s="6" t="str">
        <f>IFERROR(LOOKUP(2,1/((lentry!$A$3:$A$3999=jan!$A17)*(lentry!$B$3:$B$3999&lt;=jan!AA$3)*(lentry!$C$3:$C$3999&gt;=jan!AA$3)),lentry!$D$3:$D$3999),IF(WEEKDAY(jan!AA$3,1)=1,"WO","P"))</f>
        <v>P</v>
      </c>
      <c r="AB17" s="6" t="str">
        <f>IFERROR(LOOKUP(2,1/((lentry!$A$3:$A$3999=jan!$A17)*(lentry!$B$3:$B$3999&lt;=jan!AB$3)*(lentry!$C$3:$C$3999&gt;=jan!AB$3)),lentry!$D$3:$D$3999),IF(WEEKDAY(jan!AB$3,1)=1,"WO","P"))</f>
        <v>P</v>
      </c>
      <c r="AC17" s="6" t="str">
        <f>IFERROR(LOOKUP(2,1/((lentry!$A$3:$A$3999=jan!$A17)*(lentry!$B$3:$B$3999&lt;=jan!AC$3)*(lentry!$C$3:$C$3999&gt;=jan!AC$3)),lentry!$D$3:$D$3999),IF(WEEKDAY(jan!AC$3,1)=1,"WO","P"))</f>
        <v>P</v>
      </c>
      <c r="AD17" s="6" t="str">
        <f>IFERROR(LOOKUP(2,1/((lentry!$A$3:$A$3999=jan!$A17)*(lentry!$B$3:$B$3999&lt;=jan!AD$3)*(lentry!$C$3:$C$3999&gt;=jan!AD$3)),lentry!$D$3:$D$3999),IF(WEEKDAY(jan!AD$3,1)=1,"WO","P"))</f>
        <v>WO</v>
      </c>
      <c r="AE17" s="6" t="s">
        <v>350</v>
      </c>
      <c r="AF17" s="6" t="str">
        <f>IFERROR(LOOKUP(2,1/((lentry!$A$3:$A$3999=jan!$A17)*(lentry!$B$3:$B$3999&lt;=jan!AF$3)*(lentry!$C$3:$C$3999&gt;=jan!AF$3)),lentry!$D$3:$D$3999),IF(WEEKDAY(jan!AF$3,1)=1,"WO","P"))</f>
        <v>P</v>
      </c>
      <c r="AG17" s="6" t="str">
        <f>IFERROR(LOOKUP(2,1/((lentry!$A$3:$A$3999=jan!$A17)*(lentry!$B$3:$B$3999&lt;=jan!AG$3)*(lentry!$C$3:$C$3999&gt;=jan!AG$3)),lentry!$D$3:$D$3999),IF(WEEKDAY(jan!AG$3,1)=1,"WO","P"))</f>
        <v>P</v>
      </c>
      <c r="AH17" s="6" t="str">
        <f>IFERROR(LOOKUP(2,1/((lentry!$A$3:$A$3999=jan!$A17)*(lentry!$B$3:$B$3999&lt;=jan!AH$3)*(lentry!$C$3:$C$3999&gt;=jan!AH$3)),lentry!$D$3:$D$3999),IF(WEEKDAY(jan!AH$3,1)=1,"WO","P"))</f>
        <v>P</v>
      </c>
      <c r="AI17" s="6" t="str">
        <f>IFERROR(LOOKUP(2,1/((lentry!$A$3:$A$3999=jan!$A17)*(lentry!$B$3:$B$3999&lt;=jan!AI$3)*(lentry!$C$3:$C$3999&gt;=jan!AI$3)),lentry!$D$3:$D$3999),IF(WEEKDAY(jan!AI$3,1)=1,"WO","P"))</f>
        <v>P</v>
      </c>
      <c r="AJ17" s="6" t="str">
        <f>IFERROR(LOOKUP(2,1/((lentry!$A$3:$A$3999=jan!$A17)*(lentry!$B$3:$B$3999&lt;=jan!AJ$3)*(lentry!$C$3:$C$3999&gt;=jan!AJ$3)),lentry!$D$3:$D$3999),IF(WEEKDAY(jan!AJ$3,1)=1,"WO","P"))</f>
        <v>P</v>
      </c>
      <c r="AK17" s="18">
        <f>COUNTIF(jan!$F17:$AJ17,"WO")</f>
        <v>4</v>
      </c>
      <c r="AL17" s="18">
        <f>COUNTIF(jan!$F17:$AJ17,"H")</f>
        <v>1</v>
      </c>
      <c r="AM17" s="18">
        <f>COUNTIF(jan!$F17:$AJ17,"PL")</f>
        <v>0</v>
      </c>
      <c r="AN17" s="18">
        <f>COUNTIF(jan!$F17:$AJ17,"LWP")</f>
        <v>0</v>
      </c>
      <c r="AO17" s="18">
        <f>COUNTIF(jan!$F17:$AJ17,"HD")</f>
        <v>0</v>
      </c>
      <c r="AP17" s="18">
        <f>COUNTIF(jan!$F17:$AJ17,"SL")</f>
        <v>0</v>
      </c>
      <c r="AQ17" s="18">
        <f>COUNTIF(jan!$F17:$AJ17,"CL")</f>
        <v>0</v>
      </c>
      <c r="AR17" s="18">
        <f>COUNTIF(jan!$F17:$AJ17,"A")</f>
        <v>0</v>
      </c>
      <c r="AS17" s="18">
        <f>COUNTIF(jan!$F17:$AJ17,"P")</f>
        <v>26</v>
      </c>
      <c r="AT17" s="18">
        <f t="shared" si="2"/>
        <v>31</v>
      </c>
      <c r="AU17" s="18">
        <f t="shared" si="3"/>
        <v>31</v>
      </c>
    </row>
    <row r="18" spans="1:47" ht="18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6" t="str">
        <f>IFERROR(LOOKUP(2,1/((lentry!$A$3:$A$3999=jan!$A18)*(lentry!$B$3:$B$3999&lt;=jan!F$3)*(lentry!$C$3:$C$3999&gt;=jan!F$3)),lentry!$D$3:$D$3999),IF(WEEKDAY(jan!F$3,1)=1,"WO","P"))</f>
        <v>P</v>
      </c>
      <c r="G18" s="6" t="str">
        <f>IFERROR(LOOKUP(2,1/((lentry!$A$3:$A$3999=jan!$A18)*(lentry!$B$3:$B$3999&lt;=jan!G$3)*(lentry!$C$3:$C$3999&gt;=jan!G$3)),lentry!$D$3:$D$3999),IF(WEEKDAY(jan!G$3,1)=1,"WO","P"))</f>
        <v>P</v>
      </c>
      <c r="H18" s="6" t="str">
        <f>IFERROR(LOOKUP(2,1/((lentry!$A$3:$A$3999=jan!$A18)*(lentry!$B$3:$B$3999&lt;=jan!H$3)*(lentry!$C$3:$C$3999&gt;=jan!H$3)),lentry!$D$3:$D$3999),IF(WEEKDAY(jan!H$3,1)=1,"WO","P"))</f>
        <v>P</v>
      </c>
      <c r="I18" s="6" t="str">
        <f>IFERROR(LOOKUP(2,1/((lentry!$A$3:$A$3999=jan!$A18)*(lentry!$B$3:$B$3999&lt;=jan!I$3)*(lentry!$C$3:$C$3999&gt;=jan!I$3)),lentry!$D$3:$D$3999),IF(WEEKDAY(jan!I$3,1)=1,"WO","P"))</f>
        <v>WO</v>
      </c>
      <c r="J18" s="6" t="str">
        <f>IFERROR(LOOKUP(2,1/((lentry!$A$3:$A$3999=jan!$A18)*(lentry!$B$3:$B$3999&lt;=jan!J$3)*(lentry!$C$3:$C$3999&gt;=jan!J$3)),lentry!$D$3:$D$3999),IF(WEEKDAY(jan!J$3,1)=1,"WO","P"))</f>
        <v>P</v>
      </c>
      <c r="K18" s="6" t="str">
        <f>IFERROR(LOOKUP(2,1/((lentry!$A$3:$A$3999=jan!$A18)*(lentry!$B$3:$B$3999&lt;=jan!K$3)*(lentry!$C$3:$C$3999&gt;=jan!K$3)),lentry!$D$3:$D$3999),IF(WEEKDAY(jan!K$3,1)=1,"WO","P"))</f>
        <v>P</v>
      </c>
      <c r="L18" s="6" t="str">
        <f>IFERROR(LOOKUP(2,1/((lentry!$A$3:$A$3999=jan!$A18)*(lentry!$B$3:$B$3999&lt;=jan!L$3)*(lentry!$C$3:$C$3999&gt;=jan!L$3)),lentry!$D$3:$D$3999),IF(WEEKDAY(jan!L$3,1)=1,"WO","P"))</f>
        <v>P</v>
      </c>
      <c r="M18" s="6" t="str">
        <f>IFERROR(LOOKUP(2,1/((lentry!$A$3:$A$3999=jan!$A18)*(lentry!$B$3:$B$3999&lt;=jan!M$3)*(lentry!$C$3:$C$3999&gt;=jan!M$3)),lentry!$D$3:$D$3999),IF(WEEKDAY(jan!M$3,1)=1,"WO","P"))</f>
        <v>P</v>
      </c>
      <c r="N18" s="6" t="s">
        <v>539</v>
      </c>
      <c r="O18" s="6" t="str">
        <f>IFERROR(LOOKUP(2,1/((lentry!$A$3:$A$3999=jan!$A18)*(lentry!$B$3:$B$3999&lt;=jan!O$3)*(lentry!$C$3:$C$3999&gt;=jan!O$3)),lentry!$D$3:$D$3999),IF(WEEKDAY(jan!O$3,1)=1,"WO","P"))</f>
        <v>P</v>
      </c>
      <c r="P18" s="6" t="s">
        <v>342</v>
      </c>
      <c r="Q18" s="6" t="str">
        <f>IFERROR(LOOKUP(2,1/((lentry!$A$3:$A$3999=jan!$A18)*(lentry!$B$3:$B$3999&lt;=jan!Q$3)*(lentry!$C$3:$C$3999&gt;=jan!Q$3)),lentry!$D$3:$D$3999),IF(WEEKDAY(jan!Q$3,1)=1,"WO","P"))</f>
        <v>P</v>
      </c>
      <c r="R18" s="6" t="str">
        <f>IFERROR(LOOKUP(2,1/((lentry!$A$3:$A$3999=jan!$A18)*(lentry!$B$3:$B$3999&lt;=jan!R$3)*(lentry!$C$3:$C$3999&gt;=jan!R$3)),lentry!$D$3:$D$3999),IF(WEEKDAY(jan!R$3,1)=1,"WO","P"))</f>
        <v>P</v>
      </c>
      <c r="S18" s="6" t="str">
        <f>IFERROR(LOOKUP(2,1/((lentry!$A$3:$A$3999=jan!$A18)*(lentry!$B$3:$B$3999&lt;=jan!S$3)*(lentry!$C$3:$C$3999&gt;=jan!S$3)),lentry!$D$3:$D$3999),IF(WEEKDAY(jan!S$3,1)=1,"WO","P"))</f>
        <v>P</v>
      </c>
      <c r="T18" s="6" t="str">
        <f>IFERROR(LOOKUP(2,1/((lentry!$A$3:$A$3999=jan!$A18)*(lentry!$B$3:$B$3999&lt;=jan!T$3)*(lentry!$C$3:$C$3999&gt;=jan!T$3)),lentry!$D$3:$D$3999),IF(WEEKDAY(jan!T$3,1)=1,"WO","P"))</f>
        <v>P</v>
      </c>
      <c r="U18" s="6" t="str">
        <f>IFERROR(LOOKUP(2,1/((lentry!$A$3:$A$3999=jan!$A18)*(lentry!$B$3:$B$3999&lt;=jan!U$3)*(lentry!$C$3:$C$3999&gt;=jan!U$3)),lentry!$D$3:$D$3999),IF(WEEKDAY(jan!U$3,1)=1,"WO","P"))</f>
        <v>P</v>
      </c>
      <c r="V18" s="6" t="str">
        <f>IFERROR(LOOKUP(2,1/((lentry!$A$3:$A$3999=jan!$A18)*(lentry!$B$3:$B$3999&lt;=jan!V$3)*(lentry!$C$3:$C$3999&gt;=jan!V$3)),lentry!$D$3:$D$3999),IF(WEEKDAY(jan!V$3,1)=1,"WO","P"))</f>
        <v>P</v>
      </c>
      <c r="W18" s="6" t="str">
        <f>IFERROR(LOOKUP(2,1/((lentry!$A$3:$A$3999=jan!$A18)*(lentry!$B$3:$B$3999&lt;=jan!W$3)*(lentry!$C$3:$C$3999&gt;=jan!W$3)),lentry!$D$3:$D$3999),IF(WEEKDAY(jan!W$3,1)=1,"WO","P"))</f>
        <v>WO</v>
      </c>
      <c r="X18" s="6" t="str">
        <f>IFERROR(LOOKUP(2,1/((lentry!$A$3:$A$3999=jan!$A18)*(lentry!$B$3:$B$3999&lt;=jan!X$3)*(lentry!$C$3:$C$3999&gt;=jan!X$3)),lentry!$D$3:$D$3999),IF(WEEKDAY(jan!X$3,1)=1,"WO","P"))</f>
        <v>P</v>
      </c>
      <c r="Y18" s="6" t="str">
        <f>IFERROR(LOOKUP(2,1/((lentry!$A$3:$A$3999=jan!$A18)*(lentry!$B$3:$B$3999&lt;=jan!Y$3)*(lentry!$C$3:$C$3999&gt;=jan!Y$3)),lentry!$D$3:$D$3999),IF(WEEKDAY(jan!Y$3,1)=1,"WO","P"))</f>
        <v>P</v>
      </c>
      <c r="Z18" s="6" t="str">
        <f>IFERROR(LOOKUP(2,1/((lentry!$A$3:$A$3999=jan!$A18)*(lentry!$B$3:$B$3999&lt;=jan!Z$3)*(lentry!$C$3:$C$3999&gt;=jan!Z$3)),lentry!$D$3:$D$3999),IF(WEEKDAY(jan!Z$3,1)=1,"WO","P"))</f>
        <v>P</v>
      </c>
      <c r="AA18" s="6" t="str">
        <f>IFERROR(LOOKUP(2,1/((lentry!$A$3:$A$3999=jan!$A18)*(lentry!$B$3:$B$3999&lt;=jan!AA$3)*(lentry!$C$3:$C$3999&gt;=jan!AA$3)),lentry!$D$3:$D$3999),IF(WEEKDAY(jan!AA$3,1)=1,"WO","P"))</f>
        <v>P</v>
      </c>
      <c r="AB18" s="6" t="str">
        <f>IFERROR(LOOKUP(2,1/((lentry!$A$3:$A$3999=jan!$A18)*(lentry!$B$3:$B$3999&lt;=jan!AB$3)*(lentry!$C$3:$C$3999&gt;=jan!AB$3)),lentry!$D$3:$D$3999),IF(WEEKDAY(jan!AB$3,1)=1,"WO","P"))</f>
        <v>P</v>
      </c>
      <c r="AC18" s="6" t="str">
        <f>IFERROR(LOOKUP(2,1/((lentry!$A$3:$A$3999=jan!$A18)*(lentry!$B$3:$B$3999&lt;=jan!AC$3)*(lentry!$C$3:$C$3999&gt;=jan!AC$3)),lentry!$D$3:$D$3999),IF(WEEKDAY(jan!AC$3,1)=1,"WO","P"))</f>
        <v>P</v>
      </c>
      <c r="AD18" s="6" t="str">
        <f>IFERROR(LOOKUP(2,1/((lentry!$A$3:$A$3999=jan!$A18)*(lentry!$B$3:$B$3999&lt;=jan!AD$3)*(lentry!$C$3:$C$3999&gt;=jan!AD$3)),lentry!$D$3:$D$3999),IF(WEEKDAY(jan!AD$3,1)=1,"WO","P"))</f>
        <v>WO</v>
      </c>
      <c r="AE18" s="6" t="s">
        <v>350</v>
      </c>
      <c r="AF18" s="6" t="str">
        <f>IFERROR(LOOKUP(2,1/((lentry!$A$3:$A$3999=jan!$A18)*(lentry!$B$3:$B$3999&lt;=jan!AF$3)*(lentry!$C$3:$C$3999&gt;=jan!AF$3)),lentry!$D$3:$D$3999),IF(WEEKDAY(jan!AF$3,1)=1,"WO","P"))</f>
        <v>P</v>
      </c>
      <c r="AG18" s="6" t="str">
        <f>IFERROR(LOOKUP(2,1/((lentry!$A$3:$A$3999=jan!$A18)*(lentry!$B$3:$B$3999&lt;=jan!AG$3)*(lentry!$C$3:$C$3999&gt;=jan!AG$3)),lentry!$D$3:$D$3999),IF(WEEKDAY(jan!AG$3,1)=1,"WO","P"))</f>
        <v>P</v>
      </c>
      <c r="AH18" s="6" t="str">
        <f>IFERROR(LOOKUP(2,1/((lentry!$A$3:$A$3999=jan!$A18)*(lentry!$B$3:$B$3999&lt;=jan!AH$3)*(lentry!$C$3:$C$3999&gt;=jan!AH$3)),lentry!$D$3:$D$3999),IF(WEEKDAY(jan!AH$3,1)=1,"WO","P"))</f>
        <v>P</v>
      </c>
      <c r="AI18" s="6" t="str">
        <f>IFERROR(LOOKUP(2,1/((lentry!$A$3:$A$3999=jan!$A18)*(lentry!$B$3:$B$3999&lt;=jan!AI$3)*(lentry!$C$3:$C$3999&gt;=jan!AI$3)),lentry!$D$3:$D$3999),IF(WEEKDAY(jan!AI$3,1)=1,"WO","P"))</f>
        <v>P</v>
      </c>
      <c r="AJ18" s="6" t="str">
        <f>IFERROR(LOOKUP(2,1/((lentry!$A$3:$A$3999=jan!$A18)*(lentry!$B$3:$B$3999&lt;=jan!AJ$3)*(lentry!$C$3:$C$3999&gt;=jan!AJ$3)),lentry!$D$3:$D$3999),IF(WEEKDAY(jan!AJ$3,1)=1,"WO","P"))</f>
        <v>P</v>
      </c>
      <c r="AK18" s="18">
        <f>COUNTIF(jan!$F18:$AJ18,"WO")</f>
        <v>4</v>
      </c>
      <c r="AL18" s="18">
        <f>COUNTIF(jan!$F18:$AJ18,"H")</f>
        <v>1</v>
      </c>
      <c r="AM18" s="18">
        <f>COUNTIF(jan!$F18:$AJ18,"PL")</f>
        <v>0</v>
      </c>
      <c r="AN18" s="18">
        <f>COUNTIF(jan!$F18:$AJ18,"LWP")</f>
        <v>0</v>
      </c>
      <c r="AO18" s="18">
        <f>COUNTIF(jan!$F18:$AJ18,"HD")</f>
        <v>0</v>
      </c>
      <c r="AP18" s="18">
        <f>COUNTIF(jan!$F18:$AJ18,"SL")</f>
        <v>0</v>
      </c>
      <c r="AQ18" s="18">
        <f>COUNTIF(jan!$F18:$AJ18,"CL")</f>
        <v>0</v>
      </c>
      <c r="AR18" s="18">
        <f>COUNTIF(jan!$F18:$AJ18,"A")</f>
        <v>1</v>
      </c>
      <c r="AS18" s="18">
        <f>COUNTIF(jan!$F18:$AJ18,"P")</f>
        <v>25</v>
      </c>
      <c r="AT18" s="18">
        <f t="shared" si="2"/>
        <v>31</v>
      </c>
      <c r="AU18" s="18">
        <f t="shared" si="3"/>
        <v>30</v>
      </c>
    </row>
    <row r="19" spans="1:47" ht="18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6" t="str">
        <f>IFERROR(LOOKUP(2,1/((lentry!$A$3:$A$3999=jan!$A19)*(lentry!$B$3:$B$3999&lt;=jan!F$3)*(lentry!$C$3:$C$3999&gt;=jan!F$3)),lentry!$D$3:$D$3999),IF(WEEKDAY(jan!F$3,1)=1,"WO","P"))</f>
        <v>P</v>
      </c>
      <c r="G19" s="6" t="str">
        <f>IFERROR(LOOKUP(2,1/((lentry!$A$3:$A$3999=jan!$A19)*(lentry!$B$3:$B$3999&lt;=jan!G$3)*(lentry!$C$3:$C$3999&gt;=jan!G$3)),lentry!$D$3:$D$3999),IF(WEEKDAY(jan!G$3,1)=1,"WO","P"))</f>
        <v>P</v>
      </c>
      <c r="H19" s="6" t="str">
        <f>IFERROR(LOOKUP(2,1/((lentry!$A$3:$A$3999=jan!$A19)*(lentry!$B$3:$B$3999&lt;=jan!H$3)*(lentry!$C$3:$C$3999&gt;=jan!H$3)),lentry!$D$3:$D$3999),IF(WEEKDAY(jan!H$3,1)=1,"WO","P"))</f>
        <v>P</v>
      </c>
      <c r="I19" s="6" t="str">
        <f>IFERROR(LOOKUP(2,1/((lentry!$A$3:$A$3999=jan!$A19)*(lentry!$B$3:$B$3999&lt;=jan!I$3)*(lentry!$C$3:$C$3999&gt;=jan!I$3)),lentry!$D$3:$D$3999),IF(WEEKDAY(jan!I$3,1)=1,"WO","P"))</f>
        <v>WO</v>
      </c>
      <c r="J19" s="6" t="str">
        <f>IFERROR(LOOKUP(2,1/((lentry!$A$3:$A$3999=jan!$A19)*(lentry!$B$3:$B$3999&lt;=jan!J$3)*(lentry!$C$3:$C$3999&gt;=jan!J$3)),lentry!$D$3:$D$3999),IF(WEEKDAY(jan!J$3,1)=1,"WO","P"))</f>
        <v>P</v>
      </c>
      <c r="K19" s="6" t="str">
        <f>IFERROR(LOOKUP(2,1/((lentry!$A$3:$A$3999=jan!$A19)*(lentry!$B$3:$B$3999&lt;=jan!K$3)*(lentry!$C$3:$C$3999&gt;=jan!K$3)),lentry!$D$3:$D$3999),IF(WEEKDAY(jan!K$3,1)=1,"WO","P"))</f>
        <v>P</v>
      </c>
      <c r="L19" s="6" t="str">
        <f>IFERROR(LOOKUP(2,1/((lentry!$A$3:$A$3999=jan!$A19)*(lentry!$B$3:$B$3999&lt;=jan!L$3)*(lentry!$C$3:$C$3999&gt;=jan!L$3)),lentry!$D$3:$D$3999),IF(WEEKDAY(jan!L$3,1)=1,"WO","P"))</f>
        <v>P</v>
      </c>
      <c r="M19" s="6" t="str">
        <f>IFERROR(LOOKUP(2,1/((lentry!$A$3:$A$3999=jan!$A19)*(lentry!$B$3:$B$3999&lt;=jan!M$3)*(lentry!$C$3:$C$3999&gt;=jan!M$3)),lentry!$D$3:$D$3999),IF(WEEKDAY(jan!M$3,1)=1,"WO","P"))</f>
        <v>P</v>
      </c>
      <c r="N19" s="6" t="str">
        <f>IFERROR(LOOKUP(2,1/((lentry!$A$3:$A$3999=jan!$A19)*(lentry!$B$3:$B$3999&lt;=jan!N$3)*(lentry!$C$3:$C$3999&gt;=jan!N$3)),lentry!$D$3:$D$3999),IF(WEEKDAY(jan!N$3,1)=1,"WO","P"))</f>
        <v>P</v>
      </c>
      <c r="O19" s="6" t="str">
        <f>IFERROR(LOOKUP(2,1/((lentry!$A$3:$A$3999=jan!$A19)*(lentry!$B$3:$B$3999&lt;=jan!O$3)*(lentry!$C$3:$C$3999&gt;=jan!O$3)),lentry!$D$3:$D$3999),IF(WEEKDAY(jan!O$3,1)=1,"WO","P"))</f>
        <v>P</v>
      </c>
      <c r="P19" s="6" t="s">
        <v>342</v>
      </c>
      <c r="Q19" s="6" t="str">
        <f>IFERROR(LOOKUP(2,1/((lentry!$A$3:$A$3999=jan!$A19)*(lentry!$B$3:$B$3999&lt;=jan!Q$3)*(lentry!$C$3:$C$3999&gt;=jan!Q$3)),lentry!$D$3:$D$3999),IF(WEEKDAY(jan!Q$3,1)=1,"WO","P"))</f>
        <v>P</v>
      </c>
      <c r="R19" s="6" t="str">
        <f>IFERROR(LOOKUP(2,1/((lentry!$A$3:$A$3999=jan!$A19)*(lentry!$B$3:$B$3999&lt;=jan!R$3)*(lentry!$C$3:$C$3999&gt;=jan!R$3)),lentry!$D$3:$D$3999),IF(WEEKDAY(jan!R$3,1)=1,"WO","P"))</f>
        <v>P</v>
      </c>
      <c r="S19" s="6" t="str">
        <f>IFERROR(LOOKUP(2,1/((lentry!$A$3:$A$3999=jan!$A19)*(lentry!$B$3:$B$3999&lt;=jan!S$3)*(lentry!$C$3:$C$3999&gt;=jan!S$3)),lentry!$D$3:$D$3999),IF(WEEKDAY(jan!S$3,1)=1,"WO","P"))</f>
        <v>P</v>
      </c>
      <c r="T19" s="6" t="str">
        <f>IFERROR(LOOKUP(2,1/((lentry!$A$3:$A$3999=jan!$A19)*(lentry!$B$3:$B$3999&lt;=jan!T$3)*(lentry!$C$3:$C$3999&gt;=jan!T$3)),lentry!$D$3:$D$3999),IF(WEEKDAY(jan!T$3,1)=1,"WO","P"))</f>
        <v>P</v>
      </c>
      <c r="U19" s="6" t="str">
        <f>IFERROR(LOOKUP(2,1/((lentry!$A$3:$A$3999=jan!$A19)*(lentry!$B$3:$B$3999&lt;=jan!U$3)*(lentry!$C$3:$C$3999&gt;=jan!U$3)),lentry!$D$3:$D$3999),IF(WEEKDAY(jan!U$3,1)=1,"WO","P"))</f>
        <v>P</v>
      </c>
      <c r="V19" s="6" t="str">
        <f>IFERROR(LOOKUP(2,1/((lentry!$A$3:$A$3999=jan!$A19)*(lentry!$B$3:$B$3999&lt;=jan!V$3)*(lentry!$C$3:$C$3999&gt;=jan!V$3)),lentry!$D$3:$D$3999),IF(WEEKDAY(jan!V$3,1)=1,"WO","P"))</f>
        <v>P</v>
      </c>
      <c r="W19" s="6" t="str">
        <f>IFERROR(LOOKUP(2,1/((lentry!$A$3:$A$3999=jan!$A19)*(lentry!$B$3:$B$3999&lt;=jan!W$3)*(lentry!$C$3:$C$3999&gt;=jan!W$3)),lentry!$D$3:$D$3999),IF(WEEKDAY(jan!W$3,1)=1,"WO","P"))</f>
        <v>WO</v>
      </c>
      <c r="X19" s="6" t="str">
        <f>IFERROR(LOOKUP(2,1/((lentry!$A$3:$A$3999=jan!$A19)*(lentry!$B$3:$B$3999&lt;=jan!X$3)*(lentry!$C$3:$C$3999&gt;=jan!X$3)),lentry!$D$3:$D$3999),IF(WEEKDAY(jan!X$3,1)=1,"WO","P"))</f>
        <v>P</v>
      </c>
      <c r="Y19" s="6" t="str">
        <f>IFERROR(LOOKUP(2,1/((lentry!$A$3:$A$3999=jan!$A19)*(lentry!$B$3:$B$3999&lt;=jan!Y$3)*(lentry!$C$3:$C$3999&gt;=jan!Y$3)),lentry!$D$3:$D$3999),IF(WEEKDAY(jan!Y$3,1)=1,"WO","P"))</f>
        <v>P</v>
      </c>
      <c r="Z19" s="6" t="str">
        <f>IFERROR(LOOKUP(2,1/((lentry!$A$3:$A$3999=jan!$A19)*(lentry!$B$3:$B$3999&lt;=jan!Z$3)*(lentry!$C$3:$C$3999&gt;=jan!Z$3)),lentry!$D$3:$D$3999),IF(WEEKDAY(jan!Z$3,1)=1,"WO","P"))</f>
        <v>P</v>
      </c>
      <c r="AA19" s="6" t="str">
        <f>IFERROR(LOOKUP(2,1/((lentry!$A$3:$A$3999=jan!$A19)*(lentry!$B$3:$B$3999&lt;=jan!AA$3)*(lentry!$C$3:$C$3999&gt;=jan!AA$3)),lentry!$D$3:$D$3999),IF(WEEKDAY(jan!AA$3,1)=1,"WO","P"))</f>
        <v>P</v>
      </c>
      <c r="AB19" s="6" t="str">
        <f>IFERROR(LOOKUP(2,1/((lentry!$A$3:$A$3999=jan!$A19)*(lentry!$B$3:$B$3999&lt;=jan!AB$3)*(lentry!$C$3:$C$3999&gt;=jan!AB$3)),lentry!$D$3:$D$3999),IF(WEEKDAY(jan!AB$3,1)=1,"WO","P"))</f>
        <v>P</v>
      </c>
      <c r="AC19" s="6" t="str">
        <f>IFERROR(LOOKUP(2,1/((lentry!$A$3:$A$3999=jan!$A19)*(lentry!$B$3:$B$3999&lt;=jan!AC$3)*(lentry!$C$3:$C$3999&gt;=jan!AC$3)),lentry!$D$3:$D$3999),IF(WEEKDAY(jan!AC$3,1)=1,"WO","P"))</f>
        <v>P</v>
      </c>
      <c r="AD19" s="6" t="str">
        <f>IFERROR(LOOKUP(2,1/((lentry!$A$3:$A$3999=jan!$A19)*(lentry!$B$3:$B$3999&lt;=jan!AD$3)*(lentry!$C$3:$C$3999&gt;=jan!AD$3)),lentry!$D$3:$D$3999),IF(WEEKDAY(jan!AD$3,1)=1,"WO","P"))</f>
        <v>WO</v>
      </c>
      <c r="AE19" s="6" t="s">
        <v>350</v>
      </c>
      <c r="AF19" s="6" t="str">
        <f>IFERROR(LOOKUP(2,1/((lentry!$A$3:$A$3999=jan!$A19)*(lentry!$B$3:$B$3999&lt;=jan!AF$3)*(lentry!$C$3:$C$3999&gt;=jan!AF$3)),lentry!$D$3:$D$3999),IF(WEEKDAY(jan!AF$3,1)=1,"WO","P"))</f>
        <v>P</v>
      </c>
      <c r="AG19" s="6" t="str">
        <f>IFERROR(LOOKUP(2,1/((lentry!$A$3:$A$3999=jan!$A19)*(lentry!$B$3:$B$3999&lt;=jan!AG$3)*(lentry!$C$3:$C$3999&gt;=jan!AG$3)),lentry!$D$3:$D$3999),IF(WEEKDAY(jan!AG$3,1)=1,"WO","P"))</f>
        <v>P</v>
      </c>
      <c r="AH19" s="6" t="str">
        <f>IFERROR(LOOKUP(2,1/((lentry!$A$3:$A$3999=jan!$A19)*(lentry!$B$3:$B$3999&lt;=jan!AH$3)*(lentry!$C$3:$C$3999&gt;=jan!AH$3)),lentry!$D$3:$D$3999),IF(WEEKDAY(jan!AH$3,1)=1,"WO","P"))</f>
        <v>P</v>
      </c>
      <c r="AI19" s="6" t="s">
        <v>539</v>
      </c>
      <c r="AJ19" s="6" t="str">
        <f>IFERROR(LOOKUP(2,1/((lentry!$A$3:$A$3999=jan!$A19)*(lentry!$B$3:$B$3999&lt;=jan!AJ$3)*(lentry!$C$3:$C$3999&gt;=jan!AJ$3)),lentry!$D$3:$D$3999),IF(WEEKDAY(jan!AJ$3,1)=1,"WO","P"))</f>
        <v>P</v>
      </c>
      <c r="AK19" s="18">
        <f>COUNTIF(jan!$F19:$AJ19,"WO")</f>
        <v>4</v>
      </c>
      <c r="AL19" s="18">
        <f>COUNTIF(jan!$F19:$AJ19,"H")</f>
        <v>1</v>
      </c>
      <c r="AM19" s="18">
        <f>COUNTIF(jan!$F19:$AJ19,"PL")</f>
        <v>0</v>
      </c>
      <c r="AN19" s="18">
        <f>COUNTIF(jan!$F19:$AJ19,"LWP")</f>
        <v>0</v>
      </c>
      <c r="AO19" s="18">
        <f>COUNTIF(jan!$F19:$AJ19,"HD")</f>
        <v>0</v>
      </c>
      <c r="AP19" s="18">
        <f>COUNTIF(jan!$F19:$AJ19,"SL")</f>
        <v>0</v>
      </c>
      <c r="AQ19" s="18">
        <f>COUNTIF(jan!$F19:$AJ19,"CL")</f>
        <v>0</v>
      </c>
      <c r="AR19" s="18">
        <f>COUNTIF(jan!$F19:$AJ19,"A")</f>
        <v>1</v>
      </c>
      <c r="AS19" s="18">
        <f>COUNTIF(jan!$F19:$AJ19,"P")</f>
        <v>25</v>
      </c>
      <c r="AT19" s="18">
        <f t="shared" si="2"/>
        <v>31</v>
      </c>
      <c r="AU19" s="18">
        <f t="shared" si="3"/>
        <v>30</v>
      </c>
    </row>
    <row r="20" spans="1:47" ht="18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6" t="str">
        <f>IFERROR(LOOKUP(2,1/((lentry!$A$3:$A$3999=jan!$A20)*(lentry!$B$3:$B$3999&lt;=jan!F$3)*(lentry!$C$3:$C$3999&gt;=jan!F$3)),lentry!$D$3:$D$3999),IF(WEEKDAY(jan!F$3,1)=1,"WO","P"))</f>
        <v>P</v>
      </c>
      <c r="G20" s="6" t="str">
        <f>IFERROR(LOOKUP(2,1/((lentry!$A$3:$A$3999=jan!$A20)*(lentry!$B$3:$B$3999&lt;=jan!G$3)*(lentry!$C$3:$C$3999&gt;=jan!G$3)),lentry!$D$3:$D$3999),IF(WEEKDAY(jan!G$3,1)=1,"WO","P"))</f>
        <v>P</v>
      </c>
      <c r="H20" s="6" t="str">
        <f>IFERROR(LOOKUP(2,1/((lentry!$A$3:$A$3999=jan!$A20)*(lentry!$B$3:$B$3999&lt;=jan!H$3)*(lentry!$C$3:$C$3999&gt;=jan!H$3)),lentry!$D$3:$D$3999),IF(WEEKDAY(jan!H$3,1)=1,"WO","P"))</f>
        <v>P</v>
      </c>
      <c r="I20" s="6" t="str">
        <f>IFERROR(LOOKUP(2,1/((lentry!$A$3:$A$3999=jan!$A20)*(lentry!$B$3:$B$3999&lt;=jan!I$3)*(lentry!$C$3:$C$3999&gt;=jan!I$3)),lentry!$D$3:$D$3999),IF(WEEKDAY(jan!I$3,1)=1,"WO","P"))</f>
        <v>WO</v>
      </c>
      <c r="J20" s="6" t="str">
        <f>IFERROR(LOOKUP(2,1/((lentry!$A$3:$A$3999=jan!$A20)*(lentry!$B$3:$B$3999&lt;=jan!J$3)*(lentry!$C$3:$C$3999&gt;=jan!J$3)),lentry!$D$3:$D$3999),IF(WEEKDAY(jan!J$3,1)=1,"WO","P"))</f>
        <v>P</v>
      </c>
      <c r="K20" s="6" t="str">
        <f>IFERROR(LOOKUP(2,1/((lentry!$A$3:$A$3999=jan!$A20)*(lentry!$B$3:$B$3999&lt;=jan!K$3)*(lentry!$C$3:$C$3999&gt;=jan!K$3)),lentry!$D$3:$D$3999),IF(WEEKDAY(jan!K$3,1)=1,"WO","P"))</f>
        <v>P</v>
      </c>
      <c r="L20" s="6" t="str">
        <f>IFERROR(LOOKUP(2,1/((lentry!$A$3:$A$3999=jan!$A20)*(lentry!$B$3:$B$3999&lt;=jan!L$3)*(lentry!$C$3:$C$3999&gt;=jan!L$3)),lentry!$D$3:$D$3999),IF(WEEKDAY(jan!L$3,1)=1,"WO","P"))</f>
        <v>P</v>
      </c>
      <c r="M20" s="6" t="str">
        <f>IFERROR(LOOKUP(2,1/((lentry!$A$3:$A$3999=jan!$A20)*(lentry!$B$3:$B$3999&lt;=jan!M$3)*(lentry!$C$3:$C$3999&gt;=jan!M$3)),lentry!$D$3:$D$3999),IF(WEEKDAY(jan!M$3,1)=1,"WO","P"))</f>
        <v>P</v>
      </c>
      <c r="N20" s="6" t="str">
        <f>IFERROR(LOOKUP(2,1/((lentry!$A$3:$A$3999=jan!$A20)*(lentry!$B$3:$B$3999&lt;=jan!N$3)*(lentry!$C$3:$C$3999&gt;=jan!N$3)),lentry!$D$3:$D$3999),IF(WEEKDAY(jan!N$3,1)=1,"WO","P"))</f>
        <v>P</v>
      </c>
      <c r="O20" s="6" t="str">
        <f>IFERROR(LOOKUP(2,1/((lentry!$A$3:$A$3999=jan!$A20)*(lentry!$B$3:$B$3999&lt;=jan!O$3)*(lentry!$C$3:$C$3999&gt;=jan!O$3)),lentry!$D$3:$D$3999),IF(WEEKDAY(jan!O$3,1)=1,"WO","P"))</f>
        <v>P</v>
      </c>
      <c r="P20" s="6" t="s">
        <v>342</v>
      </c>
      <c r="Q20" s="6" t="str">
        <f>IFERROR(LOOKUP(2,1/((lentry!$A$3:$A$3999=jan!$A20)*(lentry!$B$3:$B$3999&lt;=jan!Q$3)*(lentry!$C$3:$C$3999&gt;=jan!Q$3)),lentry!$D$3:$D$3999),IF(WEEKDAY(jan!Q$3,1)=1,"WO","P"))</f>
        <v>P</v>
      </c>
      <c r="R20" s="6" t="str">
        <f>IFERROR(LOOKUP(2,1/((lentry!$A$3:$A$3999=jan!$A20)*(lentry!$B$3:$B$3999&lt;=jan!R$3)*(lentry!$C$3:$C$3999&gt;=jan!R$3)),lentry!$D$3:$D$3999),IF(WEEKDAY(jan!R$3,1)=1,"WO","P"))</f>
        <v>P</v>
      </c>
      <c r="S20" s="6" t="str">
        <f>IFERROR(LOOKUP(2,1/((lentry!$A$3:$A$3999=jan!$A20)*(lentry!$B$3:$B$3999&lt;=jan!S$3)*(lentry!$C$3:$C$3999&gt;=jan!S$3)),lentry!$D$3:$D$3999),IF(WEEKDAY(jan!S$3,1)=1,"WO","P"))</f>
        <v>P</v>
      </c>
      <c r="T20" s="6" t="str">
        <f>IFERROR(LOOKUP(2,1/((lentry!$A$3:$A$3999=jan!$A20)*(lentry!$B$3:$B$3999&lt;=jan!T$3)*(lentry!$C$3:$C$3999&gt;=jan!T$3)),lentry!$D$3:$D$3999),IF(WEEKDAY(jan!T$3,1)=1,"WO","P"))</f>
        <v>P</v>
      </c>
      <c r="U20" s="6" t="str">
        <f>IFERROR(LOOKUP(2,1/((lentry!$A$3:$A$3999=jan!$A20)*(lentry!$B$3:$B$3999&lt;=jan!U$3)*(lentry!$C$3:$C$3999&gt;=jan!U$3)),lentry!$D$3:$D$3999),IF(WEEKDAY(jan!U$3,1)=1,"WO","P"))</f>
        <v>P</v>
      </c>
      <c r="V20" s="6" t="str">
        <f>IFERROR(LOOKUP(2,1/((lentry!$A$3:$A$3999=jan!$A20)*(lentry!$B$3:$B$3999&lt;=jan!V$3)*(lentry!$C$3:$C$3999&gt;=jan!V$3)),lentry!$D$3:$D$3999),IF(WEEKDAY(jan!V$3,1)=1,"WO","P"))</f>
        <v>P</v>
      </c>
      <c r="W20" s="6" t="str">
        <f>IFERROR(LOOKUP(2,1/((lentry!$A$3:$A$3999=jan!$A20)*(lentry!$B$3:$B$3999&lt;=jan!W$3)*(lentry!$C$3:$C$3999&gt;=jan!W$3)),lentry!$D$3:$D$3999),IF(WEEKDAY(jan!W$3,1)=1,"WO","P"))</f>
        <v>WO</v>
      </c>
      <c r="X20" s="6" t="str">
        <f>IFERROR(LOOKUP(2,1/((lentry!$A$3:$A$3999=jan!$A20)*(lentry!$B$3:$B$3999&lt;=jan!X$3)*(lentry!$C$3:$C$3999&gt;=jan!X$3)),lentry!$D$3:$D$3999),IF(WEEKDAY(jan!X$3,1)=1,"WO","P"))</f>
        <v>P</v>
      </c>
      <c r="Y20" s="6" t="str">
        <f>IFERROR(LOOKUP(2,1/((lentry!$A$3:$A$3999=jan!$A20)*(lentry!$B$3:$B$3999&lt;=jan!Y$3)*(lentry!$C$3:$C$3999&gt;=jan!Y$3)),lentry!$D$3:$D$3999),IF(WEEKDAY(jan!Y$3,1)=1,"WO","P"))</f>
        <v>P</v>
      </c>
      <c r="Z20" s="6" t="str">
        <f>IFERROR(LOOKUP(2,1/((lentry!$A$3:$A$3999=jan!$A20)*(lentry!$B$3:$B$3999&lt;=jan!Z$3)*(lentry!$C$3:$C$3999&gt;=jan!Z$3)),lentry!$D$3:$D$3999),IF(WEEKDAY(jan!Z$3,1)=1,"WO","P"))</f>
        <v>P</v>
      </c>
      <c r="AA20" s="6" t="str">
        <f>IFERROR(LOOKUP(2,1/((lentry!$A$3:$A$3999=jan!$A20)*(lentry!$B$3:$B$3999&lt;=jan!AA$3)*(lentry!$C$3:$C$3999&gt;=jan!AA$3)),lentry!$D$3:$D$3999),IF(WEEKDAY(jan!AA$3,1)=1,"WO","P"))</f>
        <v>P</v>
      </c>
      <c r="AB20" s="6" t="str">
        <f>IFERROR(LOOKUP(2,1/((lentry!$A$3:$A$3999=jan!$A20)*(lentry!$B$3:$B$3999&lt;=jan!AB$3)*(lentry!$C$3:$C$3999&gt;=jan!AB$3)),lentry!$D$3:$D$3999),IF(WEEKDAY(jan!AB$3,1)=1,"WO","P"))</f>
        <v>P</v>
      </c>
      <c r="AC20" s="6" t="str">
        <f>IFERROR(LOOKUP(2,1/((lentry!$A$3:$A$3999=jan!$A20)*(lentry!$B$3:$B$3999&lt;=jan!AC$3)*(lentry!$C$3:$C$3999&gt;=jan!AC$3)),lentry!$D$3:$D$3999),IF(WEEKDAY(jan!AC$3,1)=1,"WO","P"))</f>
        <v>P</v>
      </c>
      <c r="AD20" s="6" t="str">
        <f>IFERROR(LOOKUP(2,1/((lentry!$A$3:$A$3999=jan!$A20)*(lentry!$B$3:$B$3999&lt;=jan!AD$3)*(lentry!$C$3:$C$3999&gt;=jan!AD$3)),lentry!$D$3:$D$3999),IF(WEEKDAY(jan!AD$3,1)=1,"WO","P"))</f>
        <v>WO</v>
      </c>
      <c r="AE20" s="6" t="s">
        <v>350</v>
      </c>
      <c r="AF20" s="6" t="str">
        <f>IFERROR(LOOKUP(2,1/((lentry!$A$3:$A$3999=jan!$A20)*(lentry!$B$3:$B$3999&lt;=jan!AF$3)*(lentry!$C$3:$C$3999&gt;=jan!AF$3)),lentry!$D$3:$D$3999),IF(WEEKDAY(jan!AF$3,1)=1,"WO","P"))</f>
        <v>P</v>
      </c>
      <c r="AG20" s="6" t="str">
        <f>IFERROR(LOOKUP(2,1/((lentry!$A$3:$A$3999=jan!$A20)*(lentry!$B$3:$B$3999&lt;=jan!AG$3)*(lentry!$C$3:$C$3999&gt;=jan!AG$3)),lentry!$D$3:$D$3999),IF(WEEKDAY(jan!AG$3,1)=1,"WO","P"))</f>
        <v>P</v>
      </c>
      <c r="AH20" s="6" t="str">
        <f>IFERROR(LOOKUP(2,1/((lentry!$A$3:$A$3999=jan!$A20)*(lentry!$B$3:$B$3999&lt;=jan!AH$3)*(lentry!$C$3:$C$3999&gt;=jan!AH$3)),lentry!$D$3:$D$3999),IF(WEEKDAY(jan!AH$3,1)=1,"WO","P"))</f>
        <v>P</v>
      </c>
      <c r="AI20" s="6" t="str">
        <f>IFERROR(LOOKUP(2,1/((lentry!$A$3:$A$3999=jan!$A20)*(lentry!$B$3:$B$3999&lt;=jan!AI$3)*(lentry!$C$3:$C$3999&gt;=jan!AI$3)),lentry!$D$3:$D$3999),IF(WEEKDAY(jan!AI$3,1)=1,"WO","P"))</f>
        <v>P</v>
      </c>
      <c r="AJ20" s="6" t="str">
        <f>IFERROR(LOOKUP(2,1/((lentry!$A$3:$A$3999=jan!$A20)*(lentry!$B$3:$B$3999&lt;=jan!AJ$3)*(lentry!$C$3:$C$3999&gt;=jan!AJ$3)),lentry!$D$3:$D$3999),IF(WEEKDAY(jan!AJ$3,1)=1,"WO","P"))</f>
        <v>P</v>
      </c>
      <c r="AK20" s="18">
        <f>COUNTIF(jan!$F20:$AJ20,"WO")</f>
        <v>4</v>
      </c>
      <c r="AL20" s="18">
        <f>COUNTIF(jan!$F20:$AJ20,"H")</f>
        <v>1</v>
      </c>
      <c r="AM20" s="18">
        <f>COUNTIF(jan!$F20:$AJ20,"PL")</f>
        <v>0</v>
      </c>
      <c r="AN20" s="18">
        <f>COUNTIF(jan!$F20:$AJ20,"LWP")</f>
        <v>0</v>
      </c>
      <c r="AO20" s="18">
        <f>COUNTIF(jan!$F20:$AJ20,"HD")</f>
        <v>0</v>
      </c>
      <c r="AP20" s="18">
        <f>COUNTIF(jan!$F20:$AJ20,"SL")</f>
        <v>0</v>
      </c>
      <c r="AQ20" s="18">
        <f>COUNTIF(jan!$F20:$AJ20,"CL")</f>
        <v>0</v>
      </c>
      <c r="AR20" s="18">
        <f>COUNTIF(jan!$F20:$AJ20,"A")</f>
        <v>0</v>
      </c>
      <c r="AS20" s="18">
        <f>COUNTIF(jan!$F20:$AJ20,"P")</f>
        <v>26</v>
      </c>
      <c r="AT20" s="18">
        <f t="shared" si="2"/>
        <v>31</v>
      </c>
      <c r="AU20" s="18">
        <f t="shared" si="3"/>
        <v>31</v>
      </c>
    </row>
    <row r="21" spans="1:47" ht="18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6" t="str">
        <f>IFERROR(LOOKUP(2,1/((lentry!$A$3:$A$3999=jan!$A21)*(lentry!$B$3:$B$3999&lt;=jan!F$3)*(lentry!$C$3:$C$3999&gt;=jan!F$3)),lentry!$D$3:$D$3999),IF(WEEKDAY(jan!F$3,1)=1,"WO","P"))</f>
        <v>P</v>
      </c>
      <c r="G21" s="6" t="str">
        <f>IFERROR(LOOKUP(2,1/((lentry!$A$3:$A$3999=jan!$A21)*(lentry!$B$3:$B$3999&lt;=jan!G$3)*(lentry!$C$3:$C$3999&gt;=jan!G$3)),lentry!$D$3:$D$3999),IF(WEEKDAY(jan!G$3,1)=1,"WO","P"))</f>
        <v>P</v>
      </c>
      <c r="H21" s="6" t="str">
        <f>IFERROR(LOOKUP(2,1/((lentry!$A$3:$A$3999=jan!$A21)*(lentry!$B$3:$B$3999&lt;=jan!H$3)*(lentry!$C$3:$C$3999&gt;=jan!H$3)),lentry!$D$3:$D$3999),IF(WEEKDAY(jan!H$3,1)=1,"WO","P"))</f>
        <v>P</v>
      </c>
      <c r="I21" s="6" t="str">
        <f>IFERROR(LOOKUP(2,1/((lentry!$A$3:$A$3999=jan!$A21)*(lentry!$B$3:$B$3999&lt;=jan!I$3)*(lentry!$C$3:$C$3999&gt;=jan!I$3)),lentry!$D$3:$D$3999),IF(WEEKDAY(jan!I$3,1)=1,"WO","P"))</f>
        <v>WO</v>
      </c>
      <c r="J21" s="6" t="str">
        <f>IFERROR(LOOKUP(2,1/((lentry!$A$3:$A$3999=jan!$A21)*(lentry!$B$3:$B$3999&lt;=jan!J$3)*(lentry!$C$3:$C$3999&gt;=jan!J$3)),lentry!$D$3:$D$3999),IF(WEEKDAY(jan!J$3,1)=1,"WO","P"))</f>
        <v>P</v>
      </c>
      <c r="K21" s="6" t="str">
        <f>IFERROR(LOOKUP(2,1/((lentry!$A$3:$A$3999=jan!$A21)*(lentry!$B$3:$B$3999&lt;=jan!K$3)*(lentry!$C$3:$C$3999&gt;=jan!K$3)),lentry!$D$3:$D$3999),IF(WEEKDAY(jan!K$3,1)=1,"WO","P"))</f>
        <v>P</v>
      </c>
      <c r="L21" s="6" t="str">
        <f>IFERROR(LOOKUP(2,1/((lentry!$A$3:$A$3999=jan!$A21)*(lentry!$B$3:$B$3999&lt;=jan!L$3)*(lentry!$C$3:$C$3999&gt;=jan!L$3)),lentry!$D$3:$D$3999),IF(WEEKDAY(jan!L$3,1)=1,"WO","P"))</f>
        <v>P</v>
      </c>
      <c r="M21" s="6" t="str">
        <f>IFERROR(LOOKUP(2,1/((lentry!$A$3:$A$3999=jan!$A21)*(lentry!$B$3:$B$3999&lt;=jan!M$3)*(lentry!$C$3:$C$3999&gt;=jan!M$3)),lentry!$D$3:$D$3999),IF(WEEKDAY(jan!M$3,1)=1,"WO","P"))</f>
        <v>P</v>
      </c>
      <c r="N21" s="6" t="str">
        <f>IFERROR(LOOKUP(2,1/((lentry!$A$3:$A$3999=jan!$A21)*(lentry!$B$3:$B$3999&lt;=jan!N$3)*(lentry!$C$3:$C$3999&gt;=jan!N$3)),lentry!$D$3:$D$3999),IF(WEEKDAY(jan!N$3,1)=1,"WO","P"))</f>
        <v>P</v>
      </c>
      <c r="O21" s="6" t="str">
        <f>IFERROR(LOOKUP(2,1/((lentry!$A$3:$A$3999=jan!$A21)*(lentry!$B$3:$B$3999&lt;=jan!O$3)*(lentry!$C$3:$C$3999&gt;=jan!O$3)),lentry!$D$3:$D$3999),IF(WEEKDAY(jan!O$3,1)=1,"WO","P"))</f>
        <v>P</v>
      </c>
      <c r="P21" s="6" t="s">
        <v>342</v>
      </c>
      <c r="Q21" s="6" t="str">
        <f>IFERROR(LOOKUP(2,1/((lentry!$A$3:$A$3999=jan!$A21)*(lentry!$B$3:$B$3999&lt;=jan!Q$3)*(lentry!$C$3:$C$3999&gt;=jan!Q$3)),lentry!$D$3:$D$3999),IF(WEEKDAY(jan!Q$3,1)=1,"WO","P"))</f>
        <v>P</v>
      </c>
      <c r="R21" s="6" t="str">
        <f>IFERROR(LOOKUP(2,1/((lentry!$A$3:$A$3999=jan!$A21)*(lentry!$B$3:$B$3999&lt;=jan!R$3)*(lentry!$C$3:$C$3999&gt;=jan!R$3)),lentry!$D$3:$D$3999),IF(WEEKDAY(jan!R$3,1)=1,"WO","P"))</f>
        <v>P</v>
      </c>
      <c r="S21" s="6" t="str">
        <f>IFERROR(LOOKUP(2,1/((lentry!$A$3:$A$3999=jan!$A21)*(lentry!$B$3:$B$3999&lt;=jan!S$3)*(lentry!$C$3:$C$3999&gt;=jan!S$3)),lentry!$D$3:$D$3999),IF(WEEKDAY(jan!S$3,1)=1,"WO","P"))</f>
        <v>P</v>
      </c>
      <c r="T21" s="6" t="str">
        <f>IFERROR(LOOKUP(2,1/((lentry!$A$3:$A$3999=jan!$A21)*(lentry!$B$3:$B$3999&lt;=jan!T$3)*(lentry!$C$3:$C$3999&gt;=jan!T$3)),lentry!$D$3:$D$3999),IF(WEEKDAY(jan!T$3,1)=1,"WO","P"))</f>
        <v>P</v>
      </c>
      <c r="U21" s="6" t="str">
        <f>IFERROR(LOOKUP(2,1/((lentry!$A$3:$A$3999=jan!$A21)*(lentry!$B$3:$B$3999&lt;=jan!U$3)*(lentry!$C$3:$C$3999&gt;=jan!U$3)),lentry!$D$3:$D$3999),IF(WEEKDAY(jan!U$3,1)=1,"WO","P"))</f>
        <v>P</v>
      </c>
      <c r="V21" s="6" t="str">
        <f>IFERROR(LOOKUP(2,1/((lentry!$A$3:$A$3999=jan!$A21)*(lentry!$B$3:$B$3999&lt;=jan!V$3)*(lentry!$C$3:$C$3999&gt;=jan!V$3)),lentry!$D$3:$D$3999),IF(WEEKDAY(jan!V$3,1)=1,"WO","P"))</f>
        <v>P</v>
      </c>
      <c r="W21" s="6" t="str">
        <f>IFERROR(LOOKUP(2,1/((lentry!$A$3:$A$3999=jan!$A21)*(lentry!$B$3:$B$3999&lt;=jan!W$3)*(lentry!$C$3:$C$3999&gt;=jan!W$3)),lentry!$D$3:$D$3999),IF(WEEKDAY(jan!W$3,1)=1,"WO","P"))</f>
        <v>WO</v>
      </c>
      <c r="X21" s="6" t="str">
        <f>IFERROR(LOOKUP(2,1/((lentry!$A$3:$A$3999=jan!$A21)*(lentry!$B$3:$B$3999&lt;=jan!X$3)*(lentry!$C$3:$C$3999&gt;=jan!X$3)),lentry!$D$3:$D$3999),IF(WEEKDAY(jan!X$3,1)=1,"WO","P"))</f>
        <v>P</v>
      </c>
      <c r="Y21" s="6" t="str">
        <f>IFERROR(LOOKUP(2,1/((lentry!$A$3:$A$3999=jan!$A21)*(lentry!$B$3:$B$3999&lt;=jan!Y$3)*(lentry!$C$3:$C$3999&gt;=jan!Y$3)),lentry!$D$3:$D$3999),IF(WEEKDAY(jan!Y$3,1)=1,"WO","P"))</f>
        <v>P</v>
      </c>
      <c r="Z21" s="6" t="str">
        <f>IFERROR(LOOKUP(2,1/((lentry!$A$3:$A$3999=jan!$A21)*(lentry!$B$3:$B$3999&lt;=jan!Z$3)*(lentry!$C$3:$C$3999&gt;=jan!Z$3)),lentry!$D$3:$D$3999),IF(WEEKDAY(jan!Z$3,1)=1,"WO","P"))</f>
        <v>P</v>
      </c>
      <c r="AA21" s="6" t="str">
        <f>IFERROR(LOOKUP(2,1/((lentry!$A$3:$A$3999=jan!$A21)*(lentry!$B$3:$B$3999&lt;=jan!AA$3)*(lentry!$C$3:$C$3999&gt;=jan!AA$3)),lentry!$D$3:$D$3999),IF(WEEKDAY(jan!AA$3,1)=1,"WO","P"))</f>
        <v>P</v>
      </c>
      <c r="AB21" s="6" t="str">
        <f>IFERROR(LOOKUP(2,1/((lentry!$A$3:$A$3999=jan!$A21)*(lentry!$B$3:$B$3999&lt;=jan!AB$3)*(lentry!$C$3:$C$3999&gt;=jan!AB$3)),lentry!$D$3:$D$3999),IF(WEEKDAY(jan!AB$3,1)=1,"WO","P"))</f>
        <v>P</v>
      </c>
      <c r="AC21" s="6" t="str">
        <f>IFERROR(LOOKUP(2,1/((lentry!$A$3:$A$3999=jan!$A21)*(lentry!$B$3:$B$3999&lt;=jan!AC$3)*(lentry!$C$3:$C$3999&gt;=jan!AC$3)),lentry!$D$3:$D$3999),IF(WEEKDAY(jan!AC$3,1)=1,"WO","P"))</f>
        <v>P</v>
      </c>
      <c r="AD21" s="6" t="str">
        <f>IFERROR(LOOKUP(2,1/((lentry!$A$3:$A$3999=jan!$A21)*(lentry!$B$3:$B$3999&lt;=jan!AD$3)*(lentry!$C$3:$C$3999&gt;=jan!AD$3)),lentry!$D$3:$D$3999),IF(WEEKDAY(jan!AD$3,1)=1,"WO","P"))</f>
        <v>WO</v>
      </c>
      <c r="AE21" s="6" t="s">
        <v>350</v>
      </c>
      <c r="AF21" s="6" t="str">
        <f>IFERROR(LOOKUP(2,1/((lentry!$A$3:$A$3999=jan!$A21)*(lentry!$B$3:$B$3999&lt;=jan!AF$3)*(lentry!$C$3:$C$3999&gt;=jan!AF$3)),lentry!$D$3:$D$3999),IF(WEEKDAY(jan!AF$3,1)=1,"WO","P"))</f>
        <v>P</v>
      </c>
      <c r="AG21" s="6" t="str">
        <f>IFERROR(LOOKUP(2,1/((lentry!$A$3:$A$3999=jan!$A21)*(lentry!$B$3:$B$3999&lt;=jan!AG$3)*(lentry!$C$3:$C$3999&gt;=jan!AG$3)),lentry!$D$3:$D$3999),IF(WEEKDAY(jan!AG$3,1)=1,"WO","P"))</f>
        <v>P</v>
      </c>
      <c r="AH21" s="6" t="str">
        <f>IFERROR(LOOKUP(2,1/((lentry!$A$3:$A$3999=jan!$A21)*(lentry!$B$3:$B$3999&lt;=jan!AH$3)*(lentry!$C$3:$C$3999&gt;=jan!AH$3)),lentry!$D$3:$D$3999),IF(WEEKDAY(jan!AH$3,1)=1,"WO","P"))</f>
        <v>P</v>
      </c>
      <c r="AI21" s="6" t="str">
        <f>IFERROR(LOOKUP(2,1/((lentry!$A$3:$A$3999=jan!$A21)*(lentry!$B$3:$B$3999&lt;=jan!AI$3)*(lentry!$C$3:$C$3999&gt;=jan!AI$3)),lentry!$D$3:$D$3999),IF(WEEKDAY(jan!AI$3,1)=1,"WO","P"))</f>
        <v>P</v>
      </c>
      <c r="AJ21" s="6" t="str">
        <f>IFERROR(LOOKUP(2,1/((lentry!$A$3:$A$3999=jan!$A21)*(lentry!$B$3:$B$3999&lt;=jan!AJ$3)*(lentry!$C$3:$C$3999&gt;=jan!AJ$3)),lentry!$D$3:$D$3999),IF(WEEKDAY(jan!AJ$3,1)=1,"WO","P"))</f>
        <v>P</v>
      </c>
      <c r="AK21" s="18">
        <f>COUNTIF(jan!$F21:$AJ21,"WO")</f>
        <v>4</v>
      </c>
      <c r="AL21" s="18">
        <f>COUNTIF(jan!$F21:$AJ21,"H")</f>
        <v>1</v>
      </c>
      <c r="AM21" s="18">
        <f>COUNTIF(jan!$F21:$AJ21,"PL")</f>
        <v>0</v>
      </c>
      <c r="AN21" s="18">
        <f>COUNTIF(jan!$F21:$AJ21,"LWP")</f>
        <v>0</v>
      </c>
      <c r="AO21" s="18">
        <f>COUNTIF(jan!$F21:$AJ21,"HD")</f>
        <v>0</v>
      </c>
      <c r="AP21" s="18">
        <f>COUNTIF(jan!$F21:$AJ21,"SL")</f>
        <v>0</v>
      </c>
      <c r="AQ21" s="18">
        <f>COUNTIF(jan!$F21:$AJ21,"CL")</f>
        <v>0</v>
      </c>
      <c r="AR21" s="18">
        <f>COUNTIF(jan!$F21:$AJ21,"A")</f>
        <v>0</v>
      </c>
      <c r="AS21" s="18">
        <f>COUNTIF(jan!$F21:$AJ21,"P")</f>
        <v>26</v>
      </c>
      <c r="AT21" s="18">
        <f t="shared" si="2"/>
        <v>31</v>
      </c>
      <c r="AU21" s="18">
        <f t="shared" si="3"/>
        <v>31</v>
      </c>
    </row>
    <row r="22" spans="1:47" ht="18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6" t="str">
        <f>IFERROR(LOOKUP(2,1/((lentry!$A$3:$A$3999=jan!$A22)*(lentry!$B$3:$B$3999&lt;=jan!F$3)*(lentry!$C$3:$C$3999&gt;=jan!F$3)),lentry!$D$3:$D$3999),IF(WEEKDAY(jan!F$3,1)=1,"WO","P"))</f>
        <v>P</v>
      </c>
      <c r="G22" s="6" t="str">
        <f>IFERROR(LOOKUP(2,1/((lentry!$A$3:$A$3999=jan!$A22)*(lentry!$B$3:$B$3999&lt;=jan!G$3)*(lentry!$C$3:$C$3999&gt;=jan!G$3)),lentry!$D$3:$D$3999),IF(WEEKDAY(jan!G$3,1)=1,"WO","P"))</f>
        <v>P</v>
      </c>
      <c r="H22" s="6" t="str">
        <f>IFERROR(LOOKUP(2,1/((lentry!$A$3:$A$3999=jan!$A22)*(lentry!$B$3:$B$3999&lt;=jan!H$3)*(lentry!$C$3:$C$3999&gt;=jan!H$3)),lentry!$D$3:$D$3999),IF(WEEKDAY(jan!H$3,1)=1,"WO","P"))</f>
        <v>P</v>
      </c>
      <c r="I22" s="6" t="str">
        <f>IFERROR(LOOKUP(2,1/((lentry!$A$3:$A$3999=jan!$A22)*(lentry!$B$3:$B$3999&lt;=jan!I$3)*(lentry!$C$3:$C$3999&gt;=jan!I$3)),lentry!$D$3:$D$3999),IF(WEEKDAY(jan!I$3,1)=1,"WO","P"))</f>
        <v>WO</v>
      </c>
      <c r="J22" s="6" t="str">
        <f>IFERROR(LOOKUP(2,1/((lentry!$A$3:$A$3999=jan!$A22)*(lentry!$B$3:$B$3999&lt;=jan!J$3)*(lentry!$C$3:$C$3999&gt;=jan!J$3)),lentry!$D$3:$D$3999),IF(WEEKDAY(jan!J$3,1)=1,"WO","P"))</f>
        <v>P</v>
      </c>
      <c r="K22" s="6" t="str">
        <f>IFERROR(LOOKUP(2,1/((lentry!$A$3:$A$3999=jan!$A22)*(lentry!$B$3:$B$3999&lt;=jan!K$3)*(lentry!$C$3:$C$3999&gt;=jan!K$3)),lentry!$D$3:$D$3999),IF(WEEKDAY(jan!K$3,1)=1,"WO","P"))</f>
        <v>P</v>
      </c>
      <c r="L22" s="6" t="str">
        <f>IFERROR(LOOKUP(2,1/((lentry!$A$3:$A$3999=jan!$A22)*(lentry!$B$3:$B$3999&lt;=jan!L$3)*(lentry!$C$3:$C$3999&gt;=jan!L$3)),lentry!$D$3:$D$3999),IF(WEEKDAY(jan!L$3,1)=1,"WO","P"))</f>
        <v>P</v>
      </c>
      <c r="M22" s="6" t="str">
        <f>IFERROR(LOOKUP(2,1/((lentry!$A$3:$A$3999=jan!$A22)*(lentry!$B$3:$B$3999&lt;=jan!M$3)*(lentry!$C$3:$C$3999&gt;=jan!M$3)),lentry!$D$3:$D$3999),IF(WEEKDAY(jan!M$3,1)=1,"WO","P"))</f>
        <v>P</v>
      </c>
      <c r="N22" s="6" t="str">
        <f>IFERROR(LOOKUP(2,1/((lentry!$A$3:$A$3999=jan!$A22)*(lentry!$B$3:$B$3999&lt;=jan!N$3)*(lentry!$C$3:$C$3999&gt;=jan!N$3)),lentry!$D$3:$D$3999),IF(WEEKDAY(jan!N$3,1)=1,"WO","P"))</f>
        <v>P</v>
      </c>
      <c r="O22" s="6" t="str">
        <f>IFERROR(LOOKUP(2,1/((lentry!$A$3:$A$3999=jan!$A22)*(lentry!$B$3:$B$3999&lt;=jan!O$3)*(lentry!$C$3:$C$3999&gt;=jan!O$3)),lentry!$D$3:$D$3999),IF(WEEKDAY(jan!O$3,1)=1,"WO","P"))</f>
        <v>P</v>
      </c>
      <c r="P22" s="6" t="s">
        <v>342</v>
      </c>
      <c r="Q22" s="6" t="str">
        <f>IFERROR(LOOKUP(2,1/((lentry!$A$3:$A$3999=jan!$A22)*(lentry!$B$3:$B$3999&lt;=jan!Q$3)*(lentry!$C$3:$C$3999&gt;=jan!Q$3)),lentry!$D$3:$D$3999),IF(WEEKDAY(jan!Q$3,1)=1,"WO","P"))</f>
        <v>P</v>
      </c>
      <c r="R22" s="6" t="str">
        <f>IFERROR(LOOKUP(2,1/((lentry!$A$3:$A$3999=jan!$A22)*(lentry!$B$3:$B$3999&lt;=jan!R$3)*(lentry!$C$3:$C$3999&gt;=jan!R$3)),lentry!$D$3:$D$3999),IF(WEEKDAY(jan!R$3,1)=1,"WO","P"))</f>
        <v>P</v>
      </c>
      <c r="S22" s="6" t="str">
        <f>IFERROR(LOOKUP(2,1/((lentry!$A$3:$A$3999=jan!$A22)*(lentry!$B$3:$B$3999&lt;=jan!S$3)*(lentry!$C$3:$C$3999&gt;=jan!S$3)),lentry!$D$3:$D$3999),IF(WEEKDAY(jan!S$3,1)=1,"WO","P"))</f>
        <v>P</v>
      </c>
      <c r="T22" s="6" t="str">
        <f>IFERROR(LOOKUP(2,1/((lentry!$A$3:$A$3999=jan!$A22)*(lentry!$B$3:$B$3999&lt;=jan!T$3)*(lentry!$C$3:$C$3999&gt;=jan!T$3)),lentry!$D$3:$D$3999),IF(WEEKDAY(jan!T$3,1)=1,"WO","P"))</f>
        <v>P</v>
      </c>
      <c r="U22" s="6" t="str">
        <f>IFERROR(LOOKUP(2,1/((lentry!$A$3:$A$3999=jan!$A22)*(lentry!$B$3:$B$3999&lt;=jan!U$3)*(lentry!$C$3:$C$3999&gt;=jan!U$3)),lentry!$D$3:$D$3999),IF(WEEKDAY(jan!U$3,1)=1,"WO","P"))</f>
        <v>P</v>
      </c>
      <c r="V22" s="6" t="str">
        <f>IFERROR(LOOKUP(2,1/((lentry!$A$3:$A$3999=jan!$A22)*(lentry!$B$3:$B$3999&lt;=jan!V$3)*(lentry!$C$3:$C$3999&gt;=jan!V$3)),lentry!$D$3:$D$3999),IF(WEEKDAY(jan!V$3,1)=1,"WO","P"))</f>
        <v>P</v>
      </c>
      <c r="W22" s="6" t="str">
        <f>IFERROR(LOOKUP(2,1/((lentry!$A$3:$A$3999=jan!$A22)*(lentry!$B$3:$B$3999&lt;=jan!W$3)*(lentry!$C$3:$C$3999&gt;=jan!W$3)),lentry!$D$3:$D$3999),IF(WEEKDAY(jan!W$3,1)=1,"WO","P"))</f>
        <v>WO</v>
      </c>
      <c r="X22" s="6" t="str">
        <f>IFERROR(LOOKUP(2,1/((lentry!$A$3:$A$3999=jan!$A22)*(lentry!$B$3:$B$3999&lt;=jan!X$3)*(lentry!$C$3:$C$3999&gt;=jan!X$3)),lentry!$D$3:$D$3999),IF(WEEKDAY(jan!X$3,1)=1,"WO","P"))</f>
        <v>P</v>
      </c>
      <c r="Y22" s="6" t="str">
        <f>IFERROR(LOOKUP(2,1/((lentry!$A$3:$A$3999=jan!$A22)*(lentry!$B$3:$B$3999&lt;=jan!Y$3)*(lentry!$C$3:$C$3999&gt;=jan!Y$3)),lentry!$D$3:$D$3999),IF(WEEKDAY(jan!Y$3,1)=1,"WO","P"))</f>
        <v>P</v>
      </c>
      <c r="Z22" s="6" t="str">
        <f>IFERROR(LOOKUP(2,1/((lentry!$A$3:$A$3999=jan!$A22)*(lentry!$B$3:$B$3999&lt;=jan!Z$3)*(lentry!$C$3:$C$3999&gt;=jan!Z$3)),lentry!$D$3:$D$3999),IF(WEEKDAY(jan!Z$3,1)=1,"WO","P"))</f>
        <v>P</v>
      </c>
      <c r="AA22" s="6" t="s">
        <v>539</v>
      </c>
      <c r="AB22" s="6" t="str">
        <f>IFERROR(LOOKUP(2,1/((lentry!$A$3:$A$3999=jan!$A22)*(lentry!$B$3:$B$3999&lt;=jan!AB$3)*(lentry!$C$3:$C$3999&gt;=jan!AB$3)),lentry!$D$3:$D$3999),IF(WEEKDAY(jan!AB$3,1)=1,"WO","P"))</f>
        <v>P</v>
      </c>
      <c r="AC22" s="6" t="str">
        <f>IFERROR(LOOKUP(2,1/((lentry!$A$3:$A$3999=jan!$A22)*(lentry!$B$3:$B$3999&lt;=jan!AC$3)*(lentry!$C$3:$C$3999&gt;=jan!AC$3)),lentry!$D$3:$D$3999),IF(WEEKDAY(jan!AC$3,1)=1,"WO","P"))</f>
        <v>P</v>
      </c>
      <c r="AD22" s="6" t="str">
        <f>IFERROR(LOOKUP(2,1/((lentry!$A$3:$A$3999=jan!$A22)*(lentry!$B$3:$B$3999&lt;=jan!AD$3)*(lentry!$C$3:$C$3999&gt;=jan!AD$3)),lentry!$D$3:$D$3999),IF(WEEKDAY(jan!AD$3,1)=1,"WO","P"))</f>
        <v>WO</v>
      </c>
      <c r="AE22" s="6" t="s">
        <v>350</v>
      </c>
      <c r="AF22" s="6" t="str">
        <f>IFERROR(LOOKUP(2,1/((lentry!$A$3:$A$3999=jan!$A22)*(lentry!$B$3:$B$3999&lt;=jan!AF$3)*(lentry!$C$3:$C$3999&gt;=jan!AF$3)),lentry!$D$3:$D$3999),IF(WEEKDAY(jan!AF$3,1)=1,"WO","P"))</f>
        <v>P</v>
      </c>
      <c r="AG22" s="6" t="str">
        <f>IFERROR(LOOKUP(2,1/((lentry!$A$3:$A$3999=jan!$A22)*(lentry!$B$3:$B$3999&lt;=jan!AG$3)*(lentry!$C$3:$C$3999&gt;=jan!AG$3)),lentry!$D$3:$D$3999),IF(WEEKDAY(jan!AG$3,1)=1,"WO","P"))</f>
        <v>P</v>
      </c>
      <c r="AH22" s="6" t="str">
        <f>IFERROR(LOOKUP(2,1/((lentry!$A$3:$A$3999=jan!$A22)*(lentry!$B$3:$B$3999&lt;=jan!AH$3)*(lentry!$C$3:$C$3999&gt;=jan!AH$3)),lentry!$D$3:$D$3999),IF(WEEKDAY(jan!AH$3,1)=1,"WO","P"))</f>
        <v>P</v>
      </c>
      <c r="AI22" s="6" t="str">
        <f>IFERROR(LOOKUP(2,1/((lentry!$A$3:$A$3999=jan!$A22)*(lentry!$B$3:$B$3999&lt;=jan!AI$3)*(lentry!$C$3:$C$3999&gt;=jan!AI$3)),lentry!$D$3:$D$3999),IF(WEEKDAY(jan!AI$3,1)=1,"WO","P"))</f>
        <v>P</v>
      </c>
      <c r="AJ22" s="6" t="str">
        <f>IFERROR(LOOKUP(2,1/((lentry!$A$3:$A$3999=jan!$A22)*(lentry!$B$3:$B$3999&lt;=jan!AJ$3)*(lentry!$C$3:$C$3999&gt;=jan!AJ$3)),lentry!$D$3:$D$3999),IF(WEEKDAY(jan!AJ$3,1)=1,"WO","P"))</f>
        <v>P</v>
      </c>
      <c r="AK22" s="18">
        <f>COUNTIF(jan!$F22:$AJ22,"WO")</f>
        <v>4</v>
      </c>
      <c r="AL22" s="18">
        <f>COUNTIF(jan!$F22:$AJ22,"H")</f>
        <v>1</v>
      </c>
      <c r="AM22" s="18">
        <f>COUNTIF(jan!$F22:$AJ22,"PL")</f>
        <v>0</v>
      </c>
      <c r="AN22" s="18">
        <f>COUNTIF(jan!$F22:$AJ22,"LWP")</f>
        <v>0</v>
      </c>
      <c r="AO22" s="18">
        <f>COUNTIF(jan!$F22:$AJ22,"HD")</f>
        <v>0</v>
      </c>
      <c r="AP22" s="18">
        <f>COUNTIF(jan!$F22:$AJ22,"SL")</f>
        <v>0</v>
      </c>
      <c r="AQ22" s="18">
        <f>COUNTIF(jan!$F22:$AJ22,"CL")</f>
        <v>0</v>
      </c>
      <c r="AR22" s="18">
        <f>COUNTIF(jan!$F22:$AJ22,"A")</f>
        <v>1</v>
      </c>
      <c r="AS22" s="18">
        <f>COUNTIF(jan!$F22:$AJ22,"P")</f>
        <v>25</v>
      </c>
      <c r="AT22" s="18">
        <f t="shared" si="2"/>
        <v>31</v>
      </c>
      <c r="AU22" s="18">
        <f t="shared" si="3"/>
        <v>30</v>
      </c>
    </row>
    <row r="23" spans="1:47" ht="18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6" t="str">
        <f>IFERROR(LOOKUP(2,1/((lentry!$A$3:$A$3999=jan!$A23)*(lentry!$B$3:$B$3999&lt;=jan!F$3)*(lentry!$C$3:$C$3999&gt;=jan!F$3)),lentry!$D$3:$D$3999),IF(WEEKDAY(jan!F$3,1)=1,"WO","P"))</f>
        <v>P</v>
      </c>
      <c r="G23" s="6" t="s">
        <v>539</v>
      </c>
      <c r="H23" s="6" t="str">
        <f>IFERROR(LOOKUP(2,1/((lentry!$A$3:$A$3999=jan!$A23)*(lentry!$B$3:$B$3999&lt;=jan!H$3)*(lentry!$C$3:$C$3999&gt;=jan!H$3)),lentry!$D$3:$D$3999),IF(WEEKDAY(jan!H$3,1)=1,"WO","P"))</f>
        <v>P</v>
      </c>
      <c r="I23" s="6" t="str">
        <f>IFERROR(LOOKUP(2,1/((lentry!$A$3:$A$3999=jan!$A23)*(lentry!$B$3:$B$3999&lt;=jan!I$3)*(lentry!$C$3:$C$3999&gt;=jan!I$3)),lentry!$D$3:$D$3999),IF(WEEKDAY(jan!I$3,1)=1,"WO","P"))</f>
        <v>WO</v>
      </c>
      <c r="J23" s="6" t="str">
        <f>IFERROR(LOOKUP(2,1/((lentry!$A$3:$A$3999=jan!$A23)*(lentry!$B$3:$B$3999&lt;=jan!J$3)*(lentry!$C$3:$C$3999&gt;=jan!J$3)),lentry!$D$3:$D$3999),IF(WEEKDAY(jan!J$3,1)=1,"WO","P"))</f>
        <v>P</v>
      </c>
      <c r="K23" s="6" t="str">
        <f>IFERROR(LOOKUP(2,1/((lentry!$A$3:$A$3999=jan!$A23)*(lentry!$B$3:$B$3999&lt;=jan!K$3)*(lentry!$C$3:$C$3999&gt;=jan!K$3)),lentry!$D$3:$D$3999),IF(WEEKDAY(jan!K$3,1)=1,"WO","P"))</f>
        <v>P</v>
      </c>
      <c r="L23" s="6" t="str">
        <f>IFERROR(LOOKUP(2,1/((lentry!$A$3:$A$3999=jan!$A23)*(lentry!$B$3:$B$3999&lt;=jan!L$3)*(lentry!$C$3:$C$3999&gt;=jan!L$3)),lentry!$D$3:$D$3999),IF(WEEKDAY(jan!L$3,1)=1,"WO","P"))</f>
        <v>P</v>
      </c>
      <c r="M23" s="6" t="str">
        <f>IFERROR(LOOKUP(2,1/((lentry!$A$3:$A$3999=jan!$A23)*(lentry!$B$3:$B$3999&lt;=jan!M$3)*(lentry!$C$3:$C$3999&gt;=jan!M$3)),lentry!$D$3:$D$3999),IF(WEEKDAY(jan!M$3,1)=1,"WO","P"))</f>
        <v>P</v>
      </c>
      <c r="N23" s="6" t="str">
        <f>IFERROR(LOOKUP(2,1/((lentry!$A$3:$A$3999=jan!$A23)*(lentry!$B$3:$B$3999&lt;=jan!N$3)*(lentry!$C$3:$C$3999&gt;=jan!N$3)),lentry!$D$3:$D$3999),IF(WEEKDAY(jan!N$3,1)=1,"WO","P"))</f>
        <v>P</v>
      </c>
      <c r="O23" s="6" t="str">
        <f>IFERROR(LOOKUP(2,1/((lentry!$A$3:$A$3999=jan!$A23)*(lentry!$B$3:$B$3999&lt;=jan!O$3)*(lentry!$C$3:$C$3999&gt;=jan!O$3)),lentry!$D$3:$D$3999),IF(WEEKDAY(jan!O$3,1)=1,"WO","P"))</f>
        <v>P</v>
      </c>
      <c r="P23" s="6" t="s">
        <v>342</v>
      </c>
      <c r="Q23" s="6" t="str">
        <f>IFERROR(LOOKUP(2,1/((lentry!$A$3:$A$3999=jan!$A23)*(lentry!$B$3:$B$3999&lt;=jan!Q$3)*(lentry!$C$3:$C$3999&gt;=jan!Q$3)),lentry!$D$3:$D$3999),IF(WEEKDAY(jan!Q$3,1)=1,"WO","P"))</f>
        <v>P</v>
      </c>
      <c r="R23" s="6" t="str">
        <f>IFERROR(LOOKUP(2,1/((lentry!$A$3:$A$3999=jan!$A23)*(lentry!$B$3:$B$3999&lt;=jan!R$3)*(lentry!$C$3:$C$3999&gt;=jan!R$3)),lentry!$D$3:$D$3999),IF(WEEKDAY(jan!R$3,1)=1,"WO","P"))</f>
        <v>P</v>
      </c>
      <c r="S23" s="6" t="str">
        <f>IFERROR(LOOKUP(2,1/((lentry!$A$3:$A$3999=jan!$A23)*(lentry!$B$3:$B$3999&lt;=jan!S$3)*(lentry!$C$3:$C$3999&gt;=jan!S$3)),lentry!$D$3:$D$3999),IF(WEEKDAY(jan!S$3,1)=1,"WO","P"))</f>
        <v>P</v>
      </c>
      <c r="T23" s="6" t="str">
        <f>IFERROR(LOOKUP(2,1/((lentry!$A$3:$A$3999=jan!$A23)*(lentry!$B$3:$B$3999&lt;=jan!T$3)*(lentry!$C$3:$C$3999&gt;=jan!T$3)),lentry!$D$3:$D$3999),IF(WEEKDAY(jan!T$3,1)=1,"WO","P"))</f>
        <v>P</v>
      </c>
      <c r="U23" s="6" t="str">
        <f>IFERROR(LOOKUP(2,1/((lentry!$A$3:$A$3999=jan!$A23)*(lentry!$B$3:$B$3999&lt;=jan!U$3)*(lentry!$C$3:$C$3999&gt;=jan!U$3)),lentry!$D$3:$D$3999),IF(WEEKDAY(jan!U$3,1)=1,"WO","P"))</f>
        <v>P</v>
      </c>
      <c r="V23" s="6" t="str">
        <f>IFERROR(LOOKUP(2,1/((lentry!$A$3:$A$3999=jan!$A23)*(lentry!$B$3:$B$3999&lt;=jan!V$3)*(lentry!$C$3:$C$3999&gt;=jan!V$3)),lentry!$D$3:$D$3999),IF(WEEKDAY(jan!V$3,1)=1,"WO","P"))</f>
        <v>P</v>
      </c>
      <c r="W23" s="6" t="str">
        <f>IFERROR(LOOKUP(2,1/((lentry!$A$3:$A$3999=jan!$A23)*(lentry!$B$3:$B$3999&lt;=jan!W$3)*(lentry!$C$3:$C$3999&gt;=jan!W$3)),lentry!$D$3:$D$3999),IF(WEEKDAY(jan!W$3,1)=1,"WO","P"))</f>
        <v>WO</v>
      </c>
      <c r="X23" s="6" t="str">
        <f>IFERROR(LOOKUP(2,1/((lentry!$A$3:$A$3999=jan!$A23)*(lentry!$B$3:$B$3999&lt;=jan!X$3)*(lentry!$C$3:$C$3999&gt;=jan!X$3)),lentry!$D$3:$D$3999),IF(WEEKDAY(jan!X$3,1)=1,"WO","P"))</f>
        <v>P</v>
      </c>
      <c r="Y23" s="6" t="str">
        <f>IFERROR(LOOKUP(2,1/((lentry!$A$3:$A$3999=jan!$A23)*(lentry!$B$3:$B$3999&lt;=jan!Y$3)*(lentry!$C$3:$C$3999&gt;=jan!Y$3)),lentry!$D$3:$D$3999),IF(WEEKDAY(jan!Y$3,1)=1,"WO","P"))</f>
        <v>P</v>
      </c>
      <c r="Z23" s="6" t="str">
        <f>IFERROR(LOOKUP(2,1/((lentry!$A$3:$A$3999=jan!$A23)*(lentry!$B$3:$B$3999&lt;=jan!Z$3)*(lentry!$C$3:$C$3999&gt;=jan!Z$3)),lentry!$D$3:$D$3999),IF(WEEKDAY(jan!Z$3,1)=1,"WO","P"))</f>
        <v>P</v>
      </c>
      <c r="AA23" s="6" t="str">
        <f>IFERROR(LOOKUP(2,1/((lentry!$A$3:$A$3999=jan!$A23)*(lentry!$B$3:$B$3999&lt;=jan!AA$3)*(lentry!$C$3:$C$3999&gt;=jan!AA$3)),lentry!$D$3:$D$3999),IF(WEEKDAY(jan!AA$3,1)=1,"WO","P"))</f>
        <v>P</v>
      </c>
      <c r="AB23" s="6" t="str">
        <f>IFERROR(LOOKUP(2,1/((lentry!$A$3:$A$3999=jan!$A23)*(lentry!$B$3:$B$3999&lt;=jan!AB$3)*(lentry!$C$3:$C$3999&gt;=jan!AB$3)),lentry!$D$3:$D$3999),IF(WEEKDAY(jan!AB$3,1)=1,"WO","P"))</f>
        <v>P</v>
      </c>
      <c r="AC23" s="6" t="str">
        <f>IFERROR(LOOKUP(2,1/((lentry!$A$3:$A$3999=jan!$A23)*(lentry!$B$3:$B$3999&lt;=jan!AC$3)*(lentry!$C$3:$C$3999&gt;=jan!AC$3)),lentry!$D$3:$D$3999),IF(WEEKDAY(jan!AC$3,1)=1,"WO","P"))</f>
        <v>P</v>
      </c>
      <c r="AD23" s="6" t="str">
        <f>IFERROR(LOOKUP(2,1/((lentry!$A$3:$A$3999=jan!$A23)*(lentry!$B$3:$B$3999&lt;=jan!AD$3)*(lentry!$C$3:$C$3999&gt;=jan!AD$3)),lentry!$D$3:$D$3999),IF(WEEKDAY(jan!AD$3,1)=1,"WO","P"))</f>
        <v>WO</v>
      </c>
      <c r="AE23" s="6" t="s">
        <v>350</v>
      </c>
      <c r="AF23" s="6" t="str">
        <f>IFERROR(LOOKUP(2,1/((lentry!$A$3:$A$3999=jan!$A23)*(lentry!$B$3:$B$3999&lt;=jan!AF$3)*(lentry!$C$3:$C$3999&gt;=jan!AF$3)),lentry!$D$3:$D$3999),IF(WEEKDAY(jan!AF$3,1)=1,"WO","P"))</f>
        <v>P</v>
      </c>
      <c r="AG23" s="6" t="str">
        <f>IFERROR(LOOKUP(2,1/((lentry!$A$3:$A$3999=jan!$A23)*(lentry!$B$3:$B$3999&lt;=jan!AG$3)*(lentry!$C$3:$C$3999&gt;=jan!AG$3)),lentry!$D$3:$D$3999),IF(WEEKDAY(jan!AG$3,1)=1,"WO","P"))</f>
        <v>P</v>
      </c>
      <c r="AH23" s="6" t="str">
        <f>IFERROR(LOOKUP(2,1/((lentry!$A$3:$A$3999=jan!$A23)*(lentry!$B$3:$B$3999&lt;=jan!AH$3)*(lentry!$C$3:$C$3999&gt;=jan!AH$3)),lentry!$D$3:$D$3999),IF(WEEKDAY(jan!AH$3,1)=1,"WO","P"))</f>
        <v>P</v>
      </c>
      <c r="AI23" s="6" t="str">
        <f>IFERROR(LOOKUP(2,1/((lentry!$A$3:$A$3999=jan!$A23)*(lentry!$B$3:$B$3999&lt;=jan!AI$3)*(lentry!$C$3:$C$3999&gt;=jan!AI$3)),lentry!$D$3:$D$3999),IF(WEEKDAY(jan!AI$3,1)=1,"WO","P"))</f>
        <v>P</v>
      </c>
      <c r="AJ23" s="6" t="str">
        <f>IFERROR(LOOKUP(2,1/((lentry!$A$3:$A$3999=jan!$A23)*(lentry!$B$3:$B$3999&lt;=jan!AJ$3)*(lentry!$C$3:$C$3999&gt;=jan!AJ$3)),lentry!$D$3:$D$3999),IF(WEEKDAY(jan!AJ$3,1)=1,"WO","P"))</f>
        <v>P</v>
      </c>
      <c r="AK23" s="18">
        <f>COUNTIF(jan!$F23:$AJ23,"WO")</f>
        <v>4</v>
      </c>
      <c r="AL23" s="18">
        <f>COUNTIF(jan!$F23:$AJ23,"H")</f>
        <v>1</v>
      </c>
      <c r="AM23" s="18">
        <f>COUNTIF(jan!$F23:$AJ23,"PL")</f>
        <v>0</v>
      </c>
      <c r="AN23" s="18">
        <f>COUNTIF(jan!$F23:$AJ23,"LWP")</f>
        <v>0</v>
      </c>
      <c r="AO23" s="18">
        <f>COUNTIF(jan!$F23:$AJ23,"HD")</f>
        <v>0</v>
      </c>
      <c r="AP23" s="18">
        <f>COUNTIF(jan!$F23:$AJ23,"SL")</f>
        <v>0</v>
      </c>
      <c r="AQ23" s="18">
        <f>COUNTIF(jan!$F23:$AJ23,"CL")</f>
        <v>0</v>
      </c>
      <c r="AR23" s="18">
        <f>COUNTIF(jan!$F23:$AJ23,"A")</f>
        <v>1</v>
      </c>
      <c r="AS23" s="18">
        <f>COUNTIF(jan!$F23:$AJ23,"P")</f>
        <v>25</v>
      </c>
      <c r="AT23" s="18">
        <f t="shared" si="2"/>
        <v>31</v>
      </c>
      <c r="AU23" s="18">
        <f t="shared" si="3"/>
        <v>30</v>
      </c>
    </row>
    <row r="24" spans="1:47" ht="18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6" t="str">
        <f>IFERROR(LOOKUP(2,1/((lentry!$A$3:$A$3999=jan!$A24)*(lentry!$B$3:$B$3999&lt;=jan!F$3)*(lentry!$C$3:$C$3999&gt;=jan!F$3)),lentry!$D$3:$D$3999),IF(WEEKDAY(jan!F$3,1)=1,"WO","P"))</f>
        <v>P</v>
      </c>
      <c r="G24" s="6" t="str">
        <f>IFERROR(LOOKUP(2,1/((lentry!$A$3:$A$3999=jan!$A24)*(lentry!$B$3:$B$3999&lt;=jan!G$3)*(lentry!$C$3:$C$3999&gt;=jan!G$3)),lentry!$D$3:$D$3999),IF(WEEKDAY(jan!G$3,1)=1,"WO","P"))</f>
        <v>P</v>
      </c>
      <c r="H24" s="6" t="str">
        <f>IFERROR(LOOKUP(2,1/((lentry!$A$3:$A$3999=jan!$A24)*(lentry!$B$3:$B$3999&lt;=jan!H$3)*(lentry!$C$3:$C$3999&gt;=jan!H$3)),lentry!$D$3:$D$3999),IF(WEEKDAY(jan!H$3,1)=1,"WO","P"))</f>
        <v>P</v>
      </c>
      <c r="I24" s="6" t="str">
        <f>IFERROR(LOOKUP(2,1/((lentry!$A$3:$A$3999=jan!$A24)*(lentry!$B$3:$B$3999&lt;=jan!I$3)*(lentry!$C$3:$C$3999&gt;=jan!I$3)),lentry!$D$3:$D$3999),IF(WEEKDAY(jan!I$3,1)=1,"WO","P"))</f>
        <v>WO</v>
      </c>
      <c r="J24" s="6" t="str">
        <f>IFERROR(LOOKUP(2,1/((lentry!$A$3:$A$3999=jan!$A24)*(lentry!$B$3:$B$3999&lt;=jan!J$3)*(lentry!$C$3:$C$3999&gt;=jan!J$3)),lentry!$D$3:$D$3999),IF(WEEKDAY(jan!J$3,1)=1,"WO","P"))</f>
        <v>P</v>
      </c>
      <c r="K24" s="6" t="str">
        <f>IFERROR(LOOKUP(2,1/((lentry!$A$3:$A$3999=jan!$A24)*(lentry!$B$3:$B$3999&lt;=jan!K$3)*(lentry!$C$3:$C$3999&gt;=jan!K$3)),lentry!$D$3:$D$3999),IF(WEEKDAY(jan!K$3,1)=1,"WO","P"))</f>
        <v>P</v>
      </c>
      <c r="L24" s="6" t="str">
        <f>IFERROR(LOOKUP(2,1/((lentry!$A$3:$A$3999=jan!$A24)*(lentry!$B$3:$B$3999&lt;=jan!L$3)*(lentry!$C$3:$C$3999&gt;=jan!L$3)),lentry!$D$3:$D$3999),IF(WEEKDAY(jan!L$3,1)=1,"WO","P"))</f>
        <v>P</v>
      </c>
      <c r="M24" s="6" t="str">
        <f>IFERROR(LOOKUP(2,1/((lentry!$A$3:$A$3999=jan!$A24)*(lentry!$B$3:$B$3999&lt;=jan!M$3)*(lentry!$C$3:$C$3999&gt;=jan!M$3)),lentry!$D$3:$D$3999),IF(WEEKDAY(jan!M$3,1)=1,"WO","P"))</f>
        <v>P</v>
      </c>
      <c r="N24" s="6" t="str">
        <f>IFERROR(LOOKUP(2,1/((lentry!$A$3:$A$3999=jan!$A24)*(lentry!$B$3:$B$3999&lt;=jan!N$3)*(lentry!$C$3:$C$3999&gt;=jan!N$3)),lentry!$D$3:$D$3999),IF(WEEKDAY(jan!N$3,1)=1,"WO","P"))</f>
        <v>P</v>
      </c>
      <c r="O24" s="6" t="str">
        <f>IFERROR(LOOKUP(2,1/((lentry!$A$3:$A$3999=jan!$A24)*(lentry!$B$3:$B$3999&lt;=jan!O$3)*(lentry!$C$3:$C$3999&gt;=jan!O$3)),lentry!$D$3:$D$3999),IF(WEEKDAY(jan!O$3,1)=1,"WO","P"))</f>
        <v>P</v>
      </c>
      <c r="P24" s="6" t="s">
        <v>342</v>
      </c>
      <c r="Q24" s="6" t="str">
        <f>IFERROR(LOOKUP(2,1/((lentry!$A$3:$A$3999=jan!$A24)*(lentry!$B$3:$B$3999&lt;=jan!Q$3)*(lentry!$C$3:$C$3999&gt;=jan!Q$3)),lentry!$D$3:$D$3999),IF(WEEKDAY(jan!Q$3,1)=1,"WO","P"))</f>
        <v>P</v>
      </c>
      <c r="R24" s="6" t="str">
        <f>IFERROR(LOOKUP(2,1/((lentry!$A$3:$A$3999=jan!$A24)*(lentry!$B$3:$B$3999&lt;=jan!R$3)*(lentry!$C$3:$C$3999&gt;=jan!R$3)),lentry!$D$3:$D$3999),IF(WEEKDAY(jan!R$3,1)=1,"WO","P"))</f>
        <v>P</v>
      </c>
      <c r="S24" s="6" t="str">
        <f>IFERROR(LOOKUP(2,1/((lentry!$A$3:$A$3999=jan!$A24)*(lentry!$B$3:$B$3999&lt;=jan!S$3)*(lentry!$C$3:$C$3999&gt;=jan!S$3)),lentry!$D$3:$D$3999),IF(WEEKDAY(jan!S$3,1)=1,"WO","P"))</f>
        <v>P</v>
      </c>
      <c r="T24" s="6" t="str">
        <f>IFERROR(LOOKUP(2,1/((lentry!$A$3:$A$3999=jan!$A24)*(lentry!$B$3:$B$3999&lt;=jan!T$3)*(lentry!$C$3:$C$3999&gt;=jan!T$3)),lentry!$D$3:$D$3999),IF(WEEKDAY(jan!T$3,1)=1,"WO","P"))</f>
        <v>P</v>
      </c>
      <c r="U24" s="6" t="str">
        <f>IFERROR(LOOKUP(2,1/((lentry!$A$3:$A$3999=jan!$A24)*(lentry!$B$3:$B$3999&lt;=jan!U$3)*(lentry!$C$3:$C$3999&gt;=jan!U$3)),lentry!$D$3:$D$3999),IF(WEEKDAY(jan!U$3,1)=1,"WO","P"))</f>
        <v>P</v>
      </c>
      <c r="V24" s="6" t="str">
        <f>IFERROR(LOOKUP(2,1/((lentry!$A$3:$A$3999=jan!$A24)*(lentry!$B$3:$B$3999&lt;=jan!V$3)*(lentry!$C$3:$C$3999&gt;=jan!V$3)),lentry!$D$3:$D$3999),IF(WEEKDAY(jan!V$3,1)=1,"WO","P"))</f>
        <v>P</v>
      </c>
      <c r="W24" s="6" t="str">
        <f>IFERROR(LOOKUP(2,1/((lentry!$A$3:$A$3999=jan!$A24)*(lentry!$B$3:$B$3999&lt;=jan!W$3)*(lentry!$C$3:$C$3999&gt;=jan!W$3)),lentry!$D$3:$D$3999),IF(WEEKDAY(jan!W$3,1)=1,"WO","P"))</f>
        <v>WO</v>
      </c>
      <c r="X24" s="6" t="str">
        <f>IFERROR(LOOKUP(2,1/((lentry!$A$3:$A$3999=jan!$A24)*(lentry!$B$3:$B$3999&lt;=jan!X$3)*(lentry!$C$3:$C$3999&gt;=jan!X$3)),lentry!$D$3:$D$3999),IF(WEEKDAY(jan!X$3,1)=1,"WO","P"))</f>
        <v>P</v>
      </c>
      <c r="Y24" s="6" t="str">
        <f>IFERROR(LOOKUP(2,1/((lentry!$A$3:$A$3999=jan!$A24)*(lentry!$B$3:$B$3999&lt;=jan!Y$3)*(lentry!$C$3:$C$3999&gt;=jan!Y$3)),lentry!$D$3:$D$3999),IF(WEEKDAY(jan!Y$3,1)=1,"WO","P"))</f>
        <v>P</v>
      </c>
      <c r="Z24" s="6" t="str">
        <f>IFERROR(LOOKUP(2,1/((lentry!$A$3:$A$3999=jan!$A24)*(lentry!$B$3:$B$3999&lt;=jan!Z$3)*(lentry!$C$3:$C$3999&gt;=jan!Z$3)),lentry!$D$3:$D$3999),IF(WEEKDAY(jan!Z$3,1)=1,"WO","P"))</f>
        <v>P</v>
      </c>
      <c r="AA24" s="6" t="str">
        <f>IFERROR(LOOKUP(2,1/((lentry!$A$3:$A$3999=jan!$A24)*(lentry!$B$3:$B$3999&lt;=jan!AA$3)*(lentry!$C$3:$C$3999&gt;=jan!AA$3)),lentry!$D$3:$D$3999),IF(WEEKDAY(jan!AA$3,1)=1,"WO","P"))</f>
        <v>P</v>
      </c>
      <c r="AB24" s="6" t="str">
        <f>IFERROR(LOOKUP(2,1/((lentry!$A$3:$A$3999=jan!$A24)*(lentry!$B$3:$B$3999&lt;=jan!AB$3)*(lentry!$C$3:$C$3999&gt;=jan!AB$3)),lentry!$D$3:$D$3999),IF(WEEKDAY(jan!AB$3,1)=1,"WO","P"))</f>
        <v>P</v>
      </c>
      <c r="AC24" s="6" t="str">
        <f>IFERROR(LOOKUP(2,1/((lentry!$A$3:$A$3999=jan!$A24)*(lentry!$B$3:$B$3999&lt;=jan!AC$3)*(lentry!$C$3:$C$3999&gt;=jan!AC$3)),lentry!$D$3:$D$3999),IF(WEEKDAY(jan!AC$3,1)=1,"WO","P"))</f>
        <v>P</v>
      </c>
      <c r="AD24" s="6" t="str">
        <f>IFERROR(LOOKUP(2,1/((lentry!$A$3:$A$3999=jan!$A24)*(lentry!$B$3:$B$3999&lt;=jan!AD$3)*(lentry!$C$3:$C$3999&gt;=jan!AD$3)),lentry!$D$3:$D$3999),IF(WEEKDAY(jan!AD$3,1)=1,"WO","P"))</f>
        <v>WO</v>
      </c>
      <c r="AE24" s="6" t="s">
        <v>350</v>
      </c>
      <c r="AF24" s="6" t="str">
        <f>IFERROR(LOOKUP(2,1/((lentry!$A$3:$A$3999=jan!$A24)*(lentry!$B$3:$B$3999&lt;=jan!AF$3)*(lentry!$C$3:$C$3999&gt;=jan!AF$3)),lentry!$D$3:$D$3999),IF(WEEKDAY(jan!AF$3,1)=1,"WO","P"))</f>
        <v>P</v>
      </c>
      <c r="AG24" s="6" t="str">
        <f>IFERROR(LOOKUP(2,1/((lentry!$A$3:$A$3999=jan!$A24)*(lentry!$B$3:$B$3999&lt;=jan!AG$3)*(lentry!$C$3:$C$3999&gt;=jan!AG$3)),lentry!$D$3:$D$3999),IF(WEEKDAY(jan!AG$3,1)=1,"WO","P"))</f>
        <v>P</v>
      </c>
      <c r="AH24" s="6" t="str">
        <f>IFERROR(LOOKUP(2,1/((lentry!$A$3:$A$3999=jan!$A24)*(lentry!$B$3:$B$3999&lt;=jan!AH$3)*(lentry!$C$3:$C$3999&gt;=jan!AH$3)),lentry!$D$3:$D$3999),IF(WEEKDAY(jan!AH$3,1)=1,"WO","P"))</f>
        <v>P</v>
      </c>
      <c r="AI24" s="6" t="str">
        <f>IFERROR(LOOKUP(2,1/((lentry!$A$3:$A$3999=jan!$A24)*(lentry!$B$3:$B$3999&lt;=jan!AI$3)*(lentry!$C$3:$C$3999&gt;=jan!AI$3)),lentry!$D$3:$D$3999),IF(WEEKDAY(jan!AI$3,1)=1,"WO","P"))</f>
        <v>P</v>
      </c>
      <c r="AJ24" s="6" t="str">
        <f>IFERROR(LOOKUP(2,1/((lentry!$A$3:$A$3999=jan!$A24)*(lentry!$B$3:$B$3999&lt;=jan!AJ$3)*(lentry!$C$3:$C$3999&gt;=jan!AJ$3)),lentry!$D$3:$D$3999),IF(WEEKDAY(jan!AJ$3,1)=1,"WO","P"))</f>
        <v>P</v>
      </c>
      <c r="AK24" s="18">
        <f>COUNTIF(jan!$F24:$AJ24,"WO")</f>
        <v>4</v>
      </c>
      <c r="AL24" s="18">
        <f>COUNTIF(jan!$F24:$AJ24,"H")</f>
        <v>1</v>
      </c>
      <c r="AM24" s="18">
        <f>COUNTIF(jan!$F24:$AJ24,"PL")</f>
        <v>0</v>
      </c>
      <c r="AN24" s="18">
        <f>COUNTIF(jan!$F24:$AJ24,"LWP")</f>
        <v>0</v>
      </c>
      <c r="AO24" s="18">
        <f>COUNTIF(jan!$F24:$AJ24,"HD")</f>
        <v>0</v>
      </c>
      <c r="AP24" s="18">
        <f>COUNTIF(jan!$F24:$AJ24,"SL")</f>
        <v>0</v>
      </c>
      <c r="AQ24" s="18">
        <f>COUNTIF(jan!$F24:$AJ24,"CL")</f>
        <v>0</v>
      </c>
      <c r="AR24" s="18">
        <f>COUNTIF(jan!$F24:$AJ24,"A")</f>
        <v>0</v>
      </c>
      <c r="AS24" s="18">
        <f>COUNTIF(jan!$F24:$AJ24,"P")</f>
        <v>26</v>
      </c>
      <c r="AT24" s="18">
        <f t="shared" si="2"/>
        <v>31</v>
      </c>
      <c r="AU24" s="18">
        <f t="shared" si="3"/>
        <v>31</v>
      </c>
    </row>
    <row r="25" spans="1:47" ht="18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6" t="str">
        <f>IFERROR(LOOKUP(2,1/((lentry!$A$3:$A$3999=jan!$A25)*(lentry!$B$3:$B$3999&lt;=jan!F$3)*(lentry!$C$3:$C$3999&gt;=jan!F$3)),lentry!$D$3:$D$3999),IF(WEEKDAY(jan!F$3,1)=1,"WO","P"))</f>
        <v>P</v>
      </c>
      <c r="G25" s="6" t="str">
        <f>IFERROR(LOOKUP(2,1/((lentry!$A$3:$A$3999=jan!$A25)*(lentry!$B$3:$B$3999&lt;=jan!G$3)*(lentry!$C$3:$C$3999&gt;=jan!G$3)),lentry!$D$3:$D$3999),IF(WEEKDAY(jan!G$3,1)=1,"WO","P"))</f>
        <v>P</v>
      </c>
      <c r="H25" s="6" t="str">
        <f>IFERROR(LOOKUP(2,1/((lentry!$A$3:$A$3999=jan!$A25)*(lentry!$B$3:$B$3999&lt;=jan!H$3)*(lentry!$C$3:$C$3999&gt;=jan!H$3)),lentry!$D$3:$D$3999),IF(WEEKDAY(jan!H$3,1)=1,"WO","P"))</f>
        <v>P</v>
      </c>
      <c r="I25" s="6" t="str">
        <f>IFERROR(LOOKUP(2,1/((lentry!$A$3:$A$3999=jan!$A25)*(lentry!$B$3:$B$3999&lt;=jan!I$3)*(lentry!$C$3:$C$3999&gt;=jan!I$3)),lentry!$D$3:$D$3999),IF(WEEKDAY(jan!I$3,1)=1,"WO","P"))</f>
        <v>WO</v>
      </c>
      <c r="J25" s="6" t="str">
        <f>IFERROR(LOOKUP(2,1/((lentry!$A$3:$A$3999=jan!$A25)*(lentry!$B$3:$B$3999&lt;=jan!J$3)*(lentry!$C$3:$C$3999&gt;=jan!J$3)),lentry!$D$3:$D$3999),IF(WEEKDAY(jan!J$3,1)=1,"WO","P"))</f>
        <v>P</v>
      </c>
      <c r="K25" s="6" t="str">
        <f>IFERROR(LOOKUP(2,1/((lentry!$A$3:$A$3999=jan!$A25)*(lentry!$B$3:$B$3999&lt;=jan!K$3)*(lentry!$C$3:$C$3999&gt;=jan!K$3)),lentry!$D$3:$D$3999),IF(WEEKDAY(jan!K$3,1)=1,"WO","P"))</f>
        <v>P</v>
      </c>
      <c r="L25" s="6" t="str">
        <f>IFERROR(LOOKUP(2,1/((lentry!$A$3:$A$3999=jan!$A25)*(lentry!$B$3:$B$3999&lt;=jan!L$3)*(lentry!$C$3:$C$3999&gt;=jan!L$3)),lentry!$D$3:$D$3999),IF(WEEKDAY(jan!L$3,1)=1,"WO","P"))</f>
        <v>P</v>
      </c>
      <c r="M25" s="6" t="s">
        <v>539</v>
      </c>
      <c r="N25" s="6" t="str">
        <f>IFERROR(LOOKUP(2,1/((lentry!$A$3:$A$3999=jan!$A25)*(lentry!$B$3:$B$3999&lt;=jan!N$3)*(lentry!$C$3:$C$3999&gt;=jan!N$3)),lentry!$D$3:$D$3999),IF(WEEKDAY(jan!N$3,1)=1,"WO","P"))</f>
        <v>P</v>
      </c>
      <c r="O25" s="6" t="str">
        <f>IFERROR(LOOKUP(2,1/((lentry!$A$3:$A$3999=jan!$A25)*(lentry!$B$3:$B$3999&lt;=jan!O$3)*(lentry!$C$3:$C$3999&gt;=jan!O$3)),lentry!$D$3:$D$3999),IF(WEEKDAY(jan!O$3,1)=1,"WO","P"))</f>
        <v>P</v>
      </c>
      <c r="P25" s="6" t="s">
        <v>342</v>
      </c>
      <c r="Q25" s="6" t="str">
        <f>IFERROR(LOOKUP(2,1/((lentry!$A$3:$A$3999=jan!$A25)*(lentry!$B$3:$B$3999&lt;=jan!Q$3)*(lentry!$C$3:$C$3999&gt;=jan!Q$3)),lentry!$D$3:$D$3999),IF(WEEKDAY(jan!Q$3,1)=1,"WO","P"))</f>
        <v>P</v>
      </c>
      <c r="R25" s="6" t="str">
        <f>IFERROR(LOOKUP(2,1/((lentry!$A$3:$A$3999=jan!$A25)*(lentry!$B$3:$B$3999&lt;=jan!R$3)*(lentry!$C$3:$C$3999&gt;=jan!R$3)),lentry!$D$3:$D$3999),IF(WEEKDAY(jan!R$3,1)=1,"WO","P"))</f>
        <v>P</v>
      </c>
      <c r="S25" s="6" t="str">
        <f>IFERROR(LOOKUP(2,1/((lentry!$A$3:$A$3999=jan!$A25)*(lentry!$B$3:$B$3999&lt;=jan!S$3)*(lentry!$C$3:$C$3999&gt;=jan!S$3)),lentry!$D$3:$D$3999),IF(WEEKDAY(jan!S$3,1)=1,"WO","P"))</f>
        <v>P</v>
      </c>
      <c r="T25" s="6" t="str">
        <f>IFERROR(LOOKUP(2,1/((lentry!$A$3:$A$3999=jan!$A25)*(lentry!$B$3:$B$3999&lt;=jan!T$3)*(lentry!$C$3:$C$3999&gt;=jan!T$3)),lentry!$D$3:$D$3999),IF(WEEKDAY(jan!T$3,1)=1,"WO","P"))</f>
        <v>P</v>
      </c>
      <c r="U25" s="6" t="str">
        <f>IFERROR(LOOKUP(2,1/((lentry!$A$3:$A$3999=jan!$A25)*(lentry!$B$3:$B$3999&lt;=jan!U$3)*(lentry!$C$3:$C$3999&gt;=jan!U$3)),lentry!$D$3:$D$3999),IF(WEEKDAY(jan!U$3,1)=1,"WO","P"))</f>
        <v>P</v>
      </c>
      <c r="V25" s="6" t="str">
        <f>IFERROR(LOOKUP(2,1/((lentry!$A$3:$A$3999=jan!$A25)*(lentry!$B$3:$B$3999&lt;=jan!V$3)*(lentry!$C$3:$C$3999&gt;=jan!V$3)),lentry!$D$3:$D$3999),IF(WEEKDAY(jan!V$3,1)=1,"WO","P"))</f>
        <v>P</v>
      </c>
      <c r="W25" s="6" t="str">
        <f>IFERROR(LOOKUP(2,1/((lentry!$A$3:$A$3999=jan!$A25)*(lentry!$B$3:$B$3999&lt;=jan!W$3)*(lentry!$C$3:$C$3999&gt;=jan!W$3)),lentry!$D$3:$D$3999),IF(WEEKDAY(jan!W$3,1)=1,"WO","P"))</f>
        <v>WO</v>
      </c>
      <c r="X25" s="6" t="str">
        <f>IFERROR(LOOKUP(2,1/((lentry!$A$3:$A$3999=jan!$A25)*(lentry!$B$3:$B$3999&lt;=jan!X$3)*(lentry!$C$3:$C$3999&gt;=jan!X$3)),lentry!$D$3:$D$3999),IF(WEEKDAY(jan!X$3,1)=1,"WO","P"))</f>
        <v>P</v>
      </c>
      <c r="Y25" s="6" t="str">
        <f>IFERROR(LOOKUP(2,1/((lentry!$A$3:$A$3999=jan!$A25)*(lentry!$B$3:$B$3999&lt;=jan!Y$3)*(lentry!$C$3:$C$3999&gt;=jan!Y$3)),lentry!$D$3:$D$3999),IF(WEEKDAY(jan!Y$3,1)=1,"WO","P"))</f>
        <v>P</v>
      </c>
      <c r="Z25" s="6" t="str">
        <f>IFERROR(LOOKUP(2,1/((lentry!$A$3:$A$3999=jan!$A25)*(lentry!$B$3:$B$3999&lt;=jan!Z$3)*(lentry!$C$3:$C$3999&gt;=jan!Z$3)),lentry!$D$3:$D$3999),IF(WEEKDAY(jan!Z$3,1)=1,"WO","P"))</f>
        <v>P</v>
      </c>
      <c r="AA25" s="6" t="str">
        <f>IFERROR(LOOKUP(2,1/((lentry!$A$3:$A$3999=jan!$A25)*(lentry!$B$3:$B$3999&lt;=jan!AA$3)*(lentry!$C$3:$C$3999&gt;=jan!AA$3)),lentry!$D$3:$D$3999),IF(WEEKDAY(jan!AA$3,1)=1,"WO","P"))</f>
        <v>P</v>
      </c>
      <c r="AB25" s="6" t="str">
        <f>IFERROR(LOOKUP(2,1/((lentry!$A$3:$A$3999=jan!$A25)*(lentry!$B$3:$B$3999&lt;=jan!AB$3)*(lentry!$C$3:$C$3999&gt;=jan!AB$3)),lentry!$D$3:$D$3999),IF(WEEKDAY(jan!AB$3,1)=1,"WO","P"))</f>
        <v>P</v>
      </c>
      <c r="AC25" s="6" t="str">
        <f>IFERROR(LOOKUP(2,1/((lentry!$A$3:$A$3999=jan!$A25)*(lentry!$B$3:$B$3999&lt;=jan!AC$3)*(lentry!$C$3:$C$3999&gt;=jan!AC$3)),lentry!$D$3:$D$3999),IF(WEEKDAY(jan!AC$3,1)=1,"WO","P"))</f>
        <v>P</v>
      </c>
      <c r="AD25" s="6" t="str">
        <f>IFERROR(LOOKUP(2,1/((lentry!$A$3:$A$3999=jan!$A25)*(lentry!$B$3:$B$3999&lt;=jan!AD$3)*(lentry!$C$3:$C$3999&gt;=jan!AD$3)),lentry!$D$3:$D$3999),IF(WEEKDAY(jan!AD$3,1)=1,"WO","P"))</f>
        <v>WO</v>
      </c>
      <c r="AE25" s="6" t="s">
        <v>350</v>
      </c>
      <c r="AF25" s="6" t="str">
        <f>IFERROR(LOOKUP(2,1/((lentry!$A$3:$A$3999=jan!$A25)*(lentry!$B$3:$B$3999&lt;=jan!AF$3)*(lentry!$C$3:$C$3999&gt;=jan!AF$3)),lentry!$D$3:$D$3999),IF(WEEKDAY(jan!AF$3,1)=1,"WO","P"))</f>
        <v>P</v>
      </c>
      <c r="AG25" s="6" t="str">
        <f>IFERROR(LOOKUP(2,1/((lentry!$A$3:$A$3999=jan!$A25)*(lentry!$B$3:$B$3999&lt;=jan!AG$3)*(lentry!$C$3:$C$3999&gt;=jan!AG$3)),lentry!$D$3:$D$3999),IF(WEEKDAY(jan!AG$3,1)=1,"WO","P"))</f>
        <v>P</v>
      </c>
      <c r="AH25" s="6" t="str">
        <f>IFERROR(LOOKUP(2,1/((lentry!$A$3:$A$3999=jan!$A25)*(lentry!$B$3:$B$3999&lt;=jan!AH$3)*(lentry!$C$3:$C$3999&gt;=jan!AH$3)),lentry!$D$3:$D$3999),IF(WEEKDAY(jan!AH$3,1)=1,"WO","P"))</f>
        <v>P</v>
      </c>
      <c r="AI25" s="6" t="str">
        <f>IFERROR(LOOKUP(2,1/((lentry!$A$3:$A$3999=jan!$A25)*(lentry!$B$3:$B$3999&lt;=jan!AI$3)*(lentry!$C$3:$C$3999&gt;=jan!AI$3)),lentry!$D$3:$D$3999),IF(WEEKDAY(jan!AI$3,1)=1,"WO","P"))</f>
        <v>P</v>
      </c>
      <c r="AJ25" s="6" t="str">
        <f>IFERROR(LOOKUP(2,1/((lentry!$A$3:$A$3999=jan!$A25)*(lentry!$B$3:$B$3999&lt;=jan!AJ$3)*(lentry!$C$3:$C$3999&gt;=jan!AJ$3)),lentry!$D$3:$D$3999),IF(WEEKDAY(jan!AJ$3,1)=1,"WO","P"))</f>
        <v>P</v>
      </c>
      <c r="AK25" s="18">
        <f>COUNTIF(jan!$F25:$AJ25,"WO")</f>
        <v>4</v>
      </c>
      <c r="AL25" s="18">
        <f>COUNTIF(jan!$F25:$AJ25,"H")</f>
        <v>1</v>
      </c>
      <c r="AM25" s="18">
        <f>COUNTIF(jan!$F25:$AJ25,"PL")</f>
        <v>0</v>
      </c>
      <c r="AN25" s="18">
        <f>COUNTIF(jan!$F25:$AJ25,"LWP")</f>
        <v>0</v>
      </c>
      <c r="AO25" s="18">
        <f>COUNTIF(jan!$F25:$AJ25,"HD")</f>
        <v>0</v>
      </c>
      <c r="AP25" s="18">
        <f>COUNTIF(jan!$F25:$AJ25,"SL")</f>
        <v>0</v>
      </c>
      <c r="AQ25" s="18">
        <f>COUNTIF(jan!$F25:$AJ25,"CL")</f>
        <v>0</v>
      </c>
      <c r="AR25" s="18">
        <f>COUNTIF(jan!$F25:$AJ25,"A")</f>
        <v>1</v>
      </c>
      <c r="AS25" s="18">
        <f>COUNTIF(jan!$F25:$AJ25,"P")</f>
        <v>25</v>
      </c>
      <c r="AT25" s="18">
        <f t="shared" si="2"/>
        <v>31</v>
      </c>
      <c r="AU25" s="18">
        <f t="shared" si="3"/>
        <v>30</v>
      </c>
    </row>
    <row r="26" spans="1:47" ht="18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6" t="str">
        <f>IFERROR(LOOKUP(2,1/((lentry!$A$3:$A$3999=jan!$A26)*(lentry!$B$3:$B$3999&lt;=jan!F$3)*(lentry!$C$3:$C$3999&gt;=jan!F$3)),lentry!$D$3:$D$3999),IF(WEEKDAY(jan!F$3,1)=1,"WO","P"))</f>
        <v>P</v>
      </c>
      <c r="G26" s="6" t="str">
        <f>IFERROR(LOOKUP(2,1/((lentry!$A$3:$A$3999=jan!$A26)*(lentry!$B$3:$B$3999&lt;=jan!G$3)*(lentry!$C$3:$C$3999&gt;=jan!G$3)),lentry!$D$3:$D$3999),IF(WEEKDAY(jan!G$3,1)=1,"WO","P"))</f>
        <v>P</v>
      </c>
      <c r="H26" s="6" t="str">
        <f>IFERROR(LOOKUP(2,1/((lentry!$A$3:$A$3999=jan!$A26)*(lentry!$B$3:$B$3999&lt;=jan!H$3)*(lentry!$C$3:$C$3999&gt;=jan!H$3)),lentry!$D$3:$D$3999),IF(WEEKDAY(jan!H$3,1)=1,"WO","P"))</f>
        <v>P</v>
      </c>
      <c r="I26" s="6" t="str">
        <f>IFERROR(LOOKUP(2,1/((lentry!$A$3:$A$3999=jan!$A26)*(lentry!$B$3:$B$3999&lt;=jan!I$3)*(lentry!$C$3:$C$3999&gt;=jan!I$3)),lentry!$D$3:$D$3999),IF(WEEKDAY(jan!I$3,1)=1,"WO","P"))</f>
        <v>WO</v>
      </c>
      <c r="J26" s="6" t="str">
        <f>IFERROR(LOOKUP(2,1/((lentry!$A$3:$A$3999=jan!$A26)*(lentry!$B$3:$B$3999&lt;=jan!J$3)*(lentry!$C$3:$C$3999&gt;=jan!J$3)),lentry!$D$3:$D$3999),IF(WEEKDAY(jan!J$3,1)=1,"WO","P"))</f>
        <v>P</v>
      </c>
      <c r="K26" s="6" t="str">
        <f>IFERROR(LOOKUP(2,1/((lentry!$A$3:$A$3999=jan!$A26)*(lentry!$B$3:$B$3999&lt;=jan!K$3)*(lentry!$C$3:$C$3999&gt;=jan!K$3)),lentry!$D$3:$D$3999),IF(WEEKDAY(jan!K$3,1)=1,"WO","P"))</f>
        <v>P</v>
      </c>
      <c r="L26" s="6" t="str">
        <f>IFERROR(LOOKUP(2,1/((lentry!$A$3:$A$3999=jan!$A26)*(lentry!$B$3:$B$3999&lt;=jan!L$3)*(lentry!$C$3:$C$3999&gt;=jan!L$3)),lentry!$D$3:$D$3999),IF(WEEKDAY(jan!L$3,1)=1,"WO","P"))</f>
        <v>P</v>
      </c>
      <c r="M26" s="6" t="str">
        <f>IFERROR(LOOKUP(2,1/((lentry!$A$3:$A$3999=jan!$A26)*(lentry!$B$3:$B$3999&lt;=jan!M$3)*(lentry!$C$3:$C$3999&gt;=jan!M$3)),lentry!$D$3:$D$3999),IF(WEEKDAY(jan!M$3,1)=1,"WO","P"))</f>
        <v>P</v>
      </c>
      <c r="N26" s="6" t="str">
        <f>IFERROR(LOOKUP(2,1/((lentry!$A$3:$A$3999=jan!$A26)*(lentry!$B$3:$B$3999&lt;=jan!N$3)*(lentry!$C$3:$C$3999&gt;=jan!N$3)),lentry!$D$3:$D$3999),IF(WEEKDAY(jan!N$3,1)=1,"WO","P"))</f>
        <v>P</v>
      </c>
      <c r="O26" s="6" t="str">
        <f>IFERROR(LOOKUP(2,1/((lentry!$A$3:$A$3999=jan!$A26)*(lentry!$B$3:$B$3999&lt;=jan!O$3)*(lentry!$C$3:$C$3999&gt;=jan!O$3)),lentry!$D$3:$D$3999),IF(WEEKDAY(jan!O$3,1)=1,"WO","P"))</f>
        <v>P</v>
      </c>
      <c r="P26" s="6" t="s">
        <v>342</v>
      </c>
      <c r="Q26" s="6" t="str">
        <f>IFERROR(LOOKUP(2,1/((lentry!$A$3:$A$3999=jan!$A26)*(lentry!$B$3:$B$3999&lt;=jan!Q$3)*(lentry!$C$3:$C$3999&gt;=jan!Q$3)),lentry!$D$3:$D$3999),IF(WEEKDAY(jan!Q$3,1)=1,"WO","P"))</f>
        <v>P</v>
      </c>
      <c r="R26" s="6" t="str">
        <f>IFERROR(LOOKUP(2,1/((lentry!$A$3:$A$3999=jan!$A26)*(lentry!$B$3:$B$3999&lt;=jan!R$3)*(lentry!$C$3:$C$3999&gt;=jan!R$3)),lentry!$D$3:$D$3999),IF(WEEKDAY(jan!R$3,1)=1,"WO","P"))</f>
        <v>P</v>
      </c>
      <c r="S26" s="6" t="str">
        <f>IFERROR(LOOKUP(2,1/((lentry!$A$3:$A$3999=jan!$A26)*(lentry!$B$3:$B$3999&lt;=jan!S$3)*(lentry!$C$3:$C$3999&gt;=jan!S$3)),lentry!$D$3:$D$3999),IF(WEEKDAY(jan!S$3,1)=1,"WO","P"))</f>
        <v>P</v>
      </c>
      <c r="T26" s="6" t="str">
        <f>IFERROR(LOOKUP(2,1/((lentry!$A$3:$A$3999=jan!$A26)*(lentry!$B$3:$B$3999&lt;=jan!T$3)*(lentry!$C$3:$C$3999&gt;=jan!T$3)),lentry!$D$3:$D$3999),IF(WEEKDAY(jan!T$3,1)=1,"WO","P"))</f>
        <v>P</v>
      </c>
      <c r="U26" s="6" t="str">
        <f>IFERROR(LOOKUP(2,1/((lentry!$A$3:$A$3999=jan!$A26)*(lentry!$B$3:$B$3999&lt;=jan!U$3)*(lentry!$C$3:$C$3999&gt;=jan!U$3)),lentry!$D$3:$D$3999),IF(WEEKDAY(jan!U$3,1)=1,"WO","P"))</f>
        <v>P</v>
      </c>
      <c r="V26" s="6" t="str">
        <f>IFERROR(LOOKUP(2,1/((lentry!$A$3:$A$3999=jan!$A26)*(lentry!$B$3:$B$3999&lt;=jan!V$3)*(lentry!$C$3:$C$3999&gt;=jan!V$3)),lentry!$D$3:$D$3999),IF(WEEKDAY(jan!V$3,1)=1,"WO","P"))</f>
        <v>P</v>
      </c>
      <c r="W26" s="6" t="str">
        <f>IFERROR(LOOKUP(2,1/((lentry!$A$3:$A$3999=jan!$A26)*(lentry!$B$3:$B$3999&lt;=jan!W$3)*(lentry!$C$3:$C$3999&gt;=jan!W$3)),lentry!$D$3:$D$3999),IF(WEEKDAY(jan!W$3,1)=1,"WO","P"))</f>
        <v>WO</v>
      </c>
      <c r="X26" s="6" t="str">
        <f>IFERROR(LOOKUP(2,1/((lentry!$A$3:$A$3999=jan!$A26)*(lentry!$B$3:$B$3999&lt;=jan!X$3)*(lentry!$C$3:$C$3999&gt;=jan!X$3)),lentry!$D$3:$D$3999),IF(WEEKDAY(jan!X$3,1)=1,"WO","P"))</f>
        <v>P</v>
      </c>
      <c r="Y26" s="6" t="str">
        <f>IFERROR(LOOKUP(2,1/((lentry!$A$3:$A$3999=jan!$A26)*(lentry!$B$3:$B$3999&lt;=jan!Y$3)*(lentry!$C$3:$C$3999&gt;=jan!Y$3)),lentry!$D$3:$D$3999),IF(WEEKDAY(jan!Y$3,1)=1,"WO","P"))</f>
        <v>P</v>
      </c>
      <c r="Z26" s="6" t="str">
        <f>IFERROR(LOOKUP(2,1/((lentry!$A$3:$A$3999=jan!$A26)*(lentry!$B$3:$B$3999&lt;=jan!Z$3)*(lentry!$C$3:$C$3999&gt;=jan!Z$3)),lentry!$D$3:$D$3999),IF(WEEKDAY(jan!Z$3,1)=1,"WO","P"))</f>
        <v>P</v>
      </c>
      <c r="AA26" s="6" t="str">
        <f>IFERROR(LOOKUP(2,1/((lentry!$A$3:$A$3999=jan!$A26)*(lentry!$B$3:$B$3999&lt;=jan!AA$3)*(lentry!$C$3:$C$3999&gt;=jan!AA$3)),lentry!$D$3:$D$3999),IF(WEEKDAY(jan!AA$3,1)=1,"WO","P"))</f>
        <v>P</v>
      </c>
      <c r="AB26" s="6" t="str">
        <f>IFERROR(LOOKUP(2,1/((lentry!$A$3:$A$3999=jan!$A26)*(lentry!$B$3:$B$3999&lt;=jan!AB$3)*(lentry!$C$3:$C$3999&gt;=jan!AB$3)),lentry!$D$3:$D$3999),IF(WEEKDAY(jan!AB$3,1)=1,"WO","P"))</f>
        <v>P</v>
      </c>
      <c r="AC26" s="6" t="str">
        <f>IFERROR(LOOKUP(2,1/((lentry!$A$3:$A$3999=jan!$A26)*(lentry!$B$3:$B$3999&lt;=jan!AC$3)*(lentry!$C$3:$C$3999&gt;=jan!AC$3)),lentry!$D$3:$D$3999),IF(WEEKDAY(jan!AC$3,1)=1,"WO","P"))</f>
        <v>P</v>
      </c>
      <c r="AD26" s="6" t="str">
        <f>IFERROR(LOOKUP(2,1/((lentry!$A$3:$A$3999=jan!$A26)*(lentry!$B$3:$B$3999&lt;=jan!AD$3)*(lentry!$C$3:$C$3999&gt;=jan!AD$3)),lentry!$D$3:$D$3999),IF(WEEKDAY(jan!AD$3,1)=1,"WO","P"))</f>
        <v>WO</v>
      </c>
      <c r="AE26" s="6" t="s">
        <v>350</v>
      </c>
      <c r="AF26" s="6" t="s">
        <v>539</v>
      </c>
      <c r="AG26" s="6" t="str">
        <f>IFERROR(LOOKUP(2,1/((lentry!$A$3:$A$3999=jan!$A26)*(lentry!$B$3:$B$3999&lt;=jan!AG$3)*(lentry!$C$3:$C$3999&gt;=jan!AG$3)),lentry!$D$3:$D$3999),IF(WEEKDAY(jan!AG$3,1)=1,"WO","P"))</f>
        <v>P</v>
      </c>
      <c r="AH26" s="6" t="str">
        <f>IFERROR(LOOKUP(2,1/((lentry!$A$3:$A$3999=jan!$A26)*(lentry!$B$3:$B$3999&lt;=jan!AH$3)*(lentry!$C$3:$C$3999&gt;=jan!AH$3)),lentry!$D$3:$D$3999),IF(WEEKDAY(jan!AH$3,1)=1,"WO","P"))</f>
        <v>P</v>
      </c>
      <c r="AI26" s="6" t="str">
        <f>IFERROR(LOOKUP(2,1/((lentry!$A$3:$A$3999=jan!$A26)*(lentry!$B$3:$B$3999&lt;=jan!AI$3)*(lentry!$C$3:$C$3999&gt;=jan!AI$3)),lentry!$D$3:$D$3999),IF(WEEKDAY(jan!AI$3,1)=1,"WO","P"))</f>
        <v>P</v>
      </c>
      <c r="AJ26" s="6" t="str">
        <f>IFERROR(LOOKUP(2,1/((lentry!$A$3:$A$3999=jan!$A26)*(lentry!$B$3:$B$3999&lt;=jan!AJ$3)*(lentry!$C$3:$C$3999&gt;=jan!AJ$3)),lentry!$D$3:$D$3999),IF(WEEKDAY(jan!AJ$3,1)=1,"WO","P"))</f>
        <v>P</v>
      </c>
      <c r="AK26" s="18">
        <f>COUNTIF(jan!$F26:$AJ26,"WO")</f>
        <v>4</v>
      </c>
      <c r="AL26" s="18">
        <f>COUNTIF(jan!$F26:$AJ26,"H")</f>
        <v>1</v>
      </c>
      <c r="AM26" s="18">
        <f>COUNTIF(jan!$F26:$AJ26,"PL")</f>
        <v>0</v>
      </c>
      <c r="AN26" s="18">
        <f>COUNTIF(jan!$F26:$AJ26,"LWP")</f>
        <v>0</v>
      </c>
      <c r="AO26" s="18">
        <f>COUNTIF(jan!$F26:$AJ26,"HD")</f>
        <v>0</v>
      </c>
      <c r="AP26" s="18">
        <f>COUNTIF(jan!$F26:$AJ26,"SL")</f>
        <v>0</v>
      </c>
      <c r="AQ26" s="18">
        <f>COUNTIF(jan!$F26:$AJ26,"CL")</f>
        <v>0</v>
      </c>
      <c r="AR26" s="18">
        <f>COUNTIF(jan!$F26:$AJ26,"A")</f>
        <v>1</v>
      </c>
      <c r="AS26" s="18">
        <f>COUNTIF(jan!$F26:$AJ26,"P")</f>
        <v>25</v>
      </c>
      <c r="AT26" s="18">
        <f t="shared" si="2"/>
        <v>31</v>
      </c>
      <c r="AU26" s="18">
        <f t="shared" si="3"/>
        <v>30</v>
      </c>
    </row>
    <row r="27" spans="1:47" ht="18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6" t="str">
        <f>IFERROR(LOOKUP(2,1/((lentry!$A$3:$A$3999=jan!$A27)*(lentry!$B$3:$B$3999&lt;=jan!F$3)*(lentry!$C$3:$C$3999&gt;=jan!F$3)),lentry!$D$3:$D$3999),IF(WEEKDAY(jan!F$3,1)=1,"WO","P"))</f>
        <v>P</v>
      </c>
      <c r="G27" s="6" t="str">
        <f>IFERROR(LOOKUP(2,1/((lentry!$A$3:$A$3999=jan!$A27)*(lentry!$B$3:$B$3999&lt;=jan!G$3)*(lentry!$C$3:$C$3999&gt;=jan!G$3)),lentry!$D$3:$D$3999),IF(WEEKDAY(jan!G$3,1)=1,"WO","P"))</f>
        <v>P</v>
      </c>
      <c r="H27" s="6" t="str">
        <f>IFERROR(LOOKUP(2,1/((lentry!$A$3:$A$3999=jan!$A27)*(lentry!$B$3:$B$3999&lt;=jan!H$3)*(lentry!$C$3:$C$3999&gt;=jan!H$3)),lentry!$D$3:$D$3999),IF(WEEKDAY(jan!H$3,1)=1,"WO","P"))</f>
        <v>P</v>
      </c>
      <c r="I27" s="6" t="str">
        <f>IFERROR(LOOKUP(2,1/((lentry!$A$3:$A$3999=jan!$A27)*(lentry!$B$3:$B$3999&lt;=jan!I$3)*(lentry!$C$3:$C$3999&gt;=jan!I$3)),lentry!$D$3:$D$3999),IF(WEEKDAY(jan!I$3,1)=1,"WO","P"))</f>
        <v>WO</v>
      </c>
      <c r="J27" s="6" t="str">
        <f>IFERROR(LOOKUP(2,1/((lentry!$A$3:$A$3999=jan!$A27)*(lentry!$B$3:$B$3999&lt;=jan!J$3)*(lentry!$C$3:$C$3999&gt;=jan!J$3)),lentry!$D$3:$D$3999),IF(WEEKDAY(jan!J$3,1)=1,"WO","P"))</f>
        <v>P</v>
      </c>
      <c r="K27" s="6" t="str">
        <f>IFERROR(LOOKUP(2,1/((lentry!$A$3:$A$3999=jan!$A27)*(lentry!$B$3:$B$3999&lt;=jan!K$3)*(lentry!$C$3:$C$3999&gt;=jan!K$3)),lentry!$D$3:$D$3999),IF(WEEKDAY(jan!K$3,1)=1,"WO","P"))</f>
        <v>P</v>
      </c>
      <c r="L27" s="6" t="str">
        <f>IFERROR(LOOKUP(2,1/((lentry!$A$3:$A$3999=jan!$A27)*(lentry!$B$3:$B$3999&lt;=jan!L$3)*(lentry!$C$3:$C$3999&gt;=jan!L$3)),lentry!$D$3:$D$3999),IF(WEEKDAY(jan!L$3,1)=1,"WO","P"))</f>
        <v>P</v>
      </c>
      <c r="M27" s="6" t="str">
        <f>IFERROR(LOOKUP(2,1/((lentry!$A$3:$A$3999=jan!$A27)*(lentry!$B$3:$B$3999&lt;=jan!M$3)*(lentry!$C$3:$C$3999&gt;=jan!M$3)),lentry!$D$3:$D$3999),IF(WEEKDAY(jan!M$3,1)=1,"WO","P"))</f>
        <v>P</v>
      </c>
      <c r="N27" s="6" t="str">
        <f>IFERROR(LOOKUP(2,1/((lentry!$A$3:$A$3999=jan!$A27)*(lentry!$B$3:$B$3999&lt;=jan!N$3)*(lentry!$C$3:$C$3999&gt;=jan!N$3)),lentry!$D$3:$D$3999),IF(WEEKDAY(jan!N$3,1)=1,"WO","P"))</f>
        <v>P</v>
      </c>
      <c r="O27" s="6" t="str">
        <f>IFERROR(LOOKUP(2,1/((lentry!$A$3:$A$3999=jan!$A27)*(lentry!$B$3:$B$3999&lt;=jan!O$3)*(lentry!$C$3:$C$3999&gt;=jan!O$3)),lentry!$D$3:$D$3999),IF(WEEKDAY(jan!O$3,1)=1,"WO","P"))</f>
        <v>P</v>
      </c>
      <c r="P27" s="6" t="s">
        <v>342</v>
      </c>
      <c r="Q27" s="6" t="str">
        <f>IFERROR(LOOKUP(2,1/((lentry!$A$3:$A$3999=jan!$A27)*(lentry!$B$3:$B$3999&lt;=jan!Q$3)*(lentry!$C$3:$C$3999&gt;=jan!Q$3)),lentry!$D$3:$D$3999),IF(WEEKDAY(jan!Q$3,1)=1,"WO","P"))</f>
        <v>P</v>
      </c>
      <c r="R27" s="6" t="str">
        <f>IFERROR(LOOKUP(2,1/((lentry!$A$3:$A$3999=jan!$A27)*(lentry!$B$3:$B$3999&lt;=jan!R$3)*(lentry!$C$3:$C$3999&gt;=jan!R$3)),lentry!$D$3:$D$3999),IF(WEEKDAY(jan!R$3,1)=1,"WO","P"))</f>
        <v>P</v>
      </c>
      <c r="S27" s="6" t="str">
        <f>IFERROR(LOOKUP(2,1/((lentry!$A$3:$A$3999=jan!$A27)*(lentry!$B$3:$B$3999&lt;=jan!S$3)*(lentry!$C$3:$C$3999&gt;=jan!S$3)),lentry!$D$3:$D$3999),IF(WEEKDAY(jan!S$3,1)=1,"WO","P"))</f>
        <v>P</v>
      </c>
      <c r="T27" s="6" t="str">
        <f>IFERROR(LOOKUP(2,1/((lentry!$A$3:$A$3999=jan!$A27)*(lentry!$B$3:$B$3999&lt;=jan!T$3)*(lentry!$C$3:$C$3999&gt;=jan!T$3)),lentry!$D$3:$D$3999),IF(WEEKDAY(jan!T$3,1)=1,"WO","P"))</f>
        <v>P</v>
      </c>
      <c r="U27" s="6" t="s">
        <v>539</v>
      </c>
      <c r="V27" s="6" t="str">
        <f>IFERROR(LOOKUP(2,1/((lentry!$A$3:$A$3999=jan!$A27)*(lentry!$B$3:$B$3999&lt;=jan!V$3)*(lentry!$C$3:$C$3999&gt;=jan!V$3)),lentry!$D$3:$D$3999),IF(WEEKDAY(jan!V$3,1)=1,"WO","P"))</f>
        <v>P</v>
      </c>
      <c r="W27" s="6" t="str">
        <f>IFERROR(LOOKUP(2,1/((lentry!$A$3:$A$3999=jan!$A27)*(lentry!$B$3:$B$3999&lt;=jan!W$3)*(lentry!$C$3:$C$3999&gt;=jan!W$3)),lentry!$D$3:$D$3999),IF(WEEKDAY(jan!W$3,1)=1,"WO","P"))</f>
        <v>WO</v>
      </c>
      <c r="X27" s="6" t="str">
        <f>IFERROR(LOOKUP(2,1/((lentry!$A$3:$A$3999=jan!$A27)*(lentry!$B$3:$B$3999&lt;=jan!X$3)*(lentry!$C$3:$C$3999&gt;=jan!X$3)),lentry!$D$3:$D$3999),IF(WEEKDAY(jan!X$3,1)=1,"WO","P"))</f>
        <v>P</v>
      </c>
      <c r="Y27" s="6" t="str">
        <f>IFERROR(LOOKUP(2,1/((lentry!$A$3:$A$3999=jan!$A27)*(lentry!$B$3:$B$3999&lt;=jan!Y$3)*(lentry!$C$3:$C$3999&gt;=jan!Y$3)),lentry!$D$3:$D$3999),IF(WEEKDAY(jan!Y$3,1)=1,"WO","P"))</f>
        <v>P</v>
      </c>
      <c r="Z27" s="6" t="str">
        <f>IFERROR(LOOKUP(2,1/((lentry!$A$3:$A$3999=jan!$A27)*(lentry!$B$3:$B$3999&lt;=jan!Z$3)*(lentry!$C$3:$C$3999&gt;=jan!Z$3)),lentry!$D$3:$D$3999),IF(WEEKDAY(jan!Z$3,1)=1,"WO","P"))</f>
        <v>P</v>
      </c>
      <c r="AA27" s="6" t="str">
        <f>IFERROR(LOOKUP(2,1/((lentry!$A$3:$A$3999=jan!$A27)*(lentry!$B$3:$B$3999&lt;=jan!AA$3)*(lentry!$C$3:$C$3999&gt;=jan!AA$3)),lentry!$D$3:$D$3999),IF(WEEKDAY(jan!AA$3,1)=1,"WO","P"))</f>
        <v>P</v>
      </c>
      <c r="AB27" s="6" t="str">
        <f>IFERROR(LOOKUP(2,1/((lentry!$A$3:$A$3999=jan!$A27)*(lentry!$B$3:$B$3999&lt;=jan!AB$3)*(lentry!$C$3:$C$3999&gt;=jan!AB$3)),lentry!$D$3:$D$3999),IF(WEEKDAY(jan!AB$3,1)=1,"WO","P"))</f>
        <v>P</v>
      </c>
      <c r="AC27" s="6" t="str">
        <f>IFERROR(LOOKUP(2,1/((lentry!$A$3:$A$3999=jan!$A27)*(lentry!$B$3:$B$3999&lt;=jan!AC$3)*(lentry!$C$3:$C$3999&gt;=jan!AC$3)),lentry!$D$3:$D$3999),IF(WEEKDAY(jan!AC$3,1)=1,"WO","P"))</f>
        <v>P</v>
      </c>
      <c r="AD27" s="6" t="str">
        <f>IFERROR(LOOKUP(2,1/((lentry!$A$3:$A$3999=jan!$A27)*(lentry!$B$3:$B$3999&lt;=jan!AD$3)*(lentry!$C$3:$C$3999&gt;=jan!AD$3)),lentry!$D$3:$D$3999),IF(WEEKDAY(jan!AD$3,1)=1,"WO","P"))</f>
        <v>WO</v>
      </c>
      <c r="AE27" s="6" t="s">
        <v>350</v>
      </c>
      <c r="AF27" s="6" t="str">
        <f>IFERROR(LOOKUP(2,1/((lentry!$A$3:$A$3999=jan!$A27)*(lentry!$B$3:$B$3999&lt;=jan!AF$3)*(lentry!$C$3:$C$3999&gt;=jan!AF$3)),lentry!$D$3:$D$3999),IF(WEEKDAY(jan!AF$3,1)=1,"WO","P"))</f>
        <v>P</v>
      </c>
      <c r="AG27" s="6" t="str">
        <f>IFERROR(LOOKUP(2,1/((lentry!$A$3:$A$3999=jan!$A27)*(lentry!$B$3:$B$3999&lt;=jan!AG$3)*(lentry!$C$3:$C$3999&gt;=jan!AG$3)),lentry!$D$3:$D$3999),IF(WEEKDAY(jan!AG$3,1)=1,"WO","P"))</f>
        <v>P</v>
      </c>
      <c r="AH27" s="6" t="str">
        <f>IFERROR(LOOKUP(2,1/((lentry!$A$3:$A$3999=jan!$A27)*(lentry!$B$3:$B$3999&lt;=jan!AH$3)*(lentry!$C$3:$C$3999&gt;=jan!AH$3)),lentry!$D$3:$D$3999),IF(WEEKDAY(jan!AH$3,1)=1,"WO","P"))</f>
        <v>P</v>
      </c>
      <c r="AI27" s="6" t="str">
        <f>IFERROR(LOOKUP(2,1/((lentry!$A$3:$A$3999=jan!$A27)*(lentry!$B$3:$B$3999&lt;=jan!AI$3)*(lentry!$C$3:$C$3999&gt;=jan!AI$3)),lentry!$D$3:$D$3999),IF(WEEKDAY(jan!AI$3,1)=1,"WO","P"))</f>
        <v>P</v>
      </c>
      <c r="AJ27" s="6" t="str">
        <f>IFERROR(LOOKUP(2,1/((lentry!$A$3:$A$3999=jan!$A27)*(lentry!$B$3:$B$3999&lt;=jan!AJ$3)*(lentry!$C$3:$C$3999&gt;=jan!AJ$3)),lentry!$D$3:$D$3999),IF(WEEKDAY(jan!AJ$3,1)=1,"WO","P"))</f>
        <v>P</v>
      </c>
      <c r="AK27" s="18">
        <f>COUNTIF(jan!$F27:$AJ27,"WO")</f>
        <v>4</v>
      </c>
      <c r="AL27" s="18">
        <f>COUNTIF(jan!$F27:$AJ27,"H")</f>
        <v>1</v>
      </c>
      <c r="AM27" s="18">
        <f>COUNTIF(jan!$F27:$AJ27,"PL")</f>
        <v>0</v>
      </c>
      <c r="AN27" s="18">
        <f>COUNTIF(jan!$F27:$AJ27,"LWP")</f>
        <v>0</v>
      </c>
      <c r="AO27" s="18">
        <f>COUNTIF(jan!$F27:$AJ27,"HD")</f>
        <v>0</v>
      </c>
      <c r="AP27" s="18">
        <f>COUNTIF(jan!$F27:$AJ27,"SL")</f>
        <v>0</v>
      </c>
      <c r="AQ27" s="18">
        <f>COUNTIF(jan!$F27:$AJ27,"CL")</f>
        <v>0</v>
      </c>
      <c r="AR27" s="18">
        <f>COUNTIF(jan!$F27:$AJ27,"A")</f>
        <v>1</v>
      </c>
      <c r="AS27" s="18">
        <f>COUNTIF(jan!$F27:$AJ27,"P")</f>
        <v>25</v>
      </c>
      <c r="AT27" s="18">
        <f t="shared" si="2"/>
        <v>31</v>
      </c>
      <c r="AU27" s="18">
        <f t="shared" si="3"/>
        <v>30</v>
      </c>
    </row>
    <row r="28" spans="1:47" ht="18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6" t="str">
        <f>IFERROR(LOOKUP(2,1/((lentry!$A$3:$A$3999=jan!$A28)*(lentry!$B$3:$B$3999&lt;=jan!F$3)*(lentry!$C$3:$C$3999&gt;=jan!F$3)),lentry!$D$3:$D$3999),IF(WEEKDAY(jan!F$3,1)=1,"WO","P"))</f>
        <v>P</v>
      </c>
      <c r="G28" s="6" t="str">
        <f>IFERROR(LOOKUP(2,1/((lentry!$A$3:$A$3999=jan!$A28)*(lentry!$B$3:$B$3999&lt;=jan!G$3)*(lentry!$C$3:$C$3999&gt;=jan!G$3)),lentry!$D$3:$D$3999),IF(WEEKDAY(jan!G$3,1)=1,"WO","P"))</f>
        <v>P</v>
      </c>
      <c r="H28" s="6" t="str">
        <f>IFERROR(LOOKUP(2,1/((lentry!$A$3:$A$3999=jan!$A28)*(lentry!$B$3:$B$3999&lt;=jan!H$3)*(lentry!$C$3:$C$3999&gt;=jan!H$3)),lentry!$D$3:$D$3999),IF(WEEKDAY(jan!H$3,1)=1,"WO","P"))</f>
        <v>P</v>
      </c>
      <c r="I28" s="6" t="str">
        <f>IFERROR(LOOKUP(2,1/((lentry!$A$3:$A$3999=jan!$A28)*(lentry!$B$3:$B$3999&lt;=jan!I$3)*(lentry!$C$3:$C$3999&gt;=jan!I$3)),lentry!$D$3:$D$3999),IF(WEEKDAY(jan!I$3,1)=1,"WO","P"))</f>
        <v>WO</v>
      </c>
      <c r="J28" s="6" t="str">
        <f>IFERROR(LOOKUP(2,1/((lentry!$A$3:$A$3999=jan!$A28)*(lentry!$B$3:$B$3999&lt;=jan!J$3)*(lentry!$C$3:$C$3999&gt;=jan!J$3)),lentry!$D$3:$D$3999),IF(WEEKDAY(jan!J$3,1)=1,"WO","P"))</f>
        <v>P</v>
      </c>
      <c r="K28" s="6" t="str">
        <f>IFERROR(LOOKUP(2,1/((lentry!$A$3:$A$3999=jan!$A28)*(lentry!$B$3:$B$3999&lt;=jan!K$3)*(lentry!$C$3:$C$3999&gt;=jan!K$3)),lentry!$D$3:$D$3999),IF(WEEKDAY(jan!K$3,1)=1,"WO","P"))</f>
        <v>P</v>
      </c>
      <c r="L28" s="6" t="str">
        <f>IFERROR(LOOKUP(2,1/((lentry!$A$3:$A$3999=jan!$A28)*(lentry!$B$3:$B$3999&lt;=jan!L$3)*(lentry!$C$3:$C$3999&gt;=jan!L$3)),lentry!$D$3:$D$3999),IF(WEEKDAY(jan!L$3,1)=1,"WO","P"))</f>
        <v>P</v>
      </c>
      <c r="M28" s="6" t="str">
        <f>IFERROR(LOOKUP(2,1/((lentry!$A$3:$A$3999=jan!$A28)*(lentry!$B$3:$B$3999&lt;=jan!M$3)*(lentry!$C$3:$C$3999&gt;=jan!M$3)),lentry!$D$3:$D$3999),IF(WEEKDAY(jan!M$3,1)=1,"WO","P"))</f>
        <v>P</v>
      </c>
      <c r="N28" s="6" t="str">
        <f>IFERROR(LOOKUP(2,1/((lentry!$A$3:$A$3999=jan!$A28)*(lentry!$B$3:$B$3999&lt;=jan!N$3)*(lentry!$C$3:$C$3999&gt;=jan!N$3)),lentry!$D$3:$D$3999),IF(WEEKDAY(jan!N$3,1)=1,"WO","P"))</f>
        <v>P</v>
      </c>
      <c r="O28" s="6" t="str">
        <f>IFERROR(LOOKUP(2,1/((lentry!$A$3:$A$3999=jan!$A28)*(lentry!$B$3:$B$3999&lt;=jan!O$3)*(lentry!$C$3:$C$3999&gt;=jan!O$3)),lentry!$D$3:$D$3999),IF(WEEKDAY(jan!O$3,1)=1,"WO","P"))</f>
        <v>P</v>
      </c>
      <c r="P28" s="6" t="s">
        <v>342</v>
      </c>
      <c r="Q28" s="6" t="str">
        <f>IFERROR(LOOKUP(2,1/((lentry!$A$3:$A$3999=jan!$A28)*(lentry!$B$3:$B$3999&lt;=jan!Q$3)*(lentry!$C$3:$C$3999&gt;=jan!Q$3)),lentry!$D$3:$D$3999),IF(WEEKDAY(jan!Q$3,1)=1,"WO","P"))</f>
        <v>P</v>
      </c>
      <c r="R28" s="6" t="str">
        <f>IFERROR(LOOKUP(2,1/((lentry!$A$3:$A$3999=jan!$A28)*(lentry!$B$3:$B$3999&lt;=jan!R$3)*(lentry!$C$3:$C$3999&gt;=jan!R$3)),lentry!$D$3:$D$3999),IF(WEEKDAY(jan!R$3,1)=1,"WO","P"))</f>
        <v>P</v>
      </c>
      <c r="S28" s="6" t="str">
        <f>IFERROR(LOOKUP(2,1/((lentry!$A$3:$A$3999=jan!$A28)*(lentry!$B$3:$B$3999&lt;=jan!S$3)*(lentry!$C$3:$C$3999&gt;=jan!S$3)),lentry!$D$3:$D$3999),IF(WEEKDAY(jan!S$3,1)=1,"WO","P"))</f>
        <v>P</v>
      </c>
      <c r="T28" s="6" t="str">
        <f>IFERROR(LOOKUP(2,1/((lentry!$A$3:$A$3999=jan!$A28)*(lentry!$B$3:$B$3999&lt;=jan!T$3)*(lentry!$C$3:$C$3999&gt;=jan!T$3)),lentry!$D$3:$D$3999),IF(WEEKDAY(jan!T$3,1)=1,"WO","P"))</f>
        <v>P</v>
      </c>
      <c r="U28" s="6" t="str">
        <f>IFERROR(LOOKUP(2,1/((lentry!$A$3:$A$3999=jan!$A28)*(lentry!$B$3:$B$3999&lt;=jan!U$3)*(lentry!$C$3:$C$3999&gt;=jan!U$3)),lentry!$D$3:$D$3999),IF(WEEKDAY(jan!U$3,1)=1,"WO","P"))</f>
        <v>P</v>
      </c>
      <c r="V28" s="6" t="str">
        <f>IFERROR(LOOKUP(2,1/((lentry!$A$3:$A$3999=jan!$A28)*(lentry!$B$3:$B$3999&lt;=jan!V$3)*(lentry!$C$3:$C$3999&gt;=jan!V$3)),lentry!$D$3:$D$3999),IF(WEEKDAY(jan!V$3,1)=1,"WO","P"))</f>
        <v>P</v>
      </c>
      <c r="W28" s="6" t="str">
        <f>IFERROR(LOOKUP(2,1/((lentry!$A$3:$A$3999=jan!$A28)*(lentry!$B$3:$B$3999&lt;=jan!W$3)*(lentry!$C$3:$C$3999&gt;=jan!W$3)),lentry!$D$3:$D$3999),IF(WEEKDAY(jan!W$3,1)=1,"WO","P"))</f>
        <v>WO</v>
      </c>
      <c r="X28" s="6" t="str">
        <f>IFERROR(LOOKUP(2,1/((lentry!$A$3:$A$3999=jan!$A28)*(lentry!$B$3:$B$3999&lt;=jan!X$3)*(lentry!$C$3:$C$3999&gt;=jan!X$3)),lentry!$D$3:$D$3999),IF(WEEKDAY(jan!X$3,1)=1,"WO","P"))</f>
        <v>P</v>
      </c>
      <c r="Y28" s="6" t="str">
        <f>IFERROR(LOOKUP(2,1/((lentry!$A$3:$A$3999=jan!$A28)*(lentry!$B$3:$B$3999&lt;=jan!Y$3)*(lentry!$C$3:$C$3999&gt;=jan!Y$3)),lentry!$D$3:$D$3999),IF(WEEKDAY(jan!Y$3,1)=1,"WO","P"))</f>
        <v>P</v>
      </c>
      <c r="Z28" s="6" t="str">
        <f>IFERROR(LOOKUP(2,1/((lentry!$A$3:$A$3999=jan!$A28)*(lentry!$B$3:$B$3999&lt;=jan!Z$3)*(lentry!$C$3:$C$3999&gt;=jan!Z$3)),lentry!$D$3:$D$3999),IF(WEEKDAY(jan!Z$3,1)=1,"WO","P"))</f>
        <v>P</v>
      </c>
      <c r="AA28" s="6" t="str">
        <f>IFERROR(LOOKUP(2,1/((lentry!$A$3:$A$3999=jan!$A28)*(lentry!$B$3:$B$3999&lt;=jan!AA$3)*(lentry!$C$3:$C$3999&gt;=jan!AA$3)),lentry!$D$3:$D$3999),IF(WEEKDAY(jan!AA$3,1)=1,"WO","P"))</f>
        <v>P</v>
      </c>
      <c r="AB28" s="6" t="str">
        <f>IFERROR(LOOKUP(2,1/((lentry!$A$3:$A$3999=jan!$A28)*(lentry!$B$3:$B$3999&lt;=jan!AB$3)*(lentry!$C$3:$C$3999&gt;=jan!AB$3)),lentry!$D$3:$D$3999),IF(WEEKDAY(jan!AB$3,1)=1,"WO","P"))</f>
        <v>P</v>
      </c>
      <c r="AC28" s="6" t="str">
        <f>IFERROR(LOOKUP(2,1/((lentry!$A$3:$A$3999=jan!$A28)*(lentry!$B$3:$B$3999&lt;=jan!AC$3)*(lentry!$C$3:$C$3999&gt;=jan!AC$3)),lentry!$D$3:$D$3999),IF(WEEKDAY(jan!AC$3,1)=1,"WO","P"))</f>
        <v>P</v>
      </c>
      <c r="AD28" s="6" t="str">
        <f>IFERROR(LOOKUP(2,1/((lentry!$A$3:$A$3999=jan!$A28)*(lentry!$B$3:$B$3999&lt;=jan!AD$3)*(lentry!$C$3:$C$3999&gt;=jan!AD$3)),lentry!$D$3:$D$3999),IF(WEEKDAY(jan!AD$3,1)=1,"WO","P"))</f>
        <v>WO</v>
      </c>
      <c r="AE28" s="6" t="s">
        <v>350</v>
      </c>
      <c r="AF28" s="6" t="str">
        <f>IFERROR(LOOKUP(2,1/((lentry!$A$3:$A$3999=jan!$A28)*(lentry!$B$3:$B$3999&lt;=jan!AF$3)*(lentry!$C$3:$C$3999&gt;=jan!AF$3)),lentry!$D$3:$D$3999),IF(WEEKDAY(jan!AF$3,1)=1,"WO","P"))</f>
        <v>P</v>
      </c>
      <c r="AG28" s="6" t="str">
        <f>IFERROR(LOOKUP(2,1/((lentry!$A$3:$A$3999=jan!$A28)*(lentry!$B$3:$B$3999&lt;=jan!AG$3)*(lentry!$C$3:$C$3999&gt;=jan!AG$3)),lentry!$D$3:$D$3999),IF(WEEKDAY(jan!AG$3,1)=1,"WO","P"))</f>
        <v>P</v>
      </c>
      <c r="AH28" s="6" t="str">
        <f>IFERROR(LOOKUP(2,1/((lentry!$A$3:$A$3999=jan!$A28)*(lentry!$B$3:$B$3999&lt;=jan!AH$3)*(lentry!$C$3:$C$3999&gt;=jan!AH$3)),lentry!$D$3:$D$3999),IF(WEEKDAY(jan!AH$3,1)=1,"WO","P"))</f>
        <v>P</v>
      </c>
      <c r="AI28" s="6" t="str">
        <f>IFERROR(LOOKUP(2,1/((lentry!$A$3:$A$3999=jan!$A28)*(lentry!$B$3:$B$3999&lt;=jan!AI$3)*(lentry!$C$3:$C$3999&gt;=jan!AI$3)),lentry!$D$3:$D$3999),IF(WEEKDAY(jan!AI$3,1)=1,"WO","P"))</f>
        <v>P</v>
      </c>
      <c r="AJ28" s="6" t="str">
        <f>IFERROR(LOOKUP(2,1/((lentry!$A$3:$A$3999=jan!$A28)*(lentry!$B$3:$B$3999&lt;=jan!AJ$3)*(lentry!$C$3:$C$3999&gt;=jan!AJ$3)),lentry!$D$3:$D$3999),IF(WEEKDAY(jan!AJ$3,1)=1,"WO","P"))</f>
        <v>P</v>
      </c>
      <c r="AK28" s="18">
        <f>COUNTIF(jan!$F28:$AJ28,"WO")</f>
        <v>4</v>
      </c>
      <c r="AL28" s="18">
        <f>COUNTIF(jan!$F28:$AJ28,"H")</f>
        <v>1</v>
      </c>
      <c r="AM28" s="18">
        <f>COUNTIF(jan!$F28:$AJ28,"PL")</f>
        <v>0</v>
      </c>
      <c r="AN28" s="18">
        <f>COUNTIF(jan!$F28:$AJ28,"LWP")</f>
        <v>0</v>
      </c>
      <c r="AO28" s="18">
        <f>COUNTIF(jan!$F28:$AJ28,"HD")</f>
        <v>0</v>
      </c>
      <c r="AP28" s="18">
        <f>COUNTIF(jan!$F28:$AJ28,"SL")</f>
        <v>0</v>
      </c>
      <c r="AQ28" s="18">
        <f>COUNTIF(jan!$F28:$AJ28,"CL")</f>
        <v>0</v>
      </c>
      <c r="AR28" s="18">
        <f>COUNTIF(jan!$F28:$AJ28,"A")</f>
        <v>0</v>
      </c>
      <c r="AS28" s="18">
        <f>COUNTIF(jan!$F28:$AJ28,"P")</f>
        <v>26</v>
      </c>
      <c r="AT28" s="18">
        <f t="shared" si="2"/>
        <v>31</v>
      </c>
      <c r="AU28" s="18">
        <f t="shared" si="3"/>
        <v>31</v>
      </c>
    </row>
    <row r="29" spans="1:47" ht="18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6" t="str">
        <f>IFERROR(LOOKUP(2,1/((lentry!$A$3:$A$3999=jan!$A29)*(lentry!$B$3:$B$3999&lt;=jan!F$3)*(lentry!$C$3:$C$3999&gt;=jan!F$3)),lentry!$D$3:$D$3999),IF(WEEKDAY(jan!F$3,1)=1,"WO","P"))</f>
        <v>P</v>
      </c>
      <c r="G29" s="6" t="str">
        <f>IFERROR(LOOKUP(2,1/((lentry!$A$3:$A$3999=jan!$A29)*(lentry!$B$3:$B$3999&lt;=jan!G$3)*(lentry!$C$3:$C$3999&gt;=jan!G$3)),lentry!$D$3:$D$3999),IF(WEEKDAY(jan!G$3,1)=1,"WO","P"))</f>
        <v>P</v>
      </c>
      <c r="H29" s="6" t="str">
        <f>IFERROR(LOOKUP(2,1/((lentry!$A$3:$A$3999=jan!$A29)*(lentry!$B$3:$B$3999&lt;=jan!H$3)*(lentry!$C$3:$C$3999&gt;=jan!H$3)),lentry!$D$3:$D$3999),IF(WEEKDAY(jan!H$3,1)=1,"WO","P"))</f>
        <v>P</v>
      </c>
      <c r="I29" s="6" t="str">
        <f>IFERROR(LOOKUP(2,1/((lentry!$A$3:$A$3999=jan!$A29)*(lentry!$B$3:$B$3999&lt;=jan!I$3)*(lentry!$C$3:$C$3999&gt;=jan!I$3)),lentry!$D$3:$D$3999),IF(WEEKDAY(jan!I$3,1)=1,"WO","P"))</f>
        <v>WO</v>
      </c>
      <c r="J29" s="6" t="str">
        <f>IFERROR(LOOKUP(2,1/((lentry!$A$3:$A$3999=jan!$A29)*(lentry!$B$3:$B$3999&lt;=jan!J$3)*(lentry!$C$3:$C$3999&gt;=jan!J$3)),lentry!$D$3:$D$3999),IF(WEEKDAY(jan!J$3,1)=1,"WO","P"))</f>
        <v>P</v>
      </c>
      <c r="K29" s="6" t="str">
        <f>IFERROR(LOOKUP(2,1/((lentry!$A$3:$A$3999=jan!$A29)*(lentry!$B$3:$B$3999&lt;=jan!K$3)*(lentry!$C$3:$C$3999&gt;=jan!K$3)),lentry!$D$3:$D$3999),IF(WEEKDAY(jan!K$3,1)=1,"WO","P"))</f>
        <v>P</v>
      </c>
      <c r="L29" s="6" t="str">
        <f>IFERROR(LOOKUP(2,1/((lentry!$A$3:$A$3999=jan!$A29)*(lentry!$B$3:$B$3999&lt;=jan!L$3)*(lentry!$C$3:$C$3999&gt;=jan!L$3)),lentry!$D$3:$D$3999),IF(WEEKDAY(jan!L$3,1)=1,"WO","P"))</f>
        <v>P</v>
      </c>
      <c r="M29" s="6" t="str">
        <f>IFERROR(LOOKUP(2,1/((lentry!$A$3:$A$3999=jan!$A29)*(lentry!$B$3:$B$3999&lt;=jan!M$3)*(lentry!$C$3:$C$3999&gt;=jan!M$3)),lentry!$D$3:$D$3999),IF(WEEKDAY(jan!M$3,1)=1,"WO","P"))</f>
        <v>P</v>
      </c>
      <c r="N29" s="6" t="str">
        <f>IFERROR(LOOKUP(2,1/((lentry!$A$3:$A$3999=jan!$A29)*(lentry!$B$3:$B$3999&lt;=jan!N$3)*(lentry!$C$3:$C$3999&gt;=jan!N$3)),lentry!$D$3:$D$3999),IF(WEEKDAY(jan!N$3,1)=1,"WO","P"))</f>
        <v>P</v>
      </c>
      <c r="O29" s="6" t="str">
        <f>IFERROR(LOOKUP(2,1/((lentry!$A$3:$A$3999=jan!$A29)*(lentry!$B$3:$B$3999&lt;=jan!O$3)*(lentry!$C$3:$C$3999&gt;=jan!O$3)),lentry!$D$3:$D$3999),IF(WEEKDAY(jan!O$3,1)=1,"WO","P"))</f>
        <v>P</v>
      </c>
      <c r="P29" s="6" t="s">
        <v>342</v>
      </c>
      <c r="Q29" s="6" t="str">
        <f>IFERROR(LOOKUP(2,1/((lentry!$A$3:$A$3999=jan!$A29)*(lentry!$B$3:$B$3999&lt;=jan!Q$3)*(lentry!$C$3:$C$3999&gt;=jan!Q$3)),lentry!$D$3:$D$3999),IF(WEEKDAY(jan!Q$3,1)=1,"WO","P"))</f>
        <v>P</v>
      </c>
      <c r="R29" s="6" t="str">
        <f>IFERROR(LOOKUP(2,1/((lentry!$A$3:$A$3999=jan!$A29)*(lentry!$B$3:$B$3999&lt;=jan!R$3)*(lentry!$C$3:$C$3999&gt;=jan!R$3)),lentry!$D$3:$D$3999),IF(WEEKDAY(jan!R$3,1)=1,"WO","P"))</f>
        <v>P</v>
      </c>
      <c r="S29" s="6" t="str">
        <f>IFERROR(LOOKUP(2,1/((lentry!$A$3:$A$3999=jan!$A29)*(lentry!$B$3:$B$3999&lt;=jan!S$3)*(lentry!$C$3:$C$3999&gt;=jan!S$3)),lentry!$D$3:$D$3999),IF(WEEKDAY(jan!S$3,1)=1,"WO","P"))</f>
        <v>P</v>
      </c>
      <c r="T29" s="6" t="str">
        <f>IFERROR(LOOKUP(2,1/((lentry!$A$3:$A$3999=jan!$A29)*(lentry!$B$3:$B$3999&lt;=jan!T$3)*(lentry!$C$3:$C$3999&gt;=jan!T$3)),lentry!$D$3:$D$3999),IF(WEEKDAY(jan!T$3,1)=1,"WO","P"))</f>
        <v>P</v>
      </c>
      <c r="U29" s="6" t="str">
        <f>IFERROR(LOOKUP(2,1/((lentry!$A$3:$A$3999=jan!$A29)*(lentry!$B$3:$B$3999&lt;=jan!U$3)*(lentry!$C$3:$C$3999&gt;=jan!U$3)),lentry!$D$3:$D$3999),IF(WEEKDAY(jan!U$3,1)=1,"WO","P"))</f>
        <v>P</v>
      </c>
      <c r="V29" s="6" t="str">
        <f>IFERROR(LOOKUP(2,1/((lentry!$A$3:$A$3999=jan!$A29)*(lentry!$B$3:$B$3999&lt;=jan!V$3)*(lentry!$C$3:$C$3999&gt;=jan!V$3)),lentry!$D$3:$D$3999),IF(WEEKDAY(jan!V$3,1)=1,"WO","P"))</f>
        <v>P</v>
      </c>
      <c r="W29" s="6" t="str">
        <f>IFERROR(LOOKUP(2,1/((lentry!$A$3:$A$3999=jan!$A29)*(lentry!$B$3:$B$3999&lt;=jan!W$3)*(lentry!$C$3:$C$3999&gt;=jan!W$3)),lentry!$D$3:$D$3999),IF(WEEKDAY(jan!W$3,1)=1,"WO","P"))</f>
        <v>WO</v>
      </c>
      <c r="X29" s="6" t="str">
        <f>IFERROR(LOOKUP(2,1/((lentry!$A$3:$A$3999=jan!$A29)*(lentry!$B$3:$B$3999&lt;=jan!X$3)*(lentry!$C$3:$C$3999&gt;=jan!X$3)),lentry!$D$3:$D$3999),IF(WEEKDAY(jan!X$3,1)=1,"WO","P"))</f>
        <v>P</v>
      </c>
      <c r="Y29" s="6" t="str">
        <f>IFERROR(LOOKUP(2,1/((lentry!$A$3:$A$3999=jan!$A29)*(lentry!$B$3:$B$3999&lt;=jan!Y$3)*(lentry!$C$3:$C$3999&gt;=jan!Y$3)),lentry!$D$3:$D$3999),IF(WEEKDAY(jan!Y$3,1)=1,"WO","P"))</f>
        <v>P</v>
      </c>
      <c r="Z29" s="6" t="str">
        <f>IFERROR(LOOKUP(2,1/((lentry!$A$3:$A$3999=jan!$A29)*(lentry!$B$3:$B$3999&lt;=jan!Z$3)*(lentry!$C$3:$C$3999&gt;=jan!Z$3)),lentry!$D$3:$D$3999),IF(WEEKDAY(jan!Z$3,1)=1,"WO","P"))</f>
        <v>P</v>
      </c>
      <c r="AA29" s="6" t="str">
        <f>IFERROR(LOOKUP(2,1/((lentry!$A$3:$A$3999=jan!$A29)*(lentry!$B$3:$B$3999&lt;=jan!AA$3)*(lentry!$C$3:$C$3999&gt;=jan!AA$3)),lentry!$D$3:$D$3999),IF(WEEKDAY(jan!AA$3,1)=1,"WO","P"))</f>
        <v>P</v>
      </c>
      <c r="AB29" s="6" t="str">
        <f>IFERROR(LOOKUP(2,1/((lentry!$A$3:$A$3999=jan!$A29)*(lentry!$B$3:$B$3999&lt;=jan!AB$3)*(lentry!$C$3:$C$3999&gt;=jan!AB$3)),lentry!$D$3:$D$3999),IF(WEEKDAY(jan!AB$3,1)=1,"WO","P"))</f>
        <v>P</v>
      </c>
      <c r="AC29" s="6" t="str">
        <f>IFERROR(LOOKUP(2,1/((lentry!$A$3:$A$3999=jan!$A29)*(lentry!$B$3:$B$3999&lt;=jan!AC$3)*(lentry!$C$3:$C$3999&gt;=jan!AC$3)),lentry!$D$3:$D$3999),IF(WEEKDAY(jan!AC$3,1)=1,"WO","P"))</f>
        <v>P</v>
      </c>
      <c r="AD29" s="6" t="str">
        <f>IFERROR(LOOKUP(2,1/((lentry!$A$3:$A$3999=jan!$A29)*(lentry!$B$3:$B$3999&lt;=jan!AD$3)*(lentry!$C$3:$C$3999&gt;=jan!AD$3)),lentry!$D$3:$D$3999),IF(WEEKDAY(jan!AD$3,1)=1,"WO","P"))</f>
        <v>WO</v>
      </c>
      <c r="AE29" s="6" t="s">
        <v>350</v>
      </c>
      <c r="AF29" s="6" t="str">
        <f>IFERROR(LOOKUP(2,1/((lentry!$A$3:$A$3999=jan!$A29)*(lentry!$B$3:$B$3999&lt;=jan!AF$3)*(lentry!$C$3:$C$3999&gt;=jan!AF$3)),lentry!$D$3:$D$3999),IF(WEEKDAY(jan!AF$3,1)=1,"WO","P"))</f>
        <v>P</v>
      </c>
      <c r="AG29" s="6" t="str">
        <f>IFERROR(LOOKUP(2,1/((lentry!$A$3:$A$3999=jan!$A29)*(lentry!$B$3:$B$3999&lt;=jan!AG$3)*(lentry!$C$3:$C$3999&gt;=jan!AG$3)),lentry!$D$3:$D$3999),IF(WEEKDAY(jan!AG$3,1)=1,"WO","P"))</f>
        <v>P</v>
      </c>
      <c r="AH29" s="6" t="str">
        <f>IFERROR(LOOKUP(2,1/((lentry!$A$3:$A$3999=jan!$A29)*(lentry!$B$3:$B$3999&lt;=jan!AH$3)*(lentry!$C$3:$C$3999&gt;=jan!AH$3)),lentry!$D$3:$D$3999),IF(WEEKDAY(jan!AH$3,1)=1,"WO","P"))</f>
        <v>P</v>
      </c>
      <c r="AI29" s="6" t="str">
        <f>IFERROR(LOOKUP(2,1/((lentry!$A$3:$A$3999=jan!$A29)*(lentry!$B$3:$B$3999&lt;=jan!AI$3)*(lentry!$C$3:$C$3999&gt;=jan!AI$3)),lentry!$D$3:$D$3999),IF(WEEKDAY(jan!AI$3,1)=1,"WO","P"))</f>
        <v>P</v>
      </c>
      <c r="AJ29" s="6" t="str">
        <f>IFERROR(LOOKUP(2,1/((lentry!$A$3:$A$3999=jan!$A29)*(lentry!$B$3:$B$3999&lt;=jan!AJ$3)*(lentry!$C$3:$C$3999&gt;=jan!AJ$3)),lentry!$D$3:$D$3999),IF(WEEKDAY(jan!AJ$3,1)=1,"WO","P"))</f>
        <v>P</v>
      </c>
      <c r="AK29" s="18">
        <f>COUNTIF(jan!$F29:$AJ29,"WO")</f>
        <v>4</v>
      </c>
      <c r="AL29" s="18">
        <f>COUNTIF(jan!$F29:$AJ29,"H")</f>
        <v>1</v>
      </c>
      <c r="AM29" s="18">
        <f>COUNTIF(jan!$F29:$AJ29,"PL")</f>
        <v>0</v>
      </c>
      <c r="AN29" s="18">
        <f>COUNTIF(jan!$F29:$AJ29,"LWP")</f>
        <v>0</v>
      </c>
      <c r="AO29" s="18">
        <f>COUNTIF(jan!$F29:$AJ29,"HD")</f>
        <v>0</v>
      </c>
      <c r="AP29" s="18">
        <f>COUNTIF(jan!$F29:$AJ29,"SL")</f>
        <v>0</v>
      </c>
      <c r="AQ29" s="18">
        <f>COUNTIF(jan!$F29:$AJ29,"CL")</f>
        <v>0</v>
      </c>
      <c r="AR29" s="18">
        <f>COUNTIF(jan!$F29:$AJ29,"A")</f>
        <v>0</v>
      </c>
      <c r="AS29" s="18">
        <f>COUNTIF(jan!$F29:$AJ29,"P")</f>
        <v>26</v>
      </c>
      <c r="AT29" s="18">
        <f t="shared" si="2"/>
        <v>31</v>
      </c>
      <c r="AU29" s="18">
        <f t="shared" si="3"/>
        <v>31</v>
      </c>
    </row>
    <row r="30" spans="1:47" ht="18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6" t="str">
        <f>IFERROR(LOOKUP(2,1/((lentry!$A$3:$A$3999=jan!$A30)*(lentry!$B$3:$B$3999&lt;=jan!F$3)*(lentry!$C$3:$C$3999&gt;=jan!F$3)),lentry!$D$3:$D$3999),IF(WEEKDAY(jan!F$3,1)=1,"WO","P"))</f>
        <v>P</v>
      </c>
      <c r="G30" s="6" t="str">
        <f>IFERROR(LOOKUP(2,1/((lentry!$A$3:$A$3999=jan!$A30)*(lentry!$B$3:$B$3999&lt;=jan!G$3)*(lentry!$C$3:$C$3999&gt;=jan!G$3)),lentry!$D$3:$D$3999),IF(WEEKDAY(jan!G$3,1)=1,"WO","P"))</f>
        <v>P</v>
      </c>
      <c r="H30" s="6" t="str">
        <f>IFERROR(LOOKUP(2,1/((lentry!$A$3:$A$3999=jan!$A30)*(lentry!$B$3:$B$3999&lt;=jan!H$3)*(lentry!$C$3:$C$3999&gt;=jan!H$3)),lentry!$D$3:$D$3999),IF(WEEKDAY(jan!H$3,1)=1,"WO","P"))</f>
        <v>P</v>
      </c>
      <c r="I30" s="6" t="str">
        <f>IFERROR(LOOKUP(2,1/((lentry!$A$3:$A$3999=jan!$A30)*(lentry!$B$3:$B$3999&lt;=jan!I$3)*(lentry!$C$3:$C$3999&gt;=jan!I$3)),lentry!$D$3:$D$3999),IF(WEEKDAY(jan!I$3,1)=1,"WO","P"))</f>
        <v>WO</v>
      </c>
      <c r="J30" s="6" t="str">
        <f>IFERROR(LOOKUP(2,1/((lentry!$A$3:$A$3999=jan!$A30)*(lentry!$B$3:$B$3999&lt;=jan!J$3)*(lentry!$C$3:$C$3999&gt;=jan!J$3)),lentry!$D$3:$D$3999),IF(WEEKDAY(jan!J$3,1)=1,"WO","P"))</f>
        <v>P</v>
      </c>
      <c r="K30" s="6" t="str">
        <f>IFERROR(LOOKUP(2,1/((lentry!$A$3:$A$3999=jan!$A30)*(lentry!$B$3:$B$3999&lt;=jan!K$3)*(lentry!$C$3:$C$3999&gt;=jan!K$3)),lentry!$D$3:$D$3999),IF(WEEKDAY(jan!K$3,1)=1,"WO","P"))</f>
        <v>P</v>
      </c>
      <c r="L30" s="6" t="str">
        <f>IFERROR(LOOKUP(2,1/((lentry!$A$3:$A$3999=jan!$A30)*(lentry!$B$3:$B$3999&lt;=jan!L$3)*(lentry!$C$3:$C$3999&gt;=jan!L$3)),lentry!$D$3:$D$3999),IF(WEEKDAY(jan!L$3,1)=1,"WO","P"))</f>
        <v>P</v>
      </c>
      <c r="M30" s="6" t="str">
        <f>IFERROR(LOOKUP(2,1/((lentry!$A$3:$A$3999=jan!$A30)*(lentry!$B$3:$B$3999&lt;=jan!M$3)*(lentry!$C$3:$C$3999&gt;=jan!M$3)),lentry!$D$3:$D$3999),IF(WEEKDAY(jan!M$3,1)=1,"WO","P"))</f>
        <v>P</v>
      </c>
      <c r="N30" s="6" t="str">
        <f>IFERROR(LOOKUP(2,1/((lentry!$A$3:$A$3999=jan!$A30)*(lentry!$B$3:$B$3999&lt;=jan!N$3)*(lentry!$C$3:$C$3999&gt;=jan!N$3)),lentry!$D$3:$D$3999),IF(WEEKDAY(jan!N$3,1)=1,"WO","P"))</f>
        <v>P</v>
      </c>
      <c r="O30" s="6" t="str">
        <f>IFERROR(LOOKUP(2,1/((lentry!$A$3:$A$3999=jan!$A30)*(lentry!$B$3:$B$3999&lt;=jan!O$3)*(lentry!$C$3:$C$3999&gt;=jan!O$3)),lentry!$D$3:$D$3999),IF(WEEKDAY(jan!O$3,1)=1,"WO","P"))</f>
        <v>P</v>
      </c>
      <c r="P30" s="6" t="s">
        <v>342</v>
      </c>
      <c r="Q30" s="6" t="str">
        <f>IFERROR(LOOKUP(2,1/((lentry!$A$3:$A$3999=jan!$A30)*(lentry!$B$3:$B$3999&lt;=jan!Q$3)*(lentry!$C$3:$C$3999&gt;=jan!Q$3)),lentry!$D$3:$D$3999),IF(WEEKDAY(jan!Q$3,1)=1,"WO","P"))</f>
        <v>P</v>
      </c>
      <c r="R30" s="6" t="str">
        <f>IFERROR(LOOKUP(2,1/((lentry!$A$3:$A$3999=jan!$A30)*(lentry!$B$3:$B$3999&lt;=jan!R$3)*(lentry!$C$3:$C$3999&gt;=jan!R$3)),lentry!$D$3:$D$3999),IF(WEEKDAY(jan!R$3,1)=1,"WO","P"))</f>
        <v>P</v>
      </c>
      <c r="S30" s="6" t="str">
        <f>IFERROR(LOOKUP(2,1/((lentry!$A$3:$A$3999=jan!$A30)*(lentry!$B$3:$B$3999&lt;=jan!S$3)*(lentry!$C$3:$C$3999&gt;=jan!S$3)),lentry!$D$3:$D$3999),IF(WEEKDAY(jan!S$3,1)=1,"WO","P"))</f>
        <v>P</v>
      </c>
      <c r="T30" s="6" t="str">
        <f>IFERROR(LOOKUP(2,1/((lentry!$A$3:$A$3999=jan!$A30)*(lentry!$B$3:$B$3999&lt;=jan!T$3)*(lentry!$C$3:$C$3999&gt;=jan!T$3)),lentry!$D$3:$D$3999),IF(WEEKDAY(jan!T$3,1)=1,"WO","P"))</f>
        <v>P</v>
      </c>
      <c r="U30" s="6" t="str">
        <f>IFERROR(LOOKUP(2,1/((lentry!$A$3:$A$3999=jan!$A30)*(lentry!$B$3:$B$3999&lt;=jan!U$3)*(lentry!$C$3:$C$3999&gt;=jan!U$3)),lentry!$D$3:$D$3999),IF(WEEKDAY(jan!U$3,1)=1,"WO","P"))</f>
        <v>P</v>
      </c>
      <c r="V30" s="6" t="str">
        <f>IFERROR(LOOKUP(2,1/((lentry!$A$3:$A$3999=jan!$A30)*(lentry!$B$3:$B$3999&lt;=jan!V$3)*(lentry!$C$3:$C$3999&gt;=jan!V$3)),lentry!$D$3:$D$3999),IF(WEEKDAY(jan!V$3,1)=1,"WO","P"))</f>
        <v>P</v>
      </c>
      <c r="W30" s="6" t="str">
        <f>IFERROR(LOOKUP(2,1/((lentry!$A$3:$A$3999=jan!$A30)*(lentry!$B$3:$B$3999&lt;=jan!W$3)*(lentry!$C$3:$C$3999&gt;=jan!W$3)),lentry!$D$3:$D$3999),IF(WEEKDAY(jan!W$3,1)=1,"WO","P"))</f>
        <v>WO</v>
      </c>
      <c r="X30" s="6" t="str">
        <f>IFERROR(LOOKUP(2,1/((lentry!$A$3:$A$3999=jan!$A30)*(lentry!$B$3:$B$3999&lt;=jan!X$3)*(lentry!$C$3:$C$3999&gt;=jan!X$3)),lentry!$D$3:$D$3999),IF(WEEKDAY(jan!X$3,1)=1,"WO","P"))</f>
        <v>P</v>
      </c>
      <c r="Y30" s="6" t="str">
        <f>IFERROR(LOOKUP(2,1/((lentry!$A$3:$A$3999=jan!$A30)*(lentry!$B$3:$B$3999&lt;=jan!Y$3)*(lentry!$C$3:$C$3999&gt;=jan!Y$3)),lentry!$D$3:$D$3999),IF(WEEKDAY(jan!Y$3,1)=1,"WO","P"))</f>
        <v>P</v>
      </c>
      <c r="Z30" s="6" t="str">
        <f>IFERROR(LOOKUP(2,1/((lentry!$A$3:$A$3999=jan!$A30)*(lentry!$B$3:$B$3999&lt;=jan!Z$3)*(lentry!$C$3:$C$3999&gt;=jan!Z$3)),lentry!$D$3:$D$3999),IF(WEEKDAY(jan!Z$3,1)=1,"WO","P"))</f>
        <v>P</v>
      </c>
      <c r="AA30" s="6" t="str">
        <f>IFERROR(LOOKUP(2,1/((lentry!$A$3:$A$3999=jan!$A30)*(lentry!$B$3:$B$3999&lt;=jan!AA$3)*(lentry!$C$3:$C$3999&gt;=jan!AA$3)),lentry!$D$3:$D$3999),IF(WEEKDAY(jan!AA$3,1)=1,"WO","P"))</f>
        <v>P</v>
      </c>
      <c r="AB30" s="6" t="str">
        <f>IFERROR(LOOKUP(2,1/((lentry!$A$3:$A$3999=jan!$A30)*(lentry!$B$3:$B$3999&lt;=jan!AB$3)*(lentry!$C$3:$C$3999&gt;=jan!AB$3)),lentry!$D$3:$D$3999),IF(WEEKDAY(jan!AB$3,1)=1,"WO","P"))</f>
        <v>P</v>
      </c>
      <c r="AC30" s="6" t="str">
        <f>IFERROR(LOOKUP(2,1/((lentry!$A$3:$A$3999=jan!$A30)*(lentry!$B$3:$B$3999&lt;=jan!AC$3)*(lentry!$C$3:$C$3999&gt;=jan!AC$3)),lentry!$D$3:$D$3999),IF(WEEKDAY(jan!AC$3,1)=1,"WO","P"))</f>
        <v>P</v>
      </c>
      <c r="AD30" s="6" t="str">
        <f>IFERROR(LOOKUP(2,1/((lentry!$A$3:$A$3999=jan!$A30)*(lentry!$B$3:$B$3999&lt;=jan!AD$3)*(lentry!$C$3:$C$3999&gt;=jan!AD$3)),lentry!$D$3:$D$3999),IF(WEEKDAY(jan!AD$3,1)=1,"WO","P"))</f>
        <v>WO</v>
      </c>
      <c r="AE30" s="6" t="s">
        <v>350</v>
      </c>
      <c r="AF30" s="6" t="str">
        <f>IFERROR(LOOKUP(2,1/((lentry!$A$3:$A$3999=jan!$A30)*(lentry!$B$3:$B$3999&lt;=jan!AF$3)*(lentry!$C$3:$C$3999&gt;=jan!AF$3)),lentry!$D$3:$D$3999),IF(WEEKDAY(jan!AF$3,1)=1,"WO","P"))</f>
        <v>P</v>
      </c>
      <c r="AG30" s="6" t="str">
        <f>IFERROR(LOOKUP(2,1/((lentry!$A$3:$A$3999=jan!$A30)*(lentry!$B$3:$B$3999&lt;=jan!AG$3)*(lentry!$C$3:$C$3999&gt;=jan!AG$3)),lentry!$D$3:$D$3999),IF(WEEKDAY(jan!AG$3,1)=1,"WO","P"))</f>
        <v>P</v>
      </c>
      <c r="AH30" s="6" t="str">
        <f>IFERROR(LOOKUP(2,1/((lentry!$A$3:$A$3999=jan!$A30)*(lentry!$B$3:$B$3999&lt;=jan!AH$3)*(lentry!$C$3:$C$3999&gt;=jan!AH$3)),lentry!$D$3:$D$3999),IF(WEEKDAY(jan!AH$3,1)=1,"WO","P"))</f>
        <v>P</v>
      </c>
      <c r="AI30" s="6" t="str">
        <f>IFERROR(LOOKUP(2,1/((lentry!$A$3:$A$3999=jan!$A30)*(lentry!$B$3:$B$3999&lt;=jan!AI$3)*(lentry!$C$3:$C$3999&gt;=jan!AI$3)),lentry!$D$3:$D$3999),IF(WEEKDAY(jan!AI$3,1)=1,"WO","P"))</f>
        <v>P</v>
      </c>
      <c r="AJ30" s="6" t="str">
        <f>IFERROR(LOOKUP(2,1/((lentry!$A$3:$A$3999=jan!$A30)*(lentry!$B$3:$B$3999&lt;=jan!AJ$3)*(lentry!$C$3:$C$3999&gt;=jan!AJ$3)),lentry!$D$3:$D$3999),IF(WEEKDAY(jan!AJ$3,1)=1,"WO","P"))</f>
        <v>P</v>
      </c>
      <c r="AK30" s="18">
        <f>COUNTIF(jan!$F30:$AJ30,"WO")</f>
        <v>4</v>
      </c>
      <c r="AL30" s="18">
        <f>COUNTIF(jan!$F30:$AJ30,"H")</f>
        <v>1</v>
      </c>
      <c r="AM30" s="18">
        <f>COUNTIF(jan!$F30:$AJ30,"PL")</f>
        <v>0</v>
      </c>
      <c r="AN30" s="18">
        <f>COUNTIF(jan!$F30:$AJ30,"LWP")</f>
        <v>0</v>
      </c>
      <c r="AO30" s="18">
        <f>COUNTIF(jan!$F30:$AJ30,"HD")</f>
        <v>0</v>
      </c>
      <c r="AP30" s="18">
        <f>COUNTIF(jan!$F30:$AJ30,"SL")</f>
        <v>0</v>
      </c>
      <c r="AQ30" s="18">
        <f>COUNTIF(jan!$F30:$AJ30,"CL")</f>
        <v>0</v>
      </c>
      <c r="AR30" s="18">
        <f>COUNTIF(jan!$F30:$AJ30,"A")</f>
        <v>0</v>
      </c>
      <c r="AS30" s="18">
        <f>COUNTIF(jan!$F30:$AJ30,"P")</f>
        <v>26</v>
      </c>
      <c r="AT30" s="18">
        <f t="shared" si="2"/>
        <v>31</v>
      </c>
      <c r="AU30" s="18">
        <f t="shared" si="3"/>
        <v>31</v>
      </c>
    </row>
    <row r="31" spans="1:47" ht="18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6" t="str">
        <f>IFERROR(LOOKUP(2,1/((lentry!$A$3:$A$3999=jan!$A31)*(lentry!$B$3:$B$3999&lt;=jan!F$3)*(lentry!$C$3:$C$3999&gt;=jan!F$3)),lentry!$D$3:$D$3999),IF(WEEKDAY(jan!F$3,1)=1,"WO","P"))</f>
        <v>P</v>
      </c>
      <c r="G31" s="6" t="str">
        <f>IFERROR(LOOKUP(2,1/((lentry!$A$3:$A$3999=jan!$A31)*(lentry!$B$3:$B$3999&lt;=jan!G$3)*(lentry!$C$3:$C$3999&gt;=jan!G$3)),lentry!$D$3:$D$3999),IF(WEEKDAY(jan!G$3,1)=1,"WO","P"))</f>
        <v>P</v>
      </c>
      <c r="H31" s="6" t="str">
        <f>IFERROR(LOOKUP(2,1/((lentry!$A$3:$A$3999=jan!$A31)*(lentry!$B$3:$B$3999&lt;=jan!H$3)*(lentry!$C$3:$C$3999&gt;=jan!H$3)),lentry!$D$3:$D$3999),IF(WEEKDAY(jan!H$3,1)=1,"WO","P"))</f>
        <v>P</v>
      </c>
      <c r="I31" s="6" t="str">
        <f>IFERROR(LOOKUP(2,1/((lentry!$A$3:$A$3999=jan!$A31)*(lentry!$B$3:$B$3999&lt;=jan!I$3)*(lentry!$C$3:$C$3999&gt;=jan!I$3)),lentry!$D$3:$D$3999),IF(WEEKDAY(jan!I$3,1)=1,"WO","P"))</f>
        <v>WO</v>
      </c>
      <c r="J31" s="6" t="str">
        <f>IFERROR(LOOKUP(2,1/((lentry!$A$3:$A$3999=jan!$A31)*(lentry!$B$3:$B$3999&lt;=jan!J$3)*(lentry!$C$3:$C$3999&gt;=jan!J$3)),lentry!$D$3:$D$3999),IF(WEEKDAY(jan!J$3,1)=1,"WO","P"))</f>
        <v>P</v>
      </c>
      <c r="K31" s="6" t="str">
        <f>IFERROR(LOOKUP(2,1/((lentry!$A$3:$A$3999=jan!$A31)*(lentry!$B$3:$B$3999&lt;=jan!K$3)*(lentry!$C$3:$C$3999&gt;=jan!K$3)),lentry!$D$3:$D$3999),IF(WEEKDAY(jan!K$3,1)=1,"WO","P"))</f>
        <v>P</v>
      </c>
      <c r="L31" s="6" t="str">
        <f>IFERROR(LOOKUP(2,1/((lentry!$A$3:$A$3999=jan!$A31)*(lentry!$B$3:$B$3999&lt;=jan!L$3)*(lentry!$C$3:$C$3999&gt;=jan!L$3)),lentry!$D$3:$D$3999),IF(WEEKDAY(jan!L$3,1)=1,"WO","P"))</f>
        <v>P</v>
      </c>
      <c r="M31" s="6" t="str">
        <f>IFERROR(LOOKUP(2,1/((lentry!$A$3:$A$3999=jan!$A31)*(lentry!$B$3:$B$3999&lt;=jan!M$3)*(lentry!$C$3:$C$3999&gt;=jan!M$3)),lentry!$D$3:$D$3999),IF(WEEKDAY(jan!M$3,1)=1,"WO","P"))</f>
        <v>P</v>
      </c>
      <c r="N31" s="6" t="str">
        <f>IFERROR(LOOKUP(2,1/((lentry!$A$3:$A$3999=jan!$A31)*(lentry!$B$3:$B$3999&lt;=jan!N$3)*(lentry!$C$3:$C$3999&gt;=jan!N$3)),lentry!$D$3:$D$3999),IF(WEEKDAY(jan!N$3,1)=1,"WO","P"))</f>
        <v>P</v>
      </c>
      <c r="O31" s="6" t="str">
        <f>IFERROR(LOOKUP(2,1/((lentry!$A$3:$A$3999=jan!$A31)*(lentry!$B$3:$B$3999&lt;=jan!O$3)*(lentry!$C$3:$C$3999&gt;=jan!O$3)),lentry!$D$3:$D$3999),IF(WEEKDAY(jan!O$3,1)=1,"WO","P"))</f>
        <v>P</v>
      </c>
      <c r="P31" s="6" t="s">
        <v>342</v>
      </c>
      <c r="Q31" s="6" t="str">
        <f>IFERROR(LOOKUP(2,1/((lentry!$A$3:$A$3999=jan!$A31)*(lentry!$B$3:$B$3999&lt;=jan!Q$3)*(lentry!$C$3:$C$3999&gt;=jan!Q$3)),lentry!$D$3:$D$3999),IF(WEEKDAY(jan!Q$3,1)=1,"WO","P"))</f>
        <v>P</v>
      </c>
      <c r="R31" s="6" t="str">
        <f>IFERROR(LOOKUP(2,1/((lentry!$A$3:$A$3999=jan!$A31)*(lentry!$B$3:$B$3999&lt;=jan!R$3)*(lentry!$C$3:$C$3999&gt;=jan!R$3)),lentry!$D$3:$D$3999),IF(WEEKDAY(jan!R$3,1)=1,"WO","P"))</f>
        <v>P</v>
      </c>
      <c r="S31" s="6" t="str">
        <f>IFERROR(LOOKUP(2,1/((lentry!$A$3:$A$3999=jan!$A31)*(lentry!$B$3:$B$3999&lt;=jan!S$3)*(lentry!$C$3:$C$3999&gt;=jan!S$3)),lentry!$D$3:$D$3999),IF(WEEKDAY(jan!S$3,1)=1,"WO","P"))</f>
        <v>P</v>
      </c>
      <c r="T31" s="6" t="str">
        <f>IFERROR(LOOKUP(2,1/((lentry!$A$3:$A$3999=jan!$A31)*(lentry!$B$3:$B$3999&lt;=jan!T$3)*(lentry!$C$3:$C$3999&gt;=jan!T$3)),lentry!$D$3:$D$3999),IF(WEEKDAY(jan!T$3,1)=1,"WO","P"))</f>
        <v>P</v>
      </c>
      <c r="U31" s="6" t="str">
        <f>IFERROR(LOOKUP(2,1/((lentry!$A$3:$A$3999=jan!$A31)*(lentry!$B$3:$B$3999&lt;=jan!U$3)*(lentry!$C$3:$C$3999&gt;=jan!U$3)),lentry!$D$3:$D$3999),IF(WEEKDAY(jan!U$3,1)=1,"WO","P"))</f>
        <v>P</v>
      </c>
      <c r="V31" s="6" t="str">
        <f>IFERROR(LOOKUP(2,1/((lentry!$A$3:$A$3999=jan!$A31)*(lentry!$B$3:$B$3999&lt;=jan!V$3)*(lentry!$C$3:$C$3999&gt;=jan!V$3)),lentry!$D$3:$D$3999),IF(WEEKDAY(jan!V$3,1)=1,"WO","P"))</f>
        <v>P</v>
      </c>
      <c r="W31" s="6" t="str">
        <f>IFERROR(LOOKUP(2,1/((lentry!$A$3:$A$3999=jan!$A31)*(lentry!$B$3:$B$3999&lt;=jan!W$3)*(lentry!$C$3:$C$3999&gt;=jan!W$3)),lentry!$D$3:$D$3999),IF(WEEKDAY(jan!W$3,1)=1,"WO","P"))</f>
        <v>WO</v>
      </c>
      <c r="X31" s="6" t="str">
        <f>IFERROR(LOOKUP(2,1/((lentry!$A$3:$A$3999=jan!$A31)*(lentry!$B$3:$B$3999&lt;=jan!X$3)*(lentry!$C$3:$C$3999&gt;=jan!X$3)),lentry!$D$3:$D$3999),IF(WEEKDAY(jan!X$3,1)=1,"WO","P"))</f>
        <v>P</v>
      </c>
      <c r="Y31" s="6" t="str">
        <f>IFERROR(LOOKUP(2,1/((lentry!$A$3:$A$3999=jan!$A31)*(lentry!$B$3:$B$3999&lt;=jan!Y$3)*(lentry!$C$3:$C$3999&gt;=jan!Y$3)),lentry!$D$3:$D$3999),IF(WEEKDAY(jan!Y$3,1)=1,"WO","P"))</f>
        <v>P</v>
      </c>
      <c r="Z31" s="6" t="str">
        <f>IFERROR(LOOKUP(2,1/((lentry!$A$3:$A$3999=jan!$A31)*(lentry!$B$3:$B$3999&lt;=jan!Z$3)*(lentry!$C$3:$C$3999&gt;=jan!Z$3)),lentry!$D$3:$D$3999),IF(WEEKDAY(jan!Z$3,1)=1,"WO","P"))</f>
        <v>P</v>
      </c>
      <c r="AA31" s="6" t="str">
        <f>IFERROR(LOOKUP(2,1/((lentry!$A$3:$A$3999=jan!$A31)*(lentry!$B$3:$B$3999&lt;=jan!AA$3)*(lentry!$C$3:$C$3999&gt;=jan!AA$3)),lentry!$D$3:$D$3999),IF(WEEKDAY(jan!AA$3,1)=1,"WO","P"))</f>
        <v>P</v>
      </c>
      <c r="AB31" s="6" t="str">
        <f>IFERROR(LOOKUP(2,1/((lentry!$A$3:$A$3999=jan!$A31)*(lentry!$B$3:$B$3999&lt;=jan!AB$3)*(lentry!$C$3:$C$3999&gt;=jan!AB$3)),lentry!$D$3:$D$3999),IF(WEEKDAY(jan!AB$3,1)=1,"WO","P"))</f>
        <v>P</v>
      </c>
      <c r="AC31" s="6" t="str">
        <f>IFERROR(LOOKUP(2,1/((lentry!$A$3:$A$3999=jan!$A31)*(lentry!$B$3:$B$3999&lt;=jan!AC$3)*(lentry!$C$3:$C$3999&gt;=jan!AC$3)),lentry!$D$3:$D$3999),IF(WEEKDAY(jan!AC$3,1)=1,"WO","P"))</f>
        <v>P</v>
      </c>
      <c r="AD31" s="6" t="str">
        <f>IFERROR(LOOKUP(2,1/((lentry!$A$3:$A$3999=jan!$A31)*(lentry!$B$3:$B$3999&lt;=jan!AD$3)*(lentry!$C$3:$C$3999&gt;=jan!AD$3)),lentry!$D$3:$D$3999),IF(WEEKDAY(jan!AD$3,1)=1,"WO","P"))</f>
        <v>WO</v>
      </c>
      <c r="AE31" s="6" t="s">
        <v>350</v>
      </c>
      <c r="AF31" s="6" t="str">
        <f>IFERROR(LOOKUP(2,1/((lentry!$A$3:$A$3999=jan!$A31)*(lentry!$B$3:$B$3999&lt;=jan!AF$3)*(lentry!$C$3:$C$3999&gt;=jan!AF$3)),lentry!$D$3:$D$3999),IF(WEEKDAY(jan!AF$3,1)=1,"WO","P"))</f>
        <v>P</v>
      </c>
      <c r="AG31" s="6" t="str">
        <f>IFERROR(LOOKUP(2,1/((lentry!$A$3:$A$3999=jan!$A31)*(lentry!$B$3:$B$3999&lt;=jan!AG$3)*(lentry!$C$3:$C$3999&gt;=jan!AG$3)),lentry!$D$3:$D$3999),IF(WEEKDAY(jan!AG$3,1)=1,"WO","P"))</f>
        <v>P</v>
      </c>
      <c r="AH31" s="6" t="str">
        <f>IFERROR(LOOKUP(2,1/((lentry!$A$3:$A$3999=jan!$A31)*(lentry!$B$3:$B$3999&lt;=jan!AH$3)*(lentry!$C$3:$C$3999&gt;=jan!AH$3)),lentry!$D$3:$D$3999),IF(WEEKDAY(jan!AH$3,1)=1,"WO","P"))</f>
        <v>P</v>
      </c>
      <c r="AI31" s="6" t="str">
        <f>IFERROR(LOOKUP(2,1/((lentry!$A$3:$A$3999=jan!$A31)*(lentry!$B$3:$B$3999&lt;=jan!AI$3)*(lentry!$C$3:$C$3999&gt;=jan!AI$3)),lentry!$D$3:$D$3999),IF(WEEKDAY(jan!AI$3,1)=1,"WO","P"))</f>
        <v>P</v>
      </c>
      <c r="AJ31" s="6" t="str">
        <f>IFERROR(LOOKUP(2,1/((lentry!$A$3:$A$3999=jan!$A31)*(lentry!$B$3:$B$3999&lt;=jan!AJ$3)*(lentry!$C$3:$C$3999&gt;=jan!AJ$3)),lentry!$D$3:$D$3999),IF(WEEKDAY(jan!AJ$3,1)=1,"WO","P"))</f>
        <v>P</v>
      </c>
      <c r="AK31" s="18">
        <f>COUNTIF(jan!$F31:$AJ31,"WO")</f>
        <v>4</v>
      </c>
      <c r="AL31" s="18">
        <f>COUNTIF(jan!$F31:$AJ31,"H")</f>
        <v>1</v>
      </c>
      <c r="AM31" s="18">
        <f>COUNTIF(jan!$F31:$AJ31,"PL")</f>
        <v>0</v>
      </c>
      <c r="AN31" s="18">
        <f>COUNTIF(jan!$F31:$AJ31,"LWP")</f>
        <v>0</v>
      </c>
      <c r="AO31" s="18">
        <f>COUNTIF(jan!$F31:$AJ31,"HD")</f>
        <v>0</v>
      </c>
      <c r="AP31" s="18">
        <f>COUNTIF(jan!$F31:$AJ31,"SL")</f>
        <v>0</v>
      </c>
      <c r="AQ31" s="18">
        <f>COUNTIF(jan!$F31:$AJ31,"CL")</f>
        <v>0</v>
      </c>
      <c r="AR31" s="18">
        <f>COUNTIF(jan!$F31:$AJ31,"A")</f>
        <v>0</v>
      </c>
      <c r="AS31" s="18">
        <f>COUNTIF(jan!$F31:$AJ31,"P")</f>
        <v>26</v>
      </c>
      <c r="AT31" s="18">
        <f t="shared" si="2"/>
        <v>31</v>
      </c>
      <c r="AU31" s="18">
        <f t="shared" si="3"/>
        <v>31</v>
      </c>
    </row>
    <row r="32" spans="1:47" ht="18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6" t="str">
        <f>IFERROR(LOOKUP(2,1/((lentry!$A$3:$A$3999=jan!$A32)*(lentry!$B$3:$B$3999&lt;=jan!F$3)*(lentry!$C$3:$C$3999&gt;=jan!F$3)),lentry!$D$3:$D$3999),IF(WEEKDAY(jan!F$3,1)=1,"WO","P"))</f>
        <v>P</v>
      </c>
      <c r="G32" s="6" t="str">
        <f>IFERROR(LOOKUP(2,1/((lentry!$A$3:$A$3999=jan!$A32)*(lentry!$B$3:$B$3999&lt;=jan!G$3)*(lentry!$C$3:$C$3999&gt;=jan!G$3)),lentry!$D$3:$D$3999),IF(WEEKDAY(jan!G$3,1)=1,"WO","P"))</f>
        <v>P</v>
      </c>
      <c r="H32" s="6" t="str">
        <f>IFERROR(LOOKUP(2,1/((lentry!$A$3:$A$3999=jan!$A32)*(lentry!$B$3:$B$3999&lt;=jan!H$3)*(lentry!$C$3:$C$3999&gt;=jan!H$3)),lentry!$D$3:$D$3999),IF(WEEKDAY(jan!H$3,1)=1,"WO","P"))</f>
        <v>P</v>
      </c>
      <c r="I32" s="6" t="str">
        <f>IFERROR(LOOKUP(2,1/((lentry!$A$3:$A$3999=jan!$A32)*(lentry!$B$3:$B$3999&lt;=jan!I$3)*(lentry!$C$3:$C$3999&gt;=jan!I$3)),lentry!$D$3:$D$3999),IF(WEEKDAY(jan!I$3,1)=1,"WO","P"))</f>
        <v>WO</v>
      </c>
      <c r="J32" s="6" t="str">
        <f>IFERROR(LOOKUP(2,1/((lentry!$A$3:$A$3999=jan!$A32)*(lentry!$B$3:$B$3999&lt;=jan!J$3)*(lentry!$C$3:$C$3999&gt;=jan!J$3)),lentry!$D$3:$D$3999),IF(WEEKDAY(jan!J$3,1)=1,"WO","P"))</f>
        <v>P</v>
      </c>
      <c r="K32" s="6" t="str">
        <f>IFERROR(LOOKUP(2,1/((lentry!$A$3:$A$3999=jan!$A32)*(lentry!$B$3:$B$3999&lt;=jan!K$3)*(lentry!$C$3:$C$3999&gt;=jan!K$3)),lentry!$D$3:$D$3999),IF(WEEKDAY(jan!K$3,1)=1,"WO","P"))</f>
        <v>P</v>
      </c>
      <c r="L32" s="6" t="str">
        <f>IFERROR(LOOKUP(2,1/((lentry!$A$3:$A$3999=jan!$A32)*(lentry!$B$3:$B$3999&lt;=jan!L$3)*(lentry!$C$3:$C$3999&gt;=jan!L$3)),lentry!$D$3:$D$3999),IF(WEEKDAY(jan!L$3,1)=1,"WO","P"))</f>
        <v>P</v>
      </c>
      <c r="M32" s="6" t="str">
        <f>IFERROR(LOOKUP(2,1/((lentry!$A$3:$A$3999=jan!$A32)*(lentry!$B$3:$B$3999&lt;=jan!M$3)*(lentry!$C$3:$C$3999&gt;=jan!M$3)),lentry!$D$3:$D$3999),IF(WEEKDAY(jan!M$3,1)=1,"WO","P"))</f>
        <v>P</v>
      </c>
      <c r="N32" s="6" t="str">
        <f>IFERROR(LOOKUP(2,1/((lentry!$A$3:$A$3999=jan!$A32)*(lentry!$B$3:$B$3999&lt;=jan!N$3)*(lentry!$C$3:$C$3999&gt;=jan!N$3)),lentry!$D$3:$D$3999),IF(WEEKDAY(jan!N$3,1)=1,"WO","P"))</f>
        <v>P</v>
      </c>
      <c r="O32" s="6" t="str">
        <f>IFERROR(LOOKUP(2,1/((lentry!$A$3:$A$3999=jan!$A32)*(lentry!$B$3:$B$3999&lt;=jan!O$3)*(lentry!$C$3:$C$3999&gt;=jan!O$3)),lentry!$D$3:$D$3999),IF(WEEKDAY(jan!O$3,1)=1,"WO","P"))</f>
        <v>P</v>
      </c>
      <c r="P32" s="6" t="s">
        <v>342</v>
      </c>
      <c r="Q32" s="6" t="str">
        <f>IFERROR(LOOKUP(2,1/((lentry!$A$3:$A$3999=jan!$A32)*(lentry!$B$3:$B$3999&lt;=jan!Q$3)*(lentry!$C$3:$C$3999&gt;=jan!Q$3)),lentry!$D$3:$D$3999),IF(WEEKDAY(jan!Q$3,1)=1,"WO","P"))</f>
        <v>P</v>
      </c>
      <c r="R32" s="6" t="str">
        <f>IFERROR(LOOKUP(2,1/((lentry!$A$3:$A$3999=jan!$A32)*(lentry!$B$3:$B$3999&lt;=jan!R$3)*(lentry!$C$3:$C$3999&gt;=jan!R$3)),lentry!$D$3:$D$3999),IF(WEEKDAY(jan!R$3,1)=1,"WO","P"))</f>
        <v>P</v>
      </c>
      <c r="S32" s="6" t="str">
        <f>IFERROR(LOOKUP(2,1/((lentry!$A$3:$A$3999=jan!$A32)*(lentry!$B$3:$B$3999&lt;=jan!S$3)*(lentry!$C$3:$C$3999&gt;=jan!S$3)),lentry!$D$3:$D$3999),IF(WEEKDAY(jan!S$3,1)=1,"WO","P"))</f>
        <v>P</v>
      </c>
      <c r="T32" s="6" t="str">
        <f>IFERROR(LOOKUP(2,1/((lentry!$A$3:$A$3999=jan!$A32)*(lentry!$B$3:$B$3999&lt;=jan!T$3)*(lentry!$C$3:$C$3999&gt;=jan!T$3)),lentry!$D$3:$D$3999),IF(WEEKDAY(jan!T$3,1)=1,"WO","P"))</f>
        <v>P</v>
      </c>
      <c r="U32" s="6" t="str">
        <f>IFERROR(LOOKUP(2,1/((lentry!$A$3:$A$3999=jan!$A32)*(lentry!$B$3:$B$3999&lt;=jan!U$3)*(lentry!$C$3:$C$3999&gt;=jan!U$3)),lentry!$D$3:$D$3999),IF(WEEKDAY(jan!U$3,1)=1,"WO","P"))</f>
        <v>P</v>
      </c>
      <c r="V32" s="6" t="str">
        <f>IFERROR(LOOKUP(2,1/((lentry!$A$3:$A$3999=jan!$A32)*(lentry!$B$3:$B$3999&lt;=jan!V$3)*(lentry!$C$3:$C$3999&gt;=jan!V$3)),lentry!$D$3:$D$3999),IF(WEEKDAY(jan!V$3,1)=1,"WO","P"))</f>
        <v>P</v>
      </c>
      <c r="W32" s="6" t="str">
        <f>IFERROR(LOOKUP(2,1/((lentry!$A$3:$A$3999=jan!$A32)*(lentry!$B$3:$B$3999&lt;=jan!W$3)*(lentry!$C$3:$C$3999&gt;=jan!W$3)),lentry!$D$3:$D$3999),IF(WEEKDAY(jan!W$3,1)=1,"WO","P"))</f>
        <v>WO</v>
      </c>
      <c r="X32" s="6" t="str">
        <f>IFERROR(LOOKUP(2,1/((lentry!$A$3:$A$3999=jan!$A32)*(lentry!$B$3:$B$3999&lt;=jan!X$3)*(lentry!$C$3:$C$3999&gt;=jan!X$3)),lentry!$D$3:$D$3999),IF(WEEKDAY(jan!X$3,1)=1,"WO","P"))</f>
        <v>P</v>
      </c>
      <c r="Y32" s="6" t="str">
        <f>IFERROR(LOOKUP(2,1/((lentry!$A$3:$A$3999=jan!$A32)*(lentry!$B$3:$B$3999&lt;=jan!Y$3)*(lentry!$C$3:$C$3999&gt;=jan!Y$3)),lentry!$D$3:$D$3999),IF(WEEKDAY(jan!Y$3,1)=1,"WO","P"))</f>
        <v>P</v>
      </c>
      <c r="Z32" s="6" t="str">
        <f>IFERROR(LOOKUP(2,1/((lentry!$A$3:$A$3999=jan!$A32)*(lentry!$B$3:$B$3999&lt;=jan!Z$3)*(lentry!$C$3:$C$3999&gt;=jan!Z$3)),lentry!$D$3:$D$3999),IF(WEEKDAY(jan!Z$3,1)=1,"WO","P"))</f>
        <v>P</v>
      </c>
      <c r="AA32" s="6" t="str">
        <f>IFERROR(LOOKUP(2,1/((lentry!$A$3:$A$3999=jan!$A32)*(lentry!$B$3:$B$3999&lt;=jan!AA$3)*(lentry!$C$3:$C$3999&gt;=jan!AA$3)),lentry!$D$3:$D$3999),IF(WEEKDAY(jan!AA$3,1)=1,"WO","P"))</f>
        <v>P</v>
      </c>
      <c r="AB32" s="6" t="str">
        <f>IFERROR(LOOKUP(2,1/((lentry!$A$3:$A$3999=jan!$A32)*(lentry!$B$3:$B$3999&lt;=jan!AB$3)*(lentry!$C$3:$C$3999&gt;=jan!AB$3)),lentry!$D$3:$D$3999),IF(WEEKDAY(jan!AB$3,1)=1,"WO","P"))</f>
        <v>P</v>
      </c>
      <c r="AC32" s="6" t="str">
        <f>IFERROR(LOOKUP(2,1/((lentry!$A$3:$A$3999=jan!$A32)*(lentry!$B$3:$B$3999&lt;=jan!AC$3)*(lentry!$C$3:$C$3999&gt;=jan!AC$3)),lentry!$D$3:$D$3999),IF(WEEKDAY(jan!AC$3,1)=1,"WO","P"))</f>
        <v>P</v>
      </c>
      <c r="AD32" s="6" t="str">
        <f>IFERROR(LOOKUP(2,1/((lentry!$A$3:$A$3999=jan!$A32)*(lentry!$B$3:$B$3999&lt;=jan!AD$3)*(lentry!$C$3:$C$3999&gt;=jan!AD$3)),lentry!$D$3:$D$3999),IF(WEEKDAY(jan!AD$3,1)=1,"WO","P"))</f>
        <v>WO</v>
      </c>
      <c r="AE32" s="6" t="s">
        <v>350</v>
      </c>
      <c r="AF32" s="6" t="str">
        <f>IFERROR(LOOKUP(2,1/((lentry!$A$3:$A$3999=jan!$A32)*(lentry!$B$3:$B$3999&lt;=jan!AF$3)*(lentry!$C$3:$C$3999&gt;=jan!AF$3)),lentry!$D$3:$D$3999),IF(WEEKDAY(jan!AF$3,1)=1,"WO","P"))</f>
        <v>P</v>
      </c>
      <c r="AG32" s="6" t="str">
        <f>IFERROR(LOOKUP(2,1/((lentry!$A$3:$A$3999=jan!$A32)*(lentry!$B$3:$B$3999&lt;=jan!AG$3)*(lentry!$C$3:$C$3999&gt;=jan!AG$3)),lentry!$D$3:$D$3999),IF(WEEKDAY(jan!AG$3,1)=1,"WO","P"))</f>
        <v>P</v>
      </c>
      <c r="AH32" s="6" t="str">
        <f>IFERROR(LOOKUP(2,1/((lentry!$A$3:$A$3999=jan!$A32)*(lentry!$B$3:$B$3999&lt;=jan!AH$3)*(lentry!$C$3:$C$3999&gt;=jan!AH$3)),lentry!$D$3:$D$3999),IF(WEEKDAY(jan!AH$3,1)=1,"WO","P"))</f>
        <v>P</v>
      </c>
      <c r="AI32" s="6" t="str">
        <f>IFERROR(LOOKUP(2,1/((lentry!$A$3:$A$3999=jan!$A32)*(lentry!$B$3:$B$3999&lt;=jan!AI$3)*(lentry!$C$3:$C$3999&gt;=jan!AI$3)),lentry!$D$3:$D$3999),IF(WEEKDAY(jan!AI$3,1)=1,"WO","P"))</f>
        <v>P</v>
      </c>
      <c r="AJ32" s="6" t="str">
        <f>IFERROR(LOOKUP(2,1/((lentry!$A$3:$A$3999=jan!$A32)*(lentry!$B$3:$B$3999&lt;=jan!AJ$3)*(lentry!$C$3:$C$3999&gt;=jan!AJ$3)),lentry!$D$3:$D$3999),IF(WEEKDAY(jan!AJ$3,1)=1,"WO","P"))</f>
        <v>P</v>
      </c>
      <c r="AK32" s="18">
        <f>COUNTIF(jan!$F32:$AJ32,"WO")</f>
        <v>4</v>
      </c>
      <c r="AL32" s="18">
        <f>COUNTIF(jan!$F32:$AJ32,"H")</f>
        <v>1</v>
      </c>
      <c r="AM32" s="18">
        <f>COUNTIF(jan!$F32:$AJ32,"PL")</f>
        <v>0</v>
      </c>
      <c r="AN32" s="18">
        <f>COUNTIF(jan!$F32:$AJ32,"LWP")</f>
        <v>0</v>
      </c>
      <c r="AO32" s="18">
        <f>COUNTIF(jan!$F32:$AJ32,"HD")</f>
        <v>0</v>
      </c>
      <c r="AP32" s="18">
        <f>COUNTIF(jan!$F32:$AJ32,"SL")</f>
        <v>0</v>
      </c>
      <c r="AQ32" s="18">
        <f>COUNTIF(jan!$F32:$AJ32,"CL")</f>
        <v>0</v>
      </c>
      <c r="AR32" s="18">
        <f>COUNTIF(jan!$F32:$AJ32,"A")</f>
        <v>0</v>
      </c>
      <c r="AS32" s="18">
        <f>COUNTIF(jan!$F32:$AJ32,"P")</f>
        <v>26</v>
      </c>
      <c r="AT32" s="18">
        <f t="shared" si="2"/>
        <v>31</v>
      </c>
      <c r="AU32" s="18">
        <f t="shared" si="3"/>
        <v>31</v>
      </c>
    </row>
    <row r="33" spans="1:47" ht="18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6" t="str">
        <f>IFERROR(LOOKUP(2,1/((lentry!$A$3:$A$3999=jan!$A33)*(lentry!$B$3:$B$3999&lt;=jan!F$3)*(lentry!$C$3:$C$3999&gt;=jan!F$3)),lentry!$D$3:$D$3999),IF(WEEKDAY(jan!F$3,1)=1,"WO","P"))</f>
        <v>P</v>
      </c>
      <c r="G33" s="6" t="str">
        <f>IFERROR(LOOKUP(2,1/((lentry!$A$3:$A$3999=jan!$A33)*(lentry!$B$3:$B$3999&lt;=jan!G$3)*(lentry!$C$3:$C$3999&gt;=jan!G$3)),lentry!$D$3:$D$3999),IF(WEEKDAY(jan!G$3,1)=1,"WO","P"))</f>
        <v>P</v>
      </c>
      <c r="H33" s="6" t="str">
        <f>IFERROR(LOOKUP(2,1/((lentry!$A$3:$A$3999=jan!$A33)*(lentry!$B$3:$B$3999&lt;=jan!H$3)*(lentry!$C$3:$C$3999&gt;=jan!H$3)),lentry!$D$3:$D$3999),IF(WEEKDAY(jan!H$3,1)=1,"WO","P"))</f>
        <v>P</v>
      </c>
      <c r="I33" s="6" t="str">
        <f>IFERROR(LOOKUP(2,1/((lentry!$A$3:$A$3999=jan!$A33)*(lentry!$B$3:$B$3999&lt;=jan!I$3)*(lentry!$C$3:$C$3999&gt;=jan!I$3)),lentry!$D$3:$D$3999),IF(WEEKDAY(jan!I$3,1)=1,"WO","P"))</f>
        <v>WO</v>
      </c>
      <c r="J33" s="6" t="str">
        <f>IFERROR(LOOKUP(2,1/((lentry!$A$3:$A$3999=jan!$A33)*(lentry!$B$3:$B$3999&lt;=jan!J$3)*(lentry!$C$3:$C$3999&gt;=jan!J$3)),lentry!$D$3:$D$3999),IF(WEEKDAY(jan!J$3,1)=1,"WO","P"))</f>
        <v>P</v>
      </c>
      <c r="K33" s="6" t="str">
        <f>IFERROR(LOOKUP(2,1/((lentry!$A$3:$A$3999=jan!$A33)*(lentry!$B$3:$B$3999&lt;=jan!K$3)*(lentry!$C$3:$C$3999&gt;=jan!K$3)),lentry!$D$3:$D$3999),IF(WEEKDAY(jan!K$3,1)=1,"WO","P"))</f>
        <v>P</v>
      </c>
      <c r="L33" s="6" t="s">
        <v>539</v>
      </c>
      <c r="M33" s="6" t="str">
        <f>IFERROR(LOOKUP(2,1/((lentry!$A$3:$A$3999=jan!$A33)*(lentry!$B$3:$B$3999&lt;=jan!M$3)*(lentry!$C$3:$C$3999&gt;=jan!M$3)),lentry!$D$3:$D$3999),IF(WEEKDAY(jan!M$3,1)=1,"WO","P"))</f>
        <v>P</v>
      </c>
      <c r="N33" s="6" t="str">
        <f>IFERROR(LOOKUP(2,1/((lentry!$A$3:$A$3999=jan!$A33)*(lentry!$B$3:$B$3999&lt;=jan!N$3)*(lentry!$C$3:$C$3999&gt;=jan!N$3)),lentry!$D$3:$D$3999),IF(WEEKDAY(jan!N$3,1)=1,"WO","P"))</f>
        <v>P</v>
      </c>
      <c r="O33" s="6" t="str">
        <f>IFERROR(LOOKUP(2,1/((lentry!$A$3:$A$3999=jan!$A33)*(lentry!$B$3:$B$3999&lt;=jan!O$3)*(lentry!$C$3:$C$3999&gt;=jan!O$3)),lentry!$D$3:$D$3999),IF(WEEKDAY(jan!O$3,1)=1,"WO","P"))</f>
        <v>P</v>
      </c>
      <c r="P33" s="6" t="s">
        <v>342</v>
      </c>
      <c r="Q33" s="6" t="str">
        <f>IFERROR(LOOKUP(2,1/((lentry!$A$3:$A$3999=jan!$A33)*(lentry!$B$3:$B$3999&lt;=jan!Q$3)*(lentry!$C$3:$C$3999&gt;=jan!Q$3)),lentry!$D$3:$D$3999),IF(WEEKDAY(jan!Q$3,1)=1,"WO","P"))</f>
        <v>P</v>
      </c>
      <c r="R33" s="6" t="str">
        <f>IFERROR(LOOKUP(2,1/((lentry!$A$3:$A$3999=jan!$A33)*(lentry!$B$3:$B$3999&lt;=jan!R$3)*(lentry!$C$3:$C$3999&gt;=jan!R$3)),lentry!$D$3:$D$3999),IF(WEEKDAY(jan!R$3,1)=1,"WO","P"))</f>
        <v>P</v>
      </c>
      <c r="S33" s="6" t="str">
        <f>IFERROR(LOOKUP(2,1/((lentry!$A$3:$A$3999=jan!$A33)*(lentry!$B$3:$B$3999&lt;=jan!S$3)*(lentry!$C$3:$C$3999&gt;=jan!S$3)),lentry!$D$3:$D$3999),IF(WEEKDAY(jan!S$3,1)=1,"WO","P"))</f>
        <v>P</v>
      </c>
      <c r="T33" s="6" t="str">
        <f>IFERROR(LOOKUP(2,1/((lentry!$A$3:$A$3999=jan!$A33)*(lentry!$B$3:$B$3999&lt;=jan!T$3)*(lentry!$C$3:$C$3999&gt;=jan!T$3)),lentry!$D$3:$D$3999),IF(WEEKDAY(jan!T$3,1)=1,"WO","P"))</f>
        <v>P</v>
      </c>
      <c r="U33" s="6" t="str">
        <f>IFERROR(LOOKUP(2,1/((lentry!$A$3:$A$3999=jan!$A33)*(lentry!$B$3:$B$3999&lt;=jan!U$3)*(lentry!$C$3:$C$3999&gt;=jan!U$3)),lentry!$D$3:$D$3999),IF(WEEKDAY(jan!U$3,1)=1,"WO","P"))</f>
        <v>P</v>
      </c>
      <c r="V33" s="6" t="str">
        <f>IFERROR(LOOKUP(2,1/((lentry!$A$3:$A$3999=jan!$A33)*(lentry!$B$3:$B$3999&lt;=jan!V$3)*(lentry!$C$3:$C$3999&gt;=jan!V$3)),lentry!$D$3:$D$3999),IF(WEEKDAY(jan!V$3,1)=1,"WO","P"))</f>
        <v>P</v>
      </c>
      <c r="W33" s="6" t="str">
        <f>IFERROR(LOOKUP(2,1/((lentry!$A$3:$A$3999=jan!$A33)*(lentry!$B$3:$B$3999&lt;=jan!W$3)*(lentry!$C$3:$C$3999&gt;=jan!W$3)),lentry!$D$3:$D$3999),IF(WEEKDAY(jan!W$3,1)=1,"WO","P"))</f>
        <v>WO</v>
      </c>
      <c r="X33" s="6" t="str">
        <f>IFERROR(LOOKUP(2,1/((lentry!$A$3:$A$3999=jan!$A33)*(lentry!$B$3:$B$3999&lt;=jan!X$3)*(lentry!$C$3:$C$3999&gt;=jan!X$3)),lentry!$D$3:$D$3999),IF(WEEKDAY(jan!X$3,1)=1,"WO","P"))</f>
        <v>P</v>
      </c>
      <c r="Y33" s="6" t="str">
        <f>IFERROR(LOOKUP(2,1/((lentry!$A$3:$A$3999=jan!$A33)*(lentry!$B$3:$B$3999&lt;=jan!Y$3)*(lentry!$C$3:$C$3999&gt;=jan!Y$3)),lentry!$D$3:$D$3999),IF(WEEKDAY(jan!Y$3,1)=1,"WO","P"))</f>
        <v>P</v>
      </c>
      <c r="Z33" s="6" t="str">
        <f>IFERROR(LOOKUP(2,1/((lentry!$A$3:$A$3999=jan!$A33)*(lentry!$B$3:$B$3999&lt;=jan!Z$3)*(lentry!$C$3:$C$3999&gt;=jan!Z$3)),lentry!$D$3:$D$3999),IF(WEEKDAY(jan!Z$3,1)=1,"WO","P"))</f>
        <v>P</v>
      </c>
      <c r="AA33" s="6" t="str">
        <f>IFERROR(LOOKUP(2,1/((lentry!$A$3:$A$3999=jan!$A33)*(lentry!$B$3:$B$3999&lt;=jan!AA$3)*(lentry!$C$3:$C$3999&gt;=jan!AA$3)),lentry!$D$3:$D$3999),IF(WEEKDAY(jan!AA$3,1)=1,"WO","P"))</f>
        <v>P</v>
      </c>
      <c r="AB33" s="6" t="str">
        <f>IFERROR(LOOKUP(2,1/((lentry!$A$3:$A$3999=jan!$A33)*(lentry!$B$3:$B$3999&lt;=jan!AB$3)*(lentry!$C$3:$C$3999&gt;=jan!AB$3)),lentry!$D$3:$D$3999),IF(WEEKDAY(jan!AB$3,1)=1,"WO","P"))</f>
        <v>P</v>
      </c>
      <c r="AC33" s="6" t="str">
        <f>IFERROR(LOOKUP(2,1/((lentry!$A$3:$A$3999=jan!$A33)*(lentry!$B$3:$B$3999&lt;=jan!AC$3)*(lentry!$C$3:$C$3999&gt;=jan!AC$3)),lentry!$D$3:$D$3999),IF(WEEKDAY(jan!AC$3,1)=1,"WO","P"))</f>
        <v>P</v>
      </c>
      <c r="AD33" s="6" t="str">
        <f>IFERROR(LOOKUP(2,1/((lentry!$A$3:$A$3999=jan!$A33)*(lentry!$B$3:$B$3999&lt;=jan!AD$3)*(lentry!$C$3:$C$3999&gt;=jan!AD$3)),lentry!$D$3:$D$3999),IF(WEEKDAY(jan!AD$3,1)=1,"WO","P"))</f>
        <v>WO</v>
      </c>
      <c r="AE33" s="6" t="s">
        <v>350</v>
      </c>
      <c r="AF33" s="6" t="str">
        <f>IFERROR(LOOKUP(2,1/((lentry!$A$3:$A$3999=jan!$A33)*(lentry!$B$3:$B$3999&lt;=jan!AF$3)*(lentry!$C$3:$C$3999&gt;=jan!AF$3)),lentry!$D$3:$D$3999),IF(WEEKDAY(jan!AF$3,1)=1,"WO","P"))</f>
        <v>P</v>
      </c>
      <c r="AG33" s="6" t="s">
        <v>539</v>
      </c>
      <c r="AH33" s="6" t="str">
        <f>IFERROR(LOOKUP(2,1/((lentry!$A$3:$A$3999=jan!$A33)*(lentry!$B$3:$B$3999&lt;=jan!AH$3)*(lentry!$C$3:$C$3999&gt;=jan!AH$3)),lentry!$D$3:$D$3999),IF(WEEKDAY(jan!AH$3,1)=1,"WO","P"))</f>
        <v>P</v>
      </c>
      <c r="AI33" s="6" t="str">
        <f>IFERROR(LOOKUP(2,1/((lentry!$A$3:$A$3999=jan!$A33)*(lentry!$B$3:$B$3999&lt;=jan!AI$3)*(lentry!$C$3:$C$3999&gt;=jan!AI$3)),lentry!$D$3:$D$3999),IF(WEEKDAY(jan!AI$3,1)=1,"WO","P"))</f>
        <v>P</v>
      </c>
      <c r="AJ33" s="6" t="str">
        <f>IFERROR(LOOKUP(2,1/((lentry!$A$3:$A$3999=jan!$A33)*(lentry!$B$3:$B$3999&lt;=jan!AJ$3)*(lentry!$C$3:$C$3999&gt;=jan!AJ$3)),lentry!$D$3:$D$3999),IF(WEEKDAY(jan!AJ$3,1)=1,"WO","P"))</f>
        <v>P</v>
      </c>
      <c r="AK33" s="18">
        <f>COUNTIF(jan!$F33:$AJ33,"WO")</f>
        <v>4</v>
      </c>
      <c r="AL33" s="18">
        <f>COUNTIF(jan!$F33:$AJ33,"H")</f>
        <v>1</v>
      </c>
      <c r="AM33" s="18">
        <f>COUNTIF(jan!$F33:$AJ33,"PL")</f>
        <v>0</v>
      </c>
      <c r="AN33" s="18">
        <f>COUNTIF(jan!$F33:$AJ33,"LWP")</f>
        <v>0</v>
      </c>
      <c r="AO33" s="18">
        <f>COUNTIF(jan!$F33:$AJ33,"HD")</f>
        <v>0</v>
      </c>
      <c r="AP33" s="18">
        <f>COUNTIF(jan!$F33:$AJ33,"SL")</f>
        <v>0</v>
      </c>
      <c r="AQ33" s="18">
        <f>COUNTIF(jan!$F33:$AJ33,"CL")</f>
        <v>0</v>
      </c>
      <c r="AR33" s="18">
        <f>COUNTIF(jan!$F33:$AJ33,"A")</f>
        <v>2</v>
      </c>
      <c r="AS33" s="18">
        <f>COUNTIF(jan!$F33:$AJ33,"P")</f>
        <v>24</v>
      </c>
      <c r="AT33" s="18">
        <f t="shared" si="2"/>
        <v>31</v>
      </c>
      <c r="AU33" s="18">
        <f t="shared" si="3"/>
        <v>29</v>
      </c>
    </row>
    <row r="34" spans="1:47" ht="18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6" t="str">
        <f>IFERROR(LOOKUP(2,1/((lentry!$A$3:$A$3999=jan!$A34)*(lentry!$B$3:$B$3999&lt;=jan!F$3)*(lentry!$C$3:$C$3999&gt;=jan!F$3)),lentry!$D$3:$D$3999),IF(WEEKDAY(jan!F$3,1)=1,"WO","P"))</f>
        <v>P</v>
      </c>
      <c r="G34" s="6" t="str">
        <f>IFERROR(LOOKUP(2,1/((lentry!$A$3:$A$3999=jan!$A34)*(lentry!$B$3:$B$3999&lt;=jan!G$3)*(lentry!$C$3:$C$3999&gt;=jan!G$3)),lentry!$D$3:$D$3999),IF(WEEKDAY(jan!G$3,1)=1,"WO","P"))</f>
        <v>P</v>
      </c>
      <c r="H34" s="6" t="str">
        <f>IFERROR(LOOKUP(2,1/((lentry!$A$3:$A$3999=jan!$A34)*(lentry!$B$3:$B$3999&lt;=jan!H$3)*(lentry!$C$3:$C$3999&gt;=jan!H$3)),lentry!$D$3:$D$3999),IF(WEEKDAY(jan!H$3,1)=1,"WO","P"))</f>
        <v>P</v>
      </c>
      <c r="I34" s="6" t="str">
        <f>IFERROR(LOOKUP(2,1/((lentry!$A$3:$A$3999=jan!$A34)*(lentry!$B$3:$B$3999&lt;=jan!I$3)*(lentry!$C$3:$C$3999&gt;=jan!I$3)),lentry!$D$3:$D$3999),IF(WEEKDAY(jan!I$3,1)=1,"WO","P"))</f>
        <v>WO</v>
      </c>
      <c r="J34" s="6" t="str">
        <f>IFERROR(LOOKUP(2,1/((lentry!$A$3:$A$3999=jan!$A34)*(lentry!$B$3:$B$3999&lt;=jan!J$3)*(lentry!$C$3:$C$3999&gt;=jan!J$3)),lentry!$D$3:$D$3999),IF(WEEKDAY(jan!J$3,1)=1,"WO","P"))</f>
        <v>P</v>
      </c>
      <c r="K34" s="6" t="str">
        <f>IFERROR(LOOKUP(2,1/((lentry!$A$3:$A$3999=jan!$A34)*(lentry!$B$3:$B$3999&lt;=jan!K$3)*(lentry!$C$3:$C$3999&gt;=jan!K$3)),lentry!$D$3:$D$3999),IF(WEEKDAY(jan!K$3,1)=1,"WO","P"))</f>
        <v>P</v>
      </c>
      <c r="L34" s="6" t="str">
        <f>IFERROR(LOOKUP(2,1/((lentry!$A$3:$A$3999=jan!$A34)*(lentry!$B$3:$B$3999&lt;=jan!L$3)*(lentry!$C$3:$C$3999&gt;=jan!L$3)),lentry!$D$3:$D$3999),IF(WEEKDAY(jan!L$3,1)=1,"WO","P"))</f>
        <v>P</v>
      </c>
      <c r="M34" s="6" t="str">
        <f>IFERROR(LOOKUP(2,1/((lentry!$A$3:$A$3999=jan!$A34)*(lentry!$B$3:$B$3999&lt;=jan!M$3)*(lentry!$C$3:$C$3999&gt;=jan!M$3)),lentry!$D$3:$D$3999),IF(WEEKDAY(jan!M$3,1)=1,"WO","P"))</f>
        <v>P</v>
      </c>
      <c r="N34" s="6" t="str">
        <f>IFERROR(LOOKUP(2,1/((lentry!$A$3:$A$3999=jan!$A34)*(lentry!$B$3:$B$3999&lt;=jan!N$3)*(lentry!$C$3:$C$3999&gt;=jan!N$3)),lentry!$D$3:$D$3999),IF(WEEKDAY(jan!N$3,1)=1,"WO","P"))</f>
        <v>P</v>
      </c>
      <c r="O34" s="6" t="str">
        <f>IFERROR(LOOKUP(2,1/((lentry!$A$3:$A$3999=jan!$A34)*(lentry!$B$3:$B$3999&lt;=jan!O$3)*(lentry!$C$3:$C$3999&gt;=jan!O$3)),lentry!$D$3:$D$3999),IF(WEEKDAY(jan!O$3,1)=1,"WO","P"))</f>
        <v>P</v>
      </c>
      <c r="P34" s="6" t="s">
        <v>342</v>
      </c>
      <c r="Q34" s="6" t="str">
        <f>IFERROR(LOOKUP(2,1/((lentry!$A$3:$A$3999=jan!$A34)*(lentry!$B$3:$B$3999&lt;=jan!Q$3)*(lentry!$C$3:$C$3999&gt;=jan!Q$3)),lentry!$D$3:$D$3999),IF(WEEKDAY(jan!Q$3,1)=1,"WO","P"))</f>
        <v>P</v>
      </c>
      <c r="R34" s="6" t="str">
        <f>IFERROR(LOOKUP(2,1/((lentry!$A$3:$A$3999=jan!$A34)*(lentry!$B$3:$B$3999&lt;=jan!R$3)*(lentry!$C$3:$C$3999&gt;=jan!R$3)),lentry!$D$3:$D$3999),IF(WEEKDAY(jan!R$3,1)=1,"WO","P"))</f>
        <v>P</v>
      </c>
      <c r="S34" s="6" t="str">
        <f>IFERROR(LOOKUP(2,1/((lentry!$A$3:$A$3999=jan!$A34)*(lentry!$B$3:$B$3999&lt;=jan!S$3)*(lentry!$C$3:$C$3999&gt;=jan!S$3)),lentry!$D$3:$D$3999),IF(WEEKDAY(jan!S$3,1)=1,"WO","P"))</f>
        <v>P</v>
      </c>
      <c r="T34" s="6" t="str">
        <f>IFERROR(LOOKUP(2,1/((lentry!$A$3:$A$3999=jan!$A34)*(lentry!$B$3:$B$3999&lt;=jan!T$3)*(lentry!$C$3:$C$3999&gt;=jan!T$3)),lentry!$D$3:$D$3999),IF(WEEKDAY(jan!T$3,1)=1,"WO","P"))</f>
        <v>P</v>
      </c>
      <c r="U34" s="6" t="str">
        <f>IFERROR(LOOKUP(2,1/((lentry!$A$3:$A$3999=jan!$A34)*(lentry!$B$3:$B$3999&lt;=jan!U$3)*(lentry!$C$3:$C$3999&gt;=jan!U$3)),lentry!$D$3:$D$3999),IF(WEEKDAY(jan!U$3,1)=1,"WO","P"))</f>
        <v>P</v>
      </c>
      <c r="V34" s="6" t="str">
        <f>IFERROR(LOOKUP(2,1/((lentry!$A$3:$A$3999=jan!$A34)*(lentry!$B$3:$B$3999&lt;=jan!V$3)*(lentry!$C$3:$C$3999&gt;=jan!V$3)),lentry!$D$3:$D$3999),IF(WEEKDAY(jan!V$3,1)=1,"WO","P"))</f>
        <v>P</v>
      </c>
      <c r="W34" s="6" t="str">
        <f>IFERROR(LOOKUP(2,1/((lentry!$A$3:$A$3999=jan!$A34)*(lentry!$B$3:$B$3999&lt;=jan!W$3)*(lentry!$C$3:$C$3999&gt;=jan!W$3)),lentry!$D$3:$D$3999),IF(WEEKDAY(jan!W$3,1)=1,"WO","P"))</f>
        <v>WO</v>
      </c>
      <c r="X34" s="6" t="str">
        <f>IFERROR(LOOKUP(2,1/((lentry!$A$3:$A$3999=jan!$A34)*(lentry!$B$3:$B$3999&lt;=jan!X$3)*(lentry!$C$3:$C$3999&gt;=jan!X$3)),lentry!$D$3:$D$3999),IF(WEEKDAY(jan!X$3,1)=1,"WO","P"))</f>
        <v>P</v>
      </c>
      <c r="Y34" s="6" t="str">
        <f>IFERROR(LOOKUP(2,1/((lentry!$A$3:$A$3999=jan!$A34)*(lentry!$B$3:$B$3999&lt;=jan!Y$3)*(lentry!$C$3:$C$3999&gt;=jan!Y$3)),lentry!$D$3:$D$3999),IF(WEEKDAY(jan!Y$3,1)=1,"WO","P"))</f>
        <v>P</v>
      </c>
      <c r="Z34" s="6" t="str">
        <f>IFERROR(LOOKUP(2,1/((lentry!$A$3:$A$3999=jan!$A34)*(lentry!$B$3:$B$3999&lt;=jan!Z$3)*(lentry!$C$3:$C$3999&gt;=jan!Z$3)),lentry!$D$3:$D$3999),IF(WEEKDAY(jan!Z$3,1)=1,"WO","P"))</f>
        <v>P</v>
      </c>
      <c r="AA34" s="6" t="str">
        <f>IFERROR(LOOKUP(2,1/((lentry!$A$3:$A$3999=jan!$A34)*(lentry!$B$3:$B$3999&lt;=jan!AA$3)*(lentry!$C$3:$C$3999&gt;=jan!AA$3)),lentry!$D$3:$D$3999),IF(WEEKDAY(jan!AA$3,1)=1,"WO","P"))</f>
        <v>P</v>
      </c>
      <c r="AB34" s="6" t="str">
        <f>IFERROR(LOOKUP(2,1/((lentry!$A$3:$A$3999=jan!$A34)*(lentry!$B$3:$B$3999&lt;=jan!AB$3)*(lentry!$C$3:$C$3999&gt;=jan!AB$3)),lentry!$D$3:$D$3999),IF(WEEKDAY(jan!AB$3,1)=1,"WO","P"))</f>
        <v>P</v>
      </c>
      <c r="AC34" s="6" t="str">
        <f>IFERROR(LOOKUP(2,1/((lentry!$A$3:$A$3999=jan!$A34)*(lentry!$B$3:$B$3999&lt;=jan!AC$3)*(lentry!$C$3:$C$3999&gt;=jan!AC$3)),lentry!$D$3:$D$3999),IF(WEEKDAY(jan!AC$3,1)=1,"WO","P"))</f>
        <v>P</v>
      </c>
      <c r="AD34" s="6" t="str">
        <f>IFERROR(LOOKUP(2,1/((lentry!$A$3:$A$3999=jan!$A34)*(lentry!$B$3:$B$3999&lt;=jan!AD$3)*(lentry!$C$3:$C$3999&gt;=jan!AD$3)),lentry!$D$3:$D$3999),IF(WEEKDAY(jan!AD$3,1)=1,"WO","P"))</f>
        <v>WO</v>
      </c>
      <c r="AE34" s="6" t="s">
        <v>350</v>
      </c>
      <c r="AF34" s="6" t="str">
        <f>IFERROR(LOOKUP(2,1/((lentry!$A$3:$A$3999=jan!$A34)*(lentry!$B$3:$B$3999&lt;=jan!AF$3)*(lentry!$C$3:$C$3999&gt;=jan!AF$3)),lentry!$D$3:$D$3999),IF(WEEKDAY(jan!AF$3,1)=1,"WO","P"))</f>
        <v>P</v>
      </c>
      <c r="AG34" s="6" t="str">
        <f>IFERROR(LOOKUP(2,1/((lentry!$A$3:$A$3999=jan!$A34)*(lentry!$B$3:$B$3999&lt;=jan!AG$3)*(lentry!$C$3:$C$3999&gt;=jan!AG$3)),lentry!$D$3:$D$3999),IF(WEEKDAY(jan!AG$3,1)=1,"WO","P"))</f>
        <v>P</v>
      </c>
      <c r="AH34" s="6" t="str">
        <f>IFERROR(LOOKUP(2,1/((lentry!$A$3:$A$3999=jan!$A34)*(lentry!$B$3:$B$3999&lt;=jan!AH$3)*(lentry!$C$3:$C$3999&gt;=jan!AH$3)),lentry!$D$3:$D$3999),IF(WEEKDAY(jan!AH$3,1)=1,"WO","P"))</f>
        <v>P</v>
      </c>
      <c r="AI34" s="6" t="str">
        <f>IFERROR(LOOKUP(2,1/((lentry!$A$3:$A$3999=jan!$A34)*(lentry!$B$3:$B$3999&lt;=jan!AI$3)*(lentry!$C$3:$C$3999&gt;=jan!AI$3)),lentry!$D$3:$D$3999),IF(WEEKDAY(jan!AI$3,1)=1,"WO","P"))</f>
        <v>P</v>
      </c>
      <c r="AJ34" s="6" t="str">
        <f>IFERROR(LOOKUP(2,1/((lentry!$A$3:$A$3999=jan!$A34)*(lentry!$B$3:$B$3999&lt;=jan!AJ$3)*(lentry!$C$3:$C$3999&gt;=jan!AJ$3)),lentry!$D$3:$D$3999),IF(WEEKDAY(jan!AJ$3,1)=1,"WO","P"))</f>
        <v>P</v>
      </c>
      <c r="AK34" s="18">
        <f>COUNTIF(jan!$F34:$AJ34,"WO")</f>
        <v>4</v>
      </c>
      <c r="AL34" s="18">
        <f>COUNTIF(jan!$F34:$AJ34,"H")</f>
        <v>1</v>
      </c>
      <c r="AM34" s="18">
        <f>COUNTIF(jan!$F34:$AJ34,"PL")</f>
        <v>0</v>
      </c>
      <c r="AN34" s="18">
        <f>COUNTIF(jan!$F34:$AJ34,"LWP")</f>
        <v>0</v>
      </c>
      <c r="AO34" s="18">
        <f>COUNTIF(jan!$F34:$AJ34,"HD")</f>
        <v>0</v>
      </c>
      <c r="AP34" s="18">
        <f>COUNTIF(jan!$F34:$AJ34,"SL")</f>
        <v>0</v>
      </c>
      <c r="AQ34" s="18">
        <f>COUNTIF(jan!$F34:$AJ34,"CL")</f>
        <v>0</v>
      </c>
      <c r="AR34" s="18">
        <f>COUNTIF(jan!$F34:$AJ34,"A")</f>
        <v>0</v>
      </c>
      <c r="AS34" s="18">
        <f>COUNTIF(jan!$F34:$AJ34,"P")</f>
        <v>26</v>
      </c>
      <c r="AT34" s="18">
        <f t="shared" si="2"/>
        <v>31</v>
      </c>
      <c r="AU34" s="18">
        <f t="shared" si="3"/>
        <v>31</v>
      </c>
    </row>
    <row r="35" spans="1:47" ht="18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6" t="str">
        <f>IFERROR(LOOKUP(2,1/((lentry!$A$3:$A$3999=jan!$A35)*(lentry!$B$3:$B$3999&lt;=jan!F$3)*(lentry!$C$3:$C$3999&gt;=jan!F$3)),lentry!$D$3:$D$3999),IF(WEEKDAY(jan!F$3,1)=1,"WO","P"))</f>
        <v>P</v>
      </c>
      <c r="G35" s="6" t="str">
        <f>IFERROR(LOOKUP(2,1/((lentry!$A$3:$A$3999=jan!$A35)*(lentry!$B$3:$B$3999&lt;=jan!G$3)*(lentry!$C$3:$C$3999&gt;=jan!G$3)),lentry!$D$3:$D$3999),IF(WEEKDAY(jan!G$3,1)=1,"WO","P"))</f>
        <v>P</v>
      </c>
      <c r="H35" s="6" t="str">
        <f>IFERROR(LOOKUP(2,1/((lentry!$A$3:$A$3999=jan!$A35)*(lentry!$B$3:$B$3999&lt;=jan!H$3)*(lentry!$C$3:$C$3999&gt;=jan!H$3)),lentry!$D$3:$D$3999),IF(WEEKDAY(jan!H$3,1)=1,"WO","P"))</f>
        <v>P</v>
      </c>
      <c r="I35" s="6" t="str">
        <f>IFERROR(LOOKUP(2,1/((lentry!$A$3:$A$3999=jan!$A35)*(lentry!$B$3:$B$3999&lt;=jan!I$3)*(lentry!$C$3:$C$3999&gt;=jan!I$3)),lentry!$D$3:$D$3999),IF(WEEKDAY(jan!I$3,1)=1,"WO","P"))</f>
        <v>WO</v>
      </c>
      <c r="J35" s="6" t="str">
        <f>IFERROR(LOOKUP(2,1/((lentry!$A$3:$A$3999=jan!$A35)*(lentry!$B$3:$B$3999&lt;=jan!J$3)*(lentry!$C$3:$C$3999&gt;=jan!J$3)),lentry!$D$3:$D$3999),IF(WEEKDAY(jan!J$3,1)=1,"WO","P"))</f>
        <v>P</v>
      </c>
      <c r="K35" s="6" t="str">
        <f>IFERROR(LOOKUP(2,1/((lentry!$A$3:$A$3999=jan!$A35)*(lentry!$B$3:$B$3999&lt;=jan!K$3)*(lentry!$C$3:$C$3999&gt;=jan!K$3)),lentry!$D$3:$D$3999),IF(WEEKDAY(jan!K$3,1)=1,"WO","P"))</f>
        <v>P</v>
      </c>
      <c r="L35" s="6" t="str">
        <f>IFERROR(LOOKUP(2,1/((lentry!$A$3:$A$3999=jan!$A35)*(lentry!$B$3:$B$3999&lt;=jan!L$3)*(lentry!$C$3:$C$3999&gt;=jan!L$3)),lentry!$D$3:$D$3999),IF(WEEKDAY(jan!L$3,1)=1,"WO","P"))</f>
        <v>P</v>
      </c>
      <c r="M35" s="6" t="str">
        <f>IFERROR(LOOKUP(2,1/((lentry!$A$3:$A$3999=jan!$A35)*(lentry!$B$3:$B$3999&lt;=jan!M$3)*(lentry!$C$3:$C$3999&gt;=jan!M$3)),lentry!$D$3:$D$3999),IF(WEEKDAY(jan!M$3,1)=1,"WO","P"))</f>
        <v>P</v>
      </c>
      <c r="N35" s="6" t="str">
        <f>IFERROR(LOOKUP(2,1/((lentry!$A$3:$A$3999=jan!$A35)*(lentry!$B$3:$B$3999&lt;=jan!N$3)*(lentry!$C$3:$C$3999&gt;=jan!N$3)),lentry!$D$3:$D$3999),IF(WEEKDAY(jan!N$3,1)=1,"WO","P"))</f>
        <v>P</v>
      </c>
      <c r="O35" s="6" t="str">
        <f>IFERROR(LOOKUP(2,1/((lentry!$A$3:$A$3999=jan!$A35)*(lentry!$B$3:$B$3999&lt;=jan!O$3)*(lentry!$C$3:$C$3999&gt;=jan!O$3)),lentry!$D$3:$D$3999),IF(WEEKDAY(jan!O$3,1)=1,"WO","P"))</f>
        <v>P</v>
      </c>
      <c r="P35" s="6" t="s">
        <v>342</v>
      </c>
      <c r="Q35" s="6" t="str">
        <f>IFERROR(LOOKUP(2,1/((lentry!$A$3:$A$3999=jan!$A35)*(lentry!$B$3:$B$3999&lt;=jan!Q$3)*(lentry!$C$3:$C$3999&gt;=jan!Q$3)),lentry!$D$3:$D$3999),IF(WEEKDAY(jan!Q$3,1)=1,"WO","P"))</f>
        <v>P</v>
      </c>
      <c r="R35" s="6" t="str">
        <f>IFERROR(LOOKUP(2,1/((lentry!$A$3:$A$3999=jan!$A35)*(lentry!$B$3:$B$3999&lt;=jan!R$3)*(lentry!$C$3:$C$3999&gt;=jan!R$3)),lentry!$D$3:$D$3999),IF(WEEKDAY(jan!R$3,1)=1,"WO","P"))</f>
        <v>P</v>
      </c>
      <c r="S35" s="6" t="str">
        <f>IFERROR(LOOKUP(2,1/((lentry!$A$3:$A$3999=jan!$A35)*(lentry!$B$3:$B$3999&lt;=jan!S$3)*(lentry!$C$3:$C$3999&gt;=jan!S$3)),lentry!$D$3:$D$3999),IF(WEEKDAY(jan!S$3,1)=1,"WO","P"))</f>
        <v>P</v>
      </c>
      <c r="T35" s="6" t="str">
        <f>IFERROR(LOOKUP(2,1/((lentry!$A$3:$A$3999=jan!$A35)*(lentry!$B$3:$B$3999&lt;=jan!T$3)*(lentry!$C$3:$C$3999&gt;=jan!T$3)),lentry!$D$3:$D$3999),IF(WEEKDAY(jan!T$3,1)=1,"WO","P"))</f>
        <v>P</v>
      </c>
      <c r="U35" s="6" t="str">
        <f>IFERROR(LOOKUP(2,1/((lentry!$A$3:$A$3999=jan!$A35)*(lentry!$B$3:$B$3999&lt;=jan!U$3)*(lentry!$C$3:$C$3999&gt;=jan!U$3)),lentry!$D$3:$D$3999),IF(WEEKDAY(jan!U$3,1)=1,"WO","P"))</f>
        <v>P</v>
      </c>
      <c r="V35" s="6" t="str">
        <f>IFERROR(LOOKUP(2,1/((lentry!$A$3:$A$3999=jan!$A35)*(lentry!$B$3:$B$3999&lt;=jan!V$3)*(lentry!$C$3:$C$3999&gt;=jan!V$3)),lentry!$D$3:$D$3999),IF(WEEKDAY(jan!V$3,1)=1,"WO","P"))</f>
        <v>P</v>
      </c>
      <c r="W35" s="6" t="str">
        <f>IFERROR(LOOKUP(2,1/((lentry!$A$3:$A$3999=jan!$A35)*(lentry!$B$3:$B$3999&lt;=jan!W$3)*(lentry!$C$3:$C$3999&gt;=jan!W$3)),lentry!$D$3:$D$3999),IF(WEEKDAY(jan!W$3,1)=1,"WO","P"))</f>
        <v>WO</v>
      </c>
      <c r="X35" s="6" t="str">
        <f>IFERROR(LOOKUP(2,1/((lentry!$A$3:$A$3999=jan!$A35)*(lentry!$B$3:$B$3999&lt;=jan!X$3)*(lentry!$C$3:$C$3999&gt;=jan!X$3)),lentry!$D$3:$D$3999),IF(WEEKDAY(jan!X$3,1)=1,"WO","P"))</f>
        <v>P</v>
      </c>
      <c r="Y35" s="6" t="str">
        <f>IFERROR(LOOKUP(2,1/((lentry!$A$3:$A$3999=jan!$A35)*(lentry!$B$3:$B$3999&lt;=jan!Y$3)*(lentry!$C$3:$C$3999&gt;=jan!Y$3)),lentry!$D$3:$D$3999),IF(WEEKDAY(jan!Y$3,1)=1,"WO","P"))</f>
        <v>P</v>
      </c>
      <c r="Z35" s="6" t="str">
        <f>IFERROR(LOOKUP(2,1/((lentry!$A$3:$A$3999=jan!$A35)*(lentry!$B$3:$B$3999&lt;=jan!Z$3)*(lentry!$C$3:$C$3999&gt;=jan!Z$3)),lentry!$D$3:$D$3999),IF(WEEKDAY(jan!Z$3,1)=1,"WO","P"))</f>
        <v>P</v>
      </c>
      <c r="AA35" s="6" t="str">
        <f>IFERROR(LOOKUP(2,1/((lentry!$A$3:$A$3999=jan!$A35)*(lentry!$B$3:$B$3999&lt;=jan!AA$3)*(lentry!$C$3:$C$3999&gt;=jan!AA$3)),lentry!$D$3:$D$3999),IF(WEEKDAY(jan!AA$3,1)=1,"WO","P"))</f>
        <v>P</v>
      </c>
      <c r="AB35" s="6" t="str">
        <f>IFERROR(LOOKUP(2,1/((lentry!$A$3:$A$3999=jan!$A35)*(lentry!$B$3:$B$3999&lt;=jan!AB$3)*(lentry!$C$3:$C$3999&gt;=jan!AB$3)),lentry!$D$3:$D$3999),IF(WEEKDAY(jan!AB$3,1)=1,"WO","P"))</f>
        <v>P</v>
      </c>
      <c r="AC35" s="6" t="str">
        <f>IFERROR(LOOKUP(2,1/((lentry!$A$3:$A$3999=jan!$A35)*(lentry!$B$3:$B$3999&lt;=jan!AC$3)*(lentry!$C$3:$C$3999&gt;=jan!AC$3)),lentry!$D$3:$D$3999),IF(WEEKDAY(jan!AC$3,1)=1,"WO","P"))</f>
        <v>P</v>
      </c>
      <c r="AD35" s="6" t="str">
        <f>IFERROR(LOOKUP(2,1/((lentry!$A$3:$A$3999=jan!$A35)*(lentry!$B$3:$B$3999&lt;=jan!AD$3)*(lentry!$C$3:$C$3999&gt;=jan!AD$3)),lentry!$D$3:$D$3999),IF(WEEKDAY(jan!AD$3,1)=1,"WO","P"))</f>
        <v>WO</v>
      </c>
      <c r="AE35" s="6" t="s">
        <v>350</v>
      </c>
      <c r="AF35" s="6" t="str">
        <f>IFERROR(LOOKUP(2,1/((lentry!$A$3:$A$3999=jan!$A35)*(lentry!$B$3:$B$3999&lt;=jan!AF$3)*(lentry!$C$3:$C$3999&gt;=jan!AF$3)),lentry!$D$3:$D$3999),IF(WEEKDAY(jan!AF$3,1)=1,"WO","P"))</f>
        <v>P</v>
      </c>
      <c r="AG35" s="6" t="str">
        <f>IFERROR(LOOKUP(2,1/((lentry!$A$3:$A$3999=jan!$A35)*(lentry!$B$3:$B$3999&lt;=jan!AG$3)*(lentry!$C$3:$C$3999&gt;=jan!AG$3)),lentry!$D$3:$D$3999),IF(WEEKDAY(jan!AG$3,1)=1,"WO","P"))</f>
        <v>P</v>
      </c>
      <c r="AH35" s="6" t="str">
        <f>IFERROR(LOOKUP(2,1/((lentry!$A$3:$A$3999=jan!$A35)*(lentry!$B$3:$B$3999&lt;=jan!AH$3)*(lentry!$C$3:$C$3999&gt;=jan!AH$3)),lentry!$D$3:$D$3999),IF(WEEKDAY(jan!AH$3,1)=1,"WO","P"))</f>
        <v>P</v>
      </c>
      <c r="AI35" s="6" t="str">
        <f>IFERROR(LOOKUP(2,1/((lentry!$A$3:$A$3999=jan!$A35)*(lentry!$B$3:$B$3999&lt;=jan!AI$3)*(lentry!$C$3:$C$3999&gt;=jan!AI$3)),lentry!$D$3:$D$3999),IF(WEEKDAY(jan!AI$3,1)=1,"WO","P"))</f>
        <v>P</v>
      </c>
      <c r="AJ35" s="6" t="str">
        <f>IFERROR(LOOKUP(2,1/((lentry!$A$3:$A$3999=jan!$A35)*(lentry!$B$3:$B$3999&lt;=jan!AJ$3)*(lentry!$C$3:$C$3999&gt;=jan!AJ$3)),lentry!$D$3:$D$3999),IF(WEEKDAY(jan!AJ$3,1)=1,"WO","P"))</f>
        <v>P</v>
      </c>
      <c r="AK35" s="18">
        <f>COUNTIF(jan!$F35:$AJ35,"WO")</f>
        <v>4</v>
      </c>
      <c r="AL35" s="18">
        <f>COUNTIF(jan!$F35:$AJ35,"H")</f>
        <v>1</v>
      </c>
      <c r="AM35" s="18">
        <f>COUNTIF(jan!$F35:$AJ35,"PL")</f>
        <v>0</v>
      </c>
      <c r="AN35" s="18">
        <f>COUNTIF(jan!$F35:$AJ35,"LWP")</f>
        <v>0</v>
      </c>
      <c r="AO35" s="18">
        <f>COUNTIF(jan!$F35:$AJ35,"HD")</f>
        <v>0</v>
      </c>
      <c r="AP35" s="18">
        <f>COUNTIF(jan!$F35:$AJ35,"SL")</f>
        <v>0</v>
      </c>
      <c r="AQ35" s="18">
        <f>COUNTIF(jan!$F35:$AJ35,"CL")</f>
        <v>0</v>
      </c>
      <c r="AR35" s="18">
        <f>COUNTIF(jan!$F35:$AJ35,"A")</f>
        <v>0</v>
      </c>
      <c r="AS35" s="18">
        <f>COUNTIF(jan!$F35:$AJ35,"P")</f>
        <v>26</v>
      </c>
      <c r="AT35" s="18">
        <f t="shared" si="2"/>
        <v>31</v>
      </c>
      <c r="AU35" s="18">
        <f t="shared" si="3"/>
        <v>31</v>
      </c>
    </row>
    <row r="36" spans="1:47" ht="18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6" t="str">
        <f>IFERROR(LOOKUP(2,1/((lentry!$A$3:$A$3999=jan!$A36)*(lentry!$B$3:$B$3999&lt;=jan!F$3)*(lentry!$C$3:$C$3999&gt;=jan!F$3)),lentry!$D$3:$D$3999),IF(WEEKDAY(jan!F$3,1)=1,"WO","P"))</f>
        <v>P</v>
      </c>
      <c r="G36" s="6" t="str">
        <f>IFERROR(LOOKUP(2,1/((lentry!$A$3:$A$3999=jan!$A36)*(lentry!$B$3:$B$3999&lt;=jan!G$3)*(lentry!$C$3:$C$3999&gt;=jan!G$3)),lentry!$D$3:$D$3999),IF(WEEKDAY(jan!G$3,1)=1,"WO","P"))</f>
        <v>P</v>
      </c>
      <c r="H36" s="6" t="str">
        <f>IFERROR(LOOKUP(2,1/((lentry!$A$3:$A$3999=jan!$A36)*(lentry!$B$3:$B$3999&lt;=jan!H$3)*(lentry!$C$3:$C$3999&gt;=jan!H$3)),lentry!$D$3:$D$3999),IF(WEEKDAY(jan!H$3,1)=1,"WO","P"))</f>
        <v>P</v>
      </c>
      <c r="I36" s="6" t="str">
        <f>IFERROR(LOOKUP(2,1/((lentry!$A$3:$A$3999=jan!$A36)*(lentry!$B$3:$B$3999&lt;=jan!I$3)*(lentry!$C$3:$C$3999&gt;=jan!I$3)),lentry!$D$3:$D$3999),IF(WEEKDAY(jan!I$3,1)=1,"WO","P"))</f>
        <v>WO</v>
      </c>
      <c r="J36" s="6" t="str">
        <f>IFERROR(LOOKUP(2,1/((lentry!$A$3:$A$3999=jan!$A36)*(lentry!$B$3:$B$3999&lt;=jan!J$3)*(lentry!$C$3:$C$3999&gt;=jan!J$3)),lentry!$D$3:$D$3999),IF(WEEKDAY(jan!J$3,1)=1,"WO","P"))</f>
        <v>P</v>
      </c>
      <c r="K36" s="6" t="str">
        <f>IFERROR(LOOKUP(2,1/((lentry!$A$3:$A$3999=jan!$A36)*(lentry!$B$3:$B$3999&lt;=jan!K$3)*(lentry!$C$3:$C$3999&gt;=jan!K$3)),lentry!$D$3:$D$3999),IF(WEEKDAY(jan!K$3,1)=1,"WO","P"))</f>
        <v>P</v>
      </c>
      <c r="L36" s="6" t="str">
        <f>IFERROR(LOOKUP(2,1/((lentry!$A$3:$A$3999=jan!$A36)*(lentry!$B$3:$B$3999&lt;=jan!L$3)*(lentry!$C$3:$C$3999&gt;=jan!L$3)),lentry!$D$3:$D$3999),IF(WEEKDAY(jan!L$3,1)=1,"WO","P"))</f>
        <v>P</v>
      </c>
      <c r="M36" s="6" t="str">
        <f>IFERROR(LOOKUP(2,1/((lentry!$A$3:$A$3999=jan!$A36)*(lentry!$B$3:$B$3999&lt;=jan!M$3)*(lentry!$C$3:$C$3999&gt;=jan!M$3)),lentry!$D$3:$D$3999),IF(WEEKDAY(jan!M$3,1)=1,"WO","P"))</f>
        <v>P</v>
      </c>
      <c r="N36" s="6" t="str">
        <f>IFERROR(LOOKUP(2,1/((lentry!$A$3:$A$3999=jan!$A36)*(lentry!$B$3:$B$3999&lt;=jan!N$3)*(lentry!$C$3:$C$3999&gt;=jan!N$3)),lentry!$D$3:$D$3999),IF(WEEKDAY(jan!N$3,1)=1,"WO","P"))</f>
        <v>P</v>
      </c>
      <c r="O36" s="6" t="str">
        <f>IFERROR(LOOKUP(2,1/((lentry!$A$3:$A$3999=jan!$A36)*(lentry!$B$3:$B$3999&lt;=jan!O$3)*(lentry!$C$3:$C$3999&gt;=jan!O$3)),lentry!$D$3:$D$3999),IF(WEEKDAY(jan!O$3,1)=1,"WO","P"))</f>
        <v>P</v>
      </c>
      <c r="P36" s="6" t="s">
        <v>342</v>
      </c>
      <c r="Q36" s="6" t="str">
        <f>IFERROR(LOOKUP(2,1/((lentry!$A$3:$A$3999=jan!$A36)*(lentry!$B$3:$B$3999&lt;=jan!Q$3)*(lentry!$C$3:$C$3999&gt;=jan!Q$3)),lentry!$D$3:$D$3999),IF(WEEKDAY(jan!Q$3,1)=1,"WO","P"))</f>
        <v>P</v>
      </c>
      <c r="R36" s="6" t="str">
        <f>IFERROR(LOOKUP(2,1/((lentry!$A$3:$A$3999=jan!$A36)*(lentry!$B$3:$B$3999&lt;=jan!R$3)*(lentry!$C$3:$C$3999&gt;=jan!R$3)),lentry!$D$3:$D$3999),IF(WEEKDAY(jan!R$3,1)=1,"WO","P"))</f>
        <v>P</v>
      </c>
      <c r="S36" s="6" t="str">
        <f>IFERROR(LOOKUP(2,1/((lentry!$A$3:$A$3999=jan!$A36)*(lentry!$B$3:$B$3999&lt;=jan!S$3)*(lentry!$C$3:$C$3999&gt;=jan!S$3)),lentry!$D$3:$D$3999),IF(WEEKDAY(jan!S$3,1)=1,"WO","P"))</f>
        <v>P</v>
      </c>
      <c r="T36" s="6" t="str">
        <f>IFERROR(LOOKUP(2,1/((lentry!$A$3:$A$3999=jan!$A36)*(lentry!$B$3:$B$3999&lt;=jan!T$3)*(lentry!$C$3:$C$3999&gt;=jan!T$3)),lentry!$D$3:$D$3999),IF(WEEKDAY(jan!T$3,1)=1,"WO","P"))</f>
        <v>P</v>
      </c>
      <c r="U36" s="6" t="str">
        <f>IFERROR(LOOKUP(2,1/((lentry!$A$3:$A$3999=jan!$A36)*(lentry!$B$3:$B$3999&lt;=jan!U$3)*(lentry!$C$3:$C$3999&gt;=jan!U$3)),lentry!$D$3:$D$3999),IF(WEEKDAY(jan!U$3,1)=1,"WO","P"))</f>
        <v>P</v>
      </c>
      <c r="V36" s="6" t="str">
        <f>IFERROR(LOOKUP(2,1/((lentry!$A$3:$A$3999=jan!$A36)*(lentry!$B$3:$B$3999&lt;=jan!V$3)*(lentry!$C$3:$C$3999&gt;=jan!V$3)),lentry!$D$3:$D$3999),IF(WEEKDAY(jan!V$3,1)=1,"WO","P"))</f>
        <v>P</v>
      </c>
      <c r="W36" s="6" t="str">
        <f>IFERROR(LOOKUP(2,1/((lentry!$A$3:$A$3999=jan!$A36)*(lentry!$B$3:$B$3999&lt;=jan!W$3)*(lentry!$C$3:$C$3999&gt;=jan!W$3)),lentry!$D$3:$D$3999),IF(WEEKDAY(jan!W$3,1)=1,"WO","P"))</f>
        <v>WO</v>
      </c>
      <c r="X36" s="6" t="str">
        <f>IFERROR(LOOKUP(2,1/((lentry!$A$3:$A$3999=jan!$A36)*(lentry!$B$3:$B$3999&lt;=jan!X$3)*(lentry!$C$3:$C$3999&gt;=jan!X$3)),lentry!$D$3:$D$3999),IF(WEEKDAY(jan!X$3,1)=1,"WO","P"))</f>
        <v>P</v>
      </c>
      <c r="Y36" s="6" t="str">
        <f>IFERROR(LOOKUP(2,1/((lentry!$A$3:$A$3999=jan!$A36)*(lentry!$B$3:$B$3999&lt;=jan!Y$3)*(lentry!$C$3:$C$3999&gt;=jan!Y$3)),lentry!$D$3:$D$3999),IF(WEEKDAY(jan!Y$3,1)=1,"WO","P"))</f>
        <v>P</v>
      </c>
      <c r="Z36" s="6" t="str">
        <f>IFERROR(LOOKUP(2,1/((lentry!$A$3:$A$3999=jan!$A36)*(lentry!$B$3:$B$3999&lt;=jan!Z$3)*(lentry!$C$3:$C$3999&gt;=jan!Z$3)),lentry!$D$3:$D$3999),IF(WEEKDAY(jan!Z$3,1)=1,"WO","P"))</f>
        <v>P</v>
      </c>
      <c r="AA36" s="6" t="str">
        <f>IFERROR(LOOKUP(2,1/((lentry!$A$3:$A$3999=jan!$A36)*(lentry!$B$3:$B$3999&lt;=jan!AA$3)*(lentry!$C$3:$C$3999&gt;=jan!AA$3)),lentry!$D$3:$D$3999),IF(WEEKDAY(jan!AA$3,1)=1,"WO","P"))</f>
        <v>P</v>
      </c>
      <c r="AB36" s="6" t="str">
        <f>IFERROR(LOOKUP(2,1/((lentry!$A$3:$A$3999=jan!$A36)*(lentry!$B$3:$B$3999&lt;=jan!AB$3)*(lentry!$C$3:$C$3999&gt;=jan!AB$3)),lentry!$D$3:$D$3999),IF(WEEKDAY(jan!AB$3,1)=1,"WO","P"))</f>
        <v>P</v>
      </c>
      <c r="AC36" s="6" t="str">
        <f>IFERROR(LOOKUP(2,1/((lentry!$A$3:$A$3999=jan!$A36)*(lentry!$B$3:$B$3999&lt;=jan!AC$3)*(lentry!$C$3:$C$3999&gt;=jan!AC$3)),lentry!$D$3:$D$3999),IF(WEEKDAY(jan!AC$3,1)=1,"WO","P"))</f>
        <v>P</v>
      </c>
      <c r="AD36" s="6" t="str">
        <f>IFERROR(LOOKUP(2,1/((lentry!$A$3:$A$3999=jan!$A36)*(lentry!$B$3:$B$3999&lt;=jan!AD$3)*(lentry!$C$3:$C$3999&gt;=jan!AD$3)),lentry!$D$3:$D$3999),IF(WEEKDAY(jan!AD$3,1)=1,"WO","P"))</f>
        <v>WO</v>
      </c>
      <c r="AE36" s="6" t="s">
        <v>350</v>
      </c>
      <c r="AF36" s="6" t="str">
        <f>IFERROR(LOOKUP(2,1/((lentry!$A$3:$A$3999=jan!$A36)*(lentry!$B$3:$B$3999&lt;=jan!AF$3)*(lentry!$C$3:$C$3999&gt;=jan!AF$3)),lentry!$D$3:$D$3999),IF(WEEKDAY(jan!AF$3,1)=1,"WO","P"))</f>
        <v>P</v>
      </c>
      <c r="AG36" s="6" t="str">
        <f>IFERROR(LOOKUP(2,1/((lentry!$A$3:$A$3999=jan!$A36)*(lentry!$B$3:$B$3999&lt;=jan!AG$3)*(lentry!$C$3:$C$3999&gt;=jan!AG$3)),lentry!$D$3:$D$3999),IF(WEEKDAY(jan!AG$3,1)=1,"WO","P"))</f>
        <v>P</v>
      </c>
      <c r="AH36" s="6" t="str">
        <f>IFERROR(LOOKUP(2,1/((lentry!$A$3:$A$3999=jan!$A36)*(lentry!$B$3:$B$3999&lt;=jan!AH$3)*(lentry!$C$3:$C$3999&gt;=jan!AH$3)),lentry!$D$3:$D$3999),IF(WEEKDAY(jan!AH$3,1)=1,"WO","P"))</f>
        <v>P</v>
      </c>
      <c r="AI36" s="6" t="str">
        <f>IFERROR(LOOKUP(2,1/((lentry!$A$3:$A$3999=jan!$A36)*(lentry!$B$3:$B$3999&lt;=jan!AI$3)*(lentry!$C$3:$C$3999&gt;=jan!AI$3)),lentry!$D$3:$D$3999),IF(WEEKDAY(jan!AI$3,1)=1,"WO","P"))</f>
        <v>P</v>
      </c>
      <c r="AJ36" s="6" t="str">
        <f>IFERROR(LOOKUP(2,1/((lentry!$A$3:$A$3999=jan!$A36)*(lentry!$B$3:$B$3999&lt;=jan!AJ$3)*(lentry!$C$3:$C$3999&gt;=jan!AJ$3)),lentry!$D$3:$D$3999),IF(WEEKDAY(jan!AJ$3,1)=1,"WO","P"))</f>
        <v>P</v>
      </c>
      <c r="AK36" s="18">
        <f>COUNTIF(jan!$F36:$AJ36,"WO")</f>
        <v>4</v>
      </c>
      <c r="AL36" s="18">
        <f>COUNTIF(jan!$F36:$AJ36,"H")</f>
        <v>1</v>
      </c>
      <c r="AM36" s="18">
        <f>COUNTIF(jan!$F36:$AJ36,"PL")</f>
        <v>0</v>
      </c>
      <c r="AN36" s="18">
        <f>COUNTIF(jan!$F36:$AJ36,"LWP")</f>
        <v>0</v>
      </c>
      <c r="AO36" s="18">
        <f>COUNTIF(jan!$F36:$AJ36,"HD")</f>
        <v>0</v>
      </c>
      <c r="AP36" s="18">
        <f>COUNTIF(jan!$F36:$AJ36,"SL")</f>
        <v>0</v>
      </c>
      <c r="AQ36" s="18">
        <f>COUNTIF(jan!$F36:$AJ36,"CL")</f>
        <v>0</v>
      </c>
      <c r="AR36" s="18">
        <f>COUNTIF(jan!$F36:$AJ36,"A")</f>
        <v>0</v>
      </c>
      <c r="AS36" s="18">
        <f>COUNTIF(jan!$F36:$AJ36,"P")</f>
        <v>26</v>
      </c>
      <c r="AT36" s="18">
        <f t="shared" si="2"/>
        <v>31</v>
      </c>
      <c r="AU36" s="18">
        <f t="shared" si="3"/>
        <v>31</v>
      </c>
    </row>
    <row r="37" spans="1:47" ht="18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6" t="str">
        <f>IFERROR(LOOKUP(2,1/((lentry!$A$3:$A$3999=jan!$A37)*(lentry!$B$3:$B$3999&lt;=jan!F$3)*(lentry!$C$3:$C$3999&gt;=jan!F$3)),lentry!$D$3:$D$3999),IF(WEEKDAY(jan!F$3,1)=1,"WO","P"))</f>
        <v>P</v>
      </c>
      <c r="G37" s="6" t="str">
        <f>IFERROR(LOOKUP(2,1/((lentry!$A$3:$A$3999=jan!$A37)*(lentry!$B$3:$B$3999&lt;=jan!G$3)*(lentry!$C$3:$C$3999&gt;=jan!G$3)),lentry!$D$3:$D$3999),IF(WEEKDAY(jan!G$3,1)=1,"WO","P"))</f>
        <v>P</v>
      </c>
      <c r="H37" s="6" t="str">
        <f>IFERROR(LOOKUP(2,1/((lentry!$A$3:$A$3999=jan!$A37)*(lentry!$B$3:$B$3999&lt;=jan!H$3)*(lentry!$C$3:$C$3999&gt;=jan!H$3)),lentry!$D$3:$D$3999),IF(WEEKDAY(jan!H$3,1)=1,"WO","P"))</f>
        <v>P</v>
      </c>
      <c r="I37" s="6" t="str">
        <f>IFERROR(LOOKUP(2,1/((lentry!$A$3:$A$3999=jan!$A37)*(lentry!$B$3:$B$3999&lt;=jan!I$3)*(lentry!$C$3:$C$3999&gt;=jan!I$3)),lentry!$D$3:$D$3999),IF(WEEKDAY(jan!I$3,1)=1,"WO","P"))</f>
        <v>WO</v>
      </c>
      <c r="J37" s="6" t="str">
        <f>IFERROR(LOOKUP(2,1/((lentry!$A$3:$A$3999=jan!$A37)*(lentry!$B$3:$B$3999&lt;=jan!J$3)*(lentry!$C$3:$C$3999&gt;=jan!J$3)),lentry!$D$3:$D$3999),IF(WEEKDAY(jan!J$3,1)=1,"WO","P"))</f>
        <v>P</v>
      </c>
      <c r="K37" s="6" t="str">
        <f>IFERROR(LOOKUP(2,1/((lentry!$A$3:$A$3999=jan!$A37)*(lentry!$B$3:$B$3999&lt;=jan!K$3)*(lentry!$C$3:$C$3999&gt;=jan!K$3)),lentry!$D$3:$D$3999),IF(WEEKDAY(jan!K$3,1)=1,"WO","P"))</f>
        <v>P</v>
      </c>
      <c r="L37" s="6" t="str">
        <f>IFERROR(LOOKUP(2,1/((lentry!$A$3:$A$3999=jan!$A37)*(lentry!$B$3:$B$3999&lt;=jan!L$3)*(lentry!$C$3:$C$3999&gt;=jan!L$3)),lentry!$D$3:$D$3999),IF(WEEKDAY(jan!L$3,1)=1,"WO","P"))</f>
        <v>P</v>
      </c>
      <c r="M37" s="6" t="str">
        <f>IFERROR(LOOKUP(2,1/((lentry!$A$3:$A$3999=jan!$A37)*(lentry!$B$3:$B$3999&lt;=jan!M$3)*(lentry!$C$3:$C$3999&gt;=jan!M$3)),lentry!$D$3:$D$3999),IF(WEEKDAY(jan!M$3,1)=1,"WO","P"))</f>
        <v>P</v>
      </c>
      <c r="N37" s="6" t="str">
        <f>IFERROR(LOOKUP(2,1/((lentry!$A$3:$A$3999=jan!$A37)*(lentry!$B$3:$B$3999&lt;=jan!N$3)*(lentry!$C$3:$C$3999&gt;=jan!N$3)),lentry!$D$3:$D$3999),IF(WEEKDAY(jan!N$3,1)=1,"WO","P"))</f>
        <v>P</v>
      </c>
      <c r="O37" s="6" t="str">
        <f>IFERROR(LOOKUP(2,1/((lentry!$A$3:$A$3999=jan!$A37)*(lentry!$B$3:$B$3999&lt;=jan!O$3)*(lentry!$C$3:$C$3999&gt;=jan!O$3)),lentry!$D$3:$D$3999),IF(WEEKDAY(jan!O$3,1)=1,"WO","P"))</f>
        <v>P</v>
      </c>
      <c r="P37" s="6" t="s">
        <v>342</v>
      </c>
      <c r="Q37" s="6" t="str">
        <f>IFERROR(LOOKUP(2,1/((lentry!$A$3:$A$3999=jan!$A37)*(lentry!$B$3:$B$3999&lt;=jan!Q$3)*(lentry!$C$3:$C$3999&gt;=jan!Q$3)),lentry!$D$3:$D$3999),IF(WEEKDAY(jan!Q$3,1)=1,"WO","P"))</f>
        <v>P</v>
      </c>
      <c r="R37" s="6" t="str">
        <f>IFERROR(LOOKUP(2,1/((lentry!$A$3:$A$3999=jan!$A37)*(lentry!$B$3:$B$3999&lt;=jan!R$3)*(lentry!$C$3:$C$3999&gt;=jan!R$3)),lentry!$D$3:$D$3999),IF(WEEKDAY(jan!R$3,1)=1,"WO","P"))</f>
        <v>P</v>
      </c>
      <c r="S37" s="6" t="s">
        <v>539</v>
      </c>
      <c r="T37" s="6" t="str">
        <f>IFERROR(LOOKUP(2,1/((lentry!$A$3:$A$3999=jan!$A37)*(lentry!$B$3:$B$3999&lt;=jan!T$3)*(lentry!$C$3:$C$3999&gt;=jan!T$3)),lentry!$D$3:$D$3999),IF(WEEKDAY(jan!T$3,1)=1,"WO","P"))</f>
        <v>P</v>
      </c>
      <c r="U37" s="6" t="str">
        <f>IFERROR(LOOKUP(2,1/((lentry!$A$3:$A$3999=jan!$A37)*(lentry!$B$3:$B$3999&lt;=jan!U$3)*(lentry!$C$3:$C$3999&gt;=jan!U$3)),lentry!$D$3:$D$3999),IF(WEEKDAY(jan!U$3,1)=1,"WO","P"))</f>
        <v>P</v>
      </c>
      <c r="V37" s="6" t="str">
        <f>IFERROR(LOOKUP(2,1/((lentry!$A$3:$A$3999=jan!$A37)*(lentry!$B$3:$B$3999&lt;=jan!V$3)*(lentry!$C$3:$C$3999&gt;=jan!V$3)),lentry!$D$3:$D$3999),IF(WEEKDAY(jan!V$3,1)=1,"WO","P"))</f>
        <v>P</v>
      </c>
      <c r="W37" s="6" t="str">
        <f>IFERROR(LOOKUP(2,1/((lentry!$A$3:$A$3999=jan!$A37)*(lentry!$B$3:$B$3999&lt;=jan!W$3)*(lentry!$C$3:$C$3999&gt;=jan!W$3)),lentry!$D$3:$D$3999),IF(WEEKDAY(jan!W$3,1)=1,"WO","P"))</f>
        <v>WO</v>
      </c>
      <c r="X37" s="6" t="str">
        <f>IFERROR(LOOKUP(2,1/((lentry!$A$3:$A$3999=jan!$A37)*(lentry!$B$3:$B$3999&lt;=jan!X$3)*(lentry!$C$3:$C$3999&gt;=jan!X$3)),lentry!$D$3:$D$3999),IF(WEEKDAY(jan!X$3,1)=1,"WO","P"))</f>
        <v>P</v>
      </c>
      <c r="Y37" s="6" t="str">
        <f>IFERROR(LOOKUP(2,1/((lentry!$A$3:$A$3999=jan!$A37)*(lentry!$B$3:$B$3999&lt;=jan!Y$3)*(lentry!$C$3:$C$3999&gt;=jan!Y$3)),lentry!$D$3:$D$3999),IF(WEEKDAY(jan!Y$3,1)=1,"WO","P"))</f>
        <v>P</v>
      </c>
      <c r="Z37" s="6" t="str">
        <f>IFERROR(LOOKUP(2,1/((lentry!$A$3:$A$3999=jan!$A37)*(lentry!$B$3:$B$3999&lt;=jan!Z$3)*(lentry!$C$3:$C$3999&gt;=jan!Z$3)),lentry!$D$3:$D$3999),IF(WEEKDAY(jan!Z$3,1)=1,"WO","P"))</f>
        <v>P</v>
      </c>
      <c r="AA37" s="6" t="str">
        <f>IFERROR(LOOKUP(2,1/((lentry!$A$3:$A$3999=jan!$A37)*(lentry!$B$3:$B$3999&lt;=jan!AA$3)*(lentry!$C$3:$C$3999&gt;=jan!AA$3)),lentry!$D$3:$D$3999),IF(WEEKDAY(jan!AA$3,1)=1,"WO","P"))</f>
        <v>P</v>
      </c>
      <c r="AB37" s="6" t="str">
        <f>IFERROR(LOOKUP(2,1/((lentry!$A$3:$A$3999=jan!$A37)*(lentry!$B$3:$B$3999&lt;=jan!AB$3)*(lentry!$C$3:$C$3999&gt;=jan!AB$3)),lentry!$D$3:$D$3999),IF(WEEKDAY(jan!AB$3,1)=1,"WO","P"))</f>
        <v>P</v>
      </c>
      <c r="AC37" s="6" t="str">
        <f>IFERROR(LOOKUP(2,1/((lentry!$A$3:$A$3999=jan!$A37)*(lentry!$B$3:$B$3999&lt;=jan!AC$3)*(lentry!$C$3:$C$3999&gt;=jan!AC$3)),lentry!$D$3:$D$3999),IF(WEEKDAY(jan!AC$3,1)=1,"WO","P"))</f>
        <v>P</v>
      </c>
      <c r="AD37" s="6" t="str">
        <f>IFERROR(LOOKUP(2,1/((lentry!$A$3:$A$3999=jan!$A37)*(lentry!$B$3:$B$3999&lt;=jan!AD$3)*(lentry!$C$3:$C$3999&gt;=jan!AD$3)),lentry!$D$3:$D$3999),IF(WEEKDAY(jan!AD$3,1)=1,"WO","P"))</f>
        <v>WO</v>
      </c>
      <c r="AE37" s="6" t="s">
        <v>350</v>
      </c>
      <c r="AF37" s="6" t="str">
        <f>IFERROR(LOOKUP(2,1/((lentry!$A$3:$A$3999=jan!$A37)*(lentry!$B$3:$B$3999&lt;=jan!AF$3)*(lentry!$C$3:$C$3999&gt;=jan!AF$3)),lentry!$D$3:$D$3999),IF(WEEKDAY(jan!AF$3,1)=1,"WO","P"))</f>
        <v>P</v>
      </c>
      <c r="AG37" s="6" t="str">
        <f>IFERROR(LOOKUP(2,1/((lentry!$A$3:$A$3999=jan!$A37)*(lentry!$B$3:$B$3999&lt;=jan!AG$3)*(lentry!$C$3:$C$3999&gt;=jan!AG$3)),lentry!$D$3:$D$3999),IF(WEEKDAY(jan!AG$3,1)=1,"WO","P"))</f>
        <v>P</v>
      </c>
      <c r="AH37" s="6" t="s">
        <v>539</v>
      </c>
      <c r="AI37" s="6" t="str">
        <f>IFERROR(LOOKUP(2,1/((lentry!$A$3:$A$3999=jan!$A37)*(lentry!$B$3:$B$3999&lt;=jan!AI$3)*(lentry!$C$3:$C$3999&gt;=jan!AI$3)),lentry!$D$3:$D$3999),IF(WEEKDAY(jan!AI$3,1)=1,"WO","P"))</f>
        <v>P</v>
      </c>
      <c r="AJ37" s="6" t="str">
        <f>IFERROR(LOOKUP(2,1/((lentry!$A$3:$A$3999=jan!$A37)*(lentry!$B$3:$B$3999&lt;=jan!AJ$3)*(lentry!$C$3:$C$3999&gt;=jan!AJ$3)),lentry!$D$3:$D$3999),IF(WEEKDAY(jan!AJ$3,1)=1,"WO","P"))</f>
        <v>P</v>
      </c>
      <c r="AK37" s="18">
        <f>COUNTIF(jan!$F37:$AJ37,"WO")</f>
        <v>4</v>
      </c>
      <c r="AL37" s="18">
        <f>COUNTIF(jan!$F37:$AJ37,"H")</f>
        <v>1</v>
      </c>
      <c r="AM37" s="18">
        <f>COUNTIF(jan!$F37:$AJ37,"PL")</f>
        <v>0</v>
      </c>
      <c r="AN37" s="18">
        <f>COUNTIF(jan!$F37:$AJ37,"LWP")</f>
        <v>0</v>
      </c>
      <c r="AO37" s="18">
        <f>COUNTIF(jan!$F37:$AJ37,"HD")</f>
        <v>0</v>
      </c>
      <c r="AP37" s="18">
        <f>COUNTIF(jan!$F37:$AJ37,"SL")</f>
        <v>0</v>
      </c>
      <c r="AQ37" s="18">
        <f>COUNTIF(jan!$F37:$AJ37,"CL")</f>
        <v>0</v>
      </c>
      <c r="AR37" s="18">
        <f>COUNTIF(jan!$F37:$AJ37,"A")</f>
        <v>2</v>
      </c>
      <c r="AS37" s="18">
        <f>COUNTIF(jan!$F37:$AJ37,"P")</f>
        <v>24</v>
      </c>
      <c r="AT37" s="18">
        <f t="shared" si="2"/>
        <v>31</v>
      </c>
      <c r="AU37" s="18">
        <f t="shared" si="3"/>
        <v>29</v>
      </c>
    </row>
    <row r="38" spans="1:47" ht="18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6" t="str">
        <f>IFERROR(LOOKUP(2,1/((lentry!$A$3:$A$3999=jan!$A38)*(lentry!$B$3:$B$3999&lt;=jan!F$3)*(lentry!$C$3:$C$3999&gt;=jan!F$3)),lentry!$D$3:$D$3999),IF(WEEKDAY(jan!F$3,1)=1,"WO","P"))</f>
        <v>P</v>
      </c>
      <c r="G38" s="6" t="str">
        <f>IFERROR(LOOKUP(2,1/((lentry!$A$3:$A$3999=jan!$A38)*(lentry!$B$3:$B$3999&lt;=jan!G$3)*(lentry!$C$3:$C$3999&gt;=jan!G$3)),lentry!$D$3:$D$3999),IF(WEEKDAY(jan!G$3,1)=1,"WO","P"))</f>
        <v>P</v>
      </c>
      <c r="H38" s="6" t="str">
        <f>IFERROR(LOOKUP(2,1/((lentry!$A$3:$A$3999=jan!$A38)*(lentry!$B$3:$B$3999&lt;=jan!H$3)*(lentry!$C$3:$C$3999&gt;=jan!H$3)),lentry!$D$3:$D$3999),IF(WEEKDAY(jan!H$3,1)=1,"WO","P"))</f>
        <v>P</v>
      </c>
      <c r="I38" s="6" t="str">
        <f>IFERROR(LOOKUP(2,1/((lentry!$A$3:$A$3999=jan!$A38)*(lentry!$B$3:$B$3999&lt;=jan!I$3)*(lentry!$C$3:$C$3999&gt;=jan!I$3)),lentry!$D$3:$D$3999),IF(WEEKDAY(jan!I$3,1)=1,"WO","P"))</f>
        <v>WO</v>
      </c>
      <c r="J38" s="6" t="str">
        <f>IFERROR(LOOKUP(2,1/((lentry!$A$3:$A$3999=jan!$A38)*(lentry!$B$3:$B$3999&lt;=jan!J$3)*(lentry!$C$3:$C$3999&gt;=jan!J$3)),lentry!$D$3:$D$3999),IF(WEEKDAY(jan!J$3,1)=1,"WO","P"))</f>
        <v>P</v>
      </c>
      <c r="K38" s="6" t="str">
        <f>IFERROR(LOOKUP(2,1/((lentry!$A$3:$A$3999=jan!$A38)*(lentry!$B$3:$B$3999&lt;=jan!K$3)*(lentry!$C$3:$C$3999&gt;=jan!K$3)),lentry!$D$3:$D$3999),IF(WEEKDAY(jan!K$3,1)=1,"WO","P"))</f>
        <v>P</v>
      </c>
      <c r="L38" s="6" t="str">
        <f>IFERROR(LOOKUP(2,1/((lentry!$A$3:$A$3999=jan!$A38)*(lentry!$B$3:$B$3999&lt;=jan!L$3)*(lentry!$C$3:$C$3999&gt;=jan!L$3)),lentry!$D$3:$D$3999),IF(WEEKDAY(jan!L$3,1)=1,"WO","P"))</f>
        <v>P</v>
      </c>
      <c r="M38" s="6" t="str">
        <f>IFERROR(LOOKUP(2,1/((lentry!$A$3:$A$3999=jan!$A38)*(lentry!$B$3:$B$3999&lt;=jan!M$3)*(lentry!$C$3:$C$3999&gt;=jan!M$3)),lentry!$D$3:$D$3999),IF(WEEKDAY(jan!M$3,1)=1,"WO","P"))</f>
        <v>P</v>
      </c>
      <c r="N38" s="6" t="str">
        <f>IFERROR(LOOKUP(2,1/((lentry!$A$3:$A$3999=jan!$A38)*(lentry!$B$3:$B$3999&lt;=jan!N$3)*(lentry!$C$3:$C$3999&gt;=jan!N$3)),lentry!$D$3:$D$3999),IF(WEEKDAY(jan!N$3,1)=1,"WO","P"))</f>
        <v>P</v>
      </c>
      <c r="O38" s="6" t="str">
        <f>IFERROR(LOOKUP(2,1/((lentry!$A$3:$A$3999=jan!$A38)*(lentry!$B$3:$B$3999&lt;=jan!O$3)*(lentry!$C$3:$C$3999&gt;=jan!O$3)),lentry!$D$3:$D$3999),IF(WEEKDAY(jan!O$3,1)=1,"WO","P"))</f>
        <v>P</v>
      </c>
      <c r="P38" s="6" t="s">
        <v>342</v>
      </c>
      <c r="Q38" s="6" t="str">
        <f>IFERROR(LOOKUP(2,1/((lentry!$A$3:$A$3999=jan!$A38)*(lentry!$B$3:$B$3999&lt;=jan!Q$3)*(lentry!$C$3:$C$3999&gt;=jan!Q$3)),lentry!$D$3:$D$3999),IF(WEEKDAY(jan!Q$3,1)=1,"WO","P"))</f>
        <v>P</v>
      </c>
      <c r="R38" s="6" t="str">
        <f>IFERROR(LOOKUP(2,1/((lentry!$A$3:$A$3999=jan!$A38)*(lentry!$B$3:$B$3999&lt;=jan!R$3)*(lentry!$C$3:$C$3999&gt;=jan!R$3)),lentry!$D$3:$D$3999),IF(WEEKDAY(jan!R$3,1)=1,"WO","P"))</f>
        <v>P</v>
      </c>
      <c r="S38" s="6" t="str">
        <f>IFERROR(LOOKUP(2,1/((lentry!$A$3:$A$3999=jan!$A38)*(lentry!$B$3:$B$3999&lt;=jan!S$3)*(lentry!$C$3:$C$3999&gt;=jan!S$3)),lentry!$D$3:$D$3999),IF(WEEKDAY(jan!S$3,1)=1,"WO","P"))</f>
        <v>P</v>
      </c>
      <c r="T38" s="6" t="str">
        <f>IFERROR(LOOKUP(2,1/((lentry!$A$3:$A$3999=jan!$A38)*(lentry!$B$3:$B$3999&lt;=jan!T$3)*(lentry!$C$3:$C$3999&gt;=jan!T$3)),lentry!$D$3:$D$3999),IF(WEEKDAY(jan!T$3,1)=1,"WO","P"))</f>
        <v>P</v>
      </c>
      <c r="U38" s="6" t="str">
        <f>IFERROR(LOOKUP(2,1/((lentry!$A$3:$A$3999=jan!$A38)*(lentry!$B$3:$B$3999&lt;=jan!U$3)*(lentry!$C$3:$C$3999&gt;=jan!U$3)),lentry!$D$3:$D$3999),IF(WEEKDAY(jan!U$3,1)=1,"WO","P"))</f>
        <v>P</v>
      </c>
      <c r="V38" s="6" t="str">
        <f>IFERROR(LOOKUP(2,1/((lentry!$A$3:$A$3999=jan!$A38)*(lentry!$B$3:$B$3999&lt;=jan!V$3)*(lentry!$C$3:$C$3999&gt;=jan!V$3)),lentry!$D$3:$D$3999),IF(WEEKDAY(jan!V$3,1)=1,"WO","P"))</f>
        <v>P</v>
      </c>
      <c r="W38" s="6" t="str">
        <f>IFERROR(LOOKUP(2,1/((lentry!$A$3:$A$3999=jan!$A38)*(lentry!$B$3:$B$3999&lt;=jan!W$3)*(lentry!$C$3:$C$3999&gt;=jan!W$3)),lentry!$D$3:$D$3999),IF(WEEKDAY(jan!W$3,1)=1,"WO","P"))</f>
        <v>WO</v>
      </c>
      <c r="X38" s="6" t="str">
        <f>IFERROR(LOOKUP(2,1/((lentry!$A$3:$A$3999=jan!$A38)*(lentry!$B$3:$B$3999&lt;=jan!X$3)*(lentry!$C$3:$C$3999&gt;=jan!X$3)),lentry!$D$3:$D$3999),IF(WEEKDAY(jan!X$3,1)=1,"WO","P"))</f>
        <v>P</v>
      </c>
      <c r="Y38" s="6" t="str">
        <f>IFERROR(LOOKUP(2,1/((lentry!$A$3:$A$3999=jan!$A38)*(lentry!$B$3:$B$3999&lt;=jan!Y$3)*(lentry!$C$3:$C$3999&gt;=jan!Y$3)),lentry!$D$3:$D$3999),IF(WEEKDAY(jan!Y$3,1)=1,"WO","P"))</f>
        <v>P</v>
      </c>
      <c r="Z38" s="6" t="str">
        <f>IFERROR(LOOKUP(2,1/((lentry!$A$3:$A$3999=jan!$A38)*(lentry!$B$3:$B$3999&lt;=jan!Z$3)*(lentry!$C$3:$C$3999&gt;=jan!Z$3)),lentry!$D$3:$D$3999),IF(WEEKDAY(jan!Z$3,1)=1,"WO","P"))</f>
        <v>P</v>
      </c>
      <c r="AA38" s="6" t="str">
        <f>IFERROR(LOOKUP(2,1/((lentry!$A$3:$A$3999=jan!$A38)*(lentry!$B$3:$B$3999&lt;=jan!AA$3)*(lentry!$C$3:$C$3999&gt;=jan!AA$3)),lentry!$D$3:$D$3999),IF(WEEKDAY(jan!AA$3,1)=1,"WO","P"))</f>
        <v>P</v>
      </c>
      <c r="AB38" s="6" t="str">
        <f>IFERROR(LOOKUP(2,1/((lentry!$A$3:$A$3999=jan!$A38)*(lentry!$B$3:$B$3999&lt;=jan!AB$3)*(lentry!$C$3:$C$3999&gt;=jan!AB$3)),lentry!$D$3:$D$3999),IF(WEEKDAY(jan!AB$3,1)=1,"WO","P"))</f>
        <v>P</v>
      </c>
      <c r="AC38" s="6" t="str">
        <f>IFERROR(LOOKUP(2,1/((lentry!$A$3:$A$3999=jan!$A38)*(lentry!$B$3:$B$3999&lt;=jan!AC$3)*(lentry!$C$3:$C$3999&gt;=jan!AC$3)),lentry!$D$3:$D$3999),IF(WEEKDAY(jan!AC$3,1)=1,"WO","P"))</f>
        <v>P</v>
      </c>
      <c r="AD38" s="6" t="str">
        <f>IFERROR(LOOKUP(2,1/((lentry!$A$3:$A$3999=jan!$A38)*(lentry!$B$3:$B$3999&lt;=jan!AD$3)*(lentry!$C$3:$C$3999&gt;=jan!AD$3)),lentry!$D$3:$D$3999),IF(WEEKDAY(jan!AD$3,1)=1,"WO","P"))</f>
        <v>WO</v>
      </c>
      <c r="AE38" s="6" t="s">
        <v>350</v>
      </c>
      <c r="AF38" s="6" t="str">
        <f>IFERROR(LOOKUP(2,1/((lentry!$A$3:$A$3999=jan!$A38)*(lentry!$B$3:$B$3999&lt;=jan!AF$3)*(lentry!$C$3:$C$3999&gt;=jan!AF$3)),lentry!$D$3:$D$3999),IF(WEEKDAY(jan!AF$3,1)=1,"WO","P"))</f>
        <v>P</v>
      </c>
      <c r="AG38" s="6" t="str">
        <f>IFERROR(LOOKUP(2,1/((lentry!$A$3:$A$3999=jan!$A38)*(lentry!$B$3:$B$3999&lt;=jan!AG$3)*(lentry!$C$3:$C$3999&gt;=jan!AG$3)),lentry!$D$3:$D$3999),IF(WEEKDAY(jan!AG$3,1)=1,"WO","P"))</f>
        <v>P</v>
      </c>
      <c r="AH38" s="6" t="str">
        <f>IFERROR(LOOKUP(2,1/((lentry!$A$3:$A$3999=jan!$A38)*(lentry!$B$3:$B$3999&lt;=jan!AH$3)*(lentry!$C$3:$C$3999&gt;=jan!AH$3)),lentry!$D$3:$D$3999),IF(WEEKDAY(jan!AH$3,1)=1,"WO","P"))</f>
        <v>P</v>
      </c>
      <c r="AI38" s="6" t="str">
        <f>IFERROR(LOOKUP(2,1/((lentry!$A$3:$A$3999=jan!$A38)*(lentry!$B$3:$B$3999&lt;=jan!AI$3)*(lentry!$C$3:$C$3999&gt;=jan!AI$3)),lentry!$D$3:$D$3999),IF(WEEKDAY(jan!AI$3,1)=1,"WO","P"))</f>
        <v>P</v>
      </c>
      <c r="AJ38" s="6" t="str">
        <f>IFERROR(LOOKUP(2,1/((lentry!$A$3:$A$3999=jan!$A38)*(lentry!$B$3:$B$3999&lt;=jan!AJ$3)*(lentry!$C$3:$C$3999&gt;=jan!AJ$3)),lentry!$D$3:$D$3999),IF(WEEKDAY(jan!AJ$3,1)=1,"WO","P"))</f>
        <v>P</v>
      </c>
      <c r="AK38" s="18">
        <f>COUNTIF(jan!$F38:$AJ38,"WO")</f>
        <v>4</v>
      </c>
      <c r="AL38" s="18">
        <f>COUNTIF(jan!$F38:$AJ38,"H")</f>
        <v>1</v>
      </c>
      <c r="AM38" s="18">
        <f>COUNTIF(jan!$F38:$AJ38,"PL")</f>
        <v>0</v>
      </c>
      <c r="AN38" s="18">
        <f>COUNTIF(jan!$F38:$AJ38,"LWP")</f>
        <v>0</v>
      </c>
      <c r="AO38" s="18">
        <f>COUNTIF(jan!$F38:$AJ38,"HD")</f>
        <v>0</v>
      </c>
      <c r="AP38" s="18">
        <f>COUNTIF(jan!$F38:$AJ38,"SL")</f>
        <v>0</v>
      </c>
      <c r="AQ38" s="18">
        <f>COUNTIF(jan!$F38:$AJ38,"CL")</f>
        <v>0</v>
      </c>
      <c r="AR38" s="18">
        <f>COUNTIF(jan!$F38:$AJ38,"A")</f>
        <v>0</v>
      </c>
      <c r="AS38" s="18">
        <f>COUNTIF(jan!$F38:$AJ38,"P")</f>
        <v>26</v>
      </c>
      <c r="AT38" s="18">
        <f t="shared" si="2"/>
        <v>31</v>
      </c>
      <c r="AU38" s="18">
        <f t="shared" si="3"/>
        <v>31</v>
      </c>
    </row>
    <row r="39" spans="1:47" ht="18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6" t="str">
        <f>IFERROR(LOOKUP(2,1/((lentry!$A$3:$A$3999=jan!$A39)*(lentry!$B$3:$B$3999&lt;=jan!F$3)*(lentry!$C$3:$C$3999&gt;=jan!F$3)),lentry!$D$3:$D$3999),IF(WEEKDAY(jan!F$3,1)=1,"WO","P"))</f>
        <v>P</v>
      </c>
      <c r="G39" s="6" t="str">
        <f>IFERROR(LOOKUP(2,1/((lentry!$A$3:$A$3999=jan!$A39)*(lentry!$B$3:$B$3999&lt;=jan!G$3)*(lentry!$C$3:$C$3999&gt;=jan!G$3)),lentry!$D$3:$D$3999),IF(WEEKDAY(jan!G$3,1)=1,"WO","P"))</f>
        <v>P</v>
      </c>
      <c r="H39" s="6" t="str">
        <f>IFERROR(LOOKUP(2,1/((lentry!$A$3:$A$3999=jan!$A39)*(lentry!$B$3:$B$3999&lt;=jan!H$3)*(lentry!$C$3:$C$3999&gt;=jan!H$3)),lentry!$D$3:$D$3999),IF(WEEKDAY(jan!H$3,1)=1,"WO","P"))</f>
        <v>P</v>
      </c>
      <c r="I39" s="6" t="str">
        <f>IFERROR(LOOKUP(2,1/((lentry!$A$3:$A$3999=jan!$A39)*(lentry!$B$3:$B$3999&lt;=jan!I$3)*(lentry!$C$3:$C$3999&gt;=jan!I$3)),lentry!$D$3:$D$3999),IF(WEEKDAY(jan!I$3,1)=1,"WO","P"))</f>
        <v>WO</v>
      </c>
      <c r="J39" s="6" t="str">
        <f>IFERROR(LOOKUP(2,1/((lentry!$A$3:$A$3999=jan!$A39)*(lentry!$B$3:$B$3999&lt;=jan!J$3)*(lentry!$C$3:$C$3999&gt;=jan!J$3)),lentry!$D$3:$D$3999),IF(WEEKDAY(jan!J$3,1)=1,"WO","P"))</f>
        <v>P</v>
      </c>
      <c r="K39" s="6" t="str">
        <f>IFERROR(LOOKUP(2,1/((lentry!$A$3:$A$3999=jan!$A39)*(lentry!$B$3:$B$3999&lt;=jan!K$3)*(lentry!$C$3:$C$3999&gt;=jan!K$3)),lentry!$D$3:$D$3999),IF(WEEKDAY(jan!K$3,1)=1,"WO","P"))</f>
        <v>P</v>
      </c>
      <c r="L39" s="6" t="str">
        <f>IFERROR(LOOKUP(2,1/((lentry!$A$3:$A$3999=jan!$A39)*(lentry!$B$3:$B$3999&lt;=jan!L$3)*(lentry!$C$3:$C$3999&gt;=jan!L$3)),lentry!$D$3:$D$3999),IF(WEEKDAY(jan!L$3,1)=1,"WO","P"))</f>
        <v>P</v>
      </c>
      <c r="M39" s="6" t="str">
        <f>IFERROR(LOOKUP(2,1/((lentry!$A$3:$A$3999=jan!$A39)*(lentry!$B$3:$B$3999&lt;=jan!M$3)*(lentry!$C$3:$C$3999&gt;=jan!M$3)),lentry!$D$3:$D$3999),IF(WEEKDAY(jan!M$3,1)=1,"WO","P"))</f>
        <v>P</v>
      </c>
      <c r="N39" s="6" t="str">
        <f>IFERROR(LOOKUP(2,1/((lentry!$A$3:$A$3999=jan!$A39)*(lentry!$B$3:$B$3999&lt;=jan!N$3)*(lentry!$C$3:$C$3999&gt;=jan!N$3)),lentry!$D$3:$D$3999),IF(WEEKDAY(jan!N$3,1)=1,"WO","P"))</f>
        <v>P</v>
      </c>
      <c r="O39" s="6" t="str">
        <f>IFERROR(LOOKUP(2,1/((lentry!$A$3:$A$3999=jan!$A39)*(lentry!$B$3:$B$3999&lt;=jan!O$3)*(lentry!$C$3:$C$3999&gt;=jan!O$3)),lentry!$D$3:$D$3999),IF(WEEKDAY(jan!O$3,1)=1,"WO","P"))</f>
        <v>P</v>
      </c>
      <c r="P39" s="6" t="s">
        <v>342</v>
      </c>
      <c r="Q39" s="6" t="str">
        <f>IFERROR(LOOKUP(2,1/((lentry!$A$3:$A$3999=jan!$A39)*(lentry!$B$3:$B$3999&lt;=jan!Q$3)*(lentry!$C$3:$C$3999&gt;=jan!Q$3)),lentry!$D$3:$D$3999),IF(WEEKDAY(jan!Q$3,1)=1,"WO","P"))</f>
        <v>P</v>
      </c>
      <c r="R39" s="6" t="str">
        <f>IFERROR(LOOKUP(2,1/((lentry!$A$3:$A$3999=jan!$A39)*(lentry!$B$3:$B$3999&lt;=jan!R$3)*(lentry!$C$3:$C$3999&gt;=jan!R$3)),lentry!$D$3:$D$3999),IF(WEEKDAY(jan!R$3,1)=1,"WO","P"))</f>
        <v>P</v>
      </c>
      <c r="S39" s="6" t="str">
        <f>IFERROR(LOOKUP(2,1/((lentry!$A$3:$A$3999=jan!$A39)*(lentry!$B$3:$B$3999&lt;=jan!S$3)*(lentry!$C$3:$C$3999&gt;=jan!S$3)),lentry!$D$3:$D$3999),IF(WEEKDAY(jan!S$3,1)=1,"WO","P"))</f>
        <v>P</v>
      </c>
      <c r="T39" s="6" t="str">
        <f>IFERROR(LOOKUP(2,1/((lentry!$A$3:$A$3999=jan!$A39)*(lentry!$B$3:$B$3999&lt;=jan!T$3)*(lentry!$C$3:$C$3999&gt;=jan!T$3)),lentry!$D$3:$D$3999),IF(WEEKDAY(jan!T$3,1)=1,"WO","P"))</f>
        <v>P</v>
      </c>
      <c r="U39" s="6" t="str">
        <f>IFERROR(LOOKUP(2,1/((lentry!$A$3:$A$3999=jan!$A39)*(lentry!$B$3:$B$3999&lt;=jan!U$3)*(lentry!$C$3:$C$3999&gt;=jan!U$3)),lentry!$D$3:$D$3999),IF(WEEKDAY(jan!U$3,1)=1,"WO","P"))</f>
        <v>P</v>
      </c>
      <c r="V39" s="6" t="str">
        <f>IFERROR(LOOKUP(2,1/((lentry!$A$3:$A$3999=jan!$A39)*(lentry!$B$3:$B$3999&lt;=jan!V$3)*(lentry!$C$3:$C$3999&gt;=jan!V$3)),lentry!$D$3:$D$3999),IF(WEEKDAY(jan!V$3,1)=1,"WO","P"))</f>
        <v>P</v>
      </c>
      <c r="W39" s="6" t="str">
        <f>IFERROR(LOOKUP(2,1/((lentry!$A$3:$A$3999=jan!$A39)*(lentry!$B$3:$B$3999&lt;=jan!W$3)*(lentry!$C$3:$C$3999&gt;=jan!W$3)),lentry!$D$3:$D$3999),IF(WEEKDAY(jan!W$3,1)=1,"WO","P"))</f>
        <v>WO</v>
      </c>
      <c r="X39" s="6" t="str">
        <f>IFERROR(LOOKUP(2,1/((lentry!$A$3:$A$3999=jan!$A39)*(lentry!$B$3:$B$3999&lt;=jan!X$3)*(lentry!$C$3:$C$3999&gt;=jan!X$3)),lentry!$D$3:$D$3999),IF(WEEKDAY(jan!X$3,1)=1,"WO","P"))</f>
        <v>P</v>
      </c>
      <c r="Y39" s="6" t="str">
        <f>IFERROR(LOOKUP(2,1/((lentry!$A$3:$A$3999=jan!$A39)*(lentry!$B$3:$B$3999&lt;=jan!Y$3)*(lentry!$C$3:$C$3999&gt;=jan!Y$3)),lentry!$D$3:$D$3999),IF(WEEKDAY(jan!Y$3,1)=1,"WO","P"))</f>
        <v>P</v>
      </c>
      <c r="Z39" s="6" t="str">
        <f>IFERROR(LOOKUP(2,1/((lentry!$A$3:$A$3999=jan!$A39)*(lentry!$B$3:$B$3999&lt;=jan!Z$3)*(lentry!$C$3:$C$3999&gt;=jan!Z$3)),lentry!$D$3:$D$3999),IF(WEEKDAY(jan!Z$3,1)=1,"WO","P"))</f>
        <v>P</v>
      </c>
      <c r="AA39" s="6" t="str">
        <f>IFERROR(LOOKUP(2,1/((lentry!$A$3:$A$3999=jan!$A39)*(lentry!$B$3:$B$3999&lt;=jan!AA$3)*(lentry!$C$3:$C$3999&gt;=jan!AA$3)),lentry!$D$3:$D$3999),IF(WEEKDAY(jan!AA$3,1)=1,"WO","P"))</f>
        <v>P</v>
      </c>
      <c r="AB39" s="6" t="s">
        <v>539</v>
      </c>
      <c r="AC39" s="6" t="str">
        <f>IFERROR(LOOKUP(2,1/((lentry!$A$3:$A$3999=jan!$A39)*(lentry!$B$3:$B$3999&lt;=jan!AC$3)*(lentry!$C$3:$C$3999&gt;=jan!AC$3)),lentry!$D$3:$D$3999),IF(WEEKDAY(jan!AC$3,1)=1,"WO","P"))</f>
        <v>P</v>
      </c>
      <c r="AD39" s="6" t="str">
        <f>IFERROR(LOOKUP(2,1/((lentry!$A$3:$A$3999=jan!$A39)*(lentry!$B$3:$B$3999&lt;=jan!AD$3)*(lentry!$C$3:$C$3999&gt;=jan!AD$3)),lentry!$D$3:$D$3999),IF(WEEKDAY(jan!AD$3,1)=1,"WO","P"))</f>
        <v>WO</v>
      </c>
      <c r="AE39" s="6" t="s">
        <v>350</v>
      </c>
      <c r="AF39" s="6" t="str">
        <f>IFERROR(LOOKUP(2,1/((lentry!$A$3:$A$3999=jan!$A39)*(lentry!$B$3:$B$3999&lt;=jan!AF$3)*(lentry!$C$3:$C$3999&gt;=jan!AF$3)),lentry!$D$3:$D$3999),IF(WEEKDAY(jan!AF$3,1)=1,"WO","P"))</f>
        <v>P</v>
      </c>
      <c r="AG39" s="6" t="str">
        <f>IFERROR(LOOKUP(2,1/((lentry!$A$3:$A$3999=jan!$A39)*(lentry!$B$3:$B$3999&lt;=jan!AG$3)*(lentry!$C$3:$C$3999&gt;=jan!AG$3)),lentry!$D$3:$D$3999),IF(WEEKDAY(jan!AG$3,1)=1,"WO","P"))</f>
        <v>P</v>
      </c>
      <c r="AH39" s="6" t="str">
        <f>IFERROR(LOOKUP(2,1/((lentry!$A$3:$A$3999=jan!$A39)*(lentry!$B$3:$B$3999&lt;=jan!AH$3)*(lentry!$C$3:$C$3999&gt;=jan!AH$3)),lentry!$D$3:$D$3999),IF(WEEKDAY(jan!AH$3,1)=1,"WO","P"))</f>
        <v>P</v>
      </c>
      <c r="AI39" s="6" t="str">
        <f>IFERROR(LOOKUP(2,1/((lentry!$A$3:$A$3999=jan!$A39)*(lentry!$B$3:$B$3999&lt;=jan!AI$3)*(lentry!$C$3:$C$3999&gt;=jan!AI$3)),lentry!$D$3:$D$3999),IF(WEEKDAY(jan!AI$3,1)=1,"WO","P"))</f>
        <v>P</v>
      </c>
      <c r="AJ39" s="6" t="str">
        <f>IFERROR(LOOKUP(2,1/((lentry!$A$3:$A$3999=jan!$A39)*(lentry!$B$3:$B$3999&lt;=jan!AJ$3)*(lentry!$C$3:$C$3999&gt;=jan!AJ$3)),lentry!$D$3:$D$3999),IF(WEEKDAY(jan!AJ$3,1)=1,"WO","P"))</f>
        <v>P</v>
      </c>
      <c r="AK39" s="18">
        <f>COUNTIF(jan!$F39:$AJ39,"WO")</f>
        <v>4</v>
      </c>
      <c r="AL39" s="18">
        <f>COUNTIF(jan!$F39:$AJ39,"H")</f>
        <v>1</v>
      </c>
      <c r="AM39" s="18">
        <f>COUNTIF(jan!$F39:$AJ39,"PL")</f>
        <v>0</v>
      </c>
      <c r="AN39" s="18">
        <f>COUNTIF(jan!$F39:$AJ39,"LWP")</f>
        <v>0</v>
      </c>
      <c r="AO39" s="18">
        <f>COUNTIF(jan!$F39:$AJ39,"HD")</f>
        <v>0</v>
      </c>
      <c r="AP39" s="18">
        <f>COUNTIF(jan!$F39:$AJ39,"SL")</f>
        <v>0</v>
      </c>
      <c r="AQ39" s="18">
        <f>COUNTIF(jan!$F39:$AJ39,"CL")</f>
        <v>0</v>
      </c>
      <c r="AR39" s="18">
        <f>COUNTIF(jan!$F39:$AJ39,"A")</f>
        <v>1</v>
      </c>
      <c r="AS39" s="18">
        <f>COUNTIF(jan!$F39:$AJ39,"P")</f>
        <v>25</v>
      </c>
      <c r="AT39" s="18">
        <f t="shared" si="2"/>
        <v>31</v>
      </c>
      <c r="AU39" s="18">
        <f t="shared" si="3"/>
        <v>30</v>
      </c>
    </row>
    <row r="40" spans="1:47" ht="18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6" t="s">
        <v>539</v>
      </c>
      <c r="G40" s="6" t="str">
        <f>IFERROR(LOOKUP(2,1/((lentry!$A$3:$A$3999=jan!$A40)*(lentry!$B$3:$B$3999&lt;=jan!G$3)*(lentry!$C$3:$C$3999&gt;=jan!G$3)),lentry!$D$3:$D$3999),IF(WEEKDAY(jan!G$3,1)=1,"WO","P"))</f>
        <v>P</v>
      </c>
      <c r="H40" s="6" t="str">
        <f>IFERROR(LOOKUP(2,1/((lentry!$A$3:$A$3999=jan!$A40)*(lentry!$B$3:$B$3999&lt;=jan!H$3)*(lentry!$C$3:$C$3999&gt;=jan!H$3)),lentry!$D$3:$D$3999),IF(WEEKDAY(jan!H$3,1)=1,"WO","P"))</f>
        <v>P</v>
      </c>
      <c r="I40" s="6" t="str">
        <f>IFERROR(LOOKUP(2,1/((lentry!$A$3:$A$3999=jan!$A40)*(lentry!$B$3:$B$3999&lt;=jan!I$3)*(lentry!$C$3:$C$3999&gt;=jan!I$3)),lentry!$D$3:$D$3999),IF(WEEKDAY(jan!I$3,1)=1,"WO","P"))</f>
        <v>WO</v>
      </c>
      <c r="J40" s="6" t="str">
        <f>IFERROR(LOOKUP(2,1/((lentry!$A$3:$A$3999=jan!$A40)*(lentry!$B$3:$B$3999&lt;=jan!J$3)*(lentry!$C$3:$C$3999&gt;=jan!J$3)),lentry!$D$3:$D$3999),IF(WEEKDAY(jan!J$3,1)=1,"WO","P"))</f>
        <v>P</v>
      </c>
      <c r="K40" s="6" t="str">
        <f>IFERROR(LOOKUP(2,1/((lentry!$A$3:$A$3999=jan!$A40)*(lentry!$B$3:$B$3999&lt;=jan!K$3)*(lentry!$C$3:$C$3999&gt;=jan!K$3)),lentry!$D$3:$D$3999),IF(WEEKDAY(jan!K$3,1)=1,"WO","P"))</f>
        <v>P</v>
      </c>
      <c r="L40" s="6" t="str">
        <f>IFERROR(LOOKUP(2,1/((lentry!$A$3:$A$3999=jan!$A40)*(lentry!$B$3:$B$3999&lt;=jan!L$3)*(lentry!$C$3:$C$3999&gt;=jan!L$3)),lentry!$D$3:$D$3999),IF(WEEKDAY(jan!L$3,1)=1,"WO","P"))</f>
        <v>P</v>
      </c>
      <c r="M40" s="6" t="str">
        <f>IFERROR(LOOKUP(2,1/((lentry!$A$3:$A$3999=jan!$A40)*(lentry!$B$3:$B$3999&lt;=jan!M$3)*(lentry!$C$3:$C$3999&gt;=jan!M$3)),lentry!$D$3:$D$3999),IF(WEEKDAY(jan!M$3,1)=1,"WO","P"))</f>
        <v>P</v>
      </c>
      <c r="N40" s="6" t="str">
        <f>IFERROR(LOOKUP(2,1/((lentry!$A$3:$A$3999=jan!$A40)*(lentry!$B$3:$B$3999&lt;=jan!N$3)*(lentry!$C$3:$C$3999&gt;=jan!N$3)),lentry!$D$3:$D$3999),IF(WEEKDAY(jan!N$3,1)=1,"WO","P"))</f>
        <v>P</v>
      </c>
      <c r="O40" s="6" t="str">
        <f>IFERROR(LOOKUP(2,1/((lentry!$A$3:$A$3999=jan!$A40)*(lentry!$B$3:$B$3999&lt;=jan!O$3)*(lentry!$C$3:$C$3999&gt;=jan!O$3)),lentry!$D$3:$D$3999),IF(WEEKDAY(jan!O$3,1)=1,"WO","P"))</f>
        <v>P</v>
      </c>
      <c r="P40" s="6" t="s">
        <v>342</v>
      </c>
      <c r="Q40" s="6" t="str">
        <f>IFERROR(LOOKUP(2,1/((lentry!$A$3:$A$3999=jan!$A40)*(lentry!$B$3:$B$3999&lt;=jan!Q$3)*(lentry!$C$3:$C$3999&gt;=jan!Q$3)),lentry!$D$3:$D$3999),IF(WEEKDAY(jan!Q$3,1)=1,"WO","P"))</f>
        <v>P</v>
      </c>
      <c r="R40" s="6" t="str">
        <f>IFERROR(LOOKUP(2,1/((lentry!$A$3:$A$3999=jan!$A40)*(lentry!$B$3:$B$3999&lt;=jan!R$3)*(lentry!$C$3:$C$3999&gt;=jan!R$3)),lentry!$D$3:$D$3999),IF(WEEKDAY(jan!R$3,1)=1,"WO","P"))</f>
        <v>P</v>
      </c>
      <c r="S40" s="6" t="str">
        <f>IFERROR(LOOKUP(2,1/((lentry!$A$3:$A$3999=jan!$A40)*(lentry!$B$3:$B$3999&lt;=jan!S$3)*(lentry!$C$3:$C$3999&gt;=jan!S$3)),lentry!$D$3:$D$3999),IF(WEEKDAY(jan!S$3,1)=1,"WO","P"))</f>
        <v>P</v>
      </c>
      <c r="T40" s="6" t="str">
        <f>IFERROR(LOOKUP(2,1/((lentry!$A$3:$A$3999=jan!$A40)*(lentry!$B$3:$B$3999&lt;=jan!T$3)*(lentry!$C$3:$C$3999&gt;=jan!T$3)),lentry!$D$3:$D$3999),IF(WEEKDAY(jan!T$3,1)=1,"WO","P"))</f>
        <v>P</v>
      </c>
      <c r="U40" s="6" t="str">
        <f>IFERROR(LOOKUP(2,1/((lentry!$A$3:$A$3999=jan!$A40)*(lentry!$B$3:$B$3999&lt;=jan!U$3)*(lentry!$C$3:$C$3999&gt;=jan!U$3)),lentry!$D$3:$D$3999),IF(WEEKDAY(jan!U$3,1)=1,"WO","P"))</f>
        <v>P</v>
      </c>
      <c r="V40" s="6" t="str">
        <f>IFERROR(LOOKUP(2,1/((lentry!$A$3:$A$3999=jan!$A40)*(lentry!$B$3:$B$3999&lt;=jan!V$3)*(lentry!$C$3:$C$3999&gt;=jan!V$3)),lentry!$D$3:$D$3999),IF(WEEKDAY(jan!V$3,1)=1,"WO","P"))</f>
        <v>P</v>
      </c>
      <c r="W40" s="6" t="str">
        <f>IFERROR(LOOKUP(2,1/((lentry!$A$3:$A$3999=jan!$A40)*(lentry!$B$3:$B$3999&lt;=jan!W$3)*(lentry!$C$3:$C$3999&gt;=jan!W$3)),lentry!$D$3:$D$3999),IF(WEEKDAY(jan!W$3,1)=1,"WO","P"))</f>
        <v>WO</v>
      </c>
      <c r="X40" s="6" t="str">
        <f>IFERROR(LOOKUP(2,1/((lentry!$A$3:$A$3999=jan!$A40)*(lentry!$B$3:$B$3999&lt;=jan!X$3)*(lentry!$C$3:$C$3999&gt;=jan!X$3)),lentry!$D$3:$D$3999),IF(WEEKDAY(jan!X$3,1)=1,"WO","P"))</f>
        <v>P</v>
      </c>
      <c r="Y40" s="6" t="str">
        <f>IFERROR(LOOKUP(2,1/((lentry!$A$3:$A$3999=jan!$A40)*(lentry!$B$3:$B$3999&lt;=jan!Y$3)*(lentry!$C$3:$C$3999&gt;=jan!Y$3)),lentry!$D$3:$D$3999),IF(WEEKDAY(jan!Y$3,1)=1,"WO","P"))</f>
        <v>P</v>
      </c>
      <c r="Z40" s="6" t="str">
        <f>IFERROR(LOOKUP(2,1/((lentry!$A$3:$A$3999=jan!$A40)*(lentry!$B$3:$B$3999&lt;=jan!Z$3)*(lentry!$C$3:$C$3999&gt;=jan!Z$3)),lentry!$D$3:$D$3999),IF(WEEKDAY(jan!Z$3,1)=1,"WO","P"))</f>
        <v>P</v>
      </c>
      <c r="AA40" s="6" t="str">
        <f>IFERROR(LOOKUP(2,1/((lentry!$A$3:$A$3999=jan!$A40)*(lentry!$B$3:$B$3999&lt;=jan!AA$3)*(lentry!$C$3:$C$3999&gt;=jan!AA$3)),lentry!$D$3:$D$3999),IF(WEEKDAY(jan!AA$3,1)=1,"WO","P"))</f>
        <v>P</v>
      </c>
      <c r="AB40" s="6" t="str">
        <f>IFERROR(LOOKUP(2,1/((lentry!$A$3:$A$3999=jan!$A40)*(lentry!$B$3:$B$3999&lt;=jan!AB$3)*(lentry!$C$3:$C$3999&gt;=jan!AB$3)),lentry!$D$3:$D$3999),IF(WEEKDAY(jan!AB$3,1)=1,"WO","P"))</f>
        <v>P</v>
      </c>
      <c r="AC40" s="6" t="str">
        <f>IFERROR(LOOKUP(2,1/((lentry!$A$3:$A$3999=jan!$A40)*(lentry!$B$3:$B$3999&lt;=jan!AC$3)*(lentry!$C$3:$C$3999&gt;=jan!AC$3)),lentry!$D$3:$D$3999),IF(WEEKDAY(jan!AC$3,1)=1,"WO","P"))</f>
        <v>P</v>
      </c>
      <c r="AD40" s="6" t="str">
        <f>IFERROR(LOOKUP(2,1/((lentry!$A$3:$A$3999=jan!$A40)*(lentry!$B$3:$B$3999&lt;=jan!AD$3)*(lentry!$C$3:$C$3999&gt;=jan!AD$3)),lentry!$D$3:$D$3999),IF(WEEKDAY(jan!AD$3,1)=1,"WO","P"))</f>
        <v>WO</v>
      </c>
      <c r="AE40" s="6" t="s">
        <v>350</v>
      </c>
      <c r="AF40" s="6" t="str">
        <f>IFERROR(LOOKUP(2,1/((lentry!$A$3:$A$3999=jan!$A40)*(lentry!$B$3:$B$3999&lt;=jan!AF$3)*(lentry!$C$3:$C$3999&gt;=jan!AF$3)),lentry!$D$3:$D$3999),IF(WEEKDAY(jan!AF$3,1)=1,"WO","P"))</f>
        <v>P</v>
      </c>
      <c r="AG40" s="6" t="str">
        <f>IFERROR(LOOKUP(2,1/((lentry!$A$3:$A$3999=jan!$A40)*(lentry!$B$3:$B$3999&lt;=jan!AG$3)*(lentry!$C$3:$C$3999&gt;=jan!AG$3)),lentry!$D$3:$D$3999),IF(WEEKDAY(jan!AG$3,1)=1,"WO","P"))</f>
        <v>P</v>
      </c>
      <c r="AH40" s="6" t="str">
        <f>IFERROR(LOOKUP(2,1/((lentry!$A$3:$A$3999=jan!$A40)*(lentry!$B$3:$B$3999&lt;=jan!AH$3)*(lentry!$C$3:$C$3999&gt;=jan!AH$3)),lentry!$D$3:$D$3999),IF(WEEKDAY(jan!AH$3,1)=1,"WO","P"))</f>
        <v>P</v>
      </c>
      <c r="AI40" s="6" t="str">
        <f>IFERROR(LOOKUP(2,1/((lentry!$A$3:$A$3999=jan!$A40)*(lentry!$B$3:$B$3999&lt;=jan!AI$3)*(lentry!$C$3:$C$3999&gt;=jan!AI$3)),lentry!$D$3:$D$3999),IF(WEEKDAY(jan!AI$3,1)=1,"WO","P"))</f>
        <v>P</v>
      </c>
      <c r="AJ40" s="6" t="str">
        <f>IFERROR(LOOKUP(2,1/((lentry!$A$3:$A$3999=jan!$A40)*(lentry!$B$3:$B$3999&lt;=jan!AJ$3)*(lentry!$C$3:$C$3999&gt;=jan!AJ$3)),lentry!$D$3:$D$3999),IF(WEEKDAY(jan!AJ$3,1)=1,"WO","P"))</f>
        <v>P</v>
      </c>
      <c r="AK40" s="18">
        <f>COUNTIF(jan!$F40:$AJ40,"WO")</f>
        <v>4</v>
      </c>
      <c r="AL40" s="18">
        <f>COUNTIF(jan!$F40:$AJ40,"H")</f>
        <v>1</v>
      </c>
      <c r="AM40" s="18">
        <f>COUNTIF(jan!$F40:$AJ40,"PL")</f>
        <v>0</v>
      </c>
      <c r="AN40" s="18">
        <f>COUNTIF(jan!$F40:$AJ40,"LWP")</f>
        <v>0</v>
      </c>
      <c r="AO40" s="18">
        <f>COUNTIF(jan!$F40:$AJ40,"HD")</f>
        <v>0</v>
      </c>
      <c r="AP40" s="18">
        <f>COUNTIF(jan!$F40:$AJ40,"SL")</f>
        <v>0</v>
      </c>
      <c r="AQ40" s="18">
        <f>COUNTIF(jan!$F40:$AJ40,"CL")</f>
        <v>0</v>
      </c>
      <c r="AR40" s="18">
        <f>COUNTIF(jan!$F40:$AJ40,"A")</f>
        <v>1</v>
      </c>
      <c r="AS40" s="18">
        <f>COUNTIF(jan!$F40:$AJ40,"P")</f>
        <v>25</v>
      </c>
      <c r="AT40" s="18">
        <f t="shared" si="2"/>
        <v>31</v>
      </c>
      <c r="AU40" s="18">
        <f t="shared" si="3"/>
        <v>30</v>
      </c>
    </row>
    <row r="41" spans="1:47" ht="18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6" t="str">
        <f>IFERROR(LOOKUP(2,1/((lentry!$A$3:$A$3999=jan!$A41)*(lentry!$B$3:$B$3999&lt;=jan!F$3)*(lentry!$C$3:$C$3999&gt;=jan!F$3)),lentry!$D$3:$D$3999),IF(WEEKDAY(jan!F$3,1)=1,"WO","P"))</f>
        <v>P</v>
      </c>
      <c r="G41" s="6" t="str">
        <f>IFERROR(LOOKUP(2,1/((lentry!$A$3:$A$3999=jan!$A41)*(lentry!$B$3:$B$3999&lt;=jan!G$3)*(lentry!$C$3:$C$3999&gt;=jan!G$3)),lentry!$D$3:$D$3999),IF(WEEKDAY(jan!G$3,1)=1,"WO","P"))</f>
        <v>P</v>
      </c>
      <c r="H41" s="6" t="str">
        <f>IFERROR(LOOKUP(2,1/((lentry!$A$3:$A$3999=jan!$A41)*(lentry!$B$3:$B$3999&lt;=jan!H$3)*(lentry!$C$3:$C$3999&gt;=jan!H$3)),lentry!$D$3:$D$3999),IF(WEEKDAY(jan!H$3,1)=1,"WO","P"))</f>
        <v>P</v>
      </c>
      <c r="I41" s="6" t="str">
        <f>IFERROR(LOOKUP(2,1/((lentry!$A$3:$A$3999=jan!$A41)*(lentry!$B$3:$B$3999&lt;=jan!I$3)*(lentry!$C$3:$C$3999&gt;=jan!I$3)),lentry!$D$3:$D$3999),IF(WEEKDAY(jan!I$3,1)=1,"WO","P"))</f>
        <v>WO</v>
      </c>
      <c r="J41" s="6" t="str">
        <f>IFERROR(LOOKUP(2,1/((lentry!$A$3:$A$3999=jan!$A41)*(lentry!$B$3:$B$3999&lt;=jan!J$3)*(lentry!$C$3:$C$3999&gt;=jan!J$3)),lentry!$D$3:$D$3999),IF(WEEKDAY(jan!J$3,1)=1,"WO","P"))</f>
        <v>P</v>
      </c>
      <c r="K41" s="6" t="str">
        <f>IFERROR(LOOKUP(2,1/((lentry!$A$3:$A$3999=jan!$A41)*(lentry!$B$3:$B$3999&lt;=jan!K$3)*(lentry!$C$3:$C$3999&gt;=jan!K$3)),lentry!$D$3:$D$3999),IF(WEEKDAY(jan!K$3,1)=1,"WO","P"))</f>
        <v>P</v>
      </c>
      <c r="L41" s="6" t="str">
        <f>IFERROR(LOOKUP(2,1/((lentry!$A$3:$A$3999=jan!$A41)*(lentry!$B$3:$B$3999&lt;=jan!L$3)*(lentry!$C$3:$C$3999&gt;=jan!L$3)),lentry!$D$3:$D$3999),IF(WEEKDAY(jan!L$3,1)=1,"WO","P"))</f>
        <v>P</v>
      </c>
      <c r="M41" s="6" t="str">
        <f>IFERROR(LOOKUP(2,1/((lentry!$A$3:$A$3999=jan!$A41)*(lentry!$B$3:$B$3999&lt;=jan!M$3)*(lentry!$C$3:$C$3999&gt;=jan!M$3)),lentry!$D$3:$D$3999),IF(WEEKDAY(jan!M$3,1)=1,"WO","P"))</f>
        <v>P</v>
      </c>
      <c r="N41" s="6" t="str">
        <f>IFERROR(LOOKUP(2,1/((lentry!$A$3:$A$3999=jan!$A41)*(lentry!$B$3:$B$3999&lt;=jan!N$3)*(lentry!$C$3:$C$3999&gt;=jan!N$3)),lentry!$D$3:$D$3999),IF(WEEKDAY(jan!N$3,1)=1,"WO","P"))</f>
        <v>P</v>
      </c>
      <c r="O41" s="6" t="str">
        <f>IFERROR(LOOKUP(2,1/((lentry!$A$3:$A$3999=jan!$A41)*(lentry!$B$3:$B$3999&lt;=jan!O$3)*(lentry!$C$3:$C$3999&gt;=jan!O$3)),lentry!$D$3:$D$3999),IF(WEEKDAY(jan!O$3,1)=1,"WO","P"))</f>
        <v>P</v>
      </c>
      <c r="P41" s="6" t="s">
        <v>342</v>
      </c>
      <c r="Q41" s="6" t="str">
        <f>IFERROR(LOOKUP(2,1/((lentry!$A$3:$A$3999=jan!$A41)*(lentry!$B$3:$B$3999&lt;=jan!Q$3)*(lentry!$C$3:$C$3999&gt;=jan!Q$3)),lentry!$D$3:$D$3999),IF(WEEKDAY(jan!Q$3,1)=1,"WO","P"))</f>
        <v>P</v>
      </c>
      <c r="R41" s="6" t="str">
        <f>IFERROR(LOOKUP(2,1/((lentry!$A$3:$A$3999=jan!$A41)*(lentry!$B$3:$B$3999&lt;=jan!R$3)*(lentry!$C$3:$C$3999&gt;=jan!R$3)),lentry!$D$3:$D$3999),IF(WEEKDAY(jan!R$3,1)=1,"WO","P"))</f>
        <v>P</v>
      </c>
      <c r="S41" s="6" t="str">
        <f>IFERROR(LOOKUP(2,1/((lentry!$A$3:$A$3999=jan!$A41)*(lentry!$B$3:$B$3999&lt;=jan!S$3)*(lentry!$C$3:$C$3999&gt;=jan!S$3)),lentry!$D$3:$D$3999),IF(WEEKDAY(jan!S$3,1)=1,"WO","P"))</f>
        <v>P</v>
      </c>
      <c r="T41" s="6" t="str">
        <f>IFERROR(LOOKUP(2,1/((lentry!$A$3:$A$3999=jan!$A41)*(lentry!$B$3:$B$3999&lt;=jan!T$3)*(lentry!$C$3:$C$3999&gt;=jan!T$3)),lentry!$D$3:$D$3999),IF(WEEKDAY(jan!T$3,1)=1,"WO","P"))</f>
        <v>P</v>
      </c>
      <c r="U41" s="6" t="str">
        <f>IFERROR(LOOKUP(2,1/((lentry!$A$3:$A$3999=jan!$A41)*(lentry!$B$3:$B$3999&lt;=jan!U$3)*(lentry!$C$3:$C$3999&gt;=jan!U$3)),lentry!$D$3:$D$3999),IF(WEEKDAY(jan!U$3,1)=1,"WO","P"))</f>
        <v>P</v>
      </c>
      <c r="V41" s="6" t="str">
        <f>IFERROR(LOOKUP(2,1/((lentry!$A$3:$A$3999=jan!$A41)*(lentry!$B$3:$B$3999&lt;=jan!V$3)*(lentry!$C$3:$C$3999&gt;=jan!V$3)),lentry!$D$3:$D$3999),IF(WEEKDAY(jan!V$3,1)=1,"WO","P"))</f>
        <v>P</v>
      </c>
      <c r="W41" s="6" t="str">
        <f>IFERROR(LOOKUP(2,1/((lentry!$A$3:$A$3999=jan!$A41)*(lentry!$B$3:$B$3999&lt;=jan!W$3)*(lentry!$C$3:$C$3999&gt;=jan!W$3)),lentry!$D$3:$D$3999),IF(WEEKDAY(jan!W$3,1)=1,"WO","P"))</f>
        <v>WO</v>
      </c>
      <c r="X41" s="6" t="str">
        <f>IFERROR(LOOKUP(2,1/((lentry!$A$3:$A$3999=jan!$A41)*(lentry!$B$3:$B$3999&lt;=jan!X$3)*(lentry!$C$3:$C$3999&gt;=jan!X$3)),lentry!$D$3:$D$3999),IF(WEEKDAY(jan!X$3,1)=1,"WO","P"))</f>
        <v>P</v>
      </c>
      <c r="Y41" s="6" t="str">
        <f>IFERROR(LOOKUP(2,1/((lentry!$A$3:$A$3999=jan!$A41)*(lentry!$B$3:$B$3999&lt;=jan!Y$3)*(lentry!$C$3:$C$3999&gt;=jan!Y$3)),lentry!$D$3:$D$3999),IF(WEEKDAY(jan!Y$3,1)=1,"WO","P"))</f>
        <v>P</v>
      </c>
      <c r="Z41" s="6" t="str">
        <f>IFERROR(LOOKUP(2,1/((lentry!$A$3:$A$3999=jan!$A41)*(lentry!$B$3:$B$3999&lt;=jan!Z$3)*(lentry!$C$3:$C$3999&gt;=jan!Z$3)),lentry!$D$3:$D$3999),IF(WEEKDAY(jan!Z$3,1)=1,"WO","P"))</f>
        <v>P</v>
      </c>
      <c r="AA41" s="6" t="str">
        <f>IFERROR(LOOKUP(2,1/((lentry!$A$3:$A$3999=jan!$A41)*(lentry!$B$3:$B$3999&lt;=jan!AA$3)*(lentry!$C$3:$C$3999&gt;=jan!AA$3)),lentry!$D$3:$D$3999),IF(WEEKDAY(jan!AA$3,1)=1,"WO","P"))</f>
        <v>P</v>
      </c>
      <c r="AB41" s="6" t="str">
        <f>IFERROR(LOOKUP(2,1/((lentry!$A$3:$A$3999=jan!$A41)*(lentry!$B$3:$B$3999&lt;=jan!AB$3)*(lentry!$C$3:$C$3999&gt;=jan!AB$3)),lentry!$D$3:$D$3999),IF(WEEKDAY(jan!AB$3,1)=1,"WO","P"))</f>
        <v>P</v>
      </c>
      <c r="AC41" s="6" t="str">
        <f>IFERROR(LOOKUP(2,1/((lentry!$A$3:$A$3999=jan!$A41)*(lentry!$B$3:$B$3999&lt;=jan!AC$3)*(lentry!$C$3:$C$3999&gt;=jan!AC$3)),lentry!$D$3:$D$3999),IF(WEEKDAY(jan!AC$3,1)=1,"WO","P"))</f>
        <v>P</v>
      </c>
      <c r="AD41" s="6" t="str">
        <f>IFERROR(LOOKUP(2,1/((lentry!$A$3:$A$3999=jan!$A41)*(lentry!$B$3:$B$3999&lt;=jan!AD$3)*(lentry!$C$3:$C$3999&gt;=jan!AD$3)),lentry!$D$3:$D$3999),IF(WEEKDAY(jan!AD$3,1)=1,"WO","P"))</f>
        <v>WO</v>
      </c>
      <c r="AE41" s="6" t="s">
        <v>350</v>
      </c>
      <c r="AF41" s="6" t="str">
        <f>IFERROR(LOOKUP(2,1/((lentry!$A$3:$A$3999=jan!$A41)*(lentry!$B$3:$B$3999&lt;=jan!AF$3)*(lentry!$C$3:$C$3999&gt;=jan!AF$3)),lentry!$D$3:$D$3999),IF(WEEKDAY(jan!AF$3,1)=1,"WO","P"))</f>
        <v>P</v>
      </c>
      <c r="AG41" s="6" t="str">
        <f>IFERROR(LOOKUP(2,1/((lentry!$A$3:$A$3999=jan!$A41)*(lentry!$B$3:$B$3999&lt;=jan!AG$3)*(lentry!$C$3:$C$3999&gt;=jan!AG$3)),lentry!$D$3:$D$3999),IF(WEEKDAY(jan!AG$3,1)=1,"WO","P"))</f>
        <v>P</v>
      </c>
      <c r="AH41" s="6" t="str">
        <f>IFERROR(LOOKUP(2,1/((lentry!$A$3:$A$3999=jan!$A41)*(lentry!$B$3:$B$3999&lt;=jan!AH$3)*(lentry!$C$3:$C$3999&gt;=jan!AH$3)),lentry!$D$3:$D$3999),IF(WEEKDAY(jan!AH$3,1)=1,"WO","P"))</f>
        <v>P</v>
      </c>
      <c r="AI41" s="6" t="str">
        <f>IFERROR(LOOKUP(2,1/((lentry!$A$3:$A$3999=jan!$A41)*(lentry!$B$3:$B$3999&lt;=jan!AI$3)*(lentry!$C$3:$C$3999&gt;=jan!AI$3)),lentry!$D$3:$D$3999),IF(WEEKDAY(jan!AI$3,1)=1,"WO","P"))</f>
        <v>P</v>
      </c>
      <c r="AJ41" s="6" t="str">
        <f>IFERROR(LOOKUP(2,1/((lentry!$A$3:$A$3999=jan!$A41)*(lentry!$B$3:$B$3999&lt;=jan!AJ$3)*(lentry!$C$3:$C$3999&gt;=jan!AJ$3)),lentry!$D$3:$D$3999),IF(WEEKDAY(jan!AJ$3,1)=1,"WO","P"))</f>
        <v>P</v>
      </c>
      <c r="AK41" s="18">
        <f>COUNTIF(jan!$F41:$AJ41,"WO")</f>
        <v>4</v>
      </c>
      <c r="AL41" s="18">
        <f>COUNTIF(jan!$F41:$AJ41,"H")</f>
        <v>1</v>
      </c>
      <c r="AM41" s="18">
        <f>COUNTIF(jan!$F41:$AJ41,"PL")</f>
        <v>0</v>
      </c>
      <c r="AN41" s="18">
        <f>COUNTIF(jan!$F41:$AJ41,"LWP")</f>
        <v>0</v>
      </c>
      <c r="AO41" s="18">
        <f>COUNTIF(jan!$F41:$AJ41,"HD")</f>
        <v>0</v>
      </c>
      <c r="AP41" s="18">
        <f>COUNTIF(jan!$F41:$AJ41,"SL")</f>
        <v>0</v>
      </c>
      <c r="AQ41" s="18">
        <f>COUNTIF(jan!$F41:$AJ41,"CL")</f>
        <v>0</v>
      </c>
      <c r="AR41" s="18">
        <f>COUNTIF(jan!$F41:$AJ41,"A")</f>
        <v>0</v>
      </c>
      <c r="AS41" s="18">
        <f>COUNTIF(jan!$F41:$AJ41,"P")</f>
        <v>26</v>
      </c>
      <c r="AT41" s="18">
        <f t="shared" si="2"/>
        <v>31</v>
      </c>
      <c r="AU41" s="18">
        <f t="shared" si="3"/>
        <v>31</v>
      </c>
    </row>
    <row r="42" spans="1:47" ht="18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6" t="str">
        <f>IFERROR(LOOKUP(2,1/((lentry!$A$3:$A$3999=jan!$A42)*(lentry!$B$3:$B$3999&lt;=jan!F$3)*(lentry!$C$3:$C$3999&gt;=jan!F$3)),lentry!$D$3:$D$3999),IF(WEEKDAY(jan!F$3,1)=1,"WO","P"))</f>
        <v>P</v>
      </c>
      <c r="G42" s="6" t="str">
        <f>IFERROR(LOOKUP(2,1/((lentry!$A$3:$A$3999=jan!$A42)*(lentry!$B$3:$B$3999&lt;=jan!G$3)*(lentry!$C$3:$C$3999&gt;=jan!G$3)),lentry!$D$3:$D$3999),IF(WEEKDAY(jan!G$3,1)=1,"WO","P"))</f>
        <v>P</v>
      </c>
      <c r="H42" s="6" t="str">
        <f>IFERROR(LOOKUP(2,1/((lentry!$A$3:$A$3999=jan!$A42)*(lentry!$B$3:$B$3999&lt;=jan!H$3)*(lentry!$C$3:$C$3999&gt;=jan!H$3)),lentry!$D$3:$D$3999),IF(WEEKDAY(jan!H$3,1)=1,"WO","P"))</f>
        <v>P</v>
      </c>
      <c r="I42" s="6" t="str">
        <f>IFERROR(LOOKUP(2,1/((lentry!$A$3:$A$3999=jan!$A42)*(lentry!$B$3:$B$3999&lt;=jan!I$3)*(lentry!$C$3:$C$3999&gt;=jan!I$3)),lentry!$D$3:$D$3999),IF(WEEKDAY(jan!I$3,1)=1,"WO","P"))</f>
        <v>WO</v>
      </c>
      <c r="J42" s="6" t="str">
        <f>IFERROR(LOOKUP(2,1/((lentry!$A$3:$A$3999=jan!$A42)*(lentry!$B$3:$B$3999&lt;=jan!J$3)*(lentry!$C$3:$C$3999&gt;=jan!J$3)),lentry!$D$3:$D$3999),IF(WEEKDAY(jan!J$3,1)=1,"WO","P"))</f>
        <v>P</v>
      </c>
      <c r="K42" s="6" t="str">
        <f>IFERROR(LOOKUP(2,1/((lentry!$A$3:$A$3999=jan!$A42)*(lentry!$B$3:$B$3999&lt;=jan!K$3)*(lentry!$C$3:$C$3999&gt;=jan!K$3)),lentry!$D$3:$D$3999),IF(WEEKDAY(jan!K$3,1)=1,"WO","P"))</f>
        <v>P</v>
      </c>
      <c r="L42" s="6" t="str">
        <f>IFERROR(LOOKUP(2,1/((lentry!$A$3:$A$3999=jan!$A42)*(lentry!$B$3:$B$3999&lt;=jan!L$3)*(lentry!$C$3:$C$3999&gt;=jan!L$3)),lentry!$D$3:$D$3999),IF(WEEKDAY(jan!L$3,1)=1,"WO","P"))</f>
        <v>P</v>
      </c>
      <c r="M42" s="6" t="str">
        <f>IFERROR(LOOKUP(2,1/((lentry!$A$3:$A$3999=jan!$A42)*(lentry!$B$3:$B$3999&lt;=jan!M$3)*(lentry!$C$3:$C$3999&gt;=jan!M$3)),lentry!$D$3:$D$3999),IF(WEEKDAY(jan!M$3,1)=1,"WO","P"))</f>
        <v>P</v>
      </c>
      <c r="N42" s="6" t="str">
        <f>IFERROR(LOOKUP(2,1/((lentry!$A$3:$A$3999=jan!$A42)*(lentry!$B$3:$B$3999&lt;=jan!N$3)*(lentry!$C$3:$C$3999&gt;=jan!N$3)),lentry!$D$3:$D$3999),IF(WEEKDAY(jan!N$3,1)=1,"WO","P"))</f>
        <v>P</v>
      </c>
      <c r="O42" s="6" t="str">
        <f>IFERROR(LOOKUP(2,1/((lentry!$A$3:$A$3999=jan!$A42)*(lentry!$B$3:$B$3999&lt;=jan!O$3)*(lentry!$C$3:$C$3999&gt;=jan!O$3)),lentry!$D$3:$D$3999),IF(WEEKDAY(jan!O$3,1)=1,"WO","P"))</f>
        <v>P</v>
      </c>
      <c r="P42" s="6" t="s">
        <v>342</v>
      </c>
      <c r="Q42" s="6" t="str">
        <f>IFERROR(LOOKUP(2,1/((lentry!$A$3:$A$3999=jan!$A42)*(lentry!$B$3:$B$3999&lt;=jan!Q$3)*(lentry!$C$3:$C$3999&gt;=jan!Q$3)),lentry!$D$3:$D$3999),IF(WEEKDAY(jan!Q$3,1)=1,"WO","P"))</f>
        <v>P</v>
      </c>
      <c r="R42" s="6" t="str">
        <f>IFERROR(LOOKUP(2,1/((lentry!$A$3:$A$3999=jan!$A42)*(lentry!$B$3:$B$3999&lt;=jan!R$3)*(lentry!$C$3:$C$3999&gt;=jan!R$3)),lentry!$D$3:$D$3999),IF(WEEKDAY(jan!R$3,1)=1,"WO","P"))</f>
        <v>P</v>
      </c>
      <c r="S42" s="6" t="str">
        <f>IFERROR(LOOKUP(2,1/((lentry!$A$3:$A$3999=jan!$A42)*(lentry!$B$3:$B$3999&lt;=jan!S$3)*(lentry!$C$3:$C$3999&gt;=jan!S$3)),lentry!$D$3:$D$3999),IF(WEEKDAY(jan!S$3,1)=1,"WO","P"))</f>
        <v>P</v>
      </c>
      <c r="T42" s="6" t="str">
        <f>IFERROR(LOOKUP(2,1/((lentry!$A$3:$A$3999=jan!$A42)*(lentry!$B$3:$B$3999&lt;=jan!T$3)*(lentry!$C$3:$C$3999&gt;=jan!T$3)),lentry!$D$3:$D$3999),IF(WEEKDAY(jan!T$3,1)=1,"WO","P"))</f>
        <v>P</v>
      </c>
      <c r="U42" s="6" t="str">
        <f>IFERROR(LOOKUP(2,1/((lentry!$A$3:$A$3999=jan!$A42)*(lentry!$B$3:$B$3999&lt;=jan!U$3)*(lentry!$C$3:$C$3999&gt;=jan!U$3)),lentry!$D$3:$D$3999),IF(WEEKDAY(jan!U$3,1)=1,"WO","P"))</f>
        <v>P</v>
      </c>
      <c r="V42" s="6" t="str">
        <f>IFERROR(LOOKUP(2,1/((lentry!$A$3:$A$3999=jan!$A42)*(lentry!$B$3:$B$3999&lt;=jan!V$3)*(lentry!$C$3:$C$3999&gt;=jan!V$3)),lentry!$D$3:$D$3999),IF(WEEKDAY(jan!V$3,1)=1,"WO","P"))</f>
        <v>P</v>
      </c>
      <c r="W42" s="6" t="str">
        <f>IFERROR(LOOKUP(2,1/((lentry!$A$3:$A$3999=jan!$A42)*(lentry!$B$3:$B$3999&lt;=jan!W$3)*(lentry!$C$3:$C$3999&gt;=jan!W$3)),lentry!$D$3:$D$3999),IF(WEEKDAY(jan!W$3,1)=1,"WO","P"))</f>
        <v>WO</v>
      </c>
      <c r="X42" s="6" t="str">
        <f>IFERROR(LOOKUP(2,1/((lentry!$A$3:$A$3999=jan!$A42)*(lentry!$B$3:$B$3999&lt;=jan!X$3)*(lentry!$C$3:$C$3999&gt;=jan!X$3)),lentry!$D$3:$D$3999),IF(WEEKDAY(jan!X$3,1)=1,"WO","P"))</f>
        <v>P</v>
      </c>
      <c r="Y42" s="6" t="str">
        <f>IFERROR(LOOKUP(2,1/((lentry!$A$3:$A$3999=jan!$A42)*(lentry!$B$3:$B$3999&lt;=jan!Y$3)*(lentry!$C$3:$C$3999&gt;=jan!Y$3)),lentry!$D$3:$D$3999),IF(WEEKDAY(jan!Y$3,1)=1,"WO","P"))</f>
        <v>P</v>
      </c>
      <c r="Z42" s="6" t="str">
        <f>IFERROR(LOOKUP(2,1/((lentry!$A$3:$A$3999=jan!$A42)*(lentry!$B$3:$B$3999&lt;=jan!Z$3)*(lentry!$C$3:$C$3999&gt;=jan!Z$3)),lentry!$D$3:$D$3999),IF(WEEKDAY(jan!Z$3,1)=1,"WO","P"))</f>
        <v>P</v>
      </c>
      <c r="AA42" s="6" t="str">
        <f>IFERROR(LOOKUP(2,1/((lentry!$A$3:$A$3999=jan!$A42)*(lentry!$B$3:$B$3999&lt;=jan!AA$3)*(lentry!$C$3:$C$3999&gt;=jan!AA$3)),lentry!$D$3:$D$3999),IF(WEEKDAY(jan!AA$3,1)=1,"WO","P"))</f>
        <v>P</v>
      </c>
      <c r="AB42" s="6" t="str">
        <f>IFERROR(LOOKUP(2,1/((lentry!$A$3:$A$3999=jan!$A42)*(lentry!$B$3:$B$3999&lt;=jan!AB$3)*(lentry!$C$3:$C$3999&gt;=jan!AB$3)),lentry!$D$3:$D$3999),IF(WEEKDAY(jan!AB$3,1)=1,"WO","P"))</f>
        <v>P</v>
      </c>
      <c r="AC42" s="6" t="str">
        <f>IFERROR(LOOKUP(2,1/((lentry!$A$3:$A$3999=jan!$A42)*(lentry!$B$3:$B$3999&lt;=jan!AC$3)*(lentry!$C$3:$C$3999&gt;=jan!AC$3)),lentry!$D$3:$D$3999),IF(WEEKDAY(jan!AC$3,1)=1,"WO","P"))</f>
        <v>P</v>
      </c>
      <c r="AD42" s="6" t="str">
        <f>IFERROR(LOOKUP(2,1/((lentry!$A$3:$A$3999=jan!$A42)*(lentry!$B$3:$B$3999&lt;=jan!AD$3)*(lentry!$C$3:$C$3999&gt;=jan!AD$3)),lentry!$D$3:$D$3999),IF(WEEKDAY(jan!AD$3,1)=1,"WO","P"))</f>
        <v>WO</v>
      </c>
      <c r="AE42" s="6" t="s">
        <v>350</v>
      </c>
      <c r="AF42" s="6" t="str">
        <f>IFERROR(LOOKUP(2,1/((lentry!$A$3:$A$3999=jan!$A42)*(lentry!$B$3:$B$3999&lt;=jan!AF$3)*(lentry!$C$3:$C$3999&gt;=jan!AF$3)),lentry!$D$3:$D$3999),IF(WEEKDAY(jan!AF$3,1)=1,"WO","P"))</f>
        <v>P</v>
      </c>
      <c r="AG42" s="6" t="str">
        <f>IFERROR(LOOKUP(2,1/((lentry!$A$3:$A$3999=jan!$A42)*(lentry!$B$3:$B$3999&lt;=jan!AG$3)*(lentry!$C$3:$C$3999&gt;=jan!AG$3)),lentry!$D$3:$D$3999),IF(WEEKDAY(jan!AG$3,1)=1,"WO","P"))</f>
        <v>P</v>
      </c>
      <c r="AH42" s="6" t="str">
        <f>IFERROR(LOOKUP(2,1/((lentry!$A$3:$A$3999=jan!$A42)*(lentry!$B$3:$B$3999&lt;=jan!AH$3)*(lentry!$C$3:$C$3999&gt;=jan!AH$3)),lentry!$D$3:$D$3999),IF(WEEKDAY(jan!AH$3,1)=1,"WO","P"))</f>
        <v>P</v>
      </c>
      <c r="AI42" s="6" t="str">
        <f>IFERROR(LOOKUP(2,1/((lentry!$A$3:$A$3999=jan!$A42)*(lentry!$B$3:$B$3999&lt;=jan!AI$3)*(lentry!$C$3:$C$3999&gt;=jan!AI$3)),lentry!$D$3:$D$3999),IF(WEEKDAY(jan!AI$3,1)=1,"WO","P"))</f>
        <v>P</v>
      </c>
      <c r="AJ42" s="6" t="str">
        <f>IFERROR(LOOKUP(2,1/((lentry!$A$3:$A$3999=jan!$A42)*(lentry!$B$3:$B$3999&lt;=jan!AJ$3)*(lentry!$C$3:$C$3999&gt;=jan!AJ$3)),lentry!$D$3:$D$3999),IF(WEEKDAY(jan!AJ$3,1)=1,"WO","P"))</f>
        <v>P</v>
      </c>
      <c r="AK42" s="18">
        <f>COUNTIF(jan!$F42:$AJ42,"WO")</f>
        <v>4</v>
      </c>
      <c r="AL42" s="18">
        <f>COUNTIF(jan!$F42:$AJ42,"H")</f>
        <v>1</v>
      </c>
      <c r="AM42" s="18">
        <f>COUNTIF(jan!$F42:$AJ42,"PL")</f>
        <v>0</v>
      </c>
      <c r="AN42" s="18">
        <f>COUNTIF(jan!$F42:$AJ42,"LWP")</f>
        <v>0</v>
      </c>
      <c r="AO42" s="18">
        <f>COUNTIF(jan!$F42:$AJ42,"HD")</f>
        <v>0</v>
      </c>
      <c r="AP42" s="18">
        <f>COUNTIF(jan!$F42:$AJ42,"SL")</f>
        <v>0</v>
      </c>
      <c r="AQ42" s="18">
        <f>COUNTIF(jan!$F42:$AJ42,"CL")</f>
        <v>0</v>
      </c>
      <c r="AR42" s="18">
        <f>COUNTIF(jan!$F42:$AJ42,"A")</f>
        <v>0</v>
      </c>
      <c r="AS42" s="18">
        <f>COUNTIF(jan!$F42:$AJ42,"P")</f>
        <v>26</v>
      </c>
      <c r="AT42" s="18">
        <f t="shared" si="2"/>
        <v>31</v>
      </c>
      <c r="AU42" s="18">
        <f t="shared" si="3"/>
        <v>31</v>
      </c>
    </row>
    <row r="43" spans="1:47" ht="18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6" t="str">
        <f>IFERROR(LOOKUP(2,1/((lentry!$A$3:$A$3999=jan!$A43)*(lentry!$B$3:$B$3999&lt;=jan!F$3)*(lentry!$C$3:$C$3999&gt;=jan!F$3)),lentry!$D$3:$D$3999),IF(WEEKDAY(jan!F$3,1)=1,"WO","P"))</f>
        <v>P</v>
      </c>
      <c r="G43" s="6" t="str">
        <f>IFERROR(LOOKUP(2,1/((lentry!$A$3:$A$3999=jan!$A43)*(lentry!$B$3:$B$3999&lt;=jan!G$3)*(lentry!$C$3:$C$3999&gt;=jan!G$3)),lentry!$D$3:$D$3999),IF(WEEKDAY(jan!G$3,1)=1,"WO","P"))</f>
        <v>P</v>
      </c>
      <c r="H43" s="6" t="str">
        <f>IFERROR(LOOKUP(2,1/((lentry!$A$3:$A$3999=jan!$A43)*(lentry!$B$3:$B$3999&lt;=jan!H$3)*(lentry!$C$3:$C$3999&gt;=jan!H$3)),lentry!$D$3:$D$3999),IF(WEEKDAY(jan!H$3,1)=1,"WO","P"))</f>
        <v>P</v>
      </c>
      <c r="I43" s="6" t="str">
        <f>IFERROR(LOOKUP(2,1/((lentry!$A$3:$A$3999=jan!$A43)*(lentry!$B$3:$B$3999&lt;=jan!I$3)*(lentry!$C$3:$C$3999&gt;=jan!I$3)),lentry!$D$3:$D$3999),IF(WEEKDAY(jan!I$3,1)=1,"WO","P"))</f>
        <v>WO</v>
      </c>
      <c r="J43" s="6" t="str">
        <f>IFERROR(LOOKUP(2,1/((lentry!$A$3:$A$3999=jan!$A43)*(lentry!$B$3:$B$3999&lt;=jan!J$3)*(lentry!$C$3:$C$3999&gt;=jan!J$3)),lentry!$D$3:$D$3999),IF(WEEKDAY(jan!J$3,1)=1,"WO","P"))</f>
        <v>P</v>
      </c>
      <c r="K43" s="6" t="str">
        <f>IFERROR(LOOKUP(2,1/((lentry!$A$3:$A$3999=jan!$A43)*(lentry!$B$3:$B$3999&lt;=jan!K$3)*(lentry!$C$3:$C$3999&gt;=jan!K$3)),lentry!$D$3:$D$3999),IF(WEEKDAY(jan!K$3,1)=1,"WO","P"))</f>
        <v>P</v>
      </c>
      <c r="L43" s="6" t="str">
        <f>IFERROR(LOOKUP(2,1/((lentry!$A$3:$A$3999=jan!$A43)*(lentry!$B$3:$B$3999&lt;=jan!L$3)*(lentry!$C$3:$C$3999&gt;=jan!L$3)),lentry!$D$3:$D$3999),IF(WEEKDAY(jan!L$3,1)=1,"WO","P"))</f>
        <v>P</v>
      </c>
      <c r="M43" s="6" t="str">
        <f>IFERROR(LOOKUP(2,1/((lentry!$A$3:$A$3999=jan!$A43)*(lentry!$B$3:$B$3999&lt;=jan!M$3)*(lentry!$C$3:$C$3999&gt;=jan!M$3)),lentry!$D$3:$D$3999),IF(WEEKDAY(jan!M$3,1)=1,"WO","P"))</f>
        <v>P</v>
      </c>
      <c r="N43" s="6" t="str">
        <f>IFERROR(LOOKUP(2,1/((lentry!$A$3:$A$3999=jan!$A43)*(lentry!$B$3:$B$3999&lt;=jan!N$3)*(lentry!$C$3:$C$3999&gt;=jan!N$3)),lentry!$D$3:$D$3999),IF(WEEKDAY(jan!N$3,1)=1,"WO","P"))</f>
        <v>P</v>
      </c>
      <c r="O43" s="6" t="str">
        <f>IFERROR(LOOKUP(2,1/((lentry!$A$3:$A$3999=jan!$A43)*(lentry!$B$3:$B$3999&lt;=jan!O$3)*(lentry!$C$3:$C$3999&gt;=jan!O$3)),lentry!$D$3:$D$3999),IF(WEEKDAY(jan!O$3,1)=1,"WO","P"))</f>
        <v>P</v>
      </c>
      <c r="P43" s="6" t="s">
        <v>342</v>
      </c>
      <c r="Q43" s="6" t="str">
        <f>IFERROR(LOOKUP(2,1/((lentry!$A$3:$A$3999=jan!$A43)*(lentry!$B$3:$B$3999&lt;=jan!Q$3)*(lentry!$C$3:$C$3999&gt;=jan!Q$3)),lentry!$D$3:$D$3999),IF(WEEKDAY(jan!Q$3,1)=1,"WO","P"))</f>
        <v>P</v>
      </c>
      <c r="R43" s="6" t="str">
        <f>IFERROR(LOOKUP(2,1/((lentry!$A$3:$A$3999=jan!$A43)*(lentry!$B$3:$B$3999&lt;=jan!R$3)*(lentry!$C$3:$C$3999&gt;=jan!R$3)),lentry!$D$3:$D$3999),IF(WEEKDAY(jan!R$3,1)=1,"WO","P"))</f>
        <v>P</v>
      </c>
      <c r="S43" s="6" t="str">
        <f>IFERROR(LOOKUP(2,1/((lentry!$A$3:$A$3999=jan!$A43)*(lentry!$B$3:$B$3999&lt;=jan!S$3)*(lentry!$C$3:$C$3999&gt;=jan!S$3)),lentry!$D$3:$D$3999),IF(WEEKDAY(jan!S$3,1)=1,"WO","P"))</f>
        <v>P</v>
      </c>
      <c r="T43" s="6" t="str">
        <f>IFERROR(LOOKUP(2,1/((lentry!$A$3:$A$3999=jan!$A43)*(lentry!$B$3:$B$3999&lt;=jan!T$3)*(lentry!$C$3:$C$3999&gt;=jan!T$3)),lentry!$D$3:$D$3999),IF(WEEKDAY(jan!T$3,1)=1,"WO","P"))</f>
        <v>P</v>
      </c>
      <c r="U43" s="6" t="str">
        <f>IFERROR(LOOKUP(2,1/((lentry!$A$3:$A$3999=jan!$A43)*(lentry!$B$3:$B$3999&lt;=jan!U$3)*(lentry!$C$3:$C$3999&gt;=jan!U$3)),lentry!$D$3:$D$3999),IF(WEEKDAY(jan!U$3,1)=1,"WO","P"))</f>
        <v>P</v>
      </c>
      <c r="V43" s="6" t="str">
        <f>IFERROR(LOOKUP(2,1/((lentry!$A$3:$A$3999=jan!$A43)*(lentry!$B$3:$B$3999&lt;=jan!V$3)*(lentry!$C$3:$C$3999&gt;=jan!V$3)),lentry!$D$3:$D$3999),IF(WEEKDAY(jan!V$3,1)=1,"WO","P"))</f>
        <v>P</v>
      </c>
      <c r="W43" s="6" t="str">
        <f>IFERROR(LOOKUP(2,1/((lentry!$A$3:$A$3999=jan!$A43)*(lentry!$B$3:$B$3999&lt;=jan!W$3)*(lentry!$C$3:$C$3999&gt;=jan!W$3)),lentry!$D$3:$D$3999),IF(WEEKDAY(jan!W$3,1)=1,"WO","P"))</f>
        <v>WO</v>
      </c>
      <c r="X43" s="6" t="str">
        <f>IFERROR(LOOKUP(2,1/((lentry!$A$3:$A$3999=jan!$A43)*(lentry!$B$3:$B$3999&lt;=jan!X$3)*(lentry!$C$3:$C$3999&gt;=jan!X$3)),lentry!$D$3:$D$3999),IF(WEEKDAY(jan!X$3,1)=1,"WO","P"))</f>
        <v>P</v>
      </c>
      <c r="Y43" s="6" t="str">
        <f>IFERROR(LOOKUP(2,1/((lentry!$A$3:$A$3999=jan!$A43)*(lentry!$B$3:$B$3999&lt;=jan!Y$3)*(lentry!$C$3:$C$3999&gt;=jan!Y$3)),lentry!$D$3:$D$3999),IF(WEEKDAY(jan!Y$3,1)=1,"WO","P"))</f>
        <v>P</v>
      </c>
      <c r="Z43" s="6" t="str">
        <f>IFERROR(LOOKUP(2,1/((lentry!$A$3:$A$3999=jan!$A43)*(lentry!$B$3:$B$3999&lt;=jan!Z$3)*(lentry!$C$3:$C$3999&gt;=jan!Z$3)),lentry!$D$3:$D$3999),IF(WEEKDAY(jan!Z$3,1)=1,"WO","P"))</f>
        <v>P</v>
      </c>
      <c r="AA43" s="6" t="str">
        <f>IFERROR(LOOKUP(2,1/((lentry!$A$3:$A$3999=jan!$A43)*(lentry!$B$3:$B$3999&lt;=jan!AA$3)*(lentry!$C$3:$C$3999&gt;=jan!AA$3)),lentry!$D$3:$D$3999),IF(WEEKDAY(jan!AA$3,1)=1,"WO","P"))</f>
        <v>P</v>
      </c>
      <c r="AB43" s="6" t="str">
        <f>IFERROR(LOOKUP(2,1/((lentry!$A$3:$A$3999=jan!$A43)*(lentry!$B$3:$B$3999&lt;=jan!AB$3)*(lentry!$C$3:$C$3999&gt;=jan!AB$3)),lentry!$D$3:$D$3999),IF(WEEKDAY(jan!AB$3,1)=1,"WO","P"))</f>
        <v>P</v>
      </c>
      <c r="AC43" s="6" t="str">
        <f>IFERROR(LOOKUP(2,1/((lentry!$A$3:$A$3999=jan!$A43)*(lentry!$B$3:$B$3999&lt;=jan!AC$3)*(lentry!$C$3:$C$3999&gt;=jan!AC$3)),lentry!$D$3:$D$3999),IF(WEEKDAY(jan!AC$3,1)=1,"WO","P"))</f>
        <v>P</v>
      </c>
      <c r="AD43" s="6" t="str">
        <f>IFERROR(LOOKUP(2,1/((lentry!$A$3:$A$3999=jan!$A43)*(lentry!$B$3:$B$3999&lt;=jan!AD$3)*(lentry!$C$3:$C$3999&gt;=jan!AD$3)),lentry!$D$3:$D$3999),IF(WEEKDAY(jan!AD$3,1)=1,"WO","P"))</f>
        <v>WO</v>
      </c>
      <c r="AE43" s="6" t="s">
        <v>350</v>
      </c>
      <c r="AF43" s="6" t="str">
        <f>IFERROR(LOOKUP(2,1/((lentry!$A$3:$A$3999=jan!$A43)*(lentry!$B$3:$B$3999&lt;=jan!AF$3)*(lentry!$C$3:$C$3999&gt;=jan!AF$3)),lentry!$D$3:$D$3999),IF(WEEKDAY(jan!AF$3,1)=1,"WO","P"))</f>
        <v>P</v>
      </c>
      <c r="AG43" s="6" t="str">
        <f>IFERROR(LOOKUP(2,1/((lentry!$A$3:$A$3999=jan!$A43)*(lentry!$B$3:$B$3999&lt;=jan!AG$3)*(lentry!$C$3:$C$3999&gt;=jan!AG$3)),lentry!$D$3:$D$3999),IF(WEEKDAY(jan!AG$3,1)=1,"WO","P"))</f>
        <v>P</v>
      </c>
      <c r="AH43" s="6" t="str">
        <f>IFERROR(LOOKUP(2,1/((lentry!$A$3:$A$3999=jan!$A43)*(lentry!$B$3:$B$3999&lt;=jan!AH$3)*(lentry!$C$3:$C$3999&gt;=jan!AH$3)),lentry!$D$3:$D$3999),IF(WEEKDAY(jan!AH$3,1)=1,"WO","P"))</f>
        <v>P</v>
      </c>
      <c r="AI43" s="6" t="str">
        <f>IFERROR(LOOKUP(2,1/((lentry!$A$3:$A$3999=jan!$A43)*(lentry!$B$3:$B$3999&lt;=jan!AI$3)*(lentry!$C$3:$C$3999&gt;=jan!AI$3)),lentry!$D$3:$D$3999),IF(WEEKDAY(jan!AI$3,1)=1,"WO","P"))</f>
        <v>P</v>
      </c>
      <c r="AJ43" s="6" t="str">
        <f>IFERROR(LOOKUP(2,1/((lentry!$A$3:$A$3999=jan!$A43)*(lentry!$B$3:$B$3999&lt;=jan!AJ$3)*(lentry!$C$3:$C$3999&gt;=jan!AJ$3)),lentry!$D$3:$D$3999),IF(WEEKDAY(jan!AJ$3,1)=1,"WO","P"))</f>
        <v>P</v>
      </c>
      <c r="AK43" s="18">
        <f>COUNTIF(jan!$F43:$AJ43,"WO")</f>
        <v>4</v>
      </c>
      <c r="AL43" s="18">
        <f>COUNTIF(jan!$F43:$AJ43,"H")</f>
        <v>1</v>
      </c>
      <c r="AM43" s="18">
        <f>COUNTIF(jan!$F43:$AJ43,"PL")</f>
        <v>0</v>
      </c>
      <c r="AN43" s="18">
        <f>COUNTIF(jan!$F43:$AJ43,"LWP")</f>
        <v>0</v>
      </c>
      <c r="AO43" s="18">
        <f>COUNTIF(jan!$F43:$AJ43,"HD")</f>
        <v>0</v>
      </c>
      <c r="AP43" s="18">
        <f>COUNTIF(jan!$F43:$AJ43,"SL")</f>
        <v>0</v>
      </c>
      <c r="AQ43" s="18">
        <f>COUNTIF(jan!$F43:$AJ43,"CL")</f>
        <v>0</v>
      </c>
      <c r="AR43" s="18">
        <f>COUNTIF(jan!$F43:$AJ43,"A")</f>
        <v>0</v>
      </c>
      <c r="AS43" s="18">
        <f>COUNTIF(jan!$F43:$AJ43,"P")</f>
        <v>26</v>
      </c>
      <c r="AT43" s="18">
        <f t="shared" si="2"/>
        <v>31</v>
      </c>
      <c r="AU43" s="18">
        <f t="shared" si="3"/>
        <v>31</v>
      </c>
    </row>
    <row r="44" spans="1:47" ht="18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6" t="str">
        <f>IFERROR(LOOKUP(2,1/((lentry!$A$3:$A$3999=jan!$A44)*(lentry!$B$3:$B$3999&lt;=jan!F$3)*(lentry!$C$3:$C$3999&gt;=jan!F$3)),lentry!$D$3:$D$3999),IF(WEEKDAY(jan!F$3,1)=1,"WO","P"))</f>
        <v>P</v>
      </c>
      <c r="G44" s="6" t="str">
        <f>IFERROR(LOOKUP(2,1/((lentry!$A$3:$A$3999=jan!$A44)*(lentry!$B$3:$B$3999&lt;=jan!G$3)*(lentry!$C$3:$C$3999&gt;=jan!G$3)),lentry!$D$3:$D$3999),IF(WEEKDAY(jan!G$3,1)=1,"WO","P"))</f>
        <v>P</v>
      </c>
      <c r="H44" s="6" t="str">
        <f>IFERROR(LOOKUP(2,1/((lentry!$A$3:$A$3999=jan!$A44)*(lentry!$B$3:$B$3999&lt;=jan!H$3)*(lentry!$C$3:$C$3999&gt;=jan!H$3)),lentry!$D$3:$D$3999),IF(WEEKDAY(jan!H$3,1)=1,"WO","P"))</f>
        <v>P</v>
      </c>
      <c r="I44" s="6" t="str">
        <f>IFERROR(LOOKUP(2,1/((lentry!$A$3:$A$3999=jan!$A44)*(lentry!$B$3:$B$3999&lt;=jan!I$3)*(lentry!$C$3:$C$3999&gt;=jan!I$3)),lentry!$D$3:$D$3999),IF(WEEKDAY(jan!I$3,1)=1,"WO","P"))</f>
        <v>WO</v>
      </c>
      <c r="J44" s="6" t="str">
        <f>IFERROR(LOOKUP(2,1/((lentry!$A$3:$A$3999=jan!$A44)*(lentry!$B$3:$B$3999&lt;=jan!J$3)*(lentry!$C$3:$C$3999&gt;=jan!J$3)),lentry!$D$3:$D$3999),IF(WEEKDAY(jan!J$3,1)=1,"WO","P"))</f>
        <v>P</v>
      </c>
      <c r="K44" s="6" t="str">
        <f>IFERROR(LOOKUP(2,1/((lentry!$A$3:$A$3999=jan!$A44)*(lentry!$B$3:$B$3999&lt;=jan!K$3)*(lentry!$C$3:$C$3999&gt;=jan!K$3)),lentry!$D$3:$D$3999),IF(WEEKDAY(jan!K$3,1)=1,"WO","P"))</f>
        <v>P</v>
      </c>
      <c r="L44" s="6" t="str">
        <f>IFERROR(LOOKUP(2,1/((lentry!$A$3:$A$3999=jan!$A44)*(lentry!$B$3:$B$3999&lt;=jan!L$3)*(lentry!$C$3:$C$3999&gt;=jan!L$3)),lentry!$D$3:$D$3999),IF(WEEKDAY(jan!L$3,1)=1,"WO","P"))</f>
        <v>P</v>
      </c>
      <c r="M44" s="6" t="str">
        <f>IFERROR(LOOKUP(2,1/((lentry!$A$3:$A$3999=jan!$A44)*(lentry!$B$3:$B$3999&lt;=jan!M$3)*(lentry!$C$3:$C$3999&gt;=jan!M$3)),lentry!$D$3:$D$3999),IF(WEEKDAY(jan!M$3,1)=1,"WO","P"))</f>
        <v>P</v>
      </c>
      <c r="N44" s="6" t="str">
        <f>IFERROR(LOOKUP(2,1/((lentry!$A$3:$A$3999=jan!$A44)*(lentry!$B$3:$B$3999&lt;=jan!N$3)*(lentry!$C$3:$C$3999&gt;=jan!N$3)),lentry!$D$3:$D$3999),IF(WEEKDAY(jan!N$3,1)=1,"WO","P"))</f>
        <v>P</v>
      </c>
      <c r="O44" s="6" t="str">
        <f>IFERROR(LOOKUP(2,1/((lentry!$A$3:$A$3999=jan!$A44)*(lentry!$B$3:$B$3999&lt;=jan!O$3)*(lentry!$C$3:$C$3999&gt;=jan!O$3)),lentry!$D$3:$D$3999),IF(WEEKDAY(jan!O$3,1)=1,"WO","P"))</f>
        <v>P</v>
      </c>
      <c r="P44" s="6" t="s">
        <v>342</v>
      </c>
      <c r="Q44" s="6" t="str">
        <f>IFERROR(LOOKUP(2,1/((lentry!$A$3:$A$3999=jan!$A44)*(lentry!$B$3:$B$3999&lt;=jan!Q$3)*(lentry!$C$3:$C$3999&gt;=jan!Q$3)),lentry!$D$3:$D$3999),IF(WEEKDAY(jan!Q$3,1)=1,"WO","P"))</f>
        <v>P</v>
      </c>
      <c r="R44" s="6" t="str">
        <f>IFERROR(LOOKUP(2,1/((lentry!$A$3:$A$3999=jan!$A44)*(lentry!$B$3:$B$3999&lt;=jan!R$3)*(lentry!$C$3:$C$3999&gt;=jan!R$3)),lentry!$D$3:$D$3999),IF(WEEKDAY(jan!R$3,1)=1,"WO","P"))</f>
        <v>P</v>
      </c>
      <c r="S44" s="6" t="str">
        <f>IFERROR(LOOKUP(2,1/((lentry!$A$3:$A$3999=jan!$A44)*(lentry!$B$3:$B$3999&lt;=jan!S$3)*(lentry!$C$3:$C$3999&gt;=jan!S$3)),lentry!$D$3:$D$3999),IF(WEEKDAY(jan!S$3,1)=1,"WO","P"))</f>
        <v>P</v>
      </c>
      <c r="T44" s="6" t="str">
        <f>IFERROR(LOOKUP(2,1/((lentry!$A$3:$A$3999=jan!$A44)*(lentry!$B$3:$B$3999&lt;=jan!T$3)*(lentry!$C$3:$C$3999&gt;=jan!T$3)),lentry!$D$3:$D$3999),IF(WEEKDAY(jan!T$3,1)=1,"WO","P"))</f>
        <v>P</v>
      </c>
      <c r="U44" s="6" t="str">
        <f>IFERROR(LOOKUP(2,1/((lentry!$A$3:$A$3999=jan!$A44)*(lentry!$B$3:$B$3999&lt;=jan!U$3)*(lentry!$C$3:$C$3999&gt;=jan!U$3)),lentry!$D$3:$D$3999),IF(WEEKDAY(jan!U$3,1)=1,"WO","P"))</f>
        <v>P</v>
      </c>
      <c r="V44" s="6" t="str">
        <f>IFERROR(LOOKUP(2,1/((lentry!$A$3:$A$3999=jan!$A44)*(lentry!$B$3:$B$3999&lt;=jan!V$3)*(lentry!$C$3:$C$3999&gt;=jan!V$3)),lentry!$D$3:$D$3999),IF(WEEKDAY(jan!V$3,1)=1,"WO","P"))</f>
        <v>P</v>
      </c>
      <c r="W44" s="6" t="str">
        <f>IFERROR(LOOKUP(2,1/((lentry!$A$3:$A$3999=jan!$A44)*(lentry!$B$3:$B$3999&lt;=jan!W$3)*(lentry!$C$3:$C$3999&gt;=jan!W$3)),lentry!$D$3:$D$3999),IF(WEEKDAY(jan!W$3,1)=1,"WO","P"))</f>
        <v>WO</v>
      </c>
      <c r="X44" s="6" t="str">
        <f>IFERROR(LOOKUP(2,1/((lentry!$A$3:$A$3999=jan!$A44)*(lentry!$B$3:$B$3999&lt;=jan!X$3)*(lentry!$C$3:$C$3999&gt;=jan!X$3)),lentry!$D$3:$D$3999),IF(WEEKDAY(jan!X$3,1)=1,"WO","P"))</f>
        <v>P</v>
      </c>
      <c r="Y44" s="6" t="str">
        <f>IFERROR(LOOKUP(2,1/((lentry!$A$3:$A$3999=jan!$A44)*(lentry!$B$3:$B$3999&lt;=jan!Y$3)*(lentry!$C$3:$C$3999&gt;=jan!Y$3)),lentry!$D$3:$D$3999),IF(WEEKDAY(jan!Y$3,1)=1,"WO","P"))</f>
        <v>P</v>
      </c>
      <c r="Z44" s="6" t="str">
        <f>IFERROR(LOOKUP(2,1/((lentry!$A$3:$A$3999=jan!$A44)*(lentry!$B$3:$B$3999&lt;=jan!Z$3)*(lentry!$C$3:$C$3999&gt;=jan!Z$3)),lentry!$D$3:$D$3999),IF(WEEKDAY(jan!Z$3,1)=1,"WO","P"))</f>
        <v>P</v>
      </c>
      <c r="AA44" s="6" t="str">
        <f>IFERROR(LOOKUP(2,1/((lentry!$A$3:$A$3999=jan!$A44)*(lentry!$B$3:$B$3999&lt;=jan!AA$3)*(lentry!$C$3:$C$3999&gt;=jan!AA$3)),lentry!$D$3:$D$3999),IF(WEEKDAY(jan!AA$3,1)=1,"WO","P"))</f>
        <v>P</v>
      </c>
      <c r="AB44" s="6" t="str">
        <f>IFERROR(LOOKUP(2,1/((lentry!$A$3:$A$3999=jan!$A44)*(lentry!$B$3:$B$3999&lt;=jan!AB$3)*(lentry!$C$3:$C$3999&gt;=jan!AB$3)),lentry!$D$3:$D$3999),IF(WEEKDAY(jan!AB$3,1)=1,"WO","P"))</f>
        <v>P</v>
      </c>
      <c r="AC44" s="6" t="str">
        <f>IFERROR(LOOKUP(2,1/((lentry!$A$3:$A$3999=jan!$A44)*(lentry!$B$3:$B$3999&lt;=jan!AC$3)*(lentry!$C$3:$C$3999&gt;=jan!AC$3)),lentry!$D$3:$D$3999),IF(WEEKDAY(jan!AC$3,1)=1,"WO","P"))</f>
        <v>P</v>
      </c>
      <c r="AD44" s="6" t="str">
        <f>IFERROR(LOOKUP(2,1/((lentry!$A$3:$A$3999=jan!$A44)*(lentry!$B$3:$B$3999&lt;=jan!AD$3)*(lentry!$C$3:$C$3999&gt;=jan!AD$3)),lentry!$D$3:$D$3999),IF(WEEKDAY(jan!AD$3,1)=1,"WO","P"))</f>
        <v>WO</v>
      </c>
      <c r="AE44" s="6" t="s">
        <v>350</v>
      </c>
      <c r="AF44" s="6" t="str">
        <f>IFERROR(LOOKUP(2,1/((lentry!$A$3:$A$3999=jan!$A44)*(lentry!$B$3:$B$3999&lt;=jan!AF$3)*(lentry!$C$3:$C$3999&gt;=jan!AF$3)),lentry!$D$3:$D$3999),IF(WEEKDAY(jan!AF$3,1)=1,"WO","P"))</f>
        <v>P</v>
      </c>
      <c r="AG44" s="6" t="str">
        <f>IFERROR(LOOKUP(2,1/((lentry!$A$3:$A$3999=jan!$A44)*(lentry!$B$3:$B$3999&lt;=jan!AG$3)*(lentry!$C$3:$C$3999&gt;=jan!AG$3)),lentry!$D$3:$D$3999),IF(WEEKDAY(jan!AG$3,1)=1,"WO","P"))</f>
        <v>P</v>
      </c>
      <c r="AH44" s="6" t="str">
        <f>IFERROR(LOOKUP(2,1/((lentry!$A$3:$A$3999=jan!$A44)*(lentry!$B$3:$B$3999&lt;=jan!AH$3)*(lentry!$C$3:$C$3999&gt;=jan!AH$3)),lentry!$D$3:$D$3999),IF(WEEKDAY(jan!AH$3,1)=1,"WO","P"))</f>
        <v>P</v>
      </c>
      <c r="AI44" s="6" t="str">
        <f>IFERROR(LOOKUP(2,1/((lentry!$A$3:$A$3999=jan!$A44)*(lentry!$B$3:$B$3999&lt;=jan!AI$3)*(lentry!$C$3:$C$3999&gt;=jan!AI$3)),lentry!$D$3:$D$3999),IF(WEEKDAY(jan!AI$3,1)=1,"WO","P"))</f>
        <v>P</v>
      </c>
      <c r="AJ44" s="6" t="str">
        <f>IFERROR(LOOKUP(2,1/((lentry!$A$3:$A$3999=jan!$A44)*(lentry!$B$3:$B$3999&lt;=jan!AJ$3)*(lentry!$C$3:$C$3999&gt;=jan!AJ$3)),lentry!$D$3:$D$3999),IF(WEEKDAY(jan!AJ$3,1)=1,"WO","P"))</f>
        <v>P</v>
      </c>
      <c r="AK44" s="18">
        <f>COUNTIF(jan!$F44:$AJ44,"WO")</f>
        <v>4</v>
      </c>
      <c r="AL44" s="18">
        <f>COUNTIF(jan!$F44:$AJ44,"H")</f>
        <v>1</v>
      </c>
      <c r="AM44" s="18">
        <f>COUNTIF(jan!$F44:$AJ44,"PL")</f>
        <v>0</v>
      </c>
      <c r="AN44" s="18">
        <f>COUNTIF(jan!$F44:$AJ44,"LWP")</f>
        <v>0</v>
      </c>
      <c r="AO44" s="18">
        <f>COUNTIF(jan!$F44:$AJ44,"HD")</f>
        <v>0</v>
      </c>
      <c r="AP44" s="18">
        <f>COUNTIF(jan!$F44:$AJ44,"SL")</f>
        <v>0</v>
      </c>
      <c r="AQ44" s="18">
        <f>COUNTIF(jan!$F44:$AJ44,"CL")</f>
        <v>0</v>
      </c>
      <c r="AR44" s="18">
        <f>COUNTIF(jan!$F44:$AJ44,"A")</f>
        <v>0</v>
      </c>
      <c r="AS44" s="18">
        <f>COUNTIF(jan!$F44:$AJ44,"P")</f>
        <v>26</v>
      </c>
      <c r="AT44" s="18">
        <f t="shared" si="2"/>
        <v>31</v>
      </c>
      <c r="AU44" s="18">
        <f t="shared" si="3"/>
        <v>31</v>
      </c>
    </row>
    <row r="45" spans="1:47" ht="18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6" t="str">
        <f>IFERROR(LOOKUP(2,1/((lentry!$A$3:$A$3999=jan!$A45)*(lentry!$B$3:$B$3999&lt;=jan!F$3)*(lentry!$C$3:$C$3999&gt;=jan!F$3)),lentry!$D$3:$D$3999),IF(WEEKDAY(jan!F$3,1)=1,"WO","P"))</f>
        <v>P</v>
      </c>
      <c r="G45" s="6" t="str">
        <f>IFERROR(LOOKUP(2,1/((lentry!$A$3:$A$3999=jan!$A45)*(lentry!$B$3:$B$3999&lt;=jan!G$3)*(lentry!$C$3:$C$3999&gt;=jan!G$3)),lentry!$D$3:$D$3999),IF(WEEKDAY(jan!G$3,1)=1,"WO","P"))</f>
        <v>P</v>
      </c>
      <c r="H45" s="6" t="str">
        <f>IFERROR(LOOKUP(2,1/((lentry!$A$3:$A$3999=jan!$A45)*(lentry!$B$3:$B$3999&lt;=jan!H$3)*(lentry!$C$3:$C$3999&gt;=jan!H$3)),lentry!$D$3:$D$3999),IF(WEEKDAY(jan!H$3,1)=1,"WO","P"))</f>
        <v>P</v>
      </c>
      <c r="I45" s="6" t="str">
        <f>IFERROR(LOOKUP(2,1/((lentry!$A$3:$A$3999=jan!$A45)*(lentry!$B$3:$B$3999&lt;=jan!I$3)*(lentry!$C$3:$C$3999&gt;=jan!I$3)),lentry!$D$3:$D$3999),IF(WEEKDAY(jan!I$3,1)=1,"WO","P"))</f>
        <v>WO</v>
      </c>
      <c r="J45" s="6" t="str">
        <f>IFERROR(LOOKUP(2,1/((lentry!$A$3:$A$3999=jan!$A45)*(lentry!$B$3:$B$3999&lt;=jan!J$3)*(lentry!$C$3:$C$3999&gt;=jan!J$3)),lentry!$D$3:$D$3999),IF(WEEKDAY(jan!J$3,1)=1,"WO","P"))</f>
        <v>P</v>
      </c>
      <c r="K45" s="6" t="str">
        <f>IFERROR(LOOKUP(2,1/((lentry!$A$3:$A$3999=jan!$A45)*(lentry!$B$3:$B$3999&lt;=jan!K$3)*(lentry!$C$3:$C$3999&gt;=jan!K$3)),lentry!$D$3:$D$3999),IF(WEEKDAY(jan!K$3,1)=1,"WO","P"))</f>
        <v>P</v>
      </c>
      <c r="L45" s="6" t="str">
        <f>IFERROR(LOOKUP(2,1/((lentry!$A$3:$A$3999=jan!$A45)*(lentry!$B$3:$B$3999&lt;=jan!L$3)*(lentry!$C$3:$C$3999&gt;=jan!L$3)),lentry!$D$3:$D$3999),IF(WEEKDAY(jan!L$3,1)=1,"WO","P"))</f>
        <v>P</v>
      </c>
      <c r="M45" s="6" t="str">
        <f>IFERROR(LOOKUP(2,1/((lentry!$A$3:$A$3999=jan!$A45)*(lentry!$B$3:$B$3999&lt;=jan!M$3)*(lentry!$C$3:$C$3999&gt;=jan!M$3)),lentry!$D$3:$D$3999),IF(WEEKDAY(jan!M$3,1)=1,"WO","P"))</f>
        <v>P</v>
      </c>
      <c r="N45" s="6" t="str">
        <f>IFERROR(LOOKUP(2,1/((lentry!$A$3:$A$3999=jan!$A45)*(lentry!$B$3:$B$3999&lt;=jan!N$3)*(lentry!$C$3:$C$3999&gt;=jan!N$3)),lentry!$D$3:$D$3999),IF(WEEKDAY(jan!N$3,1)=1,"WO","P"))</f>
        <v>P</v>
      </c>
      <c r="O45" s="6" t="str">
        <f>IFERROR(LOOKUP(2,1/((lentry!$A$3:$A$3999=jan!$A45)*(lentry!$B$3:$B$3999&lt;=jan!O$3)*(lentry!$C$3:$C$3999&gt;=jan!O$3)),lentry!$D$3:$D$3999),IF(WEEKDAY(jan!O$3,1)=1,"WO","P"))</f>
        <v>P</v>
      </c>
      <c r="P45" s="6" t="s">
        <v>342</v>
      </c>
      <c r="Q45" s="6" t="str">
        <f>IFERROR(LOOKUP(2,1/((lentry!$A$3:$A$3999=jan!$A45)*(lentry!$B$3:$B$3999&lt;=jan!Q$3)*(lentry!$C$3:$C$3999&gt;=jan!Q$3)),lentry!$D$3:$D$3999),IF(WEEKDAY(jan!Q$3,1)=1,"WO","P"))</f>
        <v>P</v>
      </c>
      <c r="R45" s="6" t="str">
        <f>IFERROR(LOOKUP(2,1/((lentry!$A$3:$A$3999=jan!$A45)*(lentry!$B$3:$B$3999&lt;=jan!R$3)*(lentry!$C$3:$C$3999&gt;=jan!R$3)),lentry!$D$3:$D$3999),IF(WEEKDAY(jan!R$3,1)=1,"WO","P"))</f>
        <v>P</v>
      </c>
      <c r="S45" s="6" t="str">
        <f>IFERROR(LOOKUP(2,1/((lentry!$A$3:$A$3999=jan!$A45)*(lentry!$B$3:$B$3999&lt;=jan!S$3)*(lentry!$C$3:$C$3999&gt;=jan!S$3)),lentry!$D$3:$D$3999),IF(WEEKDAY(jan!S$3,1)=1,"WO","P"))</f>
        <v>P</v>
      </c>
      <c r="T45" s="6" t="str">
        <f>IFERROR(LOOKUP(2,1/((lentry!$A$3:$A$3999=jan!$A45)*(lentry!$B$3:$B$3999&lt;=jan!T$3)*(lentry!$C$3:$C$3999&gt;=jan!T$3)),lentry!$D$3:$D$3999),IF(WEEKDAY(jan!T$3,1)=1,"WO","P"))</f>
        <v>P</v>
      </c>
      <c r="U45" s="6" t="str">
        <f>IFERROR(LOOKUP(2,1/((lentry!$A$3:$A$3999=jan!$A45)*(lentry!$B$3:$B$3999&lt;=jan!U$3)*(lentry!$C$3:$C$3999&gt;=jan!U$3)),lentry!$D$3:$D$3999),IF(WEEKDAY(jan!U$3,1)=1,"WO","P"))</f>
        <v>P</v>
      </c>
      <c r="V45" s="6" t="str">
        <f>IFERROR(LOOKUP(2,1/((lentry!$A$3:$A$3999=jan!$A45)*(lentry!$B$3:$B$3999&lt;=jan!V$3)*(lentry!$C$3:$C$3999&gt;=jan!V$3)),lentry!$D$3:$D$3999),IF(WEEKDAY(jan!V$3,1)=1,"WO","P"))</f>
        <v>P</v>
      </c>
      <c r="W45" s="6" t="str">
        <f>IFERROR(LOOKUP(2,1/((lentry!$A$3:$A$3999=jan!$A45)*(lentry!$B$3:$B$3999&lt;=jan!W$3)*(lentry!$C$3:$C$3999&gt;=jan!W$3)),lentry!$D$3:$D$3999),IF(WEEKDAY(jan!W$3,1)=1,"WO","P"))</f>
        <v>WO</v>
      </c>
      <c r="X45" s="6" t="str">
        <f>IFERROR(LOOKUP(2,1/((lentry!$A$3:$A$3999=jan!$A45)*(lentry!$B$3:$B$3999&lt;=jan!X$3)*(lentry!$C$3:$C$3999&gt;=jan!X$3)),lentry!$D$3:$D$3999),IF(WEEKDAY(jan!X$3,1)=1,"WO","P"))</f>
        <v>P</v>
      </c>
      <c r="Y45" s="6" t="str">
        <f>IFERROR(LOOKUP(2,1/((lentry!$A$3:$A$3999=jan!$A45)*(lentry!$B$3:$B$3999&lt;=jan!Y$3)*(lentry!$C$3:$C$3999&gt;=jan!Y$3)),lentry!$D$3:$D$3999),IF(WEEKDAY(jan!Y$3,1)=1,"WO","P"))</f>
        <v>P</v>
      </c>
      <c r="Z45" s="6" t="str">
        <f>IFERROR(LOOKUP(2,1/((lentry!$A$3:$A$3999=jan!$A45)*(lentry!$B$3:$B$3999&lt;=jan!Z$3)*(lentry!$C$3:$C$3999&gt;=jan!Z$3)),lentry!$D$3:$D$3999),IF(WEEKDAY(jan!Z$3,1)=1,"WO","P"))</f>
        <v>P</v>
      </c>
      <c r="AA45" s="6" t="str">
        <f>IFERROR(LOOKUP(2,1/((lentry!$A$3:$A$3999=jan!$A45)*(lentry!$B$3:$B$3999&lt;=jan!AA$3)*(lentry!$C$3:$C$3999&gt;=jan!AA$3)),lentry!$D$3:$D$3999),IF(WEEKDAY(jan!AA$3,1)=1,"WO","P"))</f>
        <v>P</v>
      </c>
      <c r="AB45" s="6" t="str">
        <f>IFERROR(LOOKUP(2,1/((lentry!$A$3:$A$3999=jan!$A45)*(lentry!$B$3:$B$3999&lt;=jan!AB$3)*(lentry!$C$3:$C$3999&gt;=jan!AB$3)),lentry!$D$3:$D$3999),IF(WEEKDAY(jan!AB$3,1)=1,"WO","P"))</f>
        <v>P</v>
      </c>
      <c r="AC45" s="6" t="str">
        <f>IFERROR(LOOKUP(2,1/((lentry!$A$3:$A$3999=jan!$A45)*(lentry!$B$3:$B$3999&lt;=jan!AC$3)*(lentry!$C$3:$C$3999&gt;=jan!AC$3)),lentry!$D$3:$D$3999),IF(WEEKDAY(jan!AC$3,1)=1,"WO","P"))</f>
        <v>P</v>
      </c>
      <c r="AD45" s="6" t="str">
        <f>IFERROR(LOOKUP(2,1/((lentry!$A$3:$A$3999=jan!$A45)*(lentry!$B$3:$B$3999&lt;=jan!AD$3)*(lentry!$C$3:$C$3999&gt;=jan!AD$3)),lentry!$D$3:$D$3999),IF(WEEKDAY(jan!AD$3,1)=1,"WO","P"))</f>
        <v>WO</v>
      </c>
      <c r="AE45" s="6" t="s">
        <v>350</v>
      </c>
      <c r="AF45" s="6" t="str">
        <f>IFERROR(LOOKUP(2,1/((lentry!$A$3:$A$3999=jan!$A45)*(lentry!$B$3:$B$3999&lt;=jan!AF$3)*(lentry!$C$3:$C$3999&gt;=jan!AF$3)),lentry!$D$3:$D$3999),IF(WEEKDAY(jan!AF$3,1)=1,"WO","P"))</f>
        <v>P</v>
      </c>
      <c r="AG45" s="6" t="str">
        <f>IFERROR(LOOKUP(2,1/((lentry!$A$3:$A$3999=jan!$A45)*(lentry!$B$3:$B$3999&lt;=jan!AG$3)*(lentry!$C$3:$C$3999&gt;=jan!AG$3)),lentry!$D$3:$D$3999),IF(WEEKDAY(jan!AG$3,1)=1,"WO","P"))</f>
        <v>P</v>
      </c>
      <c r="AH45" s="6" t="str">
        <f>IFERROR(LOOKUP(2,1/((lentry!$A$3:$A$3999=jan!$A45)*(lentry!$B$3:$B$3999&lt;=jan!AH$3)*(lentry!$C$3:$C$3999&gt;=jan!AH$3)),lentry!$D$3:$D$3999),IF(WEEKDAY(jan!AH$3,1)=1,"WO","P"))</f>
        <v>P</v>
      </c>
      <c r="AI45" s="6" t="str">
        <f>IFERROR(LOOKUP(2,1/((lentry!$A$3:$A$3999=jan!$A45)*(lentry!$B$3:$B$3999&lt;=jan!AI$3)*(lentry!$C$3:$C$3999&gt;=jan!AI$3)),lentry!$D$3:$D$3999),IF(WEEKDAY(jan!AI$3,1)=1,"WO","P"))</f>
        <v>P</v>
      </c>
      <c r="AJ45" s="6" t="str">
        <f>IFERROR(LOOKUP(2,1/((lentry!$A$3:$A$3999=jan!$A45)*(lentry!$B$3:$B$3999&lt;=jan!AJ$3)*(lentry!$C$3:$C$3999&gt;=jan!AJ$3)),lentry!$D$3:$D$3999),IF(WEEKDAY(jan!AJ$3,1)=1,"WO","P"))</f>
        <v>P</v>
      </c>
      <c r="AK45" s="18">
        <f>COUNTIF(jan!$F45:$AJ45,"WO")</f>
        <v>4</v>
      </c>
      <c r="AL45" s="18">
        <f>COUNTIF(jan!$F45:$AJ45,"H")</f>
        <v>1</v>
      </c>
      <c r="AM45" s="18">
        <f>COUNTIF(jan!$F45:$AJ45,"PL")</f>
        <v>0</v>
      </c>
      <c r="AN45" s="18">
        <f>COUNTIF(jan!$F45:$AJ45,"LWP")</f>
        <v>0</v>
      </c>
      <c r="AO45" s="18">
        <f>COUNTIF(jan!$F45:$AJ45,"HD")</f>
        <v>0</v>
      </c>
      <c r="AP45" s="18">
        <f>COUNTIF(jan!$F45:$AJ45,"SL")</f>
        <v>0</v>
      </c>
      <c r="AQ45" s="18">
        <f>COUNTIF(jan!$F45:$AJ45,"CL")</f>
        <v>0</v>
      </c>
      <c r="AR45" s="18">
        <f>COUNTIF(jan!$F45:$AJ45,"A")</f>
        <v>0</v>
      </c>
      <c r="AS45" s="18">
        <f>COUNTIF(jan!$F45:$AJ45,"P")</f>
        <v>26</v>
      </c>
      <c r="AT45" s="18">
        <f t="shared" si="2"/>
        <v>31</v>
      </c>
      <c r="AU45" s="18">
        <f t="shared" si="3"/>
        <v>31</v>
      </c>
    </row>
    <row r="46" spans="1:47" ht="18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6" t="str">
        <f>IFERROR(LOOKUP(2,1/((lentry!$A$3:$A$3999=jan!$A46)*(lentry!$B$3:$B$3999&lt;=jan!F$3)*(lentry!$C$3:$C$3999&gt;=jan!F$3)),lentry!$D$3:$D$3999),IF(WEEKDAY(jan!F$3,1)=1,"WO","P"))</f>
        <v>P</v>
      </c>
      <c r="G46" s="6" t="str">
        <f>IFERROR(LOOKUP(2,1/((lentry!$A$3:$A$3999=jan!$A46)*(lentry!$B$3:$B$3999&lt;=jan!G$3)*(lentry!$C$3:$C$3999&gt;=jan!G$3)),lentry!$D$3:$D$3999),IF(WEEKDAY(jan!G$3,1)=1,"WO","P"))</f>
        <v>P</v>
      </c>
      <c r="H46" s="6" t="str">
        <f>IFERROR(LOOKUP(2,1/((lentry!$A$3:$A$3999=jan!$A46)*(lentry!$B$3:$B$3999&lt;=jan!H$3)*(lentry!$C$3:$C$3999&gt;=jan!H$3)),lentry!$D$3:$D$3999),IF(WEEKDAY(jan!H$3,1)=1,"WO","P"))</f>
        <v>P</v>
      </c>
      <c r="I46" s="6" t="str">
        <f>IFERROR(LOOKUP(2,1/((lentry!$A$3:$A$3999=jan!$A46)*(lentry!$B$3:$B$3999&lt;=jan!I$3)*(lentry!$C$3:$C$3999&gt;=jan!I$3)),lentry!$D$3:$D$3999),IF(WEEKDAY(jan!I$3,1)=1,"WO","P"))</f>
        <v>WO</v>
      </c>
      <c r="J46" s="6" t="str">
        <f>IFERROR(LOOKUP(2,1/((lentry!$A$3:$A$3999=jan!$A46)*(lentry!$B$3:$B$3999&lt;=jan!J$3)*(lentry!$C$3:$C$3999&gt;=jan!J$3)),lentry!$D$3:$D$3999),IF(WEEKDAY(jan!J$3,1)=1,"WO","P"))</f>
        <v>P</v>
      </c>
      <c r="K46" s="6" t="str">
        <f>IFERROR(LOOKUP(2,1/((lentry!$A$3:$A$3999=jan!$A46)*(lentry!$B$3:$B$3999&lt;=jan!K$3)*(lentry!$C$3:$C$3999&gt;=jan!K$3)),lentry!$D$3:$D$3999),IF(WEEKDAY(jan!K$3,1)=1,"WO","P"))</f>
        <v>P</v>
      </c>
      <c r="L46" s="6" t="str">
        <f>IFERROR(LOOKUP(2,1/((lentry!$A$3:$A$3999=jan!$A46)*(lentry!$B$3:$B$3999&lt;=jan!L$3)*(lentry!$C$3:$C$3999&gt;=jan!L$3)),lentry!$D$3:$D$3999),IF(WEEKDAY(jan!L$3,1)=1,"WO","P"))</f>
        <v>P</v>
      </c>
      <c r="M46" s="6" t="str">
        <f>IFERROR(LOOKUP(2,1/((lentry!$A$3:$A$3999=jan!$A46)*(lentry!$B$3:$B$3999&lt;=jan!M$3)*(lentry!$C$3:$C$3999&gt;=jan!M$3)),lentry!$D$3:$D$3999),IF(WEEKDAY(jan!M$3,1)=1,"WO","P"))</f>
        <v>P</v>
      </c>
      <c r="N46" s="6" t="str">
        <f>IFERROR(LOOKUP(2,1/((lentry!$A$3:$A$3999=jan!$A46)*(lentry!$B$3:$B$3999&lt;=jan!N$3)*(lentry!$C$3:$C$3999&gt;=jan!N$3)),lentry!$D$3:$D$3999),IF(WEEKDAY(jan!N$3,1)=1,"WO","P"))</f>
        <v>P</v>
      </c>
      <c r="O46" s="6" t="str">
        <f>IFERROR(LOOKUP(2,1/((lentry!$A$3:$A$3999=jan!$A46)*(lentry!$B$3:$B$3999&lt;=jan!O$3)*(lentry!$C$3:$C$3999&gt;=jan!O$3)),lentry!$D$3:$D$3999),IF(WEEKDAY(jan!O$3,1)=1,"WO","P"))</f>
        <v>P</v>
      </c>
      <c r="P46" s="6" t="s">
        <v>342</v>
      </c>
      <c r="Q46" s="6" t="str">
        <f>IFERROR(LOOKUP(2,1/((lentry!$A$3:$A$3999=jan!$A46)*(lentry!$B$3:$B$3999&lt;=jan!Q$3)*(lentry!$C$3:$C$3999&gt;=jan!Q$3)),lentry!$D$3:$D$3999),IF(WEEKDAY(jan!Q$3,1)=1,"WO","P"))</f>
        <v>P</v>
      </c>
      <c r="R46" s="6" t="str">
        <f>IFERROR(LOOKUP(2,1/((lentry!$A$3:$A$3999=jan!$A46)*(lentry!$B$3:$B$3999&lt;=jan!R$3)*(lentry!$C$3:$C$3999&gt;=jan!R$3)),lentry!$D$3:$D$3999),IF(WEEKDAY(jan!R$3,1)=1,"WO","P"))</f>
        <v>P</v>
      </c>
      <c r="S46" s="6" t="str">
        <f>IFERROR(LOOKUP(2,1/((lentry!$A$3:$A$3999=jan!$A46)*(lentry!$B$3:$B$3999&lt;=jan!S$3)*(lentry!$C$3:$C$3999&gt;=jan!S$3)),lentry!$D$3:$D$3999),IF(WEEKDAY(jan!S$3,1)=1,"WO","P"))</f>
        <v>P</v>
      </c>
      <c r="T46" s="6" t="str">
        <f>IFERROR(LOOKUP(2,1/((lentry!$A$3:$A$3999=jan!$A46)*(lentry!$B$3:$B$3999&lt;=jan!T$3)*(lentry!$C$3:$C$3999&gt;=jan!T$3)),lentry!$D$3:$D$3999),IF(WEEKDAY(jan!T$3,1)=1,"WO","P"))</f>
        <v>P</v>
      </c>
      <c r="U46" s="6" t="str">
        <f>IFERROR(LOOKUP(2,1/((lentry!$A$3:$A$3999=jan!$A46)*(lentry!$B$3:$B$3999&lt;=jan!U$3)*(lentry!$C$3:$C$3999&gt;=jan!U$3)),lentry!$D$3:$D$3999),IF(WEEKDAY(jan!U$3,1)=1,"WO","P"))</f>
        <v>P</v>
      </c>
      <c r="V46" s="6" t="str">
        <f>IFERROR(LOOKUP(2,1/((lentry!$A$3:$A$3999=jan!$A46)*(lentry!$B$3:$B$3999&lt;=jan!V$3)*(lentry!$C$3:$C$3999&gt;=jan!V$3)),lentry!$D$3:$D$3999),IF(WEEKDAY(jan!V$3,1)=1,"WO","P"))</f>
        <v>P</v>
      </c>
      <c r="W46" s="6" t="str">
        <f>IFERROR(LOOKUP(2,1/((lentry!$A$3:$A$3999=jan!$A46)*(lentry!$B$3:$B$3999&lt;=jan!W$3)*(lentry!$C$3:$C$3999&gt;=jan!W$3)),lentry!$D$3:$D$3999),IF(WEEKDAY(jan!W$3,1)=1,"WO","P"))</f>
        <v>WO</v>
      </c>
      <c r="X46" s="6" t="str">
        <f>IFERROR(LOOKUP(2,1/((lentry!$A$3:$A$3999=jan!$A46)*(lentry!$B$3:$B$3999&lt;=jan!X$3)*(lentry!$C$3:$C$3999&gt;=jan!X$3)),lentry!$D$3:$D$3999),IF(WEEKDAY(jan!X$3,1)=1,"WO","P"))</f>
        <v>P</v>
      </c>
      <c r="Y46" s="6" t="str">
        <f>IFERROR(LOOKUP(2,1/((lentry!$A$3:$A$3999=jan!$A46)*(lentry!$B$3:$B$3999&lt;=jan!Y$3)*(lentry!$C$3:$C$3999&gt;=jan!Y$3)),lentry!$D$3:$D$3999),IF(WEEKDAY(jan!Y$3,1)=1,"WO","P"))</f>
        <v>P</v>
      </c>
      <c r="Z46" s="6" t="str">
        <f>IFERROR(LOOKUP(2,1/((lentry!$A$3:$A$3999=jan!$A46)*(lentry!$B$3:$B$3999&lt;=jan!Z$3)*(lentry!$C$3:$C$3999&gt;=jan!Z$3)),lentry!$D$3:$D$3999),IF(WEEKDAY(jan!Z$3,1)=1,"WO","P"))</f>
        <v>P</v>
      </c>
      <c r="AA46" s="6" t="str">
        <f>IFERROR(LOOKUP(2,1/((lentry!$A$3:$A$3999=jan!$A46)*(lentry!$B$3:$B$3999&lt;=jan!AA$3)*(lentry!$C$3:$C$3999&gt;=jan!AA$3)),lentry!$D$3:$D$3999),IF(WEEKDAY(jan!AA$3,1)=1,"WO","P"))</f>
        <v>P</v>
      </c>
      <c r="AB46" s="6" t="str">
        <f>IFERROR(LOOKUP(2,1/((lentry!$A$3:$A$3999=jan!$A46)*(lentry!$B$3:$B$3999&lt;=jan!AB$3)*(lentry!$C$3:$C$3999&gt;=jan!AB$3)),lentry!$D$3:$D$3999),IF(WEEKDAY(jan!AB$3,1)=1,"WO","P"))</f>
        <v>P</v>
      </c>
      <c r="AC46" s="6" t="str">
        <f>IFERROR(LOOKUP(2,1/((lentry!$A$3:$A$3999=jan!$A46)*(lentry!$B$3:$B$3999&lt;=jan!AC$3)*(lentry!$C$3:$C$3999&gt;=jan!AC$3)),lentry!$D$3:$D$3999),IF(WEEKDAY(jan!AC$3,1)=1,"WO","P"))</f>
        <v>P</v>
      </c>
      <c r="AD46" s="6" t="str">
        <f>IFERROR(LOOKUP(2,1/((lentry!$A$3:$A$3999=jan!$A46)*(lentry!$B$3:$B$3999&lt;=jan!AD$3)*(lentry!$C$3:$C$3999&gt;=jan!AD$3)),lentry!$D$3:$D$3999),IF(WEEKDAY(jan!AD$3,1)=1,"WO","P"))</f>
        <v>WO</v>
      </c>
      <c r="AE46" s="6" t="s">
        <v>350</v>
      </c>
      <c r="AF46" s="6" t="str">
        <f>IFERROR(LOOKUP(2,1/((lentry!$A$3:$A$3999=jan!$A46)*(lentry!$B$3:$B$3999&lt;=jan!AF$3)*(lentry!$C$3:$C$3999&gt;=jan!AF$3)),lentry!$D$3:$D$3999),IF(WEEKDAY(jan!AF$3,1)=1,"WO","P"))</f>
        <v>P</v>
      </c>
      <c r="AG46" s="6" t="str">
        <f>IFERROR(LOOKUP(2,1/((lentry!$A$3:$A$3999=jan!$A46)*(lentry!$B$3:$B$3999&lt;=jan!AG$3)*(lentry!$C$3:$C$3999&gt;=jan!AG$3)),lentry!$D$3:$D$3999),IF(WEEKDAY(jan!AG$3,1)=1,"WO","P"))</f>
        <v>P</v>
      </c>
      <c r="AH46" s="6" t="str">
        <f>IFERROR(LOOKUP(2,1/((lentry!$A$3:$A$3999=jan!$A46)*(lentry!$B$3:$B$3999&lt;=jan!AH$3)*(lentry!$C$3:$C$3999&gt;=jan!AH$3)),lentry!$D$3:$D$3999),IF(WEEKDAY(jan!AH$3,1)=1,"WO","P"))</f>
        <v>P</v>
      </c>
      <c r="AI46" s="6" t="str">
        <f>IFERROR(LOOKUP(2,1/((lentry!$A$3:$A$3999=jan!$A46)*(lentry!$B$3:$B$3999&lt;=jan!AI$3)*(lentry!$C$3:$C$3999&gt;=jan!AI$3)),lentry!$D$3:$D$3999),IF(WEEKDAY(jan!AI$3,1)=1,"WO","P"))</f>
        <v>P</v>
      </c>
      <c r="AJ46" s="6" t="str">
        <f>IFERROR(LOOKUP(2,1/((lentry!$A$3:$A$3999=jan!$A46)*(lentry!$B$3:$B$3999&lt;=jan!AJ$3)*(lentry!$C$3:$C$3999&gt;=jan!AJ$3)),lentry!$D$3:$D$3999),IF(WEEKDAY(jan!AJ$3,1)=1,"WO","P"))</f>
        <v>P</v>
      </c>
      <c r="AK46" s="18">
        <f>COUNTIF(jan!$F46:$AJ46,"WO")</f>
        <v>4</v>
      </c>
      <c r="AL46" s="18">
        <f>COUNTIF(jan!$F46:$AJ46,"H")</f>
        <v>1</v>
      </c>
      <c r="AM46" s="18">
        <f>COUNTIF(jan!$F46:$AJ46,"PL")</f>
        <v>0</v>
      </c>
      <c r="AN46" s="18">
        <f>COUNTIF(jan!$F46:$AJ46,"LWP")</f>
        <v>0</v>
      </c>
      <c r="AO46" s="18">
        <f>COUNTIF(jan!$F46:$AJ46,"HD")</f>
        <v>0</v>
      </c>
      <c r="AP46" s="18">
        <f>COUNTIF(jan!$F46:$AJ46,"SL")</f>
        <v>0</v>
      </c>
      <c r="AQ46" s="18">
        <f>COUNTIF(jan!$F46:$AJ46,"CL")</f>
        <v>0</v>
      </c>
      <c r="AR46" s="18">
        <f>COUNTIF(jan!$F46:$AJ46,"A")</f>
        <v>0</v>
      </c>
      <c r="AS46" s="18">
        <f>COUNTIF(jan!$F46:$AJ46,"P")</f>
        <v>26</v>
      </c>
      <c r="AT46" s="18">
        <f t="shared" si="2"/>
        <v>31</v>
      </c>
      <c r="AU46" s="18">
        <f t="shared" si="3"/>
        <v>31</v>
      </c>
    </row>
    <row r="47" spans="1:47" ht="18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6" t="str">
        <f>IFERROR(LOOKUP(2,1/((lentry!$A$3:$A$3999=jan!$A47)*(lentry!$B$3:$B$3999&lt;=jan!F$3)*(lentry!$C$3:$C$3999&gt;=jan!F$3)),lentry!$D$3:$D$3999),IF(WEEKDAY(jan!F$3,1)=1,"WO","P"))</f>
        <v>P</v>
      </c>
      <c r="G47" s="6" t="str">
        <f>IFERROR(LOOKUP(2,1/((lentry!$A$3:$A$3999=jan!$A47)*(lentry!$B$3:$B$3999&lt;=jan!G$3)*(lentry!$C$3:$C$3999&gt;=jan!G$3)),lentry!$D$3:$D$3999),IF(WEEKDAY(jan!G$3,1)=1,"WO","P"))</f>
        <v>P</v>
      </c>
      <c r="H47" s="6" t="str">
        <f>IFERROR(LOOKUP(2,1/((lentry!$A$3:$A$3999=jan!$A47)*(lentry!$B$3:$B$3999&lt;=jan!H$3)*(lentry!$C$3:$C$3999&gt;=jan!H$3)),lentry!$D$3:$D$3999),IF(WEEKDAY(jan!H$3,1)=1,"WO","P"))</f>
        <v>P</v>
      </c>
      <c r="I47" s="6" t="str">
        <f>IFERROR(LOOKUP(2,1/((lentry!$A$3:$A$3999=jan!$A47)*(lentry!$B$3:$B$3999&lt;=jan!I$3)*(lentry!$C$3:$C$3999&gt;=jan!I$3)),lentry!$D$3:$D$3999),IF(WEEKDAY(jan!I$3,1)=1,"WO","P"))</f>
        <v>WO</v>
      </c>
      <c r="J47" s="6" t="str">
        <f>IFERROR(LOOKUP(2,1/((lentry!$A$3:$A$3999=jan!$A47)*(lentry!$B$3:$B$3999&lt;=jan!J$3)*(lentry!$C$3:$C$3999&gt;=jan!J$3)),lentry!$D$3:$D$3999),IF(WEEKDAY(jan!J$3,1)=1,"WO","P"))</f>
        <v>P</v>
      </c>
      <c r="K47" s="6" t="str">
        <f>IFERROR(LOOKUP(2,1/((lentry!$A$3:$A$3999=jan!$A47)*(lentry!$B$3:$B$3999&lt;=jan!K$3)*(lentry!$C$3:$C$3999&gt;=jan!K$3)),lentry!$D$3:$D$3999),IF(WEEKDAY(jan!K$3,1)=1,"WO","P"))</f>
        <v>P</v>
      </c>
      <c r="L47" s="6" t="str">
        <f>IFERROR(LOOKUP(2,1/((lentry!$A$3:$A$3999=jan!$A47)*(lentry!$B$3:$B$3999&lt;=jan!L$3)*(lentry!$C$3:$C$3999&gt;=jan!L$3)),lentry!$D$3:$D$3999),IF(WEEKDAY(jan!L$3,1)=1,"WO","P"))</f>
        <v>P</v>
      </c>
      <c r="M47" s="6" t="str">
        <f>IFERROR(LOOKUP(2,1/((lentry!$A$3:$A$3999=jan!$A47)*(lentry!$B$3:$B$3999&lt;=jan!M$3)*(lentry!$C$3:$C$3999&gt;=jan!M$3)),lentry!$D$3:$D$3999),IF(WEEKDAY(jan!M$3,1)=1,"WO","P"))</f>
        <v>P</v>
      </c>
      <c r="N47" s="6" t="str">
        <f>IFERROR(LOOKUP(2,1/((lentry!$A$3:$A$3999=jan!$A47)*(lentry!$B$3:$B$3999&lt;=jan!N$3)*(lentry!$C$3:$C$3999&gt;=jan!N$3)),lentry!$D$3:$D$3999),IF(WEEKDAY(jan!N$3,1)=1,"WO","P"))</f>
        <v>P</v>
      </c>
      <c r="O47" s="6" t="str">
        <f>IFERROR(LOOKUP(2,1/((lentry!$A$3:$A$3999=jan!$A47)*(lentry!$B$3:$B$3999&lt;=jan!O$3)*(lentry!$C$3:$C$3999&gt;=jan!O$3)),lentry!$D$3:$D$3999),IF(WEEKDAY(jan!O$3,1)=1,"WO","P"))</f>
        <v>P</v>
      </c>
      <c r="P47" s="6" t="s">
        <v>342</v>
      </c>
      <c r="Q47" s="6" t="str">
        <f>IFERROR(LOOKUP(2,1/((lentry!$A$3:$A$3999=jan!$A47)*(lentry!$B$3:$B$3999&lt;=jan!Q$3)*(lentry!$C$3:$C$3999&gt;=jan!Q$3)),lentry!$D$3:$D$3999),IF(WEEKDAY(jan!Q$3,1)=1,"WO","P"))</f>
        <v>P</v>
      </c>
      <c r="R47" s="6" t="str">
        <f>IFERROR(LOOKUP(2,1/((lentry!$A$3:$A$3999=jan!$A47)*(lentry!$B$3:$B$3999&lt;=jan!R$3)*(lentry!$C$3:$C$3999&gt;=jan!R$3)),lentry!$D$3:$D$3999),IF(WEEKDAY(jan!R$3,1)=1,"WO","P"))</f>
        <v>P</v>
      </c>
      <c r="S47" s="6" t="str">
        <f>IFERROR(LOOKUP(2,1/((lentry!$A$3:$A$3999=jan!$A47)*(lentry!$B$3:$B$3999&lt;=jan!S$3)*(lentry!$C$3:$C$3999&gt;=jan!S$3)),lentry!$D$3:$D$3999),IF(WEEKDAY(jan!S$3,1)=1,"WO","P"))</f>
        <v>P</v>
      </c>
      <c r="T47" s="6" t="str">
        <f>IFERROR(LOOKUP(2,1/((lentry!$A$3:$A$3999=jan!$A47)*(lentry!$B$3:$B$3999&lt;=jan!T$3)*(lentry!$C$3:$C$3999&gt;=jan!T$3)),lentry!$D$3:$D$3999),IF(WEEKDAY(jan!T$3,1)=1,"WO","P"))</f>
        <v>P</v>
      </c>
      <c r="U47" s="6" t="str">
        <f>IFERROR(LOOKUP(2,1/((lentry!$A$3:$A$3999=jan!$A47)*(lentry!$B$3:$B$3999&lt;=jan!U$3)*(lentry!$C$3:$C$3999&gt;=jan!U$3)),lentry!$D$3:$D$3999),IF(WEEKDAY(jan!U$3,1)=1,"WO","P"))</f>
        <v>P</v>
      </c>
      <c r="V47" s="6" t="str">
        <f>IFERROR(LOOKUP(2,1/((lentry!$A$3:$A$3999=jan!$A47)*(lentry!$B$3:$B$3999&lt;=jan!V$3)*(lentry!$C$3:$C$3999&gt;=jan!V$3)),lentry!$D$3:$D$3999),IF(WEEKDAY(jan!V$3,1)=1,"WO","P"))</f>
        <v>P</v>
      </c>
      <c r="W47" s="6" t="str">
        <f>IFERROR(LOOKUP(2,1/((lentry!$A$3:$A$3999=jan!$A47)*(lentry!$B$3:$B$3999&lt;=jan!W$3)*(lentry!$C$3:$C$3999&gt;=jan!W$3)),lentry!$D$3:$D$3999),IF(WEEKDAY(jan!W$3,1)=1,"WO","P"))</f>
        <v>WO</v>
      </c>
      <c r="X47" s="6" t="str">
        <f>IFERROR(LOOKUP(2,1/((lentry!$A$3:$A$3999=jan!$A47)*(lentry!$B$3:$B$3999&lt;=jan!X$3)*(lentry!$C$3:$C$3999&gt;=jan!X$3)),lentry!$D$3:$D$3999),IF(WEEKDAY(jan!X$3,1)=1,"WO","P"))</f>
        <v>P</v>
      </c>
      <c r="Y47" s="6" t="str">
        <f>IFERROR(LOOKUP(2,1/((lentry!$A$3:$A$3999=jan!$A47)*(lentry!$B$3:$B$3999&lt;=jan!Y$3)*(lentry!$C$3:$C$3999&gt;=jan!Y$3)),lentry!$D$3:$D$3999),IF(WEEKDAY(jan!Y$3,1)=1,"WO","P"))</f>
        <v>P</v>
      </c>
      <c r="Z47" s="6" t="str">
        <f>IFERROR(LOOKUP(2,1/((lentry!$A$3:$A$3999=jan!$A47)*(lentry!$B$3:$B$3999&lt;=jan!Z$3)*(lentry!$C$3:$C$3999&gt;=jan!Z$3)),lentry!$D$3:$D$3999),IF(WEEKDAY(jan!Z$3,1)=1,"WO","P"))</f>
        <v>P</v>
      </c>
      <c r="AA47" s="6" t="str">
        <f>IFERROR(LOOKUP(2,1/((lentry!$A$3:$A$3999=jan!$A47)*(lentry!$B$3:$B$3999&lt;=jan!AA$3)*(lentry!$C$3:$C$3999&gt;=jan!AA$3)),lentry!$D$3:$D$3999),IF(WEEKDAY(jan!AA$3,1)=1,"WO","P"))</f>
        <v>P</v>
      </c>
      <c r="AB47" s="6" t="str">
        <f>IFERROR(LOOKUP(2,1/((lentry!$A$3:$A$3999=jan!$A47)*(lentry!$B$3:$B$3999&lt;=jan!AB$3)*(lentry!$C$3:$C$3999&gt;=jan!AB$3)),lentry!$D$3:$D$3999),IF(WEEKDAY(jan!AB$3,1)=1,"WO","P"))</f>
        <v>P</v>
      </c>
      <c r="AC47" s="6" t="str">
        <f>IFERROR(LOOKUP(2,1/((lentry!$A$3:$A$3999=jan!$A47)*(lentry!$B$3:$B$3999&lt;=jan!AC$3)*(lentry!$C$3:$C$3999&gt;=jan!AC$3)),lentry!$D$3:$D$3999),IF(WEEKDAY(jan!AC$3,1)=1,"WO","P"))</f>
        <v>P</v>
      </c>
      <c r="AD47" s="6" t="str">
        <f>IFERROR(LOOKUP(2,1/((lentry!$A$3:$A$3999=jan!$A47)*(lentry!$B$3:$B$3999&lt;=jan!AD$3)*(lentry!$C$3:$C$3999&gt;=jan!AD$3)),lentry!$D$3:$D$3999),IF(WEEKDAY(jan!AD$3,1)=1,"WO","P"))</f>
        <v>WO</v>
      </c>
      <c r="AE47" s="6" t="s">
        <v>350</v>
      </c>
      <c r="AF47" s="6" t="str">
        <f>IFERROR(LOOKUP(2,1/((lentry!$A$3:$A$3999=jan!$A47)*(lentry!$B$3:$B$3999&lt;=jan!AF$3)*(lentry!$C$3:$C$3999&gt;=jan!AF$3)),lentry!$D$3:$D$3999),IF(WEEKDAY(jan!AF$3,1)=1,"WO","P"))</f>
        <v>P</v>
      </c>
      <c r="AG47" s="6" t="str">
        <f>IFERROR(LOOKUP(2,1/((lentry!$A$3:$A$3999=jan!$A47)*(lentry!$B$3:$B$3999&lt;=jan!AG$3)*(lentry!$C$3:$C$3999&gt;=jan!AG$3)),lentry!$D$3:$D$3999),IF(WEEKDAY(jan!AG$3,1)=1,"WO","P"))</f>
        <v>P</v>
      </c>
      <c r="AH47" s="6" t="str">
        <f>IFERROR(LOOKUP(2,1/((lentry!$A$3:$A$3999=jan!$A47)*(lentry!$B$3:$B$3999&lt;=jan!AH$3)*(lentry!$C$3:$C$3999&gt;=jan!AH$3)),lentry!$D$3:$D$3999),IF(WEEKDAY(jan!AH$3,1)=1,"WO","P"))</f>
        <v>P</v>
      </c>
      <c r="AI47" s="6" t="str">
        <f>IFERROR(LOOKUP(2,1/((lentry!$A$3:$A$3999=jan!$A47)*(lentry!$B$3:$B$3999&lt;=jan!AI$3)*(lentry!$C$3:$C$3999&gt;=jan!AI$3)),lentry!$D$3:$D$3999),IF(WEEKDAY(jan!AI$3,1)=1,"WO","P"))</f>
        <v>P</v>
      </c>
      <c r="AJ47" s="6" t="str">
        <f>IFERROR(LOOKUP(2,1/((lentry!$A$3:$A$3999=jan!$A47)*(lentry!$B$3:$B$3999&lt;=jan!AJ$3)*(lentry!$C$3:$C$3999&gt;=jan!AJ$3)),lentry!$D$3:$D$3999),IF(WEEKDAY(jan!AJ$3,1)=1,"WO","P"))</f>
        <v>P</v>
      </c>
      <c r="AK47" s="18">
        <f>COUNTIF(jan!$F47:$AJ47,"WO")</f>
        <v>4</v>
      </c>
      <c r="AL47" s="18">
        <f>COUNTIF(jan!$F47:$AJ47,"H")</f>
        <v>1</v>
      </c>
      <c r="AM47" s="18">
        <f>COUNTIF(jan!$F47:$AJ47,"PL")</f>
        <v>0</v>
      </c>
      <c r="AN47" s="18">
        <f>COUNTIF(jan!$F47:$AJ47,"LWP")</f>
        <v>0</v>
      </c>
      <c r="AO47" s="18">
        <f>COUNTIF(jan!$F47:$AJ47,"HD")</f>
        <v>0</v>
      </c>
      <c r="AP47" s="18">
        <f>COUNTIF(jan!$F47:$AJ47,"SL")</f>
        <v>0</v>
      </c>
      <c r="AQ47" s="18">
        <f>COUNTIF(jan!$F47:$AJ47,"CL")</f>
        <v>0</v>
      </c>
      <c r="AR47" s="18">
        <f>COUNTIF(jan!$F47:$AJ47,"A")</f>
        <v>0</v>
      </c>
      <c r="AS47" s="18">
        <f>COUNTIF(jan!$F47:$AJ47,"P")</f>
        <v>26</v>
      </c>
      <c r="AT47" s="18">
        <f t="shared" si="2"/>
        <v>31</v>
      </c>
      <c r="AU47" s="18">
        <f t="shared" si="3"/>
        <v>31</v>
      </c>
    </row>
    <row r="48" spans="1:47" ht="18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6" t="str">
        <f>IFERROR(LOOKUP(2,1/((lentry!$A$3:$A$3999=jan!$A48)*(lentry!$B$3:$B$3999&lt;=jan!F$3)*(lentry!$C$3:$C$3999&gt;=jan!F$3)),lentry!$D$3:$D$3999),IF(WEEKDAY(jan!F$3,1)=1,"WO","P"))</f>
        <v>P</v>
      </c>
      <c r="G48" s="6" t="str">
        <f>IFERROR(LOOKUP(2,1/((lentry!$A$3:$A$3999=jan!$A48)*(lentry!$B$3:$B$3999&lt;=jan!G$3)*(lentry!$C$3:$C$3999&gt;=jan!G$3)),lentry!$D$3:$D$3999),IF(WEEKDAY(jan!G$3,1)=1,"WO","P"))</f>
        <v>P</v>
      </c>
      <c r="H48" s="6" t="str">
        <f>IFERROR(LOOKUP(2,1/((lentry!$A$3:$A$3999=jan!$A48)*(lentry!$B$3:$B$3999&lt;=jan!H$3)*(lentry!$C$3:$C$3999&gt;=jan!H$3)),lentry!$D$3:$D$3999),IF(WEEKDAY(jan!H$3,1)=1,"WO","P"))</f>
        <v>P</v>
      </c>
      <c r="I48" s="6" t="str">
        <f>IFERROR(LOOKUP(2,1/((lentry!$A$3:$A$3999=jan!$A48)*(lentry!$B$3:$B$3999&lt;=jan!I$3)*(lentry!$C$3:$C$3999&gt;=jan!I$3)),lentry!$D$3:$D$3999),IF(WEEKDAY(jan!I$3,1)=1,"WO","P"))</f>
        <v>WO</v>
      </c>
      <c r="J48" s="6" t="str">
        <f>IFERROR(LOOKUP(2,1/((lentry!$A$3:$A$3999=jan!$A48)*(lentry!$B$3:$B$3999&lt;=jan!J$3)*(lentry!$C$3:$C$3999&gt;=jan!J$3)),lentry!$D$3:$D$3999),IF(WEEKDAY(jan!J$3,1)=1,"WO","P"))</f>
        <v>P</v>
      </c>
      <c r="K48" s="6" t="str">
        <f>IFERROR(LOOKUP(2,1/((lentry!$A$3:$A$3999=jan!$A48)*(lentry!$B$3:$B$3999&lt;=jan!K$3)*(lentry!$C$3:$C$3999&gt;=jan!K$3)),lentry!$D$3:$D$3999),IF(WEEKDAY(jan!K$3,1)=1,"WO","P"))</f>
        <v>P</v>
      </c>
      <c r="L48" s="6" t="str">
        <f>IFERROR(LOOKUP(2,1/((lentry!$A$3:$A$3999=jan!$A48)*(lentry!$B$3:$B$3999&lt;=jan!L$3)*(lentry!$C$3:$C$3999&gt;=jan!L$3)),lentry!$D$3:$D$3999),IF(WEEKDAY(jan!L$3,1)=1,"WO","P"))</f>
        <v>P</v>
      </c>
      <c r="M48" s="6" t="str">
        <f>IFERROR(LOOKUP(2,1/((lentry!$A$3:$A$3999=jan!$A48)*(lentry!$B$3:$B$3999&lt;=jan!M$3)*(lentry!$C$3:$C$3999&gt;=jan!M$3)),lentry!$D$3:$D$3999),IF(WEEKDAY(jan!M$3,1)=1,"WO","P"))</f>
        <v>P</v>
      </c>
      <c r="N48" s="6" t="str">
        <f>IFERROR(LOOKUP(2,1/((lentry!$A$3:$A$3999=jan!$A48)*(lentry!$B$3:$B$3999&lt;=jan!N$3)*(lentry!$C$3:$C$3999&gt;=jan!N$3)),lentry!$D$3:$D$3999),IF(WEEKDAY(jan!N$3,1)=1,"WO","P"))</f>
        <v>P</v>
      </c>
      <c r="O48" s="6" t="str">
        <f>IFERROR(LOOKUP(2,1/((lentry!$A$3:$A$3999=jan!$A48)*(lentry!$B$3:$B$3999&lt;=jan!O$3)*(lentry!$C$3:$C$3999&gt;=jan!O$3)),lentry!$D$3:$D$3999),IF(WEEKDAY(jan!O$3,1)=1,"WO","P"))</f>
        <v>P</v>
      </c>
      <c r="P48" s="6" t="s">
        <v>342</v>
      </c>
      <c r="Q48" s="6" t="str">
        <f>IFERROR(LOOKUP(2,1/((lentry!$A$3:$A$3999=jan!$A48)*(lentry!$B$3:$B$3999&lt;=jan!Q$3)*(lentry!$C$3:$C$3999&gt;=jan!Q$3)),lentry!$D$3:$D$3999),IF(WEEKDAY(jan!Q$3,1)=1,"WO","P"))</f>
        <v>P</v>
      </c>
      <c r="R48" s="6" t="str">
        <f>IFERROR(LOOKUP(2,1/((lentry!$A$3:$A$3999=jan!$A48)*(lentry!$B$3:$B$3999&lt;=jan!R$3)*(lentry!$C$3:$C$3999&gt;=jan!R$3)),lentry!$D$3:$D$3999),IF(WEEKDAY(jan!R$3,1)=1,"WO","P"))</f>
        <v>P</v>
      </c>
      <c r="S48" s="6" t="str">
        <f>IFERROR(LOOKUP(2,1/((lentry!$A$3:$A$3999=jan!$A48)*(lentry!$B$3:$B$3999&lt;=jan!S$3)*(lentry!$C$3:$C$3999&gt;=jan!S$3)),lentry!$D$3:$D$3999),IF(WEEKDAY(jan!S$3,1)=1,"WO","P"))</f>
        <v>P</v>
      </c>
      <c r="T48" s="6" t="str">
        <f>IFERROR(LOOKUP(2,1/((lentry!$A$3:$A$3999=jan!$A48)*(lentry!$B$3:$B$3999&lt;=jan!T$3)*(lentry!$C$3:$C$3999&gt;=jan!T$3)),lentry!$D$3:$D$3999),IF(WEEKDAY(jan!T$3,1)=1,"WO","P"))</f>
        <v>P</v>
      </c>
      <c r="U48" s="6" t="str">
        <f>IFERROR(LOOKUP(2,1/((lentry!$A$3:$A$3999=jan!$A48)*(lentry!$B$3:$B$3999&lt;=jan!U$3)*(lentry!$C$3:$C$3999&gt;=jan!U$3)),lentry!$D$3:$D$3999),IF(WEEKDAY(jan!U$3,1)=1,"WO","P"))</f>
        <v>P</v>
      </c>
      <c r="V48" s="6" t="str">
        <f>IFERROR(LOOKUP(2,1/((lentry!$A$3:$A$3999=jan!$A48)*(lentry!$B$3:$B$3999&lt;=jan!V$3)*(lentry!$C$3:$C$3999&gt;=jan!V$3)),lentry!$D$3:$D$3999),IF(WEEKDAY(jan!V$3,1)=1,"WO","P"))</f>
        <v>P</v>
      </c>
      <c r="W48" s="6" t="str">
        <f>IFERROR(LOOKUP(2,1/((lentry!$A$3:$A$3999=jan!$A48)*(lentry!$B$3:$B$3999&lt;=jan!W$3)*(lentry!$C$3:$C$3999&gt;=jan!W$3)),lentry!$D$3:$D$3999),IF(WEEKDAY(jan!W$3,1)=1,"WO","P"))</f>
        <v>WO</v>
      </c>
      <c r="X48" s="6" t="str">
        <f>IFERROR(LOOKUP(2,1/((lentry!$A$3:$A$3999=jan!$A48)*(lentry!$B$3:$B$3999&lt;=jan!X$3)*(lentry!$C$3:$C$3999&gt;=jan!X$3)),lentry!$D$3:$D$3999),IF(WEEKDAY(jan!X$3,1)=1,"WO","P"))</f>
        <v>P</v>
      </c>
      <c r="Y48" s="6" t="str">
        <f>IFERROR(LOOKUP(2,1/((lentry!$A$3:$A$3999=jan!$A48)*(lentry!$B$3:$B$3999&lt;=jan!Y$3)*(lentry!$C$3:$C$3999&gt;=jan!Y$3)),lentry!$D$3:$D$3999),IF(WEEKDAY(jan!Y$3,1)=1,"WO","P"))</f>
        <v>P</v>
      </c>
      <c r="Z48" s="6" t="str">
        <f>IFERROR(LOOKUP(2,1/((lentry!$A$3:$A$3999=jan!$A48)*(lentry!$B$3:$B$3999&lt;=jan!Z$3)*(lentry!$C$3:$C$3999&gt;=jan!Z$3)),lentry!$D$3:$D$3999),IF(WEEKDAY(jan!Z$3,1)=1,"WO","P"))</f>
        <v>P</v>
      </c>
      <c r="AA48" s="6" t="s">
        <v>539</v>
      </c>
      <c r="AB48" s="6" t="str">
        <f>IFERROR(LOOKUP(2,1/((lentry!$A$3:$A$3999=jan!$A48)*(lentry!$B$3:$B$3999&lt;=jan!AB$3)*(lentry!$C$3:$C$3999&gt;=jan!AB$3)),lentry!$D$3:$D$3999),IF(WEEKDAY(jan!AB$3,1)=1,"WO","P"))</f>
        <v>P</v>
      </c>
      <c r="AC48" s="6" t="str">
        <f>IFERROR(LOOKUP(2,1/((lentry!$A$3:$A$3999=jan!$A48)*(lentry!$B$3:$B$3999&lt;=jan!AC$3)*(lentry!$C$3:$C$3999&gt;=jan!AC$3)),lentry!$D$3:$D$3999),IF(WEEKDAY(jan!AC$3,1)=1,"WO","P"))</f>
        <v>P</v>
      </c>
      <c r="AD48" s="6" t="str">
        <f>IFERROR(LOOKUP(2,1/((lentry!$A$3:$A$3999=jan!$A48)*(lentry!$B$3:$B$3999&lt;=jan!AD$3)*(lentry!$C$3:$C$3999&gt;=jan!AD$3)),lentry!$D$3:$D$3999),IF(WEEKDAY(jan!AD$3,1)=1,"WO","P"))</f>
        <v>WO</v>
      </c>
      <c r="AE48" s="6" t="s">
        <v>350</v>
      </c>
      <c r="AF48" s="6" t="str">
        <f>IFERROR(LOOKUP(2,1/((lentry!$A$3:$A$3999=jan!$A48)*(lentry!$B$3:$B$3999&lt;=jan!AF$3)*(lentry!$C$3:$C$3999&gt;=jan!AF$3)),lentry!$D$3:$D$3999),IF(WEEKDAY(jan!AF$3,1)=1,"WO","P"))</f>
        <v>P</v>
      </c>
      <c r="AG48" s="6" t="str">
        <f>IFERROR(LOOKUP(2,1/((lentry!$A$3:$A$3999=jan!$A48)*(lentry!$B$3:$B$3999&lt;=jan!AG$3)*(lentry!$C$3:$C$3999&gt;=jan!AG$3)),lentry!$D$3:$D$3999),IF(WEEKDAY(jan!AG$3,1)=1,"WO","P"))</f>
        <v>P</v>
      </c>
      <c r="AH48" s="6" t="str">
        <f>IFERROR(LOOKUP(2,1/((lentry!$A$3:$A$3999=jan!$A48)*(lentry!$B$3:$B$3999&lt;=jan!AH$3)*(lentry!$C$3:$C$3999&gt;=jan!AH$3)),lentry!$D$3:$D$3999),IF(WEEKDAY(jan!AH$3,1)=1,"WO","P"))</f>
        <v>P</v>
      </c>
      <c r="AI48" s="6" t="str">
        <f>IFERROR(LOOKUP(2,1/((lentry!$A$3:$A$3999=jan!$A48)*(lentry!$B$3:$B$3999&lt;=jan!AI$3)*(lentry!$C$3:$C$3999&gt;=jan!AI$3)),lentry!$D$3:$D$3999),IF(WEEKDAY(jan!AI$3,1)=1,"WO","P"))</f>
        <v>P</v>
      </c>
      <c r="AJ48" s="6" t="str">
        <f>IFERROR(LOOKUP(2,1/((lentry!$A$3:$A$3999=jan!$A48)*(lentry!$B$3:$B$3999&lt;=jan!AJ$3)*(lentry!$C$3:$C$3999&gt;=jan!AJ$3)),lentry!$D$3:$D$3999),IF(WEEKDAY(jan!AJ$3,1)=1,"WO","P"))</f>
        <v>P</v>
      </c>
      <c r="AK48" s="18">
        <f>COUNTIF(jan!$F48:$AJ48,"WO")</f>
        <v>4</v>
      </c>
      <c r="AL48" s="18">
        <f>COUNTIF(jan!$F48:$AJ48,"H")</f>
        <v>1</v>
      </c>
      <c r="AM48" s="18">
        <f>COUNTIF(jan!$F48:$AJ48,"PL")</f>
        <v>0</v>
      </c>
      <c r="AN48" s="18">
        <f>COUNTIF(jan!$F48:$AJ48,"LWP")</f>
        <v>0</v>
      </c>
      <c r="AO48" s="18">
        <f>COUNTIF(jan!$F48:$AJ48,"HD")</f>
        <v>0</v>
      </c>
      <c r="AP48" s="18">
        <f>COUNTIF(jan!$F48:$AJ48,"SL")</f>
        <v>0</v>
      </c>
      <c r="AQ48" s="18">
        <f>COUNTIF(jan!$F48:$AJ48,"CL")</f>
        <v>0</v>
      </c>
      <c r="AR48" s="18">
        <f>COUNTIF(jan!$F48:$AJ48,"A")</f>
        <v>1</v>
      </c>
      <c r="AS48" s="18">
        <f>COUNTIF(jan!$F48:$AJ48,"P")</f>
        <v>25</v>
      </c>
      <c r="AT48" s="18">
        <f t="shared" si="2"/>
        <v>31</v>
      </c>
      <c r="AU48" s="18">
        <f t="shared" si="3"/>
        <v>30</v>
      </c>
    </row>
    <row r="49" spans="1:47" ht="18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6" t="str">
        <f>IFERROR(LOOKUP(2,1/((lentry!$A$3:$A$3999=jan!$A49)*(lentry!$B$3:$B$3999&lt;=jan!F$3)*(lentry!$C$3:$C$3999&gt;=jan!F$3)),lentry!$D$3:$D$3999),IF(WEEKDAY(jan!F$3,1)=1,"WO","P"))</f>
        <v>P</v>
      </c>
      <c r="G49" s="6" t="str">
        <f>IFERROR(LOOKUP(2,1/((lentry!$A$3:$A$3999=jan!$A49)*(lentry!$B$3:$B$3999&lt;=jan!G$3)*(lentry!$C$3:$C$3999&gt;=jan!G$3)),lentry!$D$3:$D$3999),IF(WEEKDAY(jan!G$3,1)=1,"WO","P"))</f>
        <v>P</v>
      </c>
      <c r="H49" s="6" t="str">
        <f>IFERROR(LOOKUP(2,1/((lentry!$A$3:$A$3999=jan!$A49)*(lentry!$B$3:$B$3999&lt;=jan!H$3)*(lentry!$C$3:$C$3999&gt;=jan!H$3)),lentry!$D$3:$D$3999),IF(WEEKDAY(jan!H$3,1)=1,"WO","P"))</f>
        <v>P</v>
      </c>
      <c r="I49" s="6" t="str">
        <f>IFERROR(LOOKUP(2,1/((lentry!$A$3:$A$3999=jan!$A49)*(lentry!$B$3:$B$3999&lt;=jan!I$3)*(lentry!$C$3:$C$3999&gt;=jan!I$3)),lentry!$D$3:$D$3999),IF(WEEKDAY(jan!I$3,1)=1,"WO","P"))</f>
        <v>WO</v>
      </c>
      <c r="J49" s="6" t="str">
        <f>IFERROR(LOOKUP(2,1/((lentry!$A$3:$A$3999=jan!$A49)*(lentry!$B$3:$B$3999&lt;=jan!J$3)*(lentry!$C$3:$C$3999&gt;=jan!J$3)),lentry!$D$3:$D$3999),IF(WEEKDAY(jan!J$3,1)=1,"WO","P"))</f>
        <v>P</v>
      </c>
      <c r="K49" s="6" t="str">
        <f>IFERROR(LOOKUP(2,1/((lentry!$A$3:$A$3999=jan!$A49)*(lentry!$B$3:$B$3999&lt;=jan!K$3)*(lentry!$C$3:$C$3999&gt;=jan!K$3)),lentry!$D$3:$D$3999),IF(WEEKDAY(jan!K$3,1)=1,"WO","P"))</f>
        <v>P</v>
      </c>
      <c r="L49" s="6" t="str">
        <f>IFERROR(LOOKUP(2,1/((lentry!$A$3:$A$3999=jan!$A49)*(lentry!$B$3:$B$3999&lt;=jan!L$3)*(lentry!$C$3:$C$3999&gt;=jan!L$3)),lentry!$D$3:$D$3999),IF(WEEKDAY(jan!L$3,1)=1,"WO","P"))</f>
        <v>P</v>
      </c>
      <c r="M49" s="6" t="s">
        <v>539</v>
      </c>
      <c r="N49" s="6" t="str">
        <f>IFERROR(LOOKUP(2,1/((lentry!$A$3:$A$3999=jan!$A49)*(lentry!$B$3:$B$3999&lt;=jan!N$3)*(lentry!$C$3:$C$3999&gt;=jan!N$3)),lentry!$D$3:$D$3999),IF(WEEKDAY(jan!N$3,1)=1,"WO","P"))</f>
        <v>P</v>
      </c>
      <c r="O49" s="6" t="str">
        <f>IFERROR(LOOKUP(2,1/((lentry!$A$3:$A$3999=jan!$A49)*(lentry!$B$3:$B$3999&lt;=jan!O$3)*(lentry!$C$3:$C$3999&gt;=jan!O$3)),lentry!$D$3:$D$3999),IF(WEEKDAY(jan!O$3,1)=1,"WO","P"))</f>
        <v>P</v>
      </c>
      <c r="P49" s="6" t="s">
        <v>342</v>
      </c>
      <c r="Q49" s="6" t="str">
        <f>IFERROR(LOOKUP(2,1/((lentry!$A$3:$A$3999=jan!$A49)*(lentry!$B$3:$B$3999&lt;=jan!Q$3)*(lentry!$C$3:$C$3999&gt;=jan!Q$3)),lentry!$D$3:$D$3999),IF(WEEKDAY(jan!Q$3,1)=1,"WO","P"))</f>
        <v>LWP</v>
      </c>
      <c r="R49" s="6" t="str">
        <f>IFERROR(LOOKUP(2,1/((lentry!$A$3:$A$3999=jan!$A49)*(lentry!$B$3:$B$3999&lt;=jan!R$3)*(lentry!$C$3:$C$3999&gt;=jan!R$3)),lentry!$D$3:$D$3999),IF(WEEKDAY(jan!R$3,1)=1,"WO","P"))</f>
        <v>P</v>
      </c>
      <c r="S49" s="6" t="str">
        <f>IFERROR(LOOKUP(2,1/((lentry!$A$3:$A$3999=jan!$A49)*(lentry!$B$3:$B$3999&lt;=jan!S$3)*(lentry!$C$3:$C$3999&gt;=jan!S$3)),lentry!$D$3:$D$3999),IF(WEEKDAY(jan!S$3,1)=1,"WO","P"))</f>
        <v>P</v>
      </c>
      <c r="T49" s="6" t="str">
        <f>IFERROR(LOOKUP(2,1/((lentry!$A$3:$A$3999=jan!$A49)*(lentry!$B$3:$B$3999&lt;=jan!T$3)*(lentry!$C$3:$C$3999&gt;=jan!T$3)),lentry!$D$3:$D$3999),IF(WEEKDAY(jan!T$3,1)=1,"WO","P"))</f>
        <v>P</v>
      </c>
      <c r="U49" s="6" t="str">
        <f>IFERROR(LOOKUP(2,1/((lentry!$A$3:$A$3999=jan!$A49)*(lentry!$B$3:$B$3999&lt;=jan!U$3)*(lentry!$C$3:$C$3999&gt;=jan!U$3)),lentry!$D$3:$D$3999),IF(WEEKDAY(jan!U$3,1)=1,"WO","P"))</f>
        <v>P</v>
      </c>
      <c r="V49" s="6" t="str">
        <f>IFERROR(LOOKUP(2,1/((lentry!$A$3:$A$3999=jan!$A49)*(lentry!$B$3:$B$3999&lt;=jan!V$3)*(lentry!$C$3:$C$3999&gt;=jan!V$3)),lentry!$D$3:$D$3999),IF(WEEKDAY(jan!V$3,1)=1,"WO","P"))</f>
        <v>P</v>
      </c>
      <c r="W49" s="6" t="str">
        <f>IFERROR(LOOKUP(2,1/((lentry!$A$3:$A$3999=jan!$A49)*(lentry!$B$3:$B$3999&lt;=jan!W$3)*(lentry!$C$3:$C$3999&gt;=jan!W$3)),lentry!$D$3:$D$3999),IF(WEEKDAY(jan!W$3,1)=1,"WO","P"))</f>
        <v>WO</v>
      </c>
      <c r="X49" s="6" t="str">
        <f>IFERROR(LOOKUP(2,1/((lentry!$A$3:$A$3999=jan!$A49)*(lentry!$B$3:$B$3999&lt;=jan!X$3)*(lentry!$C$3:$C$3999&gt;=jan!X$3)),lentry!$D$3:$D$3999),IF(WEEKDAY(jan!X$3,1)=1,"WO","P"))</f>
        <v>P</v>
      </c>
      <c r="Y49" s="6" t="str">
        <f>IFERROR(LOOKUP(2,1/((lentry!$A$3:$A$3999=jan!$A49)*(lentry!$B$3:$B$3999&lt;=jan!Y$3)*(lentry!$C$3:$C$3999&gt;=jan!Y$3)),lentry!$D$3:$D$3999),IF(WEEKDAY(jan!Y$3,1)=1,"WO","P"))</f>
        <v>P</v>
      </c>
      <c r="Z49" s="6" t="str">
        <f>IFERROR(LOOKUP(2,1/((lentry!$A$3:$A$3999=jan!$A49)*(lentry!$B$3:$B$3999&lt;=jan!Z$3)*(lentry!$C$3:$C$3999&gt;=jan!Z$3)),lentry!$D$3:$D$3999),IF(WEEKDAY(jan!Z$3,1)=1,"WO","P"))</f>
        <v>P</v>
      </c>
      <c r="AA49" s="6" t="str">
        <f>IFERROR(LOOKUP(2,1/((lentry!$A$3:$A$3999=jan!$A49)*(lentry!$B$3:$B$3999&lt;=jan!AA$3)*(lentry!$C$3:$C$3999&gt;=jan!AA$3)),lentry!$D$3:$D$3999),IF(WEEKDAY(jan!AA$3,1)=1,"WO","P"))</f>
        <v>P</v>
      </c>
      <c r="AB49" s="6" t="str">
        <f>IFERROR(LOOKUP(2,1/((lentry!$A$3:$A$3999=jan!$A49)*(lentry!$B$3:$B$3999&lt;=jan!AB$3)*(lentry!$C$3:$C$3999&gt;=jan!AB$3)),lentry!$D$3:$D$3999),IF(WEEKDAY(jan!AB$3,1)=1,"WO","P"))</f>
        <v>P</v>
      </c>
      <c r="AC49" s="6" t="str">
        <f>IFERROR(LOOKUP(2,1/((lentry!$A$3:$A$3999=jan!$A49)*(lentry!$B$3:$B$3999&lt;=jan!AC$3)*(lentry!$C$3:$C$3999&gt;=jan!AC$3)),lentry!$D$3:$D$3999),IF(WEEKDAY(jan!AC$3,1)=1,"WO","P"))</f>
        <v>P</v>
      </c>
      <c r="AD49" s="6" t="str">
        <f>IFERROR(LOOKUP(2,1/((lentry!$A$3:$A$3999=jan!$A49)*(lentry!$B$3:$B$3999&lt;=jan!AD$3)*(lentry!$C$3:$C$3999&gt;=jan!AD$3)),lentry!$D$3:$D$3999),IF(WEEKDAY(jan!AD$3,1)=1,"WO","P"))</f>
        <v>WO</v>
      </c>
      <c r="AE49" s="6" t="s">
        <v>350</v>
      </c>
      <c r="AF49" s="6" t="str">
        <f>IFERROR(LOOKUP(2,1/((lentry!$A$3:$A$3999=jan!$A49)*(lentry!$B$3:$B$3999&lt;=jan!AF$3)*(lentry!$C$3:$C$3999&gt;=jan!AF$3)),lentry!$D$3:$D$3999),IF(WEEKDAY(jan!AF$3,1)=1,"WO","P"))</f>
        <v>P</v>
      </c>
      <c r="AG49" s="6" t="s">
        <v>539</v>
      </c>
      <c r="AH49" s="6" t="str">
        <f>IFERROR(LOOKUP(2,1/((lentry!$A$3:$A$3999=jan!$A49)*(lentry!$B$3:$B$3999&lt;=jan!AH$3)*(lentry!$C$3:$C$3999&gt;=jan!AH$3)),lentry!$D$3:$D$3999),IF(WEEKDAY(jan!AH$3,1)=1,"WO","P"))</f>
        <v>P</v>
      </c>
      <c r="AI49" s="6" t="str">
        <f>IFERROR(LOOKUP(2,1/((lentry!$A$3:$A$3999=jan!$A49)*(lentry!$B$3:$B$3999&lt;=jan!AI$3)*(lentry!$C$3:$C$3999&gt;=jan!AI$3)),lentry!$D$3:$D$3999),IF(WEEKDAY(jan!AI$3,1)=1,"WO","P"))</f>
        <v>P</v>
      </c>
      <c r="AJ49" s="6" t="str">
        <f>IFERROR(LOOKUP(2,1/((lentry!$A$3:$A$3999=jan!$A49)*(lentry!$B$3:$B$3999&lt;=jan!AJ$3)*(lentry!$C$3:$C$3999&gt;=jan!AJ$3)),lentry!$D$3:$D$3999),IF(WEEKDAY(jan!AJ$3,1)=1,"WO","P"))</f>
        <v>P</v>
      </c>
      <c r="AK49" s="18">
        <f>COUNTIF(jan!$F49:$AJ49,"WO")</f>
        <v>4</v>
      </c>
      <c r="AL49" s="18">
        <f>COUNTIF(jan!$F49:$AJ49,"H")</f>
        <v>1</v>
      </c>
      <c r="AM49" s="18">
        <f>COUNTIF(jan!$F49:$AJ49,"PL")</f>
        <v>0</v>
      </c>
      <c r="AN49" s="18">
        <f>COUNTIF(jan!$F49:$AJ49,"LWP")</f>
        <v>1</v>
      </c>
      <c r="AO49" s="18">
        <f>COUNTIF(jan!$F49:$AJ49,"HD")</f>
        <v>0</v>
      </c>
      <c r="AP49" s="18">
        <f>COUNTIF(jan!$F49:$AJ49,"SL")</f>
        <v>0</v>
      </c>
      <c r="AQ49" s="18">
        <f>COUNTIF(jan!$F49:$AJ49,"CL")</f>
        <v>0</v>
      </c>
      <c r="AR49" s="18">
        <f>COUNTIF(jan!$F49:$AJ49,"A")</f>
        <v>2</v>
      </c>
      <c r="AS49" s="18">
        <f>COUNTIF(jan!$F49:$AJ49,"P")</f>
        <v>23</v>
      </c>
      <c r="AT49" s="18">
        <f t="shared" si="2"/>
        <v>31</v>
      </c>
      <c r="AU49" s="18">
        <f t="shared" si="3"/>
        <v>28</v>
      </c>
    </row>
    <row r="50" spans="1:47" ht="18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6" t="str">
        <f>IFERROR(LOOKUP(2,1/((lentry!$A$3:$A$3999=jan!$A50)*(lentry!$B$3:$B$3999&lt;=jan!F$3)*(lentry!$C$3:$C$3999&gt;=jan!F$3)),lentry!$D$3:$D$3999),IF(WEEKDAY(jan!F$3,1)=1,"WO","P"))</f>
        <v>P</v>
      </c>
      <c r="G50" s="6" t="str">
        <f>IFERROR(LOOKUP(2,1/((lentry!$A$3:$A$3999=jan!$A50)*(lentry!$B$3:$B$3999&lt;=jan!G$3)*(lentry!$C$3:$C$3999&gt;=jan!G$3)),lentry!$D$3:$D$3999),IF(WEEKDAY(jan!G$3,1)=1,"WO","P"))</f>
        <v>P</v>
      </c>
      <c r="H50" s="6" t="str">
        <f>IFERROR(LOOKUP(2,1/((lentry!$A$3:$A$3999=jan!$A50)*(lentry!$B$3:$B$3999&lt;=jan!H$3)*(lentry!$C$3:$C$3999&gt;=jan!H$3)),lentry!$D$3:$D$3999),IF(WEEKDAY(jan!H$3,1)=1,"WO","P"))</f>
        <v>P</v>
      </c>
      <c r="I50" s="6" t="str">
        <f>IFERROR(LOOKUP(2,1/((lentry!$A$3:$A$3999=jan!$A50)*(lentry!$B$3:$B$3999&lt;=jan!I$3)*(lentry!$C$3:$C$3999&gt;=jan!I$3)),lentry!$D$3:$D$3999),IF(WEEKDAY(jan!I$3,1)=1,"WO","P"))</f>
        <v>WO</v>
      </c>
      <c r="J50" s="6" t="str">
        <f>IFERROR(LOOKUP(2,1/((lentry!$A$3:$A$3999=jan!$A50)*(lentry!$B$3:$B$3999&lt;=jan!J$3)*(lentry!$C$3:$C$3999&gt;=jan!J$3)),lentry!$D$3:$D$3999),IF(WEEKDAY(jan!J$3,1)=1,"WO","P"))</f>
        <v>P</v>
      </c>
      <c r="K50" s="6" t="str">
        <f>IFERROR(LOOKUP(2,1/((lentry!$A$3:$A$3999=jan!$A50)*(lentry!$B$3:$B$3999&lt;=jan!K$3)*(lentry!$C$3:$C$3999&gt;=jan!K$3)),lentry!$D$3:$D$3999),IF(WEEKDAY(jan!K$3,1)=1,"WO","P"))</f>
        <v>P</v>
      </c>
      <c r="L50" s="6" t="str">
        <f>IFERROR(LOOKUP(2,1/((lentry!$A$3:$A$3999=jan!$A50)*(lentry!$B$3:$B$3999&lt;=jan!L$3)*(lentry!$C$3:$C$3999&gt;=jan!L$3)),lentry!$D$3:$D$3999),IF(WEEKDAY(jan!L$3,1)=1,"WO","P"))</f>
        <v>P</v>
      </c>
      <c r="M50" s="6" t="str">
        <f>IFERROR(LOOKUP(2,1/((lentry!$A$3:$A$3999=jan!$A50)*(lentry!$B$3:$B$3999&lt;=jan!M$3)*(lentry!$C$3:$C$3999&gt;=jan!M$3)),lentry!$D$3:$D$3999),IF(WEEKDAY(jan!M$3,1)=1,"WO","P"))</f>
        <v>P</v>
      </c>
      <c r="N50" s="6" t="str">
        <f>IFERROR(LOOKUP(2,1/((lentry!$A$3:$A$3999=jan!$A50)*(lentry!$B$3:$B$3999&lt;=jan!N$3)*(lentry!$C$3:$C$3999&gt;=jan!N$3)),lentry!$D$3:$D$3999),IF(WEEKDAY(jan!N$3,1)=1,"WO","P"))</f>
        <v>P</v>
      </c>
      <c r="O50" s="6" t="str">
        <f>IFERROR(LOOKUP(2,1/((lentry!$A$3:$A$3999=jan!$A50)*(lentry!$B$3:$B$3999&lt;=jan!O$3)*(lentry!$C$3:$C$3999&gt;=jan!O$3)),lentry!$D$3:$D$3999),IF(WEEKDAY(jan!O$3,1)=1,"WO","P"))</f>
        <v>P</v>
      </c>
      <c r="P50" s="6" t="s">
        <v>342</v>
      </c>
      <c r="Q50" s="6" t="str">
        <f>IFERROR(LOOKUP(2,1/((lentry!$A$3:$A$3999=jan!$A50)*(lentry!$B$3:$B$3999&lt;=jan!Q$3)*(lentry!$C$3:$C$3999&gt;=jan!Q$3)),lentry!$D$3:$D$3999),IF(WEEKDAY(jan!Q$3,1)=1,"WO","P"))</f>
        <v>P</v>
      </c>
      <c r="R50" s="6" t="str">
        <f>IFERROR(LOOKUP(2,1/((lentry!$A$3:$A$3999=jan!$A50)*(lentry!$B$3:$B$3999&lt;=jan!R$3)*(lentry!$C$3:$C$3999&gt;=jan!R$3)),lentry!$D$3:$D$3999),IF(WEEKDAY(jan!R$3,1)=1,"WO","P"))</f>
        <v>P</v>
      </c>
      <c r="S50" s="6" t="str">
        <f>IFERROR(LOOKUP(2,1/((lentry!$A$3:$A$3999=jan!$A50)*(lentry!$B$3:$B$3999&lt;=jan!S$3)*(lentry!$C$3:$C$3999&gt;=jan!S$3)),lentry!$D$3:$D$3999),IF(WEEKDAY(jan!S$3,1)=1,"WO","P"))</f>
        <v>P</v>
      </c>
      <c r="T50" s="6" t="str">
        <f>IFERROR(LOOKUP(2,1/((lentry!$A$3:$A$3999=jan!$A50)*(lentry!$B$3:$B$3999&lt;=jan!T$3)*(lentry!$C$3:$C$3999&gt;=jan!T$3)),lentry!$D$3:$D$3999),IF(WEEKDAY(jan!T$3,1)=1,"WO","P"))</f>
        <v>P</v>
      </c>
      <c r="U50" s="6" t="str">
        <f>IFERROR(LOOKUP(2,1/((lentry!$A$3:$A$3999=jan!$A50)*(lentry!$B$3:$B$3999&lt;=jan!U$3)*(lentry!$C$3:$C$3999&gt;=jan!U$3)),lentry!$D$3:$D$3999),IF(WEEKDAY(jan!U$3,1)=1,"WO","P"))</f>
        <v>P</v>
      </c>
      <c r="V50" s="6" t="str">
        <f>IFERROR(LOOKUP(2,1/((lentry!$A$3:$A$3999=jan!$A50)*(lentry!$B$3:$B$3999&lt;=jan!V$3)*(lentry!$C$3:$C$3999&gt;=jan!V$3)),lentry!$D$3:$D$3999),IF(WEEKDAY(jan!V$3,1)=1,"WO","P"))</f>
        <v>P</v>
      </c>
      <c r="W50" s="6" t="str">
        <f>IFERROR(LOOKUP(2,1/((lentry!$A$3:$A$3999=jan!$A50)*(lentry!$B$3:$B$3999&lt;=jan!W$3)*(lentry!$C$3:$C$3999&gt;=jan!W$3)),lentry!$D$3:$D$3999),IF(WEEKDAY(jan!W$3,1)=1,"WO","P"))</f>
        <v>WO</v>
      </c>
      <c r="X50" s="6" t="str">
        <f>IFERROR(LOOKUP(2,1/((lentry!$A$3:$A$3999=jan!$A50)*(lentry!$B$3:$B$3999&lt;=jan!X$3)*(lentry!$C$3:$C$3999&gt;=jan!X$3)),lentry!$D$3:$D$3999),IF(WEEKDAY(jan!X$3,1)=1,"WO","P"))</f>
        <v>P</v>
      </c>
      <c r="Y50" s="6" t="str">
        <f>IFERROR(LOOKUP(2,1/((lentry!$A$3:$A$3999=jan!$A50)*(lentry!$B$3:$B$3999&lt;=jan!Y$3)*(lentry!$C$3:$C$3999&gt;=jan!Y$3)),lentry!$D$3:$D$3999),IF(WEEKDAY(jan!Y$3,1)=1,"WO","P"))</f>
        <v>P</v>
      </c>
      <c r="Z50" s="6" t="str">
        <f>IFERROR(LOOKUP(2,1/((lentry!$A$3:$A$3999=jan!$A50)*(lentry!$B$3:$B$3999&lt;=jan!Z$3)*(lentry!$C$3:$C$3999&gt;=jan!Z$3)),lentry!$D$3:$D$3999),IF(WEEKDAY(jan!Z$3,1)=1,"WO","P"))</f>
        <v>P</v>
      </c>
      <c r="AA50" s="6" t="str">
        <f>IFERROR(LOOKUP(2,1/((lentry!$A$3:$A$3999=jan!$A50)*(lentry!$B$3:$B$3999&lt;=jan!AA$3)*(lentry!$C$3:$C$3999&gt;=jan!AA$3)),lentry!$D$3:$D$3999),IF(WEEKDAY(jan!AA$3,1)=1,"WO","P"))</f>
        <v>P</v>
      </c>
      <c r="AB50" s="6" t="str">
        <f>IFERROR(LOOKUP(2,1/((lentry!$A$3:$A$3999=jan!$A50)*(lentry!$B$3:$B$3999&lt;=jan!AB$3)*(lentry!$C$3:$C$3999&gt;=jan!AB$3)),lentry!$D$3:$D$3999),IF(WEEKDAY(jan!AB$3,1)=1,"WO","P"))</f>
        <v>P</v>
      </c>
      <c r="AC50" s="6" t="str">
        <f>IFERROR(LOOKUP(2,1/((lentry!$A$3:$A$3999=jan!$A50)*(lentry!$B$3:$B$3999&lt;=jan!AC$3)*(lentry!$C$3:$C$3999&gt;=jan!AC$3)),lentry!$D$3:$D$3999),IF(WEEKDAY(jan!AC$3,1)=1,"WO","P"))</f>
        <v>P</v>
      </c>
      <c r="AD50" s="6" t="str">
        <f>IFERROR(LOOKUP(2,1/((lentry!$A$3:$A$3999=jan!$A50)*(lentry!$B$3:$B$3999&lt;=jan!AD$3)*(lentry!$C$3:$C$3999&gt;=jan!AD$3)),lentry!$D$3:$D$3999),IF(WEEKDAY(jan!AD$3,1)=1,"WO","P"))</f>
        <v>WO</v>
      </c>
      <c r="AE50" s="6" t="s">
        <v>350</v>
      </c>
      <c r="AF50" s="6" t="str">
        <f>IFERROR(LOOKUP(2,1/((lentry!$A$3:$A$3999=jan!$A50)*(lentry!$B$3:$B$3999&lt;=jan!AF$3)*(lentry!$C$3:$C$3999&gt;=jan!AF$3)),lentry!$D$3:$D$3999),IF(WEEKDAY(jan!AF$3,1)=1,"WO","P"))</f>
        <v>P</v>
      </c>
      <c r="AG50" s="6" t="str">
        <f>IFERROR(LOOKUP(2,1/((lentry!$A$3:$A$3999=jan!$A50)*(lentry!$B$3:$B$3999&lt;=jan!AG$3)*(lentry!$C$3:$C$3999&gt;=jan!AG$3)),lentry!$D$3:$D$3999),IF(WEEKDAY(jan!AG$3,1)=1,"WO","P"))</f>
        <v>P</v>
      </c>
      <c r="AH50" s="6" t="str">
        <f>IFERROR(LOOKUP(2,1/((lentry!$A$3:$A$3999=jan!$A50)*(lentry!$B$3:$B$3999&lt;=jan!AH$3)*(lentry!$C$3:$C$3999&gt;=jan!AH$3)),lentry!$D$3:$D$3999),IF(WEEKDAY(jan!AH$3,1)=1,"WO","P"))</f>
        <v>P</v>
      </c>
      <c r="AI50" s="6" t="str">
        <f>IFERROR(LOOKUP(2,1/((lentry!$A$3:$A$3999=jan!$A50)*(lentry!$B$3:$B$3999&lt;=jan!AI$3)*(lentry!$C$3:$C$3999&gt;=jan!AI$3)),lentry!$D$3:$D$3999),IF(WEEKDAY(jan!AI$3,1)=1,"WO","P"))</f>
        <v>P</v>
      </c>
      <c r="AJ50" s="6" t="str">
        <f>IFERROR(LOOKUP(2,1/((lentry!$A$3:$A$3999=jan!$A50)*(lentry!$B$3:$B$3999&lt;=jan!AJ$3)*(lentry!$C$3:$C$3999&gt;=jan!AJ$3)),lentry!$D$3:$D$3999),IF(WEEKDAY(jan!AJ$3,1)=1,"WO","P"))</f>
        <v>P</v>
      </c>
      <c r="AK50" s="18">
        <f>COUNTIF(jan!$F50:$AJ50,"WO")</f>
        <v>4</v>
      </c>
      <c r="AL50" s="18">
        <f>COUNTIF(jan!$F50:$AJ50,"H")</f>
        <v>1</v>
      </c>
      <c r="AM50" s="18">
        <f>COUNTIF(jan!$F50:$AJ50,"PL")</f>
        <v>0</v>
      </c>
      <c r="AN50" s="18">
        <f>COUNTIF(jan!$F50:$AJ50,"LWP")</f>
        <v>0</v>
      </c>
      <c r="AO50" s="18">
        <f>COUNTIF(jan!$F50:$AJ50,"HD")</f>
        <v>0</v>
      </c>
      <c r="AP50" s="18">
        <f>COUNTIF(jan!$F50:$AJ50,"SL")</f>
        <v>0</v>
      </c>
      <c r="AQ50" s="18">
        <f>COUNTIF(jan!$F50:$AJ50,"CL")</f>
        <v>0</v>
      </c>
      <c r="AR50" s="18">
        <f>COUNTIF(jan!$F50:$AJ50,"A")</f>
        <v>0</v>
      </c>
      <c r="AS50" s="18">
        <f>COUNTIF(jan!$F50:$AJ50,"P")</f>
        <v>26</v>
      </c>
      <c r="AT50" s="18">
        <f t="shared" si="2"/>
        <v>31</v>
      </c>
      <c r="AU50" s="18">
        <f t="shared" si="3"/>
        <v>31</v>
      </c>
    </row>
    <row r="51" spans="1:47" ht="18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6" t="str">
        <f>IFERROR(LOOKUP(2,1/((lentry!$A$3:$A$3999=jan!$A51)*(lentry!$B$3:$B$3999&lt;=jan!F$3)*(lentry!$C$3:$C$3999&gt;=jan!F$3)),lentry!$D$3:$D$3999),IF(WEEKDAY(jan!F$3,1)=1,"WO","P"))</f>
        <v>P</v>
      </c>
      <c r="G51" s="6" t="str">
        <f>IFERROR(LOOKUP(2,1/((lentry!$A$3:$A$3999=jan!$A51)*(lentry!$B$3:$B$3999&lt;=jan!G$3)*(lentry!$C$3:$C$3999&gt;=jan!G$3)),lentry!$D$3:$D$3999),IF(WEEKDAY(jan!G$3,1)=1,"WO","P"))</f>
        <v>P</v>
      </c>
      <c r="H51" s="6" t="str">
        <f>IFERROR(LOOKUP(2,1/((lentry!$A$3:$A$3999=jan!$A51)*(lentry!$B$3:$B$3999&lt;=jan!H$3)*(lentry!$C$3:$C$3999&gt;=jan!H$3)),lentry!$D$3:$D$3999),IF(WEEKDAY(jan!H$3,1)=1,"WO","P"))</f>
        <v>P</v>
      </c>
      <c r="I51" s="6" t="str">
        <f>IFERROR(LOOKUP(2,1/((lentry!$A$3:$A$3999=jan!$A51)*(lentry!$B$3:$B$3999&lt;=jan!I$3)*(lentry!$C$3:$C$3999&gt;=jan!I$3)),lentry!$D$3:$D$3999),IF(WEEKDAY(jan!I$3,1)=1,"WO","P"))</f>
        <v>WO</v>
      </c>
      <c r="J51" s="6" t="str">
        <f>IFERROR(LOOKUP(2,1/((lentry!$A$3:$A$3999=jan!$A51)*(lentry!$B$3:$B$3999&lt;=jan!J$3)*(lentry!$C$3:$C$3999&gt;=jan!J$3)),lentry!$D$3:$D$3999),IF(WEEKDAY(jan!J$3,1)=1,"WO","P"))</f>
        <v>P</v>
      </c>
      <c r="K51" s="6" t="str">
        <f>IFERROR(LOOKUP(2,1/((lentry!$A$3:$A$3999=jan!$A51)*(lentry!$B$3:$B$3999&lt;=jan!K$3)*(lentry!$C$3:$C$3999&gt;=jan!K$3)),lentry!$D$3:$D$3999),IF(WEEKDAY(jan!K$3,1)=1,"WO","P"))</f>
        <v>P</v>
      </c>
      <c r="L51" s="6" t="str">
        <f>IFERROR(LOOKUP(2,1/((lentry!$A$3:$A$3999=jan!$A51)*(lentry!$B$3:$B$3999&lt;=jan!L$3)*(lentry!$C$3:$C$3999&gt;=jan!L$3)),lentry!$D$3:$D$3999),IF(WEEKDAY(jan!L$3,1)=1,"WO","P"))</f>
        <v>P</v>
      </c>
      <c r="M51" s="6" t="str">
        <f>IFERROR(LOOKUP(2,1/((lentry!$A$3:$A$3999=jan!$A51)*(lentry!$B$3:$B$3999&lt;=jan!M$3)*(lentry!$C$3:$C$3999&gt;=jan!M$3)),lentry!$D$3:$D$3999),IF(WEEKDAY(jan!M$3,1)=1,"WO","P"))</f>
        <v>P</v>
      </c>
      <c r="N51" s="6" t="str">
        <f>IFERROR(LOOKUP(2,1/((lentry!$A$3:$A$3999=jan!$A51)*(lentry!$B$3:$B$3999&lt;=jan!N$3)*(lentry!$C$3:$C$3999&gt;=jan!N$3)),lentry!$D$3:$D$3999),IF(WEEKDAY(jan!N$3,1)=1,"WO","P"))</f>
        <v>P</v>
      </c>
      <c r="O51" s="6" t="str">
        <f>IFERROR(LOOKUP(2,1/((lentry!$A$3:$A$3999=jan!$A51)*(lentry!$B$3:$B$3999&lt;=jan!O$3)*(lentry!$C$3:$C$3999&gt;=jan!O$3)),lentry!$D$3:$D$3999),IF(WEEKDAY(jan!O$3,1)=1,"WO","P"))</f>
        <v>P</v>
      </c>
      <c r="P51" s="6" t="s">
        <v>342</v>
      </c>
      <c r="Q51" s="6" t="str">
        <f>IFERROR(LOOKUP(2,1/((lentry!$A$3:$A$3999=jan!$A51)*(lentry!$B$3:$B$3999&lt;=jan!Q$3)*(lentry!$C$3:$C$3999&gt;=jan!Q$3)),lentry!$D$3:$D$3999),IF(WEEKDAY(jan!Q$3,1)=1,"WO","P"))</f>
        <v>P</v>
      </c>
      <c r="R51" s="6" t="str">
        <f>IFERROR(LOOKUP(2,1/((lentry!$A$3:$A$3999=jan!$A51)*(lentry!$B$3:$B$3999&lt;=jan!R$3)*(lentry!$C$3:$C$3999&gt;=jan!R$3)),lentry!$D$3:$D$3999),IF(WEEKDAY(jan!R$3,1)=1,"WO","P"))</f>
        <v>P</v>
      </c>
      <c r="S51" s="6" t="str">
        <f>IFERROR(LOOKUP(2,1/((lentry!$A$3:$A$3999=jan!$A51)*(lentry!$B$3:$B$3999&lt;=jan!S$3)*(lentry!$C$3:$C$3999&gt;=jan!S$3)),lentry!$D$3:$D$3999),IF(WEEKDAY(jan!S$3,1)=1,"WO","P"))</f>
        <v>P</v>
      </c>
      <c r="T51" s="6" t="str">
        <f>IFERROR(LOOKUP(2,1/((lentry!$A$3:$A$3999=jan!$A51)*(lentry!$B$3:$B$3999&lt;=jan!T$3)*(lentry!$C$3:$C$3999&gt;=jan!T$3)),lentry!$D$3:$D$3999),IF(WEEKDAY(jan!T$3,1)=1,"WO","P"))</f>
        <v>P</v>
      </c>
      <c r="U51" s="6" t="str">
        <f>IFERROR(LOOKUP(2,1/((lentry!$A$3:$A$3999=jan!$A51)*(lentry!$B$3:$B$3999&lt;=jan!U$3)*(lentry!$C$3:$C$3999&gt;=jan!U$3)),lentry!$D$3:$D$3999),IF(WEEKDAY(jan!U$3,1)=1,"WO","P"))</f>
        <v>P</v>
      </c>
      <c r="V51" s="6" t="str">
        <f>IFERROR(LOOKUP(2,1/((lentry!$A$3:$A$3999=jan!$A51)*(lentry!$B$3:$B$3999&lt;=jan!V$3)*(lentry!$C$3:$C$3999&gt;=jan!V$3)),lentry!$D$3:$D$3999),IF(WEEKDAY(jan!V$3,1)=1,"WO","P"))</f>
        <v>P</v>
      </c>
      <c r="W51" s="6" t="str">
        <f>IFERROR(LOOKUP(2,1/((lentry!$A$3:$A$3999=jan!$A51)*(lentry!$B$3:$B$3999&lt;=jan!W$3)*(lentry!$C$3:$C$3999&gt;=jan!W$3)),lentry!$D$3:$D$3999),IF(WEEKDAY(jan!W$3,1)=1,"WO","P"))</f>
        <v>WO</v>
      </c>
      <c r="X51" s="6" t="str">
        <f>IFERROR(LOOKUP(2,1/((lentry!$A$3:$A$3999=jan!$A51)*(lentry!$B$3:$B$3999&lt;=jan!X$3)*(lentry!$C$3:$C$3999&gt;=jan!X$3)),lentry!$D$3:$D$3999),IF(WEEKDAY(jan!X$3,1)=1,"WO","P"))</f>
        <v>P</v>
      </c>
      <c r="Y51" s="6" t="str">
        <f>IFERROR(LOOKUP(2,1/((lentry!$A$3:$A$3999=jan!$A51)*(lentry!$B$3:$B$3999&lt;=jan!Y$3)*(lentry!$C$3:$C$3999&gt;=jan!Y$3)),lentry!$D$3:$D$3999),IF(WEEKDAY(jan!Y$3,1)=1,"WO","P"))</f>
        <v>P</v>
      </c>
      <c r="Z51" s="6" t="str">
        <f>IFERROR(LOOKUP(2,1/((lentry!$A$3:$A$3999=jan!$A51)*(lentry!$B$3:$B$3999&lt;=jan!Z$3)*(lentry!$C$3:$C$3999&gt;=jan!Z$3)),lentry!$D$3:$D$3999),IF(WEEKDAY(jan!Z$3,1)=1,"WO","P"))</f>
        <v>P</v>
      </c>
      <c r="AA51" s="6" t="str">
        <f>IFERROR(LOOKUP(2,1/((lentry!$A$3:$A$3999=jan!$A51)*(lentry!$B$3:$B$3999&lt;=jan!AA$3)*(lentry!$C$3:$C$3999&gt;=jan!AA$3)),lentry!$D$3:$D$3999),IF(WEEKDAY(jan!AA$3,1)=1,"WO","P"))</f>
        <v>P</v>
      </c>
      <c r="AB51" s="6" t="str">
        <f>IFERROR(LOOKUP(2,1/((lentry!$A$3:$A$3999=jan!$A51)*(lentry!$B$3:$B$3999&lt;=jan!AB$3)*(lentry!$C$3:$C$3999&gt;=jan!AB$3)),lentry!$D$3:$D$3999),IF(WEEKDAY(jan!AB$3,1)=1,"WO","P"))</f>
        <v>P</v>
      </c>
      <c r="AC51" s="6" t="str">
        <f>IFERROR(LOOKUP(2,1/((lentry!$A$3:$A$3999=jan!$A51)*(lentry!$B$3:$B$3999&lt;=jan!AC$3)*(lentry!$C$3:$C$3999&gt;=jan!AC$3)),lentry!$D$3:$D$3999),IF(WEEKDAY(jan!AC$3,1)=1,"WO","P"))</f>
        <v>P</v>
      </c>
      <c r="AD51" s="6" t="str">
        <f>IFERROR(LOOKUP(2,1/((lentry!$A$3:$A$3999=jan!$A51)*(lentry!$B$3:$B$3999&lt;=jan!AD$3)*(lentry!$C$3:$C$3999&gt;=jan!AD$3)),lentry!$D$3:$D$3999),IF(WEEKDAY(jan!AD$3,1)=1,"WO","P"))</f>
        <v>WO</v>
      </c>
      <c r="AE51" s="6" t="s">
        <v>350</v>
      </c>
      <c r="AF51" s="6" t="str">
        <f>IFERROR(LOOKUP(2,1/((lentry!$A$3:$A$3999=jan!$A51)*(lentry!$B$3:$B$3999&lt;=jan!AF$3)*(lentry!$C$3:$C$3999&gt;=jan!AF$3)),lentry!$D$3:$D$3999),IF(WEEKDAY(jan!AF$3,1)=1,"WO","P"))</f>
        <v>P</v>
      </c>
      <c r="AG51" s="6" t="str">
        <f>IFERROR(LOOKUP(2,1/((lentry!$A$3:$A$3999=jan!$A51)*(lentry!$B$3:$B$3999&lt;=jan!AG$3)*(lentry!$C$3:$C$3999&gt;=jan!AG$3)),lentry!$D$3:$D$3999),IF(WEEKDAY(jan!AG$3,1)=1,"WO","P"))</f>
        <v>P</v>
      </c>
      <c r="AH51" s="6" t="str">
        <f>IFERROR(LOOKUP(2,1/((lentry!$A$3:$A$3999=jan!$A51)*(lentry!$B$3:$B$3999&lt;=jan!AH$3)*(lentry!$C$3:$C$3999&gt;=jan!AH$3)),lentry!$D$3:$D$3999),IF(WEEKDAY(jan!AH$3,1)=1,"WO","P"))</f>
        <v>P</v>
      </c>
      <c r="AI51" s="6" t="str">
        <f>IFERROR(LOOKUP(2,1/((lentry!$A$3:$A$3999=jan!$A51)*(lentry!$B$3:$B$3999&lt;=jan!AI$3)*(lentry!$C$3:$C$3999&gt;=jan!AI$3)),lentry!$D$3:$D$3999),IF(WEEKDAY(jan!AI$3,1)=1,"WO","P"))</f>
        <v>P</v>
      </c>
      <c r="AJ51" s="6" t="str">
        <f>IFERROR(LOOKUP(2,1/((lentry!$A$3:$A$3999=jan!$A51)*(lentry!$B$3:$B$3999&lt;=jan!AJ$3)*(lentry!$C$3:$C$3999&gt;=jan!AJ$3)),lentry!$D$3:$D$3999),IF(WEEKDAY(jan!AJ$3,1)=1,"WO","P"))</f>
        <v>P</v>
      </c>
      <c r="AK51" s="18">
        <f>COUNTIF(jan!$F51:$AJ51,"WO")</f>
        <v>4</v>
      </c>
      <c r="AL51" s="18">
        <f>COUNTIF(jan!$F51:$AJ51,"H")</f>
        <v>1</v>
      </c>
      <c r="AM51" s="18">
        <f>COUNTIF(jan!$F51:$AJ51,"PL")</f>
        <v>0</v>
      </c>
      <c r="AN51" s="18">
        <f>COUNTIF(jan!$F51:$AJ51,"LWP")</f>
        <v>0</v>
      </c>
      <c r="AO51" s="18">
        <f>COUNTIF(jan!$F51:$AJ51,"HD")</f>
        <v>0</v>
      </c>
      <c r="AP51" s="18">
        <f>COUNTIF(jan!$F51:$AJ51,"SL")</f>
        <v>0</v>
      </c>
      <c r="AQ51" s="18">
        <f>COUNTIF(jan!$F51:$AJ51,"CL")</f>
        <v>0</v>
      </c>
      <c r="AR51" s="18">
        <f>COUNTIF(jan!$F51:$AJ51,"A")</f>
        <v>0</v>
      </c>
      <c r="AS51" s="18">
        <f>COUNTIF(jan!$F51:$AJ51,"P")</f>
        <v>26</v>
      </c>
      <c r="AT51" s="18">
        <f t="shared" si="2"/>
        <v>31</v>
      </c>
      <c r="AU51" s="18">
        <f t="shared" si="3"/>
        <v>31</v>
      </c>
    </row>
    <row r="52" spans="1:47" ht="18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6" t="str">
        <f>IFERROR(LOOKUP(2,1/((lentry!$A$3:$A$3999=jan!$A52)*(lentry!$B$3:$B$3999&lt;=jan!F$3)*(lentry!$C$3:$C$3999&gt;=jan!F$3)),lentry!$D$3:$D$3999),IF(WEEKDAY(jan!F$3,1)=1,"WO","P"))</f>
        <v>P</v>
      </c>
      <c r="G52" s="6" t="str">
        <f>IFERROR(LOOKUP(2,1/((lentry!$A$3:$A$3999=jan!$A52)*(lentry!$B$3:$B$3999&lt;=jan!G$3)*(lentry!$C$3:$C$3999&gt;=jan!G$3)),lentry!$D$3:$D$3999),IF(WEEKDAY(jan!G$3,1)=1,"WO","P"))</f>
        <v>P</v>
      </c>
      <c r="H52" s="6" t="str">
        <f>IFERROR(LOOKUP(2,1/((lentry!$A$3:$A$3999=jan!$A52)*(lentry!$B$3:$B$3999&lt;=jan!H$3)*(lentry!$C$3:$C$3999&gt;=jan!H$3)),lentry!$D$3:$D$3999),IF(WEEKDAY(jan!H$3,1)=1,"WO","P"))</f>
        <v>P</v>
      </c>
      <c r="I52" s="6" t="str">
        <f>IFERROR(LOOKUP(2,1/((lentry!$A$3:$A$3999=jan!$A52)*(lentry!$B$3:$B$3999&lt;=jan!I$3)*(lentry!$C$3:$C$3999&gt;=jan!I$3)),lentry!$D$3:$D$3999),IF(WEEKDAY(jan!I$3,1)=1,"WO","P"))</f>
        <v>WO</v>
      </c>
      <c r="J52" s="6" t="str">
        <f>IFERROR(LOOKUP(2,1/((lentry!$A$3:$A$3999=jan!$A52)*(lentry!$B$3:$B$3999&lt;=jan!J$3)*(lentry!$C$3:$C$3999&gt;=jan!J$3)),lentry!$D$3:$D$3999),IF(WEEKDAY(jan!J$3,1)=1,"WO","P"))</f>
        <v>P</v>
      </c>
      <c r="K52" s="6" t="str">
        <f>IFERROR(LOOKUP(2,1/((lentry!$A$3:$A$3999=jan!$A52)*(lentry!$B$3:$B$3999&lt;=jan!K$3)*(lentry!$C$3:$C$3999&gt;=jan!K$3)),lentry!$D$3:$D$3999),IF(WEEKDAY(jan!K$3,1)=1,"WO","P"))</f>
        <v>P</v>
      </c>
      <c r="L52" s="6" t="str">
        <f>IFERROR(LOOKUP(2,1/((lentry!$A$3:$A$3999=jan!$A52)*(lentry!$B$3:$B$3999&lt;=jan!L$3)*(lentry!$C$3:$C$3999&gt;=jan!L$3)),lentry!$D$3:$D$3999),IF(WEEKDAY(jan!L$3,1)=1,"WO","P"))</f>
        <v>P</v>
      </c>
      <c r="M52" s="6" t="str">
        <f>IFERROR(LOOKUP(2,1/((lentry!$A$3:$A$3999=jan!$A52)*(lentry!$B$3:$B$3999&lt;=jan!M$3)*(lentry!$C$3:$C$3999&gt;=jan!M$3)),lentry!$D$3:$D$3999),IF(WEEKDAY(jan!M$3,1)=1,"WO","P"))</f>
        <v>P</v>
      </c>
      <c r="N52" s="6" t="str">
        <f>IFERROR(LOOKUP(2,1/((lentry!$A$3:$A$3999=jan!$A52)*(lentry!$B$3:$B$3999&lt;=jan!N$3)*(lentry!$C$3:$C$3999&gt;=jan!N$3)),lentry!$D$3:$D$3999),IF(WEEKDAY(jan!N$3,1)=1,"WO","P"))</f>
        <v>P</v>
      </c>
      <c r="O52" s="6" t="str">
        <f>IFERROR(LOOKUP(2,1/((lentry!$A$3:$A$3999=jan!$A52)*(lentry!$B$3:$B$3999&lt;=jan!O$3)*(lentry!$C$3:$C$3999&gt;=jan!O$3)),lentry!$D$3:$D$3999),IF(WEEKDAY(jan!O$3,1)=1,"WO","P"))</f>
        <v>P</v>
      </c>
      <c r="P52" s="6" t="s">
        <v>342</v>
      </c>
      <c r="Q52" s="6" t="str">
        <f>IFERROR(LOOKUP(2,1/((lentry!$A$3:$A$3999=jan!$A52)*(lentry!$B$3:$B$3999&lt;=jan!Q$3)*(lentry!$C$3:$C$3999&gt;=jan!Q$3)),lentry!$D$3:$D$3999),IF(WEEKDAY(jan!Q$3,1)=1,"WO","P"))</f>
        <v>P</v>
      </c>
      <c r="R52" s="6" t="str">
        <f>IFERROR(LOOKUP(2,1/((lentry!$A$3:$A$3999=jan!$A52)*(lentry!$B$3:$B$3999&lt;=jan!R$3)*(lentry!$C$3:$C$3999&gt;=jan!R$3)),lentry!$D$3:$D$3999),IF(WEEKDAY(jan!R$3,1)=1,"WO","P"))</f>
        <v>P</v>
      </c>
      <c r="S52" s="6" t="str">
        <f>IFERROR(LOOKUP(2,1/((lentry!$A$3:$A$3999=jan!$A52)*(lentry!$B$3:$B$3999&lt;=jan!S$3)*(lentry!$C$3:$C$3999&gt;=jan!S$3)),lentry!$D$3:$D$3999),IF(WEEKDAY(jan!S$3,1)=1,"WO","P"))</f>
        <v>P</v>
      </c>
      <c r="T52" s="6" t="s">
        <v>539</v>
      </c>
      <c r="U52" s="6" t="str">
        <f>IFERROR(LOOKUP(2,1/((lentry!$A$3:$A$3999=jan!$A52)*(lentry!$B$3:$B$3999&lt;=jan!U$3)*(lentry!$C$3:$C$3999&gt;=jan!U$3)),lentry!$D$3:$D$3999),IF(WEEKDAY(jan!U$3,1)=1,"WO","P"))</f>
        <v>P</v>
      </c>
      <c r="V52" s="6" t="str">
        <f>IFERROR(LOOKUP(2,1/((lentry!$A$3:$A$3999=jan!$A52)*(lentry!$B$3:$B$3999&lt;=jan!V$3)*(lentry!$C$3:$C$3999&gt;=jan!V$3)),lentry!$D$3:$D$3999),IF(WEEKDAY(jan!V$3,1)=1,"WO","P"))</f>
        <v>P</v>
      </c>
      <c r="W52" s="6" t="str">
        <f>IFERROR(LOOKUP(2,1/((lentry!$A$3:$A$3999=jan!$A52)*(lentry!$B$3:$B$3999&lt;=jan!W$3)*(lentry!$C$3:$C$3999&gt;=jan!W$3)),lentry!$D$3:$D$3999),IF(WEEKDAY(jan!W$3,1)=1,"WO","P"))</f>
        <v>WO</v>
      </c>
      <c r="X52" s="6" t="str">
        <f>IFERROR(LOOKUP(2,1/((lentry!$A$3:$A$3999=jan!$A52)*(lentry!$B$3:$B$3999&lt;=jan!X$3)*(lentry!$C$3:$C$3999&gt;=jan!X$3)),lentry!$D$3:$D$3999),IF(WEEKDAY(jan!X$3,1)=1,"WO","P"))</f>
        <v>P</v>
      </c>
      <c r="Y52" s="6" t="str">
        <f>IFERROR(LOOKUP(2,1/((lentry!$A$3:$A$3999=jan!$A52)*(lentry!$B$3:$B$3999&lt;=jan!Y$3)*(lentry!$C$3:$C$3999&gt;=jan!Y$3)),lentry!$D$3:$D$3999),IF(WEEKDAY(jan!Y$3,1)=1,"WO","P"))</f>
        <v>P</v>
      </c>
      <c r="Z52" s="6" t="str">
        <f>IFERROR(LOOKUP(2,1/((lentry!$A$3:$A$3999=jan!$A52)*(lentry!$B$3:$B$3999&lt;=jan!Z$3)*(lentry!$C$3:$C$3999&gt;=jan!Z$3)),lentry!$D$3:$D$3999),IF(WEEKDAY(jan!Z$3,1)=1,"WO","P"))</f>
        <v>P</v>
      </c>
      <c r="AA52" s="6" t="str">
        <f>IFERROR(LOOKUP(2,1/((lentry!$A$3:$A$3999=jan!$A52)*(lentry!$B$3:$B$3999&lt;=jan!AA$3)*(lentry!$C$3:$C$3999&gt;=jan!AA$3)),lentry!$D$3:$D$3999),IF(WEEKDAY(jan!AA$3,1)=1,"WO","P"))</f>
        <v>P</v>
      </c>
      <c r="AB52" s="6" t="str">
        <f>IFERROR(LOOKUP(2,1/((lentry!$A$3:$A$3999=jan!$A52)*(lentry!$B$3:$B$3999&lt;=jan!AB$3)*(lentry!$C$3:$C$3999&gt;=jan!AB$3)),lentry!$D$3:$D$3999),IF(WEEKDAY(jan!AB$3,1)=1,"WO","P"))</f>
        <v>P</v>
      </c>
      <c r="AC52" s="6" t="str">
        <f>IFERROR(LOOKUP(2,1/((lentry!$A$3:$A$3999=jan!$A52)*(lentry!$B$3:$B$3999&lt;=jan!AC$3)*(lentry!$C$3:$C$3999&gt;=jan!AC$3)),lentry!$D$3:$D$3999),IF(WEEKDAY(jan!AC$3,1)=1,"WO","P"))</f>
        <v>P</v>
      </c>
      <c r="AD52" s="6" t="str">
        <f>IFERROR(LOOKUP(2,1/((lentry!$A$3:$A$3999=jan!$A52)*(lentry!$B$3:$B$3999&lt;=jan!AD$3)*(lentry!$C$3:$C$3999&gt;=jan!AD$3)),lentry!$D$3:$D$3999),IF(WEEKDAY(jan!AD$3,1)=1,"WO","P"))</f>
        <v>WO</v>
      </c>
      <c r="AE52" s="6" t="s">
        <v>350</v>
      </c>
      <c r="AF52" s="6" t="str">
        <f>IFERROR(LOOKUP(2,1/((lentry!$A$3:$A$3999=jan!$A52)*(lentry!$B$3:$B$3999&lt;=jan!AF$3)*(lentry!$C$3:$C$3999&gt;=jan!AF$3)),lentry!$D$3:$D$3999),IF(WEEKDAY(jan!AF$3,1)=1,"WO","P"))</f>
        <v>P</v>
      </c>
      <c r="AG52" s="6" t="str">
        <f>IFERROR(LOOKUP(2,1/((lentry!$A$3:$A$3999=jan!$A52)*(lentry!$B$3:$B$3999&lt;=jan!AG$3)*(lentry!$C$3:$C$3999&gt;=jan!AG$3)),lentry!$D$3:$D$3999),IF(WEEKDAY(jan!AG$3,1)=1,"WO","P"))</f>
        <v>P</v>
      </c>
      <c r="AH52" s="6" t="str">
        <f>IFERROR(LOOKUP(2,1/((lentry!$A$3:$A$3999=jan!$A52)*(lentry!$B$3:$B$3999&lt;=jan!AH$3)*(lentry!$C$3:$C$3999&gt;=jan!AH$3)),lentry!$D$3:$D$3999),IF(WEEKDAY(jan!AH$3,1)=1,"WO","P"))</f>
        <v>P</v>
      </c>
      <c r="AI52" s="6" t="s">
        <v>539</v>
      </c>
      <c r="AJ52" s="6" t="str">
        <f>IFERROR(LOOKUP(2,1/((lentry!$A$3:$A$3999=jan!$A52)*(lentry!$B$3:$B$3999&lt;=jan!AJ$3)*(lentry!$C$3:$C$3999&gt;=jan!AJ$3)),lentry!$D$3:$D$3999),IF(WEEKDAY(jan!AJ$3,1)=1,"WO","P"))</f>
        <v>P</v>
      </c>
      <c r="AK52" s="18">
        <f>COUNTIF(jan!$F52:$AJ52,"WO")</f>
        <v>4</v>
      </c>
      <c r="AL52" s="18">
        <f>COUNTIF(jan!$F52:$AJ52,"H")</f>
        <v>1</v>
      </c>
      <c r="AM52" s="18">
        <f>COUNTIF(jan!$F52:$AJ52,"PL")</f>
        <v>0</v>
      </c>
      <c r="AN52" s="18">
        <f>COUNTIF(jan!$F52:$AJ52,"LWP")</f>
        <v>0</v>
      </c>
      <c r="AO52" s="18">
        <f>COUNTIF(jan!$F52:$AJ52,"HD")</f>
        <v>0</v>
      </c>
      <c r="AP52" s="18">
        <f>COUNTIF(jan!$F52:$AJ52,"SL")</f>
        <v>0</v>
      </c>
      <c r="AQ52" s="18">
        <f>COUNTIF(jan!$F52:$AJ52,"CL")</f>
        <v>0</v>
      </c>
      <c r="AR52" s="18">
        <f>COUNTIF(jan!$F52:$AJ52,"A")</f>
        <v>2</v>
      </c>
      <c r="AS52" s="18">
        <f>COUNTIF(jan!$F52:$AJ52,"P")</f>
        <v>24</v>
      </c>
      <c r="AT52" s="18">
        <f t="shared" si="2"/>
        <v>31</v>
      </c>
      <c r="AU52" s="18">
        <f t="shared" si="3"/>
        <v>29</v>
      </c>
    </row>
    <row r="53" spans="1:47" ht="18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6" t="str">
        <f>IFERROR(LOOKUP(2,1/((lentry!$A$3:$A$3999=jan!$A53)*(lentry!$B$3:$B$3999&lt;=jan!F$3)*(lentry!$C$3:$C$3999&gt;=jan!F$3)),lentry!$D$3:$D$3999),IF(WEEKDAY(jan!F$3,1)=1,"WO","P"))</f>
        <v>P</v>
      </c>
      <c r="G53" s="6" t="str">
        <f>IFERROR(LOOKUP(2,1/((lentry!$A$3:$A$3999=jan!$A53)*(lentry!$B$3:$B$3999&lt;=jan!G$3)*(lentry!$C$3:$C$3999&gt;=jan!G$3)),lentry!$D$3:$D$3999),IF(WEEKDAY(jan!G$3,1)=1,"WO","P"))</f>
        <v>P</v>
      </c>
      <c r="H53" s="6" t="str">
        <f>IFERROR(LOOKUP(2,1/((lentry!$A$3:$A$3999=jan!$A53)*(lentry!$B$3:$B$3999&lt;=jan!H$3)*(lentry!$C$3:$C$3999&gt;=jan!H$3)),lentry!$D$3:$D$3999),IF(WEEKDAY(jan!H$3,1)=1,"WO","P"))</f>
        <v>P</v>
      </c>
      <c r="I53" s="6" t="str">
        <f>IFERROR(LOOKUP(2,1/((lentry!$A$3:$A$3999=jan!$A53)*(lentry!$B$3:$B$3999&lt;=jan!I$3)*(lentry!$C$3:$C$3999&gt;=jan!I$3)),lentry!$D$3:$D$3999),IF(WEEKDAY(jan!I$3,1)=1,"WO","P"))</f>
        <v>WO</v>
      </c>
      <c r="J53" s="6" t="str">
        <f>IFERROR(LOOKUP(2,1/((lentry!$A$3:$A$3999=jan!$A53)*(lentry!$B$3:$B$3999&lt;=jan!J$3)*(lentry!$C$3:$C$3999&gt;=jan!J$3)),lentry!$D$3:$D$3999),IF(WEEKDAY(jan!J$3,1)=1,"WO","P"))</f>
        <v>P</v>
      </c>
      <c r="K53" s="6" t="str">
        <f>IFERROR(LOOKUP(2,1/((lentry!$A$3:$A$3999=jan!$A53)*(lentry!$B$3:$B$3999&lt;=jan!K$3)*(lentry!$C$3:$C$3999&gt;=jan!K$3)),lentry!$D$3:$D$3999),IF(WEEKDAY(jan!K$3,1)=1,"WO","P"))</f>
        <v>P</v>
      </c>
      <c r="L53" s="6" t="str">
        <f>IFERROR(LOOKUP(2,1/((lentry!$A$3:$A$3999=jan!$A53)*(lentry!$B$3:$B$3999&lt;=jan!L$3)*(lentry!$C$3:$C$3999&gt;=jan!L$3)),lentry!$D$3:$D$3999),IF(WEEKDAY(jan!L$3,1)=1,"WO","P"))</f>
        <v>P</v>
      </c>
      <c r="M53" s="6" t="str">
        <f>IFERROR(LOOKUP(2,1/((lentry!$A$3:$A$3999=jan!$A53)*(lentry!$B$3:$B$3999&lt;=jan!M$3)*(lentry!$C$3:$C$3999&gt;=jan!M$3)),lentry!$D$3:$D$3999),IF(WEEKDAY(jan!M$3,1)=1,"WO","P"))</f>
        <v>P</v>
      </c>
      <c r="N53" s="6" t="str">
        <f>IFERROR(LOOKUP(2,1/((lentry!$A$3:$A$3999=jan!$A53)*(lentry!$B$3:$B$3999&lt;=jan!N$3)*(lentry!$C$3:$C$3999&gt;=jan!N$3)),lentry!$D$3:$D$3999),IF(WEEKDAY(jan!N$3,1)=1,"WO","P"))</f>
        <v>P</v>
      </c>
      <c r="O53" s="6" t="str">
        <f>IFERROR(LOOKUP(2,1/((lentry!$A$3:$A$3999=jan!$A53)*(lentry!$B$3:$B$3999&lt;=jan!O$3)*(lentry!$C$3:$C$3999&gt;=jan!O$3)),lentry!$D$3:$D$3999),IF(WEEKDAY(jan!O$3,1)=1,"WO","P"))</f>
        <v>P</v>
      </c>
      <c r="P53" s="6" t="s">
        <v>342</v>
      </c>
      <c r="Q53" s="6" t="str">
        <f>IFERROR(LOOKUP(2,1/((lentry!$A$3:$A$3999=jan!$A53)*(lentry!$B$3:$B$3999&lt;=jan!Q$3)*(lentry!$C$3:$C$3999&gt;=jan!Q$3)),lentry!$D$3:$D$3999),IF(WEEKDAY(jan!Q$3,1)=1,"WO","P"))</f>
        <v>P</v>
      </c>
      <c r="R53" s="6" t="str">
        <f>IFERROR(LOOKUP(2,1/((lentry!$A$3:$A$3999=jan!$A53)*(lentry!$B$3:$B$3999&lt;=jan!R$3)*(lentry!$C$3:$C$3999&gt;=jan!R$3)),lentry!$D$3:$D$3999),IF(WEEKDAY(jan!R$3,1)=1,"WO","P"))</f>
        <v>P</v>
      </c>
      <c r="S53" s="6" t="str">
        <f>IFERROR(LOOKUP(2,1/((lentry!$A$3:$A$3999=jan!$A53)*(lentry!$B$3:$B$3999&lt;=jan!S$3)*(lentry!$C$3:$C$3999&gt;=jan!S$3)),lentry!$D$3:$D$3999),IF(WEEKDAY(jan!S$3,1)=1,"WO","P"))</f>
        <v>P</v>
      </c>
      <c r="T53" s="6" t="str">
        <f>IFERROR(LOOKUP(2,1/((lentry!$A$3:$A$3999=jan!$A53)*(lentry!$B$3:$B$3999&lt;=jan!T$3)*(lentry!$C$3:$C$3999&gt;=jan!T$3)),lentry!$D$3:$D$3999),IF(WEEKDAY(jan!T$3,1)=1,"WO","P"))</f>
        <v>P</v>
      </c>
      <c r="U53" s="6" t="str">
        <f>IFERROR(LOOKUP(2,1/((lentry!$A$3:$A$3999=jan!$A53)*(lentry!$B$3:$B$3999&lt;=jan!U$3)*(lentry!$C$3:$C$3999&gt;=jan!U$3)),lentry!$D$3:$D$3999),IF(WEEKDAY(jan!U$3,1)=1,"WO","P"))</f>
        <v>P</v>
      </c>
      <c r="V53" s="6" t="str">
        <f>IFERROR(LOOKUP(2,1/((lentry!$A$3:$A$3999=jan!$A53)*(lentry!$B$3:$B$3999&lt;=jan!V$3)*(lentry!$C$3:$C$3999&gt;=jan!V$3)),lentry!$D$3:$D$3999),IF(WEEKDAY(jan!V$3,1)=1,"WO","P"))</f>
        <v>P</v>
      </c>
      <c r="W53" s="6" t="str">
        <f>IFERROR(LOOKUP(2,1/((lentry!$A$3:$A$3999=jan!$A53)*(lentry!$B$3:$B$3999&lt;=jan!W$3)*(lentry!$C$3:$C$3999&gt;=jan!W$3)),lentry!$D$3:$D$3999),IF(WEEKDAY(jan!W$3,1)=1,"WO","P"))</f>
        <v>WO</v>
      </c>
      <c r="X53" s="6" t="str">
        <f>IFERROR(LOOKUP(2,1/((lentry!$A$3:$A$3999=jan!$A53)*(lentry!$B$3:$B$3999&lt;=jan!X$3)*(lentry!$C$3:$C$3999&gt;=jan!X$3)),lentry!$D$3:$D$3999),IF(WEEKDAY(jan!X$3,1)=1,"WO","P"))</f>
        <v>P</v>
      </c>
      <c r="Y53" s="6" t="str">
        <f>IFERROR(LOOKUP(2,1/((lentry!$A$3:$A$3999=jan!$A53)*(lentry!$B$3:$B$3999&lt;=jan!Y$3)*(lentry!$C$3:$C$3999&gt;=jan!Y$3)),lentry!$D$3:$D$3999),IF(WEEKDAY(jan!Y$3,1)=1,"WO","P"))</f>
        <v>P</v>
      </c>
      <c r="Z53" s="6" t="str">
        <f>IFERROR(LOOKUP(2,1/((lentry!$A$3:$A$3999=jan!$A53)*(lentry!$B$3:$B$3999&lt;=jan!Z$3)*(lentry!$C$3:$C$3999&gt;=jan!Z$3)),lentry!$D$3:$D$3999),IF(WEEKDAY(jan!Z$3,1)=1,"WO","P"))</f>
        <v>P</v>
      </c>
      <c r="AA53" s="6" t="str">
        <f>IFERROR(LOOKUP(2,1/((lentry!$A$3:$A$3999=jan!$A53)*(lentry!$B$3:$B$3999&lt;=jan!AA$3)*(lentry!$C$3:$C$3999&gt;=jan!AA$3)),lentry!$D$3:$D$3999),IF(WEEKDAY(jan!AA$3,1)=1,"WO","P"))</f>
        <v>P</v>
      </c>
      <c r="AB53" s="6" t="str">
        <f>IFERROR(LOOKUP(2,1/((lentry!$A$3:$A$3999=jan!$A53)*(lentry!$B$3:$B$3999&lt;=jan!AB$3)*(lentry!$C$3:$C$3999&gt;=jan!AB$3)),lentry!$D$3:$D$3999),IF(WEEKDAY(jan!AB$3,1)=1,"WO","P"))</f>
        <v>P</v>
      </c>
      <c r="AC53" s="6" t="s">
        <v>539</v>
      </c>
      <c r="AD53" s="6" t="str">
        <f>IFERROR(LOOKUP(2,1/((lentry!$A$3:$A$3999=jan!$A53)*(lentry!$B$3:$B$3999&lt;=jan!AD$3)*(lentry!$C$3:$C$3999&gt;=jan!AD$3)),lentry!$D$3:$D$3999),IF(WEEKDAY(jan!AD$3,1)=1,"WO","P"))</f>
        <v>WO</v>
      </c>
      <c r="AE53" s="6" t="s">
        <v>350</v>
      </c>
      <c r="AF53" s="6" t="str">
        <f>IFERROR(LOOKUP(2,1/((lentry!$A$3:$A$3999=jan!$A53)*(lentry!$B$3:$B$3999&lt;=jan!AF$3)*(lentry!$C$3:$C$3999&gt;=jan!AF$3)),lentry!$D$3:$D$3999),IF(WEEKDAY(jan!AF$3,1)=1,"WO","P"))</f>
        <v>P</v>
      </c>
      <c r="AG53" s="6" t="str">
        <f>IFERROR(LOOKUP(2,1/((lentry!$A$3:$A$3999=jan!$A53)*(lentry!$B$3:$B$3999&lt;=jan!AG$3)*(lentry!$C$3:$C$3999&gt;=jan!AG$3)),lentry!$D$3:$D$3999),IF(WEEKDAY(jan!AG$3,1)=1,"WO","P"))</f>
        <v>P</v>
      </c>
      <c r="AH53" s="6" t="str">
        <f>IFERROR(LOOKUP(2,1/((lentry!$A$3:$A$3999=jan!$A53)*(lentry!$B$3:$B$3999&lt;=jan!AH$3)*(lentry!$C$3:$C$3999&gt;=jan!AH$3)),lentry!$D$3:$D$3999),IF(WEEKDAY(jan!AH$3,1)=1,"WO","P"))</f>
        <v>P</v>
      </c>
      <c r="AI53" s="6" t="str">
        <f>IFERROR(LOOKUP(2,1/((lentry!$A$3:$A$3999=jan!$A53)*(lentry!$B$3:$B$3999&lt;=jan!AI$3)*(lentry!$C$3:$C$3999&gt;=jan!AI$3)),lentry!$D$3:$D$3999),IF(WEEKDAY(jan!AI$3,1)=1,"WO","P"))</f>
        <v>P</v>
      </c>
      <c r="AJ53" s="6" t="str">
        <f>IFERROR(LOOKUP(2,1/((lentry!$A$3:$A$3999=jan!$A53)*(lentry!$B$3:$B$3999&lt;=jan!AJ$3)*(lentry!$C$3:$C$3999&gt;=jan!AJ$3)),lentry!$D$3:$D$3999),IF(WEEKDAY(jan!AJ$3,1)=1,"WO","P"))</f>
        <v>P</v>
      </c>
      <c r="AK53" s="18">
        <f>COUNTIF(jan!$F53:$AJ53,"WO")</f>
        <v>4</v>
      </c>
      <c r="AL53" s="18">
        <f>COUNTIF(jan!$F53:$AJ53,"H")</f>
        <v>1</v>
      </c>
      <c r="AM53" s="18">
        <f>COUNTIF(jan!$F53:$AJ53,"PL")</f>
        <v>0</v>
      </c>
      <c r="AN53" s="18">
        <f>COUNTIF(jan!$F53:$AJ53,"LWP")</f>
        <v>0</v>
      </c>
      <c r="AO53" s="18">
        <f>COUNTIF(jan!$F53:$AJ53,"HD")</f>
        <v>0</v>
      </c>
      <c r="AP53" s="18">
        <f>COUNTIF(jan!$F53:$AJ53,"SL")</f>
        <v>0</v>
      </c>
      <c r="AQ53" s="18">
        <f>COUNTIF(jan!$F53:$AJ53,"CL")</f>
        <v>0</v>
      </c>
      <c r="AR53" s="18">
        <f>COUNTIF(jan!$F53:$AJ53,"A")</f>
        <v>1</v>
      </c>
      <c r="AS53" s="18">
        <f>COUNTIF(jan!$F53:$AJ53,"P")</f>
        <v>25</v>
      </c>
      <c r="AT53" s="18">
        <f t="shared" si="2"/>
        <v>31</v>
      </c>
      <c r="AU53" s="18">
        <f t="shared" si="3"/>
        <v>30</v>
      </c>
    </row>
    <row r="54" spans="1:47" ht="18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6" t="str">
        <f>IFERROR(LOOKUP(2,1/((lentry!$A$3:$A$3999=jan!$A54)*(lentry!$B$3:$B$3999&lt;=jan!F$3)*(lentry!$C$3:$C$3999&gt;=jan!F$3)),lentry!$D$3:$D$3999),IF(WEEKDAY(jan!F$3,1)=1,"WO","P"))</f>
        <v>P</v>
      </c>
      <c r="G54" s="6" t="str">
        <f>IFERROR(LOOKUP(2,1/((lentry!$A$3:$A$3999=jan!$A54)*(lentry!$B$3:$B$3999&lt;=jan!G$3)*(lentry!$C$3:$C$3999&gt;=jan!G$3)),lentry!$D$3:$D$3999),IF(WEEKDAY(jan!G$3,1)=1,"WO","P"))</f>
        <v>P</v>
      </c>
      <c r="H54" s="6" t="str">
        <f>IFERROR(LOOKUP(2,1/((lentry!$A$3:$A$3999=jan!$A54)*(lentry!$B$3:$B$3999&lt;=jan!H$3)*(lentry!$C$3:$C$3999&gt;=jan!H$3)),lentry!$D$3:$D$3999),IF(WEEKDAY(jan!H$3,1)=1,"WO","P"))</f>
        <v>P</v>
      </c>
      <c r="I54" s="6" t="str">
        <f>IFERROR(LOOKUP(2,1/((lentry!$A$3:$A$3999=jan!$A54)*(lentry!$B$3:$B$3999&lt;=jan!I$3)*(lentry!$C$3:$C$3999&gt;=jan!I$3)),lentry!$D$3:$D$3999),IF(WEEKDAY(jan!I$3,1)=1,"WO","P"))</f>
        <v>WO</v>
      </c>
      <c r="J54" s="6" t="s">
        <v>539</v>
      </c>
      <c r="K54" s="6" t="str">
        <f>IFERROR(LOOKUP(2,1/((lentry!$A$3:$A$3999=jan!$A54)*(lentry!$B$3:$B$3999&lt;=jan!K$3)*(lentry!$C$3:$C$3999&gt;=jan!K$3)),lentry!$D$3:$D$3999),IF(WEEKDAY(jan!K$3,1)=1,"WO","P"))</f>
        <v>P</v>
      </c>
      <c r="L54" s="6" t="str">
        <f>IFERROR(LOOKUP(2,1/((lentry!$A$3:$A$3999=jan!$A54)*(lentry!$B$3:$B$3999&lt;=jan!L$3)*(lentry!$C$3:$C$3999&gt;=jan!L$3)),lentry!$D$3:$D$3999),IF(WEEKDAY(jan!L$3,1)=1,"WO","P"))</f>
        <v>P</v>
      </c>
      <c r="M54" s="6" t="str">
        <f>IFERROR(LOOKUP(2,1/((lentry!$A$3:$A$3999=jan!$A54)*(lentry!$B$3:$B$3999&lt;=jan!M$3)*(lentry!$C$3:$C$3999&gt;=jan!M$3)),lentry!$D$3:$D$3999),IF(WEEKDAY(jan!M$3,1)=1,"WO","P"))</f>
        <v>P</v>
      </c>
      <c r="N54" s="6" t="str">
        <f>IFERROR(LOOKUP(2,1/((lentry!$A$3:$A$3999=jan!$A54)*(lentry!$B$3:$B$3999&lt;=jan!N$3)*(lentry!$C$3:$C$3999&gt;=jan!N$3)),lentry!$D$3:$D$3999),IF(WEEKDAY(jan!N$3,1)=1,"WO","P"))</f>
        <v>P</v>
      </c>
      <c r="O54" s="6" t="str">
        <f>IFERROR(LOOKUP(2,1/((lentry!$A$3:$A$3999=jan!$A54)*(lentry!$B$3:$B$3999&lt;=jan!O$3)*(lentry!$C$3:$C$3999&gt;=jan!O$3)),lentry!$D$3:$D$3999),IF(WEEKDAY(jan!O$3,1)=1,"WO","P"))</f>
        <v>P</v>
      </c>
      <c r="P54" s="6" t="s">
        <v>342</v>
      </c>
      <c r="Q54" s="6" t="str">
        <f>IFERROR(LOOKUP(2,1/((lentry!$A$3:$A$3999=jan!$A54)*(lentry!$B$3:$B$3999&lt;=jan!Q$3)*(lentry!$C$3:$C$3999&gt;=jan!Q$3)),lentry!$D$3:$D$3999),IF(WEEKDAY(jan!Q$3,1)=1,"WO","P"))</f>
        <v>P</v>
      </c>
      <c r="R54" s="6" t="str">
        <f>IFERROR(LOOKUP(2,1/((lentry!$A$3:$A$3999=jan!$A54)*(lentry!$B$3:$B$3999&lt;=jan!R$3)*(lentry!$C$3:$C$3999&gt;=jan!R$3)),lentry!$D$3:$D$3999),IF(WEEKDAY(jan!R$3,1)=1,"WO","P"))</f>
        <v>P</v>
      </c>
      <c r="S54" s="6" t="str">
        <f>IFERROR(LOOKUP(2,1/((lentry!$A$3:$A$3999=jan!$A54)*(lentry!$B$3:$B$3999&lt;=jan!S$3)*(lentry!$C$3:$C$3999&gt;=jan!S$3)),lentry!$D$3:$D$3999),IF(WEEKDAY(jan!S$3,1)=1,"WO","P"))</f>
        <v>P</v>
      </c>
      <c r="T54" s="6" t="str">
        <f>IFERROR(LOOKUP(2,1/((lentry!$A$3:$A$3999=jan!$A54)*(lentry!$B$3:$B$3999&lt;=jan!T$3)*(lentry!$C$3:$C$3999&gt;=jan!T$3)),lentry!$D$3:$D$3999),IF(WEEKDAY(jan!T$3,1)=1,"WO","P"))</f>
        <v>P</v>
      </c>
      <c r="U54" s="6" t="str">
        <f>IFERROR(LOOKUP(2,1/((lentry!$A$3:$A$3999=jan!$A54)*(lentry!$B$3:$B$3999&lt;=jan!U$3)*(lentry!$C$3:$C$3999&gt;=jan!U$3)),lentry!$D$3:$D$3999),IF(WEEKDAY(jan!U$3,1)=1,"WO","P"))</f>
        <v>P</v>
      </c>
      <c r="V54" s="6" t="str">
        <f>IFERROR(LOOKUP(2,1/((lentry!$A$3:$A$3999=jan!$A54)*(lentry!$B$3:$B$3999&lt;=jan!V$3)*(lentry!$C$3:$C$3999&gt;=jan!V$3)),lentry!$D$3:$D$3999),IF(WEEKDAY(jan!V$3,1)=1,"WO","P"))</f>
        <v>P</v>
      </c>
      <c r="W54" s="6" t="str">
        <f>IFERROR(LOOKUP(2,1/((lentry!$A$3:$A$3999=jan!$A54)*(lentry!$B$3:$B$3999&lt;=jan!W$3)*(lentry!$C$3:$C$3999&gt;=jan!W$3)),lentry!$D$3:$D$3999),IF(WEEKDAY(jan!W$3,1)=1,"WO","P"))</f>
        <v>WO</v>
      </c>
      <c r="X54" s="6" t="str">
        <f>IFERROR(LOOKUP(2,1/((lentry!$A$3:$A$3999=jan!$A54)*(lentry!$B$3:$B$3999&lt;=jan!X$3)*(lentry!$C$3:$C$3999&gt;=jan!X$3)),lentry!$D$3:$D$3999),IF(WEEKDAY(jan!X$3,1)=1,"WO","P"))</f>
        <v>P</v>
      </c>
      <c r="Y54" s="6" t="str">
        <f>IFERROR(LOOKUP(2,1/((lentry!$A$3:$A$3999=jan!$A54)*(lentry!$B$3:$B$3999&lt;=jan!Y$3)*(lentry!$C$3:$C$3999&gt;=jan!Y$3)),lentry!$D$3:$D$3999),IF(WEEKDAY(jan!Y$3,1)=1,"WO","P"))</f>
        <v>P</v>
      </c>
      <c r="Z54" s="6" t="str">
        <f>IFERROR(LOOKUP(2,1/((lentry!$A$3:$A$3999=jan!$A54)*(lentry!$B$3:$B$3999&lt;=jan!Z$3)*(lentry!$C$3:$C$3999&gt;=jan!Z$3)),lentry!$D$3:$D$3999),IF(WEEKDAY(jan!Z$3,1)=1,"WO","P"))</f>
        <v>P</v>
      </c>
      <c r="AA54" s="6" t="str">
        <f>IFERROR(LOOKUP(2,1/((lentry!$A$3:$A$3999=jan!$A54)*(lentry!$B$3:$B$3999&lt;=jan!AA$3)*(lentry!$C$3:$C$3999&gt;=jan!AA$3)),lentry!$D$3:$D$3999),IF(WEEKDAY(jan!AA$3,1)=1,"WO","P"))</f>
        <v>P</v>
      </c>
      <c r="AB54" s="6" t="str">
        <f>IFERROR(LOOKUP(2,1/((lentry!$A$3:$A$3999=jan!$A54)*(lentry!$B$3:$B$3999&lt;=jan!AB$3)*(lentry!$C$3:$C$3999&gt;=jan!AB$3)),lentry!$D$3:$D$3999),IF(WEEKDAY(jan!AB$3,1)=1,"WO","P"))</f>
        <v>P</v>
      </c>
      <c r="AC54" s="6" t="str">
        <f>IFERROR(LOOKUP(2,1/((lentry!$A$3:$A$3999=jan!$A54)*(lentry!$B$3:$B$3999&lt;=jan!AC$3)*(lentry!$C$3:$C$3999&gt;=jan!AC$3)),lentry!$D$3:$D$3999),IF(WEEKDAY(jan!AC$3,1)=1,"WO","P"))</f>
        <v>P</v>
      </c>
      <c r="AD54" s="6" t="str">
        <f>IFERROR(LOOKUP(2,1/((lentry!$A$3:$A$3999=jan!$A54)*(lentry!$B$3:$B$3999&lt;=jan!AD$3)*(lentry!$C$3:$C$3999&gt;=jan!AD$3)),lentry!$D$3:$D$3999),IF(WEEKDAY(jan!AD$3,1)=1,"WO","P"))</f>
        <v>WO</v>
      </c>
      <c r="AE54" s="6" t="s">
        <v>350</v>
      </c>
      <c r="AF54" s="6" t="str">
        <f>IFERROR(LOOKUP(2,1/((lentry!$A$3:$A$3999=jan!$A54)*(lentry!$B$3:$B$3999&lt;=jan!AF$3)*(lentry!$C$3:$C$3999&gt;=jan!AF$3)),lentry!$D$3:$D$3999),IF(WEEKDAY(jan!AF$3,1)=1,"WO","P"))</f>
        <v>P</v>
      </c>
      <c r="AG54" s="6" t="str">
        <f>IFERROR(LOOKUP(2,1/((lentry!$A$3:$A$3999=jan!$A54)*(lentry!$B$3:$B$3999&lt;=jan!AG$3)*(lentry!$C$3:$C$3999&gt;=jan!AG$3)),lentry!$D$3:$D$3999),IF(WEEKDAY(jan!AG$3,1)=1,"WO","P"))</f>
        <v>P</v>
      </c>
      <c r="AH54" s="6" t="str">
        <f>IFERROR(LOOKUP(2,1/((lentry!$A$3:$A$3999=jan!$A54)*(lentry!$B$3:$B$3999&lt;=jan!AH$3)*(lentry!$C$3:$C$3999&gt;=jan!AH$3)),lentry!$D$3:$D$3999),IF(WEEKDAY(jan!AH$3,1)=1,"WO","P"))</f>
        <v>P</v>
      </c>
      <c r="AI54" s="6" t="str">
        <f>IFERROR(LOOKUP(2,1/((lentry!$A$3:$A$3999=jan!$A54)*(lentry!$B$3:$B$3999&lt;=jan!AI$3)*(lentry!$C$3:$C$3999&gt;=jan!AI$3)),lentry!$D$3:$D$3999),IF(WEEKDAY(jan!AI$3,1)=1,"WO","P"))</f>
        <v>P</v>
      </c>
      <c r="AJ54" s="6" t="str">
        <f>IFERROR(LOOKUP(2,1/((lentry!$A$3:$A$3999=jan!$A54)*(lentry!$B$3:$B$3999&lt;=jan!AJ$3)*(lentry!$C$3:$C$3999&gt;=jan!AJ$3)),lentry!$D$3:$D$3999),IF(WEEKDAY(jan!AJ$3,1)=1,"WO","P"))</f>
        <v>P</v>
      </c>
      <c r="AK54" s="18">
        <f>COUNTIF(jan!$F54:$AJ54,"WO")</f>
        <v>4</v>
      </c>
      <c r="AL54" s="18">
        <f>COUNTIF(jan!$F54:$AJ54,"H")</f>
        <v>1</v>
      </c>
      <c r="AM54" s="18">
        <f>COUNTIF(jan!$F54:$AJ54,"PL")</f>
        <v>0</v>
      </c>
      <c r="AN54" s="18">
        <f>COUNTIF(jan!$F54:$AJ54,"LWP")</f>
        <v>0</v>
      </c>
      <c r="AO54" s="18">
        <f>COUNTIF(jan!$F54:$AJ54,"HD")</f>
        <v>0</v>
      </c>
      <c r="AP54" s="18">
        <f>COUNTIF(jan!$F54:$AJ54,"SL")</f>
        <v>0</v>
      </c>
      <c r="AQ54" s="18">
        <f>COUNTIF(jan!$F54:$AJ54,"CL")</f>
        <v>0</v>
      </c>
      <c r="AR54" s="18">
        <f>COUNTIF(jan!$F54:$AJ54,"A")</f>
        <v>1</v>
      </c>
      <c r="AS54" s="18">
        <f>COUNTIF(jan!$F54:$AJ54,"P")</f>
        <v>25</v>
      </c>
      <c r="AT54" s="18">
        <f t="shared" si="2"/>
        <v>31</v>
      </c>
      <c r="AU54" s="18">
        <f t="shared" si="3"/>
        <v>30</v>
      </c>
    </row>
  </sheetData>
  <mergeCells count="22">
    <mergeCell ref="A3:A4"/>
    <mergeCell ref="B3:B4"/>
    <mergeCell ref="C3:C4"/>
    <mergeCell ref="D3:D4"/>
    <mergeCell ref="E3:E4"/>
    <mergeCell ref="A1:AU1"/>
    <mergeCell ref="A2:K2"/>
    <mergeCell ref="L2:O2"/>
    <mergeCell ref="P2:AA2"/>
    <mergeCell ref="AB2:AE2"/>
    <mergeCell ref="AF2:AU2"/>
    <mergeCell ref="AT3:AT4"/>
    <mergeCell ref="AU3:AU4"/>
    <mergeCell ref="AK3:AK4"/>
    <mergeCell ref="AL3:AL4"/>
    <mergeCell ref="AM3:AM4"/>
    <mergeCell ref="AN3:AN4"/>
    <mergeCell ref="AO3:AO4"/>
    <mergeCell ref="AR3:AR4"/>
    <mergeCell ref="AP3:AP4"/>
    <mergeCell ref="AQ3:AQ4"/>
    <mergeCell ref="AS3:AS4"/>
  </mergeCells>
  <phoneticPr fontId="5" type="noConversion"/>
  <conditionalFormatting sqref="F5:AJ54">
    <cfRule type="cellIs" dxfId="112" priority="1" operator="equal">
      <formula>"CL"</formula>
    </cfRule>
    <cfRule type="cellIs" dxfId="111" priority="4" operator="equal">
      <formula>"HD"</formula>
    </cfRule>
    <cfRule type="cellIs" dxfId="110" priority="5" operator="equal">
      <formula>"LWP"</formula>
    </cfRule>
    <cfRule type="cellIs" dxfId="109" priority="6" operator="equal">
      <formula>"PL"</formula>
    </cfRule>
    <cfRule type="cellIs" dxfId="108" priority="7" operator="equal">
      <formula>"H"</formula>
    </cfRule>
    <cfRule type="cellIs" dxfId="107" priority="8" operator="equal">
      <formula>"A"</formula>
    </cfRule>
    <cfRule type="cellIs" dxfId="106" priority="9" operator="equal">
      <formula>"P"</formula>
    </cfRule>
    <cfRule type="expression" dxfId="105" priority="10">
      <formula>F$4="Sun"</formula>
    </cfRule>
  </conditionalFormatting>
  <conditionalFormatting sqref="AV5:CC504">
    <cfRule type="cellIs" dxfId="104" priority="2" operator="equal">
      <formula>"A"</formula>
    </cfRule>
  </conditionalFormatting>
  <dataValidations count="1">
    <dataValidation type="list" allowBlank="1" showInputMessage="1" showErrorMessage="1" sqref="F5:AJ54" xr:uid="{CC803630-E3DF-4775-8275-4E98C475BEBD}">
      <formula1>"A,P,CL,SL,H,HD,PL,LWP,WO"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E820-39FC-4B19-A03E-4281B81762A6}">
  <sheetPr codeName="Sheet7"/>
  <dimension ref="A1:AR54"/>
  <sheetViews>
    <sheetView zoomScale="130" zoomScaleNormal="130" workbookViewId="0">
      <pane xSplit="1" topLeftCell="B1" activePane="topRight" state="frozen"/>
      <selection pane="topRight" activeCell="AF13" sqref="AF13"/>
    </sheetView>
  </sheetViews>
  <sheetFormatPr defaultRowHeight="15" x14ac:dyDescent="0.25"/>
  <cols>
    <col min="1" max="1" width="10.140625" bestFit="1" customWidth="1"/>
    <col min="2" max="2" width="17.28515625" bestFit="1" customWidth="1"/>
    <col min="3" max="3" width="10.42578125" bestFit="1" customWidth="1"/>
    <col min="4" max="4" width="13.28515625" bestFit="1" customWidth="1"/>
    <col min="5" max="5" width="21.42578125" bestFit="1" customWidth="1"/>
    <col min="6" max="19" width="4.7109375" bestFit="1" customWidth="1"/>
    <col min="20" max="20" width="4.85546875" bestFit="1" customWidth="1"/>
    <col min="21" max="33" width="4.7109375" bestFit="1" customWidth="1"/>
    <col min="34" max="34" width="5.28515625" customWidth="1"/>
    <col min="35" max="35" width="4" customWidth="1"/>
    <col min="36" max="36" width="5.140625" bestFit="1" customWidth="1"/>
    <col min="37" max="37" width="3.28515625" customWidth="1"/>
    <col min="38" max="39" width="5.140625" bestFit="1" customWidth="1"/>
    <col min="40" max="40" width="3.85546875" customWidth="1"/>
    <col min="41" max="41" width="5.140625" bestFit="1" customWidth="1"/>
    <col min="42" max="42" width="3.140625" customWidth="1"/>
    <col min="43" max="44" width="5.140625" bestFit="1" customWidth="1"/>
  </cols>
  <sheetData>
    <row r="1" spans="1:44" ht="51" x14ac:dyDescent="0.25">
      <c r="A1" s="65" t="s">
        <v>336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</row>
    <row r="2" spans="1:44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Feb</v>
      </c>
      <c r="M2" s="67"/>
      <c r="N2" s="67"/>
      <c r="O2" s="67"/>
      <c r="P2" s="68">
        <f>DATE(2026,2,1)</f>
        <v>46054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70"/>
      <c r="AB2" s="71" t="s">
        <v>337</v>
      </c>
      <c r="AC2" s="71"/>
      <c r="AD2" s="71"/>
      <c r="AE2" s="71"/>
      <c r="AF2" s="72">
        <f>EOMONTH(P2,0)</f>
        <v>46081</v>
      </c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</row>
    <row r="3" spans="1:44" ht="18.75" x14ac:dyDescent="0.25">
      <c r="A3" s="74" t="s">
        <v>338</v>
      </c>
      <c r="B3" s="74" t="s">
        <v>339</v>
      </c>
      <c r="C3" s="74" t="s">
        <v>1</v>
      </c>
      <c r="D3" s="74" t="s">
        <v>340</v>
      </c>
      <c r="E3" s="74" t="s">
        <v>341</v>
      </c>
      <c r="F3" s="1">
        <f>P2</f>
        <v>46054</v>
      </c>
      <c r="G3" s="1">
        <f>IF(F3&lt;$AF$2,F3+1,"")</f>
        <v>46055</v>
      </c>
      <c r="H3" s="1">
        <f t="shared" ref="H3:AG3" si="0">IF(G3&lt;$AF$2,G3+1,"")</f>
        <v>46056</v>
      </c>
      <c r="I3" s="1">
        <f t="shared" si="0"/>
        <v>46057</v>
      </c>
      <c r="J3" s="1">
        <f t="shared" si="0"/>
        <v>46058</v>
      </c>
      <c r="K3" s="1">
        <f t="shared" si="0"/>
        <v>46059</v>
      </c>
      <c r="L3" s="1">
        <f t="shared" si="0"/>
        <v>46060</v>
      </c>
      <c r="M3" s="1">
        <f t="shared" si="0"/>
        <v>46061</v>
      </c>
      <c r="N3" s="1">
        <f t="shared" si="0"/>
        <v>46062</v>
      </c>
      <c r="O3" s="1">
        <f t="shared" si="0"/>
        <v>46063</v>
      </c>
      <c r="P3" s="1">
        <f t="shared" si="0"/>
        <v>46064</v>
      </c>
      <c r="Q3" s="1">
        <f t="shared" si="0"/>
        <v>46065</v>
      </c>
      <c r="R3" s="1">
        <f t="shared" si="0"/>
        <v>46066</v>
      </c>
      <c r="S3" s="1">
        <f t="shared" si="0"/>
        <v>46067</v>
      </c>
      <c r="T3" s="1">
        <f t="shared" si="0"/>
        <v>46068</v>
      </c>
      <c r="U3" s="1">
        <f t="shared" si="0"/>
        <v>46069</v>
      </c>
      <c r="V3" s="1">
        <f t="shared" si="0"/>
        <v>46070</v>
      </c>
      <c r="W3" s="1">
        <f t="shared" si="0"/>
        <v>46071</v>
      </c>
      <c r="X3" s="1">
        <f t="shared" si="0"/>
        <v>46072</v>
      </c>
      <c r="Y3" s="1">
        <f t="shared" si="0"/>
        <v>46073</v>
      </c>
      <c r="Z3" s="1">
        <f t="shared" si="0"/>
        <v>46074</v>
      </c>
      <c r="AA3" s="1">
        <f t="shared" si="0"/>
        <v>46075</v>
      </c>
      <c r="AB3" s="1">
        <f t="shared" si="0"/>
        <v>46076</v>
      </c>
      <c r="AC3" s="1">
        <f t="shared" si="0"/>
        <v>46077</v>
      </c>
      <c r="AD3" s="1">
        <f t="shared" si="0"/>
        <v>46078</v>
      </c>
      <c r="AE3" s="1">
        <f t="shared" si="0"/>
        <v>46079</v>
      </c>
      <c r="AF3" s="1">
        <f t="shared" si="0"/>
        <v>46080</v>
      </c>
      <c r="AG3" s="1">
        <f t="shared" si="0"/>
        <v>46081</v>
      </c>
      <c r="AH3" s="60" t="s">
        <v>342</v>
      </c>
      <c r="AI3" s="60" t="s">
        <v>343</v>
      </c>
      <c r="AJ3" s="60" t="s">
        <v>344</v>
      </c>
      <c r="AK3" s="62" t="s">
        <v>84</v>
      </c>
      <c r="AL3" s="60" t="s">
        <v>345</v>
      </c>
      <c r="AM3" s="60" t="s">
        <v>351</v>
      </c>
      <c r="AN3" s="60" t="s">
        <v>352</v>
      </c>
      <c r="AO3" s="60" t="s">
        <v>346</v>
      </c>
      <c r="AP3" s="60" t="s">
        <v>347</v>
      </c>
      <c r="AQ3" s="60" t="s">
        <v>348</v>
      </c>
      <c r="AR3" s="60" t="s">
        <v>349</v>
      </c>
    </row>
    <row r="4" spans="1:44" ht="74.25" customHeight="1" x14ac:dyDescent="0.25">
      <c r="A4" s="75"/>
      <c r="B4" s="75"/>
      <c r="C4" s="75"/>
      <c r="D4" s="75"/>
      <c r="E4" s="75"/>
      <c r="F4" s="2" t="str">
        <f>TEXT(F3,"ddd")</f>
        <v>Sun</v>
      </c>
      <c r="G4" s="2" t="str">
        <f t="shared" ref="G4:AG4" si="1">TEXT(G3,"ddd")</f>
        <v>Mon</v>
      </c>
      <c r="H4" s="2" t="str">
        <f t="shared" si="1"/>
        <v>Tue</v>
      </c>
      <c r="I4" s="2" t="str">
        <f t="shared" si="1"/>
        <v>Wed</v>
      </c>
      <c r="J4" s="2" t="str">
        <f t="shared" si="1"/>
        <v>Thu</v>
      </c>
      <c r="K4" s="2" t="str">
        <f t="shared" si="1"/>
        <v>Fri</v>
      </c>
      <c r="L4" s="2" t="str">
        <f t="shared" si="1"/>
        <v>Sat</v>
      </c>
      <c r="M4" s="2" t="str">
        <f t="shared" si="1"/>
        <v>Sun</v>
      </c>
      <c r="N4" s="2" t="str">
        <f t="shared" si="1"/>
        <v>Mon</v>
      </c>
      <c r="O4" s="2" t="str">
        <f t="shared" si="1"/>
        <v>Tue</v>
      </c>
      <c r="P4" s="2" t="str">
        <f t="shared" si="1"/>
        <v>Wed</v>
      </c>
      <c r="Q4" s="2" t="str">
        <f t="shared" si="1"/>
        <v>Thu</v>
      </c>
      <c r="R4" s="2" t="str">
        <f t="shared" si="1"/>
        <v>Fri</v>
      </c>
      <c r="S4" s="2" t="str">
        <f t="shared" si="1"/>
        <v>Sat</v>
      </c>
      <c r="T4" s="2" t="str">
        <f t="shared" si="1"/>
        <v>Sun</v>
      </c>
      <c r="U4" s="2" t="str">
        <f t="shared" si="1"/>
        <v>Mon</v>
      </c>
      <c r="V4" s="2" t="str">
        <f t="shared" si="1"/>
        <v>Tue</v>
      </c>
      <c r="W4" s="2" t="str">
        <f t="shared" si="1"/>
        <v>Wed</v>
      </c>
      <c r="X4" s="2" t="str">
        <f t="shared" si="1"/>
        <v>Thu</v>
      </c>
      <c r="Y4" s="2" t="str">
        <f t="shared" si="1"/>
        <v>Fri</v>
      </c>
      <c r="Z4" s="2" t="str">
        <f t="shared" si="1"/>
        <v>Sat</v>
      </c>
      <c r="AA4" s="2" t="str">
        <f t="shared" si="1"/>
        <v>Sun</v>
      </c>
      <c r="AB4" s="2" t="str">
        <f t="shared" si="1"/>
        <v>Mon</v>
      </c>
      <c r="AC4" s="2" t="str">
        <f t="shared" si="1"/>
        <v>Tue</v>
      </c>
      <c r="AD4" s="2" t="str">
        <f t="shared" si="1"/>
        <v>Wed</v>
      </c>
      <c r="AE4" s="2" t="str">
        <f t="shared" si="1"/>
        <v>Thu</v>
      </c>
      <c r="AF4" s="2" t="str">
        <f t="shared" si="1"/>
        <v>Fri</v>
      </c>
      <c r="AG4" s="2" t="str">
        <f t="shared" si="1"/>
        <v>Sat</v>
      </c>
      <c r="AH4" s="61"/>
      <c r="AI4" s="61"/>
      <c r="AJ4" s="61"/>
      <c r="AK4" s="63"/>
      <c r="AL4" s="61"/>
      <c r="AM4" s="64"/>
      <c r="AN4" s="64"/>
      <c r="AO4" s="61"/>
      <c r="AP4" s="61"/>
      <c r="AQ4" s="61"/>
      <c r="AR4" s="61"/>
    </row>
    <row r="5" spans="1:44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IFERROR(LOOKUP(2,1/((lentry!$A$3:$A$3999=feb!$A5)*(lentry!$B$3:$B$3999&lt;=feb!F$3)*(lentry!$C$3:$C$3999&gt;=feb!F$3)),lentry!$D$3:$D$3999),IF(WEEKDAY(feb!F$3,1)=1,"WO","P"))</f>
        <v>WO</v>
      </c>
      <c r="G5" s="4" t="str">
        <f>IFERROR(LOOKUP(2,1/((lentry!$A$3:$A$3999=feb!$A5)*(lentry!$B$3:$B$3999&lt;=feb!G$3)*(lentry!$C$3:$C$3999&gt;=feb!G$3)),lentry!$D$3:$D$3999),IF(WEEKDAY(feb!G$3,1)=1,"WO","P"))</f>
        <v>P</v>
      </c>
      <c r="H5" s="4" t="str">
        <f>IFERROR(LOOKUP(2,1/((lentry!$A$3:$A$3999=feb!$A5)*(lentry!$B$3:$B$3999&lt;=feb!H$3)*(lentry!$C$3:$C$3999&gt;=feb!H$3)),lentry!$D$3:$D$3999),IF(WEEKDAY(feb!H$3,1)=1,"WO","P"))</f>
        <v>P</v>
      </c>
      <c r="I5" s="4" t="str">
        <f>IFERROR(LOOKUP(2,1/((lentry!$A$3:$A$3999=feb!$A5)*(lentry!$B$3:$B$3999&lt;=feb!I$3)*(lentry!$C$3:$C$3999&gt;=feb!I$3)),lentry!$D$3:$D$3999),IF(WEEKDAY(feb!I$3,1)=1,"WO","P"))</f>
        <v>P</v>
      </c>
      <c r="J5" s="4" t="str">
        <f>IFERROR(LOOKUP(2,1/((lentry!$A$3:$A$3999=feb!$A5)*(lentry!$B$3:$B$3999&lt;=feb!J$3)*(lentry!$C$3:$C$3999&gt;=feb!J$3)),lentry!$D$3:$D$3999),IF(WEEKDAY(feb!J$3,1)=1,"WO","P"))</f>
        <v>P</v>
      </c>
      <c r="K5" s="4" t="str">
        <f>IFERROR(LOOKUP(2,1/((lentry!$A$3:$A$3999=feb!$A5)*(lentry!$B$3:$B$3999&lt;=feb!K$3)*(lentry!$C$3:$C$3999&gt;=feb!K$3)),lentry!$D$3:$D$3999),IF(WEEKDAY(feb!K$3,1)=1,"WO","P"))</f>
        <v>P</v>
      </c>
      <c r="L5" s="4" t="str">
        <f>IFERROR(LOOKUP(2,1/((lentry!$A$3:$A$3999=feb!$A5)*(lentry!$B$3:$B$3999&lt;=feb!L$3)*(lentry!$C$3:$C$3999&gt;=feb!L$3)),lentry!$D$3:$D$3999),IF(WEEKDAY(feb!L$3,1)=1,"WO","P"))</f>
        <v>P</v>
      </c>
      <c r="M5" s="4" t="str">
        <f>IFERROR(LOOKUP(2,1/((lentry!$A$3:$A$3999=feb!$A5)*(lentry!$B$3:$B$3999&lt;=feb!M$3)*(lentry!$C$3:$C$3999&gt;=feb!M$3)),lentry!$D$3:$D$3999),IF(WEEKDAY(feb!M$3,1)=1,"WO","P"))</f>
        <v>WO</v>
      </c>
      <c r="N5" s="4" t="str">
        <f>IFERROR(LOOKUP(2,1/((lentry!$A$3:$A$3999=feb!$A5)*(lentry!$B$3:$B$3999&lt;=feb!N$3)*(lentry!$C$3:$C$3999&gt;=feb!N$3)),lentry!$D$3:$D$3999),IF(WEEKDAY(feb!N$3,1)=1,"WO","P"))</f>
        <v>P</v>
      </c>
      <c r="O5" s="4" t="str">
        <f>IFERROR(LOOKUP(2,1/((lentry!$A$3:$A$3999=feb!$A5)*(lentry!$B$3:$B$3999&lt;=feb!O$3)*(lentry!$C$3:$C$3999&gt;=feb!O$3)),lentry!$D$3:$D$3999),IF(WEEKDAY(feb!O$3,1)=1,"WO","P"))</f>
        <v>P</v>
      </c>
      <c r="P5" s="4" t="str">
        <f>IFERROR(LOOKUP(2,1/((lentry!$A$3:$A$3999=feb!$A5)*(lentry!$B$3:$B$3999&lt;=feb!P$3)*(lentry!$C$3:$C$3999&gt;=feb!P$3)),lentry!$D$3:$D$3999),IF(WEEKDAY(feb!P$3,1)=1,"WO","P"))</f>
        <v>P</v>
      </c>
      <c r="Q5" s="4" t="str">
        <f>IFERROR(LOOKUP(2,1/((lentry!$A$3:$A$3999=feb!$A5)*(lentry!$B$3:$B$3999&lt;=feb!Q$3)*(lentry!$C$3:$C$3999&gt;=feb!Q$3)),lentry!$D$3:$D$3999),IF(WEEKDAY(feb!Q$3,1)=1,"WO","P"))</f>
        <v>P</v>
      </c>
      <c r="R5" s="4" t="str">
        <f>IFERROR(LOOKUP(2,1/((lentry!$A$3:$A$3999=feb!$A5)*(lentry!$B$3:$B$3999&lt;=feb!R$3)*(lentry!$C$3:$C$3999&gt;=feb!R$3)),lentry!$D$3:$D$3999),IF(WEEKDAY(feb!R$3,1)=1,"WO","P"))</f>
        <v>P</v>
      </c>
      <c r="S5" s="4" t="str">
        <f>IFERROR(LOOKUP(2,1/((lentry!$A$3:$A$3999=feb!$A5)*(lentry!$B$3:$B$3999&lt;=feb!S$3)*(lentry!$C$3:$C$3999&gt;=feb!S$3)),lentry!$D$3:$D$3999),IF(WEEKDAY(feb!S$3,1)=1,"WO","P"))</f>
        <v>P</v>
      </c>
      <c r="T5" s="4" t="s">
        <v>350</v>
      </c>
      <c r="U5" s="4" t="str">
        <f>IFERROR(LOOKUP(2,1/((lentry!$A$3:$A$3999=feb!$A5)*(lentry!$B$3:$B$3999&lt;=feb!U$3)*(lentry!$C$3:$C$3999&gt;=feb!U$3)),lentry!$D$3:$D$3999),IF(WEEKDAY(feb!U$3,1)=1,"WO","P"))</f>
        <v>P</v>
      </c>
      <c r="V5" s="4" t="str">
        <f>IFERROR(LOOKUP(2,1/((lentry!$A$3:$A$3999=feb!$A5)*(lentry!$B$3:$B$3999&lt;=feb!V$3)*(lentry!$C$3:$C$3999&gt;=feb!V$3)),lentry!$D$3:$D$3999),IF(WEEKDAY(feb!V$3,1)=1,"WO","P"))</f>
        <v>P</v>
      </c>
      <c r="W5" s="4" t="str">
        <f>IFERROR(LOOKUP(2,1/((lentry!$A$3:$A$3999=feb!$A5)*(lentry!$B$3:$B$3999&lt;=feb!W$3)*(lentry!$C$3:$C$3999&gt;=feb!W$3)),lentry!$D$3:$D$3999),IF(WEEKDAY(feb!W$3,1)=1,"WO","P"))</f>
        <v>P</v>
      </c>
      <c r="X5" s="4" t="str">
        <f>IFERROR(LOOKUP(2,1/((lentry!$A$3:$A$3999=feb!$A5)*(lentry!$B$3:$B$3999&lt;=feb!X$3)*(lentry!$C$3:$C$3999&gt;=feb!X$3)),lentry!$D$3:$D$3999),IF(WEEKDAY(feb!X$3,1)=1,"WO","P"))</f>
        <v>P</v>
      </c>
      <c r="Y5" s="4" t="str">
        <f>IFERROR(LOOKUP(2,1/((lentry!$A$3:$A$3999=feb!$A5)*(lentry!$B$3:$B$3999&lt;=feb!Y$3)*(lentry!$C$3:$C$3999&gt;=feb!Y$3)),lentry!$D$3:$D$3999),IF(WEEKDAY(feb!Y$3,1)=1,"WO","P"))</f>
        <v>P</v>
      </c>
      <c r="Z5" s="4" t="str">
        <f>IFERROR(LOOKUP(2,1/((lentry!$A$3:$A$3999=feb!$A5)*(lentry!$B$3:$B$3999&lt;=feb!Z$3)*(lentry!$C$3:$C$3999&gt;=feb!Z$3)),lentry!$D$3:$D$3999),IF(WEEKDAY(feb!Z$3,1)=1,"WO","P"))</f>
        <v>P</v>
      </c>
      <c r="AA5" s="4" t="str">
        <f>IFERROR(LOOKUP(2,1/((lentry!$A$3:$A$3999=feb!$A5)*(lentry!$B$3:$B$3999&lt;=feb!AA$3)*(lentry!$C$3:$C$3999&gt;=feb!AA$3)),lentry!$D$3:$D$3999),IF(WEEKDAY(feb!AA$3,1)=1,"WO","P"))</f>
        <v>WO</v>
      </c>
      <c r="AB5" s="4" t="str">
        <f>IFERROR(LOOKUP(2,1/((lentry!$A$3:$A$3999=feb!$A5)*(lentry!$B$3:$B$3999&lt;=feb!AB$3)*(lentry!$C$3:$C$3999&gt;=feb!AB$3)),lentry!$D$3:$D$3999),IF(WEEKDAY(feb!AB$3,1)=1,"WO","P"))</f>
        <v>P</v>
      </c>
      <c r="AC5" s="4" t="str">
        <f>IFERROR(LOOKUP(2,1/((lentry!$A$3:$A$3999=feb!$A5)*(lentry!$B$3:$B$3999&lt;=feb!AC$3)*(lentry!$C$3:$C$3999&gt;=feb!AC$3)),lentry!$D$3:$D$3999),IF(WEEKDAY(feb!AC$3,1)=1,"WO","P"))</f>
        <v>P</v>
      </c>
      <c r="AD5" s="4" t="str">
        <f>IFERROR(LOOKUP(2,1/((lentry!$A$3:$A$3999=feb!$A5)*(lentry!$B$3:$B$3999&lt;=feb!AD$3)*(lentry!$C$3:$C$3999&gt;=feb!AD$3)),lentry!$D$3:$D$3999),IF(WEEKDAY(feb!AD$3,1)=1,"WO","P"))</f>
        <v>P</v>
      </c>
      <c r="AE5" s="4" t="str">
        <f>IFERROR(LOOKUP(2,1/((lentry!$A$3:$A$3999=feb!$A5)*(lentry!$B$3:$B$3999&lt;=feb!AE$3)*(lentry!$C$3:$C$3999&gt;=feb!AE$3)),lentry!$D$3:$D$3999),IF(WEEKDAY(feb!AE$3,1)=1,"WO","P"))</f>
        <v>P</v>
      </c>
      <c r="AF5" s="4" t="str">
        <f>IFERROR(LOOKUP(2,1/((lentry!$A$3:$A$3999=feb!$A5)*(lentry!$B$3:$B$3999&lt;=feb!AF$3)*(lentry!$C$3:$C$3999&gt;=feb!AF$3)),lentry!$D$3:$D$3999),IF(WEEKDAY(feb!AF$3,1)=1,"WO","P"))</f>
        <v>PL</v>
      </c>
      <c r="AG5" s="4" t="str">
        <f>IFERROR(LOOKUP(2,1/((lentry!$A$3:$A$3999=feb!$A5)*(lentry!$B$3:$B$3999&lt;=feb!AG$3)*(lentry!$C$3:$C$3999&gt;=feb!AG$3)),lentry!$D$3:$D$3999),IF(WEEKDAY(feb!AG$3,1)=1,"WO","P"))</f>
        <v>P</v>
      </c>
      <c r="AH5" s="4">
        <f>COUNTIF($F5:$AG5,"WO")</f>
        <v>3</v>
      </c>
      <c r="AI5" s="4">
        <f>COUNTIF($F5:$AG5,"H")</f>
        <v>1</v>
      </c>
      <c r="AJ5" s="4">
        <f>COUNTIF($F5:$AG5,"PL")</f>
        <v>1</v>
      </c>
      <c r="AK5" s="4">
        <f>COUNTIF($F5:$AG5,"LWP")</f>
        <v>0</v>
      </c>
      <c r="AL5" s="4">
        <f>COUNTIF($F5:$AG5,"HD")</f>
        <v>0</v>
      </c>
      <c r="AM5" s="4">
        <f>COUNTIF($F5:$AG5,"SL")</f>
        <v>0</v>
      </c>
      <c r="AN5" s="4">
        <f>COUNTIF($F5:$AG5,"CL")</f>
        <v>0</v>
      </c>
      <c r="AO5" s="4">
        <f>COUNTIF($F5:$AG5,"A")</f>
        <v>0</v>
      </c>
      <c r="AP5" s="4">
        <f>COUNTIF($F5:$AG5,"P")</f>
        <v>23</v>
      </c>
      <c r="AQ5" s="4">
        <f t="shared" ref="AQ5:AQ36" si="2">COUNTA($F5:$AG5)</f>
        <v>28</v>
      </c>
      <c r="AR5" s="4">
        <f>AH5+AI5+AJ5+AM5+AN5+AP5+(AL5/2)</f>
        <v>28</v>
      </c>
    </row>
    <row r="6" spans="1:44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IFERROR(LOOKUP(2,1/((lentry!$A$3:$A$3999=feb!$A6)*(lentry!$B$3:$B$3999&lt;=feb!F$3)*(lentry!$C$3:$C$3999&gt;=feb!F$3)),lentry!$D$3:$D$3999),IF(WEEKDAY(feb!F$3,1)=1,"WO","P"))</f>
        <v>WO</v>
      </c>
      <c r="G6" s="4" t="str">
        <f>IFERROR(LOOKUP(2,1/((lentry!$A$3:$A$3999=feb!$A6)*(lentry!$B$3:$B$3999&lt;=feb!G$3)*(lentry!$C$3:$C$3999&gt;=feb!G$3)),lentry!$D$3:$D$3999),IF(WEEKDAY(feb!G$3,1)=1,"WO","P"))</f>
        <v>P</v>
      </c>
      <c r="H6" s="4" t="str">
        <f>IFERROR(LOOKUP(2,1/((lentry!$A$3:$A$3999=feb!$A6)*(lentry!$B$3:$B$3999&lt;=feb!H$3)*(lentry!$C$3:$C$3999&gt;=feb!H$3)),lentry!$D$3:$D$3999),IF(WEEKDAY(feb!H$3,1)=1,"WO","P"))</f>
        <v>P</v>
      </c>
      <c r="I6" s="4" t="str">
        <f>IFERROR(LOOKUP(2,1/((lentry!$A$3:$A$3999=feb!$A6)*(lentry!$B$3:$B$3999&lt;=feb!I$3)*(lentry!$C$3:$C$3999&gt;=feb!I$3)),lentry!$D$3:$D$3999),IF(WEEKDAY(feb!I$3,1)=1,"WO","P"))</f>
        <v>P</v>
      </c>
      <c r="J6" s="4" t="str">
        <f>IFERROR(LOOKUP(2,1/((lentry!$A$3:$A$3999=feb!$A6)*(lentry!$B$3:$B$3999&lt;=feb!J$3)*(lentry!$C$3:$C$3999&gt;=feb!J$3)),lentry!$D$3:$D$3999),IF(WEEKDAY(feb!J$3,1)=1,"WO","P"))</f>
        <v>P</v>
      </c>
      <c r="K6" s="4" t="str">
        <f>IFERROR(LOOKUP(2,1/((lentry!$A$3:$A$3999=feb!$A6)*(lentry!$B$3:$B$3999&lt;=feb!K$3)*(lentry!$C$3:$C$3999&gt;=feb!K$3)),lentry!$D$3:$D$3999),IF(WEEKDAY(feb!K$3,1)=1,"WO","P"))</f>
        <v>P</v>
      </c>
      <c r="L6" s="4" t="s">
        <v>539</v>
      </c>
      <c r="M6" s="4" t="str">
        <f>IFERROR(LOOKUP(2,1/((lentry!$A$3:$A$3999=feb!$A6)*(lentry!$B$3:$B$3999&lt;=feb!M$3)*(lentry!$C$3:$C$3999&gt;=feb!M$3)),lentry!$D$3:$D$3999),IF(WEEKDAY(feb!M$3,1)=1,"WO","P"))</f>
        <v>WO</v>
      </c>
      <c r="N6" s="4" t="str">
        <f>IFERROR(LOOKUP(2,1/((lentry!$A$3:$A$3999=feb!$A6)*(lentry!$B$3:$B$3999&lt;=feb!N$3)*(lentry!$C$3:$C$3999&gt;=feb!N$3)),lentry!$D$3:$D$3999),IF(WEEKDAY(feb!N$3,1)=1,"WO","P"))</f>
        <v>P</v>
      </c>
      <c r="O6" s="4" t="str">
        <f>IFERROR(LOOKUP(2,1/((lentry!$A$3:$A$3999=feb!$A6)*(lentry!$B$3:$B$3999&lt;=feb!O$3)*(lentry!$C$3:$C$3999&gt;=feb!O$3)),lentry!$D$3:$D$3999),IF(WEEKDAY(feb!O$3,1)=1,"WO","P"))</f>
        <v>P</v>
      </c>
      <c r="P6" s="4" t="str">
        <f>IFERROR(LOOKUP(2,1/((lentry!$A$3:$A$3999=feb!$A6)*(lentry!$B$3:$B$3999&lt;=feb!P$3)*(lentry!$C$3:$C$3999&gt;=feb!P$3)),lentry!$D$3:$D$3999),IF(WEEKDAY(feb!P$3,1)=1,"WO","P"))</f>
        <v>P</v>
      </c>
      <c r="Q6" s="4" t="str">
        <f>IFERROR(LOOKUP(2,1/((lentry!$A$3:$A$3999=feb!$A6)*(lentry!$B$3:$B$3999&lt;=feb!Q$3)*(lentry!$C$3:$C$3999&gt;=feb!Q$3)),lentry!$D$3:$D$3999),IF(WEEKDAY(feb!Q$3,1)=1,"WO","P"))</f>
        <v>P</v>
      </c>
      <c r="R6" s="4" t="str">
        <f>IFERROR(LOOKUP(2,1/((lentry!$A$3:$A$3999=feb!$A6)*(lentry!$B$3:$B$3999&lt;=feb!R$3)*(lentry!$C$3:$C$3999&gt;=feb!R$3)),lentry!$D$3:$D$3999),IF(WEEKDAY(feb!R$3,1)=1,"WO","P"))</f>
        <v>P</v>
      </c>
      <c r="S6" s="4" t="str">
        <f>IFERROR(LOOKUP(2,1/((lentry!$A$3:$A$3999=feb!$A6)*(lentry!$B$3:$B$3999&lt;=feb!S$3)*(lentry!$C$3:$C$3999&gt;=feb!S$3)),lentry!$D$3:$D$3999),IF(WEEKDAY(feb!S$3,1)=1,"WO","P"))</f>
        <v>P</v>
      </c>
      <c r="T6" s="4" t="s">
        <v>350</v>
      </c>
      <c r="U6" s="4" t="str">
        <f>IFERROR(LOOKUP(2,1/((lentry!$A$3:$A$3999=feb!$A6)*(lentry!$B$3:$B$3999&lt;=feb!U$3)*(lentry!$C$3:$C$3999&gt;=feb!U$3)),lentry!$D$3:$D$3999),IF(WEEKDAY(feb!U$3,1)=1,"WO","P"))</f>
        <v>P</v>
      </c>
      <c r="V6" s="4" t="str">
        <f>IFERROR(LOOKUP(2,1/((lentry!$A$3:$A$3999=feb!$A6)*(lentry!$B$3:$B$3999&lt;=feb!V$3)*(lentry!$C$3:$C$3999&gt;=feb!V$3)),lentry!$D$3:$D$3999),IF(WEEKDAY(feb!V$3,1)=1,"WO","P"))</f>
        <v>PL</v>
      </c>
      <c r="W6" s="4" t="str">
        <f>IFERROR(LOOKUP(2,1/((lentry!$A$3:$A$3999=feb!$A6)*(lentry!$B$3:$B$3999&lt;=feb!W$3)*(lentry!$C$3:$C$3999&gt;=feb!W$3)),lentry!$D$3:$D$3999),IF(WEEKDAY(feb!W$3,1)=1,"WO","P"))</f>
        <v>PL</v>
      </c>
      <c r="X6" s="4" t="str">
        <f>IFERROR(LOOKUP(2,1/((lentry!$A$3:$A$3999=feb!$A6)*(lentry!$B$3:$B$3999&lt;=feb!X$3)*(lentry!$C$3:$C$3999&gt;=feb!X$3)),lentry!$D$3:$D$3999),IF(WEEKDAY(feb!X$3,1)=1,"WO","P"))</f>
        <v>P</v>
      </c>
      <c r="Y6" s="4" t="str">
        <f>IFERROR(LOOKUP(2,1/((lentry!$A$3:$A$3999=feb!$A6)*(lentry!$B$3:$B$3999&lt;=feb!Y$3)*(lentry!$C$3:$C$3999&gt;=feb!Y$3)),lentry!$D$3:$D$3999),IF(WEEKDAY(feb!Y$3,1)=1,"WO","P"))</f>
        <v>P</v>
      </c>
      <c r="Z6" s="4" t="str">
        <f>IFERROR(LOOKUP(2,1/((lentry!$A$3:$A$3999=feb!$A6)*(lentry!$B$3:$B$3999&lt;=feb!Z$3)*(lentry!$C$3:$C$3999&gt;=feb!Z$3)),lentry!$D$3:$D$3999),IF(WEEKDAY(feb!Z$3,1)=1,"WO","P"))</f>
        <v>P</v>
      </c>
      <c r="AA6" s="4" t="str">
        <f>IFERROR(LOOKUP(2,1/((lentry!$A$3:$A$3999=feb!$A6)*(lentry!$B$3:$B$3999&lt;=feb!AA$3)*(lentry!$C$3:$C$3999&gt;=feb!AA$3)),lentry!$D$3:$D$3999),IF(WEEKDAY(feb!AA$3,1)=1,"WO","P"))</f>
        <v>WO</v>
      </c>
      <c r="AB6" s="4" t="s">
        <v>539</v>
      </c>
      <c r="AC6" s="4" t="str">
        <f>IFERROR(LOOKUP(2,1/((lentry!$A$3:$A$3999=feb!$A6)*(lentry!$B$3:$B$3999&lt;=feb!AC$3)*(lentry!$C$3:$C$3999&gt;=feb!AC$3)),lentry!$D$3:$D$3999),IF(WEEKDAY(feb!AC$3,1)=1,"WO","P"))</f>
        <v>P</v>
      </c>
      <c r="AD6" s="4" t="str">
        <f>IFERROR(LOOKUP(2,1/((lentry!$A$3:$A$3999=feb!$A6)*(lentry!$B$3:$B$3999&lt;=feb!AD$3)*(lentry!$C$3:$C$3999&gt;=feb!AD$3)),lentry!$D$3:$D$3999),IF(WEEKDAY(feb!AD$3,1)=1,"WO","P"))</f>
        <v>P</v>
      </c>
      <c r="AE6" s="4" t="str">
        <f>IFERROR(LOOKUP(2,1/((lentry!$A$3:$A$3999=feb!$A6)*(lentry!$B$3:$B$3999&lt;=feb!AE$3)*(lentry!$C$3:$C$3999&gt;=feb!AE$3)),lentry!$D$3:$D$3999),IF(WEEKDAY(feb!AE$3,1)=1,"WO","P"))</f>
        <v>P</v>
      </c>
      <c r="AF6" s="4" t="str">
        <f>IFERROR(LOOKUP(2,1/((lentry!$A$3:$A$3999=feb!$A6)*(lentry!$B$3:$B$3999&lt;=feb!AF$3)*(lentry!$C$3:$C$3999&gt;=feb!AF$3)),lentry!$D$3:$D$3999),IF(WEEKDAY(feb!AF$3,1)=1,"WO","P"))</f>
        <v>P</v>
      </c>
      <c r="AG6" s="4" t="str">
        <f>IFERROR(LOOKUP(2,1/((lentry!$A$3:$A$3999=feb!$A6)*(lentry!$B$3:$B$3999&lt;=feb!AG$3)*(lentry!$C$3:$C$3999&gt;=feb!AG$3)),lentry!$D$3:$D$3999),IF(WEEKDAY(feb!AG$3,1)=1,"WO","P"))</f>
        <v>P</v>
      </c>
      <c r="AH6" s="4">
        <f t="shared" ref="AH6:AH54" si="3">COUNTIF($F6:$AG6,"WO")</f>
        <v>3</v>
      </c>
      <c r="AI6" s="4">
        <f t="shared" ref="AI6:AI54" si="4">COUNTIF($F6:$AG6,"H")</f>
        <v>1</v>
      </c>
      <c r="AJ6" s="4">
        <f t="shared" ref="AJ6:AJ54" si="5">COUNTIF($F6:$AG6,"PL")</f>
        <v>2</v>
      </c>
      <c r="AK6" s="4">
        <f t="shared" ref="AK6:AK54" si="6">COUNTIF($F6:$AG6,"LWP")</f>
        <v>0</v>
      </c>
      <c r="AL6" s="4">
        <f t="shared" ref="AL6:AL54" si="7">COUNTIF($F6:$AG6,"HD")</f>
        <v>0</v>
      </c>
      <c r="AM6" s="4">
        <f t="shared" ref="AM6:AM54" si="8">COUNTIF($F6:$AG6,"SL")</f>
        <v>0</v>
      </c>
      <c r="AN6" s="4">
        <f t="shared" ref="AN6:AN54" si="9">COUNTIF($F6:$AG6,"CL")</f>
        <v>0</v>
      </c>
      <c r="AO6" s="4">
        <f t="shared" ref="AO6:AO54" si="10">COUNTIF($F6:$AG6,"A")</f>
        <v>2</v>
      </c>
      <c r="AP6" s="4">
        <f t="shared" ref="AP6:AP54" si="11">COUNTIF($F6:$AG6,"P")</f>
        <v>20</v>
      </c>
      <c r="AQ6" s="4">
        <f t="shared" si="2"/>
        <v>28</v>
      </c>
      <c r="AR6" s="4">
        <f t="shared" ref="AR6:AR54" si="12">AH6+AI6+AJ6+AM6+AN6+AP6+(AL6/2)</f>
        <v>26</v>
      </c>
    </row>
    <row r="7" spans="1:44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IFERROR(LOOKUP(2,1/((lentry!$A$3:$A$3999=feb!$A7)*(lentry!$B$3:$B$3999&lt;=feb!F$3)*(lentry!$C$3:$C$3999&gt;=feb!F$3)),lentry!$D$3:$D$3999),IF(WEEKDAY(feb!F$3,1)=1,"WO","P"))</f>
        <v>WO</v>
      </c>
      <c r="G7" s="4" t="str">
        <f>IFERROR(LOOKUP(2,1/((lentry!$A$3:$A$3999=feb!$A7)*(lentry!$B$3:$B$3999&lt;=feb!G$3)*(lentry!$C$3:$C$3999&gt;=feb!G$3)),lentry!$D$3:$D$3999),IF(WEEKDAY(feb!G$3,1)=1,"WO","P"))</f>
        <v>P</v>
      </c>
      <c r="H7" s="4" t="str">
        <f>IFERROR(LOOKUP(2,1/((lentry!$A$3:$A$3999=feb!$A7)*(lentry!$B$3:$B$3999&lt;=feb!H$3)*(lentry!$C$3:$C$3999&gt;=feb!H$3)),lentry!$D$3:$D$3999),IF(WEEKDAY(feb!H$3,1)=1,"WO","P"))</f>
        <v>P</v>
      </c>
      <c r="I7" s="4" t="str">
        <f>IFERROR(LOOKUP(2,1/((lentry!$A$3:$A$3999=feb!$A7)*(lentry!$B$3:$B$3999&lt;=feb!I$3)*(lentry!$C$3:$C$3999&gt;=feb!I$3)),lentry!$D$3:$D$3999),IF(WEEKDAY(feb!I$3,1)=1,"WO","P"))</f>
        <v>P</v>
      </c>
      <c r="J7" s="4" t="str">
        <f>IFERROR(LOOKUP(2,1/((lentry!$A$3:$A$3999=feb!$A7)*(lentry!$B$3:$B$3999&lt;=feb!J$3)*(lentry!$C$3:$C$3999&gt;=feb!J$3)),lentry!$D$3:$D$3999),IF(WEEKDAY(feb!J$3,1)=1,"WO","P"))</f>
        <v>P</v>
      </c>
      <c r="K7" s="4" t="str">
        <f>IFERROR(LOOKUP(2,1/((lentry!$A$3:$A$3999=feb!$A7)*(lentry!$B$3:$B$3999&lt;=feb!K$3)*(lentry!$C$3:$C$3999&gt;=feb!K$3)),lentry!$D$3:$D$3999),IF(WEEKDAY(feb!K$3,1)=1,"WO","P"))</f>
        <v>P</v>
      </c>
      <c r="L7" s="4" t="str">
        <f>IFERROR(LOOKUP(2,1/((lentry!$A$3:$A$3999=feb!$A7)*(lentry!$B$3:$B$3999&lt;=feb!L$3)*(lentry!$C$3:$C$3999&gt;=feb!L$3)),lentry!$D$3:$D$3999),IF(WEEKDAY(feb!L$3,1)=1,"WO","P"))</f>
        <v>P</v>
      </c>
      <c r="M7" s="4" t="str">
        <f>IFERROR(LOOKUP(2,1/((lentry!$A$3:$A$3999=feb!$A7)*(lentry!$B$3:$B$3999&lt;=feb!M$3)*(lentry!$C$3:$C$3999&gt;=feb!M$3)),lentry!$D$3:$D$3999),IF(WEEKDAY(feb!M$3,1)=1,"WO","P"))</f>
        <v>WO</v>
      </c>
      <c r="N7" s="4" t="str">
        <f>IFERROR(LOOKUP(2,1/((lentry!$A$3:$A$3999=feb!$A7)*(lentry!$B$3:$B$3999&lt;=feb!N$3)*(lentry!$C$3:$C$3999&gt;=feb!N$3)),lentry!$D$3:$D$3999),IF(WEEKDAY(feb!N$3,1)=1,"WO","P"))</f>
        <v>P</v>
      </c>
      <c r="O7" s="4" t="str">
        <f>IFERROR(LOOKUP(2,1/((lentry!$A$3:$A$3999=feb!$A7)*(lentry!$B$3:$B$3999&lt;=feb!O$3)*(lentry!$C$3:$C$3999&gt;=feb!O$3)),lentry!$D$3:$D$3999),IF(WEEKDAY(feb!O$3,1)=1,"WO","P"))</f>
        <v>P</v>
      </c>
      <c r="P7" s="4" t="str">
        <f>IFERROR(LOOKUP(2,1/((lentry!$A$3:$A$3999=feb!$A7)*(lentry!$B$3:$B$3999&lt;=feb!P$3)*(lentry!$C$3:$C$3999&gt;=feb!P$3)),lentry!$D$3:$D$3999),IF(WEEKDAY(feb!P$3,1)=1,"WO","P"))</f>
        <v>P</v>
      </c>
      <c r="Q7" s="4" t="str">
        <f>IFERROR(LOOKUP(2,1/((lentry!$A$3:$A$3999=feb!$A7)*(lentry!$B$3:$B$3999&lt;=feb!Q$3)*(lentry!$C$3:$C$3999&gt;=feb!Q$3)),lentry!$D$3:$D$3999),IF(WEEKDAY(feb!Q$3,1)=1,"WO","P"))</f>
        <v>P</v>
      </c>
      <c r="R7" s="4" t="str">
        <f>IFERROR(LOOKUP(2,1/((lentry!$A$3:$A$3999=feb!$A7)*(lentry!$B$3:$B$3999&lt;=feb!R$3)*(lentry!$C$3:$C$3999&gt;=feb!R$3)),lentry!$D$3:$D$3999),IF(WEEKDAY(feb!R$3,1)=1,"WO","P"))</f>
        <v>P</v>
      </c>
      <c r="S7" s="4" t="str">
        <f>IFERROR(LOOKUP(2,1/((lentry!$A$3:$A$3999=feb!$A7)*(lentry!$B$3:$B$3999&lt;=feb!S$3)*(lentry!$C$3:$C$3999&gt;=feb!S$3)),lentry!$D$3:$D$3999),IF(WEEKDAY(feb!S$3,1)=1,"WO","P"))</f>
        <v>P</v>
      </c>
      <c r="T7" s="4" t="s">
        <v>350</v>
      </c>
      <c r="U7" s="4" t="str">
        <f>IFERROR(LOOKUP(2,1/((lentry!$A$3:$A$3999=feb!$A7)*(lentry!$B$3:$B$3999&lt;=feb!U$3)*(lentry!$C$3:$C$3999&gt;=feb!U$3)),lentry!$D$3:$D$3999),IF(WEEKDAY(feb!U$3,1)=1,"WO","P"))</f>
        <v>P</v>
      </c>
      <c r="V7" s="4" t="str">
        <f>IFERROR(LOOKUP(2,1/((lentry!$A$3:$A$3999=feb!$A7)*(lentry!$B$3:$B$3999&lt;=feb!V$3)*(lentry!$C$3:$C$3999&gt;=feb!V$3)),lentry!$D$3:$D$3999),IF(WEEKDAY(feb!V$3,1)=1,"WO","P"))</f>
        <v>P</v>
      </c>
      <c r="W7" s="4" t="str">
        <f>IFERROR(LOOKUP(2,1/((lentry!$A$3:$A$3999=feb!$A7)*(lentry!$B$3:$B$3999&lt;=feb!W$3)*(lentry!$C$3:$C$3999&gt;=feb!W$3)),lentry!$D$3:$D$3999),IF(WEEKDAY(feb!W$3,1)=1,"WO","P"))</f>
        <v>P</v>
      </c>
      <c r="X7" s="4" t="str">
        <f>IFERROR(LOOKUP(2,1/((lentry!$A$3:$A$3999=feb!$A7)*(lentry!$B$3:$B$3999&lt;=feb!X$3)*(lentry!$C$3:$C$3999&gt;=feb!X$3)),lentry!$D$3:$D$3999),IF(WEEKDAY(feb!X$3,1)=1,"WO","P"))</f>
        <v>P</v>
      </c>
      <c r="Y7" s="4" t="str">
        <f>IFERROR(LOOKUP(2,1/((lentry!$A$3:$A$3999=feb!$A7)*(lentry!$B$3:$B$3999&lt;=feb!Y$3)*(lentry!$C$3:$C$3999&gt;=feb!Y$3)),lentry!$D$3:$D$3999),IF(WEEKDAY(feb!Y$3,1)=1,"WO","P"))</f>
        <v>P</v>
      </c>
      <c r="Z7" s="4" t="str">
        <f>IFERROR(LOOKUP(2,1/((lentry!$A$3:$A$3999=feb!$A7)*(lentry!$B$3:$B$3999&lt;=feb!Z$3)*(lentry!$C$3:$C$3999&gt;=feb!Z$3)),lentry!$D$3:$D$3999),IF(WEEKDAY(feb!Z$3,1)=1,"WO","P"))</f>
        <v>P</v>
      </c>
      <c r="AA7" s="4" t="str">
        <f>IFERROR(LOOKUP(2,1/((lentry!$A$3:$A$3999=feb!$A7)*(lentry!$B$3:$B$3999&lt;=feb!AA$3)*(lentry!$C$3:$C$3999&gt;=feb!AA$3)),lentry!$D$3:$D$3999),IF(WEEKDAY(feb!AA$3,1)=1,"WO","P"))</f>
        <v>WO</v>
      </c>
      <c r="AB7" s="4" t="str">
        <f>IFERROR(LOOKUP(2,1/((lentry!$A$3:$A$3999=feb!$A7)*(lentry!$B$3:$B$3999&lt;=feb!AB$3)*(lentry!$C$3:$C$3999&gt;=feb!AB$3)),lentry!$D$3:$D$3999),IF(WEEKDAY(feb!AB$3,1)=1,"WO","P"))</f>
        <v>P</v>
      </c>
      <c r="AC7" s="4" t="str">
        <f>IFERROR(LOOKUP(2,1/((lentry!$A$3:$A$3999=feb!$A7)*(lentry!$B$3:$B$3999&lt;=feb!AC$3)*(lentry!$C$3:$C$3999&gt;=feb!AC$3)),lentry!$D$3:$D$3999),IF(WEEKDAY(feb!AC$3,1)=1,"WO","P"))</f>
        <v>P</v>
      </c>
      <c r="AD7" s="4" t="str">
        <f>IFERROR(LOOKUP(2,1/((lentry!$A$3:$A$3999=feb!$A7)*(lentry!$B$3:$B$3999&lt;=feb!AD$3)*(lentry!$C$3:$C$3999&gt;=feb!AD$3)),lentry!$D$3:$D$3999),IF(WEEKDAY(feb!AD$3,1)=1,"WO","P"))</f>
        <v>P</v>
      </c>
      <c r="AE7" s="4" t="str">
        <f>IFERROR(LOOKUP(2,1/((lentry!$A$3:$A$3999=feb!$A7)*(lentry!$B$3:$B$3999&lt;=feb!AE$3)*(lentry!$C$3:$C$3999&gt;=feb!AE$3)),lentry!$D$3:$D$3999),IF(WEEKDAY(feb!AE$3,1)=1,"WO","P"))</f>
        <v>P</v>
      </c>
      <c r="AF7" s="4" t="str">
        <f>IFERROR(LOOKUP(2,1/((lentry!$A$3:$A$3999=feb!$A7)*(lentry!$B$3:$B$3999&lt;=feb!AF$3)*(lentry!$C$3:$C$3999&gt;=feb!AF$3)),lentry!$D$3:$D$3999),IF(WEEKDAY(feb!AF$3,1)=1,"WO","P"))</f>
        <v>P</v>
      </c>
      <c r="AG7" s="4" t="str">
        <f>IFERROR(LOOKUP(2,1/((lentry!$A$3:$A$3999=feb!$A7)*(lentry!$B$3:$B$3999&lt;=feb!AG$3)*(lentry!$C$3:$C$3999&gt;=feb!AG$3)),lentry!$D$3:$D$3999),IF(WEEKDAY(feb!AG$3,1)=1,"WO","P"))</f>
        <v>P</v>
      </c>
      <c r="AH7" s="4">
        <f t="shared" si="3"/>
        <v>3</v>
      </c>
      <c r="AI7" s="4">
        <f t="shared" si="4"/>
        <v>1</v>
      </c>
      <c r="AJ7" s="4">
        <f t="shared" si="5"/>
        <v>0</v>
      </c>
      <c r="AK7" s="4">
        <f t="shared" si="6"/>
        <v>0</v>
      </c>
      <c r="AL7" s="4">
        <f t="shared" si="7"/>
        <v>0</v>
      </c>
      <c r="AM7" s="4">
        <f t="shared" si="8"/>
        <v>0</v>
      </c>
      <c r="AN7" s="4">
        <f t="shared" si="9"/>
        <v>0</v>
      </c>
      <c r="AO7" s="4">
        <f t="shared" si="10"/>
        <v>0</v>
      </c>
      <c r="AP7" s="4">
        <f t="shared" si="11"/>
        <v>24</v>
      </c>
      <c r="AQ7" s="4">
        <f t="shared" si="2"/>
        <v>28</v>
      </c>
      <c r="AR7" s="4">
        <f t="shared" si="12"/>
        <v>28</v>
      </c>
    </row>
    <row r="8" spans="1:44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IFERROR(LOOKUP(2,1/((lentry!$A$3:$A$3999=feb!$A8)*(lentry!$B$3:$B$3999&lt;=feb!F$3)*(lentry!$C$3:$C$3999&gt;=feb!F$3)),lentry!$D$3:$D$3999),IF(WEEKDAY(feb!F$3,1)=1,"WO","P"))</f>
        <v>WO</v>
      </c>
      <c r="G8" s="4" t="str">
        <f>IFERROR(LOOKUP(2,1/((lentry!$A$3:$A$3999=feb!$A8)*(lentry!$B$3:$B$3999&lt;=feb!G$3)*(lentry!$C$3:$C$3999&gt;=feb!G$3)),lentry!$D$3:$D$3999),IF(WEEKDAY(feb!G$3,1)=1,"WO","P"))</f>
        <v>P</v>
      </c>
      <c r="H8" s="4" t="str">
        <f>IFERROR(LOOKUP(2,1/((lentry!$A$3:$A$3999=feb!$A8)*(lentry!$B$3:$B$3999&lt;=feb!H$3)*(lentry!$C$3:$C$3999&gt;=feb!H$3)),lentry!$D$3:$D$3999),IF(WEEKDAY(feb!H$3,1)=1,"WO","P"))</f>
        <v>P</v>
      </c>
      <c r="I8" s="4" t="str">
        <f>IFERROR(LOOKUP(2,1/((lentry!$A$3:$A$3999=feb!$A8)*(lentry!$B$3:$B$3999&lt;=feb!I$3)*(lentry!$C$3:$C$3999&gt;=feb!I$3)),lentry!$D$3:$D$3999),IF(WEEKDAY(feb!I$3,1)=1,"WO","P"))</f>
        <v>P</v>
      </c>
      <c r="J8" s="4" t="str">
        <f>IFERROR(LOOKUP(2,1/((lentry!$A$3:$A$3999=feb!$A8)*(lentry!$B$3:$B$3999&lt;=feb!J$3)*(lentry!$C$3:$C$3999&gt;=feb!J$3)),lentry!$D$3:$D$3999),IF(WEEKDAY(feb!J$3,1)=1,"WO","P"))</f>
        <v>P</v>
      </c>
      <c r="K8" s="4" t="str">
        <f>IFERROR(LOOKUP(2,1/((lentry!$A$3:$A$3999=feb!$A8)*(lentry!$B$3:$B$3999&lt;=feb!K$3)*(lentry!$C$3:$C$3999&gt;=feb!K$3)),lentry!$D$3:$D$3999),IF(WEEKDAY(feb!K$3,1)=1,"WO","P"))</f>
        <v>P</v>
      </c>
      <c r="L8" s="4" t="str">
        <f>IFERROR(LOOKUP(2,1/((lentry!$A$3:$A$3999=feb!$A8)*(lentry!$B$3:$B$3999&lt;=feb!L$3)*(lentry!$C$3:$C$3999&gt;=feb!L$3)),lentry!$D$3:$D$3999),IF(WEEKDAY(feb!L$3,1)=1,"WO","P"))</f>
        <v>P</v>
      </c>
      <c r="M8" s="4" t="str">
        <f>IFERROR(LOOKUP(2,1/((lentry!$A$3:$A$3999=feb!$A8)*(lentry!$B$3:$B$3999&lt;=feb!M$3)*(lentry!$C$3:$C$3999&gt;=feb!M$3)),lentry!$D$3:$D$3999),IF(WEEKDAY(feb!M$3,1)=1,"WO","P"))</f>
        <v>WO</v>
      </c>
      <c r="N8" s="4" t="str">
        <f>IFERROR(LOOKUP(2,1/((lentry!$A$3:$A$3999=feb!$A8)*(lentry!$B$3:$B$3999&lt;=feb!N$3)*(lentry!$C$3:$C$3999&gt;=feb!N$3)),lentry!$D$3:$D$3999),IF(WEEKDAY(feb!N$3,1)=1,"WO","P"))</f>
        <v>P</v>
      </c>
      <c r="O8" s="4" t="str">
        <f>IFERROR(LOOKUP(2,1/((lentry!$A$3:$A$3999=feb!$A8)*(lentry!$B$3:$B$3999&lt;=feb!O$3)*(lentry!$C$3:$C$3999&gt;=feb!O$3)),lentry!$D$3:$D$3999),IF(WEEKDAY(feb!O$3,1)=1,"WO","P"))</f>
        <v>P</v>
      </c>
      <c r="P8" s="4" t="str">
        <f>IFERROR(LOOKUP(2,1/((lentry!$A$3:$A$3999=feb!$A8)*(lentry!$B$3:$B$3999&lt;=feb!P$3)*(lentry!$C$3:$C$3999&gt;=feb!P$3)),lentry!$D$3:$D$3999),IF(WEEKDAY(feb!P$3,1)=1,"WO","P"))</f>
        <v>P</v>
      </c>
      <c r="Q8" s="4" t="str">
        <f>IFERROR(LOOKUP(2,1/((lentry!$A$3:$A$3999=feb!$A8)*(lentry!$B$3:$B$3999&lt;=feb!Q$3)*(lentry!$C$3:$C$3999&gt;=feb!Q$3)),lentry!$D$3:$D$3999),IF(WEEKDAY(feb!Q$3,1)=1,"WO","P"))</f>
        <v>P</v>
      </c>
      <c r="R8" s="4" t="s">
        <v>539</v>
      </c>
      <c r="S8" s="4" t="str">
        <f>IFERROR(LOOKUP(2,1/((lentry!$A$3:$A$3999=feb!$A8)*(lentry!$B$3:$B$3999&lt;=feb!S$3)*(lentry!$C$3:$C$3999&gt;=feb!S$3)),lentry!$D$3:$D$3999),IF(WEEKDAY(feb!S$3,1)=1,"WO","P"))</f>
        <v>P</v>
      </c>
      <c r="T8" s="4" t="s">
        <v>350</v>
      </c>
      <c r="U8" s="4" t="str">
        <f>IFERROR(LOOKUP(2,1/((lentry!$A$3:$A$3999=feb!$A8)*(lentry!$B$3:$B$3999&lt;=feb!U$3)*(lentry!$C$3:$C$3999&gt;=feb!U$3)),lentry!$D$3:$D$3999),IF(WEEKDAY(feb!U$3,1)=1,"WO","P"))</f>
        <v>P</v>
      </c>
      <c r="V8" s="4" t="str">
        <f>IFERROR(LOOKUP(2,1/((lentry!$A$3:$A$3999=feb!$A8)*(lentry!$B$3:$B$3999&lt;=feb!V$3)*(lentry!$C$3:$C$3999&gt;=feb!V$3)),lentry!$D$3:$D$3999),IF(WEEKDAY(feb!V$3,1)=1,"WO","P"))</f>
        <v>SL</v>
      </c>
      <c r="W8" s="4" t="str">
        <f>IFERROR(LOOKUP(2,1/((lentry!$A$3:$A$3999=feb!$A8)*(lentry!$B$3:$B$3999&lt;=feb!W$3)*(lentry!$C$3:$C$3999&gt;=feb!W$3)),lentry!$D$3:$D$3999),IF(WEEKDAY(feb!W$3,1)=1,"WO","P"))</f>
        <v>P</v>
      </c>
      <c r="X8" s="4" t="str">
        <f>IFERROR(LOOKUP(2,1/((lentry!$A$3:$A$3999=feb!$A8)*(lentry!$B$3:$B$3999&lt;=feb!X$3)*(lentry!$C$3:$C$3999&gt;=feb!X$3)),lentry!$D$3:$D$3999),IF(WEEKDAY(feb!X$3,1)=1,"WO","P"))</f>
        <v>P</v>
      </c>
      <c r="Y8" s="4" t="str">
        <f>IFERROR(LOOKUP(2,1/((lentry!$A$3:$A$3999=feb!$A8)*(lentry!$B$3:$B$3999&lt;=feb!Y$3)*(lentry!$C$3:$C$3999&gt;=feb!Y$3)),lentry!$D$3:$D$3999),IF(WEEKDAY(feb!Y$3,1)=1,"WO","P"))</f>
        <v>P</v>
      </c>
      <c r="Z8" s="4" t="str">
        <f>IFERROR(LOOKUP(2,1/((lentry!$A$3:$A$3999=feb!$A8)*(lentry!$B$3:$B$3999&lt;=feb!Z$3)*(lentry!$C$3:$C$3999&gt;=feb!Z$3)),lentry!$D$3:$D$3999),IF(WEEKDAY(feb!Z$3,1)=1,"WO","P"))</f>
        <v>P</v>
      </c>
      <c r="AA8" s="4" t="str">
        <f>IFERROR(LOOKUP(2,1/((lentry!$A$3:$A$3999=feb!$A8)*(lentry!$B$3:$B$3999&lt;=feb!AA$3)*(lentry!$C$3:$C$3999&gt;=feb!AA$3)),lentry!$D$3:$D$3999),IF(WEEKDAY(feb!AA$3,1)=1,"WO","P"))</f>
        <v>WO</v>
      </c>
      <c r="AB8" s="4" t="str">
        <f>IFERROR(LOOKUP(2,1/((lentry!$A$3:$A$3999=feb!$A8)*(lentry!$B$3:$B$3999&lt;=feb!AB$3)*(lentry!$C$3:$C$3999&gt;=feb!AB$3)),lentry!$D$3:$D$3999),IF(WEEKDAY(feb!AB$3,1)=1,"WO","P"))</f>
        <v>P</v>
      </c>
      <c r="AC8" s="4" t="str">
        <f>IFERROR(LOOKUP(2,1/((lentry!$A$3:$A$3999=feb!$A8)*(lentry!$B$3:$B$3999&lt;=feb!AC$3)*(lentry!$C$3:$C$3999&gt;=feb!AC$3)),lentry!$D$3:$D$3999),IF(WEEKDAY(feb!AC$3,1)=1,"WO","P"))</f>
        <v>P</v>
      </c>
      <c r="AD8" s="4" t="str">
        <f>IFERROR(LOOKUP(2,1/((lentry!$A$3:$A$3999=feb!$A8)*(lentry!$B$3:$B$3999&lt;=feb!AD$3)*(lentry!$C$3:$C$3999&gt;=feb!AD$3)),lentry!$D$3:$D$3999),IF(WEEKDAY(feb!AD$3,1)=1,"WO","P"))</f>
        <v>P</v>
      </c>
      <c r="AE8" s="4" t="str">
        <f>IFERROR(LOOKUP(2,1/((lentry!$A$3:$A$3999=feb!$A8)*(lentry!$B$3:$B$3999&lt;=feb!AE$3)*(lentry!$C$3:$C$3999&gt;=feb!AE$3)),lentry!$D$3:$D$3999),IF(WEEKDAY(feb!AE$3,1)=1,"WO","P"))</f>
        <v>P</v>
      </c>
      <c r="AF8" s="4" t="str">
        <f>IFERROR(LOOKUP(2,1/((lentry!$A$3:$A$3999=feb!$A8)*(lentry!$B$3:$B$3999&lt;=feb!AF$3)*(lentry!$C$3:$C$3999&gt;=feb!AF$3)),lentry!$D$3:$D$3999),IF(WEEKDAY(feb!AF$3,1)=1,"WO","P"))</f>
        <v>P</v>
      </c>
      <c r="AG8" s="4" t="str">
        <f>IFERROR(LOOKUP(2,1/((lentry!$A$3:$A$3999=feb!$A8)*(lentry!$B$3:$B$3999&lt;=feb!AG$3)*(lentry!$C$3:$C$3999&gt;=feb!AG$3)),lentry!$D$3:$D$3999),IF(WEEKDAY(feb!AG$3,1)=1,"WO","P"))</f>
        <v>P</v>
      </c>
      <c r="AH8" s="4">
        <f t="shared" si="3"/>
        <v>3</v>
      </c>
      <c r="AI8" s="4">
        <f t="shared" si="4"/>
        <v>1</v>
      </c>
      <c r="AJ8" s="4">
        <f t="shared" si="5"/>
        <v>0</v>
      </c>
      <c r="AK8" s="4">
        <f t="shared" si="6"/>
        <v>0</v>
      </c>
      <c r="AL8" s="4">
        <f t="shared" si="7"/>
        <v>0</v>
      </c>
      <c r="AM8" s="4">
        <f t="shared" si="8"/>
        <v>1</v>
      </c>
      <c r="AN8" s="4">
        <f t="shared" si="9"/>
        <v>0</v>
      </c>
      <c r="AO8" s="4">
        <f t="shared" si="10"/>
        <v>1</v>
      </c>
      <c r="AP8" s="4">
        <f t="shared" si="11"/>
        <v>22</v>
      </c>
      <c r="AQ8" s="4">
        <f t="shared" si="2"/>
        <v>28</v>
      </c>
      <c r="AR8" s="4">
        <f t="shared" si="12"/>
        <v>27</v>
      </c>
    </row>
    <row r="9" spans="1:44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IFERROR(LOOKUP(2,1/((lentry!$A$3:$A$3999=feb!$A9)*(lentry!$B$3:$B$3999&lt;=feb!F$3)*(lentry!$C$3:$C$3999&gt;=feb!F$3)),lentry!$D$3:$D$3999),IF(WEEKDAY(feb!F$3,1)=1,"WO","P"))</f>
        <v>WO</v>
      </c>
      <c r="G9" s="4" t="str">
        <f>IFERROR(LOOKUP(2,1/((lentry!$A$3:$A$3999=feb!$A9)*(lentry!$B$3:$B$3999&lt;=feb!G$3)*(lentry!$C$3:$C$3999&gt;=feb!G$3)),lentry!$D$3:$D$3999),IF(WEEKDAY(feb!G$3,1)=1,"WO","P"))</f>
        <v>P</v>
      </c>
      <c r="H9" s="4" t="str">
        <f>IFERROR(LOOKUP(2,1/((lentry!$A$3:$A$3999=feb!$A9)*(lentry!$B$3:$B$3999&lt;=feb!H$3)*(lentry!$C$3:$C$3999&gt;=feb!H$3)),lentry!$D$3:$D$3999),IF(WEEKDAY(feb!H$3,1)=1,"WO","P"))</f>
        <v>P</v>
      </c>
      <c r="I9" s="4" t="str">
        <f>IFERROR(LOOKUP(2,1/((lentry!$A$3:$A$3999=feb!$A9)*(lentry!$B$3:$B$3999&lt;=feb!I$3)*(lentry!$C$3:$C$3999&gt;=feb!I$3)),lentry!$D$3:$D$3999),IF(WEEKDAY(feb!I$3,1)=1,"WO","P"))</f>
        <v>P</v>
      </c>
      <c r="J9" s="4" t="s">
        <v>539</v>
      </c>
      <c r="K9" s="4" t="str">
        <f>IFERROR(LOOKUP(2,1/((lentry!$A$3:$A$3999=feb!$A9)*(lentry!$B$3:$B$3999&lt;=feb!K$3)*(lentry!$C$3:$C$3999&gt;=feb!K$3)),lentry!$D$3:$D$3999),IF(WEEKDAY(feb!K$3,1)=1,"WO","P"))</f>
        <v>P</v>
      </c>
      <c r="L9" s="4" t="str">
        <f>IFERROR(LOOKUP(2,1/((lentry!$A$3:$A$3999=feb!$A9)*(lentry!$B$3:$B$3999&lt;=feb!L$3)*(lentry!$C$3:$C$3999&gt;=feb!L$3)),lentry!$D$3:$D$3999),IF(WEEKDAY(feb!L$3,1)=1,"WO","P"))</f>
        <v>P</v>
      </c>
      <c r="M9" s="4" t="str">
        <f>IFERROR(LOOKUP(2,1/((lentry!$A$3:$A$3999=feb!$A9)*(lentry!$B$3:$B$3999&lt;=feb!M$3)*(lentry!$C$3:$C$3999&gt;=feb!M$3)),lentry!$D$3:$D$3999),IF(WEEKDAY(feb!M$3,1)=1,"WO","P"))</f>
        <v>WO</v>
      </c>
      <c r="N9" s="4" t="str">
        <f>IFERROR(LOOKUP(2,1/((lentry!$A$3:$A$3999=feb!$A9)*(lentry!$B$3:$B$3999&lt;=feb!N$3)*(lentry!$C$3:$C$3999&gt;=feb!N$3)),lentry!$D$3:$D$3999),IF(WEEKDAY(feb!N$3,1)=1,"WO","P"))</f>
        <v>P</v>
      </c>
      <c r="O9" s="4" t="str">
        <f>IFERROR(LOOKUP(2,1/((lentry!$A$3:$A$3999=feb!$A9)*(lentry!$B$3:$B$3999&lt;=feb!O$3)*(lentry!$C$3:$C$3999&gt;=feb!O$3)),lentry!$D$3:$D$3999),IF(WEEKDAY(feb!O$3,1)=1,"WO","P"))</f>
        <v>P</v>
      </c>
      <c r="P9" s="4" t="str">
        <f>IFERROR(LOOKUP(2,1/((lentry!$A$3:$A$3999=feb!$A9)*(lentry!$B$3:$B$3999&lt;=feb!P$3)*(lentry!$C$3:$C$3999&gt;=feb!P$3)),lentry!$D$3:$D$3999),IF(WEEKDAY(feb!P$3,1)=1,"WO","P"))</f>
        <v>P</v>
      </c>
      <c r="Q9" s="4" t="str">
        <f>IFERROR(LOOKUP(2,1/((lentry!$A$3:$A$3999=feb!$A9)*(lentry!$B$3:$B$3999&lt;=feb!Q$3)*(lentry!$C$3:$C$3999&gt;=feb!Q$3)),lentry!$D$3:$D$3999),IF(WEEKDAY(feb!Q$3,1)=1,"WO","P"))</f>
        <v>P</v>
      </c>
      <c r="R9" s="4" t="str">
        <f>IFERROR(LOOKUP(2,1/((lentry!$A$3:$A$3999=feb!$A9)*(lentry!$B$3:$B$3999&lt;=feb!R$3)*(lentry!$C$3:$C$3999&gt;=feb!R$3)),lentry!$D$3:$D$3999),IF(WEEKDAY(feb!R$3,1)=1,"WO","P"))</f>
        <v>P</v>
      </c>
      <c r="S9" s="4" t="str">
        <f>IFERROR(LOOKUP(2,1/((lentry!$A$3:$A$3999=feb!$A9)*(lentry!$B$3:$B$3999&lt;=feb!S$3)*(lentry!$C$3:$C$3999&gt;=feb!S$3)),lentry!$D$3:$D$3999),IF(WEEKDAY(feb!S$3,1)=1,"WO","P"))</f>
        <v>P</v>
      </c>
      <c r="T9" s="4" t="s">
        <v>350</v>
      </c>
      <c r="U9" s="4" t="str">
        <f>IFERROR(LOOKUP(2,1/((lentry!$A$3:$A$3999=feb!$A9)*(lentry!$B$3:$B$3999&lt;=feb!U$3)*(lentry!$C$3:$C$3999&gt;=feb!U$3)),lentry!$D$3:$D$3999),IF(WEEKDAY(feb!U$3,1)=1,"WO","P"))</f>
        <v>P</v>
      </c>
      <c r="V9" s="4" t="str">
        <f>IFERROR(LOOKUP(2,1/((lentry!$A$3:$A$3999=feb!$A9)*(lentry!$B$3:$B$3999&lt;=feb!V$3)*(lentry!$C$3:$C$3999&gt;=feb!V$3)),lentry!$D$3:$D$3999),IF(WEEKDAY(feb!V$3,1)=1,"WO","P"))</f>
        <v>P</v>
      </c>
      <c r="W9" s="4" t="str">
        <f>IFERROR(LOOKUP(2,1/((lentry!$A$3:$A$3999=feb!$A9)*(lentry!$B$3:$B$3999&lt;=feb!W$3)*(lentry!$C$3:$C$3999&gt;=feb!W$3)),lentry!$D$3:$D$3999),IF(WEEKDAY(feb!W$3,1)=1,"WO","P"))</f>
        <v>P</v>
      </c>
      <c r="X9" s="4" t="str">
        <f>IFERROR(LOOKUP(2,1/((lentry!$A$3:$A$3999=feb!$A9)*(lentry!$B$3:$B$3999&lt;=feb!X$3)*(lentry!$C$3:$C$3999&gt;=feb!X$3)),lentry!$D$3:$D$3999),IF(WEEKDAY(feb!X$3,1)=1,"WO","P"))</f>
        <v>P</v>
      </c>
      <c r="Y9" s="4" t="str">
        <f>IFERROR(LOOKUP(2,1/((lentry!$A$3:$A$3999=feb!$A9)*(lentry!$B$3:$B$3999&lt;=feb!Y$3)*(lentry!$C$3:$C$3999&gt;=feb!Y$3)),lentry!$D$3:$D$3999),IF(WEEKDAY(feb!Y$3,1)=1,"WO","P"))</f>
        <v>P</v>
      </c>
      <c r="Z9" s="4" t="str">
        <f>IFERROR(LOOKUP(2,1/((lentry!$A$3:$A$3999=feb!$A9)*(lentry!$B$3:$B$3999&lt;=feb!Z$3)*(lentry!$C$3:$C$3999&gt;=feb!Z$3)),lentry!$D$3:$D$3999),IF(WEEKDAY(feb!Z$3,1)=1,"WO","P"))</f>
        <v>P</v>
      </c>
      <c r="AA9" s="4" t="str">
        <f>IFERROR(LOOKUP(2,1/((lentry!$A$3:$A$3999=feb!$A9)*(lentry!$B$3:$B$3999&lt;=feb!AA$3)*(lentry!$C$3:$C$3999&gt;=feb!AA$3)),lentry!$D$3:$D$3999),IF(WEEKDAY(feb!AA$3,1)=1,"WO","P"))</f>
        <v>WO</v>
      </c>
      <c r="AB9" s="4" t="str">
        <f>IFERROR(LOOKUP(2,1/((lentry!$A$3:$A$3999=feb!$A9)*(lentry!$B$3:$B$3999&lt;=feb!AB$3)*(lentry!$C$3:$C$3999&gt;=feb!AB$3)),lentry!$D$3:$D$3999),IF(WEEKDAY(feb!AB$3,1)=1,"WO","P"))</f>
        <v>P</v>
      </c>
      <c r="AC9" s="4" t="str">
        <f>IFERROR(LOOKUP(2,1/((lentry!$A$3:$A$3999=feb!$A9)*(lentry!$B$3:$B$3999&lt;=feb!AC$3)*(lentry!$C$3:$C$3999&gt;=feb!AC$3)),lentry!$D$3:$D$3999),IF(WEEKDAY(feb!AC$3,1)=1,"WO","P"))</f>
        <v>P</v>
      </c>
      <c r="AD9" s="4" t="str">
        <f>IFERROR(LOOKUP(2,1/((lentry!$A$3:$A$3999=feb!$A9)*(lentry!$B$3:$B$3999&lt;=feb!AD$3)*(lentry!$C$3:$C$3999&gt;=feb!AD$3)),lentry!$D$3:$D$3999),IF(WEEKDAY(feb!AD$3,1)=1,"WO","P"))</f>
        <v>P</v>
      </c>
      <c r="AE9" s="4" t="str">
        <f>IFERROR(LOOKUP(2,1/((lentry!$A$3:$A$3999=feb!$A9)*(lentry!$B$3:$B$3999&lt;=feb!AE$3)*(lentry!$C$3:$C$3999&gt;=feb!AE$3)),lentry!$D$3:$D$3999),IF(WEEKDAY(feb!AE$3,1)=1,"WO","P"))</f>
        <v>P</v>
      </c>
      <c r="AF9" s="4" t="str">
        <f>IFERROR(LOOKUP(2,1/((lentry!$A$3:$A$3999=feb!$A9)*(lentry!$B$3:$B$3999&lt;=feb!AF$3)*(lentry!$C$3:$C$3999&gt;=feb!AF$3)),lentry!$D$3:$D$3999),IF(WEEKDAY(feb!AF$3,1)=1,"WO","P"))</f>
        <v>P</v>
      </c>
      <c r="AG9" s="4" t="str">
        <f>IFERROR(LOOKUP(2,1/((lentry!$A$3:$A$3999=feb!$A9)*(lentry!$B$3:$B$3999&lt;=feb!AG$3)*(lentry!$C$3:$C$3999&gt;=feb!AG$3)),lentry!$D$3:$D$3999),IF(WEEKDAY(feb!AG$3,1)=1,"WO","P"))</f>
        <v>P</v>
      </c>
      <c r="AH9" s="4">
        <f t="shared" si="3"/>
        <v>3</v>
      </c>
      <c r="AI9" s="4">
        <f t="shared" si="4"/>
        <v>1</v>
      </c>
      <c r="AJ9" s="4">
        <f t="shared" si="5"/>
        <v>0</v>
      </c>
      <c r="AK9" s="4">
        <f t="shared" si="6"/>
        <v>0</v>
      </c>
      <c r="AL9" s="4">
        <f t="shared" si="7"/>
        <v>0</v>
      </c>
      <c r="AM9" s="4">
        <f t="shared" si="8"/>
        <v>0</v>
      </c>
      <c r="AN9" s="4">
        <f t="shared" si="9"/>
        <v>0</v>
      </c>
      <c r="AO9" s="4">
        <f t="shared" si="10"/>
        <v>1</v>
      </c>
      <c r="AP9" s="4">
        <f t="shared" si="11"/>
        <v>23</v>
      </c>
      <c r="AQ9" s="4">
        <f t="shared" si="2"/>
        <v>28</v>
      </c>
      <c r="AR9" s="4">
        <f t="shared" si="12"/>
        <v>27</v>
      </c>
    </row>
    <row r="10" spans="1:44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IFERROR(LOOKUP(2,1/((lentry!$A$3:$A$3999=feb!$A10)*(lentry!$B$3:$B$3999&lt;=feb!F$3)*(lentry!$C$3:$C$3999&gt;=feb!F$3)),lentry!$D$3:$D$3999),IF(WEEKDAY(feb!F$3,1)=1,"WO","P"))</f>
        <v>WO</v>
      </c>
      <c r="G10" s="4" t="str">
        <f>IFERROR(LOOKUP(2,1/((lentry!$A$3:$A$3999=feb!$A10)*(lentry!$B$3:$B$3999&lt;=feb!G$3)*(lentry!$C$3:$C$3999&gt;=feb!G$3)),lentry!$D$3:$D$3999),IF(WEEKDAY(feb!G$3,1)=1,"WO","P"))</f>
        <v>P</v>
      </c>
      <c r="H10" s="4" t="str">
        <f>IFERROR(LOOKUP(2,1/((lentry!$A$3:$A$3999=feb!$A10)*(lentry!$B$3:$B$3999&lt;=feb!H$3)*(lentry!$C$3:$C$3999&gt;=feb!H$3)),lentry!$D$3:$D$3999),IF(WEEKDAY(feb!H$3,1)=1,"WO","P"))</f>
        <v>P</v>
      </c>
      <c r="I10" s="4" t="str">
        <f>IFERROR(LOOKUP(2,1/((lentry!$A$3:$A$3999=feb!$A10)*(lentry!$B$3:$B$3999&lt;=feb!I$3)*(lentry!$C$3:$C$3999&gt;=feb!I$3)),lentry!$D$3:$D$3999),IF(WEEKDAY(feb!I$3,1)=1,"WO","P"))</f>
        <v>P</v>
      </c>
      <c r="J10" s="4" t="str">
        <f>IFERROR(LOOKUP(2,1/((lentry!$A$3:$A$3999=feb!$A10)*(lentry!$B$3:$B$3999&lt;=feb!J$3)*(lentry!$C$3:$C$3999&gt;=feb!J$3)),lentry!$D$3:$D$3999),IF(WEEKDAY(feb!J$3,1)=1,"WO","P"))</f>
        <v>P</v>
      </c>
      <c r="K10" s="4" t="str">
        <f>IFERROR(LOOKUP(2,1/((lentry!$A$3:$A$3999=feb!$A10)*(lentry!$B$3:$B$3999&lt;=feb!K$3)*(lentry!$C$3:$C$3999&gt;=feb!K$3)),lentry!$D$3:$D$3999),IF(WEEKDAY(feb!K$3,1)=1,"WO","P"))</f>
        <v>P</v>
      </c>
      <c r="L10" s="4" t="str">
        <f>IFERROR(LOOKUP(2,1/((lentry!$A$3:$A$3999=feb!$A10)*(lentry!$B$3:$B$3999&lt;=feb!L$3)*(lentry!$C$3:$C$3999&gt;=feb!L$3)),lentry!$D$3:$D$3999),IF(WEEKDAY(feb!L$3,1)=1,"WO","P"))</f>
        <v>P</v>
      </c>
      <c r="M10" s="4" t="str">
        <f>IFERROR(LOOKUP(2,1/((lentry!$A$3:$A$3999=feb!$A10)*(lentry!$B$3:$B$3999&lt;=feb!M$3)*(lentry!$C$3:$C$3999&gt;=feb!M$3)),lentry!$D$3:$D$3999),IF(WEEKDAY(feb!M$3,1)=1,"WO","P"))</f>
        <v>WO</v>
      </c>
      <c r="N10" s="4" t="str">
        <f>IFERROR(LOOKUP(2,1/((lentry!$A$3:$A$3999=feb!$A10)*(lentry!$B$3:$B$3999&lt;=feb!N$3)*(lentry!$C$3:$C$3999&gt;=feb!N$3)),lentry!$D$3:$D$3999),IF(WEEKDAY(feb!N$3,1)=1,"WO","P"))</f>
        <v>P</v>
      </c>
      <c r="O10" s="4" t="str">
        <f>IFERROR(LOOKUP(2,1/((lentry!$A$3:$A$3999=feb!$A10)*(lentry!$B$3:$B$3999&lt;=feb!O$3)*(lentry!$C$3:$C$3999&gt;=feb!O$3)),lentry!$D$3:$D$3999),IF(WEEKDAY(feb!O$3,1)=1,"WO","P"))</f>
        <v>P</v>
      </c>
      <c r="P10" s="4" t="str">
        <f>IFERROR(LOOKUP(2,1/((lentry!$A$3:$A$3999=feb!$A10)*(lentry!$B$3:$B$3999&lt;=feb!P$3)*(lentry!$C$3:$C$3999&gt;=feb!P$3)),lentry!$D$3:$D$3999),IF(WEEKDAY(feb!P$3,1)=1,"WO","P"))</f>
        <v>P</v>
      </c>
      <c r="Q10" s="4" t="str">
        <f>IFERROR(LOOKUP(2,1/((lentry!$A$3:$A$3999=feb!$A10)*(lentry!$B$3:$B$3999&lt;=feb!Q$3)*(lentry!$C$3:$C$3999&gt;=feb!Q$3)),lentry!$D$3:$D$3999),IF(WEEKDAY(feb!Q$3,1)=1,"WO","P"))</f>
        <v>P</v>
      </c>
      <c r="R10" s="4" t="str">
        <f>IFERROR(LOOKUP(2,1/((lentry!$A$3:$A$3999=feb!$A10)*(lentry!$B$3:$B$3999&lt;=feb!R$3)*(lentry!$C$3:$C$3999&gt;=feb!R$3)),lentry!$D$3:$D$3999),IF(WEEKDAY(feb!R$3,1)=1,"WO","P"))</f>
        <v>P</v>
      </c>
      <c r="S10" s="4" t="str">
        <f>IFERROR(LOOKUP(2,1/((lentry!$A$3:$A$3999=feb!$A10)*(lentry!$B$3:$B$3999&lt;=feb!S$3)*(lentry!$C$3:$C$3999&gt;=feb!S$3)),lentry!$D$3:$D$3999),IF(WEEKDAY(feb!S$3,1)=1,"WO","P"))</f>
        <v>P</v>
      </c>
      <c r="T10" s="4" t="s">
        <v>350</v>
      </c>
      <c r="U10" s="4" t="str">
        <f>IFERROR(LOOKUP(2,1/((lentry!$A$3:$A$3999=feb!$A10)*(lentry!$B$3:$B$3999&lt;=feb!U$3)*(lentry!$C$3:$C$3999&gt;=feb!U$3)),lentry!$D$3:$D$3999),IF(WEEKDAY(feb!U$3,1)=1,"WO","P"))</f>
        <v>P</v>
      </c>
      <c r="V10" s="4" t="str">
        <f>IFERROR(LOOKUP(2,1/((lentry!$A$3:$A$3999=feb!$A10)*(lentry!$B$3:$B$3999&lt;=feb!V$3)*(lentry!$C$3:$C$3999&gt;=feb!V$3)),lentry!$D$3:$D$3999),IF(WEEKDAY(feb!V$3,1)=1,"WO","P"))</f>
        <v>P</v>
      </c>
      <c r="W10" s="4" t="str">
        <f>IFERROR(LOOKUP(2,1/((lentry!$A$3:$A$3999=feb!$A10)*(lentry!$B$3:$B$3999&lt;=feb!W$3)*(lentry!$C$3:$C$3999&gt;=feb!W$3)),lentry!$D$3:$D$3999),IF(WEEKDAY(feb!W$3,1)=1,"WO","P"))</f>
        <v>P</v>
      </c>
      <c r="X10" s="4" t="str">
        <f>IFERROR(LOOKUP(2,1/((lentry!$A$3:$A$3999=feb!$A10)*(lentry!$B$3:$B$3999&lt;=feb!X$3)*(lentry!$C$3:$C$3999&gt;=feb!X$3)),lentry!$D$3:$D$3999),IF(WEEKDAY(feb!X$3,1)=1,"WO","P"))</f>
        <v>P</v>
      </c>
      <c r="Y10" s="4" t="str">
        <f>IFERROR(LOOKUP(2,1/((lentry!$A$3:$A$3999=feb!$A10)*(lentry!$B$3:$B$3999&lt;=feb!Y$3)*(lentry!$C$3:$C$3999&gt;=feb!Y$3)),lentry!$D$3:$D$3999),IF(WEEKDAY(feb!Y$3,1)=1,"WO","P"))</f>
        <v>P</v>
      </c>
      <c r="Z10" s="4" t="str">
        <f>IFERROR(LOOKUP(2,1/((lentry!$A$3:$A$3999=feb!$A10)*(lentry!$B$3:$B$3999&lt;=feb!Z$3)*(lentry!$C$3:$C$3999&gt;=feb!Z$3)),lentry!$D$3:$D$3999),IF(WEEKDAY(feb!Z$3,1)=1,"WO","P"))</f>
        <v>P</v>
      </c>
      <c r="AA10" s="4" t="str">
        <f>IFERROR(LOOKUP(2,1/((lentry!$A$3:$A$3999=feb!$A10)*(lentry!$B$3:$B$3999&lt;=feb!AA$3)*(lentry!$C$3:$C$3999&gt;=feb!AA$3)),lentry!$D$3:$D$3999),IF(WEEKDAY(feb!AA$3,1)=1,"WO","P"))</f>
        <v>WO</v>
      </c>
      <c r="AB10" s="4" t="str">
        <f>IFERROR(LOOKUP(2,1/((lentry!$A$3:$A$3999=feb!$A10)*(lentry!$B$3:$B$3999&lt;=feb!AB$3)*(lentry!$C$3:$C$3999&gt;=feb!AB$3)),lentry!$D$3:$D$3999),IF(WEEKDAY(feb!AB$3,1)=1,"WO","P"))</f>
        <v>P</v>
      </c>
      <c r="AC10" s="4" t="str">
        <f>IFERROR(LOOKUP(2,1/((lentry!$A$3:$A$3999=feb!$A10)*(lentry!$B$3:$B$3999&lt;=feb!AC$3)*(lentry!$C$3:$C$3999&gt;=feb!AC$3)),lentry!$D$3:$D$3999),IF(WEEKDAY(feb!AC$3,1)=1,"WO","P"))</f>
        <v>P</v>
      </c>
      <c r="AD10" s="4" t="str">
        <f>IFERROR(LOOKUP(2,1/((lentry!$A$3:$A$3999=feb!$A10)*(lentry!$B$3:$B$3999&lt;=feb!AD$3)*(lentry!$C$3:$C$3999&gt;=feb!AD$3)),lentry!$D$3:$D$3999),IF(WEEKDAY(feb!AD$3,1)=1,"WO","P"))</f>
        <v>P</v>
      </c>
      <c r="AE10" s="4" t="s">
        <v>539</v>
      </c>
      <c r="AF10" s="4" t="str">
        <f>IFERROR(LOOKUP(2,1/((lentry!$A$3:$A$3999=feb!$A10)*(lentry!$B$3:$B$3999&lt;=feb!AF$3)*(lentry!$C$3:$C$3999&gt;=feb!AF$3)),lentry!$D$3:$D$3999),IF(WEEKDAY(feb!AF$3,1)=1,"WO","P"))</f>
        <v>P</v>
      </c>
      <c r="AG10" s="4" t="str">
        <f>IFERROR(LOOKUP(2,1/((lentry!$A$3:$A$3999=feb!$A10)*(lentry!$B$3:$B$3999&lt;=feb!AG$3)*(lentry!$C$3:$C$3999&gt;=feb!AG$3)),lentry!$D$3:$D$3999),IF(WEEKDAY(feb!AG$3,1)=1,"WO","P"))</f>
        <v>P</v>
      </c>
      <c r="AH10" s="4">
        <f t="shared" si="3"/>
        <v>3</v>
      </c>
      <c r="AI10" s="4">
        <f t="shared" si="4"/>
        <v>1</v>
      </c>
      <c r="AJ10" s="4">
        <f t="shared" si="5"/>
        <v>0</v>
      </c>
      <c r="AK10" s="4">
        <f t="shared" si="6"/>
        <v>0</v>
      </c>
      <c r="AL10" s="4">
        <f t="shared" si="7"/>
        <v>0</v>
      </c>
      <c r="AM10" s="4">
        <f t="shared" si="8"/>
        <v>0</v>
      </c>
      <c r="AN10" s="4">
        <f t="shared" si="9"/>
        <v>0</v>
      </c>
      <c r="AO10" s="4">
        <f t="shared" si="10"/>
        <v>1</v>
      </c>
      <c r="AP10" s="4">
        <f t="shared" si="11"/>
        <v>23</v>
      </c>
      <c r="AQ10" s="4">
        <f t="shared" si="2"/>
        <v>28</v>
      </c>
      <c r="AR10" s="4">
        <f t="shared" si="12"/>
        <v>27</v>
      </c>
    </row>
    <row r="11" spans="1:44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IFERROR(LOOKUP(2,1/((lentry!$A$3:$A$3999=feb!$A11)*(lentry!$B$3:$B$3999&lt;=feb!F$3)*(lentry!$C$3:$C$3999&gt;=feb!F$3)),lentry!$D$3:$D$3999),IF(WEEKDAY(feb!F$3,1)=1,"WO","P"))</f>
        <v>WO</v>
      </c>
      <c r="G11" s="4" t="str">
        <f>IFERROR(LOOKUP(2,1/((lentry!$A$3:$A$3999=feb!$A11)*(lentry!$B$3:$B$3999&lt;=feb!G$3)*(lentry!$C$3:$C$3999&gt;=feb!G$3)),lentry!$D$3:$D$3999),IF(WEEKDAY(feb!G$3,1)=1,"WO","P"))</f>
        <v>P</v>
      </c>
      <c r="H11" s="4" t="str">
        <f>IFERROR(LOOKUP(2,1/((lentry!$A$3:$A$3999=feb!$A11)*(lentry!$B$3:$B$3999&lt;=feb!H$3)*(lentry!$C$3:$C$3999&gt;=feb!H$3)),lentry!$D$3:$D$3999),IF(WEEKDAY(feb!H$3,1)=1,"WO","P"))</f>
        <v>P</v>
      </c>
      <c r="I11" s="4" t="str">
        <f>IFERROR(LOOKUP(2,1/((lentry!$A$3:$A$3999=feb!$A11)*(lentry!$B$3:$B$3999&lt;=feb!I$3)*(lentry!$C$3:$C$3999&gt;=feb!I$3)),lentry!$D$3:$D$3999),IF(WEEKDAY(feb!I$3,1)=1,"WO","P"))</f>
        <v>P</v>
      </c>
      <c r="J11" s="4" t="str">
        <f>IFERROR(LOOKUP(2,1/((lentry!$A$3:$A$3999=feb!$A11)*(lentry!$B$3:$B$3999&lt;=feb!J$3)*(lentry!$C$3:$C$3999&gt;=feb!J$3)),lentry!$D$3:$D$3999),IF(WEEKDAY(feb!J$3,1)=1,"WO","P"))</f>
        <v>P</v>
      </c>
      <c r="K11" s="4" t="str">
        <f>IFERROR(LOOKUP(2,1/((lentry!$A$3:$A$3999=feb!$A11)*(lentry!$B$3:$B$3999&lt;=feb!K$3)*(lentry!$C$3:$C$3999&gt;=feb!K$3)),lentry!$D$3:$D$3999),IF(WEEKDAY(feb!K$3,1)=1,"WO","P"))</f>
        <v>P</v>
      </c>
      <c r="L11" s="4" t="str">
        <f>IFERROR(LOOKUP(2,1/((lentry!$A$3:$A$3999=feb!$A11)*(lentry!$B$3:$B$3999&lt;=feb!L$3)*(lentry!$C$3:$C$3999&gt;=feb!L$3)),lentry!$D$3:$D$3999),IF(WEEKDAY(feb!L$3,1)=1,"WO","P"))</f>
        <v>P</v>
      </c>
      <c r="M11" s="4" t="str">
        <f>IFERROR(LOOKUP(2,1/((lentry!$A$3:$A$3999=feb!$A11)*(lentry!$B$3:$B$3999&lt;=feb!M$3)*(lentry!$C$3:$C$3999&gt;=feb!M$3)),lentry!$D$3:$D$3999),IF(WEEKDAY(feb!M$3,1)=1,"WO","P"))</f>
        <v>WO</v>
      </c>
      <c r="N11" s="4" t="str">
        <f>IFERROR(LOOKUP(2,1/((lentry!$A$3:$A$3999=feb!$A11)*(lentry!$B$3:$B$3999&lt;=feb!N$3)*(lentry!$C$3:$C$3999&gt;=feb!N$3)),lentry!$D$3:$D$3999),IF(WEEKDAY(feb!N$3,1)=1,"WO","P"))</f>
        <v>P</v>
      </c>
      <c r="O11" s="4" t="str">
        <f>IFERROR(LOOKUP(2,1/((lentry!$A$3:$A$3999=feb!$A11)*(lentry!$B$3:$B$3999&lt;=feb!O$3)*(lentry!$C$3:$C$3999&gt;=feb!O$3)),lentry!$D$3:$D$3999),IF(WEEKDAY(feb!O$3,1)=1,"WO","P"))</f>
        <v>P</v>
      </c>
      <c r="P11" s="4" t="s">
        <v>539</v>
      </c>
      <c r="Q11" s="4" t="str">
        <f>IFERROR(LOOKUP(2,1/((lentry!$A$3:$A$3999=feb!$A11)*(lentry!$B$3:$B$3999&lt;=feb!Q$3)*(lentry!$C$3:$C$3999&gt;=feb!Q$3)),lentry!$D$3:$D$3999),IF(WEEKDAY(feb!Q$3,1)=1,"WO","P"))</f>
        <v>P</v>
      </c>
      <c r="R11" s="4" t="str">
        <f>IFERROR(LOOKUP(2,1/((lentry!$A$3:$A$3999=feb!$A11)*(lentry!$B$3:$B$3999&lt;=feb!R$3)*(lentry!$C$3:$C$3999&gt;=feb!R$3)),lentry!$D$3:$D$3999),IF(WEEKDAY(feb!R$3,1)=1,"WO","P"))</f>
        <v>P</v>
      </c>
      <c r="S11" s="4" t="str">
        <f>IFERROR(LOOKUP(2,1/((lentry!$A$3:$A$3999=feb!$A11)*(lentry!$B$3:$B$3999&lt;=feb!S$3)*(lentry!$C$3:$C$3999&gt;=feb!S$3)),lentry!$D$3:$D$3999),IF(WEEKDAY(feb!S$3,1)=1,"WO","P"))</f>
        <v>P</v>
      </c>
      <c r="T11" s="4" t="s">
        <v>350</v>
      </c>
      <c r="U11" s="4" t="str">
        <f>IFERROR(LOOKUP(2,1/((lentry!$A$3:$A$3999=feb!$A11)*(lentry!$B$3:$B$3999&lt;=feb!U$3)*(lentry!$C$3:$C$3999&gt;=feb!U$3)),lentry!$D$3:$D$3999),IF(WEEKDAY(feb!U$3,1)=1,"WO","P"))</f>
        <v>P</v>
      </c>
      <c r="V11" s="4" t="str">
        <f>IFERROR(LOOKUP(2,1/((lentry!$A$3:$A$3999=feb!$A11)*(lentry!$B$3:$B$3999&lt;=feb!V$3)*(lentry!$C$3:$C$3999&gt;=feb!V$3)),lentry!$D$3:$D$3999),IF(WEEKDAY(feb!V$3,1)=1,"WO","P"))</f>
        <v>P</v>
      </c>
      <c r="W11" s="4" t="str">
        <f>IFERROR(LOOKUP(2,1/((lentry!$A$3:$A$3999=feb!$A11)*(lentry!$B$3:$B$3999&lt;=feb!W$3)*(lentry!$C$3:$C$3999&gt;=feb!W$3)),lentry!$D$3:$D$3999),IF(WEEKDAY(feb!W$3,1)=1,"WO","P"))</f>
        <v>P</v>
      </c>
      <c r="X11" s="4" t="str">
        <f>IFERROR(LOOKUP(2,1/((lentry!$A$3:$A$3999=feb!$A11)*(lentry!$B$3:$B$3999&lt;=feb!X$3)*(lentry!$C$3:$C$3999&gt;=feb!X$3)),lentry!$D$3:$D$3999),IF(WEEKDAY(feb!X$3,1)=1,"WO","P"))</f>
        <v>P</v>
      </c>
      <c r="Y11" s="4" t="str">
        <f>IFERROR(LOOKUP(2,1/((lentry!$A$3:$A$3999=feb!$A11)*(lentry!$B$3:$B$3999&lt;=feb!Y$3)*(lentry!$C$3:$C$3999&gt;=feb!Y$3)),lentry!$D$3:$D$3999),IF(WEEKDAY(feb!Y$3,1)=1,"WO","P"))</f>
        <v>P</v>
      </c>
      <c r="Z11" s="4" t="str">
        <f>IFERROR(LOOKUP(2,1/((lentry!$A$3:$A$3999=feb!$A11)*(lentry!$B$3:$B$3999&lt;=feb!Z$3)*(lentry!$C$3:$C$3999&gt;=feb!Z$3)),lentry!$D$3:$D$3999),IF(WEEKDAY(feb!Z$3,1)=1,"WO","P"))</f>
        <v>P</v>
      </c>
      <c r="AA11" s="4" t="str">
        <f>IFERROR(LOOKUP(2,1/((lentry!$A$3:$A$3999=feb!$A11)*(lentry!$B$3:$B$3999&lt;=feb!AA$3)*(lentry!$C$3:$C$3999&gt;=feb!AA$3)),lentry!$D$3:$D$3999),IF(WEEKDAY(feb!AA$3,1)=1,"WO","P"))</f>
        <v>WO</v>
      </c>
      <c r="AB11" s="4" t="str">
        <f>IFERROR(LOOKUP(2,1/((lentry!$A$3:$A$3999=feb!$A11)*(lentry!$B$3:$B$3999&lt;=feb!AB$3)*(lentry!$C$3:$C$3999&gt;=feb!AB$3)),lentry!$D$3:$D$3999),IF(WEEKDAY(feb!AB$3,1)=1,"WO","P"))</f>
        <v>P</v>
      </c>
      <c r="AC11" s="4" t="str">
        <f>IFERROR(LOOKUP(2,1/((lentry!$A$3:$A$3999=feb!$A11)*(lentry!$B$3:$B$3999&lt;=feb!AC$3)*(lentry!$C$3:$C$3999&gt;=feb!AC$3)),lentry!$D$3:$D$3999),IF(WEEKDAY(feb!AC$3,1)=1,"WO","P"))</f>
        <v>P</v>
      </c>
      <c r="AD11" s="4" t="str">
        <f>IFERROR(LOOKUP(2,1/((lentry!$A$3:$A$3999=feb!$A11)*(lentry!$B$3:$B$3999&lt;=feb!AD$3)*(lentry!$C$3:$C$3999&gt;=feb!AD$3)),lentry!$D$3:$D$3999),IF(WEEKDAY(feb!AD$3,1)=1,"WO","P"))</f>
        <v>P</v>
      </c>
      <c r="AE11" s="4" t="str">
        <f>IFERROR(LOOKUP(2,1/((lentry!$A$3:$A$3999=feb!$A11)*(lentry!$B$3:$B$3999&lt;=feb!AE$3)*(lentry!$C$3:$C$3999&gt;=feb!AE$3)),lentry!$D$3:$D$3999),IF(WEEKDAY(feb!AE$3,1)=1,"WO","P"))</f>
        <v>P</v>
      </c>
      <c r="AF11" s="4" t="str">
        <f>IFERROR(LOOKUP(2,1/((lentry!$A$3:$A$3999=feb!$A11)*(lentry!$B$3:$B$3999&lt;=feb!AF$3)*(lentry!$C$3:$C$3999&gt;=feb!AF$3)),lentry!$D$3:$D$3999),IF(WEEKDAY(feb!AF$3,1)=1,"WO","P"))</f>
        <v>P</v>
      </c>
      <c r="AG11" s="4" t="str">
        <f>IFERROR(LOOKUP(2,1/((lentry!$A$3:$A$3999=feb!$A11)*(lentry!$B$3:$B$3999&lt;=feb!AG$3)*(lentry!$C$3:$C$3999&gt;=feb!AG$3)),lentry!$D$3:$D$3999),IF(WEEKDAY(feb!AG$3,1)=1,"WO","P"))</f>
        <v>P</v>
      </c>
      <c r="AH11" s="4">
        <f t="shared" si="3"/>
        <v>3</v>
      </c>
      <c r="AI11" s="4">
        <f t="shared" si="4"/>
        <v>1</v>
      </c>
      <c r="AJ11" s="4">
        <f t="shared" si="5"/>
        <v>0</v>
      </c>
      <c r="AK11" s="4">
        <f t="shared" si="6"/>
        <v>0</v>
      </c>
      <c r="AL11" s="4">
        <f t="shared" si="7"/>
        <v>0</v>
      </c>
      <c r="AM11" s="4">
        <f t="shared" si="8"/>
        <v>0</v>
      </c>
      <c r="AN11" s="4">
        <f t="shared" si="9"/>
        <v>0</v>
      </c>
      <c r="AO11" s="4">
        <f t="shared" si="10"/>
        <v>1</v>
      </c>
      <c r="AP11" s="4">
        <f t="shared" si="11"/>
        <v>23</v>
      </c>
      <c r="AQ11" s="4">
        <f t="shared" si="2"/>
        <v>28</v>
      </c>
      <c r="AR11" s="4">
        <f t="shared" si="12"/>
        <v>27</v>
      </c>
    </row>
    <row r="12" spans="1:44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IFERROR(LOOKUP(2,1/((lentry!$A$3:$A$3999=feb!$A12)*(lentry!$B$3:$B$3999&lt;=feb!F$3)*(lentry!$C$3:$C$3999&gt;=feb!F$3)),lentry!$D$3:$D$3999),IF(WEEKDAY(feb!F$3,1)=1,"WO","P"))</f>
        <v>WO</v>
      </c>
      <c r="G12" s="4" t="str">
        <f>IFERROR(LOOKUP(2,1/((lentry!$A$3:$A$3999=feb!$A12)*(lentry!$B$3:$B$3999&lt;=feb!G$3)*(lentry!$C$3:$C$3999&gt;=feb!G$3)),lentry!$D$3:$D$3999),IF(WEEKDAY(feb!G$3,1)=1,"WO","P"))</f>
        <v>P</v>
      </c>
      <c r="H12" s="4" t="str">
        <f>IFERROR(LOOKUP(2,1/((lentry!$A$3:$A$3999=feb!$A12)*(lentry!$B$3:$B$3999&lt;=feb!H$3)*(lentry!$C$3:$C$3999&gt;=feb!H$3)),lentry!$D$3:$D$3999),IF(WEEKDAY(feb!H$3,1)=1,"WO","P"))</f>
        <v>P</v>
      </c>
      <c r="I12" s="4" t="s">
        <v>539</v>
      </c>
      <c r="J12" s="4" t="str">
        <f>IFERROR(LOOKUP(2,1/((lentry!$A$3:$A$3999=feb!$A12)*(lentry!$B$3:$B$3999&lt;=feb!J$3)*(lentry!$C$3:$C$3999&gt;=feb!J$3)),lentry!$D$3:$D$3999),IF(WEEKDAY(feb!J$3,1)=1,"WO","P"))</f>
        <v>P</v>
      </c>
      <c r="K12" s="4" t="str">
        <f>IFERROR(LOOKUP(2,1/((lentry!$A$3:$A$3999=feb!$A12)*(lentry!$B$3:$B$3999&lt;=feb!K$3)*(lentry!$C$3:$C$3999&gt;=feb!K$3)),lentry!$D$3:$D$3999),IF(WEEKDAY(feb!K$3,1)=1,"WO","P"))</f>
        <v>P</v>
      </c>
      <c r="L12" s="4" t="str">
        <f>IFERROR(LOOKUP(2,1/((lentry!$A$3:$A$3999=feb!$A12)*(lentry!$B$3:$B$3999&lt;=feb!L$3)*(lentry!$C$3:$C$3999&gt;=feb!L$3)),lentry!$D$3:$D$3999),IF(WEEKDAY(feb!L$3,1)=1,"WO","P"))</f>
        <v>P</v>
      </c>
      <c r="M12" s="4" t="str">
        <f>IFERROR(LOOKUP(2,1/((lentry!$A$3:$A$3999=feb!$A12)*(lentry!$B$3:$B$3999&lt;=feb!M$3)*(lentry!$C$3:$C$3999&gt;=feb!M$3)),lentry!$D$3:$D$3999),IF(WEEKDAY(feb!M$3,1)=1,"WO","P"))</f>
        <v>WO</v>
      </c>
      <c r="N12" s="4" t="str">
        <f>IFERROR(LOOKUP(2,1/((lentry!$A$3:$A$3999=feb!$A12)*(lentry!$B$3:$B$3999&lt;=feb!N$3)*(lentry!$C$3:$C$3999&gt;=feb!N$3)),lentry!$D$3:$D$3999),IF(WEEKDAY(feb!N$3,1)=1,"WO","P"))</f>
        <v>P</v>
      </c>
      <c r="O12" s="4" t="str">
        <f>IFERROR(LOOKUP(2,1/((lentry!$A$3:$A$3999=feb!$A12)*(lentry!$B$3:$B$3999&lt;=feb!O$3)*(lentry!$C$3:$C$3999&gt;=feb!O$3)),lentry!$D$3:$D$3999),IF(WEEKDAY(feb!O$3,1)=1,"WO","P"))</f>
        <v>P</v>
      </c>
      <c r="P12" s="4" t="str">
        <f>IFERROR(LOOKUP(2,1/((lentry!$A$3:$A$3999=feb!$A12)*(lentry!$B$3:$B$3999&lt;=feb!P$3)*(lentry!$C$3:$C$3999&gt;=feb!P$3)),lentry!$D$3:$D$3999),IF(WEEKDAY(feb!P$3,1)=1,"WO","P"))</f>
        <v>P</v>
      </c>
      <c r="Q12" s="4" t="str">
        <f>IFERROR(LOOKUP(2,1/((lentry!$A$3:$A$3999=feb!$A12)*(lentry!$B$3:$B$3999&lt;=feb!Q$3)*(lentry!$C$3:$C$3999&gt;=feb!Q$3)),lentry!$D$3:$D$3999),IF(WEEKDAY(feb!Q$3,1)=1,"WO","P"))</f>
        <v>P</v>
      </c>
      <c r="R12" s="4" t="str">
        <f>IFERROR(LOOKUP(2,1/((lentry!$A$3:$A$3999=feb!$A12)*(lentry!$B$3:$B$3999&lt;=feb!R$3)*(lentry!$C$3:$C$3999&gt;=feb!R$3)),lentry!$D$3:$D$3999),IF(WEEKDAY(feb!R$3,1)=1,"WO","P"))</f>
        <v>P</v>
      </c>
      <c r="S12" s="4" t="str">
        <f>IFERROR(LOOKUP(2,1/((lentry!$A$3:$A$3999=feb!$A12)*(lentry!$B$3:$B$3999&lt;=feb!S$3)*(lentry!$C$3:$C$3999&gt;=feb!S$3)),lentry!$D$3:$D$3999),IF(WEEKDAY(feb!S$3,1)=1,"WO","P"))</f>
        <v>P</v>
      </c>
      <c r="T12" s="4" t="s">
        <v>350</v>
      </c>
      <c r="U12" s="4" t="str">
        <f>IFERROR(LOOKUP(2,1/((lentry!$A$3:$A$3999=feb!$A12)*(lentry!$B$3:$B$3999&lt;=feb!U$3)*(lentry!$C$3:$C$3999&gt;=feb!U$3)),lentry!$D$3:$D$3999),IF(WEEKDAY(feb!U$3,1)=1,"WO","P"))</f>
        <v>P</v>
      </c>
      <c r="V12" s="4" t="str">
        <f>IFERROR(LOOKUP(2,1/((lentry!$A$3:$A$3999=feb!$A12)*(lentry!$B$3:$B$3999&lt;=feb!V$3)*(lentry!$C$3:$C$3999&gt;=feb!V$3)),lentry!$D$3:$D$3999),IF(WEEKDAY(feb!V$3,1)=1,"WO","P"))</f>
        <v>P</v>
      </c>
      <c r="W12" s="4" t="str">
        <f>IFERROR(LOOKUP(2,1/((lentry!$A$3:$A$3999=feb!$A12)*(lentry!$B$3:$B$3999&lt;=feb!W$3)*(lentry!$C$3:$C$3999&gt;=feb!W$3)),lentry!$D$3:$D$3999),IF(WEEKDAY(feb!W$3,1)=1,"WO","P"))</f>
        <v>P</v>
      </c>
      <c r="X12" s="4" t="str">
        <f>IFERROR(LOOKUP(2,1/((lentry!$A$3:$A$3999=feb!$A12)*(lentry!$B$3:$B$3999&lt;=feb!X$3)*(lentry!$C$3:$C$3999&gt;=feb!X$3)),lentry!$D$3:$D$3999),IF(WEEKDAY(feb!X$3,1)=1,"WO","P"))</f>
        <v>P</v>
      </c>
      <c r="Y12" s="4" t="str">
        <f>IFERROR(LOOKUP(2,1/((lentry!$A$3:$A$3999=feb!$A12)*(lentry!$B$3:$B$3999&lt;=feb!Y$3)*(lentry!$C$3:$C$3999&gt;=feb!Y$3)),lentry!$D$3:$D$3999),IF(WEEKDAY(feb!Y$3,1)=1,"WO","P"))</f>
        <v>P</v>
      </c>
      <c r="Z12" s="4" t="str">
        <f>IFERROR(LOOKUP(2,1/((lentry!$A$3:$A$3999=feb!$A12)*(lentry!$B$3:$B$3999&lt;=feb!Z$3)*(lentry!$C$3:$C$3999&gt;=feb!Z$3)),lentry!$D$3:$D$3999),IF(WEEKDAY(feb!Z$3,1)=1,"WO","P"))</f>
        <v>P</v>
      </c>
      <c r="AA12" s="4" t="str">
        <f>IFERROR(LOOKUP(2,1/((lentry!$A$3:$A$3999=feb!$A12)*(lentry!$B$3:$B$3999&lt;=feb!AA$3)*(lentry!$C$3:$C$3999&gt;=feb!AA$3)),lentry!$D$3:$D$3999),IF(WEEKDAY(feb!AA$3,1)=1,"WO","P"))</f>
        <v>WO</v>
      </c>
      <c r="AB12" s="4" t="str">
        <f>IFERROR(LOOKUP(2,1/((lentry!$A$3:$A$3999=feb!$A12)*(lentry!$B$3:$B$3999&lt;=feb!AB$3)*(lentry!$C$3:$C$3999&gt;=feb!AB$3)),lentry!$D$3:$D$3999),IF(WEEKDAY(feb!AB$3,1)=1,"WO","P"))</f>
        <v>P</v>
      </c>
      <c r="AC12" s="4" t="str">
        <f>IFERROR(LOOKUP(2,1/((lentry!$A$3:$A$3999=feb!$A12)*(lentry!$B$3:$B$3999&lt;=feb!AC$3)*(lentry!$C$3:$C$3999&gt;=feb!AC$3)),lentry!$D$3:$D$3999),IF(WEEKDAY(feb!AC$3,1)=1,"WO","P"))</f>
        <v>SL</v>
      </c>
      <c r="AD12" s="4" t="str">
        <f>IFERROR(LOOKUP(2,1/((lentry!$A$3:$A$3999=feb!$A12)*(lentry!$B$3:$B$3999&lt;=feb!AD$3)*(lentry!$C$3:$C$3999&gt;=feb!AD$3)),lentry!$D$3:$D$3999),IF(WEEKDAY(feb!AD$3,1)=1,"WO","P"))</f>
        <v>P</v>
      </c>
      <c r="AE12" s="4" t="str">
        <f>IFERROR(LOOKUP(2,1/((lentry!$A$3:$A$3999=feb!$A12)*(lentry!$B$3:$B$3999&lt;=feb!AE$3)*(lentry!$C$3:$C$3999&gt;=feb!AE$3)),lentry!$D$3:$D$3999),IF(WEEKDAY(feb!AE$3,1)=1,"WO","P"))</f>
        <v>P</v>
      </c>
      <c r="AF12" s="4" t="str">
        <f>IFERROR(LOOKUP(2,1/((lentry!$A$3:$A$3999=feb!$A12)*(lentry!$B$3:$B$3999&lt;=feb!AF$3)*(lentry!$C$3:$C$3999&gt;=feb!AF$3)),lentry!$D$3:$D$3999),IF(WEEKDAY(feb!AF$3,1)=1,"WO","P"))</f>
        <v>P</v>
      </c>
      <c r="AG12" s="4" t="str">
        <f>IFERROR(LOOKUP(2,1/((lentry!$A$3:$A$3999=feb!$A12)*(lentry!$B$3:$B$3999&lt;=feb!AG$3)*(lentry!$C$3:$C$3999&gt;=feb!AG$3)),lentry!$D$3:$D$3999),IF(WEEKDAY(feb!AG$3,1)=1,"WO","P"))</f>
        <v>P</v>
      </c>
      <c r="AH12" s="4">
        <f t="shared" si="3"/>
        <v>3</v>
      </c>
      <c r="AI12" s="4">
        <f t="shared" si="4"/>
        <v>1</v>
      </c>
      <c r="AJ12" s="4">
        <f t="shared" si="5"/>
        <v>0</v>
      </c>
      <c r="AK12" s="4">
        <f t="shared" si="6"/>
        <v>0</v>
      </c>
      <c r="AL12" s="4">
        <f t="shared" si="7"/>
        <v>0</v>
      </c>
      <c r="AM12" s="4">
        <f t="shared" si="8"/>
        <v>1</v>
      </c>
      <c r="AN12" s="4">
        <f t="shared" si="9"/>
        <v>0</v>
      </c>
      <c r="AO12" s="4">
        <f t="shared" si="10"/>
        <v>1</v>
      </c>
      <c r="AP12" s="4">
        <f t="shared" si="11"/>
        <v>22</v>
      </c>
      <c r="AQ12" s="4">
        <f t="shared" si="2"/>
        <v>28</v>
      </c>
      <c r="AR12" s="4">
        <f t="shared" si="12"/>
        <v>27</v>
      </c>
    </row>
    <row r="13" spans="1:44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IFERROR(LOOKUP(2,1/((lentry!$A$3:$A$3999=feb!$A13)*(lentry!$B$3:$B$3999&lt;=feb!F$3)*(lentry!$C$3:$C$3999&gt;=feb!F$3)),lentry!$D$3:$D$3999),IF(WEEKDAY(feb!F$3,1)=1,"WO","P"))</f>
        <v>WO</v>
      </c>
      <c r="G13" s="4" t="str">
        <f>IFERROR(LOOKUP(2,1/((lentry!$A$3:$A$3999=feb!$A13)*(lentry!$B$3:$B$3999&lt;=feb!G$3)*(lentry!$C$3:$C$3999&gt;=feb!G$3)),lentry!$D$3:$D$3999),IF(WEEKDAY(feb!G$3,1)=1,"WO","P"))</f>
        <v>P</v>
      </c>
      <c r="H13" s="4" t="str">
        <f>IFERROR(LOOKUP(2,1/((lentry!$A$3:$A$3999=feb!$A13)*(lentry!$B$3:$B$3999&lt;=feb!H$3)*(lentry!$C$3:$C$3999&gt;=feb!H$3)),lentry!$D$3:$D$3999),IF(WEEKDAY(feb!H$3,1)=1,"WO","P"))</f>
        <v>P</v>
      </c>
      <c r="I13" s="4" t="str">
        <f>IFERROR(LOOKUP(2,1/((lentry!$A$3:$A$3999=feb!$A13)*(lentry!$B$3:$B$3999&lt;=feb!I$3)*(lentry!$C$3:$C$3999&gt;=feb!I$3)),lentry!$D$3:$D$3999),IF(WEEKDAY(feb!I$3,1)=1,"WO","P"))</f>
        <v>P</v>
      </c>
      <c r="J13" s="4" t="str">
        <f>IFERROR(LOOKUP(2,1/((lentry!$A$3:$A$3999=feb!$A13)*(lentry!$B$3:$B$3999&lt;=feb!J$3)*(lentry!$C$3:$C$3999&gt;=feb!J$3)),lentry!$D$3:$D$3999),IF(WEEKDAY(feb!J$3,1)=1,"WO","P"))</f>
        <v>P</v>
      </c>
      <c r="K13" s="4" t="str">
        <f>IFERROR(LOOKUP(2,1/((lentry!$A$3:$A$3999=feb!$A13)*(lentry!$B$3:$B$3999&lt;=feb!K$3)*(lentry!$C$3:$C$3999&gt;=feb!K$3)),lentry!$D$3:$D$3999),IF(WEEKDAY(feb!K$3,1)=1,"WO","P"))</f>
        <v>P</v>
      </c>
      <c r="L13" s="4" t="str">
        <f>IFERROR(LOOKUP(2,1/((lentry!$A$3:$A$3999=feb!$A13)*(lentry!$B$3:$B$3999&lt;=feb!L$3)*(lentry!$C$3:$C$3999&gt;=feb!L$3)),lentry!$D$3:$D$3999),IF(WEEKDAY(feb!L$3,1)=1,"WO","P"))</f>
        <v>P</v>
      </c>
      <c r="M13" s="4" t="str">
        <f>IFERROR(LOOKUP(2,1/((lentry!$A$3:$A$3999=feb!$A13)*(lentry!$B$3:$B$3999&lt;=feb!M$3)*(lentry!$C$3:$C$3999&gt;=feb!M$3)),lentry!$D$3:$D$3999),IF(WEEKDAY(feb!M$3,1)=1,"WO","P"))</f>
        <v>WO</v>
      </c>
      <c r="N13" s="4" t="str">
        <f>IFERROR(LOOKUP(2,1/((lentry!$A$3:$A$3999=feb!$A13)*(lentry!$B$3:$B$3999&lt;=feb!N$3)*(lentry!$C$3:$C$3999&gt;=feb!N$3)),lentry!$D$3:$D$3999),IF(WEEKDAY(feb!N$3,1)=1,"WO","P"))</f>
        <v>P</v>
      </c>
      <c r="O13" s="4" t="str">
        <f>IFERROR(LOOKUP(2,1/((lentry!$A$3:$A$3999=feb!$A13)*(lentry!$B$3:$B$3999&lt;=feb!O$3)*(lentry!$C$3:$C$3999&gt;=feb!O$3)),lentry!$D$3:$D$3999),IF(WEEKDAY(feb!O$3,1)=1,"WO","P"))</f>
        <v>P</v>
      </c>
      <c r="P13" s="4" t="str">
        <f>IFERROR(LOOKUP(2,1/((lentry!$A$3:$A$3999=feb!$A13)*(lentry!$B$3:$B$3999&lt;=feb!P$3)*(lentry!$C$3:$C$3999&gt;=feb!P$3)),lentry!$D$3:$D$3999),IF(WEEKDAY(feb!P$3,1)=1,"WO","P"))</f>
        <v>P</v>
      </c>
      <c r="Q13" s="4" t="str">
        <f>IFERROR(LOOKUP(2,1/((lentry!$A$3:$A$3999=feb!$A13)*(lentry!$B$3:$B$3999&lt;=feb!Q$3)*(lentry!$C$3:$C$3999&gt;=feb!Q$3)),lentry!$D$3:$D$3999),IF(WEEKDAY(feb!Q$3,1)=1,"WO","P"))</f>
        <v>P</v>
      </c>
      <c r="R13" s="4" t="str">
        <f>IFERROR(LOOKUP(2,1/((lentry!$A$3:$A$3999=feb!$A13)*(lentry!$B$3:$B$3999&lt;=feb!R$3)*(lentry!$C$3:$C$3999&gt;=feb!R$3)),lentry!$D$3:$D$3999),IF(WEEKDAY(feb!R$3,1)=1,"WO","P"))</f>
        <v>P</v>
      </c>
      <c r="S13" s="4" t="str">
        <f>IFERROR(LOOKUP(2,1/((lentry!$A$3:$A$3999=feb!$A13)*(lentry!$B$3:$B$3999&lt;=feb!S$3)*(lentry!$C$3:$C$3999&gt;=feb!S$3)),lentry!$D$3:$D$3999),IF(WEEKDAY(feb!S$3,1)=1,"WO","P"))</f>
        <v>P</v>
      </c>
      <c r="T13" s="4" t="s">
        <v>350</v>
      </c>
      <c r="U13" s="4" t="str">
        <f>IFERROR(LOOKUP(2,1/((lentry!$A$3:$A$3999=feb!$A13)*(lentry!$B$3:$B$3999&lt;=feb!U$3)*(lentry!$C$3:$C$3999&gt;=feb!U$3)),lentry!$D$3:$D$3999),IF(WEEKDAY(feb!U$3,1)=1,"WO","P"))</f>
        <v>P</v>
      </c>
      <c r="V13" s="4" t="str">
        <f>IFERROR(LOOKUP(2,1/((lentry!$A$3:$A$3999=feb!$A13)*(lentry!$B$3:$B$3999&lt;=feb!V$3)*(lentry!$C$3:$C$3999&gt;=feb!V$3)),lentry!$D$3:$D$3999),IF(WEEKDAY(feb!V$3,1)=1,"WO","P"))</f>
        <v>P</v>
      </c>
      <c r="W13" s="4" t="s">
        <v>539</v>
      </c>
      <c r="X13" s="4" t="str">
        <f>IFERROR(LOOKUP(2,1/((lentry!$A$3:$A$3999=feb!$A13)*(lentry!$B$3:$B$3999&lt;=feb!X$3)*(lentry!$C$3:$C$3999&gt;=feb!X$3)),lentry!$D$3:$D$3999),IF(WEEKDAY(feb!X$3,1)=1,"WO","P"))</f>
        <v>P</v>
      </c>
      <c r="Y13" s="4" t="str">
        <f>IFERROR(LOOKUP(2,1/((lentry!$A$3:$A$3999=feb!$A13)*(lentry!$B$3:$B$3999&lt;=feb!Y$3)*(lentry!$C$3:$C$3999&gt;=feb!Y$3)),lentry!$D$3:$D$3999),IF(WEEKDAY(feb!Y$3,1)=1,"WO","P"))</f>
        <v>P</v>
      </c>
      <c r="Z13" s="4" t="str">
        <f>IFERROR(LOOKUP(2,1/((lentry!$A$3:$A$3999=feb!$A13)*(lentry!$B$3:$B$3999&lt;=feb!Z$3)*(lentry!$C$3:$C$3999&gt;=feb!Z$3)),lentry!$D$3:$D$3999),IF(WEEKDAY(feb!Z$3,1)=1,"WO","P"))</f>
        <v>P</v>
      </c>
      <c r="AA13" s="4" t="str">
        <f>IFERROR(LOOKUP(2,1/((lentry!$A$3:$A$3999=feb!$A13)*(lentry!$B$3:$B$3999&lt;=feb!AA$3)*(lentry!$C$3:$C$3999&gt;=feb!AA$3)),lentry!$D$3:$D$3999),IF(WEEKDAY(feb!AA$3,1)=1,"WO","P"))</f>
        <v>WO</v>
      </c>
      <c r="AB13" s="4" t="str">
        <f>IFERROR(LOOKUP(2,1/((lentry!$A$3:$A$3999=feb!$A13)*(lentry!$B$3:$B$3999&lt;=feb!AB$3)*(lentry!$C$3:$C$3999&gt;=feb!AB$3)),lentry!$D$3:$D$3999),IF(WEEKDAY(feb!AB$3,1)=1,"WO","P"))</f>
        <v>P</v>
      </c>
      <c r="AC13" s="4" t="str">
        <f>IFERROR(LOOKUP(2,1/((lentry!$A$3:$A$3999=feb!$A13)*(lentry!$B$3:$B$3999&lt;=feb!AC$3)*(lentry!$C$3:$C$3999&gt;=feb!AC$3)),lentry!$D$3:$D$3999),IF(WEEKDAY(feb!AC$3,1)=1,"WO","P"))</f>
        <v>P</v>
      </c>
      <c r="AD13" s="4" t="str">
        <f>IFERROR(LOOKUP(2,1/((lentry!$A$3:$A$3999=feb!$A13)*(lentry!$B$3:$B$3999&lt;=feb!AD$3)*(lentry!$C$3:$C$3999&gt;=feb!AD$3)),lentry!$D$3:$D$3999),IF(WEEKDAY(feb!AD$3,1)=1,"WO","P"))</f>
        <v>P</v>
      </c>
      <c r="AE13" s="4" t="str">
        <f>IFERROR(LOOKUP(2,1/((lentry!$A$3:$A$3999=feb!$A13)*(lentry!$B$3:$B$3999&lt;=feb!AE$3)*(lentry!$C$3:$C$3999&gt;=feb!AE$3)),lentry!$D$3:$D$3999),IF(WEEKDAY(feb!AE$3,1)=1,"WO","P"))</f>
        <v>P</v>
      </c>
      <c r="AF13" s="4" t="s">
        <v>539</v>
      </c>
      <c r="AG13" s="4" t="str">
        <f>IFERROR(LOOKUP(2,1/((lentry!$A$3:$A$3999=feb!$A13)*(lentry!$B$3:$B$3999&lt;=feb!AG$3)*(lentry!$C$3:$C$3999&gt;=feb!AG$3)),lentry!$D$3:$D$3999),IF(WEEKDAY(feb!AG$3,1)=1,"WO","P"))</f>
        <v>P</v>
      </c>
      <c r="AH13" s="4">
        <f t="shared" si="3"/>
        <v>3</v>
      </c>
      <c r="AI13" s="4">
        <f t="shared" si="4"/>
        <v>1</v>
      </c>
      <c r="AJ13" s="4">
        <f t="shared" si="5"/>
        <v>0</v>
      </c>
      <c r="AK13" s="4">
        <f t="shared" si="6"/>
        <v>0</v>
      </c>
      <c r="AL13" s="4">
        <f t="shared" si="7"/>
        <v>0</v>
      </c>
      <c r="AM13" s="4">
        <f t="shared" si="8"/>
        <v>0</v>
      </c>
      <c r="AN13" s="4">
        <f t="shared" si="9"/>
        <v>0</v>
      </c>
      <c r="AO13" s="4">
        <f t="shared" si="10"/>
        <v>2</v>
      </c>
      <c r="AP13" s="4">
        <f t="shared" si="11"/>
        <v>22</v>
      </c>
      <c r="AQ13" s="4">
        <f t="shared" si="2"/>
        <v>28</v>
      </c>
      <c r="AR13" s="4">
        <f t="shared" si="12"/>
        <v>26</v>
      </c>
    </row>
    <row r="14" spans="1:44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IFERROR(LOOKUP(2,1/((lentry!$A$3:$A$3999=feb!$A14)*(lentry!$B$3:$B$3999&lt;=feb!F$3)*(lentry!$C$3:$C$3999&gt;=feb!F$3)),lentry!$D$3:$D$3999),IF(WEEKDAY(feb!F$3,1)=1,"WO","P"))</f>
        <v>WO</v>
      </c>
      <c r="G14" s="4" t="str">
        <f>IFERROR(LOOKUP(2,1/((lentry!$A$3:$A$3999=feb!$A14)*(lentry!$B$3:$B$3999&lt;=feb!G$3)*(lentry!$C$3:$C$3999&gt;=feb!G$3)),lentry!$D$3:$D$3999),IF(WEEKDAY(feb!G$3,1)=1,"WO","P"))</f>
        <v>P</v>
      </c>
      <c r="H14" s="4" t="str">
        <f>IFERROR(LOOKUP(2,1/((lentry!$A$3:$A$3999=feb!$A14)*(lentry!$B$3:$B$3999&lt;=feb!H$3)*(lentry!$C$3:$C$3999&gt;=feb!H$3)),lentry!$D$3:$D$3999),IF(WEEKDAY(feb!H$3,1)=1,"WO","P"))</f>
        <v>P</v>
      </c>
      <c r="I14" s="4" t="str">
        <f>IFERROR(LOOKUP(2,1/((lentry!$A$3:$A$3999=feb!$A14)*(lentry!$B$3:$B$3999&lt;=feb!I$3)*(lentry!$C$3:$C$3999&gt;=feb!I$3)),lentry!$D$3:$D$3999),IF(WEEKDAY(feb!I$3,1)=1,"WO","P"))</f>
        <v>P</v>
      </c>
      <c r="J14" s="4" t="str">
        <f>IFERROR(LOOKUP(2,1/((lentry!$A$3:$A$3999=feb!$A14)*(lentry!$B$3:$B$3999&lt;=feb!J$3)*(lentry!$C$3:$C$3999&gt;=feb!J$3)),lentry!$D$3:$D$3999),IF(WEEKDAY(feb!J$3,1)=1,"WO","P"))</f>
        <v>P</v>
      </c>
      <c r="K14" s="4" t="str">
        <f>IFERROR(LOOKUP(2,1/((lentry!$A$3:$A$3999=feb!$A14)*(lentry!$B$3:$B$3999&lt;=feb!K$3)*(lentry!$C$3:$C$3999&gt;=feb!K$3)),lentry!$D$3:$D$3999),IF(WEEKDAY(feb!K$3,1)=1,"WO","P"))</f>
        <v>P</v>
      </c>
      <c r="L14" s="4" t="str">
        <f>IFERROR(LOOKUP(2,1/((lentry!$A$3:$A$3999=feb!$A14)*(lentry!$B$3:$B$3999&lt;=feb!L$3)*(lentry!$C$3:$C$3999&gt;=feb!L$3)),lentry!$D$3:$D$3999),IF(WEEKDAY(feb!L$3,1)=1,"WO","P"))</f>
        <v>P</v>
      </c>
      <c r="M14" s="4" t="str">
        <f>IFERROR(LOOKUP(2,1/((lentry!$A$3:$A$3999=feb!$A14)*(lentry!$B$3:$B$3999&lt;=feb!M$3)*(lentry!$C$3:$C$3999&gt;=feb!M$3)),lentry!$D$3:$D$3999),IF(WEEKDAY(feb!M$3,1)=1,"WO","P"))</f>
        <v>WO</v>
      </c>
      <c r="N14" s="4" t="str">
        <f>IFERROR(LOOKUP(2,1/((lentry!$A$3:$A$3999=feb!$A14)*(lentry!$B$3:$B$3999&lt;=feb!N$3)*(lentry!$C$3:$C$3999&gt;=feb!N$3)),lentry!$D$3:$D$3999),IF(WEEKDAY(feb!N$3,1)=1,"WO","P"))</f>
        <v>P</v>
      </c>
      <c r="O14" s="4" t="s">
        <v>539</v>
      </c>
      <c r="P14" s="4" t="str">
        <f>IFERROR(LOOKUP(2,1/((lentry!$A$3:$A$3999=feb!$A14)*(lentry!$B$3:$B$3999&lt;=feb!P$3)*(lentry!$C$3:$C$3999&gt;=feb!P$3)),lentry!$D$3:$D$3999),IF(WEEKDAY(feb!P$3,1)=1,"WO","P"))</f>
        <v>P</v>
      </c>
      <c r="Q14" s="4" t="str">
        <f>IFERROR(LOOKUP(2,1/((lentry!$A$3:$A$3999=feb!$A14)*(lentry!$B$3:$B$3999&lt;=feb!Q$3)*(lentry!$C$3:$C$3999&gt;=feb!Q$3)),lentry!$D$3:$D$3999),IF(WEEKDAY(feb!Q$3,1)=1,"WO","P"))</f>
        <v>P</v>
      </c>
      <c r="R14" s="4" t="str">
        <f>IFERROR(LOOKUP(2,1/((lentry!$A$3:$A$3999=feb!$A14)*(lentry!$B$3:$B$3999&lt;=feb!R$3)*(lentry!$C$3:$C$3999&gt;=feb!R$3)),lentry!$D$3:$D$3999),IF(WEEKDAY(feb!R$3,1)=1,"WO","P"))</f>
        <v>P</v>
      </c>
      <c r="S14" s="4" t="str">
        <f>IFERROR(LOOKUP(2,1/((lentry!$A$3:$A$3999=feb!$A14)*(lentry!$B$3:$B$3999&lt;=feb!S$3)*(lentry!$C$3:$C$3999&gt;=feb!S$3)),lentry!$D$3:$D$3999),IF(WEEKDAY(feb!S$3,1)=1,"WO","P"))</f>
        <v>P</v>
      </c>
      <c r="T14" s="4" t="s">
        <v>350</v>
      </c>
      <c r="U14" s="4" t="str">
        <f>IFERROR(LOOKUP(2,1/((lentry!$A$3:$A$3999=feb!$A14)*(lentry!$B$3:$B$3999&lt;=feb!U$3)*(lentry!$C$3:$C$3999&gt;=feb!U$3)),lentry!$D$3:$D$3999),IF(WEEKDAY(feb!U$3,1)=1,"WO","P"))</f>
        <v>P</v>
      </c>
      <c r="V14" s="4" t="str">
        <f>IFERROR(LOOKUP(2,1/((lentry!$A$3:$A$3999=feb!$A14)*(lentry!$B$3:$B$3999&lt;=feb!V$3)*(lentry!$C$3:$C$3999&gt;=feb!V$3)),lentry!$D$3:$D$3999),IF(WEEKDAY(feb!V$3,1)=1,"WO","P"))</f>
        <v>P</v>
      </c>
      <c r="W14" s="4" t="str">
        <f>IFERROR(LOOKUP(2,1/((lentry!$A$3:$A$3999=feb!$A14)*(lentry!$B$3:$B$3999&lt;=feb!W$3)*(lentry!$C$3:$C$3999&gt;=feb!W$3)),lentry!$D$3:$D$3999),IF(WEEKDAY(feb!W$3,1)=1,"WO","P"))</f>
        <v>P</v>
      </c>
      <c r="X14" s="4" t="str">
        <f>IFERROR(LOOKUP(2,1/((lentry!$A$3:$A$3999=feb!$A14)*(lentry!$B$3:$B$3999&lt;=feb!X$3)*(lentry!$C$3:$C$3999&gt;=feb!X$3)),lentry!$D$3:$D$3999),IF(WEEKDAY(feb!X$3,1)=1,"WO","P"))</f>
        <v>P</v>
      </c>
      <c r="Y14" s="4" t="str">
        <f>IFERROR(LOOKUP(2,1/((lentry!$A$3:$A$3999=feb!$A14)*(lentry!$B$3:$B$3999&lt;=feb!Y$3)*(lentry!$C$3:$C$3999&gt;=feb!Y$3)),lentry!$D$3:$D$3999),IF(WEEKDAY(feb!Y$3,1)=1,"WO","P"))</f>
        <v>P</v>
      </c>
      <c r="Z14" s="4" t="str">
        <f>IFERROR(LOOKUP(2,1/((lentry!$A$3:$A$3999=feb!$A14)*(lentry!$B$3:$B$3999&lt;=feb!Z$3)*(lentry!$C$3:$C$3999&gt;=feb!Z$3)),lentry!$D$3:$D$3999),IF(WEEKDAY(feb!Z$3,1)=1,"WO","P"))</f>
        <v>P</v>
      </c>
      <c r="AA14" s="4" t="str">
        <f>IFERROR(LOOKUP(2,1/((lentry!$A$3:$A$3999=feb!$A14)*(lentry!$B$3:$B$3999&lt;=feb!AA$3)*(lentry!$C$3:$C$3999&gt;=feb!AA$3)),lentry!$D$3:$D$3999),IF(WEEKDAY(feb!AA$3,1)=1,"WO","P"))</f>
        <v>WO</v>
      </c>
      <c r="AB14" s="4" t="str">
        <f>IFERROR(LOOKUP(2,1/((lentry!$A$3:$A$3999=feb!$A14)*(lentry!$B$3:$B$3999&lt;=feb!AB$3)*(lentry!$C$3:$C$3999&gt;=feb!AB$3)),lentry!$D$3:$D$3999),IF(WEEKDAY(feb!AB$3,1)=1,"WO","P"))</f>
        <v>P</v>
      </c>
      <c r="AC14" s="4" t="str">
        <f>IFERROR(LOOKUP(2,1/((lentry!$A$3:$A$3999=feb!$A14)*(lentry!$B$3:$B$3999&lt;=feb!AC$3)*(lentry!$C$3:$C$3999&gt;=feb!AC$3)),lentry!$D$3:$D$3999),IF(WEEKDAY(feb!AC$3,1)=1,"WO","P"))</f>
        <v>P</v>
      </c>
      <c r="AD14" s="4" t="str">
        <f>IFERROR(LOOKUP(2,1/((lentry!$A$3:$A$3999=feb!$A14)*(lentry!$B$3:$B$3999&lt;=feb!AD$3)*(lentry!$C$3:$C$3999&gt;=feb!AD$3)),lentry!$D$3:$D$3999),IF(WEEKDAY(feb!AD$3,1)=1,"WO","P"))</f>
        <v>P</v>
      </c>
      <c r="AE14" s="4" t="str">
        <f>IFERROR(LOOKUP(2,1/((lentry!$A$3:$A$3999=feb!$A14)*(lentry!$B$3:$B$3999&lt;=feb!AE$3)*(lentry!$C$3:$C$3999&gt;=feb!AE$3)),lentry!$D$3:$D$3999),IF(WEEKDAY(feb!AE$3,1)=1,"WO","P"))</f>
        <v>P</v>
      </c>
      <c r="AF14" s="4" t="str">
        <f>IFERROR(LOOKUP(2,1/((lentry!$A$3:$A$3999=feb!$A14)*(lentry!$B$3:$B$3999&lt;=feb!AF$3)*(lentry!$C$3:$C$3999&gt;=feb!AF$3)),lentry!$D$3:$D$3999),IF(WEEKDAY(feb!AF$3,1)=1,"WO","P"))</f>
        <v>P</v>
      </c>
      <c r="AG14" s="4" t="str">
        <f>IFERROR(LOOKUP(2,1/((lentry!$A$3:$A$3999=feb!$A14)*(lentry!$B$3:$B$3999&lt;=feb!AG$3)*(lentry!$C$3:$C$3999&gt;=feb!AG$3)),lentry!$D$3:$D$3999),IF(WEEKDAY(feb!AG$3,1)=1,"WO","P"))</f>
        <v>P</v>
      </c>
      <c r="AH14" s="4">
        <f t="shared" si="3"/>
        <v>3</v>
      </c>
      <c r="AI14" s="4">
        <f t="shared" si="4"/>
        <v>1</v>
      </c>
      <c r="AJ14" s="4">
        <f t="shared" si="5"/>
        <v>0</v>
      </c>
      <c r="AK14" s="4">
        <f t="shared" si="6"/>
        <v>0</v>
      </c>
      <c r="AL14" s="4">
        <f t="shared" si="7"/>
        <v>0</v>
      </c>
      <c r="AM14" s="4">
        <f t="shared" si="8"/>
        <v>0</v>
      </c>
      <c r="AN14" s="4">
        <f t="shared" si="9"/>
        <v>0</v>
      </c>
      <c r="AO14" s="4">
        <f t="shared" si="10"/>
        <v>1</v>
      </c>
      <c r="AP14" s="4">
        <f t="shared" si="11"/>
        <v>23</v>
      </c>
      <c r="AQ14" s="4">
        <f t="shared" si="2"/>
        <v>28</v>
      </c>
      <c r="AR14" s="4">
        <f t="shared" si="12"/>
        <v>27</v>
      </c>
    </row>
    <row r="15" spans="1:44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IFERROR(LOOKUP(2,1/((lentry!$A$3:$A$3999=feb!$A15)*(lentry!$B$3:$B$3999&lt;=feb!F$3)*(lentry!$C$3:$C$3999&gt;=feb!F$3)),lentry!$D$3:$D$3999),IF(WEEKDAY(feb!F$3,1)=1,"WO","P"))</f>
        <v>WO</v>
      </c>
      <c r="G15" s="4" t="s">
        <v>539</v>
      </c>
      <c r="H15" s="4" t="str">
        <f>IFERROR(LOOKUP(2,1/((lentry!$A$3:$A$3999=feb!$A15)*(lentry!$B$3:$B$3999&lt;=feb!H$3)*(lentry!$C$3:$C$3999&gt;=feb!H$3)),lentry!$D$3:$D$3999),IF(WEEKDAY(feb!H$3,1)=1,"WO","P"))</f>
        <v>P</v>
      </c>
      <c r="I15" s="4" t="str">
        <f>IFERROR(LOOKUP(2,1/((lentry!$A$3:$A$3999=feb!$A15)*(lentry!$B$3:$B$3999&lt;=feb!I$3)*(lentry!$C$3:$C$3999&gt;=feb!I$3)),lentry!$D$3:$D$3999),IF(WEEKDAY(feb!I$3,1)=1,"WO","P"))</f>
        <v>P</v>
      </c>
      <c r="J15" s="4" t="str">
        <f>IFERROR(LOOKUP(2,1/((lentry!$A$3:$A$3999=feb!$A15)*(lentry!$B$3:$B$3999&lt;=feb!J$3)*(lentry!$C$3:$C$3999&gt;=feb!J$3)),lentry!$D$3:$D$3999),IF(WEEKDAY(feb!J$3,1)=1,"WO","P"))</f>
        <v>P</v>
      </c>
      <c r="K15" s="4" t="str">
        <f>IFERROR(LOOKUP(2,1/((lentry!$A$3:$A$3999=feb!$A15)*(lentry!$B$3:$B$3999&lt;=feb!K$3)*(lentry!$C$3:$C$3999&gt;=feb!K$3)),lentry!$D$3:$D$3999),IF(WEEKDAY(feb!K$3,1)=1,"WO","P"))</f>
        <v>P</v>
      </c>
      <c r="L15" s="4" t="str">
        <f>IFERROR(LOOKUP(2,1/((lentry!$A$3:$A$3999=feb!$A15)*(lentry!$B$3:$B$3999&lt;=feb!L$3)*(lentry!$C$3:$C$3999&gt;=feb!L$3)),lentry!$D$3:$D$3999),IF(WEEKDAY(feb!L$3,1)=1,"WO","P"))</f>
        <v>P</v>
      </c>
      <c r="M15" s="4" t="str">
        <f>IFERROR(LOOKUP(2,1/((lentry!$A$3:$A$3999=feb!$A15)*(lentry!$B$3:$B$3999&lt;=feb!M$3)*(lentry!$C$3:$C$3999&gt;=feb!M$3)),lentry!$D$3:$D$3999),IF(WEEKDAY(feb!M$3,1)=1,"WO","P"))</f>
        <v>WO</v>
      </c>
      <c r="N15" s="4" t="str">
        <f>IFERROR(LOOKUP(2,1/((lentry!$A$3:$A$3999=feb!$A15)*(lentry!$B$3:$B$3999&lt;=feb!N$3)*(lentry!$C$3:$C$3999&gt;=feb!N$3)),lentry!$D$3:$D$3999),IF(WEEKDAY(feb!N$3,1)=1,"WO","P"))</f>
        <v>P</v>
      </c>
      <c r="O15" s="4" t="str">
        <f>IFERROR(LOOKUP(2,1/((lentry!$A$3:$A$3999=feb!$A15)*(lentry!$B$3:$B$3999&lt;=feb!O$3)*(lentry!$C$3:$C$3999&gt;=feb!O$3)),lentry!$D$3:$D$3999),IF(WEEKDAY(feb!O$3,1)=1,"WO","P"))</f>
        <v>P</v>
      </c>
      <c r="P15" s="4" t="str">
        <f>IFERROR(LOOKUP(2,1/((lentry!$A$3:$A$3999=feb!$A15)*(lentry!$B$3:$B$3999&lt;=feb!P$3)*(lentry!$C$3:$C$3999&gt;=feb!P$3)),lentry!$D$3:$D$3999),IF(WEEKDAY(feb!P$3,1)=1,"WO","P"))</f>
        <v>P</v>
      </c>
      <c r="Q15" s="4" t="str">
        <f>IFERROR(LOOKUP(2,1/((lentry!$A$3:$A$3999=feb!$A15)*(lentry!$B$3:$B$3999&lt;=feb!Q$3)*(lentry!$C$3:$C$3999&gt;=feb!Q$3)),lentry!$D$3:$D$3999),IF(WEEKDAY(feb!Q$3,1)=1,"WO","P"))</f>
        <v>P</v>
      </c>
      <c r="R15" s="4" t="str">
        <f>IFERROR(LOOKUP(2,1/((lentry!$A$3:$A$3999=feb!$A15)*(lentry!$B$3:$B$3999&lt;=feb!R$3)*(lentry!$C$3:$C$3999&gt;=feb!R$3)),lentry!$D$3:$D$3999),IF(WEEKDAY(feb!R$3,1)=1,"WO","P"))</f>
        <v>P</v>
      </c>
      <c r="S15" s="4" t="str">
        <f>IFERROR(LOOKUP(2,1/((lentry!$A$3:$A$3999=feb!$A15)*(lentry!$B$3:$B$3999&lt;=feb!S$3)*(lentry!$C$3:$C$3999&gt;=feb!S$3)),lentry!$D$3:$D$3999),IF(WEEKDAY(feb!S$3,1)=1,"WO","P"))</f>
        <v>P</v>
      </c>
      <c r="T15" s="4" t="s">
        <v>350</v>
      </c>
      <c r="U15" s="4" t="str">
        <f>IFERROR(LOOKUP(2,1/((lentry!$A$3:$A$3999=feb!$A15)*(lentry!$B$3:$B$3999&lt;=feb!U$3)*(lentry!$C$3:$C$3999&gt;=feb!U$3)),lentry!$D$3:$D$3999),IF(WEEKDAY(feb!U$3,1)=1,"WO","P"))</f>
        <v>P</v>
      </c>
      <c r="V15" s="4" t="str">
        <f>IFERROR(LOOKUP(2,1/((lentry!$A$3:$A$3999=feb!$A15)*(lentry!$B$3:$B$3999&lt;=feb!V$3)*(lentry!$C$3:$C$3999&gt;=feb!V$3)),lentry!$D$3:$D$3999),IF(WEEKDAY(feb!V$3,1)=1,"WO","P"))</f>
        <v>P</v>
      </c>
      <c r="W15" s="4" t="str">
        <f>IFERROR(LOOKUP(2,1/((lentry!$A$3:$A$3999=feb!$A15)*(lentry!$B$3:$B$3999&lt;=feb!W$3)*(lentry!$C$3:$C$3999&gt;=feb!W$3)),lentry!$D$3:$D$3999),IF(WEEKDAY(feb!W$3,1)=1,"WO","P"))</f>
        <v>P</v>
      </c>
      <c r="X15" s="4" t="str">
        <f>IFERROR(LOOKUP(2,1/((lentry!$A$3:$A$3999=feb!$A15)*(lentry!$B$3:$B$3999&lt;=feb!X$3)*(lentry!$C$3:$C$3999&gt;=feb!X$3)),lentry!$D$3:$D$3999),IF(WEEKDAY(feb!X$3,1)=1,"WO","P"))</f>
        <v>P</v>
      </c>
      <c r="Y15" s="4" t="str">
        <f>IFERROR(LOOKUP(2,1/((lentry!$A$3:$A$3999=feb!$A15)*(lentry!$B$3:$B$3999&lt;=feb!Y$3)*(lentry!$C$3:$C$3999&gt;=feb!Y$3)),lentry!$D$3:$D$3999),IF(WEEKDAY(feb!Y$3,1)=1,"WO","P"))</f>
        <v>P</v>
      </c>
      <c r="Z15" s="4" t="str">
        <f>IFERROR(LOOKUP(2,1/((lentry!$A$3:$A$3999=feb!$A15)*(lentry!$B$3:$B$3999&lt;=feb!Z$3)*(lentry!$C$3:$C$3999&gt;=feb!Z$3)),lentry!$D$3:$D$3999),IF(WEEKDAY(feb!Z$3,1)=1,"WO","P"))</f>
        <v>P</v>
      </c>
      <c r="AA15" s="4" t="str">
        <f>IFERROR(LOOKUP(2,1/((lentry!$A$3:$A$3999=feb!$A15)*(lentry!$B$3:$B$3999&lt;=feb!AA$3)*(lentry!$C$3:$C$3999&gt;=feb!AA$3)),lentry!$D$3:$D$3999),IF(WEEKDAY(feb!AA$3,1)=1,"WO","P"))</f>
        <v>WO</v>
      </c>
      <c r="AB15" s="4" t="str">
        <f>IFERROR(LOOKUP(2,1/((lentry!$A$3:$A$3999=feb!$A15)*(lentry!$B$3:$B$3999&lt;=feb!AB$3)*(lentry!$C$3:$C$3999&gt;=feb!AB$3)),lentry!$D$3:$D$3999),IF(WEEKDAY(feb!AB$3,1)=1,"WO","P"))</f>
        <v>P</v>
      </c>
      <c r="AC15" s="4" t="str">
        <f>IFERROR(LOOKUP(2,1/((lentry!$A$3:$A$3999=feb!$A15)*(lentry!$B$3:$B$3999&lt;=feb!AC$3)*(lentry!$C$3:$C$3999&gt;=feb!AC$3)),lentry!$D$3:$D$3999),IF(WEEKDAY(feb!AC$3,1)=1,"WO","P"))</f>
        <v>P</v>
      </c>
      <c r="AD15" s="4" t="str">
        <f>IFERROR(LOOKUP(2,1/((lentry!$A$3:$A$3999=feb!$A15)*(lentry!$B$3:$B$3999&lt;=feb!AD$3)*(lentry!$C$3:$C$3999&gt;=feb!AD$3)),lentry!$D$3:$D$3999),IF(WEEKDAY(feb!AD$3,1)=1,"WO","P"))</f>
        <v>P</v>
      </c>
      <c r="AE15" s="4" t="str">
        <f>IFERROR(LOOKUP(2,1/((lentry!$A$3:$A$3999=feb!$A15)*(lentry!$B$3:$B$3999&lt;=feb!AE$3)*(lentry!$C$3:$C$3999&gt;=feb!AE$3)),lentry!$D$3:$D$3999),IF(WEEKDAY(feb!AE$3,1)=1,"WO","P"))</f>
        <v>P</v>
      </c>
      <c r="AF15" s="4" t="str">
        <f>IFERROR(LOOKUP(2,1/((lentry!$A$3:$A$3999=feb!$A15)*(lentry!$B$3:$B$3999&lt;=feb!AF$3)*(lentry!$C$3:$C$3999&gt;=feb!AF$3)),lentry!$D$3:$D$3999),IF(WEEKDAY(feb!AF$3,1)=1,"WO","P"))</f>
        <v>P</v>
      </c>
      <c r="AG15" s="4" t="str">
        <f>IFERROR(LOOKUP(2,1/((lentry!$A$3:$A$3999=feb!$A15)*(lentry!$B$3:$B$3999&lt;=feb!AG$3)*(lentry!$C$3:$C$3999&gt;=feb!AG$3)),lentry!$D$3:$D$3999),IF(WEEKDAY(feb!AG$3,1)=1,"WO","P"))</f>
        <v>P</v>
      </c>
      <c r="AH15" s="4">
        <f t="shared" si="3"/>
        <v>3</v>
      </c>
      <c r="AI15" s="4">
        <f t="shared" si="4"/>
        <v>1</v>
      </c>
      <c r="AJ15" s="4">
        <f t="shared" si="5"/>
        <v>0</v>
      </c>
      <c r="AK15" s="4">
        <f t="shared" si="6"/>
        <v>0</v>
      </c>
      <c r="AL15" s="4">
        <f t="shared" si="7"/>
        <v>0</v>
      </c>
      <c r="AM15" s="4">
        <f t="shared" si="8"/>
        <v>0</v>
      </c>
      <c r="AN15" s="4">
        <f t="shared" si="9"/>
        <v>0</v>
      </c>
      <c r="AO15" s="4">
        <f t="shared" si="10"/>
        <v>1</v>
      </c>
      <c r="AP15" s="4">
        <f t="shared" si="11"/>
        <v>23</v>
      </c>
      <c r="AQ15" s="4">
        <f t="shared" si="2"/>
        <v>28</v>
      </c>
      <c r="AR15" s="4">
        <f t="shared" si="12"/>
        <v>27</v>
      </c>
    </row>
    <row r="16" spans="1:44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IFERROR(LOOKUP(2,1/((lentry!$A$3:$A$3999=feb!$A16)*(lentry!$B$3:$B$3999&lt;=feb!F$3)*(lentry!$C$3:$C$3999&gt;=feb!F$3)),lentry!$D$3:$D$3999),IF(WEEKDAY(feb!F$3,1)=1,"WO","P"))</f>
        <v>WO</v>
      </c>
      <c r="G16" s="4" t="str">
        <f>IFERROR(LOOKUP(2,1/((lentry!$A$3:$A$3999=feb!$A16)*(lentry!$B$3:$B$3999&lt;=feb!G$3)*(lentry!$C$3:$C$3999&gt;=feb!G$3)),lentry!$D$3:$D$3999),IF(WEEKDAY(feb!G$3,1)=1,"WO","P"))</f>
        <v>P</v>
      </c>
      <c r="H16" s="4" t="str">
        <f>IFERROR(LOOKUP(2,1/((lentry!$A$3:$A$3999=feb!$A16)*(lentry!$B$3:$B$3999&lt;=feb!H$3)*(lentry!$C$3:$C$3999&gt;=feb!H$3)),lentry!$D$3:$D$3999),IF(WEEKDAY(feb!H$3,1)=1,"WO","P"))</f>
        <v>P</v>
      </c>
      <c r="I16" s="4" t="str">
        <f>IFERROR(LOOKUP(2,1/((lentry!$A$3:$A$3999=feb!$A16)*(lentry!$B$3:$B$3999&lt;=feb!I$3)*(lentry!$C$3:$C$3999&gt;=feb!I$3)),lentry!$D$3:$D$3999),IF(WEEKDAY(feb!I$3,1)=1,"WO","P"))</f>
        <v>P</v>
      </c>
      <c r="J16" s="4" t="str">
        <f>IFERROR(LOOKUP(2,1/((lentry!$A$3:$A$3999=feb!$A16)*(lentry!$B$3:$B$3999&lt;=feb!J$3)*(lentry!$C$3:$C$3999&gt;=feb!J$3)),lentry!$D$3:$D$3999),IF(WEEKDAY(feb!J$3,1)=1,"WO","P"))</f>
        <v>P</v>
      </c>
      <c r="K16" s="4" t="str">
        <f>IFERROR(LOOKUP(2,1/((lentry!$A$3:$A$3999=feb!$A16)*(lentry!$B$3:$B$3999&lt;=feb!K$3)*(lentry!$C$3:$C$3999&gt;=feb!K$3)),lentry!$D$3:$D$3999),IF(WEEKDAY(feb!K$3,1)=1,"WO","P"))</f>
        <v>P</v>
      </c>
      <c r="L16" s="4" t="str">
        <f>IFERROR(LOOKUP(2,1/((lentry!$A$3:$A$3999=feb!$A16)*(lentry!$B$3:$B$3999&lt;=feb!L$3)*(lentry!$C$3:$C$3999&gt;=feb!L$3)),lentry!$D$3:$D$3999),IF(WEEKDAY(feb!L$3,1)=1,"WO","P"))</f>
        <v>P</v>
      </c>
      <c r="M16" s="4" t="str">
        <f>IFERROR(LOOKUP(2,1/((lentry!$A$3:$A$3999=feb!$A16)*(lentry!$B$3:$B$3999&lt;=feb!M$3)*(lentry!$C$3:$C$3999&gt;=feb!M$3)),lentry!$D$3:$D$3999),IF(WEEKDAY(feb!M$3,1)=1,"WO","P"))</f>
        <v>WO</v>
      </c>
      <c r="N16" s="4" t="str">
        <f>IFERROR(LOOKUP(2,1/((lentry!$A$3:$A$3999=feb!$A16)*(lentry!$B$3:$B$3999&lt;=feb!N$3)*(lentry!$C$3:$C$3999&gt;=feb!N$3)),lentry!$D$3:$D$3999),IF(WEEKDAY(feb!N$3,1)=1,"WO","P"))</f>
        <v>P</v>
      </c>
      <c r="O16" s="4" t="str">
        <f>IFERROR(LOOKUP(2,1/((lentry!$A$3:$A$3999=feb!$A16)*(lentry!$B$3:$B$3999&lt;=feb!O$3)*(lentry!$C$3:$C$3999&gt;=feb!O$3)),lentry!$D$3:$D$3999),IF(WEEKDAY(feb!O$3,1)=1,"WO","P"))</f>
        <v>P</v>
      </c>
      <c r="P16" s="4" t="str">
        <f>IFERROR(LOOKUP(2,1/((lentry!$A$3:$A$3999=feb!$A16)*(lentry!$B$3:$B$3999&lt;=feb!P$3)*(lentry!$C$3:$C$3999&gt;=feb!P$3)),lentry!$D$3:$D$3999),IF(WEEKDAY(feb!P$3,1)=1,"WO","P"))</f>
        <v>P</v>
      </c>
      <c r="Q16" s="4" t="str">
        <f>IFERROR(LOOKUP(2,1/((lentry!$A$3:$A$3999=feb!$A16)*(lentry!$B$3:$B$3999&lt;=feb!Q$3)*(lentry!$C$3:$C$3999&gt;=feb!Q$3)),lentry!$D$3:$D$3999),IF(WEEKDAY(feb!Q$3,1)=1,"WO","P"))</f>
        <v>P</v>
      </c>
      <c r="R16" s="4" t="str">
        <f>IFERROR(LOOKUP(2,1/((lentry!$A$3:$A$3999=feb!$A16)*(lentry!$B$3:$B$3999&lt;=feb!R$3)*(lentry!$C$3:$C$3999&gt;=feb!R$3)),lentry!$D$3:$D$3999),IF(WEEKDAY(feb!R$3,1)=1,"WO","P"))</f>
        <v>P</v>
      </c>
      <c r="S16" s="4" t="str">
        <f>IFERROR(LOOKUP(2,1/((lentry!$A$3:$A$3999=feb!$A16)*(lentry!$B$3:$B$3999&lt;=feb!S$3)*(lentry!$C$3:$C$3999&gt;=feb!S$3)),lentry!$D$3:$D$3999),IF(WEEKDAY(feb!S$3,1)=1,"WO","P"))</f>
        <v>P</v>
      </c>
      <c r="T16" s="4" t="s">
        <v>350</v>
      </c>
      <c r="U16" s="4" t="str">
        <f>IFERROR(LOOKUP(2,1/((lentry!$A$3:$A$3999=feb!$A16)*(lentry!$B$3:$B$3999&lt;=feb!U$3)*(lentry!$C$3:$C$3999&gt;=feb!U$3)),lentry!$D$3:$D$3999),IF(WEEKDAY(feb!U$3,1)=1,"WO","P"))</f>
        <v>P</v>
      </c>
      <c r="V16" s="4" t="str">
        <f>IFERROR(LOOKUP(2,1/((lentry!$A$3:$A$3999=feb!$A16)*(lentry!$B$3:$B$3999&lt;=feb!V$3)*(lentry!$C$3:$C$3999&gt;=feb!V$3)),lentry!$D$3:$D$3999),IF(WEEKDAY(feb!V$3,1)=1,"WO","P"))</f>
        <v>P</v>
      </c>
      <c r="W16" s="4" t="str">
        <f>IFERROR(LOOKUP(2,1/((lentry!$A$3:$A$3999=feb!$A16)*(lentry!$B$3:$B$3999&lt;=feb!W$3)*(lentry!$C$3:$C$3999&gt;=feb!W$3)),lentry!$D$3:$D$3999),IF(WEEKDAY(feb!W$3,1)=1,"WO","P"))</f>
        <v>P</v>
      </c>
      <c r="X16" s="4" t="str">
        <f>IFERROR(LOOKUP(2,1/((lentry!$A$3:$A$3999=feb!$A16)*(lentry!$B$3:$B$3999&lt;=feb!X$3)*(lentry!$C$3:$C$3999&gt;=feb!X$3)),lentry!$D$3:$D$3999),IF(WEEKDAY(feb!X$3,1)=1,"WO","P"))</f>
        <v>P</v>
      </c>
      <c r="Y16" s="4" t="str">
        <f>IFERROR(LOOKUP(2,1/((lentry!$A$3:$A$3999=feb!$A16)*(lentry!$B$3:$B$3999&lt;=feb!Y$3)*(lentry!$C$3:$C$3999&gt;=feb!Y$3)),lentry!$D$3:$D$3999),IF(WEEKDAY(feb!Y$3,1)=1,"WO","P"))</f>
        <v>P</v>
      </c>
      <c r="Z16" s="4" t="str">
        <f>IFERROR(LOOKUP(2,1/((lentry!$A$3:$A$3999=feb!$A16)*(lentry!$B$3:$B$3999&lt;=feb!Z$3)*(lentry!$C$3:$C$3999&gt;=feb!Z$3)),lentry!$D$3:$D$3999),IF(WEEKDAY(feb!Z$3,1)=1,"WO","P"))</f>
        <v>P</v>
      </c>
      <c r="AA16" s="4" t="str">
        <f>IFERROR(LOOKUP(2,1/((lentry!$A$3:$A$3999=feb!$A16)*(lentry!$B$3:$B$3999&lt;=feb!AA$3)*(lentry!$C$3:$C$3999&gt;=feb!AA$3)),lentry!$D$3:$D$3999),IF(WEEKDAY(feb!AA$3,1)=1,"WO","P"))</f>
        <v>WO</v>
      </c>
      <c r="AB16" s="4" t="str">
        <f>IFERROR(LOOKUP(2,1/((lentry!$A$3:$A$3999=feb!$A16)*(lentry!$B$3:$B$3999&lt;=feb!AB$3)*(lentry!$C$3:$C$3999&gt;=feb!AB$3)),lentry!$D$3:$D$3999),IF(WEEKDAY(feb!AB$3,1)=1,"WO","P"))</f>
        <v>P</v>
      </c>
      <c r="AC16" s="4" t="str">
        <f>IFERROR(LOOKUP(2,1/((lentry!$A$3:$A$3999=feb!$A16)*(lentry!$B$3:$B$3999&lt;=feb!AC$3)*(lentry!$C$3:$C$3999&gt;=feb!AC$3)),lentry!$D$3:$D$3999),IF(WEEKDAY(feb!AC$3,1)=1,"WO","P"))</f>
        <v>P</v>
      </c>
      <c r="AD16" s="4" t="str">
        <f>IFERROR(LOOKUP(2,1/((lentry!$A$3:$A$3999=feb!$A16)*(lentry!$B$3:$B$3999&lt;=feb!AD$3)*(lentry!$C$3:$C$3999&gt;=feb!AD$3)),lentry!$D$3:$D$3999),IF(WEEKDAY(feb!AD$3,1)=1,"WO","P"))</f>
        <v>P</v>
      </c>
      <c r="AE16" s="4" t="str">
        <f>IFERROR(LOOKUP(2,1/((lentry!$A$3:$A$3999=feb!$A16)*(lentry!$B$3:$B$3999&lt;=feb!AE$3)*(lentry!$C$3:$C$3999&gt;=feb!AE$3)),lentry!$D$3:$D$3999),IF(WEEKDAY(feb!AE$3,1)=1,"WO","P"))</f>
        <v>P</v>
      </c>
      <c r="AF16" s="4" t="str">
        <f>IFERROR(LOOKUP(2,1/((lentry!$A$3:$A$3999=feb!$A16)*(lentry!$B$3:$B$3999&lt;=feb!AF$3)*(lentry!$C$3:$C$3999&gt;=feb!AF$3)),lentry!$D$3:$D$3999),IF(WEEKDAY(feb!AF$3,1)=1,"WO","P"))</f>
        <v>P</v>
      </c>
      <c r="AG16" s="4" t="str">
        <f>IFERROR(LOOKUP(2,1/((lentry!$A$3:$A$3999=feb!$A16)*(lentry!$B$3:$B$3999&lt;=feb!AG$3)*(lentry!$C$3:$C$3999&gt;=feb!AG$3)),lentry!$D$3:$D$3999),IF(WEEKDAY(feb!AG$3,1)=1,"WO","P"))</f>
        <v>P</v>
      </c>
      <c r="AH16" s="4">
        <f t="shared" si="3"/>
        <v>3</v>
      </c>
      <c r="AI16" s="4">
        <f t="shared" si="4"/>
        <v>1</v>
      </c>
      <c r="AJ16" s="4">
        <f t="shared" si="5"/>
        <v>0</v>
      </c>
      <c r="AK16" s="4">
        <f t="shared" si="6"/>
        <v>0</v>
      </c>
      <c r="AL16" s="4">
        <f t="shared" si="7"/>
        <v>0</v>
      </c>
      <c r="AM16" s="4">
        <f t="shared" si="8"/>
        <v>0</v>
      </c>
      <c r="AN16" s="4">
        <f t="shared" si="9"/>
        <v>0</v>
      </c>
      <c r="AO16" s="4">
        <f t="shared" si="10"/>
        <v>0</v>
      </c>
      <c r="AP16" s="4">
        <f t="shared" si="11"/>
        <v>24</v>
      </c>
      <c r="AQ16" s="4">
        <f t="shared" si="2"/>
        <v>28</v>
      </c>
      <c r="AR16" s="4">
        <f t="shared" si="12"/>
        <v>28</v>
      </c>
    </row>
    <row r="17" spans="1:44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IFERROR(LOOKUP(2,1/((lentry!$A$3:$A$3999=feb!$A17)*(lentry!$B$3:$B$3999&lt;=feb!F$3)*(lentry!$C$3:$C$3999&gt;=feb!F$3)),lentry!$D$3:$D$3999),IF(WEEKDAY(feb!F$3,1)=1,"WO","P"))</f>
        <v>WO</v>
      </c>
      <c r="G17" s="4" t="str">
        <f>IFERROR(LOOKUP(2,1/((lentry!$A$3:$A$3999=feb!$A17)*(lentry!$B$3:$B$3999&lt;=feb!G$3)*(lentry!$C$3:$C$3999&gt;=feb!G$3)),lentry!$D$3:$D$3999),IF(WEEKDAY(feb!G$3,1)=1,"WO","P"))</f>
        <v>P</v>
      </c>
      <c r="H17" s="4" t="str">
        <f>IFERROR(LOOKUP(2,1/((lentry!$A$3:$A$3999=feb!$A17)*(lentry!$B$3:$B$3999&lt;=feb!H$3)*(lentry!$C$3:$C$3999&gt;=feb!H$3)),lentry!$D$3:$D$3999),IF(WEEKDAY(feb!H$3,1)=1,"WO","P"))</f>
        <v>P</v>
      </c>
      <c r="I17" s="4" t="str">
        <f>IFERROR(LOOKUP(2,1/((lentry!$A$3:$A$3999=feb!$A17)*(lentry!$B$3:$B$3999&lt;=feb!I$3)*(lentry!$C$3:$C$3999&gt;=feb!I$3)),lentry!$D$3:$D$3999),IF(WEEKDAY(feb!I$3,1)=1,"WO","P"))</f>
        <v>P</v>
      </c>
      <c r="J17" s="4" t="str">
        <f>IFERROR(LOOKUP(2,1/((lentry!$A$3:$A$3999=feb!$A17)*(lentry!$B$3:$B$3999&lt;=feb!J$3)*(lentry!$C$3:$C$3999&gt;=feb!J$3)),lentry!$D$3:$D$3999),IF(WEEKDAY(feb!J$3,1)=1,"WO","P"))</f>
        <v>P</v>
      </c>
      <c r="K17" s="4" t="str">
        <f>IFERROR(LOOKUP(2,1/((lentry!$A$3:$A$3999=feb!$A17)*(lentry!$B$3:$B$3999&lt;=feb!K$3)*(lentry!$C$3:$C$3999&gt;=feb!K$3)),lentry!$D$3:$D$3999),IF(WEEKDAY(feb!K$3,1)=1,"WO","P"))</f>
        <v>P</v>
      </c>
      <c r="L17" s="4" t="str">
        <f>IFERROR(LOOKUP(2,1/((lentry!$A$3:$A$3999=feb!$A17)*(lentry!$B$3:$B$3999&lt;=feb!L$3)*(lentry!$C$3:$C$3999&gt;=feb!L$3)),lentry!$D$3:$D$3999),IF(WEEKDAY(feb!L$3,1)=1,"WO","P"))</f>
        <v>P</v>
      </c>
      <c r="M17" s="4" t="str">
        <f>IFERROR(LOOKUP(2,1/((lentry!$A$3:$A$3999=feb!$A17)*(lentry!$B$3:$B$3999&lt;=feb!M$3)*(lentry!$C$3:$C$3999&gt;=feb!M$3)),lentry!$D$3:$D$3999),IF(WEEKDAY(feb!M$3,1)=1,"WO","P"))</f>
        <v>WO</v>
      </c>
      <c r="N17" s="4" t="str">
        <f>IFERROR(LOOKUP(2,1/((lentry!$A$3:$A$3999=feb!$A17)*(lentry!$B$3:$B$3999&lt;=feb!N$3)*(lentry!$C$3:$C$3999&gt;=feb!N$3)),lentry!$D$3:$D$3999),IF(WEEKDAY(feb!N$3,1)=1,"WO","P"))</f>
        <v>P</v>
      </c>
      <c r="O17" s="4" t="str">
        <f>IFERROR(LOOKUP(2,1/((lentry!$A$3:$A$3999=feb!$A17)*(lentry!$B$3:$B$3999&lt;=feb!O$3)*(lentry!$C$3:$C$3999&gt;=feb!O$3)),lentry!$D$3:$D$3999),IF(WEEKDAY(feb!O$3,1)=1,"WO","P"))</f>
        <v>P</v>
      </c>
      <c r="P17" s="4" t="str">
        <f>IFERROR(LOOKUP(2,1/((lentry!$A$3:$A$3999=feb!$A17)*(lentry!$B$3:$B$3999&lt;=feb!P$3)*(lentry!$C$3:$C$3999&gt;=feb!P$3)),lentry!$D$3:$D$3999),IF(WEEKDAY(feb!P$3,1)=1,"WO","P"))</f>
        <v>P</v>
      </c>
      <c r="Q17" s="4" t="str">
        <f>IFERROR(LOOKUP(2,1/((lentry!$A$3:$A$3999=feb!$A17)*(lentry!$B$3:$B$3999&lt;=feb!Q$3)*(lentry!$C$3:$C$3999&gt;=feb!Q$3)),lentry!$D$3:$D$3999),IF(WEEKDAY(feb!Q$3,1)=1,"WO","P"))</f>
        <v>P</v>
      </c>
      <c r="R17" s="4" t="str">
        <f>IFERROR(LOOKUP(2,1/((lentry!$A$3:$A$3999=feb!$A17)*(lentry!$B$3:$B$3999&lt;=feb!R$3)*(lentry!$C$3:$C$3999&gt;=feb!R$3)),lentry!$D$3:$D$3999),IF(WEEKDAY(feb!R$3,1)=1,"WO","P"))</f>
        <v>PL</v>
      </c>
      <c r="S17" s="4" t="str">
        <f>IFERROR(LOOKUP(2,1/((lentry!$A$3:$A$3999=feb!$A17)*(lentry!$B$3:$B$3999&lt;=feb!S$3)*(lentry!$C$3:$C$3999&gt;=feb!S$3)),lentry!$D$3:$D$3999),IF(WEEKDAY(feb!S$3,1)=1,"WO","P"))</f>
        <v>PL</v>
      </c>
      <c r="T17" s="4" t="s">
        <v>350</v>
      </c>
      <c r="U17" s="4" t="s">
        <v>539</v>
      </c>
      <c r="V17" s="4" t="str">
        <f>IFERROR(LOOKUP(2,1/((lentry!$A$3:$A$3999=feb!$A17)*(lentry!$B$3:$B$3999&lt;=feb!V$3)*(lentry!$C$3:$C$3999&gt;=feb!V$3)),lentry!$D$3:$D$3999),IF(WEEKDAY(feb!V$3,1)=1,"WO","P"))</f>
        <v>P</v>
      </c>
      <c r="W17" s="4" t="str">
        <f>IFERROR(LOOKUP(2,1/((lentry!$A$3:$A$3999=feb!$A17)*(lentry!$B$3:$B$3999&lt;=feb!W$3)*(lentry!$C$3:$C$3999&gt;=feb!W$3)),lentry!$D$3:$D$3999),IF(WEEKDAY(feb!W$3,1)=1,"WO","P"))</f>
        <v>P</v>
      </c>
      <c r="X17" s="4" t="str">
        <f>IFERROR(LOOKUP(2,1/((lentry!$A$3:$A$3999=feb!$A17)*(lentry!$B$3:$B$3999&lt;=feb!X$3)*(lentry!$C$3:$C$3999&gt;=feb!X$3)),lentry!$D$3:$D$3999),IF(WEEKDAY(feb!X$3,1)=1,"WO","P"))</f>
        <v>P</v>
      </c>
      <c r="Y17" s="4" t="str">
        <f>IFERROR(LOOKUP(2,1/((lentry!$A$3:$A$3999=feb!$A17)*(lentry!$B$3:$B$3999&lt;=feb!Y$3)*(lentry!$C$3:$C$3999&gt;=feb!Y$3)),lentry!$D$3:$D$3999),IF(WEEKDAY(feb!Y$3,1)=1,"WO","P"))</f>
        <v>P</v>
      </c>
      <c r="Z17" s="4" t="str">
        <f>IFERROR(LOOKUP(2,1/((lentry!$A$3:$A$3999=feb!$A17)*(lentry!$B$3:$B$3999&lt;=feb!Z$3)*(lentry!$C$3:$C$3999&gt;=feb!Z$3)),lentry!$D$3:$D$3999),IF(WEEKDAY(feb!Z$3,1)=1,"WO","P"))</f>
        <v>P</v>
      </c>
      <c r="AA17" s="4" t="str">
        <f>IFERROR(LOOKUP(2,1/((lentry!$A$3:$A$3999=feb!$A17)*(lentry!$B$3:$B$3999&lt;=feb!AA$3)*(lentry!$C$3:$C$3999&gt;=feb!AA$3)),lentry!$D$3:$D$3999),IF(WEEKDAY(feb!AA$3,1)=1,"WO","P"))</f>
        <v>WO</v>
      </c>
      <c r="AB17" s="4" t="str">
        <f>IFERROR(LOOKUP(2,1/((lentry!$A$3:$A$3999=feb!$A17)*(lentry!$B$3:$B$3999&lt;=feb!AB$3)*(lentry!$C$3:$C$3999&gt;=feb!AB$3)),lentry!$D$3:$D$3999),IF(WEEKDAY(feb!AB$3,1)=1,"WO","P"))</f>
        <v>P</v>
      </c>
      <c r="AC17" s="4" t="str">
        <f>IFERROR(LOOKUP(2,1/((lentry!$A$3:$A$3999=feb!$A17)*(lentry!$B$3:$B$3999&lt;=feb!AC$3)*(lentry!$C$3:$C$3999&gt;=feb!AC$3)),lentry!$D$3:$D$3999),IF(WEEKDAY(feb!AC$3,1)=1,"WO","P"))</f>
        <v>P</v>
      </c>
      <c r="AD17" s="4" t="str">
        <f>IFERROR(LOOKUP(2,1/((lentry!$A$3:$A$3999=feb!$A17)*(lentry!$B$3:$B$3999&lt;=feb!AD$3)*(lentry!$C$3:$C$3999&gt;=feb!AD$3)),lentry!$D$3:$D$3999),IF(WEEKDAY(feb!AD$3,1)=1,"WO","P"))</f>
        <v>P</v>
      </c>
      <c r="AE17" s="4" t="str">
        <f>IFERROR(LOOKUP(2,1/((lentry!$A$3:$A$3999=feb!$A17)*(lentry!$B$3:$B$3999&lt;=feb!AE$3)*(lentry!$C$3:$C$3999&gt;=feb!AE$3)),lentry!$D$3:$D$3999),IF(WEEKDAY(feb!AE$3,1)=1,"WO","P"))</f>
        <v>P</v>
      </c>
      <c r="AF17" s="4" t="str">
        <f>IFERROR(LOOKUP(2,1/((lentry!$A$3:$A$3999=feb!$A17)*(lentry!$B$3:$B$3999&lt;=feb!AF$3)*(lentry!$C$3:$C$3999&gt;=feb!AF$3)),lentry!$D$3:$D$3999),IF(WEEKDAY(feb!AF$3,1)=1,"WO","P"))</f>
        <v>P</v>
      </c>
      <c r="AG17" s="4" t="str">
        <f>IFERROR(LOOKUP(2,1/((lentry!$A$3:$A$3999=feb!$A17)*(lentry!$B$3:$B$3999&lt;=feb!AG$3)*(lentry!$C$3:$C$3999&gt;=feb!AG$3)),lentry!$D$3:$D$3999),IF(WEEKDAY(feb!AG$3,1)=1,"WO","P"))</f>
        <v>P</v>
      </c>
      <c r="AH17" s="4">
        <f t="shared" si="3"/>
        <v>3</v>
      </c>
      <c r="AI17" s="4">
        <f t="shared" si="4"/>
        <v>1</v>
      </c>
      <c r="AJ17" s="4">
        <f t="shared" si="5"/>
        <v>2</v>
      </c>
      <c r="AK17" s="4">
        <f t="shared" si="6"/>
        <v>0</v>
      </c>
      <c r="AL17" s="4">
        <f t="shared" si="7"/>
        <v>0</v>
      </c>
      <c r="AM17" s="4">
        <f t="shared" si="8"/>
        <v>0</v>
      </c>
      <c r="AN17" s="4">
        <f t="shared" si="9"/>
        <v>0</v>
      </c>
      <c r="AO17" s="4">
        <f t="shared" si="10"/>
        <v>1</v>
      </c>
      <c r="AP17" s="4">
        <f t="shared" si="11"/>
        <v>21</v>
      </c>
      <c r="AQ17" s="4">
        <f t="shared" si="2"/>
        <v>28</v>
      </c>
      <c r="AR17" s="4">
        <f t="shared" si="12"/>
        <v>27</v>
      </c>
    </row>
    <row r="18" spans="1:44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IFERROR(LOOKUP(2,1/((lentry!$A$3:$A$3999=feb!$A18)*(lentry!$B$3:$B$3999&lt;=feb!F$3)*(lentry!$C$3:$C$3999&gt;=feb!F$3)),lentry!$D$3:$D$3999),IF(WEEKDAY(feb!F$3,1)=1,"WO","P"))</f>
        <v>WO</v>
      </c>
      <c r="G18" s="4" t="str">
        <f>IFERROR(LOOKUP(2,1/((lentry!$A$3:$A$3999=feb!$A18)*(lentry!$B$3:$B$3999&lt;=feb!G$3)*(lentry!$C$3:$C$3999&gt;=feb!G$3)),lentry!$D$3:$D$3999),IF(WEEKDAY(feb!G$3,1)=1,"WO","P"))</f>
        <v>P</v>
      </c>
      <c r="H18" s="4" t="str">
        <f>IFERROR(LOOKUP(2,1/((lentry!$A$3:$A$3999=feb!$A18)*(lentry!$B$3:$B$3999&lt;=feb!H$3)*(lentry!$C$3:$C$3999&gt;=feb!H$3)),lentry!$D$3:$D$3999),IF(WEEKDAY(feb!H$3,1)=1,"WO","P"))</f>
        <v>P</v>
      </c>
      <c r="I18" s="4" t="str">
        <f>IFERROR(LOOKUP(2,1/((lentry!$A$3:$A$3999=feb!$A18)*(lentry!$B$3:$B$3999&lt;=feb!I$3)*(lentry!$C$3:$C$3999&gt;=feb!I$3)),lentry!$D$3:$D$3999),IF(WEEKDAY(feb!I$3,1)=1,"WO","P"))</f>
        <v>P</v>
      </c>
      <c r="J18" s="4" t="str">
        <f>IFERROR(LOOKUP(2,1/((lentry!$A$3:$A$3999=feb!$A18)*(lentry!$B$3:$B$3999&lt;=feb!J$3)*(lentry!$C$3:$C$3999&gt;=feb!J$3)),lentry!$D$3:$D$3999),IF(WEEKDAY(feb!J$3,1)=1,"WO","P"))</f>
        <v>P</v>
      </c>
      <c r="K18" s="4" t="str">
        <f>IFERROR(LOOKUP(2,1/((lentry!$A$3:$A$3999=feb!$A18)*(lentry!$B$3:$B$3999&lt;=feb!K$3)*(lentry!$C$3:$C$3999&gt;=feb!K$3)),lentry!$D$3:$D$3999),IF(WEEKDAY(feb!K$3,1)=1,"WO","P"))</f>
        <v>P</v>
      </c>
      <c r="L18" s="4" t="str">
        <f>IFERROR(LOOKUP(2,1/((lentry!$A$3:$A$3999=feb!$A18)*(lentry!$B$3:$B$3999&lt;=feb!L$3)*(lentry!$C$3:$C$3999&gt;=feb!L$3)),lentry!$D$3:$D$3999),IF(WEEKDAY(feb!L$3,1)=1,"WO","P"))</f>
        <v>P</v>
      </c>
      <c r="M18" s="4" t="str">
        <f>IFERROR(LOOKUP(2,1/((lentry!$A$3:$A$3999=feb!$A18)*(lentry!$B$3:$B$3999&lt;=feb!M$3)*(lentry!$C$3:$C$3999&gt;=feb!M$3)),lentry!$D$3:$D$3999),IF(WEEKDAY(feb!M$3,1)=1,"WO","P"))</f>
        <v>WO</v>
      </c>
      <c r="N18" s="4" t="str">
        <f>IFERROR(LOOKUP(2,1/((lentry!$A$3:$A$3999=feb!$A18)*(lentry!$B$3:$B$3999&lt;=feb!N$3)*(lentry!$C$3:$C$3999&gt;=feb!N$3)),lentry!$D$3:$D$3999),IF(WEEKDAY(feb!N$3,1)=1,"WO","P"))</f>
        <v>P</v>
      </c>
      <c r="O18" s="4" t="str">
        <f>IFERROR(LOOKUP(2,1/((lentry!$A$3:$A$3999=feb!$A18)*(lentry!$B$3:$B$3999&lt;=feb!O$3)*(lentry!$C$3:$C$3999&gt;=feb!O$3)),lentry!$D$3:$D$3999),IF(WEEKDAY(feb!O$3,1)=1,"WO","P"))</f>
        <v>P</v>
      </c>
      <c r="P18" s="4" t="str">
        <f>IFERROR(LOOKUP(2,1/((lentry!$A$3:$A$3999=feb!$A18)*(lentry!$B$3:$B$3999&lt;=feb!P$3)*(lentry!$C$3:$C$3999&gt;=feb!P$3)),lentry!$D$3:$D$3999),IF(WEEKDAY(feb!P$3,1)=1,"WO","P"))</f>
        <v>P</v>
      </c>
      <c r="Q18" s="4" t="str">
        <f>IFERROR(LOOKUP(2,1/((lentry!$A$3:$A$3999=feb!$A18)*(lentry!$B$3:$B$3999&lt;=feb!Q$3)*(lentry!$C$3:$C$3999&gt;=feb!Q$3)),lentry!$D$3:$D$3999),IF(WEEKDAY(feb!Q$3,1)=1,"WO","P"))</f>
        <v>P</v>
      </c>
      <c r="R18" s="4" t="str">
        <f>IFERROR(LOOKUP(2,1/((lentry!$A$3:$A$3999=feb!$A18)*(lentry!$B$3:$B$3999&lt;=feb!R$3)*(lentry!$C$3:$C$3999&gt;=feb!R$3)),lentry!$D$3:$D$3999),IF(WEEKDAY(feb!R$3,1)=1,"WO","P"))</f>
        <v>P</v>
      </c>
      <c r="S18" s="4" t="str">
        <f>IFERROR(LOOKUP(2,1/((lentry!$A$3:$A$3999=feb!$A18)*(lentry!$B$3:$B$3999&lt;=feb!S$3)*(lentry!$C$3:$C$3999&gt;=feb!S$3)),lentry!$D$3:$D$3999),IF(WEEKDAY(feb!S$3,1)=1,"WO","P"))</f>
        <v>P</v>
      </c>
      <c r="T18" s="4" t="s">
        <v>350</v>
      </c>
      <c r="U18" s="4" t="str">
        <f>IFERROR(LOOKUP(2,1/((lentry!$A$3:$A$3999=feb!$A18)*(lentry!$B$3:$B$3999&lt;=feb!U$3)*(lentry!$C$3:$C$3999&gt;=feb!U$3)),lentry!$D$3:$D$3999),IF(WEEKDAY(feb!U$3,1)=1,"WO","P"))</f>
        <v>P</v>
      </c>
      <c r="V18" s="4" t="str">
        <f>IFERROR(LOOKUP(2,1/((lentry!$A$3:$A$3999=feb!$A18)*(lentry!$B$3:$B$3999&lt;=feb!V$3)*(lentry!$C$3:$C$3999&gt;=feb!V$3)),lentry!$D$3:$D$3999),IF(WEEKDAY(feb!V$3,1)=1,"WO","P"))</f>
        <v>P</v>
      </c>
      <c r="W18" s="4" t="str">
        <f>IFERROR(LOOKUP(2,1/((lentry!$A$3:$A$3999=feb!$A18)*(lentry!$B$3:$B$3999&lt;=feb!W$3)*(lentry!$C$3:$C$3999&gt;=feb!W$3)),lentry!$D$3:$D$3999),IF(WEEKDAY(feb!W$3,1)=1,"WO","P"))</f>
        <v>P</v>
      </c>
      <c r="X18" s="4" t="str">
        <f>IFERROR(LOOKUP(2,1/((lentry!$A$3:$A$3999=feb!$A18)*(lentry!$B$3:$B$3999&lt;=feb!X$3)*(lentry!$C$3:$C$3999&gt;=feb!X$3)),lentry!$D$3:$D$3999),IF(WEEKDAY(feb!X$3,1)=1,"WO","P"))</f>
        <v>P</v>
      </c>
      <c r="Y18" s="4" t="str">
        <f>IFERROR(LOOKUP(2,1/((lentry!$A$3:$A$3999=feb!$A18)*(lentry!$B$3:$B$3999&lt;=feb!Y$3)*(lentry!$C$3:$C$3999&gt;=feb!Y$3)),lentry!$D$3:$D$3999),IF(WEEKDAY(feb!Y$3,1)=1,"WO","P"))</f>
        <v>P</v>
      </c>
      <c r="Z18" s="4" t="str">
        <f>IFERROR(LOOKUP(2,1/((lentry!$A$3:$A$3999=feb!$A18)*(lentry!$B$3:$B$3999&lt;=feb!Z$3)*(lentry!$C$3:$C$3999&gt;=feb!Z$3)),lentry!$D$3:$D$3999),IF(WEEKDAY(feb!Z$3,1)=1,"WO","P"))</f>
        <v>P</v>
      </c>
      <c r="AA18" s="4" t="str">
        <f>IFERROR(LOOKUP(2,1/((lentry!$A$3:$A$3999=feb!$A18)*(lentry!$B$3:$B$3999&lt;=feb!AA$3)*(lentry!$C$3:$C$3999&gt;=feb!AA$3)),lentry!$D$3:$D$3999),IF(WEEKDAY(feb!AA$3,1)=1,"WO","P"))</f>
        <v>WO</v>
      </c>
      <c r="AB18" s="4" t="s">
        <v>539</v>
      </c>
      <c r="AC18" s="4" t="str">
        <f>IFERROR(LOOKUP(2,1/((lentry!$A$3:$A$3999=feb!$A18)*(lentry!$B$3:$B$3999&lt;=feb!AC$3)*(lentry!$C$3:$C$3999&gt;=feb!AC$3)),lentry!$D$3:$D$3999),IF(WEEKDAY(feb!AC$3,1)=1,"WO","P"))</f>
        <v>P</v>
      </c>
      <c r="AD18" s="4" t="str">
        <f>IFERROR(LOOKUP(2,1/((lentry!$A$3:$A$3999=feb!$A18)*(lentry!$B$3:$B$3999&lt;=feb!AD$3)*(lentry!$C$3:$C$3999&gt;=feb!AD$3)),lentry!$D$3:$D$3999),IF(WEEKDAY(feb!AD$3,1)=1,"WO","P"))</f>
        <v>P</v>
      </c>
      <c r="AE18" s="4" t="str">
        <f>IFERROR(LOOKUP(2,1/((lentry!$A$3:$A$3999=feb!$A18)*(lentry!$B$3:$B$3999&lt;=feb!AE$3)*(lentry!$C$3:$C$3999&gt;=feb!AE$3)),lentry!$D$3:$D$3999),IF(WEEKDAY(feb!AE$3,1)=1,"WO","P"))</f>
        <v>P</v>
      </c>
      <c r="AF18" s="4" t="str">
        <f>IFERROR(LOOKUP(2,1/((lentry!$A$3:$A$3999=feb!$A18)*(lentry!$B$3:$B$3999&lt;=feb!AF$3)*(lentry!$C$3:$C$3999&gt;=feb!AF$3)),lentry!$D$3:$D$3999),IF(WEEKDAY(feb!AF$3,1)=1,"WO","P"))</f>
        <v>P</v>
      </c>
      <c r="AG18" s="4" t="str">
        <f>IFERROR(LOOKUP(2,1/((lentry!$A$3:$A$3999=feb!$A18)*(lentry!$B$3:$B$3999&lt;=feb!AG$3)*(lentry!$C$3:$C$3999&gt;=feb!AG$3)),lentry!$D$3:$D$3999),IF(WEEKDAY(feb!AG$3,1)=1,"WO","P"))</f>
        <v>P</v>
      </c>
      <c r="AH18" s="4">
        <f t="shared" si="3"/>
        <v>3</v>
      </c>
      <c r="AI18" s="4">
        <f t="shared" si="4"/>
        <v>1</v>
      </c>
      <c r="AJ18" s="4">
        <f t="shared" si="5"/>
        <v>0</v>
      </c>
      <c r="AK18" s="4">
        <f t="shared" si="6"/>
        <v>0</v>
      </c>
      <c r="AL18" s="4">
        <f t="shared" si="7"/>
        <v>0</v>
      </c>
      <c r="AM18" s="4">
        <f t="shared" si="8"/>
        <v>0</v>
      </c>
      <c r="AN18" s="4">
        <f t="shared" si="9"/>
        <v>0</v>
      </c>
      <c r="AO18" s="4">
        <f t="shared" si="10"/>
        <v>1</v>
      </c>
      <c r="AP18" s="4">
        <f t="shared" si="11"/>
        <v>23</v>
      </c>
      <c r="AQ18" s="4">
        <f t="shared" si="2"/>
        <v>28</v>
      </c>
      <c r="AR18" s="4">
        <f t="shared" si="12"/>
        <v>27</v>
      </c>
    </row>
    <row r="19" spans="1:44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IFERROR(LOOKUP(2,1/((lentry!$A$3:$A$3999=feb!$A19)*(lentry!$B$3:$B$3999&lt;=feb!F$3)*(lentry!$C$3:$C$3999&gt;=feb!F$3)),lentry!$D$3:$D$3999),IF(WEEKDAY(feb!F$3,1)=1,"WO","P"))</f>
        <v>WO</v>
      </c>
      <c r="G19" s="4" t="str">
        <f>IFERROR(LOOKUP(2,1/((lentry!$A$3:$A$3999=feb!$A19)*(lentry!$B$3:$B$3999&lt;=feb!G$3)*(lentry!$C$3:$C$3999&gt;=feb!G$3)),lentry!$D$3:$D$3999),IF(WEEKDAY(feb!G$3,1)=1,"WO","P"))</f>
        <v>P</v>
      </c>
      <c r="H19" s="4" t="str">
        <f>IFERROR(LOOKUP(2,1/((lentry!$A$3:$A$3999=feb!$A19)*(lentry!$B$3:$B$3999&lt;=feb!H$3)*(lentry!$C$3:$C$3999&gt;=feb!H$3)),lentry!$D$3:$D$3999),IF(WEEKDAY(feb!H$3,1)=1,"WO","P"))</f>
        <v>P</v>
      </c>
      <c r="I19" s="4" t="str">
        <f>IFERROR(LOOKUP(2,1/((lentry!$A$3:$A$3999=feb!$A19)*(lentry!$B$3:$B$3999&lt;=feb!I$3)*(lentry!$C$3:$C$3999&gt;=feb!I$3)),lentry!$D$3:$D$3999),IF(WEEKDAY(feb!I$3,1)=1,"WO","P"))</f>
        <v>P</v>
      </c>
      <c r="J19" s="4" t="str">
        <f>IFERROR(LOOKUP(2,1/((lentry!$A$3:$A$3999=feb!$A19)*(lentry!$B$3:$B$3999&lt;=feb!J$3)*(lentry!$C$3:$C$3999&gt;=feb!J$3)),lentry!$D$3:$D$3999),IF(WEEKDAY(feb!J$3,1)=1,"WO","P"))</f>
        <v>P</v>
      </c>
      <c r="K19" s="4" t="str">
        <f>IFERROR(LOOKUP(2,1/((lentry!$A$3:$A$3999=feb!$A19)*(lentry!$B$3:$B$3999&lt;=feb!K$3)*(lentry!$C$3:$C$3999&gt;=feb!K$3)),lentry!$D$3:$D$3999),IF(WEEKDAY(feb!K$3,1)=1,"WO","P"))</f>
        <v>P</v>
      </c>
      <c r="L19" s="4" t="str">
        <f>IFERROR(LOOKUP(2,1/((lentry!$A$3:$A$3999=feb!$A19)*(lentry!$B$3:$B$3999&lt;=feb!L$3)*(lentry!$C$3:$C$3999&gt;=feb!L$3)),lentry!$D$3:$D$3999),IF(WEEKDAY(feb!L$3,1)=1,"WO","P"))</f>
        <v>P</v>
      </c>
      <c r="M19" s="4" t="str">
        <f>IFERROR(LOOKUP(2,1/((lentry!$A$3:$A$3999=feb!$A19)*(lentry!$B$3:$B$3999&lt;=feb!M$3)*(lentry!$C$3:$C$3999&gt;=feb!M$3)),lentry!$D$3:$D$3999),IF(WEEKDAY(feb!M$3,1)=1,"WO","P"))</f>
        <v>WO</v>
      </c>
      <c r="N19" s="4" t="str">
        <f>IFERROR(LOOKUP(2,1/((lentry!$A$3:$A$3999=feb!$A19)*(lentry!$B$3:$B$3999&lt;=feb!N$3)*(lentry!$C$3:$C$3999&gt;=feb!N$3)),lentry!$D$3:$D$3999),IF(WEEKDAY(feb!N$3,1)=1,"WO","P"))</f>
        <v>P</v>
      </c>
      <c r="O19" s="4" t="str">
        <f>IFERROR(LOOKUP(2,1/((lentry!$A$3:$A$3999=feb!$A19)*(lentry!$B$3:$B$3999&lt;=feb!O$3)*(lentry!$C$3:$C$3999&gt;=feb!O$3)),lentry!$D$3:$D$3999),IF(WEEKDAY(feb!O$3,1)=1,"WO","P"))</f>
        <v>P</v>
      </c>
      <c r="P19" s="4" t="str">
        <f>IFERROR(LOOKUP(2,1/((lentry!$A$3:$A$3999=feb!$A19)*(lentry!$B$3:$B$3999&lt;=feb!P$3)*(lentry!$C$3:$C$3999&gt;=feb!P$3)),lentry!$D$3:$D$3999),IF(WEEKDAY(feb!P$3,1)=1,"WO","P"))</f>
        <v>P</v>
      </c>
      <c r="Q19" s="4" t="str">
        <f>IFERROR(LOOKUP(2,1/((lentry!$A$3:$A$3999=feb!$A19)*(lentry!$B$3:$B$3999&lt;=feb!Q$3)*(lentry!$C$3:$C$3999&gt;=feb!Q$3)),lentry!$D$3:$D$3999),IF(WEEKDAY(feb!Q$3,1)=1,"WO","P"))</f>
        <v>P</v>
      </c>
      <c r="R19" s="4" t="str">
        <f>IFERROR(LOOKUP(2,1/((lentry!$A$3:$A$3999=feb!$A19)*(lentry!$B$3:$B$3999&lt;=feb!R$3)*(lentry!$C$3:$C$3999&gt;=feb!R$3)),lentry!$D$3:$D$3999),IF(WEEKDAY(feb!R$3,1)=1,"WO","P"))</f>
        <v>P</v>
      </c>
      <c r="S19" s="4" t="str">
        <f>IFERROR(LOOKUP(2,1/((lentry!$A$3:$A$3999=feb!$A19)*(lentry!$B$3:$B$3999&lt;=feb!S$3)*(lentry!$C$3:$C$3999&gt;=feb!S$3)),lentry!$D$3:$D$3999),IF(WEEKDAY(feb!S$3,1)=1,"WO","P"))</f>
        <v>P</v>
      </c>
      <c r="T19" s="4" t="s">
        <v>350</v>
      </c>
      <c r="U19" s="4" t="str">
        <f>IFERROR(LOOKUP(2,1/((lentry!$A$3:$A$3999=feb!$A19)*(lentry!$B$3:$B$3999&lt;=feb!U$3)*(lentry!$C$3:$C$3999&gt;=feb!U$3)),lentry!$D$3:$D$3999),IF(WEEKDAY(feb!U$3,1)=1,"WO","P"))</f>
        <v>P</v>
      </c>
      <c r="V19" s="4" t="str">
        <f>IFERROR(LOOKUP(2,1/((lentry!$A$3:$A$3999=feb!$A19)*(lentry!$B$3:$B$3999&lt;=feb!V$3)*(lentry!$C$3:$C$3999&gt;=feb!V$3)),lentry!$D$3:$D$3999),IF(WEEKDAY(feb!V$3,1)=1,"WO","P"))</f>
        <v>P</v>
      </c>
      <c r="W19" s="4" t="str">
        <f>IFERROR(LOOKUP(2,1/((lentry!$A$3:$A$3999=feb!$A19)*(lentry!$B$3:$B$3999&lt;=feb!W$3)*(lentry!$C$3:$C$3999&gt;=feb!W$3)),lentry!$D$3:$D$3999),IF(WEEKDAY(feb!W$3,1)=1,"WO","P"))</f>
        <v>P</v>
      </c>
      <c r="X19" s="4" t="str">
        <f>IFERROR(LOOKUP(2,1/((lentry!$A$3:$A$3999=feb!$A19)*(lentry!$B$3:$B$3999&lt;=feb!X$3)*(lentry!$C$3:$C$3999&gt;=feb!X$3)),lentry!$D$3:$D$3999),IF(WEEKDAY(feb!X$3,1)=1,"WO","P"))</f>
        <v>P</v>
      </c>
      <c r="Y19" s="4" t="str">
        <f>IFERROR(LOOKUP(2,1/((lentry!$A$3:$A$3999=feb!$A19)*(lentry!$B$3:$B$3999&lt;=feb!Y$3)*(lentry!$C$3:$C$3999&gt;=feb!Y$3)),lentry!$D$3:$D$3999),IF(WEEKDAY(feb!Y$3,1)=1,"WO","P"))</f>
        <v>P</v>
      </c>
      <c r="Z19" s="4" t="str">
        <f>IFERROR(LOOKUP(2,1/((lentry!$A$3:$A$3999=feb!$A19)*(lentry!$B$3:$B$3999&lt;=feb!Z$3)*(lentry!$C$3:$C$3999&gt;=feb!Z$3)),lentry!$D$3:$D$3999),IF(WEEKDAY(feb!Z$3,1)=1,"WO","P"))</f>
        <v>P</v>
      </c>
      <c r="AA19" s="4" t="str">
        <f>IFERROR(LOOKUP(2,1/((lentry!$A$3:$A$3999=feb!$A19)*(lentry!$B$3:$B$3999&lt;=feb!AA$3)*(lentry!$C$3:$C$3999&gt;=feb!AA$3)),lentry!$D$3:$D$3999),IF(WEEKDAY(feb!AA$3,1)=1,"WO","P"))</f>
        <v>WO</v>
      </c>
      <c r="AB19" s="4" t="str">
        <f>IFERROR(LOOKUP(2,1/((lentry!$A$3:$A$3999=feb!$A19)*(lentry!$B$3:$B$3999&lt;=feb!AB$3)*(lentry!$C$3:$C$3999&gt;=feb!AB$3)),lentry!$D$3:$D$3999),IF(WEEKDAY(feb!AB$3,1)=1,"WO","P"))</f>
        <v>P</v>
      </c>
      <c r="AC19" s="4" t="str">
        <f>IFERROR(LOOKUP(2,1/((lentry!$A$3:$A$3999=feb!$A19)*(lentry!$B$3:$B$3999&lt;=feb!AC$3)*(lentry!$C$3:$C$3999&gt;=feb!AC$3)),lentry!$D$3:$D$3999),IF(WEEKDAY(feb!AC$3,1)=1,"WO","P"))</f>
        <v>P</v>
      </c>
      <c r="AD19" s="4" t="str">
        <f>IFERROR(LOOKUP(2,1/((lentry!$A$3:$A$3999=feb!$A19)*(lentry!$B$3:$B$3999&lt;=feb!AD$3)*(lentry!$C$3:$C$3999&gt;=feb!AD$3)),lentry!$D$3:$D$3999),IF(WEEKDAY(feb!AD$3,1)=1,"WO","P"))</f>
        <v>P</v>
      </c>
      <c r="AE19" s="4" t="str">
        <f>IFERROR(LOOKUP(2,1/((lentry!$A$3:$A$3999=feb!$A19)*(lentry!$B$3:$B$3999&lt;=feb!AE$3)*(lentry!$C$3:$C$3999&gt;=feb!AE$3)),lentry!$D$3:$D$3999),IF(WEEKDAY(feb!AE$3,1)=1,"WO","P"))</f>
        <v>P</v>
      </c>
      <c r="AF19" s="4" t="str">
        <f>IFERROR(LOOKUP(2,1/((lentry!$A$3:$A$3999=feb!$A19)*(lentry!$B$3:$B$3999&lt;=feb!AF$3)*(lentry!$C$3:$C$3999&gt;=feb!AF$3)),lentry!$D$3:$D$3999),IF(WEEKDAY(feb!AF$3,1)=1,"WO","P"))</f>
        <v>P</v>
      </c>
      <c r="AG19" s="4" t="str">
        <f>IFERROR(LOOKUP(2,1/((lentry!$A$3:$A$3999=feb!$A19)*(lentry!$B$3:$B$3999&lt;=feb!AG$3)*(lentry!$C$3:$C$3999&gt;=feb!AG$3)),lentry!$D$3:$D$3999),IF(WEEKDAY(feb!AG$3,1)=1,"WO","P"))</f>
        <v>P</v>
      </c>
      <c r="AH19" s="4">
        <f t="shared" si="3"/>
        <v>3</v>
      </c>
      <c r="AI19" s="4">
        <f t="shared" si="4"/>
        <v>1</v>
      </c>
      <c r="AJ19" s="4">
        <f t="shared" si="5"/>
        <v>0</v>
      </c>
      <c r="AK19" s="4">
        <f t="shared" si="6"/>
        <v>0</v>
      </c>
      <c r="AL19" s="4">
        <f t="shared" si="7"/>
        <v>0</v>
      </c>
      <c r="AM19" s="4">
        <f t="shared" si="8"/>
        <v>0</v>
      </c>
      <c r="AN19" s="4">
        <f t="shared" si="9"/>
        <v>0</v>
      </c>
      <c r="AO19" s="4">
        <f t="shared" si="10"/>
        <v>0</v>
      </c>
      <c r="AP19" s="4">
        <f t="shared" si="11"/>
        <v>24</v>
      </c>
      <c r="AQ19" s="4">
        <f t="shared" si="2"/>
        <v>28</v>
      </c>
      <c r="AR19" s="4">
        <f t="shared" si="12"/>
        <v>28</v>
      </c>
    </row>
    <row r="20" spans="1:44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IFERROR(LOOKUP(2,1/((lentry!$A$3:$A$3999=feb!$A20)*(lentry!$B$3:$B$3999&lt;=feb!F$3)*(lentry!$C$3:$C$3999&gt;=feb!F$3)),lentry!$D$3:$D$3999),IF(WEEKDAY(feb!F$3,1)=1,"WO","P"))</f>
        <v>WO</v>
      </c>
      <c r="G20" s="4" t="str">
        <f>IFERROR(LOOKUP(2,1/((lentry!$A$3:$A$3999=feb!$A20)*(lentry!$B$3:$B$3999&lt;=feb!G$3)*(lentry!$C$3:$C$3999&gt;=feb!G$3)),lentry!$D$3:$D$3999),IF(WEEKDAY(feb!G$3,1)=1,"WO","P"))</f>
        <v>P</v>
      </c>
      <c r="H20" s="4" t="str">
        <f>IFERROR(LOOKUP(2,1/((lentry!$A$3:$A$3999=feb!$A20)*(lentry!$B$3:$B$3999&lt;=feb!H$3)*(lentry!$C$3:$C$3999&gt;=feb!H$3)),lentry!$D$3:$D$3999),IF(WEEKDAY(feb!H$3,1)=1,"WO","P"))</f>
        <v>P</v>
      </c>
      <c r="I20" s="4" t="str">
        <f>IFERROR(LOOKUP(2,1/((lentry!$A$3:$A$3999=feb!$A20)*(lentry!$B$3:$B$3999&lt;=feb!I$3)*(lentry!$C$3:$C$3999&gt;=feb!I$3)),lentry!$D$3:$D$3999),IF(WEEKDAY(feb!I$3,1)=1,"WO","P"))</f>
        <v>P</v>
      </c>
      <c r="J20" s="4" t="str">
        <f>IFERROR(LOOKUP(2,1/((lentry!$A$3:$A$3999=feb!$A20)*(lentry!$B$3:$B$3999&lt;=feb!J$3)*(lentry!$C$3:$C$3999&gt;=feb!J$3)),lentry!$D$3:$D$3999),IF(WEEKDAY(feb!J$3,1)=1,"WO","P"))</f>
        <v>P</v>
      </c>
      <c r="K20" s="4" t="str">
        <f>IFERROR(LOOKUP(2,1/((lentry!$A$3:$A$3999=feb!$A20)*(lentry!$B$3:$B$3999&lt;=feb!K$3)*(lentry!$C$3:$C$3999&gt;=feb!K$3)),lentry!$D$3:$D$3999),IF(WEEKDAY(feb!K$3,1)=1,"WO","P"))</f>
        <v>P</v>
      </c>
      <c r="L20" s="4" t="str">
        <f>IFERROR(LOOKUP(2,1/((lentry!$A$3:$A$3999=feb!$A20)*(lentry!$B$3:$B$3999&lt;=feb!L$3)*(lentry!$C$3:$C$3999&gt;=feb!L$3)),lentry!$D$3:$D$3999),IF(WEEKDAY(feb!L$3,1)=1,"WO","P"))</f>
        <v>P</v>
      </c>
      <c r="M20" s="4" t="str">
        <f>IFERROR(LOOKUP(2,1/((lentry!$A$3:$A$3999=feb!$A20)*(lentry!$B$3:$B$3999&lt;=feb!M$3)*(lentry!$C$3:$C$3999&gt;=feb!M$3)),lentry!$D$3:$D$3999),IF(WEEKDAY(feb!M$3,1)=1,"WO","P"))</f>
        <v>WO</v>
      </c>
      <c r="N20" s="4" t="str">
        <f>IFERROR(LOOKUP(2,1/((lentry!$A$3:$A$3999=feb!$A20)*(lentry!$B$3:$B$3999&lt;=feb!N$3)*(lentry!$C$3:$C$3999&gt;=feb!N$3)),lentry!$D$3:$D$3999),IF(WEEKDAY(feb!N$3,1)=1,"WO","P"))</f>
        <v>P</v>
      </c>
      <c r="O20" s="4" t="str">
        <f>IFERROR(LOOKUP(2,1/((lentry!$A$3:$A$3999=feb!$A20)*(lentry!$B$3:$B$3999&lt;=feb!O$3)*(lentry!$C$3:$C$3999&gt;=feb!O$3)),lentry!$D$3:$D$3999),IF(WEEKDAY(feb!O$3,1)=1,"WO","P"))</f>
        <v>P</v>
      </c>
      <c r="P20" s="4" t="str">
        <f>IFERROR(LOOKUP(2,1/((lentry!$A$3:$A$3999=feb!$A20)*(lentry!$B$3:$B$3999&lt;=feb!P$3)*(lentry!$C$3:$C$3999&gt;=feb!P$3)),lentry!$D$3:$D$3999),IF(WEEKDAY(feb!P$3,1)=1,"WO","P"))</f>
        <v>P</v>
      </c>
      <c r="Q20" s="4" t="str">
        <f>IFERROR(LOOKUP(2,1/((lentry!$A$3:$A$3999=feb!$A20)*(lentry!$B$3:$B$3999&lt;=feb!Q$3)*(lentry!$C$3:$C$3999&gt;=feb!Q$3)),lentry!$D$3:$D$3999),IF(WEEKDAY(feb!Q$3,1)=1,"WO","P"))</f>
        <v>P</v>
      </c>
      <c r="R20" s="4" t="str">
        <f>IFERROR(LOOKUP(2,1/((lentry!$A$3:$A$3999=feb!$A20)*(lentry!$B$3:$B$3999&lt;=feb!R$3)*(lentry!$C$3:$C$3999&gt;=feb!R$3)),lentry!$D$3:$D$3999),IF(WEEKDAY(feb!R$3,1)=1,"WO","P"))</f>
        <v>P</v>
      </c>
      <c r="S20" s="4" t="str">
        <f>IFERROR(LOOKUP(2,1/((lentry!$A$3:$A$3999=feb!$A20)*(lentry!$B$3:$B$3999&lt;=feb!S$3)*(lentry!$C$3:$C$3999&gt;=feb!S$3)),lentry!$D$3:$D$3999),IF(WEEKDAY(feb!S$3,1)=1,"WO","P"))</f>
        <v>PL</v>
      </c>
      <c r="T20" s="4" t="s">
        <v>350</v>
      </c>
      <c r="U20" s="4" t="str">
        <f>IFERROR(LOOKUP(2,1/((lentry!$A$3:$A$3999=feb!$A20)*(lentry!$B$3:$B$3999&lt;=feb!U$3)*(lentry!$C$3:$C$3999&gt;=feb!U$3)),lentry!$D$3:$D$3999),IF(WEEKDAY(feb!U$3,1)=1,"WO","P"))</f>
        <v>P</v>
      </c>
      <c r="V20" s="4" t="str">
        <f>IFERROR(LOOKUP(2,1/((lentry!$A$3:$A$3999=feb!$A20)*(lentry!$B$3:$B$3999&lt;=feb!V$3)*(lentry!$C$3:$C$3999&gt;=feb!V$3)),lentry!$D$3:$D$3999),IF(WEEKDAY(feb!V$3,1)=1,"WO","P"))</f>
        <v>P</v>
      </c>
      <c r="W20" s="4" t="str">
        <f>IFERROR(LOOKUP(2,1/((lentry!$A$3:$A$3999=feb!$A20)*(lentry!$B$3:$B$3999&lt;=feb!W$3)*(lentry!$C$3:$C$3999&gt;=feb!W$3)),lentry!$D$3:$D$3999),IF(WEEKDAY(feb!W$3,1)=1,"WO","P"))</f>
        <v>P</v>
      </c>
      <c r="X20" s="4" t="str">
        <f>IFERROR(LOOKUP(2,1/((lentry!$A$3:$A$3999=feb!$A20)*(lentry!$B$3:$B$3999&lt;=feb!X$3)*(lentry!$C$3:$C$3999&gt;=feb!X$3)),lentry!$D$3:$D$3999),IF(WEEKDAY(feb!X$3,1)=1,"WO","P"))</f>
        <v>P</v>
      </c>
      <c r="Y20" s="4" t="str">
        <f>IFERROR(LOOKUP(2,1/((lentry!$A$3:$A$3999=feb!$A20)*(lentry!$B$3:$B$3999&lt;=feb!Y$3)*(lentry!$C$3:$C$3999&gt;=feb!Y$3)),lentry!$D$3:$D$3999),IF(WEEKDAY(feb!Y$3,1)=1,"WO","P"))</f>
        <v>P</v>
      </c>
      <c r="Z20" s="4" t="str">
        <f>IFERROR(LOOKUP(2,1/((lentry!$A$3:$A$3999=feb!$A20)*(lentry!$B$3:$B$3999&lt;=feb!Z$3)*(lentry!$C$3:$C$3999&gt;=feb!Z$3)),lentry!$D$3:$D$3999),IF(WEEKDAY(feb!Z$3,1)=1,"WO","P"))</f>
        <v>P</v>
      </c>
      <c r="AA20" s="4" t="str">
        <f>IFERROR(LOOKUP(2,1/((lentry!$A$3:$A$3999=feb!$A20)*(lentry!$B$3:$B$3999&lt;=feb!AA$3)*(lentry!$C$3:$C$3999&gt;=feb!AA$3)),lentry!$D$3:$D$3999),IF(WEEKDAY(feb!AA$3,1)=1,"WO","P"))</f>
        <v>WO</v>
      </c>
      <c r="AB20" s="4" t="str">
        <f>IFERROR(LOOKUP(2,1/((lentry!$A$3:$A$3999=feb!$A20)*(lentry!$B$3:$B$3999&lt;=feb!AB$3)*(lentry!$C$3:$C$3999&gt;=feb!AB$3)),lentry!$D$3:$D$3999),IF(WEEKDAY(feb!AB$3,1)=1,"WO","P"))</f>
        <v>P</v>
      </c>
      <c r="AC20" s="4" t="str">
        <f>IFERROR(LOOKUP(2,1/((lentry!$A$3:$A$3999=feb!$A20)*(lentry!$B$3:$B$3999&lt;=feb!AC$3)*(lentry!$C$3:$C$3999&gt;=feb!AC$3)),lentry!$D$3:$D$3999),IF(WEEKDAY(feb!AC$3,1)=1,"WO","P"))</f>
        <v>P</v>
      </c>
      <c r="AD20" s="4" t="s">
        <v>539</v>
      </c>
      <c r="AE20" s="4" t="str">
        <f>IFERROR(LOOKUP(2,1/((lentry!$A$3:$A$3999=feb!$A20)*(lentry!$B$3:$B$3999&lt;=feb!AE$3)*(lentry!$C$3:$C$3999&gt;=feb!AE$3)),lentry!$D$3:$D$3999),IF(WEEKDAY(feb!AE$3,1)=1,"WO","P"))</f>
        <v>P</v>
      </c>
      <c r="AF20" s="4" t="str">
        <f>IFERROR(LOOKUP(2,1/((lentry!$A$3:$A$3999=feb!$A20)*(lentry!$B$3:$B$3999&lt;=feb!AF$3)*(lentry!$C$3:$C$3999&gt;=feb!AF$3)),lentry!$D$3:$D$3999),IF(WEEKDAY(feb!AF$3,1)=1,"WO","P"))</f>
        <v>P</v>
      </c>
      <c r="AG20" s="4" t="str">
        <f>IFERROR(LOOKUP(2,1/((lentry!$A$3:$A$3999=feb!$A20)*(lentry!$B$3:$B$3999&lt;=feb!AG$3)*(lentry!$C$3:$C$3999&gt;=feb!AG$3)),lentry!$D$3:$D$3999),IF(WEEKDAY(feb!AG$3,1)=1,"WO","P"))</f>
        <v>P</v>
      </c>
      <c r="AH20" s="4">
        <f t="shared" si="3"/>
        <v>3</v>
      </c>
      <c r="AI20" s="4">
        <f t="shared" si="4"/>
        <v>1</v>
      </c>
      <c r="AJ20" s="4">
        <f t="shared" si="5"/>
        <v>1</v>
      </c>
      <c r="AK20" s="4">
        <f t="shared" si="6"/>
        <v>0</v>
      </c>
      <c r="AL20" s="4">
        <f t="shared" si="7"/>
        <v>0</v>
      </c>
      <c r="AM20" s="4">
        <f t="shared" si="8"/>
        <v>0</v>
      </c>
      <c r="AN20" s="4">
        <f t="shared" si="9"/>
        <v>0</v>
      </c>
      <c r="AO20" s="4">
        <f t="shared" si="10"/>
        <v>1</v>
      </c>
      <c r="AP20" s="4">
        <f t="shared" si="11"/>
        <v>22</v>
      </c>
      <c r="AQ20" s="4">
        <f t="shared" si="2"/>
        <v>28</v>
      </c>
      <c r="AR20" s="4">
        <f t="shared" si="12"/>
        <v>27</v>
      </c>
    </row>
    <row r="21" spans="1:44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IFERROR(LOOKUP(2,1/((lentry!$A$3:$A$3999=feb!$A21)*(lentry!$B$3:$B$3999&lt;=feb!F$3)*(lentry!$C$3:$C$3999&gt;=feb!F$3)),lentry!$D$3:$D$3999),IF(WEEKDAY(feb!F$3,1)=1,"WO","P"))</f>
        <v>WO</v>
      </c>
      <c r="G21" s="4" t="str">
        <f>IFERROR(LOOKUP(2,1/((lentry!$A$3:$A$3999=feb!$A21)*(lentry!$B$3:$B$3999&lt;=feb!G$3)*(lentry!$C$3:$C$3999&gt;=feb!G$3)),lentry!$D$3:$D$3999),IF(WEEKDAY(feb!G$3,1)=1,"WO","P"))</f>
        <v>P</v>
      </c>
      <c r="H21" s="4" t="str">
        <f>IFERROR(LOOKUP(2,1/((lentry!$A$3:$A$3999=feb!$A21)*(lentry!$B$3:$B$3999&lt;=feb!H$3)*(lentry!$C$3:$C$3999&gt;=feb!H$3)),lentry!$D$3:$D$3999),IF(WEEKDAY(feb!H$3,1)=1,"WO","P"))</f>
        <v>P</v>
      </c>
      <c r="I21" s="4" t="str">
        <f>IFERROR(LOOKUP(2,1/((lentry!$A$3:$A$3999=feb!$A21)*(lentry!$B$3:$B$3999&lt;=feb!I$3)*(lentry!$C$3:$C$3999&gt;=feb!I$3)),lentry!$D$3:$D$3999),IF(WEEKDAY(feb!I$3,1)=1,"WO","P"))</f>
        <v>P</v>
      </c>
      <c r="J21" s="4" t="str">
        <f>IFERROR(LOOKUP(2,1/((lentry!$A$3:$A$3999=feb!$A21)*(lentry!$B$3:$B$3999&lt;=feb!J$3)*(lentry!$C$3:$C$3999&gt;=feb!J$3)),lentry!$D$3:$D$3999),IF(WEEKDAY(feb!J$3,1)=1,"WO","P"))</f>
        <v>P</v>
      </c>
      <c r="K21" s="4" t="s">
        <v>539</v>
      </c>
      <c r="L21" s="4" t="str">
        <f>IFERROR(LOOKUP(2,1/((lentry!$A$3:$A$3999=feb!$A21)*(lentry!$B$3:$B$3999&lt;=feb!L$3)*(lentry!$C$3:$C$3999&gt;=feb!L$3)),lentry!$D$3:$D$3999),IF(WEEKDAY(feb!L$3,1)=1,"WO","P"))</f>
        <v>P</v>
      </c>
      <c r="M21" s="4" t="str">
        <f>IFERROR(LOOKUP(2,1/((lentry!$A$3:$A$3999=feb!$A21)*(lentry!$B$3:$B$3999&lt;=feb!M$3)*(lentry!$C$3:$C$3999&gt;=feb!M$3)),lentry!$D$3:$D$3999),IF(WEEKDAY(feb!M$3,1)=1,"WO","P"))</f>
        <v>WO</v>
      </c>
      <c r="N21" s="4" t="str">
        <f>IFERROR(LOOKUP(2,1/((lentry!$A$3:$A$3999=feb!$A21)*(lentry!$B$3:$B$3999&lt;=feb!N$3)*(lentry!$C$3:$C$3999&gt;=feb!N$3)),lentry!$D$3:$D$3999),IF(WEEKDAY(feb!N$3,1)=1,"WO","P"))</f>
        <v>P</v>
      </c>
      <c r="O21" s="4" t="str">
        <f>IFERROR(LOOKUP(2,1/((lentry!$A$3:$A$3999=feb!$A21)*(lentry!$B$3:$B$3999&lt;=feb!O$3)*(lentry!$C$3:$C$3999&gt;=feb!O$3)),lentry!$D$3:$D$3999),IF(WEEKDAY(feb!O$3,1)=1,"WO","P"))</f>
        <v>P</v>
      </c>
      <c r="P21" s="4" t="str">
        <f>IFERROR(LOOKUP(2,1/((lentry!$A$3:$A$3999=feb!$A21)*(lentry!$B$3:$B$3999&lt;=feb!P$3)*(lentry!$C$3:$C$3999&gt;=feb!P$3)),lentry!$D$3:$D$3999),IF(WEEKDAY(feb!P$3,1)=1,"WO","P"))</f>
        <v>P</v>
      </c>
      <c r="Q21" s="4" t="str">
        <f>IFERROR(LOOKUP(2,1/((lentry!$A$3:$A$3999=feb!$A21)*(lentry!$B$3:$B$3999&lt;=feb!Q$3)*(lentry!$C$3:$C$3999&gt;=feb!Q$3)),lentry!$D$3:$D$3999),IF(WEEKDAY(feb!Q$3,1)=1,"WO","P"))</f>
        <v>P</v>
      </c>
      <c r="R21" s="4" t="str">
        <f>IFERROR(LOOKUP(2,1/((lentry!$A$3:$A$3999=feb!$A21)*(lentry!$B$3:$B$3999&lt;=feb!R$3)*(lentry!$C$3:$C$3999&gt;=feb!R$3)),lentry!$D$3:$D$3999),IF(WEEKDAY(feb!R$3,1)=1,"WO","P"))</f>
        <v>P</v>
      </c>
      <c r="S21" s="4" t="str">
        <f>IFERROR(LOOKUP(2,1/((lentry!$A$3:$A$3999=feb!$A21)*(lentry!$B$3:$B$3999&lt;=feb!S$3)*(lentry!$C$3:$C$3999&gt;=feb!S$3)),lentry!$D$3:$D$3999),IF(WEEKDAY(feb!S$3,1)=1,"WO","P"))</f>
        <v>P</v>
      </c>
      <c r="T21" s="4" t="s">
        <v>350</v>
      </c>
      <c r="U21" s="4" t="str">
        <f>IFERROR(LOOKUP(2,1/((lentry!$A$3:$A$3999=feb!$A21)*(lentry!$B$3:$B$3999&lt;=feb!U$3)*(lentry!$C$3:$C$3999&gt;=feb!U$3)),lentry!$D$3:$D$3999),IF(WEEKDAY(feb!U$3,1)=1,"WO","P"))</f>
        <v>P</v>
      </c>
      <c r="V21" s="4" t="str">
        <f>IFERROR(LOOKUP(2,1/((lentry!$A$3:$A$3999=feb!$A21)*(lentry!$B$3:$B$3999&lt;=feb!V$3)*(lentry!$C$3:$C$3999&gt;=feb!V$3)),lentry!$D$3:$D$3999),IF(WEEKDAY(feb!V$3,1)=1,"WO","P"))</f>
        <v>P</v>
      </c>
      <c r="W21" s="4" t="str">
        <f>IFERROR(LOOKUP(2,1/((lentry!$A$3:$A$3999=feb!$A21)*(lentry!$B$3:$B$3999&lt;=feb!W$3)*(lentry!$C$3:$C$3999&gt;=feb!W$3)),lentry!$D$3:$D$3999),IF(WEEKDAY(feb!W$3,1)=1,"WO","P"))</f>
        <v>P</v>
      </c>
      <c r="X21" s="4" t="s">
        <v>539</v>
      </c>
      <c r="Y21" s="4" t="str">
        <f>IFERROR(LOOKUP(2,1/((lentry!$A$3:$A$3999=feb!$A21)*(lentry!$B$3:$B$3999&lt;=feb!Y$3)*(lentry!$C$3:$C$3999&gt;=feb!Y$3)),lentry!$D$3:$D$3999),IF(WEEKDAY(feb!Y$3,1)=1,"WO","P"))</f>
        <v>P</v>
      </c>
      <c r="Z21" s="4" t="str">
        <f>IFERROR(LOOKUP(2,1/((lentry!$A$3:$A$3999=feb!$A21)*(lentry!$B$3:$B$3999&lt;=feb!Z$3)*(lentry!$C$3:$C$3999&gt;=feb!Z$3)),lentry!$D$3:$D$3999),IF(WEEKDAY(feb!Z$3,1)=1,"WO","P"))</f>
        <v>P</v>
      </c>
      <c r="AA21" s="4" t="str">
        <f>IFERROR(LOOKUP(2,1/((lentry!$A$3:$A$3999=feb!$A21)*(lentry!$B$3:$B$3999&lt;=feb!AA$3)*(lentry!$C$3:$C$3999&gt;=feb!AA$3)),lentry!$D$3:$D$3999),IF(WEEKDAY(feb!AA$3,1)=1,"WO","P"))</f>
        <v>WO</v>
      </c>
      <c r="AB21" s="4" t="str">
        <f>IFERROR(LOOKUP(2,1/((lentry!$A$3:$A$3999=feb!$A21)*(lentry!$B$3:$B$3999&lt;=feb!AB$3)*(lentry!$C$3:$C$3999&gt;=feb!AB$3)),lentry!$D$3:$D$3999),IF(WEEKDAY(feb!AB$3,1)=1,"WO","P"))</f>
        <v>P</v>
      </c>
      <c r="AC21" s="4" t="str">
        <f>IFERROR(LOOKUP(2,1/((lentry!$A$3:$A$3999=feb!$A21)*(lentry!$B$3:$B$3999&lt;=feb!AC$3)*(lentry!$C$3:$C$3999&gt;=feb!AC$3)),lentry!$D$3:$D$3999),IF(WEEKDAY(feb!AC$3,1)=1,"WO","P"))</f>
        <v>P</v>
      </c>
      <c r="AD21" s="4" t="str">
        <f>IFERROR(LOOKUP(2,1/((lentry!$A$3:$A$3999=feb!$A21)*(lentry!$B$3:$B$3999&lt;=feb!AD$3)*(lentry!$C$3:$C$3999&gt;=feb!AD$3)),lentry!$D$3:$D$3999),IF(WEEKDAY(feb!AD$3,1)=1,"WO","P"))</f>
        <v>P</v>
      </c>
      <c r="AE21" s="4" t="str">
        <f>IFERROR(LOOKUP(2,1/((lentry!$A$3:$A$3999=feb!$A21)*(lentry!$B$3:$B$3999&lt;=feb!AE$3)*(lentry!$C$3:$C$3999&gt;=feb!AE$3)),lentry!$D$3:$D$3999),IF(WEEKDAY(feb!AE$3,1)=1,"WO","P"))</f>
        <v>P</v>
      </c>
      <c r="AF21" s="4" t="str">
        <f>IFERROR(LOOKUP(2,1/((lentry!$A$3:$A$3999=feb!$A21)*(lentry!$B$3:$B$3999&lt;=feb!AF$3)*(lentry!$C$3:$C$3999&gt;=feb!AF$3)),lentry!$D$3:$D$3999),IF(WEEKDAY(feb!AF$3,1)=1,"WO","P"))</f>
        <v>P</v>
      </c>
      <c r="AG21" s="4" t="str">
        <f>IFERROR(LOOKUP(2,1/((lentry!$A$3:$A$3999=feb!$A21)*(lentry!$B$3:$B$3999&lt;=feb!AG$3)*(lentry!$C$3:$C$3999&gt;=feb!AG$3)),lentry!$D$3:$D$3999),IF(WEEKDAY(feb!AG$3,1)=1,"WO","P"))</f>
        <v>P</v>
      </c>
      <c r="AH21" s="4">
        <f t="shared" si="3"/>
        <v>3</v>
      </c>
      <c r="AI21" s="4">
        <f t="shared" si="4"/>
        <v>1</v>
      </c>
      <c r="AJ21" s="4">
        <f t="shared" si="5"/>
        <v>0</v>
      </c>
      <c r="AK21" s="4">
        <f t="shared" si="6"/>
        <v>0</v>
      </c>
      <c r="AL21" s="4">
        <f t="shared" si="7"/>
        <v>0</v>
      </c>
      <c r="AM21" s="4">
        <f t="shared" si="8"/>
        <v>0</v>
      </c>
      <c r="AN21" s="4">
        <f t="shared" si="9"/>
        <v>0</v>
      </c>
      <c r="AO21" s="4">
        <f t="shared" si="10"/>
        <v>2</v>
      </c>
      <c r="AP21" s="4">
        <f t="shared" si="11"/>
        <v>22</v>
      </c>
      <c r="AQ21" s="4">
        <f t="shared" si="2"/>
        <v>28</v>
      </c>
      <c r="AR21" s="4">
        <f t="shared" si="12"/>
        <v>26</v>
      </c>
    </row>
    <row r="22" spans="1:44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IFERROR(LOOKUP(2,1/((lentry!$A$3:$A$3999=feb!$A22)*(lentry!$B$3:$B$3999&lt;=feb!F$3)*(lentry!$C$3:$C$3999&gt;=feb!F$3)),lentry!$D$3:$D$3999),IF(WEEKDAY(feb!F$3,1)=1,"WO","P"))</f>
        <v>WO</v>
      </c>
      <c r="G22" s="4" t="s">
        <v>539</v>
      </c>
      <c r="H22" s="4" t="str">
        <f>IFERROR(LOOKUP(2,1/((lentry!$A$3:$A$3999=feb!$A22)*(lentry!$B$3:$B$3999&lt;=feb!H$3)*(lentry!$C$3:$C$3999&gt;=feb!H$3)),lentry!$D$3:$D$3999),IF(WEEKDAY(feb!H$3,1)=1,"WO","P"))</f>
        <v>P</v>
      </c>
      <c r="I22" s="4" t="str">
        <f>IFERROR(LOOKUP(2,1/((lentry!$A$3:$A$3999=feb!$A22)*(lentry!$B$3:$B$3999&lt;=feb!I$3)*(lentry!$C$3:$C$3999&gt;=feb!I$3)),lentry!$D$3:$D$3999),IF(WEEKDAY(feb!I$3,1)=1,"WO","P"))</f>
        <v>P</v>
      </c>
      <c r="J22" s="4" t="str">
        <f>IFERROR(LOOKUP(2,1/((lentry!$A$3:$A$3999=feb!$A22)*(lentry!$B$3:$B$3999&lt;=feb!J$3)*(lentry!$C$3:$C$3999&gt;=feb!J$3)),lentry!$D$3:$D$3999),IF(WEEKDAY(feb!J$3,1)=1,"WO","P"))</f>
        <v>P</v>
      </c>
      <c r="K22" s="4" t="str">
        <f>IFERROR(LOOKUP(2,1/((lentry!$A$3:$A$3999=feb!$A22)*(lentry!$B$3:$B$3999&lt;=feb!K$3)*(lentry!$C$3:$C$3999&gt;=feb!K$3)),lentry!$D$3:$D$3999),IF(WEEKDAY(feb!K$3,1)=1,"WO","P"))</f>
        <v>P</v>
      </c>
      <c r="L22" s="4" t="str">
        <f>IFERROR(LOOKUP(2,1/((lentry!$A$3:$A$3999=feb!$A22)*(lentry!$B$3:$B$3999&lt;=feb!L$3)*(lentry!$C$3:$C$3999&gt;=feb!L$3)),lentry!$D$3:$D$3999),IF(WEEKDAY(feb!L$3,1)=1,"WO","P"))</f>
        <v>P</v>
      </c>
      <c r="M22" s="4" t="str">
        <f>IFERROR(LOOKUP(2,1/((lentry!$A$3:$A$3999=feb!$A22)*(lentry!$B$3:$B$3999&lt;=feb!M$3)*(lentry!$C$3:$C$3999&gt;=feb!M$3)),lentry!$D$3:$D$3999),IF(WEEKDAY(feb!M$3,1)=1,"WO","P"))</f>
        <v>WO</v>
      </c>
      <c r="N22" s="4" t="str">
        <f>IFERROR(LOOKUP(2,1/((lentry!$A$3:$A$3999=feb!$A22)*(lentry!$B$3:$B$3999&lt;=feb!N$3)*(lentry!$C$3:$C$3999&gt;=feb!N$3)),lentry!$D$3:$D$3999),IF(WEEKDAY(feb!N$3,1)=1,"WO","P"))</f>
        <v>P</v>
      </c>
      <c r="O22" s="4" t="str">
        <f>IFERROR(LOOKUP(2,1/((lentry!$A$3:$A$3999=feb!$A22)*(lentry!$B$3:$B$3999&lt;=feb!O$3)*(lentry!$C$3:$C$3999&gt;=feb!O$3)),lentry!$D$3:$D$3999),IF(WEEKDAY(feb!O$3,1)=1,"WO","P"))</f>
        <v>P</v>
      </c>
      <c r="P22" s="4" t="str">
        <f>IFERROR(LOOKUP(2,1/((lentry!$A$3:$A$3999=feb!$A22)*(lentry!$B$3:$B$3999&lt;=feb!P$3)*(lentry!$C$3:$C$3999&gt;=feb!P$3)),lentry!$D$3:$D$3999),IF(WEEKDAY(feb!P$3,1)=1,"WO","P"))</f>
        <v>P</v>
      </c>
      <c r="Q22" s="4" t="str">
        <f>IFERROR(LOOKUP(2,1/((lentry!$A$3:$A$3999=feb!$A22)*(lentry!$B$3:$B$3999&lt;=feb!Q$3)*(lentry!$C$3:$C$3999&gt;=feb!Q$3)),lentry!$D$3:$D$3999),IF(WEEKDAY(feb!Q$3,1)=1,"WO","P"))</f>
        <v>P</v>
      </c>
      <c r="R22" s="4" t="str">
        <f>IFERROR(LOOKUP(2,1/((lentry!$A$3:$A$3999=feb!$A22)*(lentry!$B$3:$B$3999&lt;=feb!R$3)*(lentry!$C$3:$C$3999&gt;=feb!R$3)),lentry!$D$3:$D$3999),IF(WEEKDAY(feb!R$3,1)=1,"WO","P"))</f>
        <v>P</v>
      </c>
      <c r="S22" s="4" t="str">
        <f>IFERROR(LOOKUP(2,1/((lentry!$A$3:$A$3999=feb!$A22)*(lentry!$B$3:$B$3999&lt;=feb!S$3)*(lentry!$C$3:$C$3999&gt;=feb!S$3)),lentry!$D$3:$D$3999),IF(WEEKDAY(feb!S$3,1)=1,"WO","P"))</f>
        <v>P</v>
      </c>
      <c r="T22" s="4" t="s">
        <v>350</v>
      </c>
      <c r="U22" s="4" t="str">
        <f>IFERROR(LOOKUP(2,1/((lentry!$A$3:$A$3999=feb!$A22)*(lentry!$B$3:$B$3999&lt;=feb!U$3)*(lentry!$C$3:$C$3999&gt;=feb!U$3)),lentry!$D$3:$D$3999),IF(WEEKDAY(feb!U$3,1)=1,"WO","P"))</f>
        <v>P</v>
      </c>
      <c r="V22" s="4" t="str">
        <f>IFERROR(LOOKUP(2,1/((lentry!$A$3:$A$3999=feb!$A22)*(lentry!$B$3:$B$3999&lt;=feb!V$3)*(lentry!$C$3:$C$3999&gt;=feb!V$3)),lentry!$D$3:$D$3999),IF(WEEKDAY(feb!V$3,1)=1,"WO","P"))</f>
        <v>P</v>
      </c>
      <c r="W22" s="4" t="str">
        <f>IFERROR(LOOKUP(2,1/((lentry!$A$3:$A$3999=feb!$A22)*(lentry!$B$3:$B$3999&lt;=feb!W$3)*(lentry!$C$3:$C$3999&gt;=feb!W$3)),lentry!$D$3:$D$3999),IF(WEEKDAY(feb!W$3,1)=1,"WO","P"))</f>
        <v>P</v>
      </c>
      <c r="X22" s="4" t="str">
        <f>IFERROR(LOOKUP(2,1/((lentry!$A$3:$A$3999=feb!$A22)*(lentry!$B$3:$B$3999&lt;=feb!X$3)*(lentry!$C$3:$C$3999&gt;=feb!X$3)),lentry!$D$3:$D$3999),IF(WEEKDAY(feb!X$3,1)=1,"WO","P"))</f>
        <v>P</v>
      </c>
      <c r="Y22" s="4" t="str">
        <f>IFERROR(LOOKUP(2,1/((lentry!$A$3:$A$3999=feb!$A22)*(lentry!$B$3:$B$3999&lt;=feb!Y$3)*(lentry!$C$3:$C$3999&gt;=feb!Y$3)),lentry!$D$3:$D$3999),IF(WEEKDAY(feb!Y$3,1)=1,"WO","P"))</f>
        <v>P</v>
      </c>
      <c r="Z22" s="4" t="str">
        <f>IFERROR(LOOKUP(2,1/((lentry!$A$3:$A$3999=feb!$A22)*(lentry!$B$3:$B$3999&lt;=feb!Z$3)*(lentry!$C$3:$C$3999&gt;=feb!Z$3)),lentry!$D$3:$D$3999),IF(WEEKDAY(feb!Z$3,1)=1,"WO","P"))</f>
        <v>P</v>
      </c>
      <c r="AA22" s="4" t="str">
        <f>IFERROR(LOOKUP(2,1/((lentry!$A$3:$A$3999=feb!$A22)*(lentry!$B$3:$B$3999&lt;=feb!AA$3)*(lentry!$C$3:$C$3999&gt;=feb!AA$3)),lentry!$D$3:$D$3999),IF(WEEKDAY(feb!AA$3,1)=1,"WO","P"))</f>
        <v>WO</v>
      </c>
      <c r="AB22" s="4" t="str">
        <f>IFERROR(LOOKUP(2,1/((lentry!$A$3:$A$3999=feb!$A22)*(lentry!$B$3:$B$3999&lt;=feb!AB$3)*(lentry!$C$3:$C$3999&gt;=feb!AB$3)),lentry!$D$3:$D$3999),IF(WEEKDAY(feb!AB$3,1)=1,"WO","P"))</f>
        <v>P</v>
      </c>
      <c r="AC22" s="4" t="str">
        <f>IFERROR(LOOKUP(2,1/((lentry!$A$3:$A$3999=feb!$A22)*(lentry!$B$3:$B$3999&lt;=feb!AC$3)*(lentry!$C$3:$C$3999&gt;=feb!AC$3)),lentry!$D$3:$D$3999),IF(WEEKDAY(feb!AC$3,1)=1,"WO","P"))</f>
        <v>P</v>
      </c>
      <c r="AD22" s="4" t="str">
        <f>IFERROR(LOOKUP(2,1/((lentry!$A$3:$A$3999=feb!$A22)*(lentry!$B$3:$B$3999&lt;=feb!AD$3)*(lentry!$C$3:$C$3999&gt;=feb!AD$3)),lentry!$D$3:$D$3999),IF(WEEKDAY(feb!AD$3,1)=1,"WO","P"))</f>
        <v>P</v>
      </c>
      <c r="AE22" s="4" t="s">
        <v>539</v>
      </c>
      <c r="AF22" s="4" t="str">
        <f>IFERROR(LOOKUP(2,1/((lentry!$A$3:$A$3999=feb!$A22)*(lentry!$B$3:$B$3999&lt;=feb!AF$3)*(lentry!$C$3:$C$3999&gt;=feb!AF$3)),lentry!$D$3:$D$3999),IF(WEEKDAY(feb!AF$3,1)=1,"WO","P"))</f>
        <v>P</v>
      </c>
      <c r="AG22" s="4" t="str">
        <f>IFERROR(LOOKUP(2,1/((lentry!$A$3:$A$3999=feb!$A22)*(lentry!$B$3:$B$3999&lt;=feb!AG$3)*(lentry!$C$3:$C$3999&gt;=feb!AG$3)),lentry!$D$3:$D$3999),IF(WEEKDAY(feb!AG$3,1)=1,"WO","P"))</f>
        <v>P</v>
      </c>
      <c r="AH22" s="4">
        <f t="shared" si="3"/>
        <v>3</v>
      </c>
      <c r="AI22" s="4">
        <f t="shared" si="4"/>
        <v>1</v>
      </c>
      <c r="AJ22" s="4">
        <f t="shared" si="5"/>
        <v>0</v>
      </c>
      <c r="AK22" s="4">
        <f t="shared" si="6"/>
        <v>0</v>
      </c>
      <c r="AL22" s="4">
        <f t="shared" si="7"/>
        <v>0</v>
      </c>
      <c r="AM22" s="4">
        <f t="shared" si="8"/>
        <v>0</v>
      </c>
      <c r="AN22" s="4">
        <f t="shared" si="9"/>
        <v>0</v>
      </c>
      <c r="AO22" s="4">
        <f t="shared" si="10"/>
        <v>2</v>
      </c>
      <c r="AP22" s="4">
        <f t="shared" si="11"/>
        <v>22</v>
      </c>
      <c r="AQ22" s="4">
        <f t="shared" si="2"/>
        <v>28</v>
      </c>
      <c r="AR22" s="4">
        <f t="shared" si="12"/>
        <v>26</v>
      </c>
    </row>
    <row r="23" spans="1:44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IFERROR(LOOKUP(2,1/((lentry!$A$3:$A$3999=feb!$A23)*(lentry!$B$3:$B$3999&lt;=feb!F$3)*(lentry!$C$3:$C$3999&gt;=feb!F$3)),lentry!$D$3:$D$3999),IF(WEEKDAY(feb!F$3,1)=1,"WO","P"))</f>
        <v>WO</v>
      </c>
      <c r="G23" s="4" t="str">
        <f>IFERROR(LOOKUP(2,1/((lentry!$A$3:$A$3999=feb!$A23)*(lentry!$B$3:$B$3999&lt;=feb!G$3)*(lentry!$C$3:$C$3999&gt;=feb!G$3)),lentry!$D$3:$D$3999),IF(WEEKDAY(feb!G$3,1)=1,"WO","P"))</f>
        <v>P</v>
      </c>
      <c r="H23" s="4" t="str">
        <f>IFERROR(LOOKUP(2,1/((lentry!$A$3:$A$3999=feb!$A23)*(lentry!$B$3:$B$3999&lt;=feb!H$3)*(lentry!$C$3:$C$3999&gt;=feb!H$3)),lentry!$D$3:$D$3999),IF(WEEKDAY(feb!H$3,1)=1,"WO","P"))</f>
        <v>P</v>
      </c>
      <c r="I23" s="4" t="str">
        <f>IFERROR(LOOKUP(2,1/((lentry!$A$3:$A$3999=feb!$A23)*(lentry!$B$3:$B$3999&lt;=feb!I$3)*(lentry!$C$3:$C$3999&gt;=feb!I$3)),lentry!$D$3:$D$3999),IF(WEEKDAY(feb!I$3,1)=1,"WO","P"))</f>
        <v>P</v>
      </c>
      <c r="J23" s="4" t="str">
        <f>IFERROR(LOOKUP(2,1/((lentry!$A$3:$A$3999=feb!$A23)*(lentry!$B$3:$B$3999&lt;=feb!J$3)*(lentry!$C$3:$C$3999&gt;=feb!J$3)),lentry!$D$3:$D$3999),IF(WEEKDAY(feb!J$3,1)=1,"WO","P"))</f>
        <v>P</v>
      </c>
      <c r="K23" s="4" t="str">
        <f>IFERROR(LOOKUP(2,1/((lentry!$A$3:$A$3999=feb!$A23)*(lentry!$B$3:$B$3999&lt;=feb!K$3)*(lentry!$C$3:$C$3999&gt;=feb!K$3)),lentry!$D$3:$D$3999),IF(WEEKDAY(feb!K$3,1)=1,"WO","P"))</f>
        <v>P</v>
      </c>
      <c r="L23" s="4" t="str">
        <f>IFERROR(LOOKUP(2,1/((lentry!$A$3:$A$3999=feb!$A23)*(lentry!$B$3:$B$3999&lt;=feb!L$3)*(lentry!$C$3:$C$3999&gt;=feb!L$3)),lentry!$D$3:$D$3999),IF(WEEKDAY(feb!L$3,1)=1,"WO","P"))</f>
        <v>P</v>
      </c>
      <c r="M23" s="4" t="str">
        <f>IFERROR(LOOKUP(2,1/((lentry!$A$3:$A$3999=feb!$A23)*(lentry!$B$3:$B$3999&lt;=feb!M$3)*(lentry!$C$3:$C$3999&gt;=feb!M$3)),lentry!$D$3:$D$3999),IF(WEEKDAY(feb!M$3,1)=1,"WO","P"))</f>
        <v>WO</v>
      </c>
      <c r="N23" s="4" t="str">
        <f>IFERROR(LOOKUP(2,1/((lentry!$A$3:$A$3999=feb!$A23)*(lentry!$B$3:$B$3999&lt;=feb!N$3)*(lentry!$C$3:$C$3999&gt;=feb!N$3)),lentry!$D$3:$D$3999),IF(WEEKDAY(feb!N$3,1)=1,"WO","P"))</f>
        <v>P</v>
      </c>
      <c r="O23" s="4" t="str">
        <f>IFERROR(LOOKUP(2,1/((lentry!$A$3:$A$3999=feb!$A23)*(lentry!$B$3:$B$3999&lt;=feb!O$3)*(lentry!$C$3:$C$3999&gt;=feb!O$3)),lentry!$D$3:$D$3999),IF(WEEKDAY(feb!O$3,1)=1,"WO","P"))</f>
        <v>P</v>
      </c>
      <c r="P23" s="4" t="str">
        <f>IFERROR(LOOKUP(2,1/((lentry!$A$3:$A$3999=feb!$A23)*(lentry!$B$3:$B$3999&lt;=feb!P$3)*(lentry!$C$3:$C$3999&gt;=feb!P$3)),lentry!$D$3:$D$3999),IF(WEEKDAY(feb!P$3,1)=1,"WO","P"))</f>
        <v>P</v>
      </c>
      <c r="Q23" s="4" t="str">
        <f>IFERROR(LOOKUP(2,1/((lentry!$A$3:$A$3999=feb!$A23)*(lentry!$B$3:$B$3999&lt;=feb!Q$3)*(lentry!$C$3:$C$3999&gt;=feb!Q$3)),lentry!$D$3:$D$3999),IF(WEEKDAY(feb!Q$3,1)=1,"WO","P"))</f>
        <v>P</v>
      </c>
      <c r="R23" s="4" t="str">
        <f>IFERROR(LOOKUP(2,1/((lentry!$A$3:$A$3999=feb!$A23)*(lentry!$B$3:$B$3999&lt;=feb!R$3)*(lentry!$C$3:$C$3999&gt;=feb!R$3)),lentry!$D$3:$D$3999),IF(WEEKDAY(feb!R$3,1)=1,"WO","P"))</f>
        <v>P</v>
      </c>
      <c r="S23" s="4" t="str">
        <f>IFERROR(LOOKUP(2,1/((lentry!$A$3:$A$3999=feb!$A23)*(lentry!$B$3:$B$3999&lt;=feb!S$3)*(lentry!$C$3:$C$3999&gt;=feb!S$3)),lentry!$D$3:$D$3999),IF(WEEKDAY(feb!S$3,1)=1,"WO","P"))</f>
        <v>P</v>
      </c>
      <c r="T23" s="4" t="s">
        <v>350</v>
      </c>
      <c r="U23" s="4" t="s">
        <v>539</v>
      </c>
      <c r="V23" s="4" t="str">
        <f>IFERROR(LOOKUP(2,1/((lentry!$A$3:$A$3999=feb!$A23)*(lentry!$B$3:$B$3999&lt;=feb!V$3)*(lentry!$C$3:$C$3999&gt;=feb!V$3)),lentry!$D$3:$D$3999),IF(WEEKDAY(feb!V$3,1)=1,"WO","P"))</f>
        <v>P</v>
      </c>
      <c r="W23" s="4" t="str">
        <f>IFERROR(LOOKUP(2,1/((lentry!$A$3:$A$3999=feb!$A23)*(lentry!$B$3:$B$3999&lt;=feb!W$3)*(lentry!$C$3:$C$3999&gt;=feb!W$3)),lentry!$D$3:$D$3999),IF(WEEKDAY(feb!W$3,1)=1,"WO","P"))</f>
        <v>P</v>
      </c>
      <c r="X23" s="4" t="str">
        <f>IFERROR(LOOKUP(2,1/((lentry!$A$3:$A$3999=feb!$A23)*(lentry!$B$3:$B$3999&lt;=feb!X$3)*(lentry!$C$3:$C$3999&gt;=feb!X$3)),lentry!$D$3:$D$3999),IF(WEEKDAY(feb!X$3,1)=1,"WO","P"))</f>
        <v>P</v>
      </c>
      <c r="Y23" s="4" t="str">
        <f>IFERROR(LOOKUP(2,1/((lentry!$A$3:$A$3999=feb!$A23)*(lentry!$B$3:$B$3999&lt;=feb!Y$3)*(lentry!$C$3:$C$3999&gt;=feb!Y$3)),lentry!$D$3:$D$3999),IF(WEEKDAY(feb!Y$3,1)=1,"WO","P"))</f>
        <v>P</v>
      </c>
      <c r="Z23" s="4" t="str">
        <f>IFERROR(LOOKUP(2,1/((lentry!$A$3:$A$3999=feb!$A23)*(lentry!$B$3:$B$3999&lt;=feb!Z$3)*(lentry!$C$3:$C$3999&gt;=feb!Z$3)),lentry!$D$3:$D$3999),IF(WEEKDAY(feb!Z$3,1)=1,"WO","P"))</f>
        <v>P</v>
      </c>
      <c r="AA23" s="4" t="str">
        <f>IFERROR(LOOKUP(2,1/((lentry!$A$3:$A$3999=feb!$A23)*(lentry!$B$3:$B$3999&lt;=feb!AA$3)*(lentry!$C$3:$C$3999&gt;=feb!AA$3)),lentry!$D$3:$D$3999),IF(WEEKDAY(feb!AA$3,1)=1,"WO","P"))</f>
        <v>WO</v>
      </c>
      <c r="AB23" s="4" t="str">
        <f>IFERROR(LOOKUP(2,1/((lentry!$A$3:$A$3999=feb!$A23)*(lentry!$B$3:$B$3999&lt;=feb!AB$3)*(lentry!$C$3:$C$3999&gt;=feb!AB$3)),lentry!$D$3:$D$3999),IF(WEEKDAY(feb!AB$3,1)=1,"WO","P"))</f>
        <v>P</v>
      </c>
      <c r="AC23" s="4" t="str">
        <f>IFERROR(LOOKUP(2,1/((lentry!$A$3:$A$3999=feb!$A23)*(lentry!$B$3:$B$3999&lt;=feb!AC$3)*(lentry!$C$3:$C$3999&gt;=feb!AC$3)),lentry!$D$3:$D$3999),IF(WEEKDAY(feb!AC$3,1)=1,"WO","P"))</f>
        <v>P</v>
      </c>
      <c r="AD23" s="4" t="str">
        <f>IFERROR(LOOKUP(2,1/((lentry!$A$3:$A$3999=feb!$A23)*(lentry!$B$3:$B$3999&lt;=feb!AD$3)*(lentry!$C$3:$C$3999&gt;=feb!AD$3)),lentry!$D$3:$D$3999),IF(WEEKDAY(feb!AD$3,1)=1,"WO","P"))</f>
        <v>P</v>
      </c>
      <c r="AE23" s="4" t="str">
        <f>IFERROR(LOOKUP(2,1/((lentry!$A$3:$A$3999=feb!$A23)*(lentry!$B$3:$B$3999&lt;=feb!AE$3)*(lentry!$C$3:$C$3999&gt;=feb!AE$3)),lentry!$D$3:$D$3999),IF(WEEKDAY(feb!AE$3,1)=1,"WO","P"))</f>
        <v>P</v>
      </c>
      <c r="AF23" s="4" t="str">
        <f>IFERROR(LOOKUP(2,1/((lentry!$A$3:$A$3999=feb!$A23)*(lentry!$B$3:$B$3999&lt;=feb!AF$3)*(lentry!$C$3:$C$3999&gt;=feb!AF$3)),lentry!$D$3:$D$3999),IF(WEEKDAY(feb!AF$3,1)=1,"WO","P"))</f>
        <v>P</v>
      </c>
      <c r="AG23" s="4" t="str">
        <f>IFERROR(LOOKUP(2,1/((lentry!$A$3:$A$3999=feb!$A23)*(lentry!$B$3:$B$3999&lt;=feb!AG$3)*(lentry!$C$3:$C$3999&gt;=feb!AG$3)),lentry!$D$3:$D$3999),IF(WEEKDAY(feb!AG$3,1)=1,"WO","P"))</f>
        <v>P</v>
      </c>
      <c r="AH23" s="4">
        <f t="shared" si="3"/>
        <v>3</v>
      </c>
      <c r="AI23" s="4">
        <f t="shared" si="4"/>
        <v>1</v>
      </c>
      <c r="AJ23" s="4">
        <f t="shared" si="5"/>
        <v>0</v>
      </c>
      <c r="AK23" s="4">
        <f t="shared" si="6"/>
        <v>0</v>
      </c>
      <c r="AL23" s="4">
        <f t="shared" si="7"/>
        <v>0</v>
      </c>
      <c r="AM23" s="4">
        <f t="shared" si="8"/>
        <v>0</v>
      </c>
      <c r="AN23" s="4">
        <f t="shared" si="9"/>
        <v>0</v>
      </c>
      <c r="AO23" s="4">
        <f t="shared" si="10"/>
        <v>1</v>
      </c>
      <c r="AP23" s="4">
        <f t="shared" si="11"/>
        <v>23</v>
      </c>
      <c r="AQ23" s="4">
        <f t="shared" si="2"/>
        <v>28</v>
      </c>
      <c r="AR23" s="4">
        <f t="shared" si="12"/>
        <v>27</v>
      </c>
    </row>
    <row r="24" spans="1:44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IFERROR(LOOKUP(2,1/((lentry!$A$3:$A$3999=feb!$A24)*(lentry!$B$3:$B$3999&lt;=feb!F$3)*(lentry!$C$3:$C$3999&gt;=feb!F$3)),lentry!$D$3:$D$3999),IF(WEEKDAY(feb!F$3,1)=1,"WO","P"))</f>
        <v>WO</v>
      </c>
      <c r="G24" s="4" t="str">
        <f>IFERROR(LOOKUP(2,1/((lentry!$A$3:$A$3999=feb!$A24)*(lentry!$B$3:$B$3999&lt;=feb!G$3)*(lentry!$C$3:$C$3999&gt;=feb!G$3)),lentry!$D$3:$D$3999),IF(WEEKDAY(feb!G$3,1)=1,"WO","P"))</f>
        <v>P</v>
      </c>
      <c r="H24" s="4" t="str">
        <f>IFERROR(LOOKUP(2,1/((lentry!$A$3:$A$3999=feb!$A24)*(lentry!$B$3:$B$3999&lt;=feb!H$3)*(lentry!$C$3:$C$3999&gt;=feb!H$3)),lentry!$D$3:$D$3999),IF(WEEKDAY(feb!H$3,1)=1,"WO","P"))</f>
        <v>P</v>
      </c>
      <c r="I24" s="4" t="str">
        <f>IFERROR(LOOKUP(2,1/((lentry!$A$3:$A$3999=feb!$A24)*(lentry!$B$3:$B$3999&lt;=feb!I$3)*(lentry!$C$3:$C$3999&gt;=feb!I$3)),lentry!$D$3:$D$3999),IF(WEEKDAY(feb!I$3,1)=1,"WO","P"))</f>
        <v>P</v>
      </c>
      <c r="J24" s="4" t="s">
        <v>539</v>
      </c>
      <c r="K24" s="4" t="str">
        <f>IFERROR(LOOKUP(2,1/((lentry!$A$3:$A$3999=feb!$A24)*(lentry!$B$3:$B$3999&lt;=feb!K$3)*(lentry!$C$3:$C$3999&gt;=feb!K$3)),lentry!$D$3:$D$3999),IF(WEEKDAY(feb!K$3,1)=1,"WO","P"))</f>
        <v>P</v>
      </c>
      <c r="L24" s="4" t="str">
        <f>IFERROR(LOOKUP(2,1/((lentry!$A$3:$A$3999=feb!$A24)*(lentry!$B$3:$B$3999&lt;=feb!L$3)*(lentry!$C$3:$C$3999&gt;=feb!L$3)),lentry!$D$3:$D$3999),IF(WEEKDAY(feb!L$3,1)=1,"WO","P"))</f>
        <v>P</v>
      </c>
      <c r="M24" s="4" t="str">
        <f>IFERROR(LOOKUP(2,1/((lentry!$A$3:$A$3999=feb!$A24)*(lentry!$B$3:$B$3999&lt;=feb!M$3)*(lentry!$C$3:$C$3999&gt;=feb!M$3)),lentry!$D$3:$D$3999),IF(WEEKDAY(feb!M$3,1)=1,"WO","P"))</f>
        <v>WO</v>
      </c>
      <c r="N24" s="4" t="str">
        <f>IFERROR(LOOKUP(2,1/((lentry!$A$3:$A$3999=feb!$A24)*(lentry!$B$3:$B$3999&lt;=feb!N$3)*(lentry!$C$3:$C$3999&gt;=feb!N$3)),lentry!$D$3:$D$3999),IF(WEEKDAY(feb!N$3,1)=1,"WO","P"))</f>
        <v>P</v>
      </c>
      <c r="O24" s="4" t="str">
        <f>IFERROR(LOOKUP(2,1/((lentry!$A$3:$A$3999=feb!$A24)*(lentry!$B$3:$B$3999&lt;=feb!O$3)*(lentry!$C$3:$C$3999&gt;=feb!O$3)),lentry!$D$3:$D$3999),IF(WEEKDAY(feb!O$3,1)=1,"WO","P"))</f>
        <v>P</v>
      </c>
      <c r="P24" s="4" t="str">
        <f>IFERROR(LOOKUP(2,1/((lentry!$A$3:$A$3999=feb!$A24)*(lentry!$B$3:$B$3999&lt;=feb!P$3)*(lentry!$C$3:$C$3999&gt;=feb!P$3)),lentry!$D$3:$D$3999),IF(WEEKDAY(feb!P$3,1)=1,"WO","P"))</f>
        <v>P</v>
      </c>
      <c r="Q24" s="4" t="str">
        <f>IFERROR(LOOKUP(2,1/((lentry!$A$3:$A$3999=feb!$A24)*(lentry!$B$3:$B$3999&lt;=feb!Q$3)*(lentry!$C$3:$C$3999&gt;=feb!Q$3)),lentry!$D$3:$D$3999),IF(WEEKDAY(feb!Q$3,1)=1,"WO","P"))</f>
        <v>P</v>
      </c>
      <c r="R24" s="4" t="str">
        <f>IFERROR(LOOKUP(2,1/((lentry!$A$3:$A$3999=feb!$A24)*(lentry!$B$3:$B$3999&lt;=feb!R$3)*(lentry!$C$3:$C$3999&gt;=feb!R$3)),lentry!$D$3:$D$3999),IF(WEEKDAY(feb!R$3,1)=1,"WO","P"))</f>
        <v>P</v>
      </c>
      <c r="S24" s="4" t="str">
        <f>IFERROR(LOOKUP(2,1/((lentry!$A$3:$A$3999=feb!$A24)*(lentry!$B$3:$B$3999&lt;=feb!S$3)*(lentry!$C$3:$C$3999&gt;=feb!S$3)),lentry!$D$3:$D$3999),IF(WEEKDAY(feb!S$3,1)=1,"WO","P"))</f>
        <v>P</v>
      </c>
      <c r="T24" s="4" t="s">
        <v>350</v>
      </c>
      <c r="U24" s="4" t="str">
        <f>IFERROR(LOOKUP(2,1/((lentry!$A$3:$A$3999=feb!$A24)*(lentry!$B$3:$B$3999&lt;=feb!U$3)*(lentry!$C$3:$C$3999&gt;=feb!U$3)),lentry!$D$3:$D$3999),IF(WEEKDAY(feb!U$3,1)=1,"WO","P"))</f>
        <v>P</v>
      </c>
      <c r="V24" s="4" t="str">
        <f>IFERROR(LOOKUP(2,1/((lentry!$A$3:$A$3999=feb!$A24)*(lentry!$B$3:$B$3999&lt;=feb!V$3)*(lentry!$C$3:$C$3999&gt;=feb!V$3)),lentry!$D$3:$D$3999),IF(WEEKDAY(feb!V$3,1)=1,"WO","P"))</f>
        <v>P</v>
      </c>
      <c r="W24" s="4" t="str">
        <f>IFERROR(LOOKUP(2,1/((lentry!$A$3:$A$3999=feb!$A24)*(lentry!$B$3:$B$3999&lt;=feb!W$3)*(lentry!$C$3:$C$3999&gt;=feb!W$3)),lentry!$D$3:$D$3999),IF(WEEKDAY(feb!W$3,1)=1,"WO","P"))</f>
        <v>P</v>
      </c>
      <c r="X24" s="4" t="str">
        <f>IFERROR(LOOKUP(2,1/((lentry!$A$3:$A$3999=feb!$A24)*(lentry!$B$3:$B$3999&lt;=feb!X$3)*(lentry!$C$3:$C$3999&gt;=feb!X$3)),lentry!$D$3:$D$3999),IF(WEEKDAY(feb!X$3,1)=1,"WO","P"))</f>
        <v>P</v>
      </c>
      <c r="Y24" s="4" t="s">
        <v>539</v>
      </c>
      <c r="Z24" s="4" t="str">
        <f>IFERROR(LOOKUP(2,1/((lentry!$A$3:$A$3999=feb!$A24)*(lentry!$B$3:$B$3999&lt;=feb!Z$3)*(lentry!$C$3:$C$3999&gt;=feb!Z$3)),lentry!$D$3:$D$3999),IF(WEEKDAY(feb!Z$3,1)=1,"WO","P"))</f>
        <v>P</v>
      </c>
      <c r="AA24" s="4" t="str">
        <f>IFERROR(LOOKUP(2,1/((lentry!$A$3:$A$3999=feb!$A24)*(lentry!$B$3:$B$3999&lt;=feb!AA$3)*(lentry!$C$3:$C$3999&gt;=feb!AA$3)),lentry!$D$3:$D$3999),IF(WEEKDAY(feb!AA$3,1)=1,"WO","P"))</f>
        <v>WO</v>
      </c>
      <c r="AB24" s="4" t="str">
        <f>IFERROR(LOOKUP(2,1/((lentry!$A$3:$A$3999=feb!$A24)*(lentry!$B$3:$B$3999&lt;=feb!AB$3)*(lentry!$C$3:$C$3999&gt;=feb!AB$3)),lentry!$D$3:$D$3999),IF(WEEKDAY(feb!AB$3,1)=1,"WO","P"))</f>
        <v>P</v>
      </c>
      <c r="AC24" s="4" t="str">
        <f>IFERROR(LOOKUP(2,1/((lentry!$A$3:$A$3999=feb!$A24)*(lentry!$B$3:$B$3999&lt;=feb!AC$3)*(lentry!$C$3:$C$3999&gt;=feb!AC$3)),lentry!$D$3:$D$3999),IF(WEEKDAY(feb!AC$3,1)=1,"WO","P"))</f>
        <v>P</v>
      </c>
      <c r="AD24" s="4" t="str">
        <f>IFERROR(LOOKUP(2,1/((lentry!$A$3:$A$3999=feb!$A24)*(lentry!$B$3:$B$3999&lt;=feb!AD$3)*(lentry!$C$3:$C$3999&gt;=feb!AD$3)),lentry!$D$3:$D$3999),IF(WEEKDAY(feb!AD$3,1)=1,"WO","P"))</f>
        <v>P</v>
      </c>
      <c r="AE24" s="4" t="str">
        <f>IFERROR(LOOKUP(2,1/((lentry!$A$3:$A$3999=feb!$A24)*(lentry!$B$3:$B$3999&lt;=feb!AE$3)*(lentry!$C$3:$C$3999&gt;=feb!AE$3)),lentry!$D$3:$D$3999),IF(WEEKDAY(feb!AE$3,1)=1,"WO","P"))</f>
        <v>P</v>
      </c>
      <c r="AF24" s="4" t="str">
        <f>IFERROR(LOOKUP(2,1/((lentry!$A$3:$A$3999=feb!$A24)*(lentry!$B$3:$B$3999&lt;=feb!AF$3)*(lentry!$C$3:$C$3999&gt;=feb!AF$3)),lentry!$D$3:$D$3999),IF(WEEKDAY(feb!AF$3,1)=1,"WO","P"))</f>
        <v>P</v>
      </c>
      <c r="AG24" s="4" t="str">
        <f>IFERROR(LOOKUP(2,1/((lentry!$A$3:$A$3999=feb!$A24)*(lentry!$B$3:$B$3999&lt;=feb!AG$3)*(lentry!$C$3:$C$3999&gt;=feb!AG$3)),lentry!$D$3:$D$3999),IF(WEEKDAY(feb!AG$3,1)=1,"WO","P"))</f>
        <v>P</v>
      </c>
      <c r="AH24" s="4">
        <f t="shared" si="3"/>
        <v>3</v>
      </c>
      <c r="AI24" s="4">
        <f t="shared" si="4"/>
        <v>1</v>
      </c>
      <c r="AJ24" s="4">
        <f t="shared" si="5"/>
        <v>0</v>
      </c>
      <c r="AK24" s="4">
        <f t="shared" si="6"/>
        <v>0</v>
      </c>
      <c r="AL24" s="4">
        <f t="shared" si="7"/>
        <v>0</v>
      </c>
      <c r="AM24" s="4">
        <f t="shared" si="8"/>
        <v>0</v>
      </c>
      <c r="AN24" s="4">
        <f t="shared" si="9"/>
        <v>0</v>
      </c>
      <c r="AO24" s="4">
        <f t="shared" si="10"/>
        <v>2</v>
      </c>
      <c r="AP24" s="4">
        <f t="shared" si="11"/>
        <v>22</v>
      </c>
      <c r="AQ24" s="4">
        <f t="shared" si="2"/>
        <v>28</v>
      </c>
      <c r="AR24" s="4">
        <f t="shared" si="12"/>
        <v>26</v>
      </c>
    </row>
    <row r="25" spans="1:44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IFERROR(LOOKUP(2,1/((lentry!$A$3:$A$3999=feb!$A25)*(lentry!$B$3:$B$3999&lt;=feb!F$3)*(lentry!$C$3:$C$3999&gt;=feb!F$3)),lentry!$D$3:$D$3999),IF(WEEKDAY(feb!F$3,1)=1,"WO","P"))</f>
        <v>WO</v>
      </c>
      <c r="G25" s="4" t="str">
        <f>IFERROR(LOOKUP(2,1/((lentry!$A$3:$A$3999=feb!$A25)*(lentry!$B$3:$B$3999&lt;=feb!G$3)*(lentry!$C$3:$C$3999&gt;=feb!G$3)),lentry!$D$3:$D$3999),IF(WEEKDAY(feb!G$3,1)=1,"WO","P"))</f>
        <v>P</v>
      </c>
      <c r="H25" s="4" t="str">
        <f>IFERROR(LOOKUP(2,1/((lentry!$A$3:$A$3999=feb!$A25)*(lentry!$B$3:$B$3999&lt;=feb!H$3)*(lentry!$C$3:$C$3999&gt;=feb!H$3)),lentry!$D$3:$D$3999),IF(WEEKDAY(feb!H$3,1)=1,"WO","P"))</f>
        <v>P</v>
      </c>
      <c r="I25" s="4" t="str">
        <f>IFERROR(LOOKUP(2,1/((lentry!$A$3:$A$3999=feb!$A25)*(lentry!$B$3:$B$3999&lt;=feb!I$3)*(lentry!$C$3:$C$3999&gt;=feb!I$3)),lentry!$D$3:$D$3999),IF(WEEKDAY(feb!I$3,1)=1,"WO","P"))</f>
        <v>P</v>
      </c>
      <c r="J25" s="4" t="str">
        <f>IFERROR(LOOKUP(2,1/((lentry!$A$3:$A$3999=feb!$A25)*(lentry!$B$3:$B$3999&lt;=feb!J$3)*(lentry!$C$3:$C$3999&gt;=feb!J$3)),lentry!$D$3:$D$3999),IF(WEEKDAY(feb!J$3,1)=1,"WO","P"))</f>
        <v>P</v>
      </c>
      <c r="K25" s="4" t="str">
        <f>IFERROR(LOOKUP(2,1/((lentry!$A$3:$A$3999=feb!$A25)*(lentry!$B$3:$B$3999&lt;=feb!K$3)*(lentry!$C$3:$C$3999&gt;=feb!K$3)),lentry!$D$3:$D$3999),IF(WEEKDAY(feb!K$3,1)=1,"WO","P"))</f>
        <v>P</v>
      </c>
      <c r="L25" s="4" t="str">
        <f>IFERROR(LOOKUP(2,1/((lentry!$A$3:$A$3999=feb!$A25)*(lentry!$B$3:$B$3999&lt;=feb!L$3)*(lentry!$C$3:$C$3999&gt;=feb!L$3)),lentry!$D$3:$D$3999),IF(WEEKDAY(feb!L$3,1)=1,"WO","P"))</f>
        <v>PL</v>
      </c>
      <c r="M25" s="4" t="str">
        <f>IFERROR(LOOKUP(2,1/((lentry!$A$3:$A$3999=feb!$A25)*(lentry!$B$3:$B$3999&lt;=feb!M$3)*(lentry!$C$3:$C$3999&gt;=feb!M$3)),lentry!$D$3:$D$3999),IF(WEEKDAY(feb!M$3,1)=1,"WO","P"))</f>
        <v>WO</v>
      </c>
      <c r="N25" s="4" t="str">
        <f>IFERROR(LOOKUP(2,1/((lentry!$A$3:$A$3999=feb!$A25)*(lentry!$B$3:$B$3999&lt;=feb!N$3)*(lentry!$C$3:$C$3999&gt;=feb!N$3)),lentry!$D$3:$D$3999),IF(WEEKDAY(feb!N$3,1)=1,"WO","P"))</f>
        <v>P</v>
      </c>
      <c r="O25" s="4" t="str">
        <f>IFERROR(LOOKUP(2,1/((lentry!$A$3:$A$3999=feb!$A25)*(lentry!$B$3:$B$3999&lt;=feb!O$3)*(lentry!$C$3:$C$3999&gt;=feb!O$3)),lentry!$D$3:$D$3999),IF(WEEKDAY(feb!O$3,1)=1,"WO","P"))</f>
        <v>P</v>
      </c>
      <c r="P25" s="4" t="s">
        <v>539</v>
      </c>
      <c r="Q25" s="4" t="str">
        <f>IFERROR(LOOKUP(2,1/((lentry!$A$3:$A$3999=feb!$A25)*(lentry!$B$3:$B$3999&lt;=feb!Q$3)*(lentry!$C$3:$C$3999&gt;=feb!Q$3)),lentry!$D$3:$D$3999),IF(WEEKDAY(feb!Q$3,1)=1,"WO","P"))</f>
        <v>P</v>
      </c>
      <c r="R25" s="4" t="str">
        <f>IFERROR(LOOKUP(2,1/((lentry!$A$3:$A$3999=feb!$A25)*(lentry!$B$3:$B$3999&lt;=feb!R$3)*(lentry!$C$3:$C$3999&gt;=feb!R$3)),lentry!$D$3:$D$3999),IF(WEEKDAY(feb!R$3,1)=1,"WO","P"))</f>
        <v>P</v>
      </c>
      <c r="S25" s="4" t="str">
        <f>IFERROR(LOOKUP(2,1/((lentry!$A$3:$A$3999=feb!$A25)*(lentry!$B$3:$B$3999&lt;=feb!S$3)*(lentry!$C$3:$C$3999&gt;=feb!S$3)),lentry!$D$3:$D$3999),IF(WEEKDAY(feb!S$3,1)=1,"WO","P"))</f>
        <v>P</v>
      </c>
      <c r="T25" s="4" t="s">
        <v>350</v>
      </c>
      <c r="U25" s="4" t="str">
        <f>IFERROR(LOOKUP(2,1/((lentry!$A$3:$A$3999=feb!$A25)*(lentry!$B$3:$B$3999&lt;=feb!U$3)*(lentry!$C$3:$C$3999&gt;=feb!U$3)),lentry!$D$3:$D$3999),IF(WEEKDAY(feb!U$3,1)=1,"WO","P"))</f>
        <v>P</v>
      </c>
      <c r="V25" s="4" t="str">
        <f>IFERROR(LOOKUP(2,1/((lentry!$A$3:$A$3999=feb!$A25)*(lentry!$B$3:$B$3999&lt;=feb!V$3)*(lentry!$C$3:$C$3999&gt;=feb!V$3)),lentry!$D$3:$D$3999),IF(WEEKDAY(feb!V$3,1)=1,"WO","P"))</f>
        <v>P</v>
      </c>
      <c r="W25" s="4" t="str">
        <f>IFERROR(LOOKUP(2,1/((lentry!$A$3:$A$3999=feb!$A25)*(lentry!$B$3:$B$3999&lt;=feb!W$3)*(lentry!$C$3:$C$3999&gt;=feb!W$3)),lentry!$D$3:$D$3999),IF(WEEKDAY(feb!W$3,1)=1,"WO","P"))</f>
        <v>P</v>
      </c>
      <c r="X25" s="4" t="str">
        <f>IFERROR(LOOKUP(2,1/((lentry!$A$3:$A$3999=feb!$A25)*(lentry!$B$3:$B$3999&lt;=feb!X$3)*(lentry!$C$3:$C$3999&gt;=feb!X$3)),lentry!$D$3:$D$3999),IF(WEEKDAY(feb!X$3,1)=1,"WO","P"))</f>
        <v>P</v>
      </c>
      <c r="Y25" s="4" t="str">
        <f>IFERROR(LOOKUP(2,1/((lentry!$A$3:$A$3999=feb!$A25)*(lentry!$B$3:$B$3999&lt;=feb!Y$3)*(lentry!$C$3:$C$3999&gt;=feb!Y$3)),lentry!$D$3:$D$3999),IF(WEEKDAY(feb!Y$3,1)=1,"WO","P"))</f>
        <v>P</v>
      </c>
      <c r="Z25" s="4" t="str">
        <f>IFERROR(LOOKUP(2,1/((lentry!$A$3:$A$3999=feb!$A25)*(lentry!$B$3:$B$3999&lt;=feb!Z$3)*(lentry!$C$3:$C$3999&gt;=feb!Z$3)),lentry!$D$3:$D$3999),IF(WEEKDAY(feb!Z$3,1)=1,"WO","P"))</f>
        <v>P</v>
      </c>
      <c r="AA25" s="4" t="str">
        <f>IFERROR(LOOKUP(2,1/((lentry!$A$3:$A$3999=feb!$A25)*(lentry!$B$3:$B$3999&lt;=feb!AA$3)*(lentry!$C$3:$C$3999&gt;=feb!AA$3)),lentry!$D$3:$D$3999),IF(WEEKDAY(feb!AA$3,1)=1,"WO","P"))</f>
        <v>WO</v>
      </c>
      <c r="AB25" s="4" t="str">
        <f>IFERROR(LOOKUP(2,1/((lentry!$A$3:$A$3999=feb!$A25)*(lentry!$B$3:$B$3999&lt;=feb!AB$3)*(lentry!$C$3:$C$3999&gt;=feb!AB$3)),lentry!$D$3:$D$3999),IF(WEEKDAY(feb!AB$3,1)=1,"WO","P"))</f>
        <v>P</v>
      </c>
      <c r="AC25" s="4" t="str">
        <f>IFERROR(LOOKUP(2,1/((lentry!$A$3:$A$3999=feb!$A25)*(lentry!$B$3:$B$3999&lt;=feb!AC$3)*(lentry!$C$3:$C$3999&gt;=feb!AC$3)),lentry!$D$3:$D$3999),IF(WEEKDAY(feb!AC$3,1)=1,"WO","P"))</f>
        <v>P</v>
      </c>
      <c r="AD25" s="4" t="str">
        <f>IFERROR(LOOKUP(2,1/((lentry!$A$3:$A$3999=feb!$A25)*(lentry!$B$3:$B$3999&lt;=feb!AD$3)*(lentry!$C$3:$C$3999&gt;=feb!AD$3)),lentry!$D$3:$D$3999),IF(WEEKDAY(feb!AD$3,1)=1,"WO","P"))</f>
        <v>P</v>
      </c>
      <c r="AE25" s="4" t="str">
        <f>IFERROR(LOOKUP(2,1/((lentry!$A$3:$A$3999=feb!$A25)*(lentry!$B$3:$B$3999&lt;=feb!AE$3)*(lentry!$C$3:$C$3999&gt;=feb!AE$3)),lentry!$D$3:$D$3999),IF(WEEKDAY(feb!AE$3,1)=1,"WO","P"))</f>
        <v>P</v>
      </c>
      <c r="AF25" s="4" t="str">
        <f>IFERROR(LOOKUP(2,1/((lentry!$A$3:$A$3999=feb!$A25)*(lentry!$B$3:$B$3999&lt;=feb!AF$3)*(lentry!$C$3:$C$3999&gt;=feb!AF$3)),lentry!$D$3:$D$3999),IF(WEEKDAY(feb!AF$3,1)=1,"WO","P"))</f>
        <v>P</v>
      </c>
      <c r="AG25" s="4" t="str">
        <f>IFERROR(LOOKUP(2,1/((lentry!$A$3:$A$3999=feb!$A25)*(lentry!$B$3:$B$3999&lt;=feb!AG$3)*(lentry!$C$3:$C$3999&gt;=feb!AG$3)),lentry!$D$3:$D$3999),IF(WEEKDAY(feb!AG$3,1)=1,"WO","P"))</f>
        <v>P</v>
      </c>
      <c r="AH25" s="4">
        <f t="shared" si="3"/>
        <v>3</v>
      </c>
      <c r="AI25" s="4">
        <f t="shared" si="4"/>
        <v>1</v>
      </c>
      <c r="AJ25" s="4">
        <f t="shared" si="5"/>
        <v>1</v>
      </c>
      <c r="AK25" s="4">
        <f t="shared" si="6"/>
        <v>0</v>
      </c>
      <c r="AL25" s="4">
        <f t="shared" si="7"/>
        <v>0</v>
      </c>
      <c r="AM25" s="4">
        <f t="shared" si="8"/>
        <v>0</v>
      </c>
      <c r="AN25" s="4">
        <f t="shared" si="9"/>
        <v>0</v>
      </c>
      <c r="AO25" s="4">
        <f t="shared" si="10"/>
        <v>1</v>
      </c>
      <c r="AP25" s="4">
        <f t="shared" si="11"/>
        <v>22</v>
      </c>
      <c r="AQ25" s="4">
        <f t="shared" si="2"/>
        <v>28</v>
      </c>
      <c r="AR25" s="4">
        <f t="shared" si="12"/>
        <v>27</v>
      </c>
    </row>
    <row r="26" spans="1:44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IFERROR(LOOKUP(2,1/((lentry!$A$3:$A$3999=feb!$A26)*(lentry!$B$3:$B$3999&lt;=feb!F$3)*(lentry!$C$3:$C$3999&gt;=feb!F$3)),lentry!$D$3:$D$3999),IF(WEEKDAY(feb!F$3,1)=1,"WO","P"))</f>
        <v>WO</v>
      </c>
      <c r="G26" s="4" t="str">
        <f>IFERROR(LOOKUP(2,1/((lentry!$A$3:$A$3999=feb!$A26)*(lentry!$B$3:$B$3999&lt;=feb!G$3)*(lentry!$C$3:$C$3999&gt;=feb!G$3)),lentry!$D$3:$D$3999),IF(WEEKDAY(feb!G$3,1)=1,"WO","P"))</f>
        <v>P</v>
      </c>
      <c r="H26" s="4" t="str">
        <f>IFERROR(LOOKUP(2,1/((lentry!$A$3:$A$3999=feb!$A26)*(lentry!$B$3:$B$3999&lt;=feb!H$3)*(lentry!$C$3:$C$3999&gt;=feb!H$3)),lentry!$D$3:$D$3999),IF(WEEKDAY(feb!H$3,1)=1,"WO","P"))</f>
        <v>P</v>
      </c>
      <c r="I26" s="4" t="str">
        <f>IFERROR(LOOKUP(2,1/((lentry!$A$3:$A$3999=feb!$A26)*(lentry!$B$3:$B$3999&lt;=feb!I$3)*(lentry!$C$3:$C$3999&gt;=feb!I$3)),lentry!$D$3:$D$3999),IF(WEEKDAY(feb!I$3,1)=1,"WO","P"))</f>
        <v>P</v>
      </c>
      <c r="J26" s="4" t="str">
        <f>IFERROR(LOOKUP(2,1/((lentry!$A$3:$A$3999=feb!$A26)*(lentry!$B$3:$B$3999&lt;=feb!J$3)*(lentry!$C$3:$C$3999&gt;=feb!J$3)),lentry!$D$3:$D$3999),IF(WEEKDAY(feb!J$3,1)=1,"WO","P"))</f>
        <v>P</v>
      </c>
      <c r="K26" s="4" t="str">
        <f>IFERROR(LOOKUP(2,1/((lentry!$A$3:$A$3999=feb!$A26)*(lentry!$B$3:$B$3999&lt;=feb!K$3)*(lentry!$C$3:$C$3999&gt;=feb!K$3)),lentry!$D$3:$D$3999),IF(WEEKDAY(feb!K$3,1)=1,"WO","P"))</f>
        <v>P</v>
      </c>
      <c r="L26" s="4" t="str">
        <f>IFERROR(LOOKUP(2,1/((lentry!$A$3:$A$3999=feb!$A26)*(lentry!$B$3:$B$3999&lt;=feb!L$3)*(lentry!$C$3:$C$3999&gt;=feb!L$3)),lentry!$D$3:$D$3999),IF(WEEKDAY(feb!L$3,1)=1,"WO","P"))</f>
        <v>P</v>
      </c>
      <c r="M26" s="4" t="str">
        <f>IFERROR(LOOKUP(2,1/((lentry!$A$3:$A$3999=feb!$A26)*(lentry!$B$3:$B$3999&lt;=feb!M$3)*(lentry!$C$3:$C$3999&gt;=feb!M$3)),lentry!$D$3:$D$3999),IF(WEEKDAY(feb!M$3,1)=1,"WO","P"))</f>
        <v>WO</v>
      </c>
      <c r="N26" s="4" t="str">
        <f>IFERROR(LOOKUP(2,1/((lentry!$A$3:$A$3999=feb!$A26)*(lentry!$B$3:$B$3999&lt;=feb!N$3)*(lentry!$C$3:$C$3999&gt;=feb!N$3)),lentry!$D$3:$D$3999),IF(WEEKDAY(feb!N$3,1)=1,"WO","P"))</f>
        <v>P</v>
      </c>
      <c r="O26" s="4" t="str">
        <f>IFERROR(LOOKUP(2,1/((lentry!$A$3:$A$3999=feb!$A26)*(lentry!$B$3:$B$3999&lt;=feb!O$3)*(lentry!$C$3:$C$3999&gt;=feb!O$3)),lentry!$D$3:$D$3999),IF(WEEKDAY(feb!O$3,1)=1,"WO","P"))</f>
        <v>P</v>
      </c>
      <c r="P26" s="4" t="str">
        <f>IFERROR(LOOKUP(2,1/((lentry!$A$3:$A$3999=feb!$A26)*(lentry!$B$3:$B$3999&lt;=feb!P$3)*(lentry!$C$3:$C$3999&gt;=feb!P$3)),lentry!$D$3:$D$3999),IF(WEEKDAY(feb!P$3,1)=1,"WO","P"))</f>
        <v>P</v>
      </c>
      <c r="Q26" s="4" t="str">
        <f>IFERROR(LOOKUP(2,1/((lentry!$A$3:$A$3999=feb!$A26)*(lentry!$B$3:$B$3999&lt;=feb!Q$3)*(lentry!$C$3:$C$3999&gt;=feb!Q$3)),lentry!$D$3:$D$3999),IF(WEEKDAY(feb!Q$3,1)=1,"WO","P"))</f>
        <v>P</v>
      </c>
      <c r="R26" s="4" t="str">
        <f>IFERROR(LOOKUP(2,1/((lentry!$A$3:$A$3999=feb!$A26)*(lentry!$B$3:$B$3999&lt;=feb!R$3)*(lentry!$C$3:$C$3999&gt;=feb!R$3)),lentry!$D$3:$D$3999),IF(WEEKDAY(feb!R$3,1)=1,"WO","P"))</f>
        <v>P</v>
      </c>
      <c r="S26" s="4" t="str">
        <f>IFERROR(LOOKUP(2,1/((lentry!$A$3:$A$3999=feb!$A26)*(lentry!$B$3:$B$3999&lt;=feb!S$3)*(lentry!$C$3:$C$3999&gt;=feb!S$3)),lentry!$D$3:$D$3999),IF(WEEKDAY(feb!S$3,1)=1,"WO","P"))</f>
        <v>P</v>
      </c>
      <c r="T26" s="4" t="s">
        <v>350</v>
      </c>
      <c r="U26" s="4" t="str">
        <f>IFERROR(LOOKUP(2,1/((lentry!$A$3:$A$3999=feb!$A26)*(lentry!$B$3:$B$3999&lt;=feb!U$3)*(lentry!$C$3:$C$3999&gt;=feb!U$3)),lentry!$D$3:$D$3999),IF(WEEKDAY(feb!U$3,1)=1,"WO","P"))</f>
        <v>P</v>
      </c>
      <c r="V26" s="4" t="str">
        <f>IFERROR(LOOKUP(2,1/((lentry!$A$3:$A$3999=feb!$A26)*(lentry!$B$3:$B$3999&lt;=feb!V$3)*(lentry!$C$3:$C$3999&gt;=feb!V$3)),lentry!$D$3:$D$3999),IF(WEEKDAY(feb!V$3,1)=1,"WO","P"))</f>
        <v>P</v>
      </c>
      <c r="W26" s="4" t="s">
        <v>539</v>
      </c>
      <c r="X26" s="4" t="str">
        <f>IFERROR(LOOKUP(2,1/((lentry!$A$3:$A$3999=feb!$A26)*(lentry!$B$3:$B$3999&lt;=feb!X$3)*(lentry!$C$3:$C$3999&gt;=feb!X$3)),lentry!$D$3:$D$3999),IF(WEEKDAY(feb!X$3,1)=1,"WO","P"))</f>
        <v>P</v>
      </c>
      <c r="Y26" s="4" t="str">
        <f>IFERROR(LOOKUP(2,1/((lentry!$A$3:$A$3999=feb!$A26)*(lentry!$B$3:$B$3999&lt;=feb!Y$3)*(lentry!$C$3:$C$3999&gt;=feb!Y$3)),lentry!$D$3:$D$3999),IF(WEEKDAY(feb!Y$3,1)=1,"WO","P"))</f>
        <v>P</v>
      </c>
      <c r="Z26" s="4" t="str">
        <f>IFERROR(LOOKUP(2,1/((lentry!$A$3:$A$3999=feb!$A26)*(lentry!$B$3:$B$3999&lt;=feb!Z$3)*(lentry!$C$3:$C$3999&gt;=feb!Z$3)),lentry!$D$3:$D$3999),IF(WEEKDAY(feb!Z$3,1)=1,"WO","P"))</f>
        <v>P</v>
      </c>
      <c r="AA26" s="4" t="str">
        <f>IFERROR(LOOKUP(2,1/((lentry!$A$3:$A$3999=feb!$A26)*(lentry!$B$3:$B$3999&lt;=feb!AA$3)*(lentry!$C$3:$C$3999&gt;=feb!AA$3)),lentry!$D$3:$D$3999),IF(WEEKDAY(feb!AA$3,1)=1,"WO","P"))</f>
        <v>WO</v>
      </c>
      <c r="AB26" s="4" t="str">
        <f>IFERROR(LOOKUP(2,1/((lentry!$A$3:$A$3999=feb!$A26)*(lentry!$B$3:$B$3999&lt;=feb!AB$3)*(lentry!$C$3:$C$3999&gt;=feb!AB$3)),lentry!$D$3:$D$3999),IF(WEEKDAY(feb!AB$3,1)=1,"WO","P"))</f>
        <v>P</v>
      </c>
      <c r="AC26" s="4" t="str">
        <f>IFERROR(LOOKUP(2,1/((lentry!$A$3:$A$3999=feb!$A26)*(lentry!$B$3:$B$3999&lt;=feb!AC$3)*(lentry!$C$3:$C$3999&gt;=feb!AC$3)),lentry!$D$3:$D$3999),IF(WEEKDAY(feb!AC$3,1)=1,"WO","P"))</f>
        <v>P</v>
      </c>
      <c r="AD26" s="4" t="str">
        <f>IFERROR(LOOKUP(2,1/((lentry!$A$3:$A$3999=feb!$A26)*(lentry!$B$3:$B$3999&lt;=feb!AD$3)*(lentry!$C$3:$C$3999&gt;=feb!AD$3)),lentry!$D$3:$D$3999),IF(WEEKDAY(feb!AD$3,1)=1,"WO","P"))</f>
        <v>P</v>
      </c>
      <c r="AE26" s="4" t="s">
        <v>539</v>
      </c>
      <c r="AF26" s="4" t="str">
        <f>IFERROR(LOOKUP(2,1/((lentry!$A$3:$A$3999=feb!$A26)*(lentry!$B$3:$B$3999&lt;=feb!AF$3)*(lentry!$C$3:$C$3999&gt;=feb!AF$3)),lentry!$D$3:$D$3999),IF(WEEKDAY(feb!AF$3,1)=1,"WO","P"))</f>
        <v>P</v>
      </c>
      <c r="AG26" s="4" t="str">
        <f>IFERROR(LOOKUP(2,1/((lentry!$A$3:$A$3999=feb!$A26)*(lentry!$B$3:$B$3999&lt;=feb!AG$3)*(lentry!$C$3:$C$3999&gt;=feb!AG$3)),lentry!$D$3:$D$3999),IF(WEEKDAY(feb!AG$3,1)=1,"WO","P"))</f>
        <v>P</v>
      </c>
      <c r="AH26" s="4">
        <f t="shared" si="3"/>
        <v>3</v>
      </c>
      <c r="AI26" s="4">
        <f t="shared" si="4"/>
        <v>1</v>
      </c>
      <c r="AJ26" s="4">
        <f t="shared" si="5"/>
        <v>0</v>
      </c>
      <c r="AK26" s="4">
        <f t="shared" si="6"/>
        <v>0</v>
      </c>
      <c r="AL26" s="4">
        <f t="shared" si="7"/>
        <v>0</v>
      </c>
      <c r="AM26" s="4">
        <f t="shared" si="8"/>
        <v>0</v>
      </c>
      <c r="AN26" s="4">
        <f t="shared" si="9"/>
        <v>0</v>
      </c>
      <c r="AO26" s="4">
        <f t="shared" si="10"/>
        <v>2</v>
      </c>
      <c r="AP26" s="4">
        <f t="shared" si="11"/>
        <v>22</v>
      </c>
      <c r="AQ26" s="4">
        <f t="shared" si="2"/>
        <v>28</v>
      </c>
      <c r="AR26" s="4">
        <f t="shared" si="12"/>
        <v>26</v>
      </c>
    </row>
    <row r="27" spans="1:44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IFERROR(LOOKUP(2,1/((lentry!$A$3:$A$3999=feb!$A27)*(lentry!$B$3:$B$3999&lt;=feb!F$3)*(lentry!$C$3:$C$3999&gt;=feb!F$3)),lentry!$D$3:$D$3999),IF(WEEKDAY(feb!F$3,1)=1,"WO","P"))</f>
        <v>WO</v>
      </c>
      <c r="G27" s="4" t="str">
        <f>IFERROR(LOOKUP(2,1/((lentry!$A$3:$A$3999=feb!$A27)*(lentry!$B$3:$B$3999&lt;=feb!G$3)*(lentry!$C$3:$C$3999&gt;=feb!G$3)),lentry!$D$3:$D$3999),IF(WEEKDAY(feb!G$3,1)=1,"WO","P"))</f>
        <v>P</v>
      </c>
      <c r="H27" s="4" t="str">
        <f>IFERROR(LOOKUP(2,1/((lentry!$A$3:$A$3999=feb!$A27)*(lentry!$B$3:$B$3999&lt;=feb!H$3)*(lentry!$C$3:$C$3999&gt;=feb!H$3)),lentry!$D$3:$D$3999),IF(WEEKDAY(feb!H$3,1)=1,"WO","P"))</f>
        <v>P</v>
      </c>
      <c r="I27" s="4" t="str">
        <f>IFERROR(LOOKUP(2,1/((lentry!$A$3:$A$3999=feb!$A27)*(lentry!$B$3:$B$3999&lt;=feb!I$3)*(lentry!$C$3:$C$3999&gt;=feb!I$3)),lentry!$D$3:$D$3999),IF(WEEKDAY(feb!I$3,1)=1,"WO","P"))</f>
        <v>P</v>
      </c>
      <c r="J27" s="4" t="str">
        <f>IFERROR(LOOKUP(2,1/((lentry!$A$3:$A$3999=feb!$A27)*(lentry!$B$3:$B$3999&lt;=feb!J$3)*(lentry!$C$3:$C$3999&gt;=feb!J$3)),lentry!$D$3:$D$3999),IF(WEEKDAY(feb!J$3,1)=1,"WO","P"))</f>
        <v>P</v>
      </c>
      <c r="K27" s="4" t="str">
        <f>IFERROR(LOOKUP(2,1/((lentry!$A$3:$A$3999=feb!$A27)*(lentry!$B$3:$B$3999&lt;=feb!K$3)*(lentry!$C$3:$C$3999&gt;=feb!K$3)),lentry!$D$3:$D$3999),IF(WEEKDAY(feb!K$3,1)=1,"WO","P"))</f>
        <v>P</v>
      </c>
      <c r="L27" s="4" t="str">
        <f>IFERROR(LOOKUP(2,1/((lentry!$A$3:$A$3999=feb!$A27)*(lentry!$B$3:$B$3999&lt;=feb!L$3)*(lentry!$C$3:$C$3999&gt;=feb!L$3)),lentry!$D$3:$D$3999),IF(WEEKDAY(feb!L$3,1)=1,"WO","P"))</f>
        <v>P</v>
      </c>
      <c r="M27" s="4" t="str">
        <f>IFERROR(LOOKUP(2,1/((lentry!$A$3:$A$3999=feb!$A27)*(lentry!$B$3:$B$3999&lt;=feb!M$3)*(lentry!$C$3:$C$3999&gt;=feb!M$3)),lentry!$D$3:$D$3999),IF(WEEKDAY(feb!M$3,1)=1,"WO","P"))</f>
        <v>WO</v>
      </c>
      <c r="N27" s="4" t="str">
        <f>IFERROR(LOOKUP(2,1/((lentry!$A$3:$A$3999=feb!$A27)*(lentry!$B$3:$B$3999&lt;=feb!N$3)*(lentry!$C$3:$C$3999&gt;=feb!N$3)),lentry!$D$3:$D$3999),IF(WEEKDAY(feb!N$3,1)=1,"WO","P"))</f>
        <v>P</v>
      </c>
      <c r="O27" s="4" t="str">
        <f>IFERROR(LOOKUP(2,1/((lentry!$A$3:$A$3999=feb!$A27)*(lentry!$B$3:$B$3999&lt;=feb!O$3)*(lentry!$C$3:$C$3999&gt;=feb!O$3)),lentry!$D$3:$D$3999),IF(WEEKDAY(feb!O$3,1)=1,"WO","P"))</f>
        <v>P</v>
      </c>
      <c r="P27" s="4" t="s">
        <v>539</v>
      </c>
      <c r="Q27" s="4" t="str">
        <f>IFERROR(LOOKUP(2,1/((lentry!$A$3:$A$3999=feb!$A27)*(lentry!$B$3:$B$3999&lt;=feb!Q$3)*(lentry!$C$3:$C$3999&gt;=feb!Q$3)),lentry!$D$3:$D$3999),IF(WEEKDAY(feb!Q$3,1)=1,"WO","P"))</f>
        <v>P</v>
      </c>
      <c r="R27" s="4" t="str">
        <f>IFERROR(LOOKUP(2,1/((lentry!$A$3:$A$3999=feb!$A27)*(lentry!$B$3:$B$3999&lt;=feb!R$3)*(lentry!$C$3:$C$3999&gt;=feb!R$3)),lentry!$D$3:$D$3999),IF(WEEKDAY(feb!R$3,1)=1,"WO","P"))</f>
        <v>P</v>
      </c>
      <c r="S27" s="4" t="str">
        <f>IFERROR(LOOKUP(2,1/((lentry!$A$3:$A$3999=feb!$A27)*(lentry!$B$3:$B$3999&lt;=feb!S$3)*(lentry!$C$3:$C$3999&gt;=feb!S$3)),lentry!$D$3:$D$3999),IF(WEEKDAY(feb!S$3,1)=1,"WO","P"))</f>
        <v>P</v>
      </c>
      <c r="T27" s="4" t="s">
        <v>350</v>
      </c>
      <c r="U27" s="4" t="str">
        <f>IFERROR(LOOKUP(2,1/((lentry!$A$3:$A$3999=feb!$A27)*(lentry!$B$3:$B$3999&lt;=feb!U$3)*(lentry!$C$3:$C$3999&gt;=feb!U$3)),lentry!$D$3:$D$3999),IF(WEEKDAY(feb!U$3,1)=1,"WO","P"))</f>
        <v>P</v>
      </c>
      <c r="V27" s="4" t="str">
        <f>IFERROR(LOOKUP(2,1/((lentry!$A$3:$A$3999=feb!$A27)*(lentry!$B$3:$B$3999&lt;=feb!V$3)*(lentry!$C$3:$C$3999&gt;=feb!V$3)),lentry!$D$3:$D$3999),IF(WEEKDAY(feb!V$3,1)=1,"WO","P"))</f>
        <v>P</v>
      </c>
      <c r="W27" s="4" t="str">
        <f>IFERROR(LOOKUP(2,1/((lentry!$A$3:$A$3999=feb!$A27)*(lentry!$B$3:$B$3999&lt;=feb!W$3)*(lentry!$C$3:$C$3999&gt;=feb!W$3)),lentry!$D$3:$D$3999),IF(WEEKDAY(feb!W$3,1)=1,"WO","P"))</f>
        <v>P</v>
      </c>
      <c r="X27" s="4" t="str">
        <f>IFERROR(LOOKUP(2,1/((lentry!$A$3:$A$3999=feb!$A27)*(lentry!$B$3:$B$3999&lt;=feb!X$3)*(lentry!$C$3:$C$3999&gt;=feb!X$3)),lentry!$D$3:$D$3999),IF(WEEKDAY(feb!X$3,1)=1,"WO","P"))</f>
        <v>P</v>
      </c>
      <c r="Y27" s="4" t="str">
        <f>IFERROR(LOOKUP(2,1/((lentry!$A$3:$A$3999=feb!$A27)*(lentry!$B$3:$B$3999&lt;=feb!Y$3)*(lentry!$C$3:$C$3999&gt;=feb!Y$3)),lentry!$D$3:$D$3999),IF(WEEKDAY(feb!Y$3,1)=1,"WO","P"))</f>
        <v>P</v>
      </c>
      <c r="Z27" s="4" t="str">
        <f>IFERROR(LOOKUP(2,1/((lentry!$A$3:$A$3999=feb!$A27)*(lentry!$B$3:$B$3999&lt;=feb!Z$3)*(lentry!$C$3:$C$3999&gt;=feb!Z$3)),lentry!$D$3:$D$3999),IF(WEEKDAY(feb!Z$3,1)=1,"WO","P"))</f>
        <v>P</v>
      </c>
      <c r="AA27" s="4" t="str">
        <f>IFERROR(LOOKUP(2,1/((lentry!$A$3:$A$3999=feb!$A27)*(lentry!$B$3:$B$3999&lt;=feb!AA$3)*(lentry!$C$3:$C$3999&gt;=feb!AA$3)),lentry!$D$3:$D$3999),IF(WEEKDAY(feb!AA$3,1)=1,"WO","P"))</f>
        <v>WO</v>
      </c>
      <c r="AB27" s="4" t="str">
        <f>IFERROR(LOOKUP(2,1/((lentry!$A$3:$A$3999=feb!$A27)*(lentry!$B$3:$B$3999&lt;=feb!AB$3)*(lentry!$C$3:$C$3999&gt;=feb!AB$3)),lentry!$D$3:$D$3999),IF(WEEKDAY(feb!AB$3,1)=1,"WO","P"))</f>
        <v>P</v>
      </c>
      <c r="AC27" s="4" t="str">
        <f>IFERROR(LOOKUP(2,1/((lentry!$A$3:$A$3999=feb!$A27)*(lentry!$B$3:$B$3999&lt;=feb!AC$3)*(lentry!$C$3:$C$3999&gt;=feb!AC$3)),lentry!$D$3:$D$3999),IF(WEEKDAY(feb!AC$3,1)=1,"WO","P"))</f>
        <v>P</v>
      </c>
      <c r="AD27" s="4" t="str">
        <f>IFERROR(LOOKUP(2,1/((lentry!$A$3:$A$3999=feb!$A27)*(lentry!$B$3:$B$3999&lt;=feb!AD$3)*(lentry!$C$3:$C$3999&gt;=feb!AD$3)),lentry!$D$3:$D$3999),IF(WEEKDAY(feb!AD$3,1)=1,"WO","P"))</f>
        <v>P</v>
      </c>
      <c r="AE27" s="4" t="str">
        <f>IFERROR(LOOKUP(2,1/((lentry!$A$3:$A$3999=feb!$A27)*(lentry!$B$3:$B$3999&lt;=feb!AE$3)*(lentry!$C$3:$C$3999&gt;=feb!AE$3)),lentry!$D$3:$D$3999),IF(WEEKDAY(feb!AE$3,1)=1,"WO","P"))</f>
        <v>P</v>
      </c>
      <c r="AF27" s="4" t="str">
        <f>IFERROR(LOOKUP(2,1/((lentry!$A$3:$A$3999=feb!$A27)*(lentry!$B$3:$B$3999&lt;=feb!AF$3)*(lentry!$C$3:$C$3999&gt;=feb!AF$3)),lentry!$D$3:$D$3999),IF(WEEKDAY(feb!AF$3,1)=1,"WO","P"))</f>
        <v>P</v>
      </c>
      <c r="AG27" s="4" t="s">
        <v>539</v>
      </c>
      <c r="AH27" s="4">
        <f t="shared" si="3"/>
        <v>3</v>
      </c>
      <c r="AI27" s="4">
        <f t="shared" si="4"/>
        <v>1</v>
      </c>
      <c r="AJ27" s="4">
        <f t="shared" si="5"/>
        <v>0</v>
      </c>
      <c r="AK27" s="4">
        <f t="shared" si="6"/>
        <v>0</v>
      </c>
      <c r="AL27" s="4">
        <f t="shared" si="7"/>
        <v>0</v>
      </c>
      <c r="AM27" s="4">
        <f t="shared" si="8"/>
        <v>0</v>
      </c>
      <c r="AN27" s="4">
        <f t="shared" si="9"/>
        <v>0</v>
      </c>
      <c r="AO27" s="4">
        <f t="shared" si="10"/>
        <v>2</v>
      </c>
      <c r="AP27" s="4">
        <f t="shared" si="11"/>
        <v>22</v>
      </c>
      <c r="AQ27" s="4">
        <f t="shared" si="2"/>
        <v>28</v>
      </c>
      <c r="AR27" s="4">
        <f t="shared" si="12"/>
        <v>26</v>
      </c>
    </row>
    <row r="28" spans="1:44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IFERROR(LOOKUP(2,1/((lentry!$A$3:$A$3999=feb!$A28)*(lentry!$B$3:$B$3999&lt;=feb!F$3)*(lentry!$C$3:$C$3999&gt;=feb!F$3)),lentry!$D$3:$D$3999),IF(WEEKDAY(feb!F$3,1)=1,"WO","P"))</f>
        <v>WO</v>
      </c>
      <c r="G28" s="4" t="str">
        <f>IFERROR(LOOKUP(2,1/((lentry!$A$3:$A$3999=feb!$A28)*(lentry!$B$3:$B$3999&lt;=feb!G$3)*(lentry!$C$3:$C$3999&gt;=feb!G$3)),lentry!$D$3:$D$3999),IF(WEEKDAY(feb!G$3,1)=1,"WO","P"))</f>
        <v>P</v>
      </c>
      <c r="H28" s="4" t="str">
        <f>IFERROR(LOOKUP(2,1/((lentry!$A$3:$A$3999=feb!$A28)*(lentry!$B$3:$B$3999&lt;=feb!H$3)*(lentry!$C$3:$C$3999&gt;=feb!H$3)),lentry!$D$3:$D$3999),IF(WEEKDAY(feb!H$3,1)=1,"WO","P"))</f>
        <v>P</v>
      </c>
      <c r="I28" s="4" t="str">
        <f>IFERROR(LOOKUP(2,1/((lentry!$A$3:$A$3999=feb!$A28)*(lentry!$B$3:$B$3999&lt;=feb!I$3)*(lentry!$C$3:$C$3999&gt;=feb!I$3)),lentry!$D$3:$D$3999),IF(WEEKDAY(feb!I$3,1)=1,"WO","P"))</f>
        <v>P</v>
      </c>
      <c r="J28" s="4" t="str">
        <f>IFERROR(LOOKUP(2,1/((lentry!$A$3:$A$3999=feb!$A28)*(lentry!$B$3:$B$3999&lt;=feb!J$3)*(lentry!$C$3:$C$3999&gt;=feb!J$3)),lentry!$D$3:$D$3999),IF(WEEKDAY(feb!J$3,1)=1,"WO","P"))</f>
        <v>P</v>
      </c>
      <c r="K28" s="4" t="str">
        <f>IFERROR(LOOKUP(2,1/((lentry!$A$3:$A$3999=feb!$A28)*(lentry!$B$3:$B$3999&lt;=feb!K$3)*(lentry!$C$3:$C$3999&gt;=feb!K$3)),lentry!$D$3:$D$3999),IF(WEEKDAY(feb!K$3,1)=1,"WO","P"))</f>
        <v>P</v>
      </c>
      <c r="L28" s="4" t="str">
        <f>IFERROR(LOOKUP(2,1/((lentry!$A$3:$A$3999=feb!$A28)*(lentry!$B$3:$B$3999&lt;=feb!L$3)*(lentry!$C$3:$C$3999&gt;=feb!L$3)),lentry!$D$3:$D$3999),IF(WEEKDAY(feb!L$3,1)=1,"WO","P"))</f>
        <v>P</v>
      </c>
      <c r="M28" s="4" t="str">
        <f>IFERROR(LOOKUP(2,1/((lentry!$A$3:$A$3999=feb!$A28)*(lentry!$B$3:$B$3999&lt;=feb!M$3)*(lentry!$C$3:$C$3999&gt;=feb!M$3)),lentry!$D$3:$D$3999),IF(WEEKDAY(feb!M$3,1)=1,"WO","P"))</f>
        <v>WO</v>
      </c>
      <c r="N28" s="4" t="str">
        <f>IFERROR(LOOKUP(2,1/((lentry!$A$3:$A$3999=feb!$A28)*(lentry!$B$3:$B$3999&lt;=feb!N$3)*(lentry!$C$3:$C$3999&gt;=feb!N$3)),lentry!$D$3:$D$3999),IF(WEEKDAY(feb!N$3,1)=1,"WO","P"))</f>
        <v>P</v>
      </c>
      <c r="O28" s="4" t="str">
        <f>IFERROR(LOOKUP(2,1/((lentry!$A$3:$A$3999=feb!$A28)*(lentry!$B$3:$B$3999&lt;=feb!O$3)*(lentry!$C$3:$C$3999&gt;=feb!O$3)),lentry!$D$3:$D$3999),IF(WEEKDAY(feb!O$3,1)=1,"WO","P"))</f>
        <v>P</v>
      </c>
      <c r="P28" s="4" t="str">
        <f>IFERROR(LOOKUP(2,1/((lentry!$A$3:$A$3999=feb!$A28)*(lentry!$B$3:$B$3999&lt;=feb!P$3)*(lentry!$C$3:$C$3999&gt;=feb!P$3)),lentry!$D$3:$D$3999),IF(WEEKDAY(feb!P$3,1)=1,"WO","P"))</f>
        <v>P</v>
      </c>
      <c r="Q28" s="4" t="str">
        <f>IFERROR(LOOKUP(2,1/((lentry!$A$3:$A$3999=feb!$A28)*(lentry!$B$3:$B$3999&lt;=feb!Q$3)*(lentry!$C$3:$C$3999&gt;=feb!Q$3)),lentry!$D$3:$D$3999),IF(WEEKDAY(feb!Q$3,1)=1,"WO","P"))</f>
        <v>P</v>
      </c>
      <c r="R28" s="4" t="str">
        <f>IFERROR(LOOKUP(2,1/((lentry!$A$3:$A$3999=feb!$A28)*(lentry!$B$3:$B$3999&lt;=feb!R$3)*(lentry!$C$3:$C$3999&gt;=feb!R$3)),lentry!$D$3:$D$3999),IF(WEEKDAY(feb!R$3,1)=1,"WO","P"))</f>
        <v>P</v>
      </c>
      <c r="S28" s="4" t="s">
        <v>539</v>
      </c>
      <c r="T28" s="4" t="s">
        <v>350</v>
      </c>
      <c r="U28" s="4" t="str">
        <f>IFERROR(LOOKUP(2,1/((lentry!$A$3:$A$3999=feb!$A28)*(lentry!$B$3:$B$3999&lt;=feb!U$3)*(lentry!$C$3:$C$3999&gt;=feb!U$3)),lentry!$D$3:$D$3999),IF(WEEKDAY(feb!U$3,1)=1,"WO","P"))</f>
        <v>P</v>
      </c>
      <c r="V28" s="4" t="str">
        <f>IFERROR(LOOKUP(2,1/((lentry!$A$3:$A$3999=feb!$A28)*(lentry!$B$3:$B$3999&lt;=feb!V$3)*(lentry!$C$3:$C$3999&gt;=feb!V$3)),lentry!$D$3:$D$3999),IF(WEEKDAY(feb!V$3,1)=1,"WO","P"))</f>
        <v>P</v>
      </c>
      <c r="W28" s="4" t="str">
        <f>IFERROR(LOOKUP(2,1/((lentry!$A$3:$A$3999=feb!$A28)*(lentry!$B$3:$B$3999&lt;=feb!W$3)*(lentry!$C$3:$C$3999&gt;=feb!W$3)),lentry!$D$3:$D$3999),IF(WEEKDAY(feb!W$3,1)=1,"WO","P"))</f>
        <v>P</v>
      </c>
      <c r="X28" s="4" t="str">
        <f>IFERROR(LOOKUP(2,1/((lentry!$A$3:$A$3999=feb!$A28)*(lentry!$B$3:$B$3999&lt;=feb!X$3)*(lentry!$C$3:$C$3999&gt;=feb!X$3)),lentry!$D$3:$D$3999),IF(WEEKDAY(feb!X$3,1)=1,"WO","P"))</f>
        <v>P</v>
      </c>
      <c r="Y28" s="4" t="str">
        <f>IFERROR(LOOKUP(2,1/((lentry!$A$3:$A$3999=feb!$A28)*(lentry!$B$3:$B$3999&lt;=feb!Y$3)*(lentry!$C$3:$C$3999&gt;=feb!Y$3)),lentry!$D$3:$D$3999),IF(WEEKDAY(feb!Y$3,1)=1,"WO","P"))</f>
        <v>P</v>
      </c>
      <c r="Z28" s="4" t="str">
        <f>IFERROR(LOOKUP(2,1/((lentry!$A$3:$A$3999=feb!$A28)*(lentry!$B$3:$B$3999&lt;=feb!Z$3)*(lentry!$C$3:$C$3999&gt;=feb!Z$3)),lentry!$D$3:$D$3999),IF(WEEKDAY(feb!Z$3,1)=1,"WO","P"))</f>
        <v>P</v>
      </c>
      <c r="AA28" s="4" t="str">
        <f>IFERROR(LOOKUP(2,1/((lentry!$A$3:$A$3999=feb!$A28)*(lentry!$B$3:$B$3999&lt;=feb!AA$3)*(lentry!$C$3:$C$3999&gt;=feb!AA$3)),lentry!$D$3:$D$3999),IF(WEEKDAY(feb!AA$3,1)=1,"WO","P"))</f>
        <v>WO</v>
      </c>
      <c r="AB28" s="4" t="str">
        <f>IFERROR(LOOKUP(2,1/((lentry!$A$3:$A$3999=feb!$A28)*(lentry!$B$3:$B$3999&lt;=feb!AB$3)*(lentry!$C$3:$C$3999&gt;=feb!AB$3)),lentry!$D$3:$D$3999),IF(WEEKDAY(feb!AB$3,1)=1,"WO","P"))</f>
        <v>P</v>
      </c>
      <c r="AC28" s="4" t="str">
        <f>IFERROR(LOOKUP(2,1/((lentry!$A$3:$A$3999=feb!$A28)*(lentry!$B$3:$B$3999&lt;=feb!AC$3)*(lentry!$C$3:$C$3999&gt;=feb!AC$3)),lentry!$D$3:$D$3999),IF(WEEKDAY(feb!AC$3,1)=1,"WO","P"))</f>
        <v>P</v>
      </c>
      <c r="AD28" s="4" t="str">
        <f>IFERROR(LOOKUP(2,1/((lentry!$A$3:$A$3999=feb!$A28)*(lentry!$B$3:$B$3999&lt;=feb!AD$3)*(lentry!$C$3:$C$3999&gt;=feb!AD$3)),lentry!$D$3:$D$3999),IF(WEEKDAY(feb!AD$3,1)=1,"WO","P"))</f>
        <v>P</v>
      </c>
      <c r="AE28" s="4" t="str">
        <f>IFERROR(LOOKUP(2,1/((lentry!$A$3:$A$3999=feb!$A28)*(lentry!$B$3:$B$3999&lt;=feb!AE$3)*(lentry!$C$3:$C$3999&gt;=feb!AE$3)),lentry!$D$3:$D$3999),IF(WEEKDAY(feb!AE$3,1)=1,"WO","P"))</f>
        <v>P</v>
      </c>
      <c r="AF28" s="4" t="str">
        <f>IFERROR(LOOKUP(2,1/((lentry!$A$3:$A$3999=feb!$A28)*(lentry!$B$3:$B$3999&lt;=feb!AF$3)*(lentry!$C$3:$C$3999&gt;=feb!AF$3)),lentry!$D$3:$D$3999),IF(WEEKDAY(feb!AF$3,1)=1,"WO","P"))</f>
        <v>P</v>
      </c>
      <c r="AG28" s="4" t="str">
        <f>IFERROR(LOOKUP(2,1/((lentry!$A$3:$A$3999=feb!$A28)*(lentry!$B$3:$B$3999&lt;=feb!AG$3)*(lentry!$C$3:$C$3999&gt;=feb!AG$3)),lentry!$D$3:$D$3999),IF(WEEKDAY(feb!AG$3,1)=1,"WO","P"))</f>
        <v>P</v>
      </c>
      <c r="AH28" s="4">
        <f t="shared" si="3"/>
        <v>3</v>
      </c>
      <c r="AI28" s="4">
        <f t="shared" si="4"/>
        <v>1</v>
      </c>
      <c r="AJ28" s="4">
        <f t="shared" si="5"/>
        <v>0</v>
      </c>
      <c r="AK28" s="4">
        <f t="shared" si="6"/>
        <v>0</v>
      </c>
      <c r="AL28" s="4">
        <f t="shared" si="7"/>
        <v>0</v>
      </c>
      <c r="AM28" s="4">
        <f t="shared" si="8"/>
        <v>0</v>
      </c>
      <c r="AN28" s="4">
        <f t="shared" si="9"/>
        <v>0</v>
      </c>
      <c r="AO28" s="4">
        <f t="shared" si="10"/>
        <v>1</v>
      </c>
      <c r="AP28" s="4">
        <f t="shared" si="11"/>
        <v>23</v>
      </c>
      <c r="AQ28" s="4">
        <f t="shared" si="2"/>
        <v>28</v>
      </c>
      <c r="AR28" s="4">
        <f t="shared" si="12"/>
        <v>27</v>
      </c>
    </row>
    <row r="29" spans="1:44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IFERROR(LOOKUP(2,1/((lentry!$A$3:$A$3999=feb!$A29)*(lentry!$B$3:$B$3999&lt;=feb!F$3)*(lentry!$C$3:$C$3999&gt;=feb!F$3)),lentry!$D$3:$D$3999),IF(WEEKDAY(feb!F$3,1)=1,"WO","P"))</f>
        <v>WO</v>
      </c>
      <c r="G29" s="4" t="str">
        <f>IFERROR(LOOKUP(2,1/((lentry!$A$3:$A$3999=feb!$A29)*(lentry!$B$3:$B$3999&lt;=feb!G$3)*(lentry!$C$3:$C$3999&gt;=feb!G$3)),lentry!$D$3:$D$3999),IF(WEEKDAY(feb!G$3,1)=1,"WO","P"))</f>
        <v>P</v>
      </c>
      <c r="H29" s="4" t="s">
        <v>539</v>
      </c>
      <c r="I29" s="4" t="str">
        <f>IFERROR(LOOKUP(2,1/((lentry!$A$3:$A$3999=feb!$A29)*(lentry!$B$3:$B$3999&lt;=feb!I$3)*(lentry!$C$3:$C$3999&gt;=feb!I$3)),lentry!$D$3:$D$3999),IF(WEEKDAY(feb!I$3,1)=1,"WO","P"))</f>
        <v>P</v>
      </c>
      <c r="J29" s="4" t="str">
        <f>IFERROR(LOOKUP(2,1/((lentry!$A$3:$A$3999=feb!$A29)*(lentry!$B$3:$B$3999&lt;=feb!J$3)*(lentry!$C$3:$C$3999&gt;=feb!J$3)),lentry!$D$3:$D$3999),IF(WEEKDAY(feb!J$3,1)=1,"WO","P"))</f>
        <v>P</v>
      </c>
      <c r="K29" s="4" t="str">
        <f>IFERROR(LOOKUP(2,1/((lentry!$A$3:$A$3999=feb!$A29)*(lentry!$B$3:$B$3999&lt;=feb!K$3)*(lentry!$C$3:$C$3999&gt;=feb!K$3)),lentry!$D$3:$D$3999),IF(WEEKDAY(feb!K$3,1)=1,"WO","P"))</f>
        <v>P</v>
      </c>
      <c r="L29" s="4" t="str">
        <f>IFERROR(LOOKUP(2,1/((lentry!$A$3:$A$3999=feb!$A29)*(lentry!$B$3:$B$3999&lt;=feb!L$3)*(lentry!$C$3:$C$3999&gt;=feb!L$3)),lentry!$D$3:$D$3999),IF(WEEKDAY(feb!L$3,1)=1,"WO","P"))</f>
        <v>P</v>
      </c>
      <c r="M29" s="4" t="str">
        <f>IFERROR(LOOKUP(2,1/((lentry!$A$3:$A$3999=feb!$A29)*(lentry!$B$3:$B$3999&lt;=feb!M$3)*(lentry!$C$3:$C$3999&gt;=feb!M$3)),lentry!$D$3:$D$3999),IF(WEEKDAY(feb!M$3,1)=1,"WO","P"))</f>
        <v>WO</v>
      </c>
      <c r="N29" s="4" t="str">
        <f>IFERROR(LOOKUP(2,1/((lentry!$A$3:$A$3999=feb!$A29)*(lentry!$B$3:$B$3999&lt;=feb!N$3)*(lentry!$C$3:$C$3999&gt;=feb!N$3)),lentry!$D$3:$D$3999),IF(WEEKDAY(feb!N$3,1)=1,"WO","P"))</f>
        <v>P</v>
      </c>
      <c r="O29" s="4" t="str">
        <f>IFERROR(LOOKUP(2,1/((lentry!$A$3:$A$3999=feb!$A29)*(lentry!$B$3:$B$3999&lt;=feb!O$3)*(lentry!$C$3:$C$3999&gt;=feb!O$3)),lentry!$D$3:$D$3999),IF(WEEKDAY(feb!O$3,1)=1,"WO","P"))</f>
        <v>P</v>
      </c>
      <c r="P29" s="4" t="str">
        <f>IFERROR(LOOKUP(2,1/((lentry!$A$3:$A$3999=feb!$A29)*(lentry!$B$3:$B$3999&lt;=feb!P$3)*(lentry!$C$3:$C$3999&gt;=feb!P$3)),lentry!$D$3:$D$3999),IF(WEEKDAY(feb!P$3,1)=1,"WO","P"))</f>
        <v>P</v>
      </c>
      <c r="Q29" s="4" t="str">
        <f>IFERROR(LOOKUP(2,1/((lentry!$A$3:$A$3999=feb!$A29)*(lentry!$B$3:$B$3999&lt;=feb!Q$3)*(lentry!$C$3:$C$3999&gt;=feb!Q$3)),lentry!$D$3:$D$3999),IF(WEEKDAY(feb!Q$3,1)=1,"WO","P"))</f>
        <v>P</v>
      </c>
      <c r="R29" s="4" t="str">
        <f>IFERROR(LOOKUP(2,1/((lentry!$A$3:$A$3999=feb!$A29)*(lentry!$B$3:$B$3999&lt;=feb!R$3)*(lentry!$C$3:$C$3999&gt;=feb!R$3)),lentry!$D$3:$D$3999),IF(WEEKDAY(feb!R$3,1)=1,"WO","P"))</f>
        <v>P</v>
      </c>
      <c r="S29" s="4" t="str">
        <f>IFERROR(LOOKUP(2,1/((lentry!$A$3:$A$3999=feb!$A29)*(lentry!$B$3:$B$3999&lt;=feb!S$3)*(lentry!$C$3:$C$3999&gt;=feb!S$3)),lentry!$D$3:$D$3999),IF(WEEKDAY(feb!S$3,1)=1,"WO","P"))</f>
        <v>P</v>
      </c>
      <c r="T29" s="4" t="s">
        <v>350</v>
      </c>
      <c r="U29" s="4" t="str">
        <f>IFERROR(LOOKUP(2,1/((lentry!$A$3:$A$3999=feb!$A29)*(lentry!$B$3:$B$3999&lt;=feb!U$3)*(lentry!$C$3:$C$3999&gt;=feb!U$3)),lentry!$D$3:$D$3999),IF(WEEKDAY(feb!U$3,1)=1,"WO","P"))</f>
        <v>P</v>
      </c>
      <c r="V29" s="4" t="str">
        <f>IFERROR(LOOKUP(2,1/((lentry!$A$3:$A$3999=feb!$A29)*(lentry!$B$3:$B$3999&lt;=feb!V$3)*(lentry!$C$3:$C$3999&gt;=feb!V$3)),lentry!$D$3:$D$3999),IF(WEEKDAY(feb!V$3,1)=1,"WO","P"))</f>
        <v>P</v>
      </c>
      <c r="W29" s="4" t="str">
        <f>IFERROR(LOOKUP(2,1/((lentry!$A$3:$A$3999=feb!$A29)*(lentry!$B$3:$B$3999&lt;=feb!W$3)*(lentry!$C$3:$C$3999&gt;=feb!W$3)),lentry!$D$3:$D$3999),IF(WEEKDAY(feb!W$3,1)=1,"WO","P"))</f>
        <v>P</v>
      </c>
      <c r="X29" s="4" t="str">
        <f>IFERROR(LOOKUP(2,1/((lentry!$A$3:$A$3999=feb!$A29)*(lentry!$B$3:$B$3999&lt;=feb!X$3)*(lentry!$C$3:$C$3999&gt;=feb!X$3)),lentry!$D$3:$D$3999),IF(WEEKDAY(feb!X$3,1)=1,"WO","P"))</f>
        <v>P</v>
      </c>
      <c r="Y29" s="4" t="str">
        <f>IFERROR(LOOKUP(2,1/((lentry!$A$3:$A$3999=feb!$A29)*(lentry!$B$3:$B$3999&lt;=feb!Y$3)*(lentry!$C$3:$C$3999&gt;=feb!Y$3)),lentry!$D$3:$D$3999),IF(WEEKDAY(feb!Y$3,1)=1,"WO","P"))</f>
        <v>P</v>
      </c>
      <c r="Z29" s="4" t="str">
        <f>IFERROR(LOOKUP(2,1/((lentry!$A$3:$A$3999=feb!$A29)*(lentry!$B$3:$B$3999&lt;=feb!Z$3)*(lentry!$C$3:$C$3999&gt;=feb!Z$3)),lentry!$D$3:$D$3999),IF(WEEKDAY(feb!Z$3,1)=1,"WO","P"))</f>
        <v>P</v>
      </c>
      <c r="AA29" s="4" t="str">
        <f>IFERROR(LOOKUP(2,1/((lentry!$A$3:$A$3999=feb!$A29)*(lentry!$B$3:$B$3999&lt;=feb!AA$3)*(lentry!$C$3:$C$3999&gt;=feb!AA$3)),lentry!$D$3:$D$3999),IF(WEEKDAY(feb!AA$3,1)=1,"WO","P"))</f>
        <v>WO</v>
      </c>
      <c r="AB29" s="4" t="str">
        <f>IFERROR(LOOKUP(2,1/((lentry!$A$3:$A$3999=feb!$A29)*(lentry!$B$3:$B$3999&lt;=feb!AB$3)*(lentry!$C$3:$C$3999&gt;=feb!AB$3)),lentry!$D$3:$D$3999),IF(WEEKDAY(feb!AB$3,1)=1,"WO","P"))</f>
        <v>P</v>
      </c>
      <c r="AC29" s="4" t="str">
        <f>IFERROR(LOOKUP(2,1/((lentry!$A$3:$A$3999=feb!$A29)*(lentry!$B$3:$B$3999&lt;=feb!AC$3)*(lentry!$C$3:$C$3999&gt;=feb!AC$3)),lentry!$D$3:$D$3999),IF(WEEKDAY(feb!AC$3,1)=1,"WO","P"))</f>
        <v>P</v>
      </c>
      <c r="AD29" s="4" t="str">
        <f>IFERROR(LOOKUP(2,1/((lentry!$A$3:$A$3999=feb!$A29)*(lentry!$B$3:$B$3999&lt;=feb!AD$3)*(lentry!$C$3:$C$3999&gt;=feb!AD$3)),lentry!$D$3:$D$3999),IF(WEEKDAY(feb!AD$3,1)=1,"WO","P"))</f>
        <v>P</v>
      </c>
      <c r="AE29" s="4" t="s">
        <v>539</v>
      </c>
      <c r="AF29" s="4" t="str">
        <f>IFERROR(LOOKUP(2,1/((lentry!$A$3:$A$3999=feb!$A29)*(lentry!$B$3:$B$3999&lt;=feb!AF$3)*(lentry!$C$3:$C$3999&gt;=feb!AF$3)),lentry!$D$3:$D$3999),IF(WEEKDAY(feb!AF$3,1)=1,"WO","P"))</f>
        <v>P</v>
      </c>
      <c r="AG29" s="4" t="str">
        <f>IFERROR(LOOKUP(2,1/((lentry!$A$3:$A$3999=feb!$A29)*(lentry!$B$3:$B$3999&lt;=feb!AG$3)*(lentry!$C$3:$C$3999&gt;=feb!AG$3)),lentry!$D$3:$D$3999),IF(WEEKDAY(feb!AG$3,1)=1,"WO","P"))</f>
        <v>P</v>
      </c>
      <c r="AH29" s="4">
        <f t="shared" si="3"/>
        <v>3</v>
      </c>
      <c r="AI29" s="4">
        <f t="shared" si="4"/>
        <v>1</v>
      </c>
      <c r="AJ29" s="4">
        <f t="shared" si="5"/>
        <v>0</v>
      </c>
      <c r="AK29" s="4">
        <f t="shared" si="6"/>
        <v>0</v>
      </c>
      <c r="AL29" s="4">
        <f t="shared" si="7"/>
        <v>0</v>
      </c>
      <c r="AM29" s="4">
        <f t="shared" si="8"/>
        <v>0</v>
      </c>
      <c r="AN29" s="4">
        <f t="shared" si="9"/>
        <v>0</v>
      </c>
      <c r="AO29" s="4">
        <f t="shared" si="10"/>
        <v>2</v>
      </c>
      <c r="AP29" s="4">
        <f t="shared" si="11"/>
        <v>22</v>
      </c>
      <c r="AQ29" s="4">
        <f t="shared" si="2"/>
        <v>28</v>
      </c>
      <c r="AR29" s="4">
        <f t="shared" si="12"/>
        <v>26</v>
      </c>
    </row>
    <row r="30" spans="1:44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IFERROR(LOOKUP(2,1/((lentry!$A$3:$A$3999=feb!$A30)*(lentry!$B$3:$B$3999&lt;=feb!F$3)*(lentry!$C$3:$C$3999&gt;=feb!F$3)),lentry!$D$3:$D$3999),IF(WEEKDAY(feb!F$3,1)=1,"WO","P"))</f>
        <v>WO</v>
      </c>
      <c r="G30" s="4" t="str">
        <f>IFERROR(LOOKUP(2,1/((lentry!$A$3:$A$3999=feb!$A30)*(lentry!$B$3:$B$3999&lt;=feb!G$3)*(lentry!$C$3:$C$3999&gt;=feb!G$3)),lentry!$D$3:$D$3999),IF(WEEKDAY(feb!G$3,1)=1,"WO","P"))</f>
        <v>P</v>
      </c>
      <c r="H30" s="4" t="str">
        <f>IFERROR(LOOKUP(2,1/((lentry!$A$3:$A$3999=feb!$A30)*(lentry!$B$3:$B$3999&lt;=feb!H$3)*(lentry!$C$3:$C$3999&gt;=feb!H$3)),lentry!$D$3:$D$3999),IF(WEEKDAY(feb!H$3,1)=1,"WO","P"))</f>
        <v>P</v>
      </c>
      <c r="I30" s="4" t="str">
        <f>IFERROR(LOOKUP(2,1/((lentry!$A$3:$A$3999=feb!$A30)*(lentry!$B$3:$B$3999&lt;=feb!I$3)*(lentry!$C$3:$C$3999&gt;=feb!I$3)),lentry!$D$3:$D$3999),IF(WEEKDAY(feb!I$3,1)=1,"WO","P"))</f>
        <v>P</v>
      </c>
      <c r="J30" s="4" t="str">
        <f>IFERROR(LOOKUP(2,1/((lentry!$A$3:$A$3999=feb!$A30)*(lentry!$B$3:$B$3999&lt;=feb!J$3)*(lentry!$C$3:$C$3999&gt;=feb!J$3)),lentry!$D$3:$D$3999),IF(WEEKDAY(feb!J$3,1)=1,"WO","P"))</f>
        <v>P</v>
      </c>
      <c r="K30" s="4" t="str">
        <f>IFERROR(LOOKUP(2,1/((lentry!$A$3:$A$3999=feb!$A30)*(lentry!$B$3:$B$3999&lt;=feb!K$3)*(lentry!$C$3:$C$3999&gt;=feb!K$3)),lentry!$D$3:$D$3999),IF(WEEKDAY(feb!K$3,1)=1,"WO","P"))</f>
        <v>P</v>
      </c>
      <c r="L30" s="4" t="str">
        <f>IFERROR(LOOKUP(2,1/((lentry!$A$3:$A$3999=feb!$A30)*(lentry!$B$3:$B$3999&lt;=feb!L$3)*(lentry!$C$3:$C$3999&gt;=feb!L$3)),lentry!$D$3:$D$3999),IF(WEEKDAY(feb!L$3,1)=1,"WO","P"))</f>
        <v>P</v>
      </c>
      <c r="M30" s="4" t="str">
        <f>IFERROR(LOOKUP(2,1/((lentry!$A$3:$A$3999=feb!$A30)*(lentry!$B$3:$B$3999&lt;=feb!M$3)*(lentry!$C$3:$C$3999&gt;=feb!M$3)),lentry!$D$3:$D$3999),IF(WEEKDAY(feb!M$3,1)=1,"WO","P"))</f>
        <v>WO</v>
      </c>
      <c r="N30" s="4" t="str">
        <f>IFERROR(LOOKUP(2,1/((lentry!$A$3:$A$3999=feb!$A30)*(lentry!$B$3:$B$3999&lt;=feb!N$3)*(lentry!$C$3:$C$3999&gt;=feb!N$3)),lentry!$D$3:$D$3999),IF(WEEKDAY(feb!N$3,1)=1,"WO","P"))</f>
        <v>P</v>
      </c>
      <c r="O30" s="4" t="str">
        <f>IFERROR(LOOKUP(2,1/((lentry!$A$3:$A$3999=feb!$A30)*(lentry!$B$3:$B$3999&lt;=feb!O$3)*(lentry!$C$3:$C$3999&gt;=feb!O$3)),lentry!$D$3:$D$3999),IF(WEEKDAY(feb!O$3,1)=1,"WO","P"))</f>
        <v>P</v>
      </c>
      <c r="P30" s="4" t="str">
        <f>IFERROR(LOOKUP(2,1/((lentry!$A$3:$A$3999=feb!$A30)*(lentry!$B$3:$B$3999&lt;=feb!P$3)*(lentry!$C$3:$C$3999&gt;=feb!P$3)),lentry!$D$3:$D$3999),IF(WEEKDAY(feb!P$3,1)=1,"WO","P"))</f>
        <v>P</v>
      </c>
      <c r="Q30" s="4" t="str">
        <f>IFERROR(LOOKUP(2,1/((lentry!$A$3:$A$3999=feb!$A30)*(lentry!$B$3:$B$3999&lt;=feb!Q$3)*(lentry!$C$3:$C$3999&gt;=feb!Q$3)),lentry!$D$3:$D$3999),IF(WEEKDAY(feb!Q$3,1)=1,"WO","P"))</f>
        <v>P</v>
      </c>
      <c r="R30" s="4" t="str">
        <f>IFERROR(LOOKUP(2,1/((lentry!$A$3:$A$3999=feb!$A30)*(lentry!$B$3:$B$3999&lt;=feb!R$3)*(lentry!$C$3:$C$3999&gt;=feb!R$3)),lentry!$D$3:$D$3999),IF(WEEKDAY(feb!R$3,1)=1,"WO","P"))</f>
        <v>P</v>
      </c>
      <c r="S30" s="4" t="str">
        <f>IFERROR(LOOKUP(2,1/((lentry!$A$3:$A$3999=feb!$A30)*(lentry!$B$3:$B$3999&lt;=feb!S$3)*(lentry!$C$3:$C$3999&gt;=feb!S$3)),lentry!$D$3:$D$3999),IF(WEEKDAY(feb!S$3,1)=1,"WO","P"))</f>
        <v>P</v>
      </c>
      <c r="T30" s="4" t="s">
        <v>350</v>
      </c>
      <c r="U30" s="4" t="str">
        <f>IFERROR(LOOKUP(2,1/((lentry!$A$3:$A$3999=feb!$A30)*(lentry!$B$3:$B$3999&lt;=feb!U$3)*(lentry!$C$3:$C$3999&gt;=feb!U$3)),lentry!$D$3:$D$3999),IF(WEEKDAY(feb!U$3,1)=1,"WO","P"))</f>
        <v>P</v>
      </c>
      <c r="V30" s="4" t="str">
        <f>IFERROR(LOOKUP(2,1/((lentry!$A$3:$A$3999=feb!$A30)*(lentry!$B$3:$B$3999&lt;=feb!V$3)*(lentry!$C$3:$C$3999&gt;=feb!V$3)),lentry!$D$3:$D$3999),IF(WEEKDAY(feb!V$3,1)=1,"WO","P"))</f>
        <v>P</v>
      </c>
      <c r="W30" s="4" t="str">
        <f>IFERROR(LOOKUP(2,1/((lentry!$A$3:$A$3999=feb!$A30)*(lentry!$B$3:$B$3999&lt;=feb!W$3)*(lentry!$C$3:$C$3999&gt;=feb!W$3)),lentry!$D$3:$D$3999),IF(WEEKDAY(feb!W$3,1)=1,"WO","P"))</f>
        <v>P</v>
      </c>
      <c r="X30" s="4" t="str">
        <f>IFERROR(LOOKUP(2,1/((lentry!$A$3:$A$3999=feb!$A30)*(lentry!$B$3:$B$3999&lt;=feb!X$3)*(lentry!$C$3:$C$3999&gt;=feb!X$3)),lentry!$D$3:$D$3999),IF(WEEKDAY(feb!X$3,1)=1,"WO","P"))</f>
        <v>P</v>
      </c>
      <c r="Y30" s="4" t="str">
        <f>IFERROR(LOOKUP(2,1/((lentry!$A$3:$A$3999=feb!$A30)*(lentry!$B$3:$B$3999&lt;=feb!Y$3)*(lentry!$C$3:$C$3999&gt;=feb!Y$3)),lentry!$D$3:$D$3999),IF(WEEKDAY(feb!Y$3,1)=1,"WO","P"))</f>
        <v>P</v>
      </c>
      <c r="Z30" s="4" t="str">
        <f>IFERROR(LOOKUP(2,1/((lentry!$A$3:$A$3999=feb!$A30)*(lentry!$B$3:$B$3999&lt;=feb!Z$3)*(lentry!$C$3:$C$3999&gt;=feb!Z$3)),lentry!$D$3:$D$3999),IF(WEEKDAY(feb!Z$3,1)=1,"WO","P"))</f>
        <v>P</v>
      </c>
      <c r="AA30" s="4" t="str">
        <f>IFERROR(LOOKUP(2,1/((lentry!$A$3:$A$3999=feb!$A30)*(lentry!$B$3:$B$3999&lt;=feb!AA$3)*(lentry!$C$3:$C$3999&gt;=feb!AA$3)),lentry!$D$3:$D$3999),IF(WEEKDAY(feb!AA$3,1)=1,"WO","P"))</f>
        <v>WO</v>
      </c>
      <c r="AB30" s="4" t="str">
        <f>IFERROR(LOOKUP(2,1/((lentry!$A$3:$A$3999=feb!$A30)*(lentry!$B$3:$B$3999&lt;=feb!AB$3)*(lentry!$C$3:$C$3999&gt;=feb!AB$3)),lentry!$D$3:$D$3999),IF(WEEKDAY(feb!AB$3,1)=1,"WO","P"))</f>
        <v>P</v>
      </c>
      <c r="AC30" s="4" t="str">
        <f>IFERROR(LOOKUP(2,1/((lentry!$A$3:$A$3999=feb!$A30)*(lentry!$B$3:$B$3999&lt;=feb!AC$3)*(lentry!$C$3:$C$3999&gt;=feb!AC$3)),lentry!$D$3:$D$3999),IF(WEEKDAY(feb!AC$3,1)=1,"WO","P"))</f>
        <v>P</v>
      </c>
      <c r="AD30" s="4" t="str">
        <f>IFERROR(LOOKUP(2,1/((lentry!$A$3:$A$3999=feb!$A30)*(lentry!$B$3:$B$3999&lt;=feb!AD$3)*(lentry!$C$3:$C$3999&gt;=feb!AD$3)),lentry!$D$3:$D$3999),IF(WEEKDAY(feb!AD$3,1)=1,"WO","P"))</f>
        <v>P</v>
      </c>
      <c r="AE30" s="4" t="str">
        <f>IFERROR(LOOKUP(2,1/((lentry!$A$3:$A$3999=feb!$A30)*(lentry!$B$3:$B$3999&lt;=feb!AE$3)*(lentry!$C$3:$C$3999&gt;=feb!AE$3)),lentry!$D$3:$D$3999),IF(WEEKDAY(feb!AE$3,1)=1,"WO","P"))</f>
        <v>P</v>
      </c>
      <c r="AF30" s="4" t="str">
        <f>IFERROR(LOOKUP(2,1/((lentry!$A$3:$A$3999=feb!$A30)*(lentry!$B$3:$B$3999&lt;=feb!AF$3)*(lentry!$C$3:$C$3999&gt;=feb!AF$3)),lentry!$D$3:$D$3999),IF(WEEKDAY(feb!AF$3,1)=1,"WO","P"))</f>
        <v>P</v>
      </c>
      <c r="AG30" s="4" t="str">
        <f>IFERROR(LOOKUP(2,1/((lentry!$A$3:$A$3999=feb!$A30)*(lentry!$B$3:$B$3999&lt;=feb!AG$3)*(lentry!$C$3:$C$3999&gt;=feb!AG$3)),lentry!$D$3:$D$3999),IF(WEEKDAY(feb!AG$3,1)=1,"WO","P"))</f>
        <v>P</v>
      </c>
      <c r="AH30" s="4">
        <f t="shared" si="3"/>
        <v>3</v>
      </c>
      <c r="AI30" s="4">
        <f t="shared" si="4"/>
        <v>1</v>
      </c>
      <c r="AJ30" s="4">
        <f t="shared" si="5"/>
        <v>0</v>
      </c>
      <c r="AK30" s="4">
        <f t="shared" si="6"/>
        <v>0</v>
      </c>
      <c r="AL30" s="4">
        <f t="shared" si="7"/>
        <v>0</v>
      </c>
      <c r="AM30" s="4">
        <f t="shared" si="8"/>
        <v>0</v>
      </c>
      <c r="AN30" s="4">
        <f t="shared" si="9"/>
        <v>0</v>
      </c>
      <c r="AO30" s="4">
        <f t="shared" si="10"/>
        <v>0</v>
      </c>
      <c r="AP30" s="4">
        <f t="shared" si="11"/>
        <v>24</v>
      </c>
      <c r="AQ30" s="4">
        <f t="shared" si="2"/>
        <v>28</v>
      </c>
      <c r="AR30" s="4">
        <f t="shared" si="12"/>
        <v>28</v>
      </c>
    </row>
    <row r="31" spans="1:44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IFERROR(LOOKUP(2,1/((lentry!$A$3:$A$3999=feb!$A31)*(lentry!$B$3:$B$3999&lt;=feb!F$3)*(lentry!$C$3:$C$3999&gt;=feb!F$3)),lentry!$D$3:$D$3999),IF(WEEKDAY(feb!F$3,1)=1,"WO","P"))</f>
        <v>WO</v>
      </c>
      <c r="G31" s="4" t="str">
        <f>IFERROR(LOOKUP(2,1/((lentry!$A$3:$A$3999=feb!$A31)*(lentry!$B$3:$B$3999&lt;=feb!G$3)*(lentry!$C$3:$C$3999&gt;=feb!G$3)),lentry!$D$3:$D$3999),IF(WEEKDAY(feb!G$3,1)=1,"WO","P"))</f>
        <v>P</v>
      </c>
      <c r="H31" s="4" t="str">
        <f>IFERROR(LOOKUP(2,1/((lentry!$A$3:$A$3999=feb!$A31)*(lentry!$B$3:$B$3999&lt;=feb!H$3)*(lentry!$C$3:$C$3999&gt;=feb!H$3)),lentry!$D$3:$D$3999),IF(WEEKDAY(feb!H$3,1)=1,"WO","P"))</f>
        <v>P</v>
      </c>
      <c r="I31" s="4" t="str">
        <f>IFERROR(LOOKUP(2,1/((lentry!$A$3:$A$3999=feb!$A31)*(lentry!$B$3:$B$3999&lt;=feb!I$3)*(lentry!$C$3:$C$3999&gt;=feb!I$3)),lentry!$D$3:$D$3999),IF(WEEKDAY(feb!I$3,1)=1,"WO","P"))</f>
        <v>P</v>
      </c>
      <c r="J31" s="4" t="str">
        <f>IFERROR(LOOKUP(2,1/((lentry!$A$3:$A$3999=feb!$A31)*(lentry!$B$3:$B$3999&lt;=feb!J$3)*(lentry!$C$3:$C$3999&gt;=feb!J$3)),lentry!$D$3:$D$3999),IF(WEEKDAY(feb!J$3,1)=1,"WO","P"))</f>
        <v>P</v>
      </c>
      <c r="K31" s="4" t="str">
        <f>IFERROR(LOOKUP(2,1/((lentry!$A$3:$A$3999=feb!$A31)*(lentry!$B$3:$B$3999&lt;=feb!K$3)*(lentry!$C$3:$C$3999&gt;=feb!K$3)),lentry!$D$3:$D$3999),IF(WEEKDAY(feb!K$3,1)=1,"WO","P"))</f>
        <v>P</v>
      </c>
      <c r="L31" s="4" t="str">
        <f>IFERROR(LOOKUP(2,1/((lentry!$A$3:$A$3999=feb!$A31)*(lentry!$B$3:$B$3999&lt;=feb!L$3)*(lentry!$C$3:$C$3999&gt;=feb!L$3)),lentry!$D$3:$D$3999),IF(WEEKDAY(feb!L$3,1)=1,"WO","P"))</f>
        <v>P</v>
      </c>
      <c r="M31" s="4" t="str">
        <f>IFERROR(LOOKUP(2,1/((lentry!$A$3:$A$3999=feb!$A31)*(lentry!$B$3:$B$3999&lt;=feb!M$3)*(lentry!$C$3:$C$3999&gt;=feb!M$3)),lentry!$D$3:$D$3999),IF(WEEKDAY(feb!M$3,1)=1,"WO","P"))</f>
        <v>WO</v>
      </c>
      <c r="N31" s="4" t="str">
        <f>IFERROR(LOOKUP(2,1/((lentry!$A$3:$A$3999=feb!$A31)*(lentry!$B$3:$B$3999&lt;=feb!N$3)*(lentry!$C$3:$C$3999&gt;=feb!N$3)),lentry!$D$3:$D$3999),IF(WEEKDAY(feb!N$3,1)=1,"WO","P"))</f>
        <v>P</v>
      </c>
      <c r="O31" s="4" t="str">
        <f>IFERROR(LOOKUP(2,1/((lentry!$A$3:$A$3999=feb!$A31)*(lentry!$B$3:$B$3999&lt;=feb!O$3)*(lentry!$C$3:$C$3999&gt;=feb!O$3)),lentry!$D$3:$D$3999),IF(WEEKDAY(feb!O$3,1)=1,"WO","P"))</f>
        <v>P</v>
      </c>
      <c r="P31" s="4" t="str">
        <f>IFERROR(LOOKUP(2,1/((lentry!$A$3:$A$3999=feb!$A31)*(lentry!$B$3:$B$3999&lt;=feb!P$3)*(lentry!$C$3:$C$3999&gt;=feb!P$3)),lentry!$D$3:$D$3999),IF(WEEKDAY(feb!P$3,1)=1,"WO","P"))</f>
        <v>P</v>
      </c>
      <c r="Q31" s="4" t="str">
        <f>IFERROR(LOOKUP(2,1/((lentry!$A$3:$A$3999=feb!$A31)*(lentry!$B$3:$B$3999&lt;=feb!Q$3)*(lentry!$C$3:$C$3999&gt;=feb!Q$3)),lentry!$D$3:$D$3999),IF(WEEKDAY(feb!Q$3,1)=1,"WO","P"))</f>
        <v>P</v>
      </c>
      <c r="R31" s="4" t="str">
        <f>IFERROR(LOOKUP(2,1/((lentry!$A$3:$A$3999=feb!$A31)*(lentry!$B$3:$B$3999&lt;=feb!R$3)*(lentry!$C$3:$C$3999&gt;=feb!R$3)),lentry!$D$3:$D$3999),IF(WEEKDAY(feb!R$3,1)=1,"WO","P"))</f>
        <v>P</v>
      </c>
      <c r="S31" s="4" t="str">
        <f>IFERROR(LOOKUP(2,1/((lentry!$A$3:$A$3999=feb!$A31)*(lentry!$B$3:$B$3999&lt;=feb!S$3)*(lentry!$C$3:$C$3999&gt;=feb!S$3)),lentry!$D$3:$D$3999),IF(WEEKDAY(feb!S$3,1)=1,"WO","P"))</f>
        <v>P</v>
      </c>
      <c r="T31" s="4" t="s">
        <v>350</v>
      </c>
      <c r="U31" s="4" t="str">
        <f>IFERROR(LOOKUP(2,1/((lentry!$A$3:$A$3999=feb!$A31)*(lentry!$B$3:$B$3999&lt;=feb!U$3)*(lentry!$C$3:$C$3999&gt;=feb!U$3)),lentry!$D$3:$D$3999),IF(WEEKDAY(feb!U$3,1)=1,"WO","P"))</f>
        <v>P</v>
      </c>
      <c r="V31" s="4" t="str">
        <f>IFERROR(LOOKUP(2,1/((lentry!$A$3:$A$3999=feb!$A31)*(lentry!$B$3:$B$3999&lt;=feb!V$3)*(lentry!$C$3:$C$3999&gt;=feb!V$3)),lentry!$D$3:$D$3999),IF(WEEKDAY(feb!V$3,1)=1,"WO","P"))</f>
        <v>P</v>
      </c>
      <c r="W31" s="4" t="str">
        <f>IFERROR(LOOKUP(2,1/((lentry!$A$3:$A$3999=feb!$A31)*(lentry!$B$3:$B$3999&lt;=feb!W$3)*(lentry!$C$3:$C$3999&gt;=feb!W$3)),lentry!$D$3:$D$3999),IF(WEEKDAY(feb!W$3,1)=1,"WO","P"))</f>
        <v>P</v>
      </c>
      <c r="X31" s="4" t="str">
        <f>IFERROR(LOOKUP(2,1/((lentry!$A$3:$A$3999=feb!$A31)*(lentry!$B$3:$B$3999&lt;=feb!X$3)*(lentry!$C$3:$C$3999&gt;=feb!X$3)),lentry!$D$3:$D$3999),IF(WEEKDAY(feb!X$3,1)=1,"WO","P"))</f>
        <v>P</v>
      </c>
      <c r="Y31" s="4" t="str">
        <f>IFERROR(LOOKUP(2,1/((lentry!$A$3:$A$3999=feb!$A31)*(lentry!$B$3:$B$3999&lt;=feb!Y$3)*(lentry!$C$3:$C$3999&gt;=feb!Y$3)),lentry!$D$3:$D$3999),IF(WEEKDAY(feb!Y$3,1)=1,"WO","P"))</f>
        <v>P</v>
      </c>
      <c r="Z31" s="4" t="str">
        <f>IFERROR(LOOKUP(2,1/((lentry!$A$3:$A$3999=feb!$A31)*(lentry!$B$3:$B$3999&lt;=feb!Z$3)*(lentry!$C$3:$C$3999&gt;=feb!Z$3)),lentry!$D$3:$D$3999),IF(WEEKDAY(feb!Z$3,1)=1,"WO","P"))</f>
        <v>P</v>
      </c>
      <c r="AA31" s="4" t="str">
        <f>IFERROR(LOOKUP(2,1/((lentry!$A$3:$A$3999=feb!$A31)*(lentry!$B$3:$B$3999&lt;=feb!AA$3)*(lentry!$C$3:$C$3999&gt;=feb!AA$3)),lentry!$D$3:$D$3999),IF(WEEKDAY(feb!AA$3,1)=1,"WO","P"))</f>
        <v>WO</v>
      </c>
      <c r="AB31" s="4" t="str">
        <f>IFERROR(LOOKUP(2,1/((lentry!$A$3:$A$3999=feb!$A31)*(lentry!$B$3:$B$3999&lt;=feb!AB$3)*(lentry!$C$3:$C$3999&gt;=feb!AB$3)),lentry!$D$3:$D$3999),IF(WEEKDAY(feb!AB$3,1)=1,"WO","P"))</f>
        <v>P</v>
      </c>
      <c r="AC31" s="4" t="s">
        <v>539</v>
      </c>
      <c r="AD31" s="4" t="str">
        <f>IFERROR(LOOKUP(2,1/((lentry!$A$3:$A$3999=feb!$A31)*(lentry!$B$3:$B$3999&lt;=feb!AD$3)*(lentry!$C$3:$C$3999&gt;=feb!AD$3)),lentry!$D$3:$D$3999),IF(WEEKDAY(feb!AD$3,1)=1,"WO","P"))</f>
        <v>P</v>
      </c>
      <c r="AE31" s="4" t="str">
        <f>IFERROR(LOOKUP(2,1/((lentry!$A$3:$A$3999=feb!$A31)*(lentry!$B$3:$B$3999&lt;=feb!AE$3)*(lentry!$C$3:$C$3999&gt;=feb!AE$3)),lentry!$D$3:$D$3999),IF(WEEKDAY(feb!AE$3,1)=1,"WO","P"))</f>
        <v>P</v>
      </c>
      <c r="AF31" s="4" t="str">
        <f>IFERROR(LOOKUP(2,1/((lentry!$A$3:$A$3999=feb!$A31)*(lentry!$B$3:$B$3999&lt;=feb!AF$3)*(lentry!$C$3:$C$3999&gt;=feb!AF$3)),lentry!$D$3:$D$3999),IF(WEEKDAY(feb!AF$3,1)=1,"WO","P"))</f>
        <v>P</v>
      </c>
      <c r="AG31" s="4" t="str">
        <f>IFERROR(LOOKUP(2,1/((lentry!$A$3:$A$3999=feb!$A31)*(lentry!$B$3:$B$3999&lt;=feb!AG$3)*(lentry!$C$3:$C$3999&gt;=feb!AG$3)),lentry!$D$3:$D$3999),IF(WEEKDAY(feb!AG$3,1)=1,"WO","P"))</f>
        <v>P</v>
      </c>
      <c r="AH31" s="4">
        <f t="shared" si="3"/>
        <v>3</v>
      </c>
      <c r="AI31" s="4">
        <f t="shared" si="4"/>
        <v>1</v>
      </c>
      <c r="AJ31" s="4">
        <f t="shared" si="5"/>
        <v>0</v>
      </c>
      <c r="AK31" s="4">
        <f t="shared" si="6"/>
        <v>0</v>
      </c>
      <c r="AL31" s="4">
        <f t="shared" si="7"/>
        <v>0</v>
      </c>
      <c r="AM31" s="4">
        <f t="shared" si="8"/>
        <v>0</v>
      </c>
      <c r="AN31" s="4">
        <f t="shared" si="9"/>
        <v>0</v>
      </c>
      <c r="AO31" s="4">
        <f t="shared" si="10"/>
        <v>1</v>
      </c>
      <c r="AP31" s="4">
        <f t="shared" si="11"/>
        <v>23</v>
      </c>
      <c r="AQ31" s="4">
        <f t="shared" si="2"/>
        <v>28</v>
      </c>
      <c r="AR31" s="4">
        <f t="shared" si="12"/>
        <v>27</v>
      </c>
    </row>
    <row r="32" spans="1:44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IFERROR(LOOKUP(2,1/((lentry!$A$3:$A$3999=feb!$A32)*(lentry!$B$3:$B$3999&lt;=feb!F$3)*(lentry!$C$3:$C$3999&gt;=feb!F$3)),lentry!$D$3:$D$3999),IF(WEEKDAY(feb!F$3,1)=1,"WO","P"))</f>
        <v>WO</v>
      </c>
      <c r="G32" s="4" t="str">
        <f>IFERROR(LOOKUP(2,1/((lentry!$A$3:$A$3999=feb!$A32)*(lentry!$B$3:$B$3999&lt;=feb!G$3)*(lentry!$C$3:$C$3999&gt;=feb!G$3)),lentry!$D$3:$D$3999),IF(WEEKDAY(feb!G$3,1)=1,"WO","P"))</f>
        <v>P</v>
      </c>
      <c r="H32" s="4" t="str">
        <f>IFERROR(LOOKUP(2,1/((lentry!$A$3:$A$3999=feb!$A32)*(lentry!$B$3:$B$3999&lt;=feb!H$3)*(lentry!$C$3:$C$3999&gt;=feb!H$3)),lentry!$D$3:$D$3999),IF(WEEKDAY(feb!H$3,1)=1,"WO","P"))</f>
        <v>P</v>
      </c>
      <c r="I32" s="4" t="str">
        <f>IFERROR(LOOKUP(2,1/((lentry!$A$3:$A$3999=feb!$A32)*(lentry!$B$3:$B$3999&lt;=feb!I$3)*(lentry!$C$3:$C$3999&gt;=feb!I$3)),lentry!$D$3:$D$3999),IF(WEEKDAY(feb!I$3,1)=1,"WO","P"))</f>
        <v>P</v>
      </c>
      <c r="J32" s="4" t="str">
        <f>IFERROR(LOOKUP(2,1/((lentry!$A$3:$A$3999=feb!$A32)*(lentry!$B$3:$B$3999&lt;=feb!J$3)*(lentry!$C$3:$C$3999&gt;=feb!J$3)),lentry!$D$3:$D$3999),IF(WEEKDAY(feb!J$3,1)=1,"WO","P"))</f>
        <v>LWP</v>
      </c>
      <c r="K32" s="4" t="str">
        <f>IFERROR(LOOKUP(2,1/((lentry!$A$3:$A$3999=feb!$A32)*(lentry!$B$3:$B$3999&lt;=feb!K$3)*(lentry!$C$3:$C$3999&gt;=feb!K$3)),lentry!$D$3:$D$3999),IF(WEEKDAY(feb!K$3,1)=1,"WO","P"))</f>
        <v>P</v>
      </c>
      <c r="L32" s="4" t="str">
        <f>IFERROR(LOOKUP(2,1/((lentry!$A$3:$A$3999=feb!$A32)*(lentry!$B$3:$B$3999&lt;=feb!L$3)*(lentry!$C$3:$C$3999&gt;=feb!L$3)),lentry!$D$3:$D$3999),IF(WEEKDAY(feb!L$3,1)=1,"WO","P"))</f>
        <v>P</v>
      </c>
      <c r="M32" s="4" t="str">
        <f>IFERROR(LOOKUP(2,1/((lentry!$A$3:$A$3999=feb!$A32)*(lentry!$B$3:$B$3999&lt;=feb!M$3)*(lentry!$C$3:$C$3999&gt;=feb!M$3)),lentry!$D$3:$D$3999),IF(WEEKDAY(feb!M$3,1)=1,"WO","P"))</f>
        <v>WO</v>
      </c>
      <c r="N32" s="4" t="str">
        <f>IFERROR(LOOKUP(2,1/((lentry!$A$3:$A$3999=feb!$A32)*(lentry!$B$3:$B$3999&lt;=feb!N$3)*(lentry!$C$3:$C$3999&gt;=feb!N$3)),lentry!$D$3:$D$3999),IF(WEEKDAY(feb!N$3,1)=1,"WO","P"))</f>
        <v>P</v>
      </c>
      <c r="O32" s="4" t="str">
        <f>IFERROR(LOOKUP(2,1/((lentry!$A$3:$A$3999=feb!$A32)*(lentry!$B$3:$B$3999&lt;=feb!O$3)*(lentry!$C$3:$C$3999&gt;=feb!O$3)),lentry!$D$3:$D$3999),IF(WEEKDAY(feb!O$3,1)=1,"WO","P"))</f>
        <v>P</v>
      </c>
      <c r="P32" s="4" t="s">
        <v>539</v>
      </c>
      <c r="Q32" s="4" t="str">
        <f>IFERROR(LOOKUP(2,1/((lentry!$A$3:$A$3999=feb!$A32)*(lentry!$B$3:$B$3999&lt;=feb!Q$3)*(lentry!$C$3:$C$3999&gt;=feb!Q$3)),lentry!$D$3:$D$3999),IF(WEEKDAY(feb!Q$3,1)=1,"WO","P"))</f>
        <v>P</v>
      </c>
      <c r="R32" s="4" t="str">
        <f>IFERROR(LOOKUP(2,1/((lentry!$A$3:$A$3999=feb!$A32)*(lentry!$B$3:$B$3999&lt;=feb!R$3)*(lentry!$C$3:$C$3999&gt;=feb!R$3)),lentry!$D$3:$D$3999),IF(WEEKDAY(feb!R$3,1)=1,"WO","P"))</f>
        <v>P</v>
      </c>
      <c r="S32" s="4" t="str">
        <f>IFERROR(LOOKUP(2,1/((lentry!$A$3:$A$3999=feb!$A32)*(lentry!$B$3:$B$3999&lt;=feb!S$3)*(lentry!$C$3:$C$3999&gt;=feb!S$3)),lentry!$D$3:$D$3999),IF(WEEKDAY(feb!S$3,1)=1,"WO","P"))</f>
        <v>P</v>
      </c>
      <c r="T32" s="4" t="s">
        <v>350</v>
      </c>
      <c r="U32" s="4" t="str">
        <f>IFERROR(LOOKUP(2,1/((lentry!$A$3:$A$3999=feb!$A32)*(lentry!$B$3:$B$3999&lt;=feb!U$3)*(lentry!$C$3:$C$3999&gt;=feb!U$3)),lentry!$D$3:$D$3999),IF(WEEKDAY(feb!U$3,1)=1,"WO","P"))</f>
        <v>P</v>
      </c>
      <c r="V32" s="4" t="str">
        <f>IFERROR(LOOKUP(2,1/((lentry!$A$3:$A$3999=feb!$A32)*(lentry!$B$3:$B$3999&lt;=feb!V$3)*(lentry!$C$3:$C$3999&gt;=feb!V$3)),lentry!$D$3:$D$3999),IF(WEEKDAY(feb!V$3,1)=1,"WO","P"))</f>
        <v>P</v>
      </c>
      <c r="W32" s="4" t="str">
        <f>IFERROR(LOOKUP(2,1/((lentry!$A$3:$A$3999=feb!$A32)*(lentry!$B$3:$B$3999&lt;=feb!W$3)*(lentry!$C$3:$C$3999&gt;=feb!W$3)),lentry!$D$3:$D$3999),IF(WEEKDAY(feb!W$3,1)=1,"WO","P"))</f>
        <v>P</v>
      </c>
      <c r="X32" s="4" t="str">
        <f>IFERROR(LOOKUP(2,1/((lentry!$A$3:$A$3999=feb!$A32)*(lentry!$B$3:$B$3999&lt;=feb!X$3)*(lentry!$C$3:$C$3999&gt;=feb!X$3)),lentry!$D$3:$D$3999),IF(WEEKDAY(feb!X$3,1)=1,"WO","P"))</f>
        <v>P</v>
      </c>
      <c r="Y32" s="4" t="str">
        <f>IFERROR(LOOKUP(2,1/((lentry!$A$3:$A$3999=feb!$A32)*(lentry!$B$3:$B$3999&lt;=feb!Y$3)*(lentry!$C$3:$C$3999&gt;=feb!Y$3)),lentry!$D$3:$D$3999),IF(WEEKDAY(feb!Y$3,1)=1,"WO","P"))</f>
        <v>P</v>
      </c>
      <c r="Z32" s="4" t="str">
        <f>IFERROR(LOOKUP(2,1/((lentry!$A$3:$A$3999=feb!$A32)*(lentry!$B$3:$B$3999&lt;=feb!Z$3)*(lentry!$C$3:$C$3999&gt;=feb!Z$3)),lentry!$D$3:$D$3999),IF(WEEKDAY(feb!Z$3,1)=1,"WO","P"))</f>
        <v>P</v>
      </c>
      <c r="AA32" s="4" t="str">
        <f>IFERROR(LOOKUP(2,1/((lentry!$A$3:$A$3999=feb!$A32)*(lentry!$B$3:$B$3999&lt;=feb!AA$3)*(lentry!$C$3:$C$3999&gt;=feb!AA$3)),lentry!$D$3:$D$3999),IF(WEEKDAY(feb!AA$3,1)=1,"WO","P"))</f>
        <v>WO</v>
      </c>
      <c r="AB32" s="4" t="str">
        <f>IFERROR(LOOKUP(2,1/((lentry!$A$3:$A$3999=feb!$A32)*(lentry!$B$3:$B$3999&lt;=feb!AB$3)*(lentry!$C$3:$C$3999&gt;=feb!AB$3)),lentry!$D$3:$D$3999),IF(WEEKDAY(feb!AB$3,1)=1,"WO","P"))</f>
        <v>P</v>
      </c>
      <c r="AC32" s="4" t="str">
        <f>IFERROR(LOOKUP(2,1/((lentry!$A$3:$A$3999=feb!$A32)*(lentry!$B$3:$B$3999&lt;=feb!AC$3)*(lentry!$C$3:$C$3999&gt;=feb!AC$3)),lentry!$D$3:$D$3999),IF(WEEKDAY(feb!AC$3,1)=1,"WO","P"))</f>
        <v>P</v>
      </c>
      <c r="AD32" s="4" t="str">
        <f>IFERROR(LOOKUP(2,1/((lentry!$A$3:$A$3999=feb!$A32)*(lentry!$B$3:$B$3999&lt;=feb!AD$3)*(lentry!$C$3:$C$3999&gt;=feb!AD$3)),lentry!$D$3:$D$3999),IF(WEEKDAY(feb!AD$3,1)=1,"WO","P"))</f>
        <v>P</v>
      </c>
      <c r="AE32" s="4" t="str">
        <f>IFERROR(LOOKUP(2,1/((lentry!$A$3:$A$3999=feb!$A32)*(lentry!$B$3:$B$3999&lt;=feb!AE$3)*(lentry!$C$3:$C$3999&gt;=feb!AE$3)),lentry!$D$3:$D$3999),IF(WEEKDAY(feb!AE$3,1)=1,"WO","P"))</f>
        <v>P</v>
      </c>
      <c r="AF32" s="4" t="str">
        <f>IFERROR(LOOKUP(2,1/((lentry!$A$3:$A$3999=feb!$A32)*(lentry!$B$3:$B$3999&lt;=feb!AF$3)*(lentry!$C$3:$C$3999&gt;=feb!AF$3)),lentry!$D$3:$D$3999),IF(WEEKDAY(feb!AF$3,1)=1,"WO","P"))</f>
        <v>P</v>
      </c>
      <c r="AG32" s="4" t="str">
        <f>IFERROR(LOOKUP(2,1/((lentry!$A$3:$A$3999=feb!$A32)*(lentry!$B$3:$B$3999&lt;=feb!AG$3)*(lentry!$C$3:$C$3999&gt;=feb!AG$3)),lentry!$D$3:$D$3999),IF(WEEKDAY(feb!AG$3,1)=1,"WO","P"))</f>
        <v>P</v>
      </c>
      <c r="AH32" s="4">
        <f t="shared" si="3"/>
        <v>3</v>
      </c>
      <c r="AI32" s="4">
        <f t="shared" si="4"/>
        <v>1</v>
      </c>
      <c r="AJ32" s="4">
        <f t="shared" si="5"/>
        <v>0</v>
      </c>
      <c r="AK32" s="4">
        <f t="shared" si="6"/>
        <v>1</v>
      </c>
      <c r="AL32" s="4">
        <f t="shared" si="7"/>
        <v>0</v>
      </c>
      <c r="AM32" s="4">
        <f t="shared" si="8"/>
        <v>0</v>
      </c>
      <c r="AN32" s="4">
        <f t="shared" si="9"/>
        <v>0</v>
      </c>
      <c r="AO32" s="4">
        <f t="shared" si="10"/>
        <v>1</v>
      </c>
      <c r="AP32" s="4">
        <f t="shared" si="11"/>
        <v>22</v>
      </c>
      <c r="AQ32" s="4">
        <f t="shared" si="2"/>
        <v>28</v>
      </c>
      <c r="AR32" s="4">
        <f t="shared" si="12"/>
        <v>26</v>
      </c>
    </row>
    <row r="33" spans="1:44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IFERROR(LOOKUP(2,1/((lentry!$A$3:$A$3999=feb!$A33)*(lentry!$B$3:$B$3999&lt;=feb!F$3)*(lentry!$C$3:$C$3999&gt;=feb!F$3)),lentry!$D$3:$D$3999),IF(WEEKDAY(feb!F$3,1)=1,"WO","P"))</f>
        <v>WO</v>
      </c>
      <c r="G33" s="4" t="str">
        <f>IFERROR(LOOKUP(2,1/((lentry!$A$3:$A$3999=feb!$A33)*(lentry!$B$3:$B$3999&lt;=feb!G$3)*(lentry!$C$3:$C$3999&gt;=feb!G$3)),lentry!$D$3:$D$3999),IF(WEEKDAY(feb!G$3,1)=1,"WO","P"))</f>
        <v>P</v>
      </c>
      <c r="H33" s="4" t="str">
        <f>IFERROR(LOOKUP(2,1/((lentry!$A$3:$A$3999=feb!$A33)*(lentry!$B$3:$B$3999&lt;=feb!H$3)*(lentry!$C$3:$C$3999&gt;=feb!H$3)),lentry!$D$3:$D$3999),IF(WEEKDAY(feb!H$3,1)=1,"WO","P"))</f>
        <v>P</v>
      </c>
      <c r="I33" s="4" t="str">
        <f>IFERROR(LOOKUP(2,1/((lentry!$A$3:$A$3999=feb!$A33)*(lentry!$B$3:$B$3999&lt;=feb!I$3)*(lentry!$C$3:$C$3999&gt;=feb!I$3)),lentry!$D$3:$D$3999),IF(WEEKDAY(feb!I$3,1)=1,"WO","P"))</f>
        <v>P</v>
      </c>
      <c r="J33" s="4" t="str">
        <f>IFERROR(LOOKUP(2,1/((lentry!$A$3:$A$3999=feb!$A33)*(lentry!$B$3:$B$3999&lt;=feb!J$3)*(lentry!$C$3:$C$3999&gt;=feb!J$3)),lentry!$D$3:$D$3999),IF(WEEKDAY(feb!J$3,1)=1,"WO","P"))</f>
        <v>P</v>
      </c>
      <c r="K33" s="4" t="str">
        <f>IFERROR(LOOKUP(2,1/((lentry!$A$3:$A$3999=feb!$A33)*(lentry!$B$3:$B$3999&lt;=feb!K$3)*(lentry!$C$3:$C$3999&gt;=feb!K$3)),lentry!$D$3:$D$3999),IF(WEEKDAY(feb!K$3,1)=1,"WO","P"))</f>
        <v>P</v>
      </c>
      <c r="L33" s="4" t="str">
        <f>IFERROR(LOOKUP(2,1/((lentry!$A$3:$A$3999=feb!$A33)*(lentry!$B$3:$B$3999&lt;=feb!L$3)*(lentry!$C$3:$C$3999&gt;=feb!L$3)),lentry!$D$3:$D$3999),IF(WEEKDAY(feb!L$3,1)=1,"WO","P"))</f>
        <v>P</v>
      </c>
      <c r="M33" s="4" t="str">
        <f>IFERROR(LOOKUP(2,1/((lentry!$A$3:$A$3999=feb!$A33)*(lentry!$B$3:$B$3999&lt;=feb!M$3)*(lentry!$C$3:$C$3999&gt;=feb!M$3)),lentry!$D$3:$D$3999),IF(WEEKDAY(feb!M$3,1)=1,"WO","P"))</f>
        <v>WO</v>
      </c>
      <c r="N33" s="4" t="str">
        <f>IFERROR(LOOKUP(2,1/((lentry!$A$3:$A$3999=feb!$A33)*(lentry!$B$3:$B$3999&lt;=feb!N$3)*(lentry!$C$3:$C$3999&gt;=feb!N$3)),lentry!$D$3:$D$3999),IF(WEEKDAY(feb!N$3,1)=1,"WO","P"))</f>
        <v>SL</v>
      </c>
      <c r="O33" s="4" t="str">
        <f>IFERROR(LOOKUP(2,1/((lentry!$A$3:$A$3999=feb!$A33)*(lentry!$B$3:$B$3999&lt;=feb!O$3)*(lentry!$C$3:$C$3999&gt;=feb!O$3)),lentry!$D$3:$D$3999),IF(WEEKDAY(feb!O$3,1)=1,"WO","P"))</f>
        <v>P</v>
      </c>
      <c r="P33" s="4" t="str">
        <f>IFERROR(LOOKUP(2,1/((lentry!$A$3:$A$3999=feb!$A33)*(lentry!$B$3:$B$3999&lt;=feb!P$3)*(lentry!$C$3:$C$3999&gt;=feb!P$3)),lentry!$D$3:$D$3999),IF(WEEKDAY(feb!P$3,1)=1,"WO","P"))</f>
        <v>P</v>
      </c>
      <c r="Q33" s="4" t="str">
        <f>IFERROR(LOOKUP(2,1/((lentry!$A$3:$A$3999=feb!$A33)*(lentry!$B$3:$B$3999&lt;=feb!Q$3)*(lentry!$C$3:$C$3999&gt;=feb!Q$3)),lentry!$D$3:$D$3999),IF(WEEKDAY(feb!Q$3,1)=1,"WO","P"))</f>
        <v>P</v>
      </c>
      <c r="R33" s="4" t="str">
        <f>IFERROR(LOOKUP(2,1/((lentry!$A$3:$A$3999=feb!$A33)*(lentry!$B$3:$B$3999&lt;=feb!R$3)*(lentry!$C$3:$C$3999&gt;=feb!R$3)),lentry!$D$3:$D$3999),IF(WEEKDAY(feb!R$3,1)=1,"WO","P"))</f>
        <v>P</v>
      </c>
      <c r="S33" s="4" t="str">
        <f>IFERROR(LOOKUP(2,1/((lentry!$A$3:$A$3999=feb!$A33)*(lentry!$B$3:$B$3999&lt;=feb!S$3)*(lentry!$C$3:$C$3999&gt;=feb!S$3)),lentry!$D$3:$D$3999),IF(WEEKDAY(feb!S$3,1)=1,"WO","P"))</f>
        <v>P</v>
      </c>
      <c r="T33" s="4" t="s">
        <v>350</v>
      </c>
      <c r="U33" s="4" t="str">
        <f>IFERROR(LOOKUP(2,1/((lentry!$A$3:$A$3999=feb!$A33)*(lentry!$B$3:$B$3999&lt;=feb!U$3)*(lentry!$C$3:$C$3999&gt;=feb!U$3)),lentry!$D$3:$D$3999),IF(WEEKDAY(feb!U$3,1)=1,"WO","P"))</f>
        <v>P</v>
      </c>
      <c r="V33" s="4" t="str">
        <f>IFERROR(LOOKUP(2,1/((lentry!$A$3:$A$3999=feb!$A33)*(lentry!$B$3:$B$3999&lt;=feb!V$3)*(lentry!$C$3:$C$3999&gt;=feb!V$3)),lentry!$D$3:$D$3999),IF(WEEKDAY(feb!V$3,1)=1,"WO","P"))</f>
        <v>P</v>
      </c>
      <c r="W33" s="4" t="str">
        <f>IFERROR(LOOKUP(2,1/((lentry!$A$3:$A$3999=feb!$A33)*(lentry!$B$3:$B$3999&lt;=feb!W$3)*(lentry!$C$3:$C$3999&gt;=feb!W$3)),lentry!$D$3:$D$3999),IF(WEEKDAY(feb!W$3,1)=1,"WO","P"))</f>
        <v>P</v>
      </c>
      <c r="X33" s="4" t="str">
        <f>IFERROR(LOOKUP(2,1/((lentry!$A$3:$A$3999=feb!$A33)*(lentry!$B$3:$B$3999&lt;=feb!X$3)*(lentry!$C$3:$C$3999&gt;=feb!X$3)),lentry!$D$3:$D$3999),IF(WEEKDAY(feb!X$3,1)=1,"WO","P"))</f>
        <v>P</v>
      </c>
      <c r="Y33" s="4" t="str">
        <f>IFERROR(LOOKUP(2,1/((lentry!$A$3:$A$3999=feb!$A33)*(lentry!$B$3:$B$3999&lt;=feb!Y$3)*(lentry!$C$3:$C$3999&gt;=feb!Y$3)),lentry!$D$3:$D$3999),IF(WEEKDAY(feb!Y$3,1)=1,"WO","P"))</f>
        <v>P</v>
      </c>
      <c r="Z33" s="4" t="str">
        <f>IFERROR(LOOKUP(2,1/((lentry!$A$3:$A$3999=feb!$A33)*(lentry!$B$3:$B$3999&lt;=feb!Z$3)*(lentry!$C$3:$C$3999&gt;=feb!Z$3)),lentry!$D$3:$D$3999),IF(WEEKDAY(feb!Z$3,1)=1,"WO","P"))</f>
        <v>P</v>
      </c>
      <c r="AA33" s="4" t="str">
        <f>IFERROR(LOOKUP(2,1/((lentry!$A$3:$A$3999=feb!$A33)*(lentry!$B$3:$B$3999&lt;=feb!AA$3)*(lentry!$C$3:$C$3999&gt;=feb!AA$3)),lentry!$D$3:$D$3999),IF(WEEKDAY(feb!AA$3,1)=1,"WO","P"))</f>
        <v>WO</v>
      </c>
      <c r="AB33" s="4" t="str">
        <f>IFERROR(LOOKUP(2,1/((lentry!$A$3:$A$3999=feb!$A33)*(lentry!$B$3:$B$3999&lt;=feb!AB$3)*(lentry!$C$3:$C$3999&gt;=feb!AB$3)),lentry!$D$3:$D$3999),IF(WEEKDAY(feb!AB$3,1)=1,"WO","P"))</f>
        <v>P</v>
      </c>
      <c r="AC33" s="4" t="str">
        <f>IFERROR(LOOKUP(2,1/((lentry!$A$3:$A$3999=feb!$A33)*(lentry!$B$3:$B$3999&lt;=feb!AC$3)*(lentry!$C$3:$C$3999&gt;=feb!AC$3)),lentry!$D$3:$D$3999),IF(WEEKDAY(feb!AC$3,1)=1,"WO","P"))</f>
        <v>P</v>
      </c>
      <c r="AD33" s="4" t="str">
        <f>IFERROR(LOOKUP(2,1/((lentry!$A$3:$A$3999=feb!$A33)*(lentry!$B$3:$B$3999&lt;=feb!AD$3)*(lentry!$C$3:$C$3999&gt;=feb!AD$3)),lentry!$D$3:$D$3999),IF(WEEKDAY(feb!AD$3,1)=1,"WO","P"))</f>
        <v>P</v>
      </c>
      <c r="AE33" s="4" t="str">
        <f>IFERROR(LOOKUP(2,1/((lentry!$A$3:$A$3999=feb!$A33)*(lentry!$B$3:$B$3999&lt;=feb!AE$3)*(lentry!$C$3:$C$3999&gt;=feb!AE$3)),lentry!$D$3:$D$3999),IF(WEEKDAY(feb!AE$3,1)=1,"WO","P"))</f>
        <v>P</v>
      </c>
      <c r="AF33" s="4" t="str">
        <f>IFERROR(LOOKUP(2,1/((lentry!$A$3:$A$3999=feb!$A33)*(lentry!$B$3:$B$3999&lt;=feb!AF$3)*(lentry!$C$3:$C$3999&gt;=feb!AF$3)),lentry!$D$3:$D$3999),IF(WEEKDAY(feb!AF$3,1)=1,"WO","P"))</f>
        <v>P</v>
      </c>
      <c r="AG33" s="4" t="str">
        <f>IFERROR(LOOKUP(2,1/((lentry!$A$3:$A$3999=feb!$A33)*(lentry!$B$3:$B$3999&lt;=feb!AG$3)*(lentry!$C$3:$C$3999&gt;=feb!AG$3)),lentry!$D$3:$D$3999),IF(WEEKDAY(feb!AG$3,1)=1,"WO","P"))</f>
        <v>P</v>
      </c>
      <c r="AH33" s="4">
        <f t="shared" si="3"/>
        <v>3</v>
      </c>
      <c r="AI33" s="4">
        <f t="shared" si="4"/>
        <v>1</v>
      </c>
      <c r="AJ33" s="4">
        <f t="shared" si="5"/>
        <v>0</v>
      </c>
      <c r="AK33" s="4">
        <f t="shared" si="6"/>
        <v>0</v>
      </c>
      <c r="AL33" s="4">
        <f t="shared" si="7"/>
        <v>0</v>
      </c>
      <c r="AM33" s="4">
        <f t="shared" si="8"/>
        <v>1</v>
      </c>
      <c r="AN33" s="4">
        <f t="shared" si="9"/>
        <v>0</v>
      </c>
      <c r="AO33" s="4">
        <f t="shared" si="10"/>
        <v>0</v>
      </c>
      <c r="AP33" s="4">
        <f t="shared" si="11"/>
        <v>23</v>
      </c>
      <c r="AQ33" s="4">
        <f t="shared" si="2"/>
        <v>28</v>
      </c>
      <c r="AR33" s="4">
        <f t="shared" si="12"/>
        <v>28</v>
      </c>
    </row>
    <row r="34" spans="1:44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IFERROR(LOOKUP(2,1/((lentry!$A$3:$A$3999=feb!$A34)*(lentry!$B$3:$B$3999&lt;=feb!F$3)*(lentry!$C$3:$C$3999&gt;=feb!F$3)),lentry!$D$3:$D$3999),IF(WEEKDAY(feb!F$3,1)=1,"WO","P"))</f>
        <v>WO</v>
      </c>
      <c r="G34" s="4" t="str">
        <f>IFERROR(LOOKUP(2,1/((lentry!$A$3:$A$3999=feb!$A34)*(lentry!$B$3:$B$3999&lt;=feb!G$3)*(lentry!$C$3:$C$3999&gt;=feb!G$3)),lentry!$D$3:$D$3999),IF(WEEKDAY(feb!G$3,1)=1,"WO","P"))</f>
        <v>P</v>
      </c>
      <c r="H34" s="4" t="str">
        <f>IFERROR(LOOKUP(2,1/((lentry!$A$3:$A$3999=feb!$A34)*(lentry!$B$3:$B$3999&lt;=feb!H$3)*(lentry!$C$3:$C$3999&gt;=feb!H$3)),lentry!$D$3:$D$3999),IF(WEEKDAY(feb!H$3,1)=1,"WO","P"))</f>
        <v>P</v>
      </c>
      <c r="I34" s="4" t="str">
        <f>IFERROR(LOOKUP(2,1/((lentry!$A$3:$A$3999=feb!$A34)*(lentry!$B$3:$B$3999&lt;=feb!I$3)*(lentry!$C$3:$C$3999&gt;=feb!I$3)),lentry!$D$3:$D$3999),IF(WEEKDAY(feb!I$3,1)=1,"WO","P"))</f>
        <v>P</v>
      </c>
      <c r="J34" s="4" t="str">
        <f>IFERROR(LOOKUP(2,1/((lentry!$A$3:$A$3999=feb!$A34)*(lentry!$B$3:$B$3999&lt;=feb!J$3)*(lentry!$C$3:$C$3999&gt;=feb!J$3)),lentry!$D$3:$D$3999),IF(WEEKDAY(feb!J$3,1)=1,"WO","P"))</f>
        <v>P</v>
      </c>
      <c r="K34" s="4" t="str">
        <f>IFERROR(LOOKUP(2,1/((lentry!$A$3:$A$3999=feb!$A34)*(lentry!$B$3:$B$3999&lt;=feb!K$3)*(lentry!$C$3:$C$3999&gt;=feb!K$3)),lentry!$D$3:$D$3999),IF(WEEKDAY(feb!K$3,1)=1,"WO","P"))</f>
        <v>P</v>
      </c>
      <c r="L34" s="4" t="str">
        <f>IFERROR(LOOKUP(2,1/((lentry!$A$3:$A$3999=feb!$A34)*(lentry!$B$3:$B$3999&lt;=feb!L$3)*(lentry!$C$3:$C$3999&gt;=feb!L$3)),lentry!$D$3:$D$3999),IF(WEEKDAY(feb!L$3,1)=1,"WO","P"))</f>
        <v>P</v>
      </c>
      <c r="M34" s="4" t="str">
        <f>IFERROR(LOOKUP(2,1/((lentry!$A$3:$A$3999=feb!$A34)*(lentry!$B$3:$B$3999&lt;=feb!M$3)*(lentry!$C$3:$C$3999&gt;=feb!M$3)),lentry!$D$3:$D$3999),IF(WEEKDAY(feb!M$3,1)=1,"WO","P"))</f>
        <v>WO</v>
      </c>
      <c r="N34" s="4" t="str">
        <f>IFERROR(LOOKUP(2,1/((lentry!$A$3:$A$3999=feb!$A34)*(lentry!$B$3:$B$3999&lt;=feb!N$3)*(lentry!$C$3:$C$3999&gt;=feb!N$3)),lentry!$D$3:$D$3999),IF(WEEKDAY(feb!N$3,1)=1,"WO","P"))</f>
        <v>P</v>
      </c>
      <c r="O34" s="4" t="str">
        <f>IFERROR(LOOKUP(2,1/((lentry!$A$3:$A$3999=feb!$A34)*(lentry!$B$3:$B$3999&lt;=feb!O$3)*(lentry!$C$3:$C$3999&gt;=feb!O$3)),lentry!$D$3:$D$3999),IF(WEEKDAY(feb!O$3,1)=1,"WO","P"))</f>
        <v>P</v>
      </c>
      <c r="P34" s="4" t="str">
        <f>IFERROR(LOOKUP(2,1/((lentry!$A$3:$A$3999=feb!$A34)*(lentry!$B$3:$B$3999&lt;=feb!P$3)*(lentry!$C$3:$C$3999&gt;=feb!P$3)),lentry!$D$3:$D$3999),IF(WEEKDAY(feb!P$3,1)=1,"WO","P"))</f>
        <v>P</v>
      </c>
      <c r="Q34" s="4" t="str">
        <f>IFERROR(LOOKUP(2,1/((lentry!$A$3:$A$3999=feb!$A34)*(lentry!$B$3:$B$3999&lt;=feb!Q$3)*(lentry!$C$3:$C$3999&gt;=feb!Q$3)),lentry!$D$3:$D$3999),IF(WEEKDAY(feb!Q$3,1)=1,"WO","P"))</f>
        <v>P</v>
      </c>
      <c r="R34" s="4" t="str">
        <f>IFERROR(LOOKUP(2,1/((lentry!$A$3:$A$3999=feb!$A34)*(lentry!$B$3:$B$3999&lt;=feb!R$3)*(lentry!$C$3:$C$3999&gt;=feb!R$3)),lentry!$D$3:$D$3999),IF(WEEKDAY(feb!R$3,1)=1,"WO","P"))</f>
        <v>P</v>
      </c>
      <c r="S34" s="4" t="str">
        <f>IFERROR(LOOKUP(2,1/((lentry!$A$3:$A$3999=feb!$A34)*(lentry!$B$3:$B$3999&lt;=feb!S$3)*(lentry!$C$3:$C$3999&gt;=feb!S$3)),lentry!$D$3:$D$3999),IF(WEEKDAY(feb!S$3,1)=1,"WO","P"))</f>
        <v>P</v>
      </c>
      <c r="T34" s="4" t="s">
        <v>350</v>
      </c>
      <c r="U34" s="4" t="str">
        <f>IFERROR(LOOKUP(2,1/((lentry!$A$3:$A$3999=feb!$A34)*(lentry!$B$3:$B$3999&lt;=feb!U$3)*(lentry!$C$3:$C$3999&gt;=feb!U$3)),lentry!$D$3:$D$3999),IF(WEEKDAY(feb!U$3,1)=1,"WO","P"))</f>
        <v>P</v>
      </c>
      <c r="V34" s="4" t="str">
        <f>IFERROR(LOOKUP(2,1/((lentry!$A$3:$A$3999=feb!$A34)*(lentry!$B$3:$B$3999&lt;=feb!V$3)*(lentry!$C$3:$C$3999&gt;=feb!V$3)),lentry!$D$3:$D$3999),IF(WEEKDAY(feb!V$3,1)=1,"WO","P"))</f>
        <v>P</v>
      </c>
      <c r="W34" s="4" t="str">
        <f>IFERROR(LOOKUP(2,1/((lentry!$A$3:$A$3999=feb!$A34)*(lentry!$B$3:$B$3999&lt;=feb!W$3)*(lentry!$C$3:$C$3999&gt;=feb!W$3)),lentry!$D$3:$D$3999),IF(WEEKDAY(feb!W$3,1)=1,"WO","P"))</f>
        <v>P</v>
      </c>
      <c r="X34" s="4" t="str">
        <f>IFERROR(LOOKUP(2,1/((lentry!$A$3:$A$3999=feb!$A34)*(lentry!$B$3:$B$3999&lt;=feb!X$3)*(lentry!$C$3:$C$3999&gt;=feb!X$3)),lentry!$D$3:$D$3999),IF(WEEKDAY(feb!X$3,1)=1,"WO","P"))</f>
        <v>P</v>
      </c>
      <c r="Y34" s="4" t="str">
        <f>IFERROR(LOOKUP(2,1/((lentry!$A$3:$A$3999=feb!$A34)*(lentry!$B$3:$B$3999&lt;=feb!Y$3)*(lentry!$C$3:$C$3999&gt;=feb!Y$3)),lentry!$D$3:$D$3999),IF(WEEKDAY(feb!Y$3,1)=1,"WO","P"))</f>
        <v>P</v>
      </c>
      <c r="Z34" s="4" t="str">
        <f>IFERROR(LOOKUP(2,1/((lentry!$A$3:$A$3999=feb!$A34)*(lentry!$B$3:$B$3999&lt;=feb!Z$3)*(lentry!$C$3:$C$3999&gt;=feb!Z$3)),lentry!$D$3:$D$3999),IF(WEEKDAY(feb!Z$3,1)=1,"WO","P"))</f>
        <v>P</v>
      </c>
      <c r="AA34" s="4" t="str">
        <f>IFERROR(LOOKUP(2,1/((lentry!$A$3:$A$3999=feb!$A34)*(lentry!$B$3:$B$3999&lt;=feb!AA$3)*(lentry!$C$3:$C$3999&gt;=feb!AA$3)),lentry!$D$3:$D$3999),IF(WEEKDAY(feb!AA$3,1)=1,"WO","P"))</f>
        <v>WO</v>
      </c>
      <c r="AB34" s="4" t="str">
        <f>IFERROR(LOOKUP(2,1/((lentry!$A$3:$A$3999=feb!$A34)*(lentry!$B$3:$B$3999&lt;=feb!AB$3)*(lentry!$C$3:$C$3999&gt;=feb!AB$3)),lentry!$D$3:$D$3999),IF(WEEKDAY(feb!AB$3,1)=1,"WO","P"))</f>
        <v>P</v>
      </c>
      <c r="AC34" s="4" t="str">
        <f>IFERROR(LOOKUP(2,1/((lentry!$A$3:$A$3999=feb!$A34)*(lentry!$B$3:$B$3999&lt;=feb!AC$3)*(lentry!$C$3:$C$3999&gt;=feb!AC$3)),lentry!$D$3:$D$3999),IF(WEEKDAY(feb!AC$3,1)=1,"WO","P"))</f>
        <v>P</v>
      </c>
      <c r="AD34" s="4" t="str">
        <f>IFERROR(LOOKUP(2,1/((lentry!$A$3:$A$3999=feb!$A34)*(lentry!$B$3:$B$3999&lt;=feb!AD$3)*(lentry!$C$3:$C$3999&gt;=feb!AD$3)),lentry!$D$3:$D$3999),IF(WEEKDAY(feb!AD$3,1)=1,"WO","P"))</f>
        <v>P</v>
      </c>
      <c r="AE34" s="4" t="str">
        <f>IFERROR(LOOKUP(2,1/((lentry!$A$3:$A$3999=feb!$A34)*(lentry!$B$3:$B$3999&lt;=feb!AE$3)*(lentry!$C$3:$C$3999&gt;=feb!AE$3)),lentry!$D$3:$D$3999),IF(WEEKDAY(feb!AE$3,1)=1,"WO","P"))</f>
        <v>P</v>
      </c>
      <c r="AF34" s="4" t="str">
        <f>IFERROR(LOOKUP(2,1/((lentry!$A$3:$A$3999=feb!$A34)*(lentry!$B$3:$B$3999&lt;=feb!AF$3)*(lentry!$C$3:$C$3999&gt;=feb!AF$3)),lentry!$D$3:$D$3999),IF(WEEKDAY(feb!AF$3,1)=1,"WO","P"))</f>
        <v>P</v>
      </c>
      <c r="AG34" s="4" t="str">
        <f>IFERROR(LOOKUP(2,1/((lentry!$A$3:$A$3999=feb!$A34)*(lentry!$B$3:$B$3999&lt;=feb!AG$3)*(lentry!$C$3:$C$3999&gt;=feb!AG$3)),lentry!$D$3:$D$3999),IF(WEEKDAY(feb!AG$3,1)=1,"WO","P"))</f>
        <v>P</v>
      </c>
      <c r="AH34" s="4">
        <f t="shared" si="3"/>
        <v>3</v>
      </c>
      <c r="AI34" s="4">
        <f t="shared" si="4"/>
        <v>1</v>
      </c>
      <c r="AJ34" s="4">
        <f t="shared" si="5"/>
        <v>0</v>
      </c>
      <c r="AK34" s="4">
        <f t="shared" si="6"/>
        <v>0</v>
      </c>
      <c r="AL34" s="4">
        <f t="shared" si="7"/>
        <v>0</v>
      </c>
      <c r="AM34" s="4">
        <f t="shared" si="8"/>
        <v>0</v>
      </c>
      <c r="AN34" s="4">
        <f t="shared" si="9"/>
        <v>0</v>
      </c>
      <c r="AO34" s="4">
        <f t="shared" si="10"/>
        <v>0</v>
      </c>
      <c r="AP34" s="4">
        <f t="shared" si="11"/>
        <v>24</v>
      </c>
      <c r="AQ34" s="4">
        <f t="shared" si="2"/>
        <v>28</v>
      </c>
      <c r="AR34" s="4">
        <f t="shared" si="12"/>
        <v>28</v>
      </c>
    </row>
    <row r="35" spans="1:44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IFERROR(LOOKUP(2,1/((lentry!$A$3:$A$3999=feb!$A35)*(lentry!$B$3:$B$3999&lt;=feb!F$3)*(lentry!$C$3:$C$3999&gt;=feb!F$3)),lentry!$D$3:$D$3999),IF(WEEKDAY(feb!F$3,1)=1,"WO","P"))</f>
        <v>WO</v>
      </c>
      <c r="G35" s="4" t="str">
        <f>IFERROR(LOOKUP(2,1/((lentry!$A$3:$A$3999=feb!$A35)*(lentry!$B$3:$B$3999&lt;=feb!G$3)*(lentry!$C$3:$C$3999&gt;=feb!G$3)),lentry!$D$3:$D$3999),IF(WEEKDAY(feb!G$3,1)=1,"WO","P"))</f>
        <v>P</v>
      </c>
      <c r="H35" s="4" t="str">
        <f>IFERROR(LOOKUP(2,1/((lentry!$A$3:$A$3999=feb!$A35)*(lentry!$B$3:$B$3999&lt;=feb!H$3)*(lentry!$C$3:$C$3999&gt;=feb!H$3)),lentry!$D$3:$D$3999),IF(WEEKDAY(feb!H$3,1)=1,"WO","P"))</f>
        <v>P</v>
      </c>
      <c r="I35" s="4" t="str">
        <f>IFERROR(LOOKUP(2,1/((lentry!$A$3:$A$3999=feb!$A35)*(lentry!$B$3:$B$3999&lt;=feb!I$3)*(lentry!$C$3:$C$3999&gt;=feb!I$3)),lentry!$D$3:$D$3999),IF(WEEKDAY(feb!I$3,1)=1,"WO","P"))</f>
        <v>P</v>
      </c>
      <c r="J35" s="4" t="str">
        <f>IFERROR(LOOKUP(2,1/((lentry!$A$3:$A$3999=feb!$A35)*(lentry!$B$3:$B$3999&lt;=feb!J$3)*(lentry!$C$3:$C$3999&gt;=feb!J$3)),lentry!$D$3:$D$3999),IF(WEEKDAY(feb!J$3,1)=1,"WO","P"))</f>
        <v>P</v>
      </c>
      <c r="K35" s="4" t="str">
        <f>IFERROR(LOOKUP(2,1/((lentry!$A$3:$A$3999=feb!$A35)*(lentry!$B$3:$B$3999&lt;=feb!K$3)*(lentry!$C$3:$C$3999&gt;=feb!K$3)),lentry!$D$3:$D$3999),IF(WEEKDAY(feb!K$3,1)=1,"WO","P"))</f>
        <v>P</v>
      </c>
      <c r="L35" s="4" t="str">
        <f>IFERROR(LOOKUP(2,1/((lentry!$A$3:$A$3999=feb!$A35)*(lentry!$B$3:$B$3999&lt;=feb!L$3)*(lentry!$C$3:$C$3999&gt;=feb!L$3)),lentry!$D$3:$D$3999),IF(WEEKDAY(feb!L$3,1)=1,"WO","P"))</f>
        <v>P</v>
      </c>
      <c r="M35" s="4" t="str">
        <f>IFERROR(LOOKUP(2,1/((lentry!$A$3:$A$3999=feb!$A35)*(lentry!$B$3:$B$3999&lt;=feb!M$3)*(lentry!$C$3:$C$3999&gt;=feb!M$3)),lentry!$D$3:$D$3999),IF(WEEKDAY(feb!M$3,1)=1,"WO","P"))</f>
        <v>WO</v>
      </c>
      <c r="N35" s="4" t="str">
        <f>IFERROR(LOOKUP(2,1/((lentry!$A$3:$A$3999=feb!$A35)*(lentry!$B$3:$B$3999&lt;=feb!N$3)*(lentry!$C$3:$C$3999&gt;=feb!N$3)),lentry!$D$3:$D$3999),IF(WEEKDAY(feb!N$3,1)=1,"WO","P"))</f>
        <v>P</v>
      </c>
      <c r="O35" s="4" t="str">
        <f>IFERROR(LOOKUP(2,1/((lentry!$A$3:$A$3999=feb!$A35)*(lentry!$B$3:$B$3999&lt;=feb!O$3)*(lentry!$C$3:$C$3999&gt;=feb!O$3)),lentry!$D$3:$D$3999),IF(WEEKDAY(feb!O$3,1)=1,"WO","P"))</f>
        <v>P</v>
      </c>
      <c r="P35" s="4" t="str">
        <f>IFERROR(LOOKUP(2,1/((lentry!$A$3:$A$3999=feb!$A35)*(lentry!$B$3:$B$3999&lt;=feb!P$3)*(lentry!$C$3:$C$3999&gt;=feb!P$3)),lentry!$D$3:$D$3999),IF(WEEKDAY(feb!P$3,1)=1,"WO","P"))</f>
        <v>P</v>
      </c>
      <c r="Q35" s="4" t="str">
        <f>IFERROR(LOOKUP(2,1/((lentry!$A$3:$A$3999=feb!$A35)*(lentry!$B$3:$B$3999&lt;=feb!Q$3)*(lentry!$C$3:$C$3999&gt;=feb!Q$3)),lentry!$D$3:$D$3999),IF(WEEKDAY(feb!Q$3,1)=1,"WO","P"))</f>
        <v>P</v>
      </c>
      <c r="R35" s="4" t="str">
        <f>IFERROR(LOOKUP(2,1/((lentry!$A$3:$A$3999=feb!$A35)*(lentry!$B$3:$B$3999&lt;=feb!R$3)*(lentry!$C$3:$C$3999&gt;=feb!R$3)),lentry!$D$3:$D$3999),IF(WEEKDAY(feb!R$3,1)=1,"WO","P"))</f>
        <v>P</v>
      </c>
      <c r="S35" s="4" t="str">
        <f>IFERROR(LOOKUP(2,1/((lentry!$A$3:$A$3999=feb!$A35)*(lentry!$B$3:$B$3999&lt;=feb!S$3)*(lentry!$C$3:$C$3999&gt;=feb!S$3)),lentry!$D$3:$D$3999),IF(WEEKDAY(feb!S$3,1)=1,"WO","P"))</f>
        <v>P</v>
      </c>
      <c r="T35" s="4" t="s">
        <v>350</v>
      </c>
      <c r="U35" s="4" t="str">
        <f>IFERROR(LOOKUP(2,1/((lentry!$A$3:$A$3999=feb!$A35)*(lentry!$B$3:$B$3999&lt;=feb!U$3)*(lentry!$C$3:$C$3999&gt;=feb!U$3)),lentry!$D$3:$D$3999),IF(WEEKDAY(feb!U$3,1)=1,"WO","P"))</f>
        <v>P</v>
      </c>
      <c r="V35" s="4" t="str">
        <f>IFERROR(LOOKUP(2,1/((lentry!$A$3:$A$3999=feb!$A35)*(lentry!$B$3:$B$3999&lt;=feb!V$3)*(lentry!$C$3:$C$3999&gt;=feb!V$3)),lentry!$D$3:$D$3999),IF(WEEKDAY(feb!V$3,1)=1,"WO","P"))</f>
        <v>P</v>
      </c>
      <c r="W35" s="4" t="s">
        <v>539</v>
      </c>
      <c r="X35" s="4" t="str">
        <f>IFERROR(LOOKUP(2,1/((lentry!$A$3:$A$3999=feb!$A35)*(lentry!$B$3:$B$3999&lt;=feb!X$3)*(lentry!$C$3:$C$3999&gt;=feb!X$3)),lentry!$D$3:$D$3999),IF(WEEKDAY(feb!X$3,1)=1,"WO","P"))</f>
        <v>P</v>
      </c>
      <c r="Y35" s="4" t="str">
        <f>IFERROR(LOOKUP(2,1/((lentry!$A$3:$A$3999=feb!$A35)*(lentry!$B$3:$B$3999&lt;=feb!Y$3)*(lentry!$C$3:$C$3999&gt;=feb!Y$3)),lentry!$D$3:$D$3999),IF(WEEKDAY(feb!Y$3,1)=1,"WO","P"))</f>
        <v>P</v>
      </c>
      <c r="Z35" s="4" t="str">
        <f>IFERROR(LOOKUP(2,1/((lentry!$A$3:$A$3999=feb!$A35)*(lentry!$B$3:$B$3999&lt;=feb!Z$3)*(lentry!$C$3:$C$3999&gt;=feb!Z$3)),lentry!$D$3:$D$3999),IF(WEEKDAY(feb!Z$3,1)=1,"WO","P"))</f>
        <v>P</v>
      </c>
      <c r="AA35" s="4" t="str">
        <f>IFERROR(LOOKUP(2,1/((lentry!$A$3:$A$3999=feb!$A35)*(lentry!$B$3:$B$3999&lt;=feb!AA$3)*(lentry!$C$3:$C$3999&gt;=feb!AA$3)),lentry!$D$3:$D$3999),IF(WEEKDAY(feb!AA$3,1)=1,"WO","P"))</f>
        <v>WO</v>
      </c>
      <c r="AB35" s="4" t="str">
        <f>IFERROR(LOOKUP(2,1/((lentry!$A$3:$A$3999=feb!$A35)*(lentry!$B$3:$B$3999&lt;=feb!AB$3)*(lentry!$C$3:$C$3999&gt;=feb!AB$3)),lentry!$D$3:$D$3999),IF(WEEKDAY(feb!AB$3,1)=1,"WO","P"))</f>
        <v>P</v>
      </c>
      <c r="AC35" s="4" t="str">
        <f>IFERROR(LOOKUP(2,1/((lentry!$A$3:$A$3999=feb!$A35)*(lentry!$B$3:$B$3999&lt;=feb!AC$3)*(lentry!$C$3:$C$3999&gt;=feb!AC$3)),lentry!$D$3:$D$3999),IF(WEEKDAY(feb!AC$3,1)=1,"WO","P"))</f>
        <v>P</v>
      </c>
      <c r="AD35" s="4" t="str">
        <f>IFERROR(LOOKUP(2,1/((lentry!$A$3:$A$3999=feb!$A35)*(lentry!$B$3:$B$3999&lt;=feb!AD$3)*(lentry!$C$3:$C$3999&gt;=feb!AD$3)),lentry!$D$3:$D$3999),IF(WEEKDAY(feb!AD$3,1)=1,"WO","P"))</f>
        <v>P</v>
      </c>
      <c r="AE35" s="4" t="str">
        <f>IFERROR(LOOKUP(2,1/((lentry!$A$3:$A$3999=feb!$A35)*(lentry!$B$3:$B$3999&lt;=feb!AE$3)*(lentry!$C$3:$C$3999&gt;=feb!AE$3)),lentry!$D$3:$D$3999),IF(WEEKDAY(feb!AE$3,1)=1,"WO","P"))</f>
        <v>P</v>
      </c>
      <c r="AF35" s="4" t="str">
        <f>IFERROR(LOOKUP(2,1/((lentry!$A$3:$A$3999=feb!$A35)*(lentry!$B$3:$B$3999&lt;=feb!AF$3)*(lentry!$C$3:$C$3999&gt;=feb!AF$3)),lentry!$D$3:$D$3999),IF(WEEKDAY(feb!AF$3,1)=1,"WO","P"))</f>
        <v>P</v>
      </c>
      <c r="AG35" s="4" t="str">
        <f>IFERROR(LOOKUP(2,1/((lentry!$A$3:$A$3999=feb!$A35)*(lentry!$B$3:$B$3999&lt;=feb!AG$3)*(lentry!$C$3:$C$3999&gt;=feb!AG$3)),lentry!$D$3:$D$3999),IF(WEEKDAY(feb!AG$3,1)=1,"WO","P"))</f>
        <v>P</v>
      </c>
      <c r="AH35" s="4">
        <f t="shared" si="3"/>
        <v>3</v>
      </c>
      <c r="AI35" s="4">
        <f t="shared" si="4"/>
        <v>1</v>
      </c>
      <c r="AJ35" s="4">
        <f t="shared" si="5"/>
        <v>0</v>
      </c>
      <c r="AK35" s="4">
        <f t="shared" si="6"/>
        <v>0</v>
      </c>
      <c r="AL35" s="4">
        <f t="shared" si="7"/>
        <v>0</v>
      </c>
      <c r="AM35" s="4">
        <f t="shared" si="8"/>
        <v>0</v>
      </c>
      <c r="AN35" s="4">
        <f t="shared" si="9"/>
        <v>0</v>
      </c>
      <c r="AO35" s="4">
        <f t="shared" si="10"/>
        <v>1</v>
      </c>
      <c r="AP35" s="4">
        <f t="shared" si="11"/>
        <v>23</v>
      </c>
      <c r="AQ35" s="4">
        <f t="shared" si="2"/>
        <v>28</v>
      </c>
      <c r="AR35" s="4">
        <f t="shared" si="12"/>
        <v>27</v>
      </c>
    </row>
    <row r="36" spans="1:44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IFERROR(LOOKUP(2,1/((lentry!$A$3:$A$3999=feb!$A36)*(lentry!$B$3:$B$3999&lt;=feb!F$3)*(lentry!$C$3:$C$3999&gt;=feb!F$3)),lentry!$D$3:$D$3999),IF(WEEKDAY(feb!F$3,1)=1,"WO","P"))</f>
        <v>WO</v>
      </c>
      <c r="G36" s="4" t="str">
        <f>IFERROR(LOOKUP(2,1/((lentry!$A$3:$A$3999=feb!$A36)*(lentry!$B$3:$B$3999&lt;=feb!G$3)*(lentry!$C$3:$C$3999&gt;=feb!G$3)),lentry!$D$3:$D$3999),IF(WEEKDAY(feb!G$3,1)=1,"WO","P"))</f>
        <v>P</v>
      </c>
      <c r="H36" s="4" t="str">
        <f>IFERROR(LOOKUP(2,1/((lentry!$A$3:$A$3999=feb!$A36)*(lentry!$B$3:$B$3999&lt;=feb!H$3)*(lentry!$C$3:$C$3999&gt;=feb!H$3)),lentry!$D$3:$D$3999),IF(WEEKDAY(feb!H$3,1)=1,"WO","P"))</f>
        <v>P</v>
      </c>
      <c r="I36" s="4" t="str">
        <f>IFERROR(LOOKUP(2,1/((lentry!$A$3:$A$3999=feb!$A36)*(lentry!$B$3:$B$3999&lt;=feb!I$3)*(lentry!$C$3:$C$3999&gt;=feb!I$3)),lentry!$D$3:$D$3999),IF(WEEKDAY(feb!I$3,1)=1,"WO","P"))</f>
        <v>P</v>
      </c>
      <c r="J36" s="4" t="str">
        <f>IFERROR(LOOKUP(2,1/((lentry!$A$3:$A$3999=feb!$A36)*(lentry!$B$3:$B$3999&lt;=feb!J$3)*(lentry!$C$3:$C$3999&gt;=feb!J$3)),lentry!$D$3:$D$3999),IF(WEEKDAY(feb!J$3,1)=1,"WO","P"))</f>
        <v>P</v>
      </c>
      <c r="K36" s="4" t="str">
        <f>IFERROR(LOOKUP(2,1/((lentry!$A$3:$A$3999=feb!$A36)*(lentry!$B$3:$B$3999&lt;=feb!K$3)*(lentry!$C$3:$C$3999&gt;=feb!K$3)),lentry!$D$3:$D$3999),IF(WEEKDAY(feb!K$3,1)=1,"WO","P"))</f>
        <v>P</v>
      </c>
      <c r="L36" s="4" t="str">
        <f>IFERROR(LOOKUP(2,1/((lentry!$A$3:$A$3999=feb!$A36)*(lentry!$B$3:$B$3999&lt;=feb!L$3)*(lentry!$C$3:$C$3999&gt;=feb!L$3)),lentry!$D$3:$D$3999),IF(WEEKDAY(feb!L$3,1)=1,"WO","P"))</f>
        <v>P</v>
      </c>
      <c r="M36" s="4" t="str">
        <f>IFERROR(LOOKUP(2,1/((lentry!$A$3:$A$3999=feb!$A36)*(lentry!$B$3:$B$3999&lt;=feb!M$3)*(lentry!$C$3:$C$3999&gt;=feb!M$3)),lentry!$D$3:$D$3999),IF(WEEKDAY(feb!M$3,1)=1,"WO","P"))</f>
        <v>WO</v>
      </c>
      <c r="N36" s="4" t="str">
        <f>IFERROR(LOOKUP(2,1/((lentry!$A$3:$A$3999=feb!$A36)*(lentry!$B$3:$B$3999&lt;=feb!N$3)*(lentry!$C$3:$C$3999&gt;=feb!N$3)),lentry!$D$3:$D$3999),IF(WEEKDAY(feb!N$3,1)=1,"WO","P"))</f>
        <v>P</v>
      </c>
      <c r="O36" s="4" t="str">
        <f>IFERROR(LOOKUP(2,1/((lentry!$A$3:$A$3999=feb!$A36)*(lentry!$B$3:$B$3999&lt;=feb!O$3)*(lentry!$C$3:$C$3999&gt;=feb!O$3)),lentry!$D$3:$D$3999),IF(WEEKDAY(feb!O$3,1)=1,"WO","P"))</f>
        <v>P</v>
      </c>
      <c r="P36" s="4" t="str">
        <f>IFERROR(LOOKUP(2,1/((lentry!$A$3:$A$3999=feb!$A36)*(lentry!$B$3:$B$3999&lt;=feb!P$3)*(lentry!$C$3:$C$3999&gt;=feb!P$3)),lentry!$D$3:$D$3999),IF(WEEKDAY(feb!P$3,1)=1,"WO","P"))</f>
        <v>P</v>
      </c>
      <c r="Q36" s="4" t="str">
        <f>IFERROR(LOOKUP(2,1/((lentry!$A$3:$A$3999=feb!$A36)*(lentry!$B$3:$B$3999&lt;=feb!Q$3)*(lentry!$C$3:$C$3999&gt;=feb!Q$3)),lentry!$D$3:$D$3999),IF(WEEKDAY(feb!Q$3,1)=1,"WO","P"))</f>
        <v>P</v>
      </c>
      <c r="R36" s="4" t="str">
        <f>IFERROR(LOOKUP(2,1/((lentry!$A$3:$A$3999=feb!$A36)*(lentry!$B$3:$B$3999&lt;=feb!R$3)*(lentry!$C$3:$C$3999&gt;=feb!R$3)),lentry!$D$3:$D$3999),IF(WEEKDAY(feb!R$3,1)=1,"WO","P"))</f>
        <v>P</v>
      </c>
      <c r="S36" s="4" t="str">
        <f>IFERROR(LOOKUP(2,1/((lentry!$A$3:$A$3999=feb!$A36)*(lentry!$B$3:$B$3999&lt;=feb!S$3)*(lentry!$C$3:$C$3999&gt;=feb!S$3)),lentry!$D$3:$D$3999),IF(WEEKDAY(feb!S$3,1)=1,"WO","P"))</f>
        <v>P</v>
      </c>
      <c r="T36" s="4" t="s">
        <v>350</v>
      </c>
      <c r="U36" s="4" t="str">
        <f>IFERROR(LOOKUP(2,1/((lentry!$A$3:$A$3999=feb!$A36)*(lentry!$B$3:$B$3999&lt;=feb!U$3)*(lentry!$C$3:$C$3999&gt;=feb!U$3)),lentry!$D$3:$D$3999),IF(WEEKDAY(feb!U$3,1)=1,"WO","P"))</f>
        <v>P</v>
      </c>
      <c r="V36" s="4" t="str">
        <f>IFERROR(LOOKUP(2,1/((lentry!$A$3:$A$3999=feb!$A36)*(lentry!$B$3:$B$3999&lt;=feb!V$3)*(lentry!$C$3:$C$3999&gt;=feb!V$3)),lentry!$D$3:$D$3999),IF(WEEKDAY(feb!V$3,1)=1,"WO","P"))</f>
        <v>P</v>
      </c>
      <c r="W36" s="4" t="str">
        <f>IFERROR(LOOKUP(2,1/((lentry!$A$3:$A$3999=feb!$A36)*(lentry!$B$3:$B$3999&lt;=feb!W$3)*(lentry!$C$3:$C$3999&gt;=feb!W$3)),lentry!$D$3:$D$3999),IF(WEEKDAY(feb!W$3,1)=1,"WO","P"))</f>
        <v>P</v>
      </c>
      <c r="X36" s="4" t="str">
        <f>IFERROR(LOOKUP(2,1/((lentry!$A$3:$A$3999=feb!$A36)*(lentry!$B$3:$B$3999&lt;=feb!X$3)*(lentry!$C$3:$C$3999&gt;=feb!X$3)),lentry!$D$3:$D$3999),IF(WEEKDAY(feb!X$3,1)=1,"WO","P"))</f>
        <v>P</v>
      </c>
      <c r="Y36" s="4" t="str">
        <f>IFERROR(LOOKUP(2,1/((lentry!$A$3:$A$3999=feb!$A36)*(lentry!$B$3:$B$3999&lt;=feb!Y$3)*(lentry!$C$3:$C$3999&gt;=feb!Y$3)),lentry!$D$3:$D$3999),IF(WEEKDAY(feb!Y$3,1)=1,"WO","P"))</f>
        <v>P</v>
      </c>
      <c r="Z36" s="4" t="str">
        <f>IFERROR(LOOKUP(2,1/((lentry!$A$3:$A$3999=feb!$A36)*(lentry!$B$3:$B$3999&lt;=feb!Z$3)*(lentry!$C$3:$C$3999&gt;=feb!Z$3)),lentry!$D$3:$D$3999),IF(WEEKDAY(feb!Z$3,1)=1,"WO","P"))</f>
        <v>P</v>
      </c>
      <c r="AA36" s="4" t="str">
        <f>IFERROR(LOOKUP(2,1/((lentry!$A$3:$A$3999=feb!$A36)*(lentry!$B$3:$B$3999&lt;=feb!AA$3)*(lentry!$C$3:$C$3999&gt;=feb!AA$3)),lentry!$D$3:$D$3999),IF(WEEKDAY(feb!AA$3,1)=1,"WO","P"))</f>
        <v>WO</v>
      </c>
      <c r="AB36" s="4" t="str">
        <f>IFERROR(LOOKUP(2,1/((lentry!$A$3:$A$3999=feb!$A36)*(lentry!$B$3:$B$3999&lt;=feb!AB$3)*(lentry!$C$3:$C$3999&gt;=feb!AB$3)),lentry!$D$3:$D$3999),IF(WEEKDAY(feb!AB$3,1)=1,"WO","P"))</f>
        <v>P</v>
      </c>
      <c r="AC36" s="4" t="str">
        <f>IFERROR(LOOKUP(2,1/((lentry!$A$3:$A$3999=feb!$A36)*(lentry!$B$3:$B$3999&lt;=feb!AC$3)*(lentry!$C$3:$C$3999&gt;=feb!AC$3)),lentry!$D$3:$D$3999),IF(WEEKDAY(feb!AC$3,1)=1,"WO","P"))</f>
        <v>P</v>
      </c>
      <c r="AD36" s="4" t="str">
        <f>IFERROR(LOOKUP(2,1/((lentry!$A$3:$A$3999=feb!$A36)*(lentry!$B$3:$B$3999&lt;=feb!AD$3)*(lentry!$C$3:$C$3999&gt;=feb!AD$3)),lentry!$D$3:$D$3999),IF(WEEKDAY(feb!AD$3,1)=1,"WO","P"))</f>
        <v>P</v>
      </c>
      <c r="AE36" s="4" t="str">
        <f>IFERROR(LOOKUP(2,1/((lentry!$A$3:$A$3999=feb!$A36)*(lentry!$B$3:$B$3999&lt;=feb!AE$3)*(lentry!$C$3:$C$3999&gt;=feb!AE$3)),lentry!$D$3:$D$3999),IF(WEEKDAY(feb!AE$3,1)=1,"WO","P"))</f>
        <v>P</v>
      </c>
      <c r="AF36" s="4" t="str">
        <f>IFERROR(LOOKUP(2,1/((lentry!$A$3:$A$3999=feb!$A36)*(lentry!$B$3:$B$3999&lt;=feb!AF$3)*(lentry!$C$3:$C$3999&gt;=feb!AF$3)),lentry!$D$3:$D$3999),IF(WEEKDAY(feb!AF$3,1)=1,"WO","P"))</f>
        <v>P</v>
      </c>
      <c r="AG36" s="4" t="str">
        <f>IFERROR(LOOKUP(2,1/((lentry!$A$3:$A$3999=feb!$A36)*(lentry!$B$3:$B$3999&lt;=feb!AG$3)*(lentry!$C$3:$C$3999&gt;=feb!AG$3)),lentry!$D$3:$D$3999),IF(WEEKDAY(feb!AG$3,1)=1,"WO","P"))</f>
        <v>P</v>
      </c>
      <c r="AH36" s="4">
        <f t="shared" si="3"/>
        <v>3</v>
      </c>
      <c r="AI36" s="4">
        <f t="shared" si="4"/>
        <v>1</v>
      </c>
      <c r="AJ36" s="4">
        <f t="shared" si="5"/>
        <v>0</v>
      </c>
      <c r="AK36" s="4">
        <f t="shared" si="6"/>
        <v>0</v>
      </c>
      <c r="AL36" s="4">
        <f t="shared" si="7"/>
        <v>0</v>
      </c>
      <c r="AM36" s="4">
        <f t="shared" si="8"/>
        <v>0</v>
      </c>
      <c r="AN36" s="4">
        <f t="shared" si="9"/>
        <v>0</v>
      </c>
      <c r="AO36" s="4">
        <f t="shared" si="10"/>
        <v>0</v>
      </c>
      <c r="AP36" s="4">
        <f t="shared" si="11"/>
        <v>24</v>
      </c>
      <c r="AQ36" s="4">
        <f t="shared" si="2"/>
        <v>28</v>
      </c>
      <c r="AR36" s="4">
        <f t="shared" si="12"/>
        <v>28</v>
      </c>
    </row>
    <row r="37" spans="1:44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IFERROR(LOOKUP(2,1/((lentry!$A$3:$A$3999=feb!$A37)*(lentry!$B$3:$B$3999&lt;=feb!F$3)*(lentry!$C$3:$C$3999&gt;=feb!F$3)),lentry!$D$3:$D$3999),IF(WEEKDAY(feb!F$3,1)=1,"WO","P"))</f>
        <v>WO</v>
      </c>
      <c r="G37" s="4" t="str">
        <f>IFERROR(LOOKUP(2,1/((lentry!$A$3:$A$3999=feb!$A37)*(lentry!$B$3:$B$3999&lt;=feb!G$3)*(lentry!$C$3:$C$3999&gt;=feb!G$3)),lentry!$D$3:$D$3999),IF(WEEKDAY(feb!G$3,1)=1,"WO","P"))</f>
        <v>P</v>
      </c>
      <c r="H37" s="4" t="str">
        <f>IFERROR(LOOKUP(2,1/((lentry!$A$3:$A$3999=feb!$A37)*(lentry!$B$3:$B$3999&lt;=feb!H$3)*(lentry!$C$3:$C$3999&gt;=feb!H$3)),lentry!$D$3:$D$3999),IF(WEEKDAY(feb!H$3,1)=1,"WO","P"))</f>
        <v>P</v>
      </c>
      <c r="I37" s="4" t="str">
        <f>IFERROR(LOOKUP(2,1/((lentry!$A$3:$A$3999=feb!$A37)*(lentry!$B$3:$B$3999&lt;=feb!I$3)*(lentry!$C$3:$C$3999&gt;=feb!I$3)),lentry!$D$3:$D$3999),IF(WEEKDAY(feb!I$3,1)=1,"WO","P"))</f>
        <v>P</v>
      </c>
      <c r="J37" s="4" t="str">
        <f>IFERROR(LOOKUP(2,1/((lentry!$A$3:$A$3999=feb!$A37)*(lentry!$B$3:$B$3999&lt;=feb!J$3)*(lentry!$C$3:$C$3999&gt;=feb!J$3)),lentry!$D$3:$D$3999),IF(WEEKDAY(feb!J$3,1)=1,"WO","P"))</f>
        <v>P</v>
      </c>
      <c r="K37" s="4" t="str">
        <f>IFERROR(LOOKUP(2,1/((lentry!$A$3:$A$3999=feb!$A37)*(lentry!$B$3:$B$3999&lt;=feb!K$3)*(lentry!$C$3:$C$3999&gt;=feb!K$3)),lentry!$D$3:$D$3999),IF(WEEKDAY(feb!K$3,1)=1,"WO","P"))</f>
        <v>P</v>
      </c>
      <c r="L37" s="4" t="str">
        <f>IFERROR(LOOKUP(2,1/((lentry!$A$3:$A$3999=feb!$A37)*(lentry!$B$3:$B$3999&lt;=feb!L$3)*(lentry!$C$3:$C$3999&gt;=feb!L$3)),lentry!$D$3:$D$3999),IF(WEEKDAY(feb!L$3,1)=1,"WO","P"))</f>
        <v>P</v>
      </c>
      <c r="M37" s="4" t="str">
        <f>IFERROR(LOOKUP(2,1/((lentry!$A$3:$A$3999=feb!$A37)*(lentry!$B$3:$B$3999&lt;=feb!M$3)*(lentry!$C$3:$C$3999&gt;=feb!M$3)),lentry!$D$3:$D$3999),IF(WEEKDAY(feb!M$3,1)=1,"WO","P"))</f>
        <v>WO</v>
      </c>
      <c r="N37" s="4" t="str">
        <f>IFERROR(LOOKUP(2,1/((lentry!$A$3:$A$3999=feb!$A37)*(lentry!$B$3:$B$3999&lt;=feb!N$3)*(lentry!$C$3:$C$3999&gt;=feb!N$3)),lentry!$D$3:$D$3999),IF(WEEKDAY(feb!N$3,1)=1,"WO","P"))</f>
        <v>P</v>
      </c>
      <c r="O37" s="4" t="str">
        <f>IFERROR(LOOKUP(2,1/((lentry!$A$3:$A$3999=feb!$A37)*(lentry!$B$3:$B$3999&lt;=feb!O$3)*(lentry!$C$3:$C$3999&gt;=feb!O$3)),lentry!$D$3:$D$3999),IF(WEEKDAY(feb!O$3,1)=1,"WO","P"))</f>
        <v>P</v>
      </c>
      <c r="P37" s="4" t="str">
        <f>IFERROR(LOOKUP(2,1/((lentry!$A$3:$A$3999=feb!$A37)*(lentry!$B$3:$B$3999&lt;=feb!P$3)*(lentry!$C$3:$C$3999&gt;=feb!P$3)),lentry!$D$3:$D$3999),IF(WEEKDAY(feb!P$3,1)=1,"WO","P"))</f>
        <v>LWP</v>
      </c>
      <c r="Q37" s="4" t="str">
        <f>IFERROR(LOOKUP(2,1/((lentry!$A$3:$A$3999=feb!$A37)*(lentry!$B$3:$B$3999&lt;=feb!Q$3)*(lentry!$C$3:$C$3999&gt;=feb!Q$3)),lentry!$D$3:$D$3999),IF(WEEKDAY(feb!Q$3,1)=1,"WO","P"))</f>
        <v>P</v>
      </c>
      <c r="R37" s="4" t="s">
        <v>539</v>
      </c>
      <c r="S37" s="4" t="str">
        <f>IFERROR(LOOKUP(2,1/((lentry!$A$3:$A$3999=feb!$A37)*(lentry!$B$3:$B$3999&lt;=feb!S$3)*(lentry!$C$3:$C$3999&gt;=feb!S$3)),lentry!$D$3:$D$3999),IF(WEEKDAY(feb!S$3,1)=1,"WO","P"))</f>
        <v>P</v>
      </c>
      <c r="T37" s="4" t="s">
        <v>350</v>
      </c>
      <c r="U37" s="4" t="str">
        <f>IFERROR(LOOKUP(2,1/((lentry!$A$3:$A$3999=feb!$A37)*(lentry!$B$3:$B$3999&lt;=feb!U$3)*(lentry!$C$3:$C$3999&gt;=feb!U$3)),lentry!$D$3:$D$3999),IF(WEEKDAY(feb!U$3,1)=1,"WO","P"))</f>
        <v>P</v>
      </c>
      <c r="V37" s="4" t="str">
        <f>IFERROR(LOOKUP(2,1/((lentry!$A$3:$A$3999=feb!$A37)*(lentry!$B$3:$B$3999&lt;=feb!V$3)*(lentry!$C$3:$C$3999&gt;=feb!V$3)),lentry!$D$3:$D$3999),IF(WEEKDAY(feb!V$3,1)=1,"WO","P"))</f>
        <v>P</v>
      </c>
      <c r="W37" s="4" t="str">
        <f>IFERROR(LOOKUP(2,1/((lentry!$A$3:$A$3999=feb!$A37)*(lentry!$B$3:$B$3999&lt;=feb!W$3)*(lentry!$C$3:$C$3999&gt;=feb!W$3)),lentry!$D$3:$D$3999),IF(WEEKDAY(feb!W$3,1)=1,"WO","P"))</f>
        <v>P</v>
      </c>
      <c r="X37" s="4" t="str">
        <f>IFERROR(LOOKUP(2,1/((lentry!$A$3:$A$3999=feb!$A37)*(lentry!$B$3:$B$3999&lt;=feb!X$3)*(lentry!$C$3:$C$3999&gt;=feb!X$3)),lentry!$D$3:$D$3999),IF(WEEKDAY(feb!X$3,1)=1,"WO","P"))</f>
        <v>P</v>
      </c>
      <c r="Y37" s="4" t="str">
        <f>IFERROR(LOOKUP(2,1/((lentry!$A$3:$A$3999=feb!$A37)*(lentry!$B$3:$B$3999&lt;=feb!Y$3)*(lentry!$C$3:$C$3999&gt;=feb!Y$3)),lentry!$D$3:$D$3999),IF(WEEKDAY(feb!Y$3,1)=1,"WO","P"))</f>
        <v>P</v>
      </c>
      <c r="Z37" s="4" t="str">
        <f>IFERROR(LOOKUP(2,1/((lentry!$A$3:$A$3999=feb!$A37)*(lentry!$B$3:$B$3999&lt;=feb!Z$3)*(lentry!$C$3:$C$3999&gt;=feb!Z$3)),lentry!$D$3:$D$3999),IF(WEEKDAY(feb!Z$3,1)=1,"WO","P"))</f>
        <v>P</v>
      </c>
      <c r="AA37" s="4" t="str">
        <f>IFERROR(LOOKUP(2,1/((lentry!$A$3:$A$3999=feb!$A37)*(lentry!$B$3:$B$3999&lt;=feb!AA$3)*(lentry!$C$3:$C$3999&gt;=feb!AA$3)),lentry!$D$3:$D$3999),IF(WEEKDAY(feb!AA$3,1)=1,"WO","P"))</f>
        <v>WO</v>
      </c>
      <c r="AB37" s="4" t="str">
        <f>IFERROR(LOOKUP(2,1/((lentry!$A$3:$A$3999=feb!$A37)*(lentry!$B$3:$B$3999&lt;=feb!AB$3)*(lentry!$C$3:$C$3999&gt;=feb!AB$3)),lentry!$D$3:$D$3999),IF(WEEKDAY(feb!AB$3,1)=1,"WO","P"))</f>
        <v>P</v>
      </c>
      <c r="AC37" s="4" t="s">
        <v>539</v>
      </c>
      <c r="AD37" s="4" t="str">
        <f>IFERROR(LOOKUP(2,1/((lentry!$A$3:$A$3999=feb!$A37)*(lentry!$B$3:$B$3999&lt;=feb!AD$3)*(lentry!$C$3:$C$3999&gt;=feb!AD$3)),lentry!$D$3:$D$3999),IF(WEEKDAY(feb!AD$3,1)=1,"WO","P"))</f>
        <v>P</v>
      </c>
      <c r="AE37" s="4" t="str">
        <f>IFERROR(LOOKUP(2,1/((lentry!$A$3:$A$3999=feb!$A37)*(lentry!$B$3:$B$3999&lt;=feb!AE$3)*(lentry!$C$3:$C$3999&gt;=feb!AE$3)),lentry!$D$3:$D$3999),IF(WEEKDAY(feb!AE$3,1)=1,"WO","P"))</f>
        <v>P</v>
      </c>
      <c r="AF37" s="4" t="str">
        <f>IFERROR(LOOKUP(2,1/((lentry!$A$3:$A$3999=feb!$A37)*(lentry!$B$3:$B$3999&lt;=feb!AF$3)*(lentry!$C$3:$C$3999&gt;=feb!AF$3)),lentry!$D$3:$D$3999),IF(WEEKDAY(feb!AF$3,1)=1,"WO","P"))</f>
        <v>P</v>
      </c>
      <c r="AG37" s="4" t="str">
        <f>IFERROR(LOOKUP(2,1/((lentry!$A$3:$A$3999=feb!$A37)*(lentry!$B$3:$B$3999&lt;=feb!AG$3)*(lentry!$C$3:$C$3999&gt;=feb!AG$3)),lentry!$D$3:$D$3999),IF(WEEKDAY(feb!AG$3,1)=1,"WO","P"))</f>
        <v>P</v>
      </c>
      <c r="AH37" s="4">
        <f t="shared" si="3"/>
        <v>3</v>
      </c>
      <c r="AI37" s="4">
        <f t="shared" si="4"/>
        <v>1</v>
      </c>
      <c r="AJ37" s="4">
        <f t="shared" si="5"/>
        <v>0</v>
      </c>
      <c r="AK37" s="4">
        <f t="shared" si="6"/>
        <v>1</v>
      </c>
      <c r="AL37" s="4">
        <f t="shared" si="7"/>
        <v>0</v>
      </c>
      <c r="AM37" s="4">
        <f t="shared" si="8"/>
        <v>0</v>
      </c>
      <c r="AN37" s="4">
        <f t="shared" si="9"/>
        <v>0</v>
      </c>
      <c r="AO37" s="4">
        <f t="shared" si="10"/>
        <v>2</v>
      </c>
      <c r="AP37" s="4">
        <f t="shared" si="11"/>
        <v>21</v>
      </c>
      <c r="AQ37" s="4">
        <f t="shared" ref="AQ37:AQ54" si="13">COUNTA($F37:$AG37)</f>
        <v>28</v>
      </c>
      <c r="AR37" s="4">
        <f t="shared" si="12"/>
        <v>25</v>
      </c>
    </row>
    <row r="38" spans="1:44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IFERROR(LOOKUP(2,1/((lentry!$A$3:$A$3999=feb!$A38)*(lentry!$B$3:$B$3999&lt;=feb!F$3)*(lentry!$C$3:$C$3999&gt;=feb!F$3)),lentry!$D$3:$D$3999),IF(WEEKDAY(feb!F$3,1)=1,"WO","P"))</f>
        <v>WO</v>
      </c>
      <c r="G38" s="4" t="str">
        <f>IFERROR(LOOKUP(2,1/((lentry!$A$3:$A$3999=feb!$A38)*(lentry!$B$3:$B$3999&lt;=feb!G$3)*(lentry!$C$3:$C$3999&gt;=feb!G$3)),lentry!$D$3:$D$3999),IF(WEEKDAY(feb!G$3,1)=1,"WO","P"))</f>
        <v>P</v>
      </c>
      <c r="H38" s="4" t="str">
        <f>IFERROR(LOOKUP(2,1/((lentry!$A$3:$A$3999=feb!$A38)*(lentry!$B$3:$B$3999&lt;=feb!H$3)*(lentry!$C$3:$C$3999&gt;=feb!H$3)),lentry!$D$3:$D$3999),IF(WEEKDAY(feb!H$3,1)=1,"WO","P"))</f>
        <v>P</v>
      </c>
      <c r="I38" s="4" t="str">
        <f>IFERROR(LOOKUP(2,1/((lentry!$A$3:$A$3999=feb!$A38)*(lentry!$B$3:$B$3999&lt;=feb!I$3)*(lentry!$C$3:$C$3999&gt;=feb!I$3)),lentry!$D$3:$D$3999),IF(WEEKDAY(feb!I$3,1)=1,"WO","P"))</f>
        <v>P</v>
      </c>
      <c r="J38" s="4" t="str">
        <f>IFERROR(LOOKUP(2,1/((lentry!$A$3:$A$3999=feb!$A38)*(lentry!$B$3:$B$3999&lt;=feb!J$3)*(lentry!$C$3:$C$3999&gt;=feb!J$3)),lentry!$D$3:$D$3999),IF(WEEKDAY(feb!J$3,1)=1,"WO","P"))</f>
        <v>P</v>
      </c>
      <c r="K38" s="4" t="str">
        <f>IFERROR(LOOKUP(2,1/((lentry!$A$3:$A$3999=feb!$A38)*(lentry!$B$3:$B$3999&lt;=feb!K$3)*(lentry!$C$3:$C$3999&gt;=feb!K$3)),lentry!$D$3:$D$3999),IF(WEEKDAY(feb!K$3,1)=1,"WO","P"))</f>
        <v>P</v>
      </c>
      <c r="L38" s="4" t="str">
        <f>IFERROR(LOOKUP(2,1/((lentry!$A$3:$A$3999=feb!$A38)*(lentry!$B$3:$B$3999&lt;=feb!L$3)*(lentry!$C$3:$C$3999&gt;=feb!L$3)),lentry!$D$3:$D$3999),IF(WEEKDAY(feb!L$3,1)=1,"WO","P"))</f>
        <v>P</v>
      </c>
      <c r="M38" s="4" t="str">
        <f>IFERROR(LOOKUP(2,1/((lentry!$A$3:$A$3999=feb!$A38)*(lentry!$B$3:$B$3999&lt;=feb!M$3)*(lentry!$C$3:$C$3999&gt;=feb!M$3)),lentry!$D$3:$D$3999),IF(WEEKDAY(feb!M$3,1)=1,"WO","P"))</f>
        <v>WO</v>
      </c>
      <c r="N38" s="4" t="str">
        <f>IFERROR(LOOKUP(2,1/((lentry!$A$3:$A$3999=feb!$A38)*(lentry!$B$3:$B$3999&lt;=feb!N$3)*(lentry!$C$3:$C$3999&gt;=feb!N$3)),lentry!$D$3:$D$3999),IF(WEEKDAY(feb!N$3,1)=1,"WO","P"))</f>
        <v>P</v>
      </c>
      <c r="O38" s="4" t="str">
        <f>IFERROR(LOOKUP(2,1/((lentry!$A$3:$A$3999=feb!$A38)*(lentry!$B$3:$B$3999&lt;=feb!O$3)*(lentry!$C$3:$C$3999&gt;=feb!O$3)),lentry!$D$3:$D$3999),IF(WEEKDAY(feb!O$3,1)=1,"WO","P"))</f>
        <v>P</v>
      </c>
      <c r="P38" s="4" t="str">
        <f>IFERROR(LOOKUP(2,1/((lentry!$A$3:$A$3999=feb!$A38)*(lentry!$B$3:$B$3999&lt;=feb!P$3)*(lentry!$C$3:$C$3999&gt;=feb!P$3)),lentry!$D$3:$D$3999),IF(WEEKDAY(feb!P$3,1)=1,"WO","P"))</f>
        <v>P</v>
      </c>
      <c r="Q38" s="4" t="str">
        <f>IFERROR(LOOKUP(2,1/((lentry!$A$3:$A$3999=feb!$A38)*(lentry!$B$3:$B$3999&lt;=feb!Q$3)*(lentry!$C$3:$C$3999&gt;=feb!Q$3)),lentry!$D$3:$D$3999),IF(WEEKDAY(feb!Q$3,1)=1,"WO","P"))</f>
        <v>P</v>
      </c>
      <c r="R38" s="4" t="str">
        <f>IFERROR(LOOKUP(2,1/((lentry!$A$3:$A$3999=feb!$A38)*(lentry!$B$3:$B$3999&lt;=feb!R$3)*(lentry!$C$3:$C$3999&gt;=feb!R$3)),lentry!$D$3:$D$3999),IF(WEEKDAY(feb!R$3,1)=1,"WO","P"))</f>
        <v>P</v>
      </c>
      <c r="S38" s="4" t="str">
        <f>IFERROR(LOOKUP(2,1/((lentry!$A$3:$A$3999=feb!$A38)*(lentry!$B$3:$B$3999&lt;=feb!S$3)*(lentry!$C$3:$C$3999&gt;=feb!S$3)),lentry!$D$3:$D$3999),IF(WEEKDAY(feb!S$3,1)=1,"WO","P"))</f>
        <v>P</v>
      </c>
      <c r="T38" s="4" t="s">
        <v>350</v>
      </c>
      <c r="U38" s="4" t="str">
        <f>IFERROR(LOOKUP(2,1/((lentry!$A$3:$A$3999=feb!$A38)*(lentry!$B$3:$B$3999&lt;=feb!U$3)*(lentry!$C$3:$C$3999&gt;=feb!U$3)),lentry!$D$3:$D$3999),IF(WEEKDAY(feb!U$3,1)=1,"WO","P"))</f>
        <v>P</v>
      </c>
      <c r="V38" s="4" t="str">
        <f>IFERROR(LOOKUP(2,1/((lentry!$A$3:$A$3999=feb!$A38)*(lentry!$B$3:$B$3999&lt;=feb!V$3)*(lentry!$C$3:$C$3999&gt;=feb!V$3)),lentry!$D$3:$D$3999),IF(WEEKDAY(feb!V$3,1)=1,"WO","P"))</f>
        <v>P</v>
      </c>
      <c r="W38" s="4" t="s">
        <v>539</v>
      </c>
      <c r="X38" s="4" t="str">
        <f>IFERROR(LOOKUP(2,1/((lentry!$A$3:$A$3999=feb!$A38)*(lentry!$B$3:$B$3999&lt;=feb!X$3)*(lentry!$C$3:$C$3999&gt;=feb!X$3)),lentry!$D$3:$D$3999),IF(WEEKDAY(feb!X$3,1)=1,"WO","P"))</f>
        <v>P</v>
      </c>
      <c r="Y38" s="4" t="str">
        <f>IFERROR(LOOKUP(2,1/((lentry!$A$3:$A$3999=feb!$A38)*(lentry!$B$3:$B$3999&lt;=feb!Y$3)*(lentry!$C$3:$C$3999&gt;=feb!Y$3)),lentry!$D$3:$D$3999),IF(WEEKDAY(feb!Y$3,1)=1,"WO","P"))</f>
        <v>P</v>
      </c>
      <c r="Z38" s="4" t="str">
        <f>IFERROR(LOOKUP(2,1/((lentry!$A$3:$A$3999=feb!$A38)*(lentry!$B$3:$B$3999&lt;=feb!Z$3)*(lentry!$C$3:$C$3999&gt;=feb!Z$3)),lentry!$D$3:$D$3999),IF(WEEKDAY(feb!Z$3,1)=1,"WO","P"))</f>
        <v>P</v>
      </c>
      <c r="AA38" s="4" t="str">
        <f>IFERROR(LOOKUP(2,1/((lentry!$A$3:$A$3999=feb!$A38)*(lentry!$B$3:$B$3999&lt;=feb!AA$3)*(lentry!$C$3:$C$3999&gt;=feb!AA$3)),lentry!$D$3:$D$3999),IF(WEEKDAY(feb!AA$3,1)=1,"WO","P"))</f>
        <v>WO</v>
      </c>
      <c r="AB38" s="4" t="str">
        <f>IFERROR(LOOKUP(2,1/((lentry!$A$3:$A$3999=feb!$A38)*(lentry!$B$3:$B$3999&lt;=feb!AB$3)*(lentry!$C$3:$C$3999&gt;=feb!AB$3)),lentry!$D$3:$D$3999),IF(WEEKDAY(feb!AB$3,1)=1,"WO","P"))</f>
        <v>P</v>
      </c>
      <c r="AC38" s="4" t="str">
        <f>IFERROR(LOOKUP(2,1/((lentry!$A$3:$A$3999=feb!$A38)*(lentry!$B$3:$B$3999&lt;=feb!AC$3)*(lentry!$C$3:$C$3999&gt;=feb!AC$3)),lentry!$D$3:$D$3999),IF(WEEKDAY(feb!AC$3,1)=1,"WO","P"))</f>
        <v>P</v>
      </c>
      <c r="AD38" s="4" t="str">
        <f>IFERROR(LOOKUP(2,1/((lentry!$A$3:$A$3999=feb!$A38)*(lentry!$B$3:$B$3999&lt;=feb!AD$3)*(lentry!$C$3:$C$3999&gt;=feb!AD$3)),lentry!$D$3:$D$3999),IF(WEEKDAY(feb!AD$3,1)=1,"WO","P"))</f>
        <v>P</v>
      </c>
      <c r="AE38" s="4" t="str">
        <f>IFERROR(LOOKUP(2,1/((lentry!$A$3:$A$3999=feb!$A38)*(lentry!$B$3:$B$3999&lt;=feb!AE$3)*(lentry!$C$3:$C$3999&gt;=feb!AE$3)),lentry!$D$3:$D$3999),IF(WEEKDAY(feb!AE$3,1)=1,"WO","P"))</f>
        <v>P</v>
      </c>
      <c r="AF38" s="4" t="str">
        <f>IFERROR(LOOKUP(2,1/((lentry!$A$3:$A$3999=feb!$A38)*(lentry!$B$3:$B$3999&lt;=feb!AF$3)*(lentry!$C$3:$C$3999&gt;=feb!AF$3)),lentry!$D$3:$D$3999),IF(WEEKDAY(feb!AF$3,1)=1,"WO","P"))</f>
        <v>P</v>
      </c>
      <c r="AG38" s="4" t="str">
        <f>IFERROR(LOOKUP(2,1/((lentry!$A$3:$A$3999=feb!$A38)*(lentry!$B$3:$B$3999&lt;=feb!AG$3)*(lentry!$C$3:$C$3999&gt;=feb!AG$3)),lentry!$D$3:$D$3999),IF(WEEKDAY(feb!AG$3,1)=1,"WO","P"))</f>
        <v>P</v>
      </c>
      <c r="AH38" s="4">
        <f t="shared" si="3"/>
        <v>3</v>
      </c>
      <c r="AI38" s="4">
        <f t="shared" si="4"/>
        <v>1</v>
      </c>
      <c r="AJ38" s="4">
        <f t="shared" si="5"/>
        <v>0</v>
      </c>
      <c r="AK38" s="4">
        <f t="shared" si="6"/>
        <v>0</v>
      </c>
      <c r="AL38" s="4">
        <f t="shared" si="7"/>
        <v>0</v>
      </c>
      <c r="AM38" s="4">
        <f t="shared" si="8"/>
        <v>0</v>
      </c>
      <c r="AN38" s="4">
        <f t="shared" si="9"/>
        <v>0</v>
      </c>
      <c r="AO38" s="4">
        <f t="shared" si="10"/>
        <v>1</v>
      </c>
      <c r="AP38" s="4">
        <f t="shared" si="11"/>
        <v>23</v>
      </c>
      <c r="AQ38" s="4">
        <f t="shared" si="13"/>
        <v>28</v>
      </c>
      <c r="AR38" s="4">
        <f t="shared" si="12"/>
        <v>27</v>
      </c>
    </row>
    <row r="39" spans="1:44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IFERROR(LOOKUP(2,1/((lentry!$A$3:$A$3999=feb!$A39)*(lentry!$B$3:$B$3999&lt;=feb!F$3)*(lentry!$C$3:$C$3999&gt;=feb!F$3)),lentry!$D$3:$D$3999),IF(WEEKDAY(feb!F$3,1)=1,"WO","P"))</f>
        <v>WO</v>
      </c>
      <c r="G39" s="4" t="s">
        <v>539</v>
      </c>
      <c r="H39" s="4" t="str">
        <f>IFERROR(LOOKUP(2,1/((lentry!$A$3:$A$3999=feb!$A39)*(lentry!$B$3:$B$3999&lt;=feb!H$3)*(lentry!$C$3:$C$3999&gt;=feb!H$3)),lentry!$D$3:$D$3999),IF(WEEKDAY(feb!H$3,1)=1,"WO","P"))</f>
        <v>P</v>
      </c>
      <c r="I39" s="4" t="str">
        <f>IFERROR(LOOKUP(2,1/((lentry!$A$3:$A$3999=feb!$A39)*(lentry!$B$3:$B$3999&lt;=feb!I$3)*(lentry!$C$3:$C$3999&gt;=feb!I$3)),lentry!$D$3:$D$3999),IF(WEEKDAY(feb!I$3,1)=1,"WO","P"))</f>
        <v>P</v>
      </c>
      <c r="J39" s="4" t="str">
        <f>IFERROR(LOOKUP(2,1/((lentry!$A$3:$A$3999=feb!$A39)*(lentry!$B$3:$B$3999&lt;=feb!J$3)*(lentry!$C$3:$C$3999&gt;=feb!J$3)),lentry!$D$3:$D$3999),IF(WEEKDAY(feb!J$3,1)=1,"WO","P"))</f>
        <v>P</v>
      </c>
      <c r="K39" s="4" t="str">
        <f>IFERROR(LOOKUP(2,1/((lentry!$A$3:$A$3999=feb!$A39)*(lentry!$B$3:$B$3999&lt;=feb!K$3)*(lentry!$C$3:$C$3999&gt;=feb!K$3)),lentry!$D$3:$D$3999),IF(WEEKDAY(feb!K$3,1)=1,"WO","P"))</f>
        <v>P</v>
      </c>
      <c r="L39" s="4" t="str">
        <f>IFERROR(LOOKUP(2,1/((lentry!$A$3:$A$3999=feb!$A39)*(lentry!$B$3:$B$3999&lt;=feb!L$3)*(lentry!$C$3:$C$3999&gt;=feb!L$3)),lentry!$D$3:$D$3999),IF(WEEKDAY(feb!L$3,1)=1,"WO","P"))</f>
        <v>P</v>
      </c>
      <c r="M39" s="4" t="str">
        <f>IFERROR(LOOKUP(2,1/((lentry!$A$3:$A$3999=feb!$A39)*(lentry!$B$3:$B$3999&lt;=feb!M$3)*(lentry!$C$3:$C$3999&gt;=feb!M$3)),lentry!$D$3:$D$3999),IF(WEEKDAY(feb!M$3,1)=1,"WO","P"))</f>
        <v>WO</v>
      </c>
      <c r="N39" s="4" t="str">
        <f>IFERROR(LOOKUP(2,1/((lentry!$A$3:$A$3999=feb!$A39)*(lentry!$B$3:$B$3999&lt;=feb!N$3)*(lentry!$C$3:$C$3999&gt;=feb!N$3)),lentry!$D$3:$D$3999),IF(WEEKDAY(feb!N$3,1)=1,"WO","P"))</f>
        <v>P</v>
      </c>
      <c r="O39" s="4" t="str">
        <f>IFERROR(LOOKUP(2,1/((lentry!$A$3:$A$3999=feb!$A39)*(lentry!$B$3:$B$3999&lt;=feb!O$3)*(lentry!$C$3:$C$3999&gt;=feb!O$3)),lentry!$D$3:$D$3999),IF(WEEKDAY(feb!O$3,1)=1,"WO","P"))</f>
        <v>P</v>
      </c>
      <c r="P39" s="4" t="str">
        <f>IFERROR(LOOKUP(2,1/((lentry!$A$3:$A$3999=feb!$A39)*(lentry!$B$3:$B$3999&lt;=feb!P$3)*(lentry!$C$3:$C$3999&gt;=feb!P$3)),lentry!$D$3:$D$3999),IF(WEEKDAY(feb!P$3,1)=1,"WO","P"))</f>
        <v>P</v>
      </c>
      <c r="Q39" s="4" t="str">
        <f>IFERROR(LOOKUP(2,1/((lentry!$A$3:$A$3999=feb!$A39)*(lentry!$B$3:$B$3999&lt;=feb!Q$3)*(lentry!$C$3:$C$3999&gt;=feb!Q$3)),lentry!$D$3:$D$3999),IF(WEEKDAY(feb!Q$3,1)=1,"WO","P"))</f>
        <v>P</v>
      </c>
      <c r="R39" s="4" t="str">
        <f>IFERROR(LOOKUP(2,1/((lentry!$A$3:$A$3999=feb!$A39)*(lentry!$B$3:$B$3999&lt;=feb!R$3)*(lentry!$C$3:$C$3999&gt;=feb!R$3)),lentry!$D$3:$D$3999),IF(WEEKDAY(feb!R$3,1)=1,"WO","P"))</f>
        <v>P</v>
      </c>
      <c r="S39" s="4" t="str">
        <f>IFERROR(LOOKUP(2,1/((lentry!$A$3:$A$3999=feb!$A39)*(lentry!$B$3:$B$3999&lt;=feb!S$3)*(lentry!$C$3:$C$3999&gt;=feb!S$3)),lentry!$D$3:$D$3999),IF(WEEKDAY(feb!S$3,1)=1,"WO","P"))</f>
        <v>P</v>
      </c>
      <c r="T39" s="4" t="s">
        <v>350</v>
      </c>
      <c r="U39" s="4" t="str">
        <f>IFERROR(LOOKUP(2,1/((lentry!$A$3:$A$3999=feb!$A39)*(lentry!$B$3:$B$3999&lt;=feb!U$3)*(lentry!$C$3:$C$3999&gt;=feb!U$3)),lentry!$D$3:$D$3999),IF(WEEKDAY(feb!U$3,1)=1,"WO","P"))</f>
        <v>P</v>
      </c>
      <c r="V39" s="4" t="str">
        <f>IFERROR(LOOKUP(2,1/((lentry!$A$3:$A$3999=feb!$A39)*(lentry!$B$3:$B$3999&lt;=feb!V$3)*(lentry!$C$3:$C$3999&gt;=feb!V$3)),lentry!$D$3:$D$3999),IF(WEEKDAY(feb!V$3,1)=1,"WO","P"))</f>
        <v>P</v>
      </c>
      <c r="W39" s="4" t="str">
        <f>IFERROR(LOOKUP(2,1/((lentry!$A$3:$A$3999=feb!$A39)*(lentry!$B$3:$B$3999&lt;=feb!W$3)*(lentry!$C$3:$C$3999&gt;=feb!W$3)),lentry!$D$3:$D$3999),IF(WEEKDAY(feb!W$3,1)=1,"WO","P"))</f>
        <v>P</v>
      </c>
      <c r="X39" s="4" t="str">
        <f>IFERROR(LOOKUP(2,1/((lentry!$A$3:$A$3999=feb!$A39)*(lentry!$B$3:$B$3999&lt;=feb!X$3)*(lentry!$C$3:$C$3999&gt;=feb!X$3)),lentry!$D$3:$D$3999),IF(WEEKDAY(feb!X$3,1)=1,"WO","P"))</f>
        <v>P</v>
      </c>
      <c r="Y39" s="4" t="str">
        <f>IFERROR(LOOKUP(2,1/((lentry!$A$3:$A$3999=feb!$A39)*(lentry!$B$3:$B$3999&lt;=feb!Y$3)*(lentry!$C$3:$C$3999&gt;=feb!Y$3)),lentry!$D$3:$D$3999),IF(WEEKDAY(feb!Y$3,1)=1,"WO","P"))</f>
        <v>P</v>
      </c>
      <c r="Z39" s="4" t="str">
        <f>IFERROR(LOOKUP(2,1/((lentry!$A$3:$A$3999=feb!$A39)*(lentry!$B$3:$B$3999&lt;=feb!Z$3)*(lentry!$C$3:$C$3999&gt;=feb!Z$3)),lentry!$D$3:$D$3999),IF(WEEKDAY(feb!Z$3,1)=1,"WO","P"))</f>
        <v>P</v>
      </c>
      <c r="AA39" s="4" t="str">
        <f>IFERROR(LOOKUP(2,1/((lentry!$A$3:$A$3999=feb!$A39)*(lentry!$B$3:$B$3999&lt;=feb!AA$3)*(lentry!$C$3:$C$3999&gt;=feb!AA$3)),lentry!$D$3:$D$3999),IF(WEEKDAY(feb!AA$3,1)=1,"WO","P"))</f>
        <v>WO</v>
      </c>
      <c r="AB39" s="4" t="str">
        <f>IFERROR(LOOKUP(2,1/((lentry!$A$3:$A$3999=feb!$A39)*(lentry!$B$3:$B$3999&lt;=feb!AB$3)*(lentry!$C$3:$C$3999&gt;=feb!AB$3)),lentry!$D$3:$D$3999),IF(WEEKDAY(feb!AB$3,1)=1,"WO","P"))</f>
        <v>P</v>
      </c>
      <c r="AC39" s="4" t="str">
        <f>IFERROR(LOOKUP(2,1/((lentry!$A$3:$A$3999=feb!$A39)*(lentry!$B$3:$B$3999&lt;=feb!AC$3)*(lentry!$C$3:$C$3999&gt;=feb!AC$3)),lentry!$D$3:$D$3999),IF(WEEKDAY(feb!AC$3,1)=1,"WO","P"))</f>
        <v>P</v>
      </c>
      <c r="AD39" s="4" t="str">
        <f>IFERROR(LOOKUP(2,1/((lentry!$A$3:$A$3999=feb!$A39)*(lentry!$B$3:$B$3999&lt;=feb!AD$3)*(lentry!$C$3:$C$3999&gt;=feb!AD$3)),lentry!$D$3:$D$3999),IF(WEEKDAY(feb!AD$3,1)=1,"WO","P"))</f>
        <v>P</v>
      </c>
      <c r="AE39" s="4" t="str">
        <f>IFERROR(LOOKUP(2,1/((lentry!$A$3:$A$3999=feb!$A39)*(lentry!$B$3:$B$3999&lt;=feb!AE$3)*(lentry!$C$3:$C$3999&gt;=feb!AE$3)),lentry!$D$3:$D$3999),IF(WEEKDAY(feb!AE$3,1)=1,"WO","P"))</f>
        <v>P</v>
      </c>
      <c r="AF39" s="4" t="str">
        <f>IFERROR(LOOKUP(2,1/((lentry!$A$3:$A$3999=feb!$A39)*(lentry!$B$3:$B$3999&lt;=feb!AF$3)*(lentry!$C$3:$C$3999&gt;=feb!AF$3)),lentry!$D$3:$D$3999),IF(WEEKDAY(feb!AF$3,1)=1,"WO","P"))</f>
        <v>P</v>
      </c>
      <c r="AG39" s="4" t="str">
        <f>IFERROR(LOOKUP(2,1/((lentry!$A$3:$A$3999=feb!$A39)*(lentry!$B$3:$B$3999&lt;=feb!AG$3)*(lentry!$C$3:$C$3999&gt;=feb!AG$3)),lentry!$D$3:$D$3999),IF(WEEKDAY(feb!AG$3,1)=1,"WO","P"))</f>
        <v>P</v>
      </c>
      <c r="AH39" s="4">
        <f t="shared" si="3"/>
        <v>3</v>
      </c>
      <c r="AI39" s="4">
        <f t="shared" si="4"/>
        <v>1</v>
      </c>
      <c r="AJ39" s="4">
        <f t="shared" si="5"/>
        <v>0</v>
      </c>
      <c r="AK39" s="4">
        <f t="shared" si="6"/>
        <v>0</v>
      </c>
      <c r="AL39" s="4">
        <f t="shared" si="7"/>
        <v>0</v>
      </c>
      <c r="AM39" s="4">
        <f t="shared" si="8"/>
        <v>0</v>
      </c>
      <c r="AN39" s="4">
        <f t="shared" si="9"/>
        <v>0</v>
      </c>
      <c r="AO39" s="4">
        <f t="shared" si="10"/>
        <v>1</v>
      </c>
      <c r="AP39" s="4">
        <f t="shared" si="11"/>
        <v>23</v>
      </c>
      <c r="AQ39" s="4">
        <f t="shared" si="13"/>
        <v>28</v>
      </c>
      <c r="AR39" s="4">
        <f t="shared" si="12"/>
        <v>27</v>
      </c>
    </row>
    <row r="40" spans="1:44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IFERROR(LOOKUP(2,1/((lentry!$A$3:$A$3999=feb!$A40)*(lentry!$B$3:$B$3999&lt;=feb!F$3)*(lentry!$C$3:$C$3999&gt;=feb!F$3)),lentry!$D$3:$D$3999),IF(WEEKDAY(feb!F$3,1)=1,"WO","P"))</f>
        <v>WO</v>
      </c>
      <c r="G40" s="4" t="str">
        <f>IFERROR(LOOKUP(2,1/((lentry!$A$3:$A$3999=feb!$A40)*(lentry!$B$3:$B$3999&lt;=feb!G$3)*(lentry!$C$3:$C$3999&gt;=feb!G$3)),lentry!$D$3:$D$3999),IF(WEEKDAY(feb!G$3,1)=1,"WO","P"))</f>
        <v>P</v>
      </c>
      <c r="H40" s="4" t="str">
        <f>IFERROR(LOOKUP(2,1/((lentry!$A$3:$A$3999=feb!$A40)*(lentry!$B$3:$B$3999&lt;=feb!H$3)*(lentry!$C$3:$C$3999&gt;=feb!H$3)),lentry!$D$3:$D$3999),IF(WEEKDAY(feb!H$3,1)=1,"WO","P"))</f>
        <v>P</v>
      </c>
      <c r="I40" s="4" t="str">
        <f>IFERROR(LOOKUP(2,1/((lentry!$A$3:$A$3999=feb!$A40)*(lentry!$B$3:$B$3999&lt;=feb!I$3)*(lentry!$C$3:$C$3999&gt;=feb!I$3)),lentry!$D$3:$D$3999),IF(WEEKDAY(feb!I$3,1)=1,"WO","P"))</f>
        <v>P</v>
      </c>
      <c r="J40" s="4" t="str">
        <f>IFERROR(LOOKUP(2,1/((lentry!$A$3:$A$3999=feb!$A40)*(lentry!$B$3:$B$3999&lt;=feb!J$3)*(lentry!$C$3:$C$3999&gt;=feb!J$3)),lentry!$D$3:$D$3999),IF(WEEKDAY(feb!J$3,1)=1,"WO","P"))</f>
        <v>P</v>
      </c>
      <c r="K40" s="4" t="str">
        <f>IFERROR(LOOKUP(2,1/((lentry!$A$3:$A$3999=feb!$A40)*(lentry!$B$3:$B$3999&lt;=feb!K$3)*(lentry!$C$3:$C$3999&gt;=feb!K$3)),lentry!$D$3:$D$3999),IF(WEEKDAY(feb!K$3,1)=1,"WO","P"))</f>
        <v>P</v>
      </c>
      <c r="L40" s="4" t="str">
        <f>IFERROR(LOOKUP(2,1/((lentry!$A$3:$A$3999=feb!$A40)*(lentry!$B$3:$B$3999&lt;=feb!L$3)*(lentry!$C$3:$C$3999&gt;=feb!L$3)),lentry!$D$3:$D$3999),IF(WEEKDAY(feb!L$3,1)=1,"WO","P"))</f>
        <v>P</v>
      </c>
      <c r="M40" s="4" t="str">
        <f>IFERROR(LOOKUP(2,1/((lentry!$A$3:$A$3999=feb!$A40)*(lentry!$B$3:$B$3999&lt;=feb!M$3)*(lentry!$C$3:$C$3999&gt;=feb!M$3)),lentry!$D$3:$D$3999),IF(WEEKDAY(feb!M$3,1)=1,"WO","P"))</f>
        <v>WO</v>
      </c>
      <c r="N40" s="4" t="str">
        <f>IFERROR(LOOKUP(2,1/((lentry!$A$3:$A$3999=feb!$A40)*(lentry!$B$3:$B$3999&lt;=feb!N$3)*(lentry!$C$3:$C$3999&gt;=feb!N$3)),lentry!$D$3:$D$3999),IF(WEEKDAY(feb!N$3,1)=1,"WO","P"))</f>
        <v>P</v>
      </c>
      <c r="O40" s="4" t="s">
        <v>539</v>
      </c>
      <c r="P40" s="4" t="str">
        <f>IFERROR(LOOKUP(2,1/((lentry!$A$3:$A$3999=feb!$A40)*(lentry!$B$3:$B$3999&lt;=feb!P$3)*(lentry!$C$3:$C$3999&gt;=feb!P$3)),lentry!$D$3:$D$3999),IF(WEEKDAY(feb!P$3,1)=1,"WO","P"))</f>
        <v>P</v>
      </c>
      <c r="Q40" s="4" t="str">
        <f>IFERROR(LOOKUP(2,1/((lentry!$A$3:$A$3999=feb!$A40)*(lentry!$B$3:$B$3999&lt;=feb!Q$3)*(lentry!$C$3:$C$3999&gt;=feb!Q$3)),lentry!$D$3:$D$3999),IF(WEEKDAY(feb!Q$3,1)=1,"WO","P"))</f>
        <v>P</v>
      </c>
      <c r="R40" s="4" t="str">
        <f>IFERROR(LOOKUP(2,1/((lentry!$A$3:$A$3999=feb!$A40)*(lentry!$B$3:$B$3999&lt;=feb!R$3)*(lentry!$C$3:$C$3999&gt;=feb!R$3)),lentry!$D$3:$D$3999),IF(WEEKDAY(feb!R$3,1)=1,"WO","P"))</f>
        <v>P</v>
      </c>
      <c r="S40" s="4" t="str">
        <f>IFERROR(LOOKUP(2,1/((lentry!$A$3:$A$3999=feb!$A40)*(lentry!$B$3:$B$3999&lt;=feb!S$3)*(lentry!$C$3:$C$3999&gt;=feb!S$3)),lentry!$D$3:$D$3999),IF(WEEKDAY(feb!S$3,1)=1,"WO","P"))</f>
        <v>P</v>
      </c>
      <c r="T40" s="4" t="s">
        <v>350</v>
      </c>
      <c r="U40" s="4" t="str">
        <f>IFERROR(LOOKUP(2,1/((lentry!$A$3:$A$3999=feb!$A40)*(lentry!$B$3:$B$3999&lt;=feb!U$3)*(lentry!$C$3:$C$3999&gt;=feb!U$3)),lentry!$D$3:$D$3999),IF(WEEKDAY(feb!U$3,1)=1,"WO","P"))</f>
        <v>P</v>
      </c>
      <c r="V40" s="4" t="str">
        <f>IFERROR(LOOKUP(2,1/((lentry!$A$3:$A$3999=feb!$A40)*(lentry!$B$3:$B$3999&lt;=feb!V$3)*(lentry!$C$3:$C$3999&gt;=feb!V$3)),lentry!$D$3:$D$3999),IF(WEEKDAY(feb!V$3,1)=1,"WO","P"))</f>
        <v>P</v>
      </c>
      <c r="W40" s="4" t="str">
        <f>IFERROR(LOOKUP(2,1/((lentry!$A$3:$A$3999=feb!$A40)*(lentry!$B$3:$B$3999&lt;=feb!W$3)*(lentry!$C$3:$C$3999&gt;=feb!W$3)),lentry!$D$3:$D$3999),IF(WEEKDAY(feb!W$3,1)=1,"WO","P"))</f>
        <v>P</v>
      </c>
      <c r="X40" s="4" t="str">
        <f>IFERROR(LOOKUP(2,1/((lentry!$A$3:$A$3999=feb!$A40)*(lentry!$B$3:$B$3999&lt;=feb!X$3)*(lentry!$C$3:$C$3999&gt;=feb!X$3)),lentry!$D$3:$D$3999),IF(WEEKDAY(feb!X$3,1)=1,"WO","P"))</f>
        <v>P</v>
      </c>
      <c r="Y40" s="4" t="str">
        <f>IFERROR(LOOKUP(2,1/((lentry!$A$3:$A$3999=feb!$A40)*(lentry!$B$3:$B$3999&lt;=feb!Y$3)*(lentry!$C$3:$C$3999&gt;=feb!Y$3)),lentry!$D$3:$D$3999),IF(WEEKDAY(feb!Y$3,1)=1,"WO","P"))</f>
        <v>P</v>
      </c>
      <c r="Z40" s="4" t="str">
        <f>IFERROR(LOOKUP(2,1/((lentry!$A$3:$A$3999=feb!$A40)*(lentry!$B$3:$B$3999&lt;=feb!Z$3)*(lentry!$C$3:$C$3999&gt;=feb!Z$3)),lentry!$D$3:$D$3999),IF(WEEKDAY(feb!Z$3,1)=1,"WO","P"))</f>
        <v>P</v>
      </c>
      <c r="AA40" s="4" t="str">
        <f>IFERROR(LOOKUP(2,1/((lentry!$A$3:$A$3999=feb!$A40)*(lentry!$B$3:$B$3999&lt;=feb!AA$3)*(lentry!$C$3:$C$3999&gt;=feb!AA$3)),lentry!$D$3:$D$3999),IF(WEEKDAY(feb!AA$3,1)=1,"WO","P"))</f>
        <v>WO</v>
      </c>
      <c r="AB40" s="4" t="str">
        <f>IFERROR(LOOKUP(2,1/((lentry!$A$3:$A$3999=feb!$A40)*(lentry!$B$3:$B$3999&lt;=feb!AB$3)*(lentry!$C$3:$C$3999&gt;=feb!AB$3)),lentry!$D$3:$D$3999),IF(WEEKDAY(feb!AB$3,1)=1,"WO","P"))</f>
        <v>P</v>
      </c>
      <c r="AC40" s="4" t="str">
        <f>IFERROR(LOOKUP(2,1/((lentry!$A$3:$A$3999=feb!$A40)*(lentry!$B$3:$B$3999&lt;=feb!AC$3)*(lentry!$C$3:$C$3999&gt;=feb!AC$3)),lentry!$D$3:$D$3999),IF(WEEKDAY(feb!AC$3,1)=1,"WO","P"))</f>
        <v>P</v>
      </c>
      <c r="AD40" s="4" t="str">
        <f>IFERROR(LOOKUP(2,1/((lentry!$A$3:$A$3999=feb!$A40)*(lentry!$B$3:$B$3999&lt;=feb!AD$3)*(lentry!$C$3:$C$3999&gt;=feb!AD$3)),lentry!$D$3:$D$3999),IF(WEEKDAY(feb!AD$3,1)=1,"WO","P"))</f>
        <v>P</v>
      </c>
      <c r="AE40" s="4" t="str">
        <f>IFERROR(LOOKUP(2,1/((lentry!$A$3:$A$3999=feb!$A40)*(lentry!$B$3:$B$3999&lt;=feb!AE$3)*(lentry!$C$3:$C$3999&gt;=feb!AE$3)),lentry!$D$3:$D$3999),IF(WEEKDAY(feb!AE$3,1)=1,"WO","P"))</f>
        <v>P</v>
      </c>
      <c r="AF40" s="4" t="str">
        <f>IFERROR(LOOKUP(2,1/((lentry!$A$3:$A$3999=feb!$A40)*(lentry!$B$3:$B$3999&lt;=feb!AF$3)*(lentry!$C$3:$C$3999&gt;=feb!AF$3)),lentry!$D$3:$D$3999),IF(WEEKDAY(feb!AF$3,1)=1,"WO","P"))</f>
        <v>P</v>
      </c>
      <c r="AG40" s="4" t="str">
        <f>IFERROR(LOOKUP(2,1/((lentry!$A$3:$A$3999=feb!$A40)*(lentry!$B$3:$B$3999&lt;=feb!AG$3)*(lentry!$C$3:$C$3999&gt;=feb!AG$3)),lentry!$D$3:$D$3999),IF(WEEKDAY(feb!AG$3,1)=1,"WO","P"))</f>
        <v>P</v>
      </c>
      <c r="AH40" s="4">
        <f t="shared" si="3"/>
        <v>3</v>
      </c>
      <c r="AI40" s="4">
        <f t="shared" si="4"/>
        <v>1</v>
      </c>
      <c r="AJ40" s="4">
        <f t="shared" si="5"/>
        <v>0</v>
      </c>
      <c r="AK40" s="4">
        <f t="shared" si="6"/>
        <v>0</v>
      </c>
      <c r="AL40" s="4">
        <f t="shared" si="7"/>
        <v>0</v>
      </c>
      <c r="AM40" s="4">
        <f t="shared" si="8"/>
        <v>0</v>
      </c>
      <c r="AN40" s="4">
        <f t="shared" si="9"/>
        <v>0</v>
      </c>
      <c r="AO40" s="4">
        <f t="shared" si="10"/>
        <v>1</v>
      </c>
      <c r="AP40" s="4">
        <f t="shared" si="11"/>
        <v>23</v>
      </c>
      <c r="AQ40" s="4">
        <f t="shared" si="13"/>
        <v>28</v>
      </c>
      <c r="AR40" s="4">
        <f t="shared" si="12"/>
        <v>27</v>
      </c>
    </row>
    <row r="41" spans="1:44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IFERROR(LOOKUP(2,1/((lentry!$A$3:$A$3999=feb!$A41)*(lentry!$B$3:$B$3999&lt;=feb!F$3)*(lentry!$C$3:$C$3999&gt;=feb!F$3)),lentry!$D$3:$D$3999),IF(WEEKDAY(feb!F$3,1)=1,"WO","P"))</f>
        <v>WO</v>
      </c>
      <c r="G41" s="4" t="str">
        <f>IFERROR(LOOKUP(2,1/((lentry!$A$3:$A$3999=feb!$A41)*(lentry!$B$3:$B$3999&lt;=feb!G$3)*(lentry!$C$3:$C$3999&gt;=feb!G$3)),lentry!$D$3:$D$3999),IF(WEEKDAY(feb!G$3,1)=1,"WO","P"))</f>
        <v>P</v>
      </c>
      <c r="H41" s="4" t="str">
        <f>IFERROR(LOOKUP(2,1/((lentry!$A$3:$A$3999=feb!$A41)*(lentry!$B$3:$B$3999&lt;=feb!H$3)*(lentry!$C$3:$C$3999&gt;=feb!H$3)),lentry!$D$3:$D$3999),IF(WEEKDAY(feb!H$3,1)=1,"WO","P"))</f>
        <v>P</v>
      </c>
      <c r="I41" s="4" t="str">
        <f>IFERROR(LOOKUP(2,1/((lentry!$A$3:$A$3999=feb!$A41)*(lentry!$B$3:$B$3999&lt;=feb!I$3)*(lentry!$C$3:$C$3999&gt;=feb!I$3)),lentry!$D$3:$D$3999),IF(WEEKDAY(feb!I$3,1)=1,"WO","P"))</f>
        <v>P</v>
      </c>
      <c r="J41" s="4" t="str">
        <f>IFERROR(LOOKUP(2,1/((lentry!$A$3:$A$3999=feb!$A41)*(lentry!$B$3:$B$3999&lt;=feb!J$3)*(lentry!$C$3:$C$3999&gt;=feb!J$3)),lentry!$D$3:$D$3999),IF(WEEKDAY(feb!J$3,1)=1,"WO","P"))</f>
        <v>P</v>
      </c>
      <c r="K41" s="4" t="str">
        <f>IFERROR(LOOKUP(2,1/((lentry!$A$3:$A$3999=feb!$A41)*(lentry!$B$3:$B$3999&lt;=feb!K$3)*(lentry!$C$3:$C$3999&gt;=feb!K$3)),lentry!$D$3:$D$3999),IF(WEEKDAY(feb!K$3,1)=1,"WO","P"))</f>
        <v>P</v>
      </c>
      <c r="L41" s="4" t="str">
        <f>IFERROR(LOOKUP(2,1/((lentry!$A$3:$A$3999=feb!$A41)*(lentry!$B$3:$B$3999&lt;=feb!L$3)*(lentry!$C$3:$C$3999&gt;=feb!L$3)),lentry!$D$3:$D$3999),IF(WEEKDAY(feb!L$3,1)=1,"WO","P"))</f>
        <v>P</v>
      </c>
      <c r="M41" s="4" t="str">
        <f>IFERROR(LOOKUP(2,1/((lentry!$A$3:$A$3999=feb!$A41)*(lentry!$B$3:$B$3999&lt;=feb!M$3)*(lentry!$C$3:$C$3999&gt;=feb!M$3)),lentry!$D$3:$D$3999),IF(WEEKDAY(feb!M$3,1)=1,"WO","P"))</f>
        <v>WO</v>
      </c>
      <c r="N41" s="4" t="str">
        <f>IFERROR(LOOKUP(2,1/((lentry!$A$3:$A$3999=feb!$A41)*(lentry!$B$3:$B$3999&lt;=feb!N$3)*(lentry!$C$3:$C$3999&gt;=feb!N$3)),lentry!$D$3:$D$3999),IF(WEEKDAY(feb!N$3,1)=1,"WO","P"))</f>
        <v>P</v>
      </c>
      <c r="O41" s="4" t="str">
        <f>IFERROR(LOOKUP(2,1/((lentry!$A$3:$A$3999=feb!$A41)*(lentry!$B$3:$B$3999&lt;=feb!O$3)*(lentry!$C$3:$C$3999&gt;=feb!O$3)),lentry!$D$3:$D$3999),IF(WEEKDAY(feb!O$3,1)=1,"WO","P"))</f>
        <v>P</v>
      </c>
      <c r="P41" s="4" t="str">
        <f>IFERROR(LOOKUP(2,1/((lentry!$A$3:$A$3999=feb!$A41)*(lentry!$B$3:$B$3999&lt;=feb!P$3)*(lentry!$C$3:$C$3999&gt;=feb!P$3)),lentry!$D$3:$D$3999),IF(WEEKDAY(feb!P$3,1)=1,"WO","P"))</f>
        <v>P</v>
      </c>
      <c r="Q41" s="4" t="str">
        <f>IFERROR(LOOKUP(2,1/((lentry!$A$3:$A$3999=feb!$A41)*(lentry!$B$3:$B$3999&lt;=feb!Q$3)*(lentry!$C$3:$C$3999&gt;=feb!Q$3)),lentry!$D$3:$D$3999),IF(WEEKDAY(feb!Q$3,1)=1,"WO","P"))</f>
        <v>P</v>
      </c>
      <c r="R41" s="4" t="str">
        <f>IFERROR(LOOKUP(2,1/((lentry!$A$3:$A$3999=feb!$A41)*(lentry!$B$3:$B$3999&lt;=feb!R$3)*(lentry!$C$3:$C$3999&gt;=feb!R$3)),lentry!$D$3:$D$3999),IF(WEEKDAY(feb!R$3,1)=1,"WO","P"))</f>
        <v>P</v>
      </c>
      <c r="S41" s="4" t="str">
        <f>IFERROR(LOOKUP(2,1/((lentry!$A$3:$A$3999=feb!$A41)*(lentry!$B$3:$B$3999&lt;=feb!S$3)*(lentry!$C$3:$C$3999&gt;=feb!S$3)),lentry!$D$3:$D$3999),IF(WEEKDAY(feb!S$3,1)=1,"WO","P"))</f>
        <v>P</v>
      </c>
      <c r="T41" s="4" t="s">
        <v>350</v>
      </c>
      <c r="U41" s="4" t="str">
        <f>IFERROR(LOOKUP(2,1/((lentry!$A$3:$A$3999=feb!$A41)*(lentry!$B$3:$B$3999&lt;=feb!U$3)*(lentry!$C$3:$C$3999&gt;=feb!U$3)),lentry!$D$3:$D$3999),IF(WEEKDAY(feb!U$3,1)=1,"WO","P"))</f>
        <v>P</v>
      </c>
      <c r="V41" s="4" t="str">
        <f>IFERROR(LOOKUP(2,1/((lentry!$A$3:$A$3999=feb!$A41)*(lentry!$B$3:$B$3999&lt;=feb!V$3)*(lentry!$C$3:$C$3999&gt;=feb!V$3)),lentry!$D$3:$D$3999),IF(WEEKDAY(feb!V$3,1)=1,"WO","P"))</f>
        <v>P</v>
      </c>
      <c r="W41" s="4" t="str">
        <f>IFERROR(LOOKUP(2,1/((lentry!$A$3:$A$3999=feb!$A41)*(lentry!$B$3:$B$3999&lt;=feb!W$3)*(lentry!$C$3:$C$3999&gt;=feb!W$3)),lentry!$D$3:$D$3999),IF(WEEKDAY(feb!W$3,1)=1,"WO","P"))</f>
        <v>P</v>
      </c>
      <c r="X41" s="4" t="str">
        <f>IFERROR(LOOKUP(2,1/((lentry!$A$3:$A$3999=feb!$A41)*(lentry!$B$3:$B$3999&lt;=feb!X$3)*(lentry!$C$3:$C$3999&gt;=feb!X$3)),lentry!$D$3:$D$3999),IF(WEEKDAY(feb!X$3,1)=1,"WO","P"))</f>
        <v>P</v>
      </c>
      <c r="Y41" s="4" t="str">
        <f>IFERROR(LOOKUP(2,1/((lentry!$A$3:$A$3999=feb!$A41)*(lentry!$B$3:$B$3999&lt;=feb!Y$3)*(lentry!$C$3:$C$3999&gt;=feb!Y$3)),lentry!$D$3:$D$3999),IF(WEEKDAY(feb!Y$3,1)=1,"WO","P"))</f>
        <v>P</v>
      </c>
      <c r="Z41" s="4" t="str">
        <f>IFERROR(LOOKUP(2,1/((lentry!$A$3:$A$3999=feb!$A41)*(lentry!$B$3:$B$3999&lt;=feb!Z$3)*(lentry!$C$3:$C$3999&gt;=feb!Z$3)),lentry!$D$3:$D$3999),IF(WEEKDAY(feb!Z$3,1)=1,"WO","P"))</f>
        <v>P</v>
      </c>
      <c r="AA41" s="4" t="str">
        <f>IFERROR(LOOKUP(2,1/((lentry!$A$3:$A$3999=feb!$A41)*(lentry!$B$3:$B$3999&lt;=feb!AA$3)*(lentry!$C$3:$C$3999&gt;=feb!AA$3)),lentry!$D$3:$D$3999),IF(WEEKDAY(feb!AA$3,1)=1,"WO","P"))</f>
        <v>WO</v>
      </c>
      <c r="AB41" s="4" t="str">
        <f>IFERROR(LOOKUP(2,1/((lentry!$A$3:$A$3999=feb!$A41)*(lentry!$B$3:$B$3999&lt;=feb!AB$3)*(lentry!$C$3:$C$3999&gt;=feb!AB$3)),lentry!$D$3:$D$3999),IF(WEEKDAY(feb!AB$3,1)=1,"WO","P"))</f>
        <v>P</v>
      </c>
      <c r="AC41" s="4" t="str">
        <f>IFERROR(LOOKUP(2,1/((lentry!$A$3:$A$3999=feb!$A41)*(lentry!$B$3:$B$3999&lt;=feb!AC$3)*(lentry!$C$3:$C$3999&gt;=feb!AC$3)),lentry!$D$3:$D$3999),IF(WEEKDAY(feb!AC$3,1)=1,"WO","P"))</f>
        <v>P</v>
      </c>
      <c r="AD41" s="4" t="str">
        <f>IFERROR(LOOKUP(2,1/((lentry!$A$3:$A$3999=feb!$A41)*(lentry!$B$3:$B$3999&lt;=feb!AD$3)*(lentry!$C$3:$C$3999&gt;=feb!AD$3)),lentry!$D$3:$D$3999),IF(WEEKDAY(feb!AD$3,1)=1,"WO","P"))</f>
        <v>P</v>
      </c>
      <c r="AE41" s="4" t="str">
        <f>IFERROR(LOOKUP(2,1/((lentry!$A$3:$A$3999=feb!$A41)*(lentry!$B$3:$B$3999&lt;=feb!AE$3)*(lentry!$C$3:$C$3999&gt;=feb!AE$3)),lentry!$D$3:$D$3999),IF(WEEKDAY(feb!AE$3,1)=1,"WO","P"))</f>
        <v>P</v>
      </c>
      <c r="AF41" s="4" t="str">
        <f>IFERROR(LOOKUP(2,1/((lentry!$A$3:$A$3999=feb!$A41)*(lentry!$B$3:$B$3999&lt;=feb!AF$3)*(lentry!$C$3:$C$3999&gt;=feb!AF$3)),lentry!$D$3:$D$3999),IF(WEEKDAY(feb!AF$3,1)=1,"WO","P"))</f>
        <v>P</v>
      </c>
      <c r="AG41" s="4" t="str">
        <f>IFERROR(LOOKUP(2,1/((lentry!$A$3:$A$3999=feb!$A41)*(lentry!$B$3:$B$3999&lt;=feb!AG$3)*(lentry!$C$3:$C$3999&gt;=feb!AG$3)),lentry!$D$3:$D$3999),IF(WEEKDAY(feb!AG$3,1)=1,"WO","P"))</f>
        <v>P</v>
      </c>
      <c r="AH41" s="4">
        <f t="shared" si="3"/>
        <v>3</v>
      </c>
      <c r="AI41" s="4">
        <f t="shared" si="4"/>
        <v>1</v>
      </c>
      <c r="AJ41" s="4">
        <f t="shared" si="5"/>
        <v>0</v>
      </c>
      <c r="AK41" s="4">
        <f t="shared" si="6"/>
        <v>0</v>
      </c>
      <c r="AL41" s="4">
        <f t="shared" si="7"/>
        <v>0</v>
      </c>
      <c r="AM41" s="4">
        <f t="shared" si="8"/>
        <v>0</v>
      </c>
      <c r="AN41" s="4">
        <f t="shared" si="9"/>
        <v>0</v>
      </c>
      <c r="AO41" s="4">
        <f t="shared" si="10"/>
        <v>0</v>
      </c>
      <c r="AP41" s="4">
        <f t="shared" si="11"/>
        <v>24</v>
      </c>
      <c r="AQ41" s="4">
        <f t="shared" si="13"/>
        <v>28</v>
      </c>
      <c r="AR41" s="4">
        <f t="shared" si="12"/>
        <v>28</v>
      </c>
    </row>
    <row r="42" spans="1:44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IFERROR(LOOKUP(2,1/((lentry!$A$3:$A$3999=feb!$A42)*(lentry!$B$3:$B$3999&lt;=feb!F$3)*(lentry!$C$3:$C$3999&gt;=feb!F$3)),lentry!$D$3:$D$3999),IF(WEEKDAY(feb!F$3,1)=1,"WO","P"))</f>
        <v>WO</v>
      </c>
      <c r="G42" s="4" t="str">
        <f>IFERROR(LOOKUP(2,1/((lentry!$A$3:$A$3999=feb!$A42)*(lentry!$B$3:$B$3999&lt;=feb!G$3)*(lentry!$C$3:$C$3999&gt;=feb!G$3)),lentry!$D$3:$D$3999),IF(WEEKDAY(feb!G$3,1)=1,"WO","P"))</f>
        <v>P</v>
      </c>
      <c r="H42" s="4" t="str">
        <f>IFERROR(LOOKUP(2,1/((lentry!$A$3:$A$3999=feb!$A42)*(lentry!$B$3:$B$3999&lt;=feb!H$3)*(lentry!$C$3:$C$3999&gt;=feb!H$3)),lentry!$D$3:$D$3999),IF(WEEKDAY(feb!H$3,1)=1,"WO","P"))</f>
        <v>P</v>
      </c>
      <c r="I42" s="4" t="str">
        <f>IFERROR(LOOKUP(2,1/((lentry!$A$3:$A$3999=feb!$A42)*(lentry!$B$3:$B$3999&lt;=feb!I$3)*(lentry!$C$3:$C$3999&gt;=feb!I$3)),lentry!$D$3:$D$3999),IF(WEEKDAY(feb!I$3,1)=1,"WO","P"))</f>
        <v>P</v>
      </c>
      <c r="J42" s="4" t="str">
        <f>IFERROR(LOOKUP(2,1/((lentry!$A$3:$A$3999=feb!$A42)*(lentry!$B$3:$B$3999&lt;=feb!J$3)*(lentry!$C$3:$C$3999&gt;=feb!J$3)),lentry!$D$3:$D$3999),IF(WEEKDAY(feb!J$3,1)=1,"WO","P"))</f>
        <v>P</v>
      </c>
      <c r="K42" s="4" t="str">
        <f>IFERROR(LOOKUP(2,1/((lentry!$A$3:$A$3999=feb!$A42)*(lentry!$B$3:$B$3999&lt;=feb!K$3)*(lentry!$C$3:$C$3999&gt;=feb!K$3)),lentry!$D$3:$D$3999),IF(WEEKDAY(feb!K$3,1)=1,"WO","P"))</f>
        <v>P</v>
      </c>
      <c r="L42" s="4" t="str">
        <f>IFERROR(LOOKUP(2,1/((lentry!$A$3:$A$3999=feb!$A42)*(lentry!$B$3:$B$3999&lt;=feb!L$3)*(lentry!$C$3:$C$3999&gt;=feb!L$3)),lentry!$D$3:$D$3999),IF(WEEKDAY(feb!L$3,1)=1,"WO","P"))</f>
        <v>P</v>
      </c>
      <c r="M42" s="4" t="str">
        <f>IFERROR(LOOKUP(2,1/((lentry!$A$3:$A$3999=feb!$A42)*(lentry!$B$3:$B$3999&lt;=feb!M$3)*(lentry!$C$3:$C$3999&gt;=feb!M$3)),lentry!$D$3:$D$3999),IF(WEEKDAY(feb!M$3,1)=1,"WO","P"))</f>
        <v>WO</v>
      </c>
      <c r="N42" s="4" t="str">
        <f>IFERROR(LOOKUP(2,1/((lentry!$A$3:$A$3999=feb!$A42)*(lentry!$B$3:$B$3999&lt;=feb!N$3)*(lentry!$C$3:$C$3999&gt;=feb!N$3)),lentry!$D$3:$D$3999),IF(WEEKDAY(feb!N$3,1)=1,"WO","P"))</f>
        <v>P</v>
      </c>
      <c r="O42" s="4" t="str">
        <f>IFERROR(LOOKUP(2,1/((lentry!$A$3:$A$3999=feb!$A42)*(lentry!$B$3:$B$3999&lt;=feb!O$3)*(lentry!$C$3:$C$3999&gt;=feb!O$3)),lentry!$D$3:$D$3999),IF(WEEKDAY(feb!O$3,1)=1,"WO","P"))</f>
        <v>P</v>
      </c>
      <c r="P42" s="4" t="str">
        <f>IFERROR(LOOKUP(2,1/((lentry!$A$3:$A$3999=feb!$A42)*(lentry!$B$3:$B$3999&lt;=feb!P$3)*(lentry!$C$3:$C$3999&gt;=feb!P$3)),lentry!$D$3:$D$3999),IF(WEEKDAY(feb!P$3,1)=1,"WO","P"))</f>
        <v>P</v>
      </c>
      <c r="Q42" s="4" t="str">
        <f>IFERROR(LOOKUP(2,1/((lentry!$A$3:$A$3999=feb!$A42)*(lentry!$B$3:$B$3999&lt;=feb!Q$3)*(lentry!$C$3:$C$3999&gt;=feb!Q$3)),lentry!$D$3:$D$3999),IF(WEEKDAY(feb!Q$3,1)=1,"WO","P"))</f>
        <v>P</v>
      </c>
      <c r="R42" s="4" t="str">
        <f>IFERROR(LOOKUP(2,1/((lentry!$A$3:$A$3999=feb!$A42)*(lentry!$B$3:$B$3999&lt;=feb!R$3)*(lentry!$C$3:$C$3999&gt;=feb!R$3)),lentry!$D$3:$D$3999),IF(WEEKDAY(feb!R$3,1)=1,"WO","P"))</f>
        <v>P</v>
      </c>
      <c r="S42" s="4" t="str">
        <f>IFERROR(LOOKUP(2,1/((lentry!$A$3:$A$3999=feb!$A42)*(lentry!$B$3:$B$3999&lt;=feb!S$3)*(lentry!$C$3:$C$3999&gt;=feb!S$3)),lentry!$D$3:$D$3999),IF(WEEKDAY(feb!S$3,1)=1,"WO","P"))</f>
        <v>P</v>
      </c>
      <c r="T42" s="4" t="s">
        <v>350</v>
      </c>
      <c r="U42" s="4" t="str">
        <f>IFERROR(LOOKUP(2,1/((lentry!$A$3:$A$3999=feb!$A42)*(lentry!$B$3:$B$3999&lt;=feb!U$3)*(lentry!$C$3:$C$3999&gt;=feb!U$3)),lentry!$D$3:$D$3999),IF(WEEKDAY(feb!U$3,1)=1,"WO","P"))</f>
        <v>P</v>
      </c>
      <c r="V42" s="4" t="str">
        <f>IFERROR(LOOKUP(2,1/((lentry!$A$3:$A$3999=feb!$A42)*(lentry!$B$3:$B$3999&lt;=feb!V$3)*(lentry!$C$3:$C$3999&gt;=feb!V$3)),lentry!$D$3:$D$3999),IF(WEEKDAY(feb!V$3,1)=1,"WO","P"))</f>
        <v>P</v>
      </c>
      <c r="W42" s="4" t="s">
        <v>539</v>
      </c>
      <c r="X42" s="4" t="str">
        <f>IFERROR(LOOKUP(2,1/((lentry!$A$3:$A$3999=feb!$A42)*(lentry!$B$3:$B$3999&lt;=feb!X$3)*(lentry!$C$3:$C$3999&gt;=feb!X$3)),lentry!$D$3:$D$3999),IF(WEEKDAY(feb!X$3,1)=1,"WO","P"))</f>
        <v>P</v>
      </c>
      <c r="Y42" s="4" t="str">
        <f>IFERROR(LOOKUP(2,1/((lentry!$A$3:$A$3999=feb!$A42)*(lentry!$B$3:$B$3999&lt;=feb!Y$3)*(lentry!$C$3:$C$3999&gt;=feb!Y$3)),lentry!$D$3:$D$3999),IF(WEEKDAY(feb!Y$3,1)=1,"WO","P"))</f>
        <v>P</v>
      </c>
      <c r="Z42" s="4" t="str">
        <f>IFERROR(LOOKUP(2,1/((lentry!$A$3:$A$3999=feb!$A42)*(lentry!$B$3:$B$3999&lt;=feb!Z$3)*(lentry!$C$3:$C$3999&gt;=feb!Z$3)),lentry!$D$3:$D$3999),IF(WEEKDAY(feb!Z$3,1)=1,"WO","P"))</f>
        <v>P</v>
      </c>
      <c r="AA42" s="4" t="str">
        <f>IFERROR(LOOKUP(2,1/((lentry!$A$3:$A$3999=feb!$A42)*(lentry!$B$3:$B$3999&lt;=feb!AA$3)*(lentry!$C$3:$C$3999&gt;=feb!AA$3)),lentry!$D$3:$D$3999),IF(WEEKDAY(feb!AA$3,1)=1,"WO","P"))</f>
        <v>WO</v>
      </c>
      <c r="AB42" s="4" t="str">
        <f>IFERROR(LOOKUP(2,1/((lentry!$A$3:$A$3999=feb!$A42)*(lentry!$B$3:$B$3999&lt;=feb!AB$3)*(lentry!$C$3:$C$3999&gt;=feb!AB$3)),lentry!$D$3:$D$3999),IF(WEEKDAY(feb!AB$3,1)=1,"WO","P"))</f>
        <v>P</v>
      </c>
      <c r="AC42" s="4" t="str">
        <f>IFERROR(LOOKUP(2,1/((lentry!$A$3:$A$3999=feb!$A42)*(lentry!$B$3:$B$3999&lt;=feb!AC$3)*(lentry!$C$3:$C$3999&gt;=feb!AC$3)),lentry!$D$3:$D$3999),IF(WEEKDAY(feb!AC$3,1)=1,"WO","P"))</f>
        <v>P</v>
      </c>
      <c r="AD42" s="4" t="str">
        <f>IFERROR(LOOKUP(2,1/((lentry!$A$3:$A$3999=feb!$A42)*(lentry!$B$3:$B$3999&lt;=feb!AD$3)*(lentry!$C$3:$C$3999&gt;=feb!AD$3)),lentry!$D$3:$D$3999),IF(WEEKDAY(feb!AD$3,1)=1,"WO","P"))</f>
        <v>P</v>
      </c>
      <c r="AE42" s="4" t="str">
        <f>IFERROR(LOOKUP(2,1/((lentry!$A$3:$A$3999=feb!$A42)*(lentry!$B$3:$B$3999&lt;=feb!AE$3)*(lentry!$C$3:$C$3999&gt;=feb!AE$3)),lentry!$D$3:$D$3999),IF(WEEKDAY(feb!AE$3,1)=1,"WO","P"))</f>
        <v>P</v>
      </c>
      <c r="AF42" s="4" t="str">
        <f>IFERROR(LOOKUP(2,1/((lentry!$A$3:$A$3999=feb!$A42)*(lentry!$B$3:$B$3999&lt;=feb!AF$3)*(lentry!$C$3:$C$3999&gt;=feb!AF$3)),lentry!$D$3:$D$3999),IF(WEEKDAY(feb!AF$3,1)=1,"WO","P"))</f>
        <v>P</v>
      </c>
      <c r="AG42" s="4" t="str">
        <f>IFERROR(LOOKUP(2,1/((lentry!$A$3:$A$3999=feb!$A42)*(lentry!$B$3:$B$3999&lt;=feb!AG$3)*(lentry!$C$3:$C$3999&gt;=feb!AG$3)),lentry!$D$3:$D$3999),IF(WEEKDAY(feb!AG$3,1)=1,"WO","P"))</f>
        <v>P</v>
      </c>
      <c r="AH42" s="4">
        <f t="shared" si="3"/>
        <v>3</v>
      </c>
      <c r="AI42" s="4">
        <f t="shared" si="4"/>
        <v>1</v>
      </c>
      <c r="AJ42" s="4">
        <f t="shared" si="5"/>
        <v>0</v>
      </c>
      <c r="AK42" s="4">
        <f t="shared" si="6"/>
        <v>0</v>
      </c>
      <c r="AL42" s="4">
        <f t="shared" si="7"/>
        <v>0</v>
      </c>
      <c r="AM42" s="4">
        <f t="shared" si="8"/>
        <v>0</v>
      </c>
      <c r="AN42" s="4">
        <f t="shared" si="9"/>
        <v>0</v>
      </c>
      <c r="AO42" s="4">
        <f t="shared" si="10"/>
        <v>1</v>
      </c>
      <c r="AP42" s="4">
        <f t="shared" si="11"/>
        <v>23</v>
      </c>
      <c r="AQ42" s="4">
        <f t="shared" si="13"/>
        <v>28</v>
      </c>
      <c r="AR42" s="4">
        <f t="shared" si="12"/>
        <v>27</v>
      </c>
    </row>
    <row r="43" spans="1:44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IFERROR(LOOKUP(2,1/((lentry!$A$3:$A$3999=feb!$A43)*(lentry!$B$3:$B$3999&lt;=feb!F$3)*(lentry!$C$3:$C$3999&gt;=feb!F$3)),lentry!$D$3:$D$3999),IF(WEEKDAY(feb!F$3,1)=1,"WO","P"))</f>
        <v>WO</v>
      </c>
      <c r="G43" s="4" t="str">
        <f>IFERROR(LOOKUP(2,1/((lentry!$A$3:$A$3999=feb!$A43)*(lentry!$B$3:$B$3999&lt;=feb!G$3)*(lentry!$C$3:$C$3999&gt;=feb!G$3)),lentry!$D$3:$D$3999),IF(WEEKDAY(feb!G$3,1)=1,"WO","P"))</f>
        <v>P</v>
      </c>
      <c r="H43" s="4" t="str">
        <f>IFERROR(LOOKUP(2,1/((lentry!$A$3:$A$3999=feb!$A43)*(lentry!$B$3:$B$3999&lt;=feb!H$3)*(lentry!$C$3:$C$3999&gt;=feb!H$3)),lentry!$D$3:$D$3999),IF(WEEKDAY(feb!H$3,1)=1,"WO","P"))</f>
        <v>P</v>
      </c>
      <c r="I43" s="4" t="str">
        <f>IFERROR(LOOKUP(2,1/((lentry!$A$3:$A$3999=feb!$A43)*(lentry!$B$3:$B$3999&lt;=feb!I$3)*(lentry!$C$3:$C$3999&gt;=feb!I$3)),lentry!$D$3:$D$3999),IF(WEEKDAY(feb!I$3,1)=1,"WO","P"))</f>
        <v>P</v>
      </c>
      <c r="J43" s="4" t="str">
        <f>IFERROR(LOOKUP(2,1/((lentry!$A$3:$A$3999=feb!$A43)*(lentry!$B$3:$B$3999&lt;=feb!J$3)*(lentry!$C$3:$C$3999&gt;=feb!J$3)),lentry!$D$3:$D$3999),IF(WEEKDAY(feb!J$3,1)=1,"WO","P"))</f>
        <v>P</v>
      </c>
      <c r="K43" s="4" t="str">
        <f>IFERROR(LOOKUP(2,1/((lentry!$A$3:$A$3999=feb!$A43)*(lentry!$B$3:$B$3999&lt;=feb!K$3)*(lentry!$C$3:$C$3999&gt;=feb!K$3)),lentry!$D$3:$D$3999),IF(WEEKDAY(feb!K$3,1)=1,"WO","P"))</f>
        <v>P</v>
      </c>
      <c r="L43" s="4" t="str">
        <f>IFERROR(LOOKUP(2,1/((lentry!$A$3:$A$3999=feb!$A43)*(lentry!$B$3:$B$3999&lt;=feb!L$3)*(lentry!$C$3:$C$3999&gt;=feb!L$3)),lentry!$D$3:$D$3999),IF(WEEKDAY(feb!L$3,1)=1,"WO","P"))</f>
        <v>P</v>
      </c>
      <c r="M43" s="4" t="str">
        <f>IFERROR(LOOKUP(2,1/((lentry!$A$3:$A$3999=feb!$A43)*(lentry!$B$3:$B$3999&lt;=feb!M$3)*(lentry!$C$3:$C$3999&gt;=feb!M$3)),lentry!$D$3:$D$3999),IF(WEEKDAY(feb!M$3,1)=1,"WO","P"))</f>
        <v>WO</v>
      </c>
      <c r="N43" s="4" t="str">
        <f>IFERROR(LOOKUP(2,1/((lentry!$A$3:$A$3999=feb!$A43)*(lentry!$B$3:$B$3999&lt;=feb!N$3)*(lentry!$C$3:$C$3999&gt;=feb!N$3)),lentry!$D$3:$D$3999),IF(WEEKDAY(feb!N$3,1)=1,"WO","P"))</f>
        <v>P</v>
      </c>
      <c r="O43" s="4" t="str">
        <f>IFERROR(LOOKUP(2,1/((lentry!$A$3:$A$3999=feb!$A43)*(lentry!$B$3:$B$3999&lt;=feb!O$3)*(lentry!$C$3:$C$3999&gt;=feb!O$3)),lentry!$D$3:$D$3999),IF(WEEKDAY(feb!O$3,1)=1,"WO","P"))</f>
        <v>P</v>
      </c>
      <c r="P43" s="4" t="str">
        <f>IFERROR(LOOKUP(2,1/((lentry!$A$3:$A$3999=feb!$A43)*(lentry!$B$3:$B$3999&lt;=feb!P$3)*(lentry!$C$3:$C$3999&gt;=feb!P$3)),lentry!$D$3:$D$3999),IF(WEEKDAY(feb!P$3,1)=1,"WO","P"))</f>
        <v>P</v>
      </c>
      <c r="Q43" s="4" t="str">
        <f>IFERROR(LOOKUP(2,1/((lentry!$A$3:$A$3999=feb!$A43)*(lentry!$B$3:$B$3999&lt;=feb!Q$3)*(lentry!$C$3:$C$3999&gt;=feb!Q$3)),lentry!$D$3:$D$3999),IF(WEEKDAY(feb!Q$3,1)=1,"WO","P"))</f>
        <v>P</v>
      </c>
      <c r="R43" s="4" t="str">
        <f>IFERROR(LOOKUP(2,1/((lentry!$A$3:$A$3999=feb!$A43)*(lentry!$B$3:$B$3999&lt;=feb!R$3)*(lentry!$C$3:$C$3999&gt;=feb!R$3)),lentry!$D$3:$D$3999),IF(WEEKDAY(feb!R$3,1)=1,"WO","P"))</f>
        <v>P</v>
      </c>
      <c r="S43" s="4" t="str">
        <f>IFERROR(LOOKUP(2,1/((lentry!$A$3:$A$3999=feb!$A43)*(lentry!$B$3:$B$3999&lt;=feb!S$3)*(lentry!$C$3:$C$3999&gt;=feb!S$3)),lentry!$D$3:$D$3999),IF(WEEKDAY(feb!S$3,1)=1,"WO","P"))</f>
        <v>P</v>
      </c>
      <c r="T43" s="4" t="s">
        <v>350</v>
      </c>
      <c r="U43" s="4" t="str">
        <f>IFERROR(LOOKUP(2,1/((lentry!$A$3:$A$3999=feb!$A43)*(lentry!$B$3:$B$3999&lt;=feb!U$3)*(lentry!$C$3:$C$3999&gt;=feb!U$3)),lentry!$D$3:$D$3999),IF(WEEKDAY(feb!U$3,1)=1,"WO","P"))</f>
        <v>P</v>
      </c>
      <c r="V43" s="4" t="str">
        <f>IFERROR(LOOKUP(2,1/((lentry!$A$3:$A$3999=feb!$A43)*(lentry!$B$3:$B$3999&lt;=feb!V$3)*(lentry!$C$3:$C$3999&gt;=feb!V$3)),lentry!$D$3:$D$3999),IF(WEEKDAY(feb!V$3,1)=1,"WO","P"))</f>
        <v>P</v>
      </c>
      <c r="W43" s="4" t="str">
        <f>IFERROR(LOOKUP(2,1/((lentry!$A$3:$A$3999=feb!$A43)*(lentry!$B$3:$B$3999&lt;=feb!W$3)*(lentry!$C$3:$C$3999&gt;=feb!W$3)),lentry!$D$3:$D$3999),IF(WEEKDAY(feb!W$3,1)=1,"WO","P"))</f>
        <v>P</v>
      </c>
      <c r="X43" s="4" t="str">
        <f>IFERROR(LOOKUP(2,1/((lentry!$A$3:$A$3999=feb!$A43)*(lentry!$B$3:$B$3999&lt;=feb!X$3)*(lentry!$C$3:$C$3999&gt;=feb!X$3)),lentry!$D$3:$D$3999),IF(WEEKDAY(feb!X$3,1)=1,"WO","P"))</f>
        <v>P</v>
      </c>
      <c r="Y43" s="4" t="str">
        <f>IFERROR(LOOKUP(2,1/((lentry!$A$3:$A$3999=feb!$A43)*(lentry!$B$3:$B$3999&lt;=feb!Y$3)*(lentry!$C$3:$C$3999&gt;=feb!Y$3)),lentry!$D$3:$D$3999),IF(WEEKDAY(feb!Y$3,1)=1,"WO","P"))</f>
        <v>P</v>
      </c>
      <c r="Z43" s="4" t="str">
        <f>IFERROR(LOOKUP(2,1/((lentry!$A$3:$A$3999=feb!$A43)*(lentry!$B$3:$B$3999&lt;=feb!Z$3)*(lentry!$C$3:$C$3999&gt;=feb!Z$3)),lentry!$D$3:$D$3999),IF(WEEKDAY(feb!Z$3,1)=1,"WO","P"))</f>
        <v>P</v>
      </c>
      <c r="AA43" s="4" t="str">
        <f>IFERROR(LOOKUP(2,1/((lentry!$A$3:$A$3999=feb!$A43)*(lentry!$B$3:$B$3999&lt;=feb!AA$3)*(lentry!$C$3:$C$3999&gt;=feb!AA$3)),lentry!$D$3:$D$3999),IF(WEEKDAY(feb!AA$3,1)=1,"WO","P"))</f>
        <v>WO</v>
      </c>
      <c r="AB43" s="4" t="str">
        <f>IFERROR(LOOKUP(2,1/((lentry!$A$3:$A$3999=feb!$A43)*(lentry!$B$3:$B$3999&lt;=feb!AB$3)*(lentry!$C$3:$C$3999&gt;=feb!AB$3)),lentry!$D$3:$D$3999),IF(WEEKDAY(feb!AB$3,1)=1,"WO","P"))</f>
        <v>P</v>
      </c>
      <c r="AC43" s="4" t="str">
        <f>IFERROR(LOOKUP(2,1/((lentry!$A$3:$A$3999=feb!$A43)*(lentry!$B$3:$B$3999&lt;=feb!AC$3)*(lentry!$C$3:$C$3999&gt;=feb!AC$3)),lentry!$D$3:$D$3999),IF(WEEKDAY(feb!AC$3,1)=1,"WO","P"))</f>
        <v>P</v>
      </c>
      <c r="AD43" s="4" t="s">
        <v>539</v>
      </c>
      <c r="AE43" s="4" t="str">
        <f>IFERROR(LOOKUP(2,1/((lentry!$A$3:$A$3999=feb!$A43)*(lentry!$B$3:$B$3999&lt;=feb!AE$3)*(lentry!$C$3:$C$3999&gt;=feb!AE$3)),lentry!$D$3:$D$3999),IF(WEEKDAY(feb!AE$3,1)=1,"WO","P"))</f>
        <v>P</v>
      </c>
      <c r="AF43" s="4" t="str">
        <f>IFERROR(LOOKUP(2,1/((lentry!$A$3:$A$3999=feb!$A43)*(lentry!$B$3:$B$3999&lt;=feb!AF$3)*(lentry!$C$3:$C$3999&gt;=feb!AF$3)),lentry!$D$3:$D$3999),IF(WEEKDAY(feb!AF$3,1)=1,"WO","P"))</f>
        <v>P</v>
      </c>
      <c r="AG43" s="4" t="str">
        <f>IFERROR(LOOKUP(2,1/((lentry!$A$3:$A$3999=feb!$A43)*(lentry!$B$3:$B$3999&lt;=feb!AG$3)*(lentry!$C$3:$C$3999&gt;=feb!AG$3)),lentry!$D$3:$D$3999),IF(WEEKDAY(feb!AG$3,1)=1,"WO","P"))</f>
        <v>SL</v>
      </c>
      <c r="AH43" s="4">
        <f t="shared" si="3"/>
        <v>3</v>
      </c>
      <c r="AI43" s="4">
        <f t="shared" si="4"/>
        <v>1</v>
      </c>
      <c r="AJ43" s="4">
        <f t="shared" si="5"/>
        <v>0</v>
      </c>
      <c r="AK43" s="4">
        <f t="shared" si="6"/>
        <v>0</v>
      </c>
      <c r="AL43" s="4">
        <f t="shared" si="7"/>
        <v>0</v>
      </c>
      <c r="AM43" s="4">
        <f t="shared" si="8"/>
        <v>1</v>
      </c>
      <c r="AN43" s="4">
        <f t="shared" si="9"/>
        <v>0</v>
      </c>
      <c r="AO43" s="4">
        <f t="shared" si="10"/>
        <v>1</v>
      </c>
      <c r="AP43" s="4">
        <f t="shared" si="11"/>
        <v>22</v>
      </c>
      <c r="AQ43" s="4">
        <f t="shared" si="13"/>
        <v>28</v>
      </c>
      <c r="AR43" s="4">
        <f t="shared" si="12"/>
        <v>27</v>
      </c>
    </row>
    <row r="44" spans="1:44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IFERROR(LOOKUP(2,1/((lentry!$A$3:$A$3999=feb!$A44)*(lentry!$B$3:$B$3999&lt;=feb!F$3)*(lentry!$C$3:$C$3999&gt;=feb!F$3)),lentry!$D$3:$D$3999),IF(WEEKDAY(feb!F$3,1)=1,"WO","P"))</f>
        <v>WO</v>
      </c>
      <c r="G44" s="4" t="str">
        <f>IFERROR(LOOKUP(2,1/((lentry!$A$3:$A$3999=feb!$A44)*(lentry!$B$3:$B$3999&lt;=feb!G$3)*(lentry!$C$3:$C$3999&gt;=feb!G$3)),lentry!$D$3:$D$3999),IF(WEEKDAY(feb!G$3,1)=1,"WO","P"))</f>
        <v>P</v>
      </c>
      <c r="H44" s="4" t="str">
        <f>IFERROR(LOOKUP(2,1/((lentry!$A$3:$A$3999=feb!$A44)*(lentry!$B$3:$B$3999&lt;=feb!H$3)*(lentry!$C$3:$C$3999&gt;=feb!H$3)),lentry!$D$3:$D$3999),IF(WEEKDAY(feb!H$3,1)=1,"WO","P"))</f>
        <v>P</v>
      </c>
      <c r="I44" s="4" t="str">
        <f>IFERROR(LOOKUP(2,1/((lentry!$A$3:$A$3999=feb!$A44)*(lentry!$B$3:$B$3999&lt;=feb!I$3)*(lentry!$C$3:$C$3999&gt;=feb!I$3)),lentry!$D$3:$D$3999),IF(WEEKDAY(feb!I$3,1)=1,"WO","P"))</f>
        <v>P</v>
      </c>
      <c r="J44" s="4" t="str">
        <f>IFERROR(LOOKUP(2,1/((lentry!$A$3:$A$3999=feb!$A44)*(lentry!$B$3:$B$3999&lt;=feb!J$3)*(lentry!$C$3:$C$3999&gt;=feb!J$3)),lentry!$D$3:$D$3999),IF(WEEKDAY(feb!J$3,1)=1,"WO","P"))</f>
        <v>P</v>
      </c>
      <c r="K44" s="4" t="str">
        <f>IFERROR(LOOKUP(2,1/((lentry!$A$3:$A$3999=feb!$A44)*(lentry!$B$3:$B$3999&lt;=feb!K$3)*(lentry!$C$3:$C$3999&gt;=feb!K$3)),lentry!$D$3:$D$3999),IF(WEEKDAY(feb!K$3,1)=1,"WO","P"))</f>
        <v>P</v>
      </c>
      <c r="L44" s="4" t="str">
        <f>IFERROR(LOOKUP(2,1/((lentry!$A$3:$A$3999=feb!$A44)*(lentry!$B$3:$B$3999&lt;=feb!L$3)*(lentry!$C$3:$C$3999&gt;=feb!L$3)),lentry!$D$3:$D$3999),IF(WEEKDAY(feb!L$3,1)=1,"WO","P"))</f>
        <v>P</v>
      </c>
      <c r="M44" s="4" t="str">
        <f>IFERROR(LOOKUP(2,1/((lentry!$A$3:$A$3999=feb!$A44)*(lentry!$B$3:$B$3999&lt;=feb!M$3)*(lentry!$C$3:$C$3999&gt;=feb!M$3)),lentry!$D$3:$D$3999),IF(WEEKDAY(feb!M$3,1)=1,"WO","P"))</f>
        <v>WO</v>
      </c>
      <c r="N44" s="4" t="str">
        <f>IFERROR(LOOKUP(2,1/((lentry!$A$3:$A$3999=feb!$A44)*(lentry!$B$3:$B$3999&lt;=feb!N$3)*(lentry!$C$3:$C$3999&gt;=feb!N$3)),lentry!$D$3:$D$3999),IF(WEEKDAY(feb!N$3,1)=1,"WO","P"))</f>
        <v>P</v>
      </c>
      <c r="O44" s="4" t="str">
        <f>IFERROR(LOOKUP(2,1/((lentry!$A$3:$A$3999=feb!$A44)*(lentry!$B$3:$B$3999&lt;=feb!O$3)*(lentry!$C$3:$C$3999&gt;=feb!O$3)),lentry!$D$3:$D$3999),IF(WEEKDAY(feb!O$3,1)=1,"WO","P"))</f>
        <v>P</v>
      </c>
      <c r="P44" s="4" t="str">
        <f>IFERROR(LOOKUP(2,1/((lentry!$A$3:$A$3999=feb!$A44)*(lentry!$B$3:$B$3999&lt;=feb!P$3)*(lentry!$C$3:$C$3999&gt;=feb!P$3)),lentry!$D$3:$D$3999),IF(WEEKDAY(feb!P$3,1)=1,"WO","P"))</f>
        <v>P</v>
      </c>
      <c r="Q44" s="4" t="s">
        <v>539</v>
      </c>
      <c r="R44" s="4" t="str">
        <f>IFERROR(LOOKUP(2,1/((lentry!$A$3:$A$3999=feb!$A44)*(lentry!$B$3:$B$3999&lt;=feb!R$3)*(lentry!$C$3:$C$3999&gt;=feb!R$3)),lentry!$D$3:$D$3999),IF(WEEKDAY(feb!R$3,1)=1,"WO","P"))</f>
        <v>P</v>
      </c>
      <c r="S44" s="4" t="str">
        <f>IFERROR(LOOKUP(2,1/((lentry!$A$3:$A$3999=feb!$A44)*(lentry!$B$3:$B$3999&lt;=feb!S$3)*(lentry!$C$3:$C$3999&gt;=feb!S$3)),lentry!$D$3:$D$3999),IF(WEEKDAY(feb!S$3,1)=1,"WO","P"))</f>
        <v>P</v>
      </c>
      <c r="T44" s="4" t="s">
        <v>350</v>
      </c>
      <c r="U44" s="4" t="str">
        <f>IFERROR(LOOKUP(2,1/((lentry!$A$3:$A$3999=feb!$A44)*(lentry!$B$3:$B$3999&lt;=feb!U$3)*(lentry!$C$3:$C$3999&gt;=feb!U$3)),lentry!$D$3:$D$3999),IF(WEEKDAY(feb!U$3,1)=1,"WO","P"))</f>
        <v>P</v>
      </c>
      <c r="V44" s="4" t="str">
        <f>IFERROR(LOOKUP(2,1/((lentry!$A$3:$A$3999=feb!$A44)*(lentry!$B$3:$B$3999&lt;=feb!V$3)*(lentry!$C$3:$C$3999&gt;=feb!V$3)),lentry!$D$3:$D$3999),IF(WEEKDAY(feb!V$3,1)=1,"WO","P"))</f>
        <v>P</v>
      </c>
      <c r="W44" s="4" t="str">
        <f>IFERROR(LOOKUP(2,1/((lentry!$A$3:$A$3999=feb!$A44)*(lentry!$B$3:$B$3999&lt;=feb!W$3)*(lentry!$C$3:$C$3999&gt;=feb!W$3)),lentry!$D$3:$D$3999),IF(WEEKDAY(feb!W$3,1)=1,"WO","P"))</f>
        <v>P</v>
      </c>
      <c r="X44" s="4" t="str">
        <f>IFERROR(LOOKUP(2,1/((lentry!$A$3:$A$3999=feb!$A44)*(lentry!$B$3:$B$3999&lt;=feb!X$3)*(lentry!$C$3:$C$3999&gt;=feb!X$3)),lentry!$D$3:$D$3999),IF(WEEKDAY(feb!X$3,1)=1,"WO","P"))</f>
        <v>P</v>
      </c>
      <c r="Y44" s="4" t="str">
        <f>IFERROR(LOOKUP(2,1/((lentry!$A$3:$A$3999=feb!$A44)*(lentry!$B$3:$B$3999&lt;=feb!Y$3)*(lentry!$C$3:$C$3999&gt;=feb!Y$3)),lentry!$D$3:$D$3999),IF(WEEKDAY(feb!Y$3,1)=1,"WO","P"))</f>
        <v>P</v>
      </c>
      <c r="Z44" s="4" t="str">
        <f>IFERROR(LOOKUP(2,1/((lentry!$A$3:$A$3999=feb!$A44)*(lentry!$B$3:$B$3999&lt;=feb!Z$3)*(lentry!$C$3:$C$3999&gt;=feb!Z$3)),lentry!$D$3:$D$3999),IF(WEEKDAY(feb!Z$3,1)=1,"WO","P"))</f>
        <v>P</v>
      </c>
      <c r="AA44" s="4" t="str">
        <f>IFERROR(LOOKUP(2,1/((lentry!$A$3:$A$3999=feb!$A44)*(lentry!$B$3:$B$3999&lt;=feb!AA$3)*(lentry!$C$3:$C$3999&gt;=feb!AA$3)),lentry!$D$3:$D$3999),IF(WEEKDAY(feb!AA$3,1)=1,"WO","P"))</f>
        <v>WO</v>
      </c>
      <c r="AB44" s="4" t="str">
        <f>IFERROR(LOOKUP(2,1/((lentry!$A$3:$A$3999=feb!$A44)*(lentry!$B$3:$B$3999&lt;=feb!AB$3)*(lentry!$C$3:$C$3999&gt;=feb!AB$3)),lentry!$D$3:$D$3999),IF(WEEKDAY(feb!AB$3,1)=1,"WO","P"))</f>
        <v>P</v>
      </c>
      <c r="AC44" s="4" t="str">
        <f>IFERROR(LOOKUP(2,1/((lentry!$A$3:$A$3999=feb!$A44)*(lentry!$B$3:$B$3999&lt;=feb!AC$3)*(lentry!$C$3:$C$3999&gt;=feb!AC$3)),lentry!$D$3:$D$3999),IF(WEEKDAY(feb!AC$3,1)=1,"WO","P"))</f>
        <v>P</v>
      </c>
      <c r="AD44" s="4" t="str">
        <f>IFERROR(LOOKUP(2,1/((lentry!$A$3:$A$3999=feb!$A44)*(lentry!$B$3:$B$3999&lt;=feb!AD$3)*(lentry!$C$3:$C$3999&gt;=feb!AD$3)),lentry!$D$3:$D$3999),IF(WEEKDAY(feb!AD$3,1)=1,"WO","P"))</f>
        <v>P</v>
      </c>
      <c r="AE44" s="4" t="str">
        <f>IFERROR(LOOKUP(2,1/((lentry!$A$3:$A$3999=feb!$A44)*(lentry!$B$3:$B$3999&lt;=feb!AE$3)*(lentry!$C$3:$C$3999&gt;=feb!AE$3)),lentry!$D$3:$D$3999),IF(WEEKDAY(feb!AE$3,1)=1,"WO","P"))</f>
        <v>P</v>
      </c>
      <c r="AF44" s="4" t="str">
        <f>IFERROR(LOOKUP(2,1/((lentry!$A$3:$A$3999=feb!$A44)*(lentry!$B$3:$B$3999&lt;=feb!AF$3)*(lentry!$C$3:$C$3999&gt;=feb!AF$3)),lentry!$D$3:$D$3999),IF(WEEKDAY(feb!AF$3,1)=1,"WO","P"))</f>
        <v>P</v>
      </c>
      <c r="AG44" s="4" t="str">
        <f>IFERROR(LOOKUP(2,1/((lentry!$A$3:$A$3999=feb!$A44)*(lentry!$B$3:$B$3999&lt;=feb!AG$3)*(lentry!$C$3:$C$3999&gt;=feb!AG$3)),lentry!$D$3:$D$3999),IF(WEEKDAY(feb!AG$3,1)=1,"WO","P"))</f>
        <v>P</v>
      </c>
      <c r="AH44" s="4">
        <f t="shared" si="3"/>
        <v>3</v>
      </c>
      <c r="AI44" s="4">
        <f t="shared" si="4"/>
        <v>1</v>
      </c>
      <c r="AJ44" s="4">
        <f t="shared" si="5"/>
        <v>0</v>
      </c>
      <c r="AK44" s="4">
        <f t="shared" si="6"/>
        <v>0</v>
      </c>
      <c r="AL44" s="4">
        <f t="shared" si="7"/>
        <v>0</v>
      </c>
      <c r="AM44" s="4">
        <f t="shared" si="8"/>
        <v>0</v>
      </c>
      <c r="AN44" s="4">
        <f t="shared" si="9"/>
        <v>0</v>
      </c>
      <c r="AO44" s="4">
        <f t="shared" si="10"/>
        <v>1</v>
      </c>
      <c r="AP44" s="4">
        <f t="shared" si="11"/>
        <v>23</v>
      </c>
      <c r="AQ44" s="4">
        <f t="shared" si="13"/>
        <v>28</v>
      </c>
      <c r="AR44" s="4">
        <f t="shared" si="12"/>
        <v>27</v>
      </c>
    </row>
    <row r="45" spans="1:44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IFERROR(LOOKUP(2,1/((lentry!$A$3:$A$3999=feb!$A45)*(lentry!$B$3:$B$3999&lt;=feb!F$3)*(lentry!$C$3:$C$3999&gt;=feb!F$3)),lentry!$D$3:$D$3999),IF(WEEKDAY(feb!F$3,1)=1,"WO","P"))</f>
        <v>WO</v>
      </c>
      <c r="G45" s="4" t="str">
        <f>IFERROR(LOOKUP(2,1/((lentry!$A$3:$A$3999=feb!$A45)*(lentry!$B$3:$B$3999&lt;=feb!G$3)*(lentry!$C$3:$C$3999&gt;=feb!G$3)),lentry!$D$3:$D$3999),IF(WEEKDAY(feb!G$3,1)=1,"WO","P"))</f>
        <v>P</v>
      </c>
      <c r="H45" s="4" t="str">
        <f>IFERROR(LOOKUP(2,1/((lentry!$A$3:$A$3999=feb!$A45)*(lentry!$B$3:$B$3999&lt;=feb!H$3)*(lentry!$C$3:$C$3999&gt;=feb!H$3)),lentry!$D$3:$D$3999),IF(WEEKDAY(feb!H$3,1)=1,"WO","P"))</f>
        <v>P</v>
      </c>
      <c r="I45" s="4" t="str">
        <f>IFERROR(LOOKUP(2,1/((lentry!$A$3:$A$3999=feb!$A45)*(lentry!$B$3:$B$3999&lt;=feb!I$3)*(lentry!$C$3:$C$3999&gt;=feb!I$3)),lentry!$D$3:$D$3999),IF(WEEKDAY(feb!I$3,1)=1,"WO","P"))</f>
        <v>P</v>
      </c>
      <c r="J45" s="4" t="s">
        <v>539</v>
      </c>
      <c r="K45" s="4" t="str">
        <f>IFERROR(LOOKUP(2,1/((lentry!$A$3:$A$3999=feb!$A45)*(lentry!$B$3:$B$3999&lt;=feb!K$3)*(lentry!$C$3:$C$3999&gt;=feb!K$3)),lentry!$D$3:$D$3999),IF(WEEKDAY(feb!K$3,1)=1,"WO","P"))</f>
        <v>P</v>
      </c>
      <c r="L45" s="4" t="str">
        <f>IFERROR(LOOKUP(2,1/((lentry!$A$3:$A$3999=feb!$A45)*(lentry!$B$3:$B$3999&lt;=feb!L$3)*(lentry!$C$3:$C$3999&gt;=feb!L$3)),lentry!$D$3:$D$3999),IF(WEEKDAY(feb!L$3,1)=1,"WO","P"))</f>
        <v>P</v>
      </c>
      <c r="M45" s="4" t="str">
        <f>IFERROR(LOOKUP(2,1/((lentry!$A$3:$A$3999=feb!$A45)*(lentry!$B$3:$B$3999&lt;=feb!M$3)*(lentry!$C$3:$C$3999&gt;=feb!M$3)),lentry!$D$3:$D$3999),IF(WEEKDAY(feb!M$3,1)=1,"WO","P"))</f>
        <v>WO</v>
      </c>
      <c r="N45" s="4" t="str">
        <f>IFERROR(LOOKUP(2,1/((lentry!$A$3:$A$3999=feb!$A45)*(lentry!$B$3:$B$3999&lt;=feb!N$3)*(lentry!$C$3:$C$3999&gt;=feb!N$3)),lentry!$D$3:$D$3999),IF(WEEKDAY(feb!N$3,1)=1,"WO","P"))</f>
        <v>P</v>
      </c>
      <c r="O45" s="4" t="str">
        <f>IFERROR(LOOKUP(2,1/((lentry!$A$3:$A$3999=feb!$A45)*(lentry!$B$3:$B$3999&lt;=feb!O$3)*(lentry!$C$3:$C$3999&gt;=feb!O$3)),lentry!$D$3:$D$3999),IF(WEEKDAY(feb!O$3,1)=1,"WO","P"))</f>
        <v>P</v>
      </c>
      <c r="P45" s="4" t="str">
        <f>IFERROR(LOOKUP(2,1/((lentry!$A$3:$A$3999=feb!$A45)*(lentry!$B$3:$B$3999&lt;=feb!P$3)*(lentry!$C$3:$C$3999&gt;=feb!P$3)),lentry!$D$3:$D$3999),IF(WEEKDAY(feb!P$3,1)=1,"WO","P"))</f>
        <v>P</v>
      </c>
      <c r="Q45" s="4" t="str">
        <f>IFERROR(LOOKUP(2,1/((lentry!$A$3:$A$3999=feb!$A45)*(lentry!$B$3:$B$3999&lt;=feb!Q$3)*(lentry!$C$3:$C$3999&gt;=feb!Q$3)),lentry!$D$3:$D$3999),IF(WEEKDAY(feb!Q$3,1)=1,"WO","P"))</f>
        <v>P</v>
      </c>
      <c r="R45" s="4" t="str">
        <f>IFERROR(LOOKUP(2,1/((lentry!$A$3:$A$3999=feb!$A45)*(lentry!$B$3:$B$3999&lt;=feb!R$3)*(lentry!$C$3:$C$3999&gt;=feb!R$3)),lentry!$D$3:$D$3999),IF(WEEKDAY(feb!R$3,1)=1,"WO","P"))</f>
        <v>P</v>
      </c>
      <c r="S45" s="4" t="str">
        <f>IFERROR(LOOKUP(2,1/((lentry!$A$3:$A$3999=feb!$A45)*(lentry!$B$3:$B$3999&lt;=feb!S$3)*(lentry!$C$3:$C$3999&gt;=feb!S$3)),lentry!$D$3:$D$3999),IF(WEEKDAY(feb!S$3,1)=1,"WO","P"))</f>
        <v>P</v>
      </c>
      <c r="T45" s="4" t="s">
        <v>350</v>
      </c>
      <c r="U45" s="4" t="str">
        <f>IFERROR(LOOKUP(2,1/((lentry!$A$3:$A$3999=feb!$A45)*(lentry!$B$3:$B$3999&lt;=feb!U$3)*(lentry!$C$3:$C$3999&gt;=feb!U$3)),lentry!$D$3:$D$3999),IF(WEEKDAY(feb!U$3,1)=1,"WO","P"))</f>
        <v>P</v>
      </c>
      <c r="V45" s="4" t="str">
        <f>IFERROR(LOOKUP(2,1/((lentry!$A$3:$A$3999=feb!$A45)*(lentry!$B$3:$B$3999&lt;=feb!V$3)*(lentry!$C$3:$C$3999&gt;=feb!V$3)),lentry!$D$3:$D$3999),IF(WEEKDAY(feb!V$3,1)=1,"WO","P"))</f>
        <v>P</v>
      </c>
      <c r="W45" s="4" t="str">
        <f>IFERROR(LOOKUP(2,1/((lentry!$A$3:$A$3999=feb!$A45)*(lentry!$B$3:$B$3999&lt;=feb!W$3)*(lentry!$C$3:$C$3999&gt;=feb!W$3)),lentry!$D$3:$D$3999),IF(WEEKDAY(feb!W$3,1)=1,"WO","P"))</f>
        <v>P</v>
      </c>
      <c r="X45" s="4" t="str">
        <f>IFERROR(LOOKUP(2,1/((lentry!$A$3:$A$3999=feb!$A45)*(lentry!$B$3:$B$3999&lt;=feb!X$3)*(lentry!$C$3:$C$3999&gt;=feb!X$3)),lentry!$D$3:$D$3999),IF(WEEKDAY(feb!X$3,1)=1,"WO","P"))</f>
        <v>P</v>
      </c>
      <c r="Y45" s="4" t="str">
        <f>IFERROR(LOOKUP(2,1/((lentry!$A$3:$A$3999=feb!$A45)*(lentry!$B$3:$B$3999&lt;=feb!Y$3)*(lentry!$C$3:$C$3999&gt;=feb!Y$3)),lentry!$D$3:$D$3999),IF(WEEKDAY(feb!Y$3,1)=1,"WO","P"))</f>
        <v>P</v>
      </c>
      <c r="Z45" s="4" t="str">
        <f>IFERROR(LOOKUP(2,1/((lentry!$A$3:$A$3999=feb!$A45)*(lentry!$B$3:$B$3999&lt;=feb!Z$3)*(lentry!$C$3:$C$3999&gt;=feb!Z$3)),lentry!$D$3:$D$3999),IF(WEEKDAY(feb!Z$3,1)=1,"WO","P"))</f>
        <v>P</v>
      </c>
      <c r="AA45" s="4" t="str">
        <f>IFERROR(LOOKUP(2,1/((lentry!$A$3:$A$3999=feb!$A45)*(lentry!$B$3:$B$3999&lt;=feb!AA$3)*(lentry!$C$3:$C$3999&gt;=feb!AA$3)),lentry!$D$3:$D$3999),IF(WEEKDAY(feb!AA$3,1)=1,"WO","P"))</f>
        <v>WO</v>
      </c>
      <c r="AB45" s="4" t="str">
        <f>IFERROR(LOOKUP(2,1/((lentry!$A$3:$A$3999=feb!$A45)*(lentry!$B$3:$B$3999&lt;=feb!AB$3)*(lentry!$C$3:$C$3999&gt;=feb!AB$3)),lentry!$D$3:$D$3999),IF(WEEKDAY(feb!AB$3,1)=1,"WO","P"))</f>
        <v>P</v>
      </c>
      <c r="AC45" s="4" t="str">
        <f>IFERROR(LOOKUP(2,1/((lentry!$A$3:$A$3999=feb!$A45)*(lentry!$B$3:$B$3999&lt;=feb!AC$3)*(lentry!$C$3:$C$3999&gt;=feb!AC$3)),lentry!$D$3:$D$3999),IF(WEEKDAY(feb!AC$3,1)=1,"WO","P"))</f>
        <v>P</v>
      </c>
      <c r="AD45" s="4" t="str">
        <f>IFERROR(LOOKUP(2,1/((lentry!$A$3:$A$3999=feb!$A45)*(lentry!$B$3:$B$3999&lt;=feb!AD$3)*(lentry!$C$3:$C$3999&gt;=feb!AD$3)),lentry!$D$3:$D$3999),IF(WEEKDAY(feb!AD$3,1)=1,"WO","P"))</f>
        <v>P</v>
      </c>
      <c r="AE45" s="4" t="str">
        <f>IFERROR(LOOKUP(2,1/((lentry!$A$3:$A$3999=feb!$A45)*(lentry!$B$3:$B$3999&lt;=feb!AE$3)*(lentry!$C$3:$C$3999&gt;=feb!AE$3)),lentry!$D$3:$D$3999),IF(WEEKDAY(feb!AE$3,1)=1,"WO","P"))</f>
        <v>P</v>
      </c>
      <c r="AF45" s="4" t="str">
        <f>IFERROR(LOOKUP(2,1/((lentry!$A$3:$A$3999=feb!$A45)*(lentry!$B$3:$B$3999&lt;=feb!AF$3)*(lentry!$C$3:$C$3999&gt;=feb!AF$3)),lentry!$D$3:$D$3999),IF(WEEKDAY(feb!AF$3,1)=1,"WO","P"))</f>
        <v>P</v>
      </c>
      <c r="AG45" s="4" t="str">
        <f>IFERROR(LOOKUP(2,1/((lentry!$A$3:$A$3999=feb!$A45)*(lentry!$B$3:$B$3999&lt;=feb!AG$3)*(lentry!$C$3:$C$3999&gt;=feb!AG$3)),lentry!$D$3:$D$3999),IF(WEEKDAY(feb!AG$3,1)=1,"WO","P"))</f>
        <v>P</v>
      </c>
      <c r="AH45" s="4">
        <f t="shared" si="3"/>
        <v>3</v>
      </c>
      <c r="AI45" s="4">
        <f t="shared" si="4"/>
        <v>1</v>
      </c>
      <c r="AJ45" s="4">
        <f t="shared" si="5"/>
        <v>0</v>
      </c>
      <c r="AK45" s="4">
        <f t="shared" si="6"/>
        <v>0</v>
      </c>
      <c r="AL45" s="4">
        <f t="shared" si="7"/>
        <v>0</v>
      </c>
      <c r="AM45" s="4">
        <f t="shared" si="8"/>
        <v>0</v>
      </c>
      <c r="AN45" s="4">
        <f t="shared" si="9"/>
        <v>0</v>
      </c>
      <c r="AO45" s="4">
        <f t="shared" si="10"/>
        <v>1</v>
      </c>
      <c r="AP45" s="4">
        <f t="shared" si="11"/>
        <v>23</v>
      </c>
      <c r="AQ45" s="4">
        <f t="shared" si="13"/>
        <v>28</v>
      </c>
      <c r="AR45" s="4">
        <f t="shared" si="12"/>
        <v>27</v>
      </c>
    </row>
    <row r="46" spans="1:44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IFERROR(LOOKUP(2,1/((lentry!$A$3:$A$3999=feb!$A46)*(lentry!$B$3:$B$3999&lt;=feb!F$3)*(lentry!$C$3:$C$3999&gt;=feb!F$3)),lentry!$D$3:$D$3999),IF(WEEKDAY(feb!F$3,1)=1,"WO","P"))</f>
        <v>WO</v>
      </c>
      <c r="G46" s="4" t="str">
        <f>IFERROR(LOOKUP(2,1/((lentry!$A$3:$A$3999=feb!$A46)*(lentry!$B$3:$B$3999&lt;=feb!G$3)*(lentry!$C$3:$C$3999&gt;=feb!G$3)),lentry!$D$3:$D$3999),IF(WEEKDAY(feb!G$3,1)=1,"WO","P"))</f>
        <v>P</v>
      </c>
      <c r="H46" s="4" t="str">
        <f>IFERROR(LOOKUP(2,1/((lentry!$A$3:$A$3999=feb!$A46)*(lentry!$B$3:$B$3999&lt;=feb!H$3)*(lentry!$C$3:$C$3999&gt;=feb!H$3)),lentry!$D$3:$D$3999),IF(WEEKDAY(feb!H$3,1)=1,"WO","P"))</f>
        <v>P</v>
      </c>
      <c r="I46" s="4" t="str">
        <f>IFERROR(LOOKUP(2,1/((lentry!$A$3:$A$3999=feb!$A46)*(lentry!$B$3:$B$3999&lt;=feb!I$3)*(lentry!$C$3:$C$3999&gt;=feb!I$3)),lentry!$D$3:$D$3999),IF(WEEKDAY(feb!I$3,1)=1,"WO","P"))</f>
        <v>P</v>
      </c>
      <c r="J46" s="4" t="str">
        <f>IFERROR(LOOKUP(2,1/((lentry!$A$3:$A$3999=feb!$A46)*(lentry!$B$3:$B$3999&lt;=feb!J$3)*(lentry!$C$3:$C$3999&gt;=feb!J$3)),lentry!$D$3:$D$3999),IF(WEEKDAY(feb!J$3,1)=1,"WO","P"))</f>
        <v>SL</v>
      </c>
      <c r="K46" s="4" t="str">
        <f>IFERROR(LOOKUP(2,1/((lentry!$A$3:$A$3999=feb!$A46)*(lentry!$B$3:$B$3999&lt;=feb!K$3)*(lentry!$C$3:$C$3999&gt;=feb!K$3)),lentry!$D$3:$D$3999),IF(WEEKDAY(feb!K$3,1)=1,"WO","P"))</f>
        <v>P</v>
      </c>
      <c r="L46" s="4" t="str">
        <f>IFERROR(LOOKUP(2,1/((lentry!$A$3:$A$3999=feb!$A46)*(lentry!$B$3:$B$3999&lt;=feb!L$3)*(lentry!$C$3:$C$3999&gt;=feb!L$3)),lentry!$D$3:$D$3999),IF(WEEKDAY(feb!L$3,1)=1,"WO","P"))</f>
        <v>P</v>
      </c>
      <c r="M46" s="4" t="str">
        <f>IFERROR(LOOKUP(2,1/((lentry!$A$3:$A$3999=feb!$A46)*(lentry!$B$3:$B$3999&lt;=feb!M$3)*(lentry!$C$3:$C$3999&gt;=feb!M$3)),lentry!$D$3:$D$3999),IF(WEEKDAY(feb!M$3,1)=1,"WO","P"))</f>
        <v>WO</v>
      </c>
      <c r="N46" s="4" t="str">
        <f>IFERROR(LOOKUP(2,1/((lentry!$A$3:$A$3999=feb!$A46)*(lentry!$B$3:$B$3999&lt;=feb!N$3)*(lentry!$C$3:$C$3999&gt;=feb!N$3)),lentry!$D$3:$D$3999),IF(WEEKDAY(feb!N$3,1)=1,"WO","P"))</f>
        <v>P</v>
      </c>
      <c r="O46" s="4" t="str">
        <f>IFERROR(LOOKUP(2,1/((lentry!$A$3:$A$3999=feb!$A46)*(lentry!$B$3:$B$3999&lt;=feb!O$3)*(lentry!$C$3:$C$3999&gt;=feb!O$3)),lentry!$D$3:$D$3999),IF(WEEKDAY(feb!O$3,1)=1,"WO","P"))</f>
        <v>P</v>
      </c>
      <c r="P46" s="4" t="str">
        <f>IFERROR(LOOKUP(2,1/((lentry!$A$3:$A$3999=feb!$A46)*(lentry!$B$3:$B$3999&lt;=feb!P$3)*(lentry!$C$3:$C$3999&gt;=feb!P$3)),lentry!$D$3:$D$3999),IF(WEEKDAY(feb!P$3,1)=1,"WO","P"))</f>
        <v>P</v>
      </c>
      <c r="Q46" s="4" t="str">
        <f>IFERROR(LOOKUP(2,1/((lentry!$A$3:$A$3999=feb!$A46)*(lentry!$B$3:$B$3999&lt;=feb!Q$3)*(lentry!$C$3:$C$3999&gt;=feb!Q$3)),lentry!$D$3:$D$3999),IF(WEEKDAY(feb!Q$3,1)=1,"WO","P"))</f>
        <v>P</v>
      </c>
      <c r="R46" s="4" t="str">
        <f>IFERROR(LOOKUP(2,1/((lentry!$A$3:$A$3999=feb!$A46)*(lentry!$B$3:$B$3999&lt;=feb!R$3)*(lentry!$C$3:$C$3999&gt;=feb!R$3)),lentry!$D$3:$D$3999),IF(WEEKDAY(feb!R$3,1)=1,"WO","P"))</f>
        <v>P</v>
      </c>
      <c r="S46" s="4" t="str">
        <f>IFERROR(LOOKUP(2,1/((lentry!$A$3:$A$3999=feb!$A46)*(lentry!$B$3:$B$3999&lt;=feb!S$3)*(lentry!$C$3:$C$3999&gt;=feb!S$3)),lentry!$D$3:$D$3999),IF(WEEKDAY(feb!S$3,1)=1,"WO","P"))</f>
        <v>P</v>
      </c>
      <c r="T46" s="4" t="s">
        <v>350</v>
      </c>
      <c r="U46" s="4" t="str">
        <f>IFERROR(LOOKUP(2,1/((lentry!$A$3:$A$3999=feb!$A46)*(lentry!$B$3:$B$3999&lt;=feb!U$3)*(lentry!$C$3:$C$3999&gt;=feb!U$3)),lentry!$D$3:$D$3999),IF(WEEKDAY(feb!U$3,1)=1,"WO","P"))</f>
        <v>P</v>
      </c>
      <c r="V46" s="4" t="str">
        <f>IFERROR(LOOKUP(2,1/((lentry!$A$3:$A$3999=feb!$A46)*(lentry!$B$3:$B$3999&lt;=feb!V$3)*(lentry!$C$3:$C$3999&gt;=feb!V$3)),lentry!$D$3:$D$3999),IF(WEEKDAY(feb!V$3,1)=1,"WO","P"))</f>
        <v>P</v>
      </c>
      <c r="W46" s="4" t="str">
        <f>IFERROR(LOOKUP(2,1/((lentry!$A$3:$A$3999=feb!$A46)*(lentry!$B$3:$B$3999&lt;=feb!W$3)*(lentry!$C$3:$C$3999&gt;=feb!W$3)),lentry!$D$3:$D$3999),IF(WEEKDAY(feb!W$3,1)=1,"WO","P"))</f>
        <v>P</v>
      </c>
      <c r="X46" s="4" t="s">
        <v>539</v>
      </c>
      <c r="Y46" s="4" t="str">
        <f>IFERROR(LOOKUP(2,1/((lentry!$A$3:$A$3999=feb!$A46)*(lentry!$B$3:$B$3999&lt;=feb!Y$3)*(lentry!$C$3:$C$3999&gt;=feb!Y$3)),lentry!$D$3:$D$3999),IF(WEEKDAY(feb!Y$3,1)=1,"WO","P"))</f>
        <v>P</v>
      </c>
      <c r="Z46" s="4" t="str">
        <f>IFERROR(LOOKUP(2,1/((lentry!$A$3:$A$3999=feb!$A46)*(lentry!$B$3:$B$3999&lt;=feb!Z$3)*(lentry!$C$3:$C$3999&gt;=feb!Z$3)),lentry!$D$3:$D$3999),IF(WEEKDAY(feb!Z$3,1)=1,"WO","P"))</f>
        <v>P</v>
      </c>
      <c r="AA46" s="4" t="str">
        <f>IFERROR(LOOKUP(2,1/((lentry!$A$3:$A$3999=feb!$A46)*(lentry!$B$3:$B$3999&lt;=feb!AA$3)*(lentry!$C$3:$C$3999&gt;=feb!AA$3)),lentry!$D$3:$D$3999),IF(WEEKDAY(feb!AA$3,1)=1,"WO","P"))</f>
        <v>WO</v>
      </c>
      <c r="AB46" s="4" t="str">
        <f>IFERROR(LOOKUP(2,1/((lentry!$A$3:$A$3999=feb!$A46)*(lentry!$B$3:$B$3999&lt;=feb!AB$3)*(lentry!$C$3:$C$3999&gt;=feb!AB$3)),lentry!$D$3:$D$3999),IF(WEEKDAY(feb!AB$3,1)=1,"WO","P"))</f>
        <v>P</v>
      </c>
      <c r="AC46" s="4" t="str">
        <f>IFERROR(LOOKUP(2,1/((lentry!$A$3:$A$3999=feb!$A46)*(lentry!$B$3:$B$3999&lt;=feb!AC$3)*(lentry!$C$3:$C$3999&gt;=feb!AC$3)),lentry!$D$3:$D$3999),IF(WEEKDAY(feb!AC$3,1)=1,"WO","P"))</f>
        <v>P</v>
      </c>
      <c r="AD46" s="4" t="str">
        <f>IFERROR(LOOKUP(2,1/((lentry!$A$3:$A$3999=feb!$A46)*(lentry!$B$3:$B$3999&lt;=feb!AD$3)*(lentry!$C$3:$C$3999&gt;=feb!AD$3)),lentry!$D$3:$D$3999),IF(WEEKDAY(feb!AD$3,1)=1,"WO","P"))</f>
        <v>P</v>
      </c>
      <c r="AE46" s="4" t="str">
        <f>IFERROR(LOOKUP(2,1/((lentry!$A$3:$A$3999=feb!$A46)*(lentry!$B$3:$B$3999&lt;=feb!AE$3)*(lentry!$C$3:$C$3999&gt;=feb!AE$3)),lentry!$D$3:$D$3999),IF(WEEKDAY(feb!AE$3,1)=1,"WO","P"))</f>
        <v>P</v>
      </c>
      <c r="AF46" s="4" t="str">
        <f>IFERROR(LOOKUP(2,1/((lentry!$A$3:$A$3999=feb!$A46)*(lentry!$B$3:$B$3999&lt;=feb!AF$3)*(lentry!$C$3:$C$3999&gt;=feb!AF$3)),lentry!$D$3:$D$3999),IF(WEEKDAY(feb!AF$3,1)=1,"WO","P"))</f>
        <v>P</v>
      </c>
      <c r="AG46" s="4" t="str">
        <f>IFERROR(LOOKUP(2,1/((lentry!$A$3:$A$3999=feb!$A46)*(lentry!$B$3:$B$3999&lt;=feb!AG$3)*(lentry!$C$3:$C$3999&gt;=feb!AG$3)),lentry!$D$3:$D$3999),IF(WEEKDAY(feb!AG$3,1)=1,"WO","P"))</f>
        <v>P</v>
      </c>
      <c r="AH46" s="4">
        <f t="shared" si="3"/>
        <v>3</v>
      </c>
      <c r="AI46" s="4">
        <f t="shared" si="4"/>
        <v>1</v>
      </c>
      <c r="AJ46" s="4">
        <f t="shared" si="5"/>
        <v>0</v>
      </c>
      <c r="AK46" s="4">
        <f t="shared" si="6"/>
        <v>0</v>
      </c>
      <c r="AL46" s="4">
        <f t="shared" si="7"/>
        <v>0</v>
      </c>
      <c r="AM46" s="4">
        <f t="shared" si="8"/>
        <v>1</v>
      </c>
      <c r="AN46" s="4">
        <f t="shared" si="9"/>
        <v>0</v>
      </c>
      <c r="AO46" s="4">
        <f t="shared" si="10"/>
        <v>1</v>
      </c>
      <c r="AP46" s="4">
        <f t="shared" si="11"/>
        <v>22</v>
      </c>
      <c r="AQ46" s="4">
        <f t="shared" si="13"/>
        <v>28</v>
      </c>
      <c r="AR46" s="4">
        <f t="shared" si="12"/>
        <v>27</v>
      </c>
    </row>
    <row r="47" spans="1:44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IFERROR(LOOKUP(2,1/((lentry!$A$3:$A$3999=feb!$A47)*(lentry!$B$3:$B$3999&lt;=feb!F$3)*(lentry!$C$3:$C$3999&gt;=feb!F$3)),lentry!$D$3:$D$3999),IF(WEEKDAY(feb!F$3,1)=1,"WO","P"))</f>
        <v>WO</v>
      </c>
      <c r="G47" s="4" t="str">
        <f>IFERROR(LOOKUP(2,1/((lentry!$A$3:$A$3999=feb!$A47)*(lentry!$B$3:$B$3999&lt;=feb!G$3)*(lentry!$C$3:$C$3999&gt;=feb!G$3)),lentry!$D$3:$D$3999),IF(WEEKDAY(feb!G$3,1)=1,"WO","P"))</f>
        <v>P</v>
      </c>
      <c r="H47" s="4" t="str">
        <f>IFERROR(LOOKUP(2,1/((lentry!$A$3:$A$3999=feb!$A47)*(lentry!$B$3:$B$3999&lt;=feb!H$3)*(lentry!$C$3:$C$3999&gt;=feb!H$3)),lentry!$D$3:$D$3999),IF(WEEKDAY(feb!H$3,1)=1,"WO","P"))</f>
        <v>P</v>
      </c>
      <c r="I47" s="4" t="str">
        <f>IFERROR(LOOKUP(2,1/((lentry!$A$3:$A$3999=feb!$A47)*(lentry!$B$3:$B$3999&lt;=feb!I$3)*(lentry!$C$3:$C$3999&gt;=feb!I$3)),lentry!$D$3:$D$3999),IF(WEEKDAY(feb!I$3,1)=1,"WO","P"))</f>
        <v>P</v>
      </c>
      <c r="J47" s="4" t="str">
        <f>IFERROR(LOOKUP(2,1/((lentry!$A$3:$A$3999=feb!$A47)*(lentry!$B$3:$B$3999&lt;=feb!J$3)*(lentry!$C$3:$C$3999&gt;=feb!J$3)),lentry!$D$3:$D$3999),IF(WEEKDAY(feb!J$3,1)=1,"WO","P"))</f>
        <v>P</v>
      </c>
      <c r="K47" s="4" t="str">
        <f>IFERROR(LOOKUP(2,1/((lentry!$A$3:$A$3999=feb!$A47)*(lentry!$B$3:$B$3999&lt;=feb!K$3)*(lentry!$C$3:$C$3999&gt;=feb!K$3)),lentry!$D$3:$D$3999),IF(WEEKDAY(feb!K$3,1)=1,"WO","P"))</f>
        <v>P</v>
      </c>
      <c r="L47" s="4" t="str">
        <f>IFERROR(LOOKUP(2,1/((lentry!$A$3:$A$3999=feb!$A47)*(lentry!$B$3:$B$3999&lt;=feb!L$3)*(lentry!$C$3:$C$3999&gt;=feb!L$3)),lentry!$D$3:$D$3999),IF(WEEKDAY(feb!L$3,1)=1,"WO","P"))</f>
        <v>P</v>
      </c>
      <c r="M47" s="4" t="str">
        <f>IFERROR(LOOKUP(2,1/((lentry!$A$3:$A$3999=feb!$A47)*(lentry!$B$3:$B$3999&lt;=feb!M$3)*(lentry!$C$3:$C$3999&gt;=feb!M$3)),lentry!$D$3:$D$3999),IF(WEEKDAY(feb!M$3,1)=1,"WO","P"))</f>
        <v>WO</v>
      </c>
      <c r="N47" s="4" t="str">
        <f>IFERROR(LOOKUP(2,1/((lentry!$A$3:$A$3999=feb!$A47)*(lentry!$B$3:$B$3999&lt;=feb!N$3)*(lentry!$C$3:$C$3999&gt;=feb!N$3)),lentry!$D$3:$D$3999),IF(WEEKDAY(feb!N$3,1)=1,"WO","P"))</f>
        <v>P</v>
      </c>
      <c r="O47" s="4" t="str">
        <f>IFERROR(LOOKUP(2,1/((lentry!$A$3:$A$3999=feb!$A47)*(lentry!$B$3:$B$3999&lt;=feb!O$3)*(lentry!$C$3:$C$3999&gt;=feb!O$3)),lentry!$D$3:$D$3999),IF(WEEKDAY(feb!O$3,1)=1,"WO","P"))</f>
        <v>P</v>
      </c>
      <c r="P47" s="4" t="str">
        <f>IFERROR(LOOKUP(2,1/((lentry!$A$3:$A$3999=feb!$A47)*(lentry!$B$3:$B$3999&lt;=feb!P$3)*(lentry!$C$3:$C$3999&gt;=feb!P$3)),lentry!$D$3:$D$3999),IF(WEEKDAY(feb!P$3,1)=1,"WO","P"))</f>
        <v>P</v>
      </c>
      <c r="Q47" s="4" t="str">
        <f>IFERROR(LOOKUP(2,1/((lentry!$A$3:$A$3999=feb!$A47)*(lentry!$B$3:$B$3999&lt;=feb!Q$3)*(lentry!$C$3:$C$3999&gt;=feb!Q$3)),lentry!$D$3:$D$3999),IF(WEEKDAY(feb!Q$3,1)=1,"WO","P"))</f>
        <v>P</v>
      </c>
      <c r="R47" s="4" t="str">
        <f>IFERROR(LOOKUP(2,1/((lentry!$A$3:$A$3999=feb!$A47)*(lentry!$B$3:$B$3999&lt;=feb!R$3)*(lentry!$C$3:$C$3999&gt;=feb!R$3)),lentry!$D$3:$D$3999),IF(WEEKDAY(feb!R$3,1)=1,"WO","P"))</f>
        <v>PL</v>
      </c>
      <c r="S47" s="4" t="str">
        <f>IFERROR(LOOKUP(2,1/((lentry!$A$3:$A$3999=feb!$A47)*(lentry!$B$3:$B$3999&lt;=feb!S$3)*(lentry!$C$3:$C$3999&gt;=feb!S$3)),lentry!$D$3:$D$3999),IF(WEEKDAY(feb!S$3,1)=1,"WO","P"))</f>
        <v>P</v>
      </c>
      <c r="T47" s="4" t="s">
        <v>350</v>
      </c>
      <c r="U47" s="4" t="str">
        <f>IFERROR(LOOKUP(2,1/((lentry!$A$3:$A$3999=feb!$A47)*(lentry!$B$3:$B$3999&lt;=feb!U$3)*(lentry!$C$3:$C$3999&gt;=feb!U$3)),lentry!$D$3:$D$3999),IF(WEEKDAY(feb!U$3,1)=1,"WO","P"))</f>
        <v>P</v>
      </c>
      <c r="V47" s="4" t="str">
        <f>IFERROR(LOOKUP(2,1/((lentry!$A$3:$A$3999=feb!$A47)*(lentry!$B$3:$B$3999&lt;=feb!V$3)*(lentry!$C$3:$C$3999&gt;=feb!V$3)),lentry!$D$3:$D$3999),IF(WEEKDAY(feb!V$3,1)=1,"WO","P"))</f>
        <v>P</v>
      </c>
      <c r="W47" s="4" t="str">
        <f>IFERROR(LOOKUP(2,1/((lentry!$A$3:$A$3999=feb!$A47)*(lentry!$B$3:$B$3999&lt;=feb!W$3)*(lentry!$C$3:$C$3999&gt;=feb!W$3)),lentry!$D$3:$D$3999),IF(WEEKDAY(feb!W$3,1)=1,"WO","P"))</f>
        <v>P</v>
      </c>
      <c r="X47" s="4" t="str">
        <f>IFERROR(LOOKUP(2,1/((lentry!$A$3:$A$3999=feb!$A47)*(lentry!$B$3:$B$3999&lt;=feb!X$3)*(lentry!$C$3:$C$3999&gt;=feb!X$3)),lentry!$D$3:$D$3999),IF(WEEKDAY(feb!X$3,1)=1,"WO","P"))</f>
        <v>P</v>
      </c>
      <c r="Y47" s="4" t="str">
        <f>IFERROR(LOOKUP(2,1/((lentry!$A$3:$A$3999=feb!$A47)*(lentry!$B$3:$B$3999&lt;=feb!Y$3)*(lentry!$C$3:$C$3999&gt;=feb!Y$3)),lentry!$D$3:$D$3999),IF(WEEKDAY(feb!Y$3,1)=1,"WO","P"))</f>
        <v>P</v>
      </c>
      <c r="Z47" s="4" t="str">
        <f>IFERROR(LOOKUP(2,1/((lentry!$A$3:$A$3999=feb!$A47)*(lentry!$B$3:$B$3999&lt;=feb!Z$3)*(lentry!$C$3:$C$3999&gt;=feb!Z$3)),lentry!$D$3:$D$3999),IF(WEEKDAY(feb!Z$3,1)=1,"WO","P"))</f>
        <v>P</v>
      </c>
      <c r="AA47" s="4" t="str">
        <f>IFERROR(LOOKUP(2,1/((lentry!$A$3:$A$3999=feb!$A47)*(lentry!$B$3:$B$3999&lt;=feb!AA$3)*(lentry!$C$3:$C$3999&gt;=feb!AA$3)),lentry!$D$3:$D$3999),IF(WEEKDAY(feb!AA$3,1)=1,"WO","P"))</f>
        <v>WO</v>
      </c>
      <c r="AB47" s="4" t="str">
        <f>IFERROR(LOOKUP(2,1/((lentry!$A$3:$A$3999=feb!$A47)*(lentry!$B$3:$B$3999&lt;=feb!AB$3)*(lentry!$C$3:$C$3999&gt;=feb!AB$3)),lentry!$D$3:$D$3999),IF(WEEKDAY(feb!AB$3,1)=1,"WO","P"))</f>
        <v>P</v>
      </c>
      <c r="AC47" s="4" t="str">
        <f>IFERROR(LOOKUP(2,1/((lentry!$A$3:$A$3999=feb!$A47)*(lentry!$B$3:$B$3999&lt;=feb!AC$3)*(lentry!$C$3:$C$3999&gt;=feb!AC$3)),lentry!$D$3:$D$3999),IF(WEEKDAY(feb!AC$3,1)=1,"WO","P"))</f>
        <v>P</v>
      </c>
      <c r="AD47" s="4" t="str">
        <f>IFERROR(LOOKUP(2,1/((lentry!$A$3:$A$3999=feb!$A47)*(lentry!$B$3:$B$3999&lt;=feb!AD$3)*(lentry!$C$3:$C$3999&gt;=feb!AD$3)),lentry!$D$3:$D$3999),IF(WEEKDAY(feb!AD$3,1)=1,"WO","P"))</f>
        <v>P</v>
      </c>
      <c r="AE47" s="4" t="s">
        <v>539</v>
      </c>
      <c r="AF47" s="4" t="str">
        <f>IFERROR(LOOKUP(2,1/((lentry!$A$3:$A$3999=feb!$A47)*(lentry!$B$3:$B$3999&lt;=feb!AF$3)*(lentry!$C$3:$C$3999&gt;=feb!AF$3)),lentry!$D$3:$D$3999),IF(WEEKDAY(feb!AF$3,1)=1,"WO","P"))</f>
        <v>P</v>
      </c>
      <c r="AG47" s="4" t="str">
        <f>IFERROR(LOOKUP(2,1/((lentry!$A$3:$A$3999=feb!$A47)*(lentry!$B$3:$B$3999&lt;=feb!AG$3)*(lentry!$C$3:$C$3999&gt;=feb!AG$3)),lentry!$D$3:$D$3999),IF(WEEKDAY(feb!AG$3,1)=1,"WO","P"))</f>
        <v>P</v>
      </c>
      <c r="AH47" s="4">
        <f t="shared" si="3"/>
        <v>3</v>
      </c>
      <c r="AI47" s="4">
        <f t="shared" si="4"/>
        <v>1</v>
      </c>
      <c r="AJ47" s="4">
        <f t="shared" si="5"/>
        <v>1</v>
      </c>
      <c r="AK47" s="4">
        <f t="shared" si="6"/>
        <v>0</v>
      </c>
      <c r="AL47" s="4">
        <f t="shared" si="7"/>
        <v>0</v>
      </c>
      <c r="AM47" s="4">
        <f t="shared" si="8"/>
        <v>0</v>
      </c>
      <c r="AN47" s="4">
        <f t="shared" si="9"/>
        <v>0</v>
      </c>
      <c r="AO47" s="4">
        <f t="shared" si="10"/>
        <v>1</v>
      </c>
      <c r="AP47" s="4">
        <f t="shared" si="11"/>
        <v>22</v>
      </c>
      <c r="AQ47" s="4">
        <f t="shared" si="13"/>
        <v>28</v>
      </c>
      <c r="AR47" s="4">
        <f t="shared" si="12"/>
        <v>27</v>
      </c>
    </row>
    <row r="48" spans="1:44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IFERROR(LOOKUP(2,1/((lentry!$A$3:$A$3999=feb!$A48)*(lentry!$B$3:$B$3999&lt;=feb!F$3)*(lentry!$C$3:$C$3999&gt;=feb!F$3)),lentry!$D$3:$D$3999),IF(WEEKDAY(feb!F$3,1)=1,"WO","P"))</f>
        <v>WO</v>
      </c>
      <c r="G48" s="4" t="str">
        <f>IFERROR(LOOKUP(2,1/((lentry!$A$3:$A$3999=feb!$A48)*(lentry!$B$3:$B$3999&lt;=feb!G$3)*(lentry!$C$3:$C$3999&gt;=feb!G$3)),lentry!$D$3:$D$3999),IF(WEEKDAY(feb!G$3,1)=1,"WO","P"))</f>
        <v>P</v>
      </c>
      <c r="H48" s="4" t="str">
        <f>IFERROR(LOOKUP(2,1/((lentry!$A$3:$A$3999=feb!$A48)*(lentry!$B$3:$B$3999&lt;=feb!H$3)*(lentry!$C$3:$C$3999&gt;=feb!H$3)),lentry!$D$3:$D$3999),IF(WEEKDAY(feb!H$3,1)=1,"WO","P"))</f>
        <v>P</v>
      </c>
      <c r="I48" s="4" t="str">
        <f>IFERROR(LOOKUP(2,1/((lentry!$A$3:$A$3999=feb!$A48)*(lentry!$B$3:$B$3999&lt;=feb!I$3)*(lentry!$C$3:$C$3999&gt;=feb!I$3)),lentry!$D$3:$D$3999),IF(WEEKDAY(feb!I$3,1)=1,"WO","P"))</f>
        <v>P</v>
      </c>
      <c r="J48" s="4" t="str">
        <f>IFERROR(LOOKUP(2,1/((lentry!$A$3:$A$3999=feb!$A48)*(lentry!$B$3:$B$3999&lt;=feb!J$3)*(lentry!$C$3:$C$3999&gt;=feb!J$3)),lentry!$D$3:$D$3999),IF(WEEKDAY(feb!J$3,1)=1,"WO","P"))</f>
        <v>P</v>
      </c>
      <c r="K48" s="4" t="str">
        <f>IFERROR(LOOKUP(2,1/((lentry!$A$3:$A$3999=feb!$A48)*(lentry!$B$3:$B$3999&lt;=feb!K$3)*(lentry!$C$3:$C$3999&gt;=feb!K$3)),lentry!$D$3:$D$3999),IF(WEEKDAY(feb!K$3,1)=1,"WO","P"))</f>
        <v>P</v>
      </c>
      <c r="L48" s="4" t="str">
        <f>IFERROR(LOOKUP(2,1/((lentry!$A$3:$A$3999=feb!$A48)*(lentry!$B$3:$B$3999&lt;=feb!L$3)*(lentry!$C$3:$C$3999&gt;=feb!L$3)),lentry!$D$3:$D$3999),IF(WEEKDAY(feb!L$3,1)=1,"WO","P"))</f>
        <v>P</v>
      </c>
      <c r="M48" s="4" t="str">
        <f>IFERROR(LOOKUP(2,1/((lentry!$A$3:$A$3999=feb!$A48)*(lentry!$B$3:$B$3999&lt;=feb!M$3)*(lentry!$C$3:$C$3999&gt;=feb!M$3)),lentry!$D$3:$D$3999),IF(WEEKDAY(feb!M$3,1)=1,"WO","P"))</f>
        <v>WO</v>
      </c>
      <c r="N48" s="4" t="str">
        <f>IFERROR(LOOKUP(2,1/((lentry!$A$3:$A$3999=feb!$A48)*(lentry!$B$3:$B$3999&lt;=feb!N$3)*(lentry!$C$3:$C$3999&gt;=feb!N$3)),lentry!$D$3:$D$3999),IF(WEEKDAY(feb!N$3,1)=1,"WO","P"))</f>
        <v>P</v>
      </c>
      <c r="O48" s="4" t="str">
        <f>IFERROR(LOOKUP(2,1/((lentry!$A$3:$A$3999=feb!$A48)*(lentry!$B$3:$B$3999&lt;=feb!O$3)*(lentry!$C$3:$C$3999&gt;=feb!O$3)),lentry!$D$3:$D$3999),IF(WEEKDAY(feb!O$3,1)=1,"WO","P"))</f>
        <v>P</v>
      </c>
      <c r="P48" s="4" t="str">
        <f>IFERROR(LOOKUP(2,1/((lentry!$A$3:$A$3999=feb!$A48)*(lentry!$B$3:$B$3999&lt;=feb!P$3)*(lentry!$C$3:$C$3999&gt;=feb!P$3)),lentry!$D$3:$D$3999),IF(WEEKDAY(feb!P$3,1)=1,"WO","P"))</f>
        <v>P</v>
      </c>
      <c r="Q48" s="4" t="str">
        <f>IFERROR(LOOKUP(2,1/((lentry!$A$3:$A$3999=feb!$A48)*(lentry!$B$3:$B$3999&lt;=feb!Q$3)*(lentry!$C$3:$C$3999&gt;=feb!Q$3)),lentry!$D$3:$D$3999),IF(WEEKDAY(feb!Q$3,1)=1,"WO","P"))</f>
        <v>P</v>
      </c>
      <c r="R48" s="4" t="str">
        <f>IFERROR(LOOKUP(2,1/((lentry!$A$3:$A$3999=feb!$A48)*(lentry!$B$3:$B$3999&lt;=feb!R$3)*(lentry!$C$3:$C$3999&gt;=feb!R$3)),lentry!$D$3:$D$3999),IF(WEEKDAY(feb!R$3,1)=1,"WO","P"))</f>
        <v>P</v>
      </c>
      <c r="S48" s="4" t="str">
        <f>IFERROR(LOOKUP(2,1/((lentry!$A$3:$A$3999=feb!$A48)*(lentry!$B$3:$B$3999&lt;=feb!S$3)*(lentry!$C$3:$C$3999&gt;=feb!S$3)),lentry!$D$3:$D$3999),IF(WEEKDAY(feb!S$3,1)=1,"WO","P"))</f>
        <v>P</v>
      </c>
      <c r="T48" s="4" t="s">
        <v>350</v>
      </c>
      <c r="U48" s="4" t="str">
        <f>IFERROR(LOOKUP(2,1/((lentry!$A$3:$A$3999=feb!$A48)*(lentry!$B$3:$B$3999&lt;=feb!U$3)*(lentry!$C$3:$C$3999&gt;=feb!U$3)),lentry!$D$3:$D$3999),IF(WEEKDAY(feb!U$3,1)=1,"WO","P"))</f>
        <v>P</v>
      </c>
      <c r="V48" s="4" t="str">
        <f>IFERROR(LOOKUP(2,1/((lentry!$A$3:$A$3999=feb!$A48)*(lentry!$B$3:$B$3999&lt;=feb!V$3)*(lentry!$C$3:$C$3999&gt;=feb!V$3)),lentry!$D$3:$D$3999),IF(WEEKDAY(feb!V$3,1)=1,"WO","P"))</f>
        <v>P</v>
      </c>
      <c r="W48" s="4" t="str">
        <f>IFERROR(LOOKUP(2,1/((lentry!$A$3:$A$3999=feb!$A48)*(lentry!$B$3:$B$3999&lt;=feb!W$3)*(lentry!$C$3:$C$3999&gt;=feb!W$3)),lentry!$D$3:$D$3999),IF(WEEKDAY(feb!W$3,1)=1,"WO","P"))</f>
        <v>P</v>
      </c>
      <c r="X48" s="4" t="str">
        <f>IFERROR(LOOKUP(2,1/((lentry!$A$3:$A$3999=feb!$A48)*(lentry!$B$3:$B$3999&lt;=feb!X$3)*(lentry!$C$3:$C$3999&gt;=feb!X$3)),lentry!$D$3:$D$3999),IF(WEEKDAY(feb!X$3,1)=1,"WO","P"))</f>
        <v>P</v>
      </c>
      <c r="Y48" s="4" t="str">
        <f>IFERROR(LOOKUP(2,1/((lentry!$A$3:$A$3999=feb!$A48)*(lentry!$B$3:$B$3999&lt;=feb!Y$3)*(lentry!$C$3:$C$3999&gt;=feb!Y$3)),lentry!$D$3:$D$3999),IF(WEEKDAY(feb!Y$3,1)=1,"WO","P"))</f>
        <v>P</v>
      </c>
      <c r="Z48" s="4" t="str">
        <f>IFERROR(LOOKUP(2,1/((lentry!$A$3:$A$3999=feb!$A48)*(lentry!$B$3:$B$3999&lt;=feb!Z$3)*(lentry!$C$3:$C$3999&gt;=feb!Z$3)),lentry!$D$3:$D$3999),IF(WEEKDAY(feb!Z$3,1)=1,"WO","P"))</f>
        <v>P</v>
      </c>
      <c r="AA48" s="4" t="str">
        <f>IFERROR(LOOKUP(2,1/((lentry!$A$3:$A$3999=feb!$A48)*(lentry!$B$3:$B$3999&lt;=feb!AA$3)*(lentry!$C$3:$C$3999&gt;=feb!AA$3)),lentry!$D$3:$D$3999),IF(WEEKDAY(feb!AA$3,1)=1,"WO","P"))</f>
        <v>WO</v>
      </c>
      <c r="AB48" s="4" t="str">
        <f>IFERROR(LOOKUP(2,1/((lentry!$A$3:$A$3999=feb!$A48)*(lentry!$B$3:$B$3999&lt;=feb!AB$3)*(lentry!$C$3:$C$3999&gt;=feb!AB$3)),lentry!$D$3:$D$3999),IF(WEEKDAY(feb!AB$3,1)=1,"WO","P"))</f>
        <v>P</v>
      </c>
      <c r="AC48" s="4" t="str">
        <f>IFERROR(LOOKUP(2,1/((lentry!$A$3:$A$3999=feb!$A48)*(lentry!$B$3:$B$3999&lt;=feb!AC$3)*(lentry!$C$3:$C$3999&gt;=feb!AC$3)),lentry!$D$3:$D$3999),IF(WEEKDAY(feb!AC$3,1)=1,"WO","P"))</f>
        <v>P</v>
      </c>
      <c r="AD48" s="4" t="str">
        <f>IFERROR(LOOKUP(2,1/((lentry!$A$3:$A$3999=feb!$A48)*(lentry!$B$3:$B$3999&lt;=feb!AD$3)*(lentry!$C$3:$C$3999&gt;=feb!AD$3)),lentry!$D$3:$D$3999),IF(WEEKDAY(feb!AD$3,1)=1,"WO","P"))</f>
        <v>P</v>
      </c>
      <c r="AE48" s="4" t="str">
        <f>IFERROR(LOOKUP(2,1/((lentry!$A$3:$A$3999=feb!$A48)*(lentry!$B$3:$B$3999&lt;=feb!AE$3)*(lentry!$C$3:$C$3999&gt;=feb!AE$3)),lentry!$D$3:$D$3999),IF(WEEKDAY(feb!AE$3,1)=1,"WO","P"))</f>
        <v>P</v>
      </c>
      <c r="AF48" s="4" t="str">
        <f>IFERROR(LOOKUP(2,1/((lentry!$A$3:$A$3999=feb!$A48)*(lentry!$B$3:$B$3999&lt;=feb!AF$3)*(lentry!$C$3:$C$3999&gt;=feb!AF$3)),lentry!$D$3:$D$3999),IF(WEEKDAY(feb!AF$3,1)=1,"WO","P"))</f>
        <v>P</v>
      </c>
      <c r="AG48" s="4" t="str">
        <f>IFERROR(LOOKUP(2,1/((lentry!$A$3:$A$3999=feb!$A48)*(lentry!$B$3:$B$3999&lt;=feb!AG$3)*(lentry!$C$3:$C$3999&gt;=feb!AG$3)),lentry!$D$3:$D$3999),IF(WEEKDAY(feb!AG$3,1)=1,"WO","P"))</f>
        <v>P</v>
      </c>
      <c r="AH48" s="4">
        <f t="shared" si="3"/>
        <v>3</v>
      </c>
      <c r="AI48" s="4">
        <f t="shared" si="4"/>
        <v>1</v>
      </c>
      <c r="AJ48" s="4">
        <f t="shared" si="5"/>
        <v>0</v>
      </c>
      <c r="AK48" s="4">
        <f t="shared" si="6"/>
        <v>0</v>
      </c>
      <c r="AL48" s="4">
        <f t="shared" si="7"/>
        <v>0</v>
      </c>
      <c r="AM48" s="4">
        <f t="shared" si="8"/>
        <v>0</v>
      </c>
      <c r="AN48" s="4">
        <f t="shared" si="9"/>
        <v>0</v>
      </c>
      <c r="AO48" s="4">
        <f t="shared" si="10"/>
        <v>0</v>
      </c>
      <c r="AP48" s="4">
        <f t="shared" si="11"/>
        <v>24</v>
      </c>
      <c r="AQ48" s="4">
        <f t="shared" si="13"/>
        <v>28</v>
      </c>
      <c r="AR48" s="4">
        <f t="shared" si="12"/>
        <v>28</v>
      </c>
    </row>
    <row r="49" spans="1:44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IFERROR(LOOKUP(2,1/((lentry!$A$3:$A$3999=feb!$A49)*(lentry!$B$3:$B$3999&lt;=feb!F$3)*(lentry!$C$3:$C$3999&gt;=feb!F$3)),lentry!$D$3:$D$3999),IF(WEEKDAY(feb!F$3,1)=1,"WO","P"))</f>
        <v>WO</v>
      </c>
      <c r="G49" s="4" t="str">
        <f>IFERROR(LOOKUP(2,1/((lentry!$A$3:$A$3999=feb!$A49)*(lentry!$B$3:$B$3999&lt;=feb!G$3)*(lentry!$C$3:$C$3999&gt;=feb!G$3)),lentry!$D$3:$D$3999),IF(WEEKDAY(feb!G$3,1)=1,"WO","P"))</f>
        <v>P</v>
      </c>
      <c r="H49" s="4" t="str">
        <f>IFERROR(LOOKUP(2,1/((lentry!$A$3:$A$3999=feb!$A49)*(lentry!$B$3:$B$3999&lt;=feb!H$3)*(lentry!$C$3:$C$3999&gt;=feb!H$3)),lentry!$D$3:$D$3999),IF(WEEKDAY(feb!H$3,1)=1,"WO","P"))</f>
        <v>P</v>
      </c>
      <c r="I49" s="4" t="str">
        <f>IFERROR(LOOKUP(2,1/((lentry!$A$3:$A$3999=feb!$A49)*(lentry!$B$3:$B$3999&lt;=feb!I$3)*(lentry!$C$3:$C$3999&gt;=feb!I$3)),lentry!$D$3:$D$3999),IF(WEEKDAY(feb!I$3,1)=1,"WO","P"))</f>
        <v>P</v>
      </c>
      <c r="J49" s="4" t="str">
        <f>IFERROR(LOOKUP(2,1/((lentry!$A$3:$A$3999=feb!$A49)*(lentry!$B$3:$B$3999&lt;=feb!J$3)*(lentry!$C$3:$C$3999&gt;=feb!J$3)),lentry!$D$3:$D$3999),IF(WEEKDAY(feb!J$3,1)=1,"WO","P"))</f>
        <v>P</v>
      </c>
      <c r="K49" s="4" t="str">
        <f>IFERROR(LOOKUP(2,1/((lentry!$A$3:$A$3999=feb!$A49)*(lentry!$B$3:$B$3999&lt;=feb!K$3)*(lentry!$C$3:$C$3999&gt;=feb!K$3)),lentry!$D$3:$D$3999),IF(WEEKDAY(feb!K$3,1)=1,"WO","P"))</f>
        <v>P</v>
      </c>
      <c r="L49" s="4" t="str">
        <f>IFERROR(LOOKUP(2,1/((lentry!$A$3:$A$3999=feb!$A49)*(lentry!$B$3:$B$3999&lt;=feb!L$3)*(lentry!$C$3:$C$3999&gt;=feb!L$3)),lentry!$D$3:$D$3999),IF(WEEKDAY(feb!L$3,1)=1,"WO","P"))</f>
        <v>P</v>
      </c>
      <c r="M49" s="4" t="str">
        <f>IFERROR(LOOKUP(2,1/((lentry!$A$3:$A$3999=feb!$A49)*(lentry!$B$3:$B$3999&lt;=feb!M$3)*(lentry!$C$3:$C$3999&gt;=feb!M$3)),lentry!$D$3:$D$3999),IF(WEEKDAY(feb!M$3,1)=1,"WO","P"))</f>
        <v>WO</v>
      </c>
      <c r="N49" s="4" t="str">
        <f>IFERROR(LOOKUP(2,1/((lentry!$A$3:$A$3999=feb!$A49)*(lentry!$B$3:$B$3999&lt;=feb!N$3)*(lentry!$C$3:$C$3999&gt;=feb!N$3)),lentry!$D$3:$D$3999),IF(WEEKDAY(feb!N$3,1)=1,"WO","P"))</f>
        <v>P</v>
      </c>
      <c r="O49" s="4" t="str">
        <f>IFERROR(LOOKUP(2,1/((lentry!$A$3:$A$3999=feb!$A49)*(lentry!$B$3:$B$3999&lt;=feb!O$3)*(lentry!$C$3:$C$3999&gt;=feb!O$3)),lentry!$D$3:$D$3999),IF(WEEKDAY(feb!O$3,1)=1,"WO","P"))</f>
        <v>P</v>
      </c>
      <c r="P49" s="4" t="str">
        <f>IFERROR(LOOKUP(2,1/((lentry!$A$3:$A$3999=feb!$A49)*(lentry!$B$3:$B$3999&lt;=feb!P$3)*(lentry!$C$3:$C$3999&gt;=feb!P$3)),lentry!$D$3:$D$3999),IF(WEEKDAY(feb!P$3,1)=1,"WO","P"))</f>
        <v>P</v>
      </c>
      <c r="Q49" s="4" t="str">
        <f>IFERROR(LOOKUP(2,1/((lentry!$A$3:$A$3999=feb!$A49)*(lentry!$B$3:$B$3999&lt;=feb!Q$3)*(lentry!$C$3:$C$3999&gt;=feb!Q$3)),lentry!$D$3:$D$3999),IF(WEEKDAY(feb!Q$3,1)=1,"WO","P"))</f>
        <v>P</v>
      </c>
      <c r="R49" s="4" t="str">
        <f>IFERROR(LOOKUP(2,1/((lentry!$A$3:$A$3999=feb!$A49)*(lentry!$B$3:$B$3999&lt;=feb!R$3)*(lentry!$C$3:$C$3999&gt;=feb!R$3)),lentry!$D$3:$D$3999),IF(WEEKDAY(feb!R$3,1)=1,"WO","P"))</f>
        <v>P</v>
      </c>
      <c r="S49" s="4" t="str">
        <f>IFERROR(LOOKUP(2,1/((lentry!$A$3:$A$3999=feb!$A49)*(lentry!$B$3:$B$3999&lt;=feb!S$3)*(lentry!$C$3:$C$3999&gt;=feb!S$3)),lentry!$D$3:$D$3999),IF(WEEKDAY(feb!S$3,1)=1,"WO","P"))</f>
        <v>P</v>
      </c>
      <c r="T49" s="4" t="s">
        <v>350</v>
      </c>
      <c r="U49" s="4" t="str">
        <f>IFERROR(LOOKUP(2,1/((lentry!$A$3:$A$3999=feb!$A49)*(lentry!$B$3:$B$3999&lt;=feb!U$3)*(lentry!$C$3:$C$3999&gt;=feb!U$3)),lentry!$D$3:$D$3999),IF(WEEKDAY(feb!U$3,1)=1,"WO","P"))</f>
        <v>P</v>
      </c>
      <c r="V49" s="4" t="str">
        <f>IFERROR(LOOKUP(2,1/((lentry!$A$3:$A$3999=feb!$A49)*(lentry!$B$3:$B$3999&lt;=feb!V$3)*(lentry!$C$3:$C$3999&gt;=feb!V$3)),lentry!$D$3:$D$3999),IF(WEEKDAY(feb!V$3,1)=1,"WO","P"))</f>
        <v>P</v>
      </c>
      <c r="W49" s="4" t="str">
        <f>IFERROR(LOOKUP(2,1/((lentry!$A$3:$A$3999=feb!$A49)*(lentry!$B$3:$B$3999&lt;=feb!W$3)*(lentry!$C$3:$C$3999&gt;=feb!W$3)),lentry!$D$3:$D$3999),IF(WEEKDAY(feb!W$3,1)=1,"WO","P"))</f>
        <v>P</v>
      </c>
      <c r="X49" s="4" t="str">
        <f>IFERROR(LOOKUP(2,1/((lentry!$A$3:$A$3999=feb!$A49)*(lentry!$B$3:$B$3999&lt;=feb!X$3)*(lentry!$C$3:$C$3999&gt;=feb!X$3)),lentry!$D$3:$D$3999),IF(WEEKDAY(feb!X$3,1)=1,"WO","P"))</f>
        <v>P</v>
      </c>
      <c r="Y49" s="4" t="str">
        <f>IFERROR(LOOKUP(2,1/((lentry!$A$3:$A$3999=feb!$A49)*(lentry!$B$3:$B$3999&lt;=feb!Y$3)*(lentry!$C$3:$C$3999&gt;=feb!Y$3)),lentry!$D$3:$D$3999),IF(WEEKDAY(feb!Y$3,1)=1,"WO","P"))</f>
        <v>P</v>
      </c>
      <c r="Z49" s="4" t="str">
        <f>IFERROR(LOOKUP(2,1/((lentry!$A$3:$A$3999=feb!$A49)*(lentry!$B$3:$B$3999&lt;=feb!Z$3)*(lentry!$C$3:$C$3999&gt;=feb!Z$3)),lentry!$D$3:$D$3999),IF(WEEKDAY(feb!Z$3,1)=1,"WO","P"))</f>
        <v>P</v>
      </c>
      <c r="AA49" s="4" t="str">
        <f>IFERROR(LOOKUP(2,1/((lentry!$A$3:$A$3999=feb!$A49)*(lentry!$B$3:$B$3999&lt;=feb!AA$3)*(lentry!$C$3:$C$3999&gt;=feb!AA$3)),lentry!$D$3:$D$3999),IF(WEEKDAY(feb!AA$3,1)=1,"WO","P"))</f>
        <v>WO</v>
      </c>
      <c r="AB49" s="4" t="str">
        <f>IFERROR(LOOKUP(2,1/((lentry!$A$3:$A$3999=feb!$A49)*(lentry!$B$3:$B$3999&lt;=feb!AB$3)*(lentry!$C$3:$C$3999&gt;=feb!AB$3)),lentry!$D$3:$D$3999),IF(WEEKDAY(feb!AB$3,1)=1,"WO","P"))</f>
        <v>P</v>
      </c>
      <c r="AC49" s="4" t="str">
        <f>IFERROR(LOOKUP(2,1/((lentry!$A$3:$A$3999=feb!$A49)*(lentry!$B$3:$B$3999&lt;=feb!AC$3)*(lentry!$C$3:$C$3999&gt;=feb!AC$3)),lentry!$D$3:$D$3999),IF(WEEKDAY(feb!AC$3,1)=1,"WO","P"))</f>
        <v>P</v>
      </c>
      <c r="AD49" s="4" t="str">
        <f>IFERROR(LOOKUP(2,1/((lentry!$A$3:$A$3999=feb!$A49)*(lentry!$B$3:$B$3999&lt;=feb!AD$3)*(lentry!$C$3:$C$3999&gt;=feb!AD$3)),lentry!$D$3:$D$3999),IF(WEEKDAY(feb!AD$3,1)=1,"WO","P"))</f>
        <v>P</v>
      </c>
      <c r="AE49" s="4" t="str">
        <f>IFERROR(LOOKUP(2,1/((lentry!$A$3:$A$3999=feb!$A49)*(lentry!$B$3:$B$3999&lt;=feb!AE$3)*(lentry!$C$3:$C$3999&gt;=feb!AE$3)),lentry!$D$3:$D$3999),IF(WEEKDAY(feb!AE$3,1)=1,"WO","P"))</f>
        <v>P</v>
      </c>
      <c r="AF49" s="4" t="str">
        <f>IFERROR(LOOKUP(2,1/((lentry!$A$3:$A$3999=feb!$A49)*(lentry!$B$3:$B$3999&lt;=feb!AF$3)*(lentry!$C$3:$C$3999&gt;=feb!AF$3)),lentry!$D$3:$D$3999),IF(WEEKDAY(feb!AF$3,1)=1,"WO","P"))</f>
        <v>P</v>
      </c>
      <c r="AG49" s="4" t="str">
        <f>IFERROR(LOOKUP(2,1/((lentry!$A$3:$A$3999=feb!$A49)*(lentry!$B$3:$B$3999&lt;=feb!AG$3)*(lentry!$C$3:$C$3999&gt;=feb!AG$3)),lentry!$D$3:$D$3999),IF(WEEKDAY(feb!AG$3,1)=1,"WO","P"))</f>
        <v>P</v>
      </c>
      <c r="AH49" s="4">
        <f t="shared" si="3"/>
        <v>3</v>
      </c>
      <c r="AI49" s="4">
        <f t="shared" si="4"/>
        <v>1</v>
      </c>
      <c r="AJ49" s="4">
        <f t="shared" si="5"/>
        <v>0</v>
      </c>
      <c r="AK49" s="4">
        <f t="shared" si="6"/>
        <v>0</v>
      </c>
      <c r="AL49" s="4">
        <f t="shared" si="7"/>
        <v>0</v>
      </c>
      <c r="AM49" s="4">
        <f t="shared" si="8"/>
        <v>0</v>
      </c>
      <c r="AN49" s="4">
        <f t="shared" si="9"/>
        <v>0</v>
      </c>
      <c r="AO49" s="4">
        <f t="shared" si="10"/>
        <v>0</v>
      </c>
      <c r="AP49" s="4">
        <f t="shared" si="11"/>
        <v>24</v>
      </c>
      <c r="AQ49" s="4">
        <f t="shared" si="13"/>
        <v>28</v>
      </c>
      <c r="AR49" s="4">
        <f t="shared" si="12"/>
        <v>28</v>
      </c>
    </row>
    <row r="50" spans="1:44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IFERROR(LOOKUP(2,1/((lentry!$A$3:$A$3999=feb!$A50)*(lentry!$B$3:$B$3999&lt;=feb!F$3)*(lentry!$C$3:$C$3999&gt;=feb!F$3)),lentry!$D$3:$D$3999),IF(WEEKDAY(feb!F$3,1)=1,"WO","P"))</f>
        <v>WO</v>
      </c>
      <c r="G50" s="4" t="str">
        <f>IFERROR(LOOKUP(2,1/((lentry!$A$3:$A$3999=feb!$A50)*(lentry!$B$3:$B$3999&lt;=feb!G$3)*(lentry!$C$3:$C$3999&gt;=feb!G$3)),lentry!$D$3:$D$3999),IF(WEEKDAY(feb!G$3,1)=1,"WO","P"))</f>
        <v>P</v>
      </c>
      <c r="H50" s="4" t="s">
        <v>539</v>
      </c>
      <c r="I50" s="4" t="str">
        <f>IFERROR(LOOKUP(2,1/((lentry!$A$3:$A$3999=feb!$A50)*(lentry!$B$3:$B$3999&lt;=feb!I$3)*(lentry!$C$3:$C$3999&gt;=feb!I$3)),lentry!$D$3:$D$3999),IF(WEEKDAY(feb!I$3,1)=1,"WO","P"))</f>
        <v>P</v>
      </c>
      <c r="J50" s="4" t="str">
        <f>IFERROR(LOOKUP(2,1/((lentry!$A$3:$A$3999=feb!$A50)*(lentry!$B$3:$B$3999&lt;=feb!J$3)*(lentry!$C$3:$C$3999&gt;=feb!J$3)),lentry!$D$3:$D$3999),IF(WEEKDAY(feb!J$3,1)=1,"WO","P"))</f>
        <v>P</v>
      </c>
      <c r="K50" s="4" t="str">
        <f>IFERROR(LOOKUP(2,1/((lentry!$A$3:$A$3999=feb!$A50)*(lentry!$B$3:$B$3999&lt;=feb!K$3)*(lentry!$C$3:$C$3999&gt;=feb!K$3)),lentry!$D$3:$D$3999),IF(WEEKDAY(feb!K$3,1)=1,"WO","P"))</f>
        <v>P</v>
      </c>
      <c r="L50" s="4" t="str">
        <f>IFERROR(LOOKUP(2,1/((lentry!$A$3:$A$3999=feb!$A50)*(lentry!$B$3:$B$3999&lt;=feb!L$3)*(lentry!$C$3:$C$3999&gt;=feb!L$3)),lentry!$D$3:$D$3999),IF(WEEKDAY(feb!L$3,1)=1,"WO","P"))</f>
        <v>P</v>
      </c>
      <c r="M50" s="4" t="str">
        <f>IFERROR(LOOKUP(2,1/((lentry!$A$3:$A$3999=feb!$A50)*(lentry!$B$3:$B$3999&lt;=feb!M$3)*(lentry!$C$3:$C$3999&gt;=feb!M$3)),lentry!$D$3:$D$3999),IF(WEEKDAY(feb!M$3,1)=1,"WO","P"))</f>
        <v>WO</v>
      </c>
      <c r="N50" s="4" t="str">
        <f>IFERROR(LOOKUP(2,1/((lentry!$A$3:$A$3999=feb!$A50)*(lentry!$B$3:$B$3999&lt;=feb!N$3)*(lentry!$C$3:$C$3999&gt;=feb!N$3)),lentry!$D$3:$D$3999),IF(WEEKDAY(feb!N$3,1)=1,"WO","P"))</f>
        <v>P</v>
      </c>
      <c r="O50" s="4" t="str">
        <f>IFERROR(LOOKUP(2,1/((lentry!$A$3:$A$3999=feb!$A50)*(lentry!$B$3:$B$3999&lt;=feb!O$3)*(lentry!$C$3:$C$3999&gt;=feb!O$3)),lentry!$D$3:$D$3999),IF(WEEKDAY(feb!O$3,1)=1,"WO","P"))</f>
        <v>P</v>
      </c>
      <c r="P50" s="4" t="str">
        <f>IFERROR(LOOKUP(2,1/((lentry!$A$3:$A$3999=feb!$A50)*(lentry!$B$3:$B$3999&lt;=feb!P$3)*(lentry!$C$3:$C$3999&gt;=feb!P$3)),lentry!$D$3:$D$3999),IF(WEEKDAY(feb!P$3,1)=1,"WO","P"))</f>
        <v>P</v>
      </c>
      <c r="Q50" s="4" t="str">
        <f>IFERROR(LOOKUP(2,1/((lentry!$A$3:$A$3999=feb!$A50)*(lentry!$B$3:$B$3999&lt;=feb!Q$3)*(lentry!$C$3:$C$3999&gt;=feb!Q$3)),lentry!$D$3:$D$3999),IF(WEEKDAY(feb!Q$3,1)=1,"WO","P"))</f>
        <v>P</v>
      </c>
      <c r="R50" s="4" t="str">
        <f>IFERROR(LOOKUP(2,1/((lentry!$A$3:$A$3999=feb!$A50)*(lentry!$B$3:$B$3999&lt;=feb!R$3)*(lentry!$C$3:$C$3999&gt;=feb!R$3)),lentry!$D$3:$D$3999),IF(WEEKDAY(feb!R$3,1)=1,"WO","P"))</f>
        <v>P</v>
      </c>
      <c r="S50" s="4" t="str">
        <f>IFERROR(LOOKUP(2,1/((lentry!$A$3:$A$3999=feb!$A50)*(lentry!$B$3:$B$3999&lt;=feb!S$3)*(lentry!$C$3:$C$3999&gt;=feb!S$3)),lentry!$D$3:$D$3999),IF(WEEKDAY(feb!S$3,1)=1,"WO","P"))</f>
        <v>P</v>
      </c>
      <c r="T50" s="4" t="s">
        <v>350</v>
      </c>
      <c r="U50" s="4" t="str">
        <f>IFERROR(LOOKUP(2,1/((lentry!$A$3:$A$3999=feb!$A50)*(lentry!$B$3:$B$3999&lt;=feb!U$3)*(lentry!$C$3:$C$3999&gt;=feb!U$3)),lentry!$D$3:$D$3999),IF(WEEKDAY(feb!U$3,1)=1,"WO","P"))</f>
        <v>P</v>
      </c>
      <c r="V50" s="4" t="str">
        <f>IFERROR(LOOKUP(2,1/((lentry!$A$3:$A$3999=feb!$A50)*(lentry!$B$3:$B$3999&lt;=feb!V$3)*(lentry!$C$3:$C$3999&gt;=feb!V$3)),lentry!$D$3:$D$3999),IF(WEEKDAY(feb!V$3,1)=1,"WO","P"))</f>
        <v>P</v>
      </c>
      <c r="W50" s="4" t="str">
        <f>IFERROR(LOOKUP(2,1/((lentry!$A$3:$A$3999=feb!$A50)*(lentry!$B$3:$B$3999&lt;=feb!W$3)*(lentry!$C$3:$C$3999&gt;=feb!W$3)),lentry!$D$3:$D$3999),IF(WEEKDAY(feb!W$3,1)=1,"WO","P"))</f>
        <v>P</v>
      </c>
      <c r="X50" s="4" t="str">
        <f>IFERROR(LOOKUP(2,1/((lentry!$A$3:$A$3999=feb!$A50)*(lentry!$B$3:$B$3999&lt;=feb!X$3)*(lentry!$C$3:$C$3999&gt;=feb!X$3)),lentry!$D$3:$D$3999),IF(WEEKDAY(feb!X$3,1)=1,"WO","P"))</f>
        <v>P</v>
      </c>
      <c r="Y50" s="4" t="str">
        <f>IFERROR(LOOKUP(2,1/((lentry!$A$3:$A$3999=feb!$A50)*(lentry!$B$3:$B$3999&lt;=feb!Y$3)*(lentry!$C$3:$C$3999&gt;=feb!Y$3)),lentry!$D$3:$D$3999),IF(WEEKDAY(feb!Y$3,1)=1,"WO","P"))</f>
        <v>P</v>
      </c>
      <c r="Z50" s="4" t="str">
        <f>IFERROR(LOOKUP(2,1/((lentry!$A$3:$A$3999=feb!$A50)*(lentry!$B$3:$B$3999&lt;=feb!Z$3)*(lentry!$C$3:$C$3999&gt;=feb!Z$3)),lentry!$D$3:$D$3999),IF(WEEKDAY(feb!Z$3,1)=1,"WO","P"))</f>
        <v>P</v>
      </c>
      <c r="AA50" s="4" t="str">
        <f>IFERROR(LOOKUP(2,1/((lentry!$A$3:$A$3999=feb!$A50)*(lentry!$B$3:$B$3999&lt;=feb!AA$3)*(lentry!$C$3:$C$3999&gt;=feb!AA$3)),lentry!$D$3:$D$3999),IF(WEEKDAY(feb!AA$3,1)=1,"WO","P"))</f>
        <v>WO</v>
      </c>
      <c r="AB50" s="4" t="str">
        <f>IFERROR(LOOKUP(2,1/((lentry!$A$3:$A$3999=feb!$A50)*(lentry!$B$3:$B$3999&lt;=feb!AB$3)*(lentry!$C$3:$C$3999&gt;=feb!AB$3)),lentry!$D$3:$D$3999),IF(WEEKDAY(feb!AB$3,1)=1,"WO","P"))</f>
        <v>P</v>
      </c>
      <c r="AC50" s="4" t="str">
        <f>IFERROR(LOOKUP(2,1/((lentry!$A$3:$A$3999=feb!$A50)*(lentry!$B$3:$B$3999&lt;=feb!AC$3)*(lentry!$C$3:$C$3999&gt;=feb!AC$3)),lentry!$D$3:$D$3999),IF(WEEKDAY(feb!AC$3,1)=1,"WO","P"))</f>
        <v>P</v>
      </c>
      <c r="AD50" s="4" t="str">
        <f>IFERROR(LOOKUP(2,1/((lentry!$A$3:$A$3999=feb!$A50)*(lentry!$B$3:$B$3999&lt;=feb!AD$3)*(lentry!$C$3:$C$3999&gt;=feb!AD$3)),lentry!$D$3:$D$3999),IF(WEEKDAY(feb!AD$3,1)=1,"WO","P"))</f>
        <v>P</v>
      </c>
      <c r="AE50" s="4" t="str">
        <f>IFERROR(LOOKUP(2,1/((lentry!$A$3:$A$3999=feb!$A50)*(lentry!$B$3:$B$3999&lt;=feb!AE$3)*(lentry!$C$3:$C$3999&gt;=feb!AE$3)),lentry!$D$3:$D$3999),IF(WEEKDAY(feb!AE$3,1)=1,"WO","P"))</f>
        <v>P</v>
      </c>
      <c r="AF50" s="4" t="str">
        <f>IFERROR(LOOKUP(2,1/((lentry!$A$3:$A$3999=feb!$A50)*(lentry!$B$3:$B$3999&lt;=feb!AF$3)*(lentry!$C$3:$C$3999&gt;=feb!AF$3)),lentry!$D$3:$D$3999),IF(WEEKDAY(feb!AF$3,1)=1,"WO","P"))</f>
        <v>P</v>
      </c>
      <c r="AG50" s="4" t="str">
        <f>IFERROR(LOOKUP(2,1/((lentry!$A$3:$A$3999=feb!$A50)*(lentry!$B$3:$B$3999&lt;=feb!AG$3)*(lentry!$C$3:$C$3999&gt;=feb!AG$3)),lentry!$D$3:$D$3999),IF(WEEKDAY(feb!AG$3,1)=1,"WO","P"))</f>
        <v>P</v>
      </c>
      <c r="AH50" s="4">
        <f t="shared" si="3"/>
        <v>3</v>
      </c>
      <c r="AI50" s="4">
        <f t="shared" si="4"/>
        <v>1</v>
      </c>
      <c r="AJ50" s="4">
        <f t="shared" si="5"/>
        <v>0</v>
      </c>
      <c r="AK50" s="4">
        <f t="shared" si="6"/>
        <v>0</v>
      </c>
      <c r="AL50" s="4">
        <f t="shared" si="7"/>
        <v>0</v>
      </c>
      <c r="AM50" s="4">
        <f t="shared" si="8"/>
        <v>0</v>
      </c>
      <c r="AN50" s="4">
        <f t="shared" si="9"/>
        <v>0</v>
      </c>
      <c r="AO50" s="4">
        <f t="shared" si="10"/>
        <v>1</v>
      </c>
      <c r="AP50" s="4">
        <f t="shared" si="11"/>
        <v>23</v>
      </c>
      <c r="AQ50" s="4">
        <f t="shared" si="13"/>
        <v>28</v>
      </c>
      <c r="AR50" s="4">
        <f t="shared" si="12"/>
        <v>27</v>
      </c>
    </row>
    <row r="51" spans="1:44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IFERROR(LOOKUP(2,1/((lentry!$A$3:$A$3999=feb!$A51)*(lentry!$B$3:$B$3999&lt;=feb!F$3)*(lentry!$C$3:$C$3999&gt;=feb!F$3)),lentry!$D$3:$D$3999),IF(WEEKDAY(feb!F$3,1)=1,"WO","P"))</f>
        <v>WO</v>
      </c>
      <c r="G51" s="4" t="str">
        <f>IFERROR(LOOKUP(2,1/((lentry!$A$3:$A$3999=feb!$A51)*(lentry!$B$3:$B$3999&lt;=feb!G$3)*(lentry!$C$3:$C$3999&gt;=feb!G$3)),lentry!$D$3:$D$3999),IF(WEEKDAY(feb!G$3,1)=1,"WO","P"))</f>
        <v>P</v>
      </c>
      <c r="H51" s="4" t="str">
        <f>IFERROR(LOOKUP(2,1/((lentry!$A$3:$A$3999=feb!$A51)*(lentry!$B$3:$B$3999&lt;=feb!H$3)*(lentry!$C$3:$C$3999&gt;=feb!H$3)),lentry!$D$3:$D$3999),IF(WEEKDAY(feb!H$3,1)=1,"WO","P"))</f>
        <v>P</v>
      </c>
      <c r="I51" s="4" t="str">
        <f>IFERROR(LOOKUP(2,1/((lentry!$A$3:$A$3999=feb!$A51)*(lentry!$B$3:$B$3999&lt;=feb!I$3)*(lentry!$C$3:$C$3999&gt;=feb!I$3)),lentry!$D$3:$D$3999),IF(WEEKDAY(feb!I$3,1)=1,"WO","P"))</f>
        <v>P</v>
      </c>
      <c r="J51" s="4" t="str">
        <f>IFERROR(LOOKUP(2,1/((lentry!$A$3:$A$3999=feb!$A51)*(lentry!$B$3:$B$3999&lt;=feb!J$3)*(lentry!$C$3:$C$3999&gt;=feb!J$3)),lentry!$D$3:$D$3999),IF(WEEKDAY(feb!J$3,1)=1,"WO","P"))</f>
        <v>P</v>
      </c>
      <c r="K51" s="4" t="str">
        <f>IFERROR(LOOKUP(2,1/((lentry!$A$3:$A$3999=feb!$A51)*(lentry!$B$3:$B$3999&lt;=feb!K$3)*(lentry!$C$3:$C$3999&gt;=feb!K$3)),lentry!$D$3:$D$3999),IF(WEEKDAY(feb!K$3,1)=1,"WO","P"))</f>
        <v>P</v>
      </c>
      <c r="L51" s="4" t="str">
        <f>IFERROR(LOOKUP(2,1/((lentry!$A$3:$A$3999=feb!$A51)*(lentry!$B$3:$B$3999&lt;=feb!L$3)*(lentry!$C$3:$C$3999&gt;=feb!L$3)),lentry!$D$3:$D$3999),IF(WEEKDAY(feb!L$3,1)=1,"WO","P"))</f>
        <v>P</v>
      </c>
      <c r="M51" s="4" t="str">
        <f>IFERROR(LOOKUP(2,1/((lentry!$A$3:$A$3999=feb!$A51)*(lentry!$B$3:$B$3999&lt;=feb!M$3)*(lentry!$C$3:$C$3999&gt;=feb!M$3)),lentry!$D$3:$D$3999),IF(WEEKDAY(feb!M$3,1)=1,"WO","P"))</f>
        <v>WO</v>
      </c>
      <c r="N51" s="4" t="str">
        <f>IFERROR(LOOKUP(2,1/((lentry!$A$3:$A$3999=feb!$A51)*(lentry!$B$3:$B$3999&lt;=feb!N$3)*(lentry!$C$3:$C$3999&gt;=feb!N$3)),lentry!$D$3:$D$3999),IF(WEEKDAY(feb!N$3,1)=1,"WO","P"))</f>
        <v>P</v>
      </c>
      <c r="O51" s="4" t="str">
        <f>IFERROR(LOOKUP(2,1/((lentry!$A$3:$A$3999=feb!$A51)*(lentry!$B$3:$B$3999&lt;=feb!O$3)*(lentry!$C$3:$C$3999&gt;=feb!O$3)),lentry!$D$3:$D$3999),IF(WEEKDAY(feb!O$3,1)=1,"WO","P"))</f>
        <v>P</v>
      </c>
      <c r="P51" s="4" t="str">
        <f>IFERROR(LOOKUP(2,1/((lentry!$A$3:$A$3999=feb!$A51)*(lentry!$B$3:$B$3999&lt;=feb!P$3)*(lentry!$C$3:$C$3999&gt;=feb!P$3)),lentry!$D$3:$D$3999),IF(WEEKDAY(feb!P$3,1)=1,"WO","P"))</f>
        <v>P</v>
      </c>
      <c r="Q51" s="4" t="str">
        <f>IFERROR(LOOKUP(2,1/((lentry!$A$3:$A$3999=feb!$A51)*(lentry!$B$3:$B$3999&lt;=feb!Q$3)*(lentry!$C$3:$C$3999&gt;=feb!Q$3)),lentry!$D$3:$D$3999),IF(WEEKDAY(feb!Q$3,1)=1,"WO","P"))</f>
        <v>P</v>
      </c>
      <c r="R51" s="4" t="str">
        <f>IFERROR(LOOKUP(2,1/((lentry!$A$3:$A$3999=feb!$A51)*(lentry!$B$3:$B$3999&lt;=feb!R$3)*(lentry!$C$3:$C$3999&gt;=feb!R$3)),lentry!$D$3:$D$3999),IF(WEEKDAY(feb!R$3,1)=1,"WO","P"))</f>
        <v>P</v>
      </c>
      <c r="S51" s="4" t="str">
        <f>IFERROR(LOOKUP(2,1/((lentry!$A$3:$A$3999=feb!$A51)*(lentry!$B$3:$B$3999&lt;=feb!S$3)*(lentry!$C$3:$C$3999&gt;=feb!S$3)),lentry!$D$3:$D$3999),IF(WEEKDAY(feb!S$3,1)=1,"WO","P"))</f>
        <v>P</v>
      </c>
      <c r="T51" s="4" t="s">
        <v>350</v>
      </c>
      <c r="U51" s="4" t="str">
        <f>IFERROR(LOOKUP(2,1/((lentry!$A$3:$A$3999=feb!$A51)*(lentry!$B$3:$B$3999&lt;=feb!U$3)*(lentry!$C$3:$C$3999&gt;=feb!U$3)),lentry!$D$3:$D$3999),IF(WEEKDAY(feb!U$3,1)=1,"WO","P"))</f>
        <v>P</v>
      </c>
      <c r="V51" s="4" t="str">
        <f>IFERROR(LOOKUP(2,1/((lentry!$A$3:$A$3999=feb!$A51)*(lentry!$B$3:$B$3999&lt;=feb!V$3)*(lentry!$C$3:$C$3999&gt;=feb!V$3)),lentry!$D$3:$D$3999),IF(WEEKDAY(feb!V$3,1)=1,"WO","P"))</f>
        <v>P</v>
      </c>
      <c r="W51" s="4" t="str">
        <f>IFERROR(LOOKUP(2,1/((lentry!$A$3:$A$3999=feb!$A51)*(lentry!$B$3:$B$3999&lt;=feb!W$3)*(lentry!$C$3:$C$3999&gt;=feb!W$3)),lentry!$D$3:$D$3999),IF(WEEKDAY(feb!W$3,1)=1,"WO","P"))</f>
        <v>P</v>
      </c>
      <c r="X51" s="4" t="str">
        <f>IFERROR(LOOKUP(2,1/((lentry!$A$3:$A$3999=feb!$A51)*(lentry!$B$3:$B$3999&lt;=feb!X$3)*(lentry!$C$3:$C$3999&gt;=feb!X$3)),lentry!$D$3:$D$3999),IF(WEEKDAY(feb!X$3,1)=1,"WO","P"))</f>
        <v>P</v>
      </c>
      <c r="Y51" s="4" t="str">
        <f>IFERROR(LOOKUP(2,1/((lentry!$A$3:$A$3999=feb!$A51)*(lentry!$B$3:$B$3999&lt;=feb!Y$3)*(lentry!$C$3:$C$3999&gt;=feb!Y$3)),lentry!$D$3:$D$3999),IF(WEEKDAY(feb!Y$3,1)=1,"WO","P"))</f>
        <v>P</v>
      </c>
      <c r="Z51" s="4" t="str">
        <f>IFERROR(LOOKUP(2,1/((lentry!$A$3:$A$3999=feb!$A51)*(lentry!$B$3:$B$3999&lt;=feb!Z$3)*(lentry!$C$3:$C$3999&gt;=feb!Z$3)),lentry!$D$3:$D$3999),IF(WEEKDAY(feb!Z$3,1)=1,"WO","P"))</f>
        <v>P</v>
      </c>
      <c r="AA51" s="4" t="str">
        <f>IFERROR(LOOKUP(2,1/((lentry!$A$3:$A$3999=feb!$A51)*(lentry!$B$3:$B$3999&lt;=feb!AA$3)*(lentry!$C$3:$C$3999&gt;=feb!AA$3)),lentry!$D$3:$D$3999),IF(WEEKDAY(feb!AA$3,1)=1,"WO","P"))</f>
        <v>WO</v>
      </c>
      <c r="AB51" s="4" t="str">
        <f>IFERROR(LOOKUP(2,1/((lentry!$A$3:$A$3999=feb!$A51)*(lentry!$B$3:$B$3999&lt;=feb!AB$3)*(lentry!$C$3:$C$3999&gt;=feb!AB$3)),lentry!$D$3:$D$3999),IF(WEEKDAY(feb!AB$3,1)=1,"WO","P"))</f>
        <v>P</v>
      </c>
      <c r="AC51" s="4" t="str">
        <f>IFERROR(LOOKUP(2,1/((lentry!$A$3:$A$3999=feb!$A51)*(lentry!$B$3:$B$3999&lt;=feb!AC$3)*(lentry!$C$3:$C$3999&gt;=feb!AC$3)),lentry!$D$3:$D$3999),IF(WEEKDAY(feb!AC$3,1)=1,"WO","P"))</f>
        <v>P</v>
      </c>
      <c r="AD51" s="4" t="str">
        <f>IFERROR(LOOKUP(2,1/((lentry!$A$3:$A$3999=feb!$A51)*(lentry!$B$3:$B$3999&lt;=feb!AD$3)*(lentry!$C$3:$C$3999&gt;=feb!AD$3)),lentry!$D$3:$D$3999),IF(WEEKDAY(feb!AD$3,1)=1,"WO","P"))</f>
        <v>P</v>
      </c>
      <c r="AE51" s="4" t="str">
        <f>IFERROR(LOOKUP(2,1/((lentry!$A$3:$A$3999=feb!$A51)*(lentry!$B$3:$B$3999&lt;=feb!AE$3)*(lentry!$C$3:$C$3999&gt;=feb!AE$3)),lentry!$D$3:$D$3999),IF(WEEKDAY(feb!AE$3,1)=1,"WO","P"))</f>
        <v>P</v>
      </c>
      <c r="AF51" s="4" t="str">
        <f>IFERROR(LOOKUP(2,1/((lentry!$A$3:$A$3999=feb!$A51)*(lentry!$B$3:$B$3999&lt;=feb!AF$3)*(lentry!$C$3:$C$3999&gt;=feb!AF$3)),lentry!$D$3:$D$3999),IF(WEEKDAY(feb!AF$3,1)=1,"WO","P"))</f>
        <v>P</v>
      </c>
      <c r="AG51" s="4" t="str">
        <f>IFERROR(LOOKUP(2,1/((lentry!$A$3:$A$3999=feb!$A51)*(lentry!$B$3:$B$3999&lt;=feb!AG$3)*(lentry!$C$3:$C$3999&gt;=feb!AG$3)),lentry!$D$3:$D$3999),IF(WEEKDAY(feb!AG$3,1)=1,"WO","P"))</f>
        <v>P</v>
      </c>
      <c r="AH51" s="4">
        <f t="shared" si="3"/>
        <v>3</v>
      </c>
      <c r="AI51" s="4">
        <f t="shared" si="4"/>
        <v>1</v>
      </c>
      <c r="AJ51" s="4">
        <f t="shared" si="5"/>
        <v>0</v>
      </c>
      <c r="AK51" s="4">
        <f t="shared" si="6"/>
        <v>0</v>
      </c>
      <c r="AL51" s="4">
        <f t="shared" si="7"/>
        <v>0</v>
      </c>
      <c r="AM51" s="4">
        <f t="shared" si="8"/>
        <v>0</v>
      </c>
      <c r="AN51" s="4">
        <f t="shared" si="9"/>
        <v>0</v>
      </c>
      <c r="AO51" s="4">
        <f t="shared" si="10"/>
        <v>0</v>
      </c>
      <c r="AP51" s="4">
        <f t="shared" si="11"/>
        <v>24</v>
      </c>
      <c r="AQ51" s="4">
        <f t="shared" si="13"/>
        <v>28</v>
      </c>
      <c r="AR51" s="4">
        <f t="shared" si="12"/>
        <v>28</v>
      </c>
    </row>
    <row r="52" spans="1:44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IFERROR(LOOKUP(2,1/((lentry!$A$3:$A$3999=feb!$A52)*(lentry!$B$3:$B$3999&lt;=feb!F$3)*(lentry!$C$3:$C$3999&gt;=feb!F$3)),lentry!$D$3:$D$3999),IF(WEEKDAY(feb!F$3,1)=1,"WO","P"))</f>
        <v>WO</v>
      </c>
      <c r="G52" s="4" t="str">
        <f>IFERROR(LOOKUP(2,1/((lentry!$A$3:$A$3999=feb!$A52)*(lentry!$B$3:$B$3999&lt;=feb!G$3)*(lentry!$C$3:$C$3999&gt;=feb!G$3)),lentry!$D$3:$D$3999),IF(WEEKDAY(feb!G$3,1)=1,"WO","P"))</f>
        <v>P</v>
      </c>
      <c r="H52" s="4" t="str">
        <f>IFERROR(LOOKUP(2,1/((lentry!$A$3:$A$3999=feb!$A52)*(lentry!$B$3:$B$3999&lt;=feb!H$3)*(lentry!$C$3:$C$3999&gt;=feb!H$3)),lentry!$D$3:$D$3999),IF(WEEKDAY(feb!H$3,1)=1,"WO","P"))</f>
        <v>P</v>
      </c>
      <c r="I52" s="4" t="str">
        <f>IFERROR(LOOKUP(2,1/((lentry!$A$3:$A$3999=feb!$A52)*(lentry!$B$3:$B$3999&lt;=feb!I$3)*(lentry!$C$3:$C$3999&gt;=feb!I$3)),lentry!$D$3:$D$3999),IF(WEEKDAY(feb!I$3,1)=1,"WO","P"))</f>
        <v>P</v>
      </c>
      <c r="J52" s="4" t="str">
        <f>IFERROR(LOOKUP(2,1/((lentry!$A$3:$A$3999=feb!$A52)*(lentry!$B$3:$B$3999&lt;=feb!J$3)*(lentry!$C$3:$C$3999&gt;=feb!J$3)),lentry!$D$3:$D$3999),IF(WEEKDAY(feb!J$3,1)=1,"WO","P"))</f>
        <v>P</v>
      </c>
      <c r="K52" s="4" t="str">
        <f>IFERROR(LOOKUP(2,1/((lentry!$A$3:$A$3999=feb!$A52)*(lentry!$B$3:$B$3999&lt;=feb!K$3)*(lentry!$C$3:$C$3999&gt;=feb!K$3)),lentry!$D$3:$D$3999),IF(WEEKDAY(feb!K$3,1)=1,"WO","P"))</f>
        <v>P</v>
      </c>
      <c r="L52" s="4" t="str">
        <f>IFERROR(LOOKUP(2,1/((lentry!$A$3:$A$3999=feb!$A52)*(lentry!$B$3:$B$3999&lt;=feb!L$3)*(lentry!$C$3:$C$3999&gt;=feb!L$3)),lentry!$D$3:$D$3999),IF(WEEKDAY(feb!L$3,1)=1,"WO","P"))</f>
        <v>P</v>
      </c>
      <c r="M52" s="4" t="str">
        <f>IFERROR(LOOKUP(2,1/((lentry!$A$3:$A$3999=feb!$A52)*(lentry!$B$3:$B$3999&lt;=feb!M$3)*(lentry!$C$3:$C$3999&gt;=feb!M$3)),lentry!$D$3:$D$3999),IF(WEEKDAY(feb!M$3,1)=1,"WO","P"))</f>
        <v>WO</v>
      </c>
      <c r="N52" s="4" t="str">
        <f>IFERROR(LOOKUP(2,1/((lentry!$A$3:$A$3999=feb!$A52)*(lentry!$B$3:$B$3999&lt;=feb!N$3)*(lentry!$C$3:$C$3999&gt;=feb!N$3)),lentry!$D$3:$D$3999),IF(WEEKDAY(feb!N$3,1)=1,"WO","P"))</f>
        <v>P</v>
      </c>
      <c r="O52" s="4" t="str">
        <f>IFERROR(LOOKUP(2,1/((lentry!$A$3:$A$3999=feb!$A52)*(lentry!$B$3:$B$3999&lt;=feb!O$3)*(lentry!$C$3:$C$3999&gt;=feb!O$3)),lentry!$D$3:$D$3999),IF(WEEKDAY(feb!O$3,1)=1,"WO","P"))</f>
        <v>P</v>
      </c>
      <c r="P52" s="4" t="str">
        <f>IFERROR(LOOKUP(2,1/((lentry!$A$3:$A$3999=feb!$A52)*(lentry!$B$3:$B$3999&lt;=feb!P$3)*(lentry!$C$3:$C$3999&gt;=feb!P$3)),lentry!$D$3:$D$3999),IF(WEEKDAY(feb!P$3,1)=1,"WO","P"))</f>
        <v>P</v>
      </c>
      <c r="Q52" s="4" t="str">
        <f>IFERROR(LOOKUP(2,1/((lentry!$A$3:$A$3999=feb!$A52)*(lentry!$B$3:$B$3999&lt;=feb!Q$3)*(lentry!$C$3:$C$3999&gt;=feb!Q$3)),lentry!$D$3:$D$3999),IF(WEEKDAY(feb!Q$3,1)=1,"WO","P"))</f>
        <v>P</v>
      </c>
      <c r="R52" s="4" t="str">
        <f>IFERROR(LOOKUP(2,1/((lentry!$A$3:$A$3999=feb!$A52)*(lentry!$B$3:$B$3999&lt;=feb!R$3)*(lentry!$C$3:$C$3999&gt;=feb!R$3)),lentry!$D$3:$D$3999),IF(WEEKDAY(feb!R$3,1)=1,"WO","P"))</f>
        <v>P</v>
      </c>
      <c r="S52" s="4" t="str">
        <f>IFERROR(LOOKUP(2,1/((lentry!$A$3:$A$3999=feb!$A52)*(lentry!$B$3:$B$3999&lt;=feb!S$3)*(lentry!$C$3:$C$3999&gt;=feb!S$3)),lentry!$D$3:$D$3999),IF(WEEKDAY(feb!S$3,1)=1,"WO","P"))</f>
        <v>P</v>
      </c>
      <c r="T52" s="4" t="s">
        <v>350</v>
      </c>
      <c r="U52" s="4" t="str">
        <f>IFERROR(LOOKUP(2,1/((lentry!$A$3:$A$3999=feb!$A52)*(lentry!$B$3:$B$3999&lt;=feb!U$3)*(lentry!$C$3:$C$3999&gt;=feb!U$3)),lentry!$D$3:$D$3999),IF(WEEKDAY(feb!U$3,1)=1,"WO","P"))</f>
        <v>P</v>
      </c>
      <c r="V52" s="4" t="str">
        <f>IFERROR(LOOKUP(2,1/((lentry!$A$3:$A$3999=feb!$A52)*(lentry!$B$3:$B$3999&lt;=feb!V$3)*(lentry!$C$3:$C$3999&gt;=feb!V$3)),lentry!$D$3:$D$3999),IF(WEEKDAY(feb!V$3,1)=1,"WO","P"))</f>
        <v>P</v>
      </c>
      <c r="W52" s="4" t="str">
        <f>IFERROR(LOOKUP(2,1/((lentry!$A$3:$A$3999=feb!$A52)*(lentry!$B$3:$B$3999&lt;=feb!W$3)*(lentry!$C$3:$C$3999&gt;=feb!W$3)),lentry!$D$3:$D$3999),IF(WEEKDAY(feb!W$3,1)=1,"WO","P"))</f>
        <v>P</v>
      </c>
      <c r="X52" s="4" t="str">
        <f>IFERROR(LOOKUP(2,1/((lentry!$A$3:$A$3999=feb!$A52)*(lentry!$B$3:$B$3999&lt;=feb!X$3)*(lentry!$C$3:$C$3999&gt;=feb!X$3)),lentry!$D$3:$D$3999),IF(WEEKDAY(feb!X$3,1)=1,"WO","P"))</f>
        <v>P</v>
      </c>
      <c r="Y52" s="4" t="str">
        <f>IFERROR(LOOKUP(2,1/((lentry!$A$3:$A$3999=feb!$A52)*(lentry!$B$3:$B$3999&lt;=feb!Y$3)*(lentry!$C$3:$C$3999&gt;=feb!Y$3)),lentry!$D$3:$D$3999),IF(WEEKDAY(feb!Y$3,1)=1,"WO","P"))</f>
        <v>P</v>
      </c>
      <c r="Z52" s="4" t="str">
        <f>IFERROR(LOOKUP(2,1/((lentry!$A$3:$A$3999=feb!$A52)*(lentry!$B$3:$B$3999&lt;=feb!Z$3)*(lentry!$C$3:$C$3999&gt;=feb!Z$3)),lentry!$D$3:$D$3999),IF(WEEKDAY(feb!Z$3,1)=1,"WO","P"))</f>
        <v>P</v>
      </c>
      <c r="AA52" s="4" t="str">
        <f>IFERROR(LOOKUP(2,1/((lentry!$A$3:$A$3999=feb!$A52)*(lentry!$B$3:$B$3999&lt;=feb!AA$3)*(lentry!$C$3:$C$3999&gt;=feb!AA$3)),lentry!$D$3:$D$3999),IF(WEEKDAY(feb!AA$3,1)=1,"WO","P"))</f>
        <v>WO</v>
      </c>
      <c r="AB52" s="4" t="str">
        <f>IFERROR(LOOKUP(2,1/((lentry!$A$3:$A$3999=feb!$A52)*(lentry!$B$3:$B$3999&lt;=feb!AB$3)*(lentry!$C$3:$C$3999&gt;=feb!AB$3)),lentry!$D$3:$D$3999),IF(WEEKDAY(feb!AB$3,1)=1,"WO","P"))</f>
        <v>P</v>
      </c>
      <c r="AC52" s="4" t="str">
        <f>IFERROR(LOOKUP(2,1/((lentry!$A$3:$A$3999=feb!$A52)*(lentry!$B$3:$B$3999&lt;=feb!AC$3)*(lentry!$C$3:$C$3999&gt;=feb!AC$3)),lentry!$D$3:$D$3999),IF(WEEKDAY(feb!AC$3,1)=1,"WO","P"))</f>
        <v>P</v>
      </c>
      <c r="AD52" s="4" t="str">
        <f>IFERROR(LOOKUP(2,1/((lentry!$A$3:$A$3999=feb!$A52)*(lentry!$B$3:$B$3999&lt;=feb!AD$3)*(lentry!$C$3:$C$3999&gt;=feb!AD$3)),lentry!$D$3:$D$3999),IF(WEEKDAY(feb!AD$3,1)=1,"WO","P"))</f>
        <v>P</v>
      </c>
      <c r="AE52" s="4" t="str">
        <f>IFERROR(LOOKUP(2,1/((lentry!$A$3:$A$3999=feb!$A52)*(lentry!$B$3:$B$3999&lt;=feb!AE$3)*(lentry!$C$3:$C$3999&gt;=feb!AE$3)),lentry!$D$3:$D$3999),IF(WEEKDAY(feb!AE$3,1)=1,"WO","P"))</f>
        <v>P</v>
      </c>
      <c r="AF52" s="4" t="str">
        <f>IFERROR(LOOKUP(2,1/((lentry!$A$3:$A$3999=feb!$A52)*(lentry!$B$3:$B$3999&lt;=feb!AF$3)*(lentry!$C$3:$C$3999&gt;=feb!AF$3)),lentry!$D$3:$D$3999),IF(WEEKDAY(feb!AF$3,1)=1,"WO","P"))</f>
        <v>P</v>
      </c>
      <c r="AG52" s="4" t="str">
        <f>IFERROR(LOOKUP(2,1/((lentry!$A$3:$A$3999=feb!$A52)*(lentry!$B$3:$B$3999&lt;=feb!AG$3)*(lentry!$C$3:$C$3999&gt;=feb!AG$3)),lentry!$D$3:$D$3999),IF(WEEKDAY(feb!AG$3,1)=1,"WO","P"))</f>
        <v>P</v>
      </c>
      <c r="AH52" s="4">
        <f t="shared" si="3"/>
        <v>3</v>
      </c>
      <c r="AI52" s="4">
        <f t="shared" si="4"/>
        <v>1</v>
      </c>
      <c r="AJ52" s="4">
        <f t="shared" si="5"/>
        <v>0</v>
      </c>
      <c r="AK52" s="4">
        <f t="shared" si="6"/>
        <v>0</v>
      </c>
      <c r="AL52" s="4">
        <f t="shared" si="7"/>
        <v>0</v>
      </c>
      <c r="AM52" s="4">
        <f t="shared" si="8"/>
        <v>0</v>
      </c>
      <c r="AN52" s="4">
        <f t="shared" si="9"/>
        <v>0</v>
      </c>
      <c r="AO52" s="4">
        <f t="shared" si="10"/>
        <v>0</v>
      </c>
      <c r="AP52" s="4">
        <f t="shared" si="11"/>
        <v>24</v>
      </c>
      <c r="AQ52" s="4">
        <f t="shared" si="13"/>
        <v>28</v>
      </c>
      <c r="AR52" s="4">
        <f t="shared" si="12"/>
        <v>28</v>
      </c>
    </row>
    <row r="53" spans="1:44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IFERROR(LOOKUP(2,1/((lentry!$A$3:$A$3999=feb!$A53)*(lentry!$B$3:$B$3999&lt;=feb!F$3)*(lentry!$C$3:$C$3999&gt;=feb!F$3)),lentry!$D$3:$D$3999),IF(WEEKDAY(feb!F$3,1)=1,"WO","P"))</f>
        <v>WO</v>
      </c>
      <c r="G53" s="4" t="str">
        <f>IFERROR(LOOKUP(2,1/((lentry!$A$3:$A$3999=feb!$A53)*(lentry!$B$3:$B$3999&lt;=feb!G$3)*(lentry!$C$3:$C$3999&gt;=feb!G$3)),lentry!$D$3:$D$3999),IF(WEEKDAY(feb!G$3,1)=1,"WO","P"))</f>
        <v>P</v>
      </c>
      <c r="H53" s="4" t="str">
        <f>IFERROR(LOOKUP(2,1/((lentry!$A$3:$A$3999=feb!$A53)*(lentry!$B$3:$B$3999&lt;=feb!H$3)*(lentry!$C$3:$C$3999&gt;=feb!H$3)),lentry!$D$3:$D$3999),IF(WEEKDAY(feb!H$3,1)=1,"WO","P"))</f>
        <v>P</v>
      </c>
      <c r="I53" s="4" t="str">
        <f>IFERROR(LOOKUP(2,1/((lentry!$A$3:$A$3999=feb!$A53)*(lentry!$B$3:$B$3999&lt;=feb!I$3)*(lentry!$C$3:$C$3999&gt;=feb!I$3)),lentry!$D$3:$D$3999),IF(WEEKDAY(feb!I$3,1)=1,"WO","P"))</f>
        <v>P</v>
      </c>
      <c r="J53" s="4" t="str">
        <f>IFERROR(LOOKUP(2,1/((lentry!$A$3:$A$3999=feb!$A53)*(lentry!$B$3:$B$3999&lt;=feb!J$3)*(lentry!$C$3:$C$3999&gt;=feb!J$3)),lentry!$D$3:$D$3999),IF(WEEKDAY(feb!J$3,1)=1,"WO","P"))</f>
        <v>P</v>
      </c>
      <c r="K53" s="4" t="str">
        <f>IFERROR(LOOKUP(2,1/((lentry!$A$3:$A$3999=feb!$A53)*(lentry!$B$3:$B$3999&lt;=feb!K$3)*(lentry!$C$3:$C$3999&gt;=feb!K$3)),lentry!$D$3:$D$3999),IF(WEEKDAY(feb!K$3,1)=1,"WO","P"))</f>
        <v>P</v>
      </c>
      <c r="L53" s="4" t="str">
        <f>IFERROR(LOOKUP(2,1/((lentry!$A$3:$A$3999=feb!$A53)*(lentry!$B$3:$B$3999&lt;=feb!L$3)*(lentry!$C$3:$C$3999&gt;=feb!L$3)),lentry!$D$3:$D$3999),IF(WEEKDAY(feb!L$3,1)=1,"WO","P"))</f>
        <v>P</v>
      </c>
      <c r="M53" s="4" t="str">
        <f>IFERROR(LOOKUP(2,1/((lentry!$A$3:$A$3999=feb!$A53)*(lentry!$B$3:$B$3999&lt;=feb!M$3)*(lentry!$C$3:$C$3999&gt;=feb!M$3)),lentry!$D$3:$D$3999),IF(WEEKDAY(feb!M$3,1)=1,"WO","P"))</f>
        <v>WO</v>
      </c>
      <c r="N53" s="4" t="str">
        <f>IFERROR(LOOKUP(2,1/((lentry!$A$3:$A$3999=feb!$A53)*(lentry!$B$3:$B$3999&lt;=feb!N$3)*(lentry!$C$3:$C$3999&gt;=feb!N$3)),lentry!$D$3:$D$3999),IF(WEEKDAY(feb!N$3,1)=1,"WO","P"))</f>
        <v>P</v>
      </c>
      <c r="O53" s="4" t="str">
        <f>IFERROR(LOOKUP(2,1/((lentry!$A$3:$A$3999=feb!$A53)*(lentry!$B$3:$B$3999&lt;=feb!O$3)*(lentry!$C$3:$C$3999&gt;=feb!O$3)),lentry!$D$3:$D$3999),IF(WEEKDAY(feb!O$3,1)=1,"WO","P"))</f>
        <v>P</v>
      </c>
      <c r="P53" s="4" t="str">
        <f>IFERROR(LOOKUP(2,1/((lentry!$A$3:$A$3999=feb!$A53)*(lentry!$B$3:$B$3999&lt;=feb!P$3)*(lentry!$C$3:$C$3999&gt;=feb!P$3)),lentry!$D$3:$D$3999),IF(WEEKDAY(feb!P$3,1)=1,"WO","P"))</f>
        <v>P</v>
      </c>
      <c r="Q53" s="4" t="s">
        <v>539</v>
      </c>
      <c r="R53" s="4" t="str">
        <f>IFERROR(LOOKUP(2,1/((lentry!$A$3:$A$3999=feb!$A53)*(lentry!$B$3:$B$3999&lt;=feb!R$3)*(lentry!$C$3:$C$3999&gt;=feb!R$3)),lentry!$D$3:$D$3999),IF(WEEKDAY(feb!R$3,1)=1,"WO","P"))</f>
        <v>P</v>
      </c>
      <c r="S53" s="4" t="str">
        <f>IFERROR(LOOKUP(2,1/((lentry!$A$3:$A$3999=feb!$A53)*(lentry!$B$3:$B$3999&lt;=feb!S$3)*(lentry!$C$3:$C$3999&gt;=feb!S$3)),lentry!$D$3:$D$3999),IF(WEEKDAY(feb!S$3,1)=1,"WO","P"))</f>
        <v>P</v>
      </c>
      <c r="T53" s="4" t="s">
        <v>350</v>
      </c>
      <c r="U53" s="4" t="str">
        <f>IFERROR(LOOKUP(2,1/((lentry!$A$3:$A$3999=feb!$A53)*(lentry!$B$3:$B$3999&lt;=feb!U$3)*(lentry!$C$3:$C$3999&gt;=feb!U$3)),lentry!$D$3:$D$3999),IF(WEEKDAY(feb!U$3,1)=1,"WO","P"))</f>
        <v>P</v>
      </c>
      <c r="V53" s="4" t="str">
        <f>IFERROR(LOOKUP(2,1/((lentry!$A$3:$A$3999=feb!$A53)*(lentry!$B$3:$B$3999&lt;=feb!V$3)*(lentry!$C$3:$C$3999&gt;=feb!V$3)),lentry!$D$3:$D$3999),IF(WEEKDAY(feb!V$3,1)=1,"WO","P"))</f>
        <v>P</v>
      </c>
      <c r="W53" s="4" t="str">
        <f>IFERROR(LOOKUP(2,1/((lentry!$A$3:$A$3999=feb!$A53)*(lentry!$B$3:$B$3999&lt;=feb!W$3)*(lentry!$C$3:$C$3999&gt;=feb!W$3)),lentry!$D$3:$D$3999),IF(WEEKDAY(feb!W$3,1)=1,"WO","P"))</f>
        <v>P</v>
      </c>
      <c r="X53" s="4" t="str">
        <f>IFERROR(LOOKUP(2,1/((lentry!$A$3:$A$3999=feb!$A53)*(lentry!$B$3:$B$3999&lt;=feb!X$3)*(lentry!$C$3:$C$3999&gt;=feb!X$3)),lentry!$D$3:$D$3999),IF(WEEKDAY(feb!X$3,1)=1,"WO","P"))</f>
        <v>P</v>
      </c>
      <c r="Y53" s="4" t="str">
        <f>IFERROR(LOOKUP(2,1/((lentry!$A$3:$A$3999=feb!$A53)*(lentry!$B$3:$B$3999&lt;=feb!Y$3)*(lentry!$C$3:$C$3999&gt;=feb!Y$3)),lentry!$D$3:$D$3999),IF(WEEKDAY(feb!Y$3,1)=1,"WO","P"))</f>
        <v>P</v>
      </c>
      <c r="Z53" s="4" t="str">
        <f>IFERROR(LOOKUP(2,1/((lentry!$A$3:$A$3999=feb!$A53)*(lentry!$B$3:$B$3999&lt;=feb!Z$3)*(lentry!$C$3:$C$3999&gt;=feb!Z$3)),lentry!$D$3:$D$3999),IF(WEEKDAY(feb!Z$3,1)=1,"WO","P"))</f>
        <v>P</v>
      </c>
      <c r="AA53" s="4" t="str">
        <f>IFERROR(LOOKUP(2,1/((lentry!$A$3:$A$3999=feb!$A53)*(lentry!$B$3:$B$3999&lt;=feb!AA$3)*(lentry!$C$3:$C$3999&gt;=feb!AA$3)),lentry!$D$3:$D$3999),IF(WEEKDAY(feb!AA$3,1)=1,"WO","P"))</f>
        <v>WO</v>
      </c>
      <c r="AB53" s="4" t="str">
        <f>IFERROR(LOOKUP(2,1/((lentry!$A$3:$A$3999=feb!$A53)*(lentry!$B$3:$B$3999&lt;=feb!AB$3)*(lentry!$C$3:$C$3999&gt;=feb!AB$3)),lentry!$D$3:$D$3999),IF(WEEKDAY(feb!AB$3,1)=1,"WO","P"))</f>
        <v>P</v>
      </c>
      <c r="AC53" s="4" t="str">
        <f>IFERROR(LOOKUP(2,1/((lentry!$A$3:$A$3999=feb!$A53)*(lentry!$B$3:$B$3999&lt;=feb!AC$3)*(lentry!$C$3:$C$3999&gt;=feb!AC$3)),lentry!$D$3:$D$3999),IF(WEEKDAY(feb!AC$3,1)=1,"WO","P"))</f>
        <v>P</v>
      </c>
      <c r="AD53" s="4" t="str">
        <f>IFERROR(LOOKUP(2,1/((lentry!$A$3:$A$3999=feb!$A53)*(lentry!$B$3:$B$3999&lt;=feb!AD$3)*(lentry!$C$3:$C$3999&gt;=feb!AD$3)),lentry!$D$3:$D$3999),IF(WEEKDAY(feb!AD$3,1)=1,"WO","P"))</f>
        <v>P</v>
      </c>
      <c r="AE53" s="4" t="str">
        <f>IFERROR(LOOKUP(2,1/((lentry!$A$3:$A$3999=feb!$A53)*(lentry!$B$3:$B$3999&lt;=feb!AE$3)*(lentry!$C$3:$C$3999&gt;=feb!AE$3)),lentry!$D$3:$D$3999),IF(WEEKDAY(feb!AE$3,1)=1,"WO","P"))</f>
        <v>P</v>
      </c>
      <c r="AF53" s="4" t="str">
        <f>IFERROR(LOOKUP(2,1/((lentry!$A$3:$A$3999=feb!$A53)*(lentry!$B$3:$B$3999&lt;=feb!AF$3)*(lentry!$C$3:$C$3999&gt;=feb!AF$3)),lentry!$D$3:$D$3999),IF(WEEKDAY(feb!AF$3,1)=1,"WO","P"))</f>
        <v>P</v>
      </c>
      <c r="AG53" s="4" t="str">
        <f>IFERROR(LOOKUP(2,1/((lentry!$A$3:$A$3999=feb!$A53)*(lentry!$B$3:$B$3999&lt;=feb!AG$3)*(lentry!$C$3:$C$3999&gt;=feb!AG$3)),lentry!$D$3:$D$3999),IF(WEEKDAY(feb!AG$3,1)=1,"WO","P"))</f>
        <v>P</v>
      </c>
      <c r="AH53" s="4">
        <f t="shared" si="3"/>
        <v>3</v>
      </c>
      <c r="AI53" s="4">
        <f t="shared" si="4"/>
        <v>1</v>
      </c>
      <c r="AJ53" s="4">
        <f t="shared" si="5"/>
        <v>0</v>
      </c>
      <c r="AK53" s="4">
        <f t="shared" si="6"/>
        <v>0</v>
      </c>
      <c r="AL53" s="4">
        <f t="shared" si="7"/>
        <v>0</v>
      </c>
      <c r="AM53" s="4">
        <f t="shared" si="8"/>
        <v>0</v>
      </c>
      <c r="AN53" s="4">
        <f t="shared" si="9"/>
        <v>0</v>
      </c>
      <c r="AO53" s="4">
        <f t="shared" si="10"/>
        <v>1</v>
      </c>
      <c r="AP53" s="4">
        <f t="shared" si="11"/>
        <v>23</v>
      </c>
      <c r="AQ53" s="4">
        <f t="shared" si="13"/>
        <v>28</v>
      </c>
      <c r="AR53" s="4">
        <f t="shared" si="12"/>
        <v>27</v>
      </c>
    </row>
    <row r="54" spans="1:44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IFERROR(LOOKUP(2,1/((lentry!$A$3:$A$3999=feb!$A54)*(lentry!$B$3:$B$3999&lt;=feb!F$3)*(lentry!$C$3:$C$3999&gt;=feb!F$3)),lentry!$D$3:$D$3999),IF(WEEKDAY(feb!F$3,1)=1,"WO","P"))</f>
        <v>WO</v>
      </c>
      <c r="G54" s="4" t="str">
        <f>IFERROR(LOOKUP(2,1/((lentry!$A$3:$A$3999=feb!$A54)*(lentry!$B$3:$B$3999&lt;=feb!G$3)*(lentry!$C$3:$C$3999&gt;=feb!G$3)),lentry!$D$3:$D$3999),IF(WEEKDAY(feb!G$3,1)=1,"WO","P"))</f>
        <v>P</v>
      </c>
      <c r="H54" s="4" t="str">
        <f>IFERROR(LOOKUP(2,1/((lentry!$A$3:$A$3999=feb!$A54)*(lentry!$B$3:$B$3999&lt;=feb!H$3)*(lentry!$C$3:$C$3999&gt;=feb!H$3)),lentry!$D$3:$D$3999),IF(WEEKDAY(feb!H$3,1)=1,"WO","P"))</f>
        <v>P</v>
      </c>
      <c r="I54" s="4" t="str">
        <f>IFERROR(LOOKUP(2,1/((lentry!$A$3:$A$3999=feb!$A54)*(lentry!$B$3:$B$3999&lt;=feb!I$3)*(lentry!$C$3:$C$3999&gt;=feb!I$3)),lentry!$D$3:$D$3999),IF(WEEKDAY(feb!I$3,1)=1,"WO","P"))</f>
        <v>P</v>
      </c>
      <c r="J54" s="4" t="str">
        <f>IFERROR(LOOKUP(2,1/((lentry!$A$3:$A$3999=feb!$A54)*(lentry!$B$3:$B$3999&lt;=feb!J$3)*(lentry!$C$3:$C$3999&gt;=feb!J$3)),lentry!$D$3:$D$3999),IF(WEEKDAY(feb!J$3,1)=1,"WO","P"))</f>
        <v>P</v>
      </c>
      <c r="K54" s="4" t="str">
        <f>IFERROR(LOOKUP(2,1/((lentry!$A$3:$A$3999=feb!$A54)*(lentry!$B$3:$B$3999&lt;=feb!K$3)*(lentry!$C$3:$C$3999&gt;=feb!K$3)),lentry!$D$3:$D$3999),IF(WEEKDAY(feb!K$3,1)=1,"WO","P"))</f>
        <v>P</v>
      </c>
      <c r="L54" s="4" t="str">
        <f>IFERROR(LOOKUP(2,1/((lentry!$A$3:$A$3999=feb!$A54)*(lentry!$B$3:$B$3999&lt;=feb!L$3)*(lentry!$C$3:$C$3999&gt;=feb!L$3)),lentry!$D$3:$D$3999),IF(WEEKDAY(feb!L$3,1)=1,"WO","P"))</f>
        <v>CL</v>
      </c>
      <c r="M54" s="4" t="str">
        <f>IFERROR(LOOKUP(2,1/((lentry!$A$3:$A$3999=feb!$A54)*(lentry!$B$3:$B$3999&lt;=feb!M$3)*(lentry!$C$3:$C$3999&gt;=feb!M$3)),lentry!$D$3:$D$3999),IF(WEEKDAY(feb!M$3,1)=1,"WO","P"))</f>
        <v>WO</v>
      </c>
      <c r="N54" s="4" t="str">
        <f>IFERROR(LOOKUP(2,1/((lentry!$A$3:$A$3999=feb!$A54)*(lentry!$B$3:$B$3999&lt;=feb!N$3)*(lentry!$C$3:$C$3999&gt;=feb!N$3)),lentry!$D$3:$D$3999),IF(WEEKDAY(feb!N$3,1)=1,"WO","P"))</f>
        <v>P</v>
      </c>
      <c r="O54" s="4" t="str">
        <f>IFERROR(LOOKUP(2,1/((lentry!$A$3:$A$3999=feb!$A54)*(lentry!$B$3:$B$3999&lt;=feb!O$3)*(lentry!$C$3:$C$3999&gt;=feb!O$3)),lentry!$D$3:$D$3999),IF(WEEKDAY(feb!O$3,1)=1,"WO","P"))</f>
        <v>P</v>
      </c>
      <c r="P54" s="4" t="str">
        <f>IFERROR(LOOKUP(2,1/((lentry!$A$3:$A$3999=feb!$A54)*(lentry!$B$3:$B$3999&lt;=feb!P$3)*(lentry!$C$3:$C$3999&gt;=feb!P$3)),lentry!$D$3:$D$3999),IF(WEEKDAY(feb!P$3,1)=1,"WO","P"))</f>
        <v>P</v>
      </c>
      <c r="Q54" s="4" t="str">
        <f>IFERROR(LOOKUP(2,1/((lentry!$A$3:$A$3999=feb!$A54)*(lentry!$B$3:$B$3999&lt;=feb!Q$3)*(lentry!$C$3:$C$3999&gt;=feb!Q$3)),lentry!$D$3:$D$3999),IF(WEEKDAY(feb!Q$3,1)=1,"WO","P"))</f>
        <v>P</v>
      </c>
      <c r="R54" s="4" t="str">
        <f>IFERROR(LOOKUP(2,1/((lentry!$A$3:$A$3999=feb!$A54)*(lentry!$B$3:$B$3999&lt;=feb!R$3)*(lentry!$C$3:$C$3999&gt;=feb!R$3)),lentry!$D$3:$D$3999),IF(WEEKDAY(feb!R$3,1)=1,"WO","P"))</f>
        <v>P</v>
      </c>
      <c r="S54" s="4" t="str">
        <f>IFERROR(LOOKUP(2,1/((lentry!$A$3:$A$3999=feb!$A54)*(lentry!$B$3:$B$3999&lt;=feb!S$3)*(lentry!$C$3:$C$3999&gt;=feb!S$3)),lentry!$D$3:$D$3999),IF(WEEKDAY(feb!S$3,1)=1,"WO","P"))</f>
        <v>P</v>
      </c>
      <c r="T54" s="4" t="s">
        <v>350</v>
      </c>
      <c r="U54" s="4" t="str">
        <f>IFERROR(LOOKUP(2,1/((lentry!$A$3:$A$3999=feb!$A54)*(lentry!$B$3:$B$3999&lt;=feb!U$3)*(lentry!$C$3:$C$3999&gt;=feb!U$3)),lentry!$D$3:$D$3999),IF(WEEKDAY(feb!U$3,1)=1,"WO","P"))</f>
        <v>P</v>
      </c>
      <c r="V54" s="4" t="str">
        <f>IFERROR(LOOKUP(2,1/((lentry!$A$3:$A$3999=feb!$A54)*(lentry!$B$3:$B$3999&lt;=feb!V$3)*(lentry!$C$3:$C$3999&gt;=feb!V$3)),lentry!$D$3:$D$3999),IF(WEEKDAY(feb!V$3,1)=1,"WO","P"))</f>
        <v>P</v>
      </c>
      <c r="W54" s="4" t="str">
        <f>IFERROR(LOOKUP(2,1/((lentry!$A$3:$A$3999=feb!$A54)*(lentry!$B$3:$B$3999&lt;=feb!W$3)*(lentry!$C$3:$C$3999&gt;=feb!W$3)),lentry!$D$3:$D$3999),IF(WEEKDAY(feb!W$3,1)=1,"WO","P"))</f>
        <v>P</v>
      </c>
      <c r="X54" s="4" t="str">
        <f>IFERROR(LOOKUP(2,1/((lentry!$A$3:$A$3999=feb!$A54)*(lentry!$B$3:$B$3999&lt;=feb!X$3)*(lentry!$C$3:$C$3999&gt;=feb!X$3)),lentry!$D$3:$D$3999),IF(WEEKDAY(feb!X$3,1)=1,"WO","P"))</f>
        <v>P</v>
      </c>
      <c r="Y54" s="4" t="str">
        <f>IFERROR(LOOKUP(2,1/((lentry!$A$3:$A$3999=feb!$A54)*(lentry!$B$3:$B$3999&lt;=feb!Y$3)*(lentry!$C$3:$C$3999&gt;=feb!Y$3)),lentry!$D$3:$D$3999),IF(WEEKDAY(feb!Y$3,1)=1,"WO","P"))</f>
        <v>P</v>
      </c>
      <c r="Z54" s="4" t="str">
        <f>IFERROR(LOOKUP(2,1/((lentry!$A$3:$A$3999=feb!$A54)*(lentry!$B$3:$B$3999&lt;=feb!Z$3)*(lentry!$C$3:$C$3999&gt;=feb!Z$3)),lentry!$D$3:$D$3999),IF(WEEKDAY(feb!Z$3,1)=1,"WO","P"))</f>
        <v>P</v>
      </c>
      <c r="AA54" s="4" t="str">
        <f>IFERROR(LOOKUP(2,1/((lentry!$A$3:$A$3999=feb!$A54)*(lentry!$B$3:$B$3999&lt;=feb!AA$3)*(lentry!$C$3:$C$3999&gt;=feb!AA$3)),lentry!$D$3:$D$3999),IF(WEEKDAY(feb!AA$3,1)=1,"WO","P"))</f>
        <v>WO</v>
      </c>
      <c r="AB54" s="4" t="str">
        <f>IFERROR(LOOKUP(2,1/((lentry!$A$3:$A$3999=feb!$A54)*(lentry!$B$3:$B$3999&lt;=feb!AB$3)*(lentry!$C$3:$C$3999&gt;=feb!AB$3)),lentry!$D$3:$D$3999),IF(WEEKDAY(feb!AB$3,1)=1,"WO","P"))</f>
        <v>P</v>
      </c>
      <c r="AC54" s="4" t="str">
        <f>IFERROR(LOOKUP(2,1/((lentry!$A$3:$A$3999=feb!$A54)*(lentry!$B$3:$B$3999&lt;=feb!AC$3)*(lentry!$C$3:$C$3999&gt;=feb!AC$3)),lentry!$D$3:$D$3999),IF(WEEKDAY(feb!AC$3,1)=1,"WO","P"))</f>
        <v>P</v>
      </c>
      <c r="AD54" s="4" t="str">
        <f>IFERROR(LOOKUP(2,1/((lentry!$A$3:$A$3999=feb!$A54)*(lentry!$B$3:$B$3999&lt;=feb!AD$3)*(lentry!$C$3:$C$3999&gt;=feb!AD$3)),lentry!$D$3:$D$3999),IF(WEEKDAY(feb!AD$3,1)=1,"WO","P"))</f>
        <v>P</v>
      </c>
      <c r="AE54" s="4" t="str">
        <f>IFERROR(LOOKUP(2,1/((lentry!$A$3:$A$3999=feb!$A54)*(lentry!$B$3:$B$3999&lt;=feb!AE$3)*(lentry!$C$3:$C$3999&gt;=feb!AE$3)),lentry!$D$3:$D$3999),IF(WEEKDAY(feb!AE$3,1)=1,"WO","P"))</f>
        <v>P</v>
      </c>
      <c r="AF54" s="4" t="str">
        <f>IFERROR(LOOKUP(2,1/((lentry!$A$3:$A$3999=feb!$A54)*(lentry!$B$3:$B$3999&lt;=feb!AF$3)*(lentry!$C$3:$C$3999&gt;=feb!AF$3)),lentry!$D$3:$D$3999),IF(WEEKDAY(feb!AF$3,1)=1,"WO","P"))</f>
        <v>P</v>
      </c>
      <c r="AG54" s="4" t="str">
        <f>IFERROR(LOOKUP(2,1/((lentry!$A$3:$A$3999=feb!$A54)*(lentry!$B$3:$B$3999&lt;=feb!AG$3)*(lentry!$C$3:$C$3999&gt;=feb!AG$3)),lentry!$D$3:$D$3999),IF(WEEKDAY(feb!AG$3,1)=1,"WO","P"))</f>
        <v>P</v>
      </c>
      <c r="AH54" s="4">
        <f t="shared" si="3"/>
        <v>3</v>
      </c>
      <c r="AI54" s="4">
        <f t="shared" si="4"/>
        <v>1</v>
      </c>
      <c r="AJ54" s="4">
        <f t="shared" si="5"/>
        <v>0</v>
      </c>
      <c r="AK54" s="4">
        <f t="shared" si="6"/>
        <v>0</v>
      </c>
      <c r="AL54" s="4">
        <f t="shared" si="7"/>
        <v>0</v>
      </c>
      <c r="AM54" s="4">
        <f t="shared" si="8"/>
        <v>0</v>
      </c>
      <c r="AN54" s="4">
        <f t="shared" si="9"/>
        <v>1</v>
      </c>
      <c r="AO54" s="4">
        <f t="shared" si="10"/>
        <v>0</v>
      </c>
      <c r="AP54" s="4">
        <f t="shared" si="11"/>
        <v>23</v>
      </c>
      <c r="AQ54" s="4">
        <f t="shared" si="13"/>
        <v>28</v>
      </c>
      <c r="AR54" s="4">
        <f t="shared" si="12"/>
        <v>28</v>
      </c>
    </row>
  </sheetData>
  <mergeCells count="22">
    <mergeCell ref="AM3:AM4"/>
    <mergeCell ref="AH3:AH4"/>
    <mergeCell ref="AI3:AI4"/>
    <mergeCell ref="AJ3:AJ4"/>
    <mergeCell ref="AK3:AK4"/>
    <mergeCell ref="AL3:AL4"/>
    <mergeCell ref="A3:A4"/>
    <mergeCell ref="B3:B4"/>
    <mergeCell ref="C3:C4"/>
    <mergeCell ref="D3:D4"/>
    <mergeCell ref="A1:AR1"/>
    <mergeCell ref="A2:K2"/>
    <mergeCell ref="L2:O2"/>
    <mergeCell ref="P2:AA2"/>
    <mergeCell ref="AB2:AE2"/>
    <mergeCell ref="AF2:AR2"/>
    <mergeCell ref="E3:E4"/>
    <mergeCell ref="AO3:AO4"/>
    <mergeCell ref="AP3:AP4"/>
    <mergeCell ref="AQ3:AQ4"/>
    <mergeCell ref="AR3:AR4"/>
    <mergeCell ref="AN3:AN4"/>
  </mergeCells>
  <conditionalFormatting sqref="F5:AG54">
    <cfRule type="cellIs" dxfId="103" priority="1" operator="equal">
      <formula>"CL"</formula>
    </cfRule>
    <cfRule type="cellIs" dxfId="102" priority="2" operator="equal">
      <formula>"SL"</formula>
    </cfRule>
    <cfRule type="cellIs" dxfId="101" priority="4" operator="equal">
      <formula>"HD"</formula>
    </cfRule>
    <cfRule type="cellIs" dxfId="100" priority="5" operator="equal">
      <formula>"LWP"</formula>
    </cfRule>
    <cfRule type="cellIs" dxfId="99" priority="6" operator="equal">
      <formula>"PL"</formula>
    </cfRule>
    <cfRule type="cellIs" dxfId="98" priority="7" operator="equal">
      <formula>"H"</formula>
    </cfRule>
    <cfRule type="cellIs" dxfId="97" priority="8" operator="equal">
      <formula>"A"</formula>
    </cfRule>
    <cfRule type="cellIs" dxfId="96" priority="9" operator="equal">
      <formula>"P"</formula>
    </cfRule>
    <cfRule type="expression" dxfId="95" priority="10">
      <formula>F$4="Sun"</formula>
    </cfRule>
  </conditionalFormatting>
  <dataValidations count="1">
    <dataValidation type="list" allowBlank="1" showInputMessage="1" showErrorMessage="1" sqref="F5:AG54" xr:uid="{083B2DBF-B602-421F-928E-DD2203F017A9}">
      <formula1>"A,P,WO,H,PL,LWP,HD"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C698B-9DAB-4487-9DA3-9D65B25F41E5}">
  <sheetPr codeName="Sheet8"/>
  <dimension ref="A1:BZ55"/>
  <sheetViews>
    <sheetView zoomScale="130" zoomScaleNormal="130" workbookViewId="0">
      <pane xSplit="1" topLeftCell="B1" activePane="topRight" state="frozen"/>
      <selection pane="topRight" activeCell="K8" sqref="K8"/>
    </sheetView>
  </sheetViews>
  <sheetFormatPr defaultRowHeight="15" x14ac:dyDescent="0.25"/>
  <cols>
    <col min="1" max="1" width="10.140625" bestFit="1" customWidth="1"/>
    <col min="2" max="2" width="17.28515625" customWidth="1"/>
    <col min="3" max="3" width="10.42578125" customWidth="1"/>
    <col min="4" max="4" width="13.28515625" hidden="1" customWidth="1"/>
    <col min="5" max="5" width="21.42578125" hidden="1" customWidth="1"/>
    <col min="6" max="19" width="4.7109375" bestFit="1" customWidth="1"/>
    <col min="20" max="20" width="4.85546875" bestFit="1" customWidth="1"/>
    <col min="21" max="33" width="4.7109375" bestFit="1" customWidth="1"/>
    <col min="34" max="34" width="4.85546875" bestFit="1" customWidth="1"/>
    <col min="35" max="36" width="4.7109375" bestFit="1" customWidth="1"/>
    <col min="37" max="39" width="5.140625" customWidth="1"/>
    <col min="40" max="40" width="5.42578125" customWidth="1"/>
    <col min="41" max="47" width="5.140625" customWidth="1"/>
    <col min="48" max="48" width="3.85546875" customWidth="1"/>
    <col min="49" max="53" width="3" bestFit="1" customWidth="1"/>
    <col min="54" max="54" width="2.140625" customWidth="1"/>
    <col min="55" max="55" width="3.140625" customWidth="1"/>
    <col min="56" max="56" width="2.85546875" customWidth="1"/>
    <col min="57" max="57" width="2.42578125" customWidth="1"/>
    <col min="58" max="58" width="3" customWidth="1"/>
    <col min="59" max="59" width="2.7109375" customWidth="1"/>
    <col min="60" max="60" width="2.85546875" customWidth="1"/>
    <col min="61" max="61" width="2.42578125" customWidth="1"/>
    <col min="62" max="62" width="3.140625" customWidth="1"/>
    <col min="63" max="63" width="2.7109375" customWidth="1"/>
    <col min="64" max="64" width="2.28515625" customWidth="1"/>
    <col min="65" max="67" width="3" customWidth="1"/>
    <col min="68" max="69" width="3.28515625" customWidth="1"/>
    <col min="70" max="70" width="2.7109375" customWidth="1"/>
    <col min="71" max="71" width="3.28515625" customWidth="1"/>
    <col min="72" max="72" width="2.85546875" customWidth="1"/>
    <col min="73" max="73" width="3.5703125" customWidth="1"/>
    <col min="74" max="75" width="4.140625" bestFit="1" customWidth="1"/>
    <col min="76" max="76" width="5.5703125" bestFit="1" customWidth="1"/>
    <col min="77" max="78" width="4.140625" bestFit="1" customWidth="1"/>
  </cols>
  <sheetData>
    <row r="1" spans="1:78" ht="51" x14ac:dyDescent="0.25">
      <c r="A1" s="65" t="s">
        <v>336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</row>
    <row r="2" spans="1:78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Mar</v>
      </c>
      <c r="M2" s="67"/>
      <c r="N2" s="67"/>
      <c r="O2" s="67"/>
      <c r="P2" s="68">
        <f>DATE(2026,3,1)</f>
        <v>46082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70"/>
      <c r="AB2" s="71" t="s">
        <v>337</v>
      </c>
      <c r="AC2" s="71"/>
      <c r="AD2" s="71"/>
      <c r="AE2" s="71"/>
      <c r="AF2" s="72">
        <f>EOMONTH(P2,0)</f>
        <v>46112</v>
      </c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</row>
    <row r="3" spans="1:78" ht="18.75" x14ac:dyDescent="0.25">
      <c r="A3" s="74" t="s">
        <v>338</v>
      </c>
      <c r="B3" s="74" t="s">
        <v>339</v>
      </c>
      <c r="C3" s="74" t="s">
        <v>1</v>
      </c>
      <c r="D3" s="74" t="s">
        <v>340</v>
      </c>
      <c r="E3" s="74" t="s">
        <v>341</v>
      </c>
      <c r="F3" s="1">
        <f>P2</f>
        <v>46082</v>
      </c>
      <c r="G3" s="1">
        <f>IF(F3&lt;$AF$2,F3+1,"")</f>
        <v>46083</v>
      </c>
      <c r="H3" s="1">
        <f t="shared" ref="H3:AJ3" si="0">IF(G3&lt;$AF$2,G3+1,"")</f>
        <v>46084</v>
      </c>
      <c r="I3" s="1">
        <f t="shared" si="0"/>
        <v>46085</v>
      </c>
      <c r="J3" s="1">
        <f t="shared" si="0"/>
        <v>46086</v>
      </c>
      <c r="K3" s="1">
        <f t="shared" si="0"/>
        <v>46087</v>
      </c>
      <c r="L3" s="1">
        <f t="shared" si="0"/>
        <v>46088</v>
      </c>
      <c r="M3" s="1">
        <f t="shared" si="0"/>
        <v>46089</v>
      </c>
      <c r="N3" s="1">
        <f t="shared" si="0"/>
        <v>46090</v>
      </c>
      <c r="O3" s="1">
        <f t="shared" si="0"/>
        <v>46091</v>
      </c>
      <c r="P3" s="1">
        <f t="shared" si="0"/>
        <v>46092</v>
      </c>
      <c r="Q3" s="1">
        <f t="shared" si="0"/>
        <v>46093</v>
      </c>
      <c r="R3" s="1">
        <f t="shared" si="0"/>
        <v>46094</v>
      </c>
      <c r="S3" s="1">
        <f t="shared" si="0"/>
        <v>46095</v>
      </c>
      <c r="T3" s="1">
        <f t="shared" si="0"/>
        <v>46096</v>
      </c>
      <c r="U3" s="1">
        <f t="shared" si="0"/>
        <v>46097</v>
      </c>
      <c r="V3" s="1">
        <f t="shared" si="0"/>
        <v>46098</v>
      </c>
      <c r="W3" s="1">
        <f t="shared" si="0"/>
        <v>46099</v>
      </c>
      <c r="X3" s="1">
        <f t="shared" si="0"/>
        <v>46100</v>
      </c>
      <c r="Y3" s="1">
        <f t="shared" si="0"/>
        <v>46101</v>
      </c>
      <c r="Z3" s="1">
        <f t="shared" si="0"/>
        <v>46102</v>
      </c>
      <c r="AA3" s="1">
        <f t="shared" si="0"/>
        <v>46103</v>
      </c>
      <c r="AB3" s="1">
        <f t="shared" si="0"/>
        <v>46104</v>
      </c>
      <c r="AC3" s="1">
        <f t="shared" si="0"/>
        <v>46105</v>
      </c>
      <c r="AD3" s="1">
        <f t="shared" si="0"/>
        <v>46106</v>
      </c>
      <c r="AE3" s="1">
        <f t="shared" si="0"/>
        <v>46107</v>
      </c>
      <c r="AF3" s="1">
        <f t="shared" si="0"/>
        <v>46108</v>
      </c>
      <c r="AG3" s="1">
        <f t="shared" si="0"/>
        <v>46109</v>
      </c>
      <c r="AH3" s="1">
        <f t="shared" si="0"/>
        <v>46110</v>
      </c>
      <c r="AI3" s="1">
        <f t="shared" si="0"/>
        <v>46111</v>
      </c>
      <c r="AJ3" s="1">
        <f t="shared" si="0"/>
        <v>46112</v>
      </c>
      <c r="AK3" s="60" t="s">
        <v>342</v>
      </c>
      <c r="AL3" s="60" t="s">
        <v>343</v>
      </c>
      <c r="AM3" s="60" t="s">
        <v>344</v>
      </c>
      <c r="AN3" s="62" t="s">
        <v>84</v>
      </c>
      <c r="AO3" s="60" t="s">
        <v>345</v>
      </c>
      <c r="AP3" s="60" t="s">
        <v>351</v>
      </c>
      <c r="AQ3" s="60" t="s">
        <v>352</v>
      </c>
      <c r="AR3" s="60" t="s">
        <v>346</v>
      </c>
      <c r="AS3" s="60" t="s">
        <v>347</v>
      </c>
      <c r="AT3" s="60" t="s">
        <v>348</v>
      </c>
      <c r="AU3" s="60" t="s">
        <v>349</v>
      </c>
    </row>
    <row r="4" spans="1:78" ht="87" customHeight="1" x14ac:dyDescent="0.25">
      <c r="A4" s="75"/>
      <c r="B4" s="75"/>
      <c r="C4" s="75"/>
      <c r="D4" s="75"/>
      <c r="E4" s="75"/>
      <c r="F4" s="2" t="str">
        <f>TEXT(F3,"ddd")</f>
        <v>Sun</v>
      </c>
      <c r="G4" s="2" t="str">
        <f t="shared" ref="G4:AJ4" si="1">TEXT(G3,"ddd")</f>
        <v>Mon</v>
      </c>
      <c r="H4" s="2" t="str">
        <f t="shared" si="1"/>
        <v>Tue</v>
      </c>
      <c r="I4" s="2" t="str">
        <f t="shared" si="1"/>
        <v>Wed</v>
      </c>
      <c r="J4" s="2" t="str">
        <f t="shared" si="1"/>
        <v>Thu</v>
      </c>
      <c r="K4" s="2" t="str">
        <f t="shared" si="1"/>
        <v>Fri</v>
      </c>
      <c r="L4" s="2" t="str">
        <f t="shared" si="1"/>
        <v>Sat</v>
      </c>
      <c r="M4" s="2" t="str">
        <f t="shared" si="1"/>
        <v>Sun</v>
      </c>
      <c r="N4" s="2" t="str">
        <f t="shared" si="1"/>
        <v>Mon</v>
      </c>
      <c r="O4" s="2" t="str">
        <f t="shared" si="1"/>
        <v>Tue</v>
      </c>
      <c r="P4" s="2" t="str">
        <f t="shared" si="1"/>
        <v>Wed</v>
      </c>
      <c r="Q4" s="2" t="str">
        <f t="shared" si="1"/>
        <v>Thu</v>
      </c>
      <c r="R4" s="2" t="str">
        <f t="shared" si="1"/>
        <v>Fri</v>
      </c>
      <c r="S4" s="2" t="str">
        <f t="shared" si="1"/>
        <v>Sat</v>
      </c>
      <c r="T4" s="2" t="str">
        <f t="shared" si="1"/>
        <v>Sun</v>
      </c>
      <c r="U4" s="2" t="str">
        <f t="shared" si="1"/>
        <v>Mon</v>
      </c>
      <c r="V4" s="2" t="str">
        <f t="shared" si="1"/>
        <v>Tue</v>
      </c>
      <c r="W4" s="2" t="str">
        <f t="shared" si="1"/>
        <v>Wed</v>
      </c>
      <c r="X4" s="2" t="str">
        <f t="shared" si="1"/>
        <v>Thu</v>
      </c>
      <c r="Y4" s="2" t="str">
        <f t="shared" si="1"/>
        <v>Fri</v>
      </c>
      <c r="Z4" s="2" t="str">
        <f t="shared" si="1"/>
        <v>Sat</v>
      </c>
      <c r="AA4" s="2" t="str">
        <f t="shared" si="1"/>
        <v>Sun</v>
      </c>
      <c r="AB4" s="2" t="str">
        <f t="shared" si="1"/>
        <v>Mon</v>
      </c>
      <c r="AC4" s="2" t="str">
        <f t="shared" si="1"/>
        <v>Tue</v>
      </c>
      <c r="AD4" s="2" t="str">
        <f t="shared" si="1"/>
        <v>Wed</v>
      </c>
      <c r="AE4" s="2" t="str">
        <f t="shared" si="1"/>
        <v>Thu</v>
      </c>
      <c r="AF4" s="2" t="str">
        <f t="shared" si="1"/>
        <v>Fri</v>
      </c>
      <c r="AG4" s="2" t="str">
        <f t="shared" si="1"/>
        <v>Sat</v>
      </c>
      <c r="AH4" s="2" t="str">
        <f t="shared" si="1"/>
        <v>Sun</v>
      </c>
      <c r="AI4" s="2" t="str">
        <f t="shared" si="1"/>
        <v>Mon</v>
      </c>
      <c r="AJ4" s="2" t="str">
        <f t="shared" si="1"/>
        <v>Tue</v>
      </c>
      <c r="AK4" s="61"/>
      <c r="AL4" s="61"/>
      <c r="AM4" s="61"/>
      <c r="AN4" s="63"/>
      <c r="AO4" s="61"/>
      <c r="AP4" s="64"/>
      <c r="AQ4" s="64"/>
      <c r="AR4" s="61"/>
      <c r="AS4" s="61"/>
      <c r="AT4" s="61"/>
      <c r="AU4" s="61"/>
    </row>
    <row r="5" spans="1:78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IFERROR(LOOKUP(2,1/((#REF!=mar!$A5)*(#REF!&lt;=mar!F$3)*(#REF!&gt;=mar!F$3)),#REF!),IF(WEEKDAY(mar!F$3,1)=1,"WO","P"))</f>
        <v>WO</v>
      </c>
      <c r="G5" s="4" t="s">
        <v>539</v>
      </c>
      <c r="H5" s="4" t="str">
        <f>IFERROR(LOOKUP(2,1/((#REF!=mar!$A5)*(#REF!&lt;=mar!H$3)*(#REF!&gt;=mar!H$3)),#REF!),IF(WEEKDAY(mar!H$3,1)=1,"WO","P"))</f>
        <v>P</v>
      </c>
      <c r="I5" s="4" t="s">
        <v>350</v>
      </c>
      <c r="J5" s="4" t="str">
        <f>IFERROR(LOOKUP(2,1/((#REF!=mar!$A5)*(#REF!&lt;=mar!J$3)*(#REF!&gt;=mar!J$3)),#REF!),IF(WEEKDAY(mar!J$3,1)=1,"WO","P"))</f>
        <v>P</v>
      </c>
      <c r="K5" s="4" t="str">
        <f>IFERROR(LOOKUP(2,1/((#REF!=mar!$A5)*(#REF!&lt;=mar!K$3)*(#REF!&gt;=mar!K$3)),#REF!),IF(WEEKDAY(mar!K$3,1)=1,"WO","P"))</f>
        <v>P</v>
      </c>
      <c r="L5" s="4" t="str">
        <f>IFERROR(LOOKUP(2,1/((#REF!=mar!$A5)*(#REF!&lt;=mar!L$3)*(#REF!&gt;=mar!L$3)),#REF!),IF(WEEKDAY(mar!L$3,1)=1,"WO","P"))</f>
        <v>P</v>
      </c>
      <c r="M5" s="4" t="str">
        <f>IFERROR(LOOKUP(2,1/((#REF!=mar!$A5)*(#REF!&lt;=mar!M$3)*(#REF!&gt;=mar!M$3)),#REF!),IF(WEEKDAY(mar!M$3,1)=1,"WO","P"))</f>
        <v>WO</v>
      </c>
      <c r="N5" s="4" t="str">
        <f>IFERROR(LOOKUP(2,1/((#REF!=mar!$A5)*(#REF!&lt;=mar!N$3)*(#REF!&gt;=mar!N$3)),#REF!),IF(WEEKDAY(mar!N$3,1)=1,"WO","P"))</f>
        <v>P</v>
      </c>
      <c r="O5" s="4" t="str">
        <f>IFERROR(LOOKUP(2,1/((#REF!=mar!$A5)*(#REF!&lt;=mar!O$3)*(#REF!&gt;=mar!O$3)),#REF!),IF(WEEKDAY(mar!O$3,1)=1,"WO","P"))</f>
        <v>P</v>
      </c>
      <c r="P5" s="4" t="str">
        <f>IFERROR(LOOKUP(2,1/((#REF!=mar!$A5)*(#REF!&lt;=mar!P$3)*(#REF!&gt;=mar!P$3)),#REF!),IF(WEEKDAY(mar!P$3,1)=1,"WO","P"))</f>
        <v>P</v>
      </c>
      <c r="Q5" s="4" t="str">
        <f>IFERROR(LOOKUP(2,1/((#REF!=mar!$A5)*(#REF!&lt;=mar!Q$3)*(#REF!&gt;=mar!Q$3)),#REF!),IF(WEEKDAY(mar!Q$3,1)=1,"WO","P"))</f>
        <v>P</v>
      </c>
      <c r="R5" s="4" t="str">
        <f>IFERROR(LOOKUP(2,1/((#REF!=mar!$A5)*(#REF!&lt;=mar!R$3)*(#REF!&gt;=mar!R$3)),#REF!),IF(WEEKDAY(mar!R$3,1)=1,"WO","P"))</f>
        <v>P</v>
      </c>
      <c r="S5" s="4" t="str">
        <f>IFERROR(LOOKUP(2,1/((#REF!=mar!$A5)*(#REF!&lt;=mar!S$3)*(#REF!&gt;=mar!S$3)),#REF!),IF(WEEKDAY(mar!S$3,1)=1,"WO","P"))</f>
        <v>P</v>
      </c>
      <c r="T5" s="4" t="str">
        <f>IFERROR(LOOKUP(2,1/((#REF!=mar!$A5)*(#REF!&lt;=mar!T$3)*(#REF!&gt;=mar!T$3)),#REF!),IF(WEEKDAY(mar!T$3,1)=1,"WO","P"))</f>
        <v>WO</v>
      </c>
      <c r="U5" s="4" t="str">
        <f>IFERROR(LOOKUP(2,1/((#REF!=mar!$A5)*(#REF!&lt;=mar!U$3)*(#REF!&gt;=mar!U$3)),#REF!),IF(WEEKDAY(mar!U$3,1)=1,"WO","P"))</f>
        <v>P</v>
      </c>
      <c r="V5" s="4" t="str">
        <f>IFERROR(LOOKUP(2,1/((#REF!=mar!$A5)*(#REF!&lt;=mar!V$3)*(#REF!&gt;=mar!V$3)),#REF!),IF(WEEKDAY(mar!V$3,1)=1,"WO","P"))</f>
        <v>P</v>
      </c>
      <c r="W5" s="4" t="s">
        <v>539</v>
      </c>
      <c r="X5" s="4" t="str">
        <f>IFERROR(LOOKUP(2,1/((#REF!=mar!$A5)*(#REF!&lt;=mar!X$3)*(#REF!&gt;=mar!X$3)),#REF!),IF(WEEKDAY(mar!X$3,1)=1,"WO","P"))</f>
        <v>P</v>
      </c>
      <c r="Y5" s="4" t="str">
        <f>IFERROR(LOOKUP(2,1/((#REF!=mar!$A5)*(#REF!&lt;=mar!Y$3)*(#REF!&gt;=mar!Y$3)),#REF!),IF(WEEKDAY(mar!Y$3,1)=1,"WO","P"))</f>
        <v>P</v>
      </c>
      <c r="Z5" s="4" t="s">
        <v>350</v>
      </c>
      <c r="AA5" s="4" t="str">
        <f>IFERROR(LOOKUP(2,1/((#REF!=mar!$A5)*(#REF!&lt;=mar!AA$3)*(#REF!&gt;=mar!AA$3)),#REF!),IF(WEEKDAY(mar!AA$3,1)=1,"WO","P"))</f>
        <v>WO</v>
      </c>
      <c r="AB5" s="4" t="str">
        <f>IFERROR(LOOKUP(2,1/((#REF!=mar!$A5)*(#REF!&lt;=mar!AB$3)*(#REF!&gt;=mar!AB$3)),#REF!),IF(WEEKDAY(mar!AB$3,1)=1,"WO","P"))</f>
        <v>P</v>
      </c>
      <c r="AC5" s="4" t="str">
        <f>IFERROR(LOOKUP(2,1/((#REF!=mar!$A5)*(#REF!&lt;=mar!AC$3)*(#REF!&gt;=mar!AC$3)),#REF!),IF(WEEKDAY(mar!AC$3,1)=1,"WO","P"))</f>
        <v>P</v>
      </c>
      <c r="AD5" s="4" t="str">
        <f>IFERROR(LOOKUP(2,1/((#REF!=mar!$A5)*(#REF!&lt;=mar!AD$3)*(#REF!&gt;=mar!AD$3)),#REF!),IF(WEEKDAY(mar!AD$3,1)=1,"WO","P"))</f>
        <v>P</v>
      </c>
      <c r="AE5" s="4" t="str">
        <f>IFERROR(LOOKUP(2,1/((#REF!=mar!$A5)*(#REF!&lt;=mar!AE$3)*(#REF!&gt;=mar!AE$3)),#REF!),IF(WEEKDAY(mar!AE$3,1)=1,"WO","P"))</f>
        <v>P</v>
      </c>
      <c r="AF5" s="4" t="str">
        <f>IFERROR(LOOKUP(2,1/((#REF!=mar!$A5)*(#REF!&lt;=mar!AF$3)*(#REF!&gt;=mar!AF$3)),#REF!),IF(WEEKDAY(mar!AF$3,1)=1,"WO","P"))</f>
        <v>P</v>
      </c>
      <c r="AG5" s="4" t="str">
        <f>IFERROR(LOOKUP(2,1/((#REF!=mar!$A5)*(#REF!&lt;=mar!AG$3)*(#REF!&gt;=mar!AG$3)),#REF!),IF(WEEKDAY(mar!AG$3,1)=1,"WO","P"))</f>
        <v>P</v>
      </c>
      <c r="AH5" s="4" t="str">
        <f>IFERROR(LOOKUP(2,1/((#REF!=mar!$A5)*(#REF!&lt;=mar!AH$3)*(#REF!&gt;=mar!AH$3)),#REF!),IF(WEEKDAY(mar!AH$3,1)=1,"WO","P"))</f>
        <v>WO</v>
      </c>
      <c r="AI5" s="4" t="str">
        <f>IFERROR(LOOKUP(2,1/((#REF!=mar!$A5)*(#REF!&lt;=mar!AI$3)*(#REF!&gt;=mar!AI$3)),#REF!),IF(WEEKDAY(mar!AI$3,1)=1,"WO","P"))</f>
        <v>P</v>
      </c>
      <c r="AJ5" s="4" t="str">
        <f>IFERROR(LOOKUP(2,1/((#REF!=mar!$A5)*(#REF!&lt;=mar!AJ$3)*(#REF!&gt;=mar!AJ$3)),#REF!),IF(WEEKDAY(mar!AJ$3,1)=1,"WO","P"))</f>
        <v>P</v>
      </c>
      <c r="AK5" s="4">
        <f>COUNTIF(mar!$F5:$AJ5,"WO")</f>
        <v>5</v>
      </c>
      <c r="AL5" s="4">
        <f>COUNTIF(mar!$F5:$AJ5,"H")</f>
        <v>2</v>
      </c>
      <c r="AM5" s="4">
        <f>COUNTIF(mar!$F5:$AJ5,"pl")</f>
        <v>0</v>
      </c>
      <c r="AN5" s="4">
        <f>COUNTIF(mar!$F5:$AJ5,"LWP")</f>
        <v>0</v>
      </c>
      <c r="AO5" s="4">
        <f>COUNTIF(mar!$F5:$AJ5,"HD")</f>
        <v>0</v>
      </c>
      <c r="AP5" s="4">
        <f>COUNTIF(mar!$F5:$AJ5,"SL")</f>
        <v>0</v>
      </c>
      <c r="AQ5" s="4">
        <f>COUNTIF(mar!$F5:$AJ5,"CL")</f>
        <v>0</v>
      </c>
      <c r="AR5" s="4">
        <f>COUNTIF(mar!$F5:$AJ5,"A")</f>
        <v>2</v>
      </c>
      <c r="AS5" s="4">
        <f>COUNTIF(mar!$F5:$AJ5,"P")</f>
        <v>22</v>
      </c>
      <c r="AT5" s="4">
        <f>COUNTA($F5:$AJ5)</f>
        <v>31</v>
      </c>
      <c r="AU5" s="4">
        <f>AK5+AL5+AM5+AP5+AQ5+AS5+(AO5/2)</f>
        <v>29</v>
      </c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</row>
    <row r="6" spans="1:78" ht="18.75" x14ac:dyDescent="0.3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IFERROR(LOOKUP(2,1/((#REF!=mar!$A6)*(#REF!&lt;=mar!F$3)*(#REF!&gt;=mar!F$3)),#REF!),IF(WEEKDAY(mar!F$3,1)=1,"WO","P"))</f>
        <v>WO</v>
      </c>
      <c r="G6" s="4" t="str">
        <f>IFERROR(LOOKUP(2,1/((#REF!=mar!$A6)*(#REF!&lt;=mar!G$3)*(#REF!&gt;=mar!G$3)),#REF!),IF(WEEKDAY(mar!G$3,1)=1,"WO","P"))</f>
        <v>P</v>
      </c>
      <c r="H6" s="4" t="str">
        <f>IFERROR(LOOKUP(2,1/((#REF!=mar!$A6)*(#REF!&lt;=mar!H$3)*(#REF!&gt;=mar!H$3)),#REF!),IF(WEEKDAY(mar!H$3,1)=1,"WO","P"))</f>
        <v>P</v>
      </c>
      <c r="I6" s="4" t="s">
        <v>350</v>
      </c>
      <c r="J6" s="4" t="str">
        <f>IFERROR(LOOKUP(2,1/((#REF!=mar!$A6)*(#REF!&lt;=mar!J$3)*(#REF!&gt;=mar!J$3)),#REF!),IF(WEEKDAY(mar!J$3,1)=1,"WO","P"))</f>
        <v>P</v>
      </c>
      <c r="K6" s="4" t="str">
        <f>IFERROR(LOOKUP(2,1/((#REF!=mar!$A6)*(#REF!&lt;=mar!K$3)*(#REF!&gt;=mar!K$3)),#REF!),IF(WEEKDAY(mar!K$3,1)=1,"WO","P"))</f>
        <v>P</v>
      </c>
      <c r="L6" s="4" t="str">
        <f>IFERROR(LOOKUP(2,1/((#REF!=mar!$A6)*(#REF!&lt;=mar!L$3)*(#REF!&gt;=mar!L$3)),#REF!),IF(WEEKDAY(mar!L$3,1)=1,"WO","P"))</f>
        <v>P</v>
      </c>
      <c r="M6" s="4" t="str">
        <f>IFERROR(LOOKUP(2,1/((#REF!=mar!$A6)*(#REF!&lt;=mar!M$3)*(#REF!&gt;=mar!M$3)),#REF!),IF(WEEKDAY(mar!M$3,1)=1,"WO","P"))</f>
        <v>WO</v>
      </c>
      <c r="N6" s="4" t="str">
        <f>IFERROR(LOOKUP(2,1/((#REF!=mar!$A6)*(#REF!&lt;=mar!N$3)*(#REF!&gt;=mar!N$3)),#REF!),IF(WEEKDAY(mar!N$3,1)=1,"WO","P"))</f>
        <v>P</v>
      </c>
      <c r="O6" s="4" t="str">
        <f>IFERROR(LOOKUP(2,1/((#REF!=mar!$A6)*(#REF!&lt;=mar!O$3)*(#REF!&gt;=mar!O$3)),#REF!),IF(WEEKDAY(mar!O$3,1)=1,"WO","P"))</f>
        <v>P</v>
      </c>
      <c r="P6" s="4" t="str">
        <f>IFERROR(LOOKUP(2,1/((#REF!=mar!$A6)*(#REF!&lt;=mar!P$3)*(#REF!&gt;=mar!P$3)),#REF!),IF(WEEKDAY(mar!P$3,1)=1,"WO","P"))</f>
        <v>P</v>
      </c>
      <c r="Q6" s="4" t="str">
        <f>IFERROR(LOOKUP(2,1/((#REF!=mar!$A6)*(#REF!&lt;=mar!Q$3)*(#REF!&gt;=mar!Q$3)),#REF!),IF(WEEKDAY(mar!Q$3,1)=1,"WO","P"))</f>
        <v>P</v>
      </c>
      <c r="R6" s="4" t="str">
        <f>IFERROR(LOOKUP(2,1/((#REF!=mar!$A6)*(#REF!&lt;=mar!R$3)*(#REF!&gt;=mar!R$3)),#REF!),IF(WEEKDAY(mar!R$3,1)=1,"WO","P"))</f>
        <v>P</v>
      </c>
      <c r="S6" s="4" t="str">
        <f>IFERROR(LOOKUP(2,1/((#REF!=mar!$A6)*(#REF!&lt;=mar!S$3)*(#REF!&gt;=mar!S$3)),#REF!),IF(WEEKDAY(mar!S$3,1)=1,"WO","P"))</f>
        <v>P</v>
      </c>
      <c r="T6" s="4" t="str">
        <f>IFERROR(LOOKUP(2,1/((#REF!=mar!$A6)*(#REF!&lt;=mar!T$3)*(#REF!&gt;=mar!T$3)),#REF!),IF(WEEKDAY(mar!T$3,1)=1,"WO","P"))</f>
        <v>WO</v>
      </c>
      <c r="U6" s="4" t="str">
        <f>IFERROR(LOOKUP(2,1/((#REF!=mar!$A6)*(#REF!&lt;=mar!U$3)*(#REF!&gt;=mar!U$3)),#REF!),IF(WEEKDAY(mar!U$3,1)=1,"WO","P"))</f>
        <v>P</v>
      </c>
      <c r="V6" s="4" t="str">
        <f>IFERROR(LOOKUP(2,1/((#REF!=mar!$A6)*(#REF!&lt;=mar!V$3)*(#REF!&gt;=mar!V$3)),#REF!),IF(WEEKDAY(mar!V$3,1)=1,"WO","P"))</f>
        <v>P</v>
      </c>
      <c r="W6" s="4" t="str">
        <f>IFERROR(LOOKUP(2,1/((#REF!=mar!$A6)*(#REF!&lt;=mar!W$3)*(#REF!&gt;=mar!W$3)),#REF!),IF(WEEKDAY(mar!W$3,1)=1,"WO","P"))</f>
        <v>P</v>
      </c>
      <c r="X6" s="4" t="str">
        <f>IFERROR(LOOKUP(2,1/((#REF!=mar!$A6)*(#REF!&lt;=mar!X$3)*(#REF!&gt;=mar!X$3)),#REF!),IF(WEEKDAY(mar!X$3,1)=1,"WO","P"))</f>
        <v>P</v>
      </c>
      <c r="Y6" s="4" t="str">
        <f>IFERROR(LOOKUP(2,1/((#REF!=mar!$A6)*(#REF!&lt;=mar!Y$3)*(#REF!&gt;=mar!Y$3)),#REF!),IF(WEEKDAY(mar!Y$3,1)=1,"WO","P"))</f>
        <v>P</v>
      </c>
      <c r="Z6" s="4" t="s">
        <v>350</v>
      </c>
      <c r="AA6" s="4" t="str">
        <f>IFERROR(LOOKUP(2,1/((#REF!=mar!$A6)*(#REF!&lt;=mar!AA$3)*(#REF!&gt;=mar!AA$3)),#REF!),IF(WEEKDAY(mar!AA$3,1)=1,"WO","P"))</f>
        <v>WO</v>
      </c>
      <c r="AB6" s="4" t="str">
        <f>IFERROR(LOOKUP(2,1/((#REF!=mar!$A6)*(#REF!&lt;=mar!AB$3)*(#REF!&gt;=mar!AB$3)),#REF!),IF(WEEKDAY(mar!AB$3,1)=1,"WO","P"))</f>
        <v>P</v>
      </c>
      <c r="AC6" s="4" t="str">
        <f>IFERROR(LOOKUP(2,1/((#REF!=mar!$A6)*(#REF!&lt;=mar!AC$3)*(#REF!&gt;=mar!AC$3)),#REF!),IF(WEEKDAY(mar!AC$3,1)=1,"WO","P"))</f>
        <v>P</v>
      </c>
      <c r="AD6" s="4" t="str">
        <f>IFERROR(LOOKUP(2,1/((#REF!=mar!$A6)*(#REF!&lt;=mar!AD$3)*(#REF!&gt;=mar!AD$3)),#REF!),IF(WEEKDAY(mar!AD$3,1)=1,"WO","P"))</f>
        <v>P</v>
      </c>
      <c r="AE6" s="4" t="str">
        <f>IFERROR(LOOKUP(2,1/((#REF!=mar!$A6)*(#REF!&lt;=mar!AE$3)*(#REF!&gt;=mar!AE$3)),#REF!),IF(WEEKDAY(mar!AE$3,1)=1,"WO","P"))</f>
        <v>P</v>
      </c>
      <c r="AF6" s="4" t="str">
        <f>IFERROR(LOOKUP(2,1/((#REF!=mar!$A6)*(#REF!&lt;=mar!AF$3)*(#REF!&gt;=mar!AF$3)),#REF!),IF(WEEKDAY(mar!AF$3,1)=1,"WO","P"))</f>
        <v>P</v>
      </c>
      <c r="AG6" s="4" t="str">
        <f>IFERROR(LOOKUP(2,1/((#REF!=mar!$A6)*(#REF!&lt;=mar!AG$3)*(#REF!&gt;=mar!AG$3)),#REF!),IF(WEEKDAY(mar!AG$3,1)=1,"WO","P"))</f>
        <v>P</v>
      </c>
      <c r="AH6" s="4" t="str">
        <f>IFERROR(LOOKUP(2,1/((#REF!=mar!$A6)*(#REF!&lt;=mar!AH$3)*(#REF!&gt;=mar!AH$3)),#REF!),IF(WEEKDAY(mar!AH$3,1)=1,"WO","P"))</f>
        <v>WO</v>
      </c>
      <c r="AI6" s="4" t="str">
        <f>IFERROR(LOOKUP(2,1/((#REF!=mar!$A6)*(#REF!&lt;=mar!AI$3)*(#REF!&gt;=mar!AI$3)),#REF!),IF(WEEKDAY(mar!AI$3,1)=1,"WO","P"))</f>
        <v>P</v>
      </c>
      <c r="AJ6" s="4" t="str">
        <f>IFERROR(LOOKUP(2,1/((#REF!=mar!$A6)*(#REF!&lt;=mar!AJ$3)*(#REF!&gt;=mar!AJ$3)),#REF!),IF(WEEKDAY(mar!AJ$3,1)=1,"WO","P"))</f>
        <v>P</v>
      </c>
      <c r="AK6" s="4">
        <f>COUNTIF(mar!$F6:$AJ6,"WO")</f>
        <v>5</v>
      </c>
      <c r="AL6" s="4">
        <f>COUNTIF(mar!$F6:$AJ6,"H")</f>
        <v>2</v>
      </c>
      <c r="AM6" s="4">
        <f>COUNTIF(mar!$F6:$AJ6,"pl")</f>
        <v>0</v>
      </c>
      <c r="AN6" s="4">
        <f>COUNTIF(mar!$F6:$AJ6,"LWP")</f>
        <v>0</v>
      </c>
      <c r="AO6" s="4">
        <f>COUNTIF(mar!$F6:$AJ6,"HD")</f>
        <v>0</v>
      </c>
      <c r="AP6" s="4">
        <f>COUNTIF(mar!$F6:$AJ6,"SL")</f>
        <v>0</v>
      </c>
      <c r="AQ6" s="4">
        <f>COUNTIF(mar!$F6:$AJ6,"CL")</f>
        <v>0</v>
      </c>
      <c r="AR6" s="4">
        <f>COUNTIF(mar!$F6:$AJ6,"A")</f>
        <v>0</v>
      </c>
      <c r="AS6" s="4">
        <f>COUNTIF(mar!$F6:$AJ6,"P")</f>
        <v>24</v>
      </c>
      <c r="AT6" s="4">
        <f t="shared" ref="AT6:AT54" si="2">COUNTA($F6:$AJ6)</f>
        <v>31</v>
      </c>
      <c r="AU6" s="4">
        <f t="shared" ref="AU6:AU54" si="3">AK6+AL6+AM6+AP6+AQ6+AS6+(AO6/2)</f>
        <v>31</v>
      </c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</row>
    <row r="7" spans="1:78" ht="18.75" x14ac:dyDescent="0.3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IFERROR(LOOKUP(2,1/((#REF!=mar!$A7)*(#REF!&lt;=mar!F$3)*(#REF!&gt;=mar!F$3)),#REF!),IF(WEEKDAY(mar!F$3,1)=1,"WO","P"))</f>
        <v>WO</v>
      </c>
      <c r="G7" s="4" t="str">
        <f>IFERROR(LOOKUP(2,1/((#REF!=mar!$A7)*(#REF!&lt;=mar!G$3)*(#REF!&gt;=mar!G$3)),#REF!),IF(WEEKDAY(mar!G$3,1)=1,"WO","P"))</f>
        <v>P</v>
      </c>
      <c r="H7" s="4" t="str">
        <f>IFERROR(LOOKUP(2,1/((#REF!=mar!$A7)*(#REF!&lt;=mar!H$3)*(#REF!&gt;=mar!H$3)),#REF!),IF(WEEKDAY(mar!H$3,1)=1,"WO","P"))</f>
        <v>P</v>
      </c>
      <c r="I7" s="4" t="s">
        <v>350</v>
      </c>
      <c r="J7" s="4" t="str">
        <f>IFERROR(LOOKUP(2,1/((#REF!=mar!$A7)*(#REF!&lt;=mar!J$3)*(#REF!&gt;=mar!J$3)),#REF!),IF(WEEKDAY(mar!J$3,1)=1,"WO","P"))</f>
        <v>P</v>
      </c>
      <c r="K7" s="4" t="str">
        <f>IFERROR(LOOKUP(2,1/((#REF!=mar!$A7)*(#REF!&lt;=mar!K$3)*(#REF!&gt;=mar!K$3)),#REF!),IF(WEEKDAY(mar!K$3,1)=1,"WO","P"))</f>
        <v>P</v>
      </c>
      <c r="L7" s="4" t="str">
        <f>IFERROR(LOOKUP(2,1/((#REF!=mar!$A7)*(#REF!&lt;=mar!L$3)*(#REF!&gt;=mar!L$3)),#REF!),IF(WEEKDAY(mar!L$3,1)=1,"WO","P"))</f>
        <v>P</v>
      </c>
      <c r="M7" s="4" t="str">
        <f>IFERROR(LOOKUP(2,1/((#REF!=mar!$A7)*(#REF!&lt;=mar!M$3)*(#REF!&gt;=mar!M$3)),#REF!),IF(WEEKDAY(mar!M$3,1)=1,"WO","P"))</f>
        <v>WO</v>
      </c>
      <c r="N7" s="4" t="s">
        <v>539</v>
      </c>
      <c r="O7" s="4" t="str">
        <f>IFERROR(LOOKUP(2,1/((#REF!=mar!$A7)*(#REF!&lt;=mar!O$3)*(#REF!&gt;=mar!O$3)),#REF!),IF(WEEKDAY(mar!O$3,1)=1,"WO","P"))</f>
        <v>P</v>
      </c>
      <c r="P7" s="4" t="str">
        <f>IFERROR(LOOKUP(2,1/((#REF!=mar!$A7)*(#REF!&lt;=mar!P$3)*(#REF!&gt;=mar!P$3)),#REF!),IF(WEEKDAY(mar!P$3,1)=1,"WO","P"))</f>
        <v>P</v>
      </c>
      <c r="Q7" s="4" t="str">
        <f>IFERROR(LOOKUP(2,1/((#REF!=mar!$A7)*(#REF!&lt;=mar!Q$3)*(#REF!&gt;=mar!Q$3)),#REF!),IF(WEEKDAY(mar!Q$3,1)=1,"WO","P"))</f>
        <v>P</v>
      </c>
      <c r="R7" s="4" t="str">
        <f>IFERROR(LOOKUP(2,1/((#REF!=mar!$A7)*(#REF!&lt;=mar!R$3)*(#REF!&gt;=mar!R$3)),#REF!),IF(WEEKDAY(mar!R$3,1)=1,"WO","P"))</f>
        <v>P</v>
      </c>
      <c r="S7" s="4" t="str">
        <f>IFERROR(LOOKUP(2,1/((#REF!=mar!$A7)*(#REF!&lt;=mar!S$3)*(#REF!&gt;=mar!S$3)),#REF!),IF(WEEKDAY(mar!S$3,1)=1,"WO","P"))</f>
        <v>P</v>
      </c>
      <c r="T7" s="4" t="str">
        <f>IFERROR(LOOKUP(2,1/((#REF!=mar!$A7)*(#REF!&lt;=mar!T$3)*(#REF!&gt;=mar!T$3)),#REF!),IF(WEEKDAY(mar!T$3,1)=1,"WO","P"))</f>
        <v>WO</v>
      </c>
      <c r="U7" s="4" t="str">
        <f>IFERROR(LOOKUP(2,1/((#REF!=mar!$A7)*(#REF!&lt;=mar!U$3)*(#REF!&gt;=mar!U$3)),#REF!),IF(WEEKDAY(mar!U$3,1)=1,"WO","P"))</f>
        <v>P</v>
      </c>
      <c r="V7" s="4" t="str">
        <f>IFERROR(LOOKUP(2,1/((#REF!=mar!$A7)*(#REF!&lt;=mar!V$3)*(#REF!&gt;=mar!V$3)),#REF!),IF(WEEKDAY(mar!V$3,1)=1,"WO","P"))</f>
        <v>P</v>
      </c>
      <c r="W7" s="4" t="str">
        <f>IFERROR(LOOKUP(2,1/((#REF!=mar!$A7)*(#REF!&lt;=mar!W$3)*(#REF!&gt;=mar!W$3)),#REF!),IF(WEEKDAY(mar!W$3,1)=1,"WO","P"))</f>
        <v>P</v>
      </c>
      <c r="X7" s="4" t="str">
        <f>IFERROR(LOOKUP(2,1/((#REF!=mar!$A7)*(#REF!&lt;=mar!X$3)*(#REF!&gt;=mar!X$3)),#REF!),IF(WEEKDAY(mar!X$3,1)=1,"WO","P"))</f>
        <v>P</v>
      </c>
      <c r="Y7" s="4" t="str">
        <f>IFERROR(LOOKUP(2,1/((#REF!=mar!$A7)*(#REF!&lt;=mar!Y$3)*(#REF!&gt;=mar!Y$3)),#REF!),IF(WEEKDAY(mar!Y$3,1)=1,"WO","P"))</f>
        <v>P</v>
      </c>
      <c r="Z7" s="4" t="s">
        <v>350</v>
      </c>
      <c r="AA7" s="4" t="str">
        <f>IFERROR(LOOKUP(2,1/((#REF!=mar!$A7)*(#REF!&lt;=mar!AA$3)*(#REF!&gt;=mar!AA$3)),#REF!),IF(WEEKDAY(mar!AA$3,1)=1,"WO","P"))</f>
        <v>WO</v>
      </c>
      <c r="AB7" s="4" t="str">
        <f>IFERROR(LOOKUP(2,1/((#REF!=mar!$A7)*(#REF!&lt;=mar!AB$3)*(#REF!&gt;=mar!AB$3)),#REF!),IF(WEEKDAY(mar!AB$3,1)=1,"WO","P"))</f>
        <v>P</v>
      </c>
      <c r="AC7" s="4" t="s">
        <v>539</v>
      </c>
      <c r="AD7" s="4" t="str">
        <f>IFERROR(LOOKUP(2,1/((#REF!=mar!$A7)*(#REF!&lt;=mar!AD$3)*(#REF!&gt;=mar!AD$3)),#REF!),IF(WEEKDAY(mar!AD$3,1)=1,"WO","P"))</f>
        <v>P</v>
      </c>
      <c r="AE7" s="4" t="str">
        <f>IFERROR(LOOKUP(2,1/((#REF!=mar!$A7)*(#REF!&lt;=mar!AE$3)*(#REF!&gt;=mar!AE$3)),#REF!),IF(WEEKDAY(mar!AE$3,1)=1,"WO","P"))</f>
        <v>P</v>
      </c>
      <c r="AF7" s="4" t="str">
        <f>IFERROR(LOOKUP(2,1/((#REF!=mar!$A7)*(#REF!&lt;=mar!AF$3)*(#REF!&gt;=mar!AF$3)),#REF!),IF(WEEKDAY(mar!AF$3,1)=1,"WO","P"))</f>
        <v>P</v>
      </c>
      <c r="AG7" s="4" t="str">
        <f>IFERROR(LOOKUP(2,1/((#REF!=mar!$A7)*(#REF!&lt;=mar!AG$3)*(#REF!&gt;=mar!AG$3)),#REF!),IF(WEEKDAY(mar!AG$3,1)=1,"WO","P"))</f>
        <v>P</v>
      </c>
      <c r="AH7" s="4" t="str">
        <f>IFERROR(LOOKUP(2,1/((#REF!=mar!$A7)*(#REF!&lt;=mar!AH$3)*(#REF!&gt;=mar!AH$3)),#REF!),IF(WEEKDAY(mar!AH$3,1)=1,"WO","P"))</f>
        <v>WO</v>
      </c>
      <c r="AI7" s="4" t="str">
        <f>IFERROR(LOOKUP(2,1/((#REF!=mar!$A7)*(#REF!&lt;=mar!AI$3)*(#REF!&gt;=mar!AI$3)),#REF!),IF(WEEKDAY(mar!AI$3,1)=1,"WO","P"))</f>
        <v>P</v>
      </c>
      <c r="AJ7" s="4" t="str">
        <f>IFERROR(LOOKUP(2,1/((#REF!=mar!$A7)*(#REF!&lt;=mar!AJ$3)*(#REF!&gt;=mar!AJ$3)),#REF!),IF(WEEKDAY(mar!AJ$3,1)=1,"WO","P"))</f>
        <v>P</v>
      </c>
      <c r="AK7" s="4">
        <f>COUNTIF(mar!$F7:$AJ7,"WO")</f>
        <v>5</v>
      </c>
      <c r="AL7" s="4">
        <f>COUNTIF(mar!$F7:$AJ7,"H")</f>
        <v>2</v>
      </c>
      <c r="AM7" s="4">
        <f>COUNTIF(mar!$F7:$AJ7,"pl")</f>
        <v>0</v>
      </c>
      <c r="AN7" s="4">
        <f>COUNTIF(mar!$F7:$AJ7,"LWP")</f>
        <v>0</v>
      </c>
      <c r="AO7" s="4">
        <f>COUNTIF(mar!$F7:$AJ7,"HD")</f>
        <v>0</v>
      </c>
      <c r="AP7" s="4">
        <f>COUNTIF(mar!$F7:$AJ7,"SL")</f>
        <v>0</v>
      </c>
      <c r="AQ7" s="4">
        <f>COUNTIF(mar!$F7:$AJ7,"CL")</f>
        <v>0</v>
      </c>
      <c r="AR7" s="4">
        <f>COUNTIF(mar!$F7:$AJ7,"A")</f>
        <v>2</v>
      </c>
      <c r="AS7" s="4">
        <f>COUNTIF(mar!$F7:$AJ7,"P")</f>
        <v>22</v>
      </c>
      <c r="AT7" s="4">
        <f t="shared" si="2"/>
        <v>31</v>
      </c>
      <c r="AU7" s="4">
        <f t="shared" si="3"/>
        <v>29</v>
      </c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</row>
    <row r="8" spans="1:78" ht="18.75" x14ac:dyDescent="0.3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IFERROR(LOOKUP(2,1/((#REF!=mar!$A8)*(#REF!&lt;=mar!F$3)*(#REF!&gt;=mar!F$3)),#REF!),IF(WEEKDAY(mar!F$3,1)=1,"WO","P"))</f>
        <v>WO</v>
      </c>
      <c r="G8" s="4" t="str">
        <f>IFERROR(LOOKUP(2,1/((#REF!=mar!$A8)*(#REF!&lt;=mar!G$3)*(#REF!&gt;=mar!G$3)),#REF!),IF(WEEKDAY(mar!G$3,1)=1,"WO","P"))</f>
        <v>P</v>
      </c>
      <c r="H8" s="4" t="str">
        <f>IFERROR(LOOKUP(2,1/((#REF!=mar!$A8)*(#REF!&lt;=mar!H$3)*(#REF!&gt;=mar!H$3)),#REF!),IF(WEEKDAY(mar!H$3,1)=1,"WO","P"))</f>
        <v>P</v>
      </c>
      <c r="I8" s="4" t="s">
        <v>350</v>
      </c>
      <c r="J8" s="4" t="str">
        <f>IFERROR(LOOKUP(2,1/((#REF!=mar!$A8)*(#REF!&lt;=mar!J$3)*(#REF!&gt;=mar!J$3)),#REF!),IF(WEEKDAY(mar!J$3,1)=1,"WO","P"))</f>
        <v>P</v>
      </c>
      <c r="K8" s="4" t="str">
        <f>IFERROR(LOOKUP(2,1/((#REF!=mar!$A8)*(#REF!&lt;=mar!K$3)*(#REF!&gt;=mar!K$3)),#REF!),IF(WEEKDAY(mar!K$3,1)=1,"WO","P"))</f>
        <v>P</v>
      </c>
      <c r="L8" s="4" t="str">
        <f>IFERROR(LOOKUP(2,1/((#REF!=mar!$A8)*(#REF!&lt;=mar!L$3)*(#REF!&gt;=mar!L$3)),#REF!),IF(WEEKDAY(mar!L$3,1)=1,"WO","P"))</f>
        <v>P</v>
      </c>
      <c r="M8" s="4" t="str">
        <f>IFERROR(LOOKUP(2,1/((#REF!=mar!$A8)*(#REF!&lt;=mar!M$3)*(#REF!&gt;=mar!M$3)),#REF!),IF(WEEKDAY(mar!M$3,1)=1,"WO","P"))</f>
        <v>WO</v>
      </c>
      <c r="N8" s="4" t="str">
        <f>IFERROR(LOOKUP(2,1/((#REF!=mar!$A8)*(#REF!&lt;=mar!N$3)*(#REF!&gt;=mar!N$3)),#REF!),IF(WEEKDAY(mar!N$3,1)=1,"WO","P"))</f>
        <v>P</v>
      </c>
      <c r="O8" s="4" t="str">
        <f>IFERROR(LOOKUP(2,1/((#REF!=mar!$A8)*(#REF!&lt;=mar!O$3)*(#REF!&gt;=mar!O$3)),#REF!),IF(WEEKDAY(mar!O$3,1)=1,"WO","P"))</f>
        <v>P</v>
      </c>
      <c r="P8" s="4" t="str">
        <f>IFERROR(LOOKUP(2,1/((#REF!=mar!$A8)*(#REF!&lt;=mar!P$3)*(#REF!&gt;=mar!P$3)),#REF!),IF(WEEKDAY(mar!P$3,1)=1,"WO","P"))</f>
        <v>P</v>
      </c>
      <c r="Q8" s="4" t="str">
        <f>IFERROR(LOOKUP(2,1/((#REF!=mar!$A8)*(#REF!&lt;=mar!Q$3)*(#REF!&gt;=mar!Q$3)),#REF!),IF(WEEKDAY(mar!Q$3,1)=1,"WO","P"))</f>
        <v>P</v>
      </c>
      <c r="R8" s="4" t="str">
        <f>IFERROR(LOOKUP(2,1/((#REF!=mar!$A8)*(#REF!&lt;=mar!R$3)*(#REF!&gt;=mar!R$3)),#REF!),IF(WEEKDAY(mar!R$3,1)=1,"WO","P"))</f>
        <v>P</v>
      </c>
      <c r="S8" s="4" t="str">
        <f>IFERROR(LOOKUP(2,1/((#REF!=mar!$A8)*(#REF!&lt;=mar!S$3)*(#REF!&gt;=mar!S$3)),#REF!),IF(WEEKDAY(mar!S$3,1)=1,"WO","P"))</f>
        <v>P</v>
      </c>
      <c r="T8" s="4" t="str">
        <f>IFERROR(LOOKUP(2,1/((#REF!=mar!$A8)*(#REF!&lt;=mar!T$3)*(#REF!&gt;=mar!T$3)),#REF!),IF(WEEKDAY(mar!T$3,1)=1,"WO","P"))</f>
        <v>WO</v>
      </c>
      <c r="U8" s="4" t="str">
        <f>IFERROR(LOOKUP(2,1/((#REF!=mar!$A8)*(#REF!&lt;=mar!U$3)*(#REF!&gt;=mar!U$3)),#REF!),IF(WEEKDAY(mar!U$3,1)=1,"WO","P"))</f>
        <v>P</v>
      </c>
      <c r="V8" s="4" t="str">
        <f>IFERROR(LOOKUP(2,1/((#REF!=mar!$A8)*(#REF!&lt;=mar!V$3)*(#REF!&gt;=mar!V$3)),#REF!),IF(WEEKDAY(mar!V$3,1)=1,"WO","P"))</f>
        <v>P</v>
      </c>
      <c r="W8" s="4" t="s">
        <v>539</v>
      </c>
      <c r="X8" s="4" t="str">
        <f>IFERROR(LOOKUP(2,1/((#REF!=mar!$A8)*(#REF!&lt;=mar!X$3)*(#REF!&gt;=mar!X$3)),#REF!),IF(WEEKDAY(mar!X$3,1)=1,"WO","P"))</f>
        <v>P</v>
      </c>
      <c r="Y8" s="4" t="str">
        <f>IFERROR(LOOKUP(2,1/((#REF!=mar!$A8)*(#REF!&lt;=mar!Y$3)*(#REF!&gt;=mar!Y$3)),#REF!),IF(WEEKDAY(mar!Y$3,1)=1,"WO","P"))</f>
        <v>P</v>
      </c>
      <c r="Z8" s="4" t="s">
        <v>350</v>
      </c>
      <c r="AA8" s="4" t="str">
        <f>IFERROR(LOOKUP(2,1/((#REF!=mar!$A8)*(#REF!&lt;=mar!AA$3)*(#REF!&gt;=mar!AA$3)),#REF!),IF(WEEKDAY(mar!AA$3,1)=1,"WO","P"))</f>
        <v>WO</v>
      </c>
      <c r="AB8" s="4" t="str">
        <f>IFERROR(LOOKUP(2,1/((#REF!=mar!$A8)*(#REF!&lt;=mar!AB$3)*(#REF!&gt;=mar!AB$3)),#REF!),IF(WEEKDAY(mar!AB$3,1)=1,"WO","P"))</f>
        <v>P</v>
      </c>
      <c r="AC8" s="4" t="str">
        <f>IFERROR(LOOKUP(2,1/((#REF!=mar!$A8)*(#REF!&lt;=mar!AC$3)*(#REF!&gt;=mar!AC$3)),#REF!),IF(WEEKDAY(mar!AC$3,1)=1,"WO","P"))</f>
        <v>P</v>
      </c>
      <c r="AD8" s="4" t="str">
        <f>IFERROR(LOOKUP(2,1/((#REF!=mar!$A8)*(#REF!&lt;=mar!AD$3)*(#REF!&gt;=mar!AD$3)),#REF!),IF(WEEKDAY(mar!AD$3,1)=1,"WO","P"))</f>
        <v>P</v>
      </c>
      <c r="AE8" s="4" t="str">
        <f>IFERROR(LOOKUP(2,1/((#REF!=mar!$A8)*(#REF!&lt;=mar!AE$3)*(#REF!&gt;=mar!AE$3)),#REF!),IF(WEEKDAY(mar!AE$3,1)=1,"WO","P"))</f>
        <v>P</v>
      </c>
      <c r="AF8" s="4" t="str">
        <f>IFERROR(LOOKUP(2,1/((#REF!=mar!$A8)*(#REF!&lt;=mar!AF$3)*(#REF!&gt;=mar!AF$3)),#REF!),IF(WEEKDAY(mar!AF$3,1)=1,"WO","P"))</f>
        <v>P</v>
      </c>
      <c r="AG8" s="4" t="str">
        <f>IFERROR(LOOKUP(2,1/((#REF!=mar!$A8)*(#REF!&lt;=mar!AG$3)*(#REF!&gt;=mar!AG$3)),#REF!),IF(WEEKDAY(mar!AG$3,1)=1,"WO","P"))</f>
        <v>P</v>
      </c>
      <c r="AH8" s="4" t="str">
        <f>IFERROR(LOOKUP(2,1/((#REF!=mar!$A8)*(#REF!&lt;=mar!AH$3)*(#REF!&gt;=mar!AH$3)),#REF!),IF(WEEKDAY(mar!AH$3,1)=1,"WO","P"))</f>
        <v>WO</v>
      </c>
      <c r="AI8" s="4" t="str">
        <f>IFERROR(LOOKUP(2,1/((#REF!=mar!$A8)*(#REF!&lt;=mar!AI$3)*(#REF!&gt;=mar!AI$3)),#REF!),IF(WEEKDAY(mar!AI$3,1)=1,"WO","P"))</f>
        <v>P</v>
      </c>
      <c r="AJ8" s="4" t="str">
        <f>IFERROR(LOOKUP(2,1/((#REF!=mar!$A8)*(#REF!&lt;=mar!AJ$3)*(#REF!&gt;=mar!AJ$3)),#REF!),IF(WEEKDAY(mar!AJ$3,1)=1,"WO","P"))</f>
        <v>P</v>
      </c>
      <c r="AK8" s="4">
        <f>COUNTIF(mar!$F8:$AJ8,"WO")</f>
        <v>5</v>
      </c>
      <c r="AL8" s="4">
        <f>COUNTIF(mar!$F8:$AJ8,"H")</f>
        <v>2</v>
      </c>
      <c r="AM8" s="4">
        <f>COUNTIF(mar!$F8:$AJ8,"pl")</f>
        <v>0</v>
      </c>
      <c r="AN8" s="4">
        <f>COUNTIF(mar!$F8:$AJ8,"LWP")</f>
        <v>0</v>
      </c>
      <c r="AO8" s="4">
        <f>COUNTIF(mar!$F8:$AJ8,"HD")</f>
        <v>0</v>
      </c>
      <c r="AP8" s="4">
        <f>COUNTIF(mar!$F8:$AJ8,"SL")</f>
        <v>0</v>
      </c>
      <c r="AQ8" s="4">
        <f>COUNTIF(mar!$F8:$AJ8,"CL")</f>
        <v>0</v>
      </c>
      <c r="AR8" s="4">
        <f>COUNTIF(mar!$F8:$AJ8,"A")</f>
        <v>1</v>
      </c>
      <c r="AS8" s="4">
        <f>COUNTIF(mar!$F8:$AJ8,"P")</f>
        <v>23</v>
      </c>
      <c r="AT8" s="4">
        <f t="shared" si="2"/>
        <v>31</v>
      </c>
      <c r="AU8" s="4">
        <f t="shared" si="3"/>
        <v>30</v>
      </c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</row>
    <row r="9" spans="1:78" ht="18.75" x14ac:dyDescent="0.3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IFERROR(LOOKUP(2,1/((#REF!=mar!$A9)*(#REF!&lt;=mar!F$3)*(#REF!&gt;=mar!F$3)),#REF!),IF(WEEKDAY(mar!F$3,1)=1,"WO","P"))</f>
        <v>WO</v>
      </c>
      <c r="G9" s="4" t="str">
        <f>IFERROR(LOOKUP(2,1/((#REF!=mar!$A9)*(#REF!&lt;=mar!G$3)*(#REF!&gt;=mar!G$3)),#REF!),IF(WEEKDAY(mar!G$3,1)=1,"WO","P"))</f>
        <v>P</v>
      </c>
      <c r="H9" s="4" t="str">
        <f>IFERROR(LOOKUP(2,1/((#REF!=mar!$A9)*(#REF!&lt;=mar!H$3)*(#REF!&gt;=mar!H$3)),#REF!),IF(WEEKDAY(mar!H$3,1)=1,"WO","P"))</f>
        <v>P</v>
      </c>
      <c r="I9" s="4" t="s">
        <v>350</v>
      </c>
      <c r="J9" s="4" t="str">
        <f>IFERROR(LOOKUP(2,1/((#REF!=mar!$A9)*(#REF!&lt;=mar!J$3)*(#REF!&gt;=mar!J$3)),#REF!),IF(WEEKDAY(mar!J$3,1)=1,"WO","P"))</f>
        <v>P</v>
      </c>
      <c r="K9" s="4" t="str">
        <f>IFERROR(LOOKUP(2,1/((#REF!=mar!$A9)*(#REF!&lt;=mar!K$3)*(#REF!&gt;=mar!K$3)),#REF!),IF(WEEKDAY(mar!K$3,1)=1,"WO","P"))</f>
        <v>P</v>
      </c>
      <c r="L9" s="4" t="str">
        <f>IFERROR(LOOKUP(2,1/((#REF!=mar!$A9)*(#REF!&lt;=mar!L$3)*(#REF!&gt;=mar!L$3)),#REF!),IF(WEEKDAY(mar!L$3,1)=1,"WO","P"))</f>
        <v>P</v>
      </c>
      <c r="M9" s="4" t="str">
        <f>IFERROR(LOOKUP(2,1/((#REF!=mar!$A9)*(#REF!&lt;=mar!M$3)*(#REF!&gt;=mar!M$3)),#REF!),IF(WEEKDAY(mar!M$3,1)=1,"WO","P"))</f>
        <v>WO</v>
      </c>
      <c r="N9" s="4" t="str">
        <f>IFERROR(LOOKUP(2,1/((#REF!=mar!$A9)*(#REF!&lt;=mar!N$3)*(#REF!&gt;=mar!N$3)),#REF!),IF(WEEKDAY(mar!N$3,1)=1,"WO","P"))</f>
        <v>P</v>
      </c>
      <c r="O9" s="4" t="s">
        <v>539</v>
      </c>
      <c r="P9" s="4" t="str">
        <f>IFERROR(LOOKUP(2,1/((#REF!=mar!$A9)*(#REF!&lt;=mar!P$3)*(#REF!&gt;=mar!P$3)),#REF!),IF(WEEKDAY(mar!P$3,1)=1,"WO","P"))</f>
        <v>P</v>
      </c>
      <c r="Q9" s="4" t="str">
        <f>IFERROR(LOOKUP(2,1/((#REF!=mar!$A9)*(#REF!&lt;=mar!Q$3)*(#REF!&gt;=mar!Q$3)),#REF!),IF(WEEKDAY(mar!Q$3,1)=1,"WO","P"))</f>
        <v>P</v>
      </c>
      <c r="R9" s="4" t="str">
        <f>IFERROR(LOOKUP(2,1/((#REF!=mar!$A9)*(#REF!&lt;=mar!R$3)*(#REF!&gt;=mar!R$3)),#REF!),IF(WEEKDAY(mar!R$3,1)=1,"WO","P"))</f>
        <v>P</v>
      </c>
      <c r="S9" s="4" t="str">
        <f>IFERROR(LOOKUP(2,1/((#REF!=mar!$A9)*(#REF!&lt;=mar!S$3)*(#REF!&gt;=mar!S$3)),#REF!),IF(WEEKDAY(mar!S$3,1)=1,"WO","P"))</f>
        <v>P</v>
      </c>
      <c r="T9" s="4" t="str">
        <f>IFERROR(LOOKUP(2,1/((#REF!=mar!$A9)*(#REF!&lt;=mar!T$3)*(#REF!&gt;=mar!T$3)),#REF!),IF(WEEKDAY(mar!T$3,1)=1,"WO","P"))</f>
        <v>WO</v>
      </c>
      <c r="U9" s="4" t="str">
        <f>IFERROR(LOOKUP(2,1/((#REF!=mar!$A9)*(#REF!&lt;=mar!U$3)*(#REF!&gt;=mar!U$3)),#REF!),IF(WEEKDAY(mar!U$3,1)=1,"WO","P"))</f>
        <v>P</v>
      </c>
      <c r="V9" s="4" t="str">
        <f>IFERROR(LOOKUP(2,1/((#REF!=mar!$A9)*(#REF!&lt;=mar!V$3)*(#REF!&gt;=mar!V$3)),#REF!),IF(WEEKDAY(mar!V$3,1)=1,"WO","P"))</f>
        <v>P</v>
      </c>
      <c r="W9" s="4" t="str">
        <f>IFERROR(LOOKUP(2,1/((#REF!=mar!$A9)*(#REF!&lt;=mar!W$3)*(#REF!&gt;=mar!W$3)),#REF!),IF(WEEKDAY(mar!W$3,1)=1,"WO","P"))</f>
        <v>P</v>
      </c>
      <c r="X9" s="4" t="str">
        <f>IFERROR(LOOKUP(2,1/((#REF!=mar!$A9)*(#REF!&lt;=mar!X$3)*(#REF!&gt;=mar!X$3)),#REF!),IF(WEEKDAY(mar!X$3,1)=1,"WO","P"))</f>
        <v>P</v>
      </c>
      <c r="Y9" s="4" t="str">
        <f>IFERROR(LOOKUP(2,1/((#REF!=mar!$A9)*(#REF!&lt;=mar!Y$3)*(#REF!&gt;=mar!Y$3)),#REF!),IF(WEEKDAY(mar!Y$3,1)=1,"WO","P"))</f>
        <v>P</v>
      </c>
      <c r="Z9" s="4" t="s">
        <v>350</v>
      </c>
      <c r="AA9" s="4" t="str">
        <f>IFERROR(LOOKUP(2,1/((#REF!=mar!$A9)*(#REF!&lt;=mar!AA$3)*(#REF!&gt;=mar!AA$3)),#REF!),IF(WEEKDAY(mar!AA$3,1)=1,"WO","P"))</f>
        <v>WO</v>
      </c>
      <c r="AB9" s="4" t="str">
        <f>IFERROR(LOOKUP(2,1/((#REF!=mar!$A9)*(#REF!&lt;=mar!AB$3)*(#REF!&gt;=mar!AB$3)),#REF!),IF(WEEKDAY(mar!AB$3,1)=1,"WO","P"))</f>
        <v>P</v>
      </c>
      <c r="AC9" s="4" t="str">
        <f>IFERROR(LOOKUP(2,1/((#REF!=mar!$A9)*(#REF!&lt;=mar!AC$3)*(#REF!&gt;=mar!AC$3)),#REF!),IF(WEEKDAY(mar!AC$3,1)=1,"WO","P"))</f>
        <v>P</v>
      </c>
      <c r="AD9" s="4" t="str">
        <f>IFERROR(LOOKUP(2,1/((#REF!=mar!$A9)*(#REF!&lt;=mar!AD$3)*(#REF!&gt;=mar!AD$3)),#REF!),IF(WEEKDAY(mar!AD$3,1)=1,"WO","P"))</f>
        <v>P</v>
      </c>
      <c r="AE9" s="4" t="s">
        <v>539</v>
      </c>
      <c r="AF9" s="4" t="str">
        <f>IFERROR(LOOKUP(2,1/((#REF!=mar!$A9)*(#REF!&lt;=mar!AF$3)*(#REF!&gt;=mar!AF$3)),#REF!),IF(WEEKDAY(mar!AF$3,1)=1,"WO","P"))</f>
        <v>P</v>
      </c>
      <c r="AG9" s="4" t="str">
        <f>IFERROR(LOOKUP(2,1/((#REF!=mar!$A9)*(#REF!&lt;=mar!AG$3)*(#REF!&gt;=mar!AG$3)),#REF!),IF(WEEKDAY(mar!AG$3,1)=1,"WO","P"))</f>
        <v>P</v>
      </c>
      <c r="AH9" s="4" t="str">
        <f>IFERROR(LOOKUP(2,1/((#REF!=mar!$A9)*(#REF!&lt;=mar!AH$3)*(#REF!&gt;=mar!AH$3)),#REF!),IF(WEEKDAY(mar!AH$3,1)=1,"WO","P"))</f>
        <v>WO</v>
      </c>
      <c r="AI9" s="4" t="str">
        <f>IFERROR(LOOKUP(2,1/((#REF!=mar!$A9)*(#REF!&lt;=mar!AI$3)*(#REF!&gt;=mar!AI$3)),#REF!),IF(WEEKDAY(mar!AI$3,1)=1,"WO","P"))</f>
        <v>P</v>
      </c>
      <c r="AJ9" s="4" t="str">
        <f>IFERROR(LOOKUP(2,1/((#REF!=mar!$A9)*(#REF!&lt;=mar!AJ$3)*(#REF!&gt;=mar!AJ$3)),#REF!),IF(WEEKDAY(mar!AJ$3,1)=1,"WO","P"))</f>
        <v>P</v>
      </c>
      <c r="AK9" s="4">
        <f>COUNTIF(mar!$F9:$AJ9,"WO")</f>
        <v>5</v>
      </c>
      <c r="AL9" s="4">
        <f>COUNTIF(mar!$F9:$AJ9,"H")</f>
        <v>2</v>
      </c>
      <c r="AM9" s="4">
        <f>COUNTIF(mar!$F9:$AJ9,"pl")</f>
        <v>0</v>
      </c>
      <c r="AN9" s="4">
        <f>COUNTIF(mar!$F9:$AJ9,"LWP")</f>
        <v>0</v>
      </c>
      <c r="AO9" s="4">
        <f>COUNTIF(mar!$F9:$AJ9,"HD")</f>
        <v>0</v>
      </c>
      <c r="AP9" s="4">
        <f>COUNTIF(mar!$F9:$AJ9,"SL")</f>
        <v>0</v>
      </c>
      <c r="AQ9" s="4">
        <f>COUNTIF(mar!$F9:$AJ9,"CL")</f>
        <v>0</v>
      </c>
      <c r="AR9" s="4">
        <f>COUNTIF(mar!$F9:$AJ9,"A")</f>
        <v>2</v>
      </c>
      <c r="AS9" s="4">
        <f>COUNTIF(mar!$F9:$AJ9,"P")</f>
        <v>22</v>
      </c>
      <c r="AT9" s="4">
        <f t="shared" si="2"/>
        <v>31</v>
      </c>
      <c r="AU9" s="4">
        <f t="shared" si="3"/>
        <v>29</v>
      </c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</row>
    <row r="10" spans="1:78" ht="18.75" x14ac:dyDescent="0.3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IFERROR(LOOKUP(2,1/((#REF!=mar!$A10)*(#REF!&lt;=mar!F$3)*(#REF!&gt;=mar!F$3)),#REF!),IF(WEEKDAY(mar!F$3,1)=1,"WO","P"))</f>
        <v>WO</v>
      </c>
      <c r="G10" s="4" t="str">
        <f>IFERROR(LOOKUP(2,1/((#REF!=mar!$A10)*(#REF!&lt;=mar!G$3)*(#REF!&gt;=mar!G$3)),#REF!),IF(WEEKDAY(mar!G$3,1)=1,"WO","P"))</f>
        <v>P</v>
      </c>
      <c r="H10" s="4" t="s">
        <v>539</v>
      </c>
      <c r="I10" s="4" t="s">
        <v>350</v>
      </c>
      <c r="J10" s="4" t="str">
        <f>IFERROR(LOOKUP(2,1/((#REF!=mar!$A10)*(#REF!&lt;=mar!J$3)*(#REF!&gt;=mar!J$3)),#REF!),IF(WEEKDAY(mar!J$3,1)=1,"WO","P"))</f>
        <v>P</v>
      </c>
      <c r="K10" s="4" t="str">
        <f>IFERROR(LOOKUP(2,1/((#REF!=mar!$A10)*(#REF!&lt;=mar!K$3)*(#REF!&gt;=mar!K$3)),#REF!),IF(WEEKDAY(mar!K$3,1)=1,"WO","P"))</f>
        <v>P</v>
      </c>
      <c r="L10" s="4" t="str">
        <f>IFERROR(LOOKUP(2,1/((#REF!=mar!$A10)*(#REF!&lt;=mar!L$3)*(#REF!&gt;=mar!L$3)),#REF!),IF(WEEKDAY(mar!L$3,1)=1,"WO","P"))</f>
        <v>P</v>
      </c>
      <c r="M10" s="4" t="str">
        <f>IFERROR(LOOKUP(2,1/((#REF!=mar!$A10)*(#REF!&lt;=mar!M$3)*(#REF!&gt;=mar!M$3)),#REF!),IF(WEEKDAY(mar!M$3,1)=1,"WO","P"))</f>
        <v>WO</v>
      </c>
      <c r="N10" s="4" t="str">
        <f>IFERROR(LOOKUP(2,1/((#REF!=mar!$A10)*(#REF!&lt;=mar!N$3)*(#REF!&gt;=mar!N$3)),#REF!),IF(WEEKDAY(mar!N$3,1)=1,"WO","P"))</f>
        <v>P</v>
      </c>
      <c r="O10" s="4" t="str">
        <f>IFERROR(LOOKUP(2,1/((#REF!=mar!$A10)*(#REF!&lt;=mar!O$3)*(#REF!&gt;=mar!O$3)),#REF!),IF(WEEKDAY(mar!O$3,1)=1,"WO","P"))</f>
        <v>P</v>
      </c>
      <c r="P10" s="4" t="str">
        <f>IFERROR(LOOKUP(2,1/((#REF!=mar!$A10)*(#REF!&lt;=mar!P$3)*(#REF!&gt;=mar!P$3)),#REF!),IF(WEEKDAY(mar!P$3,1)=1,"WO","P"))</f>
        <v>P</v>
      </c>
      <c r="Q10" s="4" t="str">
        <f>IFERROR(LOOKUP(2,1/((#REF!=mar!$A10)*(#REF!&lt;=mar!Q$3)*(#REF!&gt;=mar!Q$3)),#REF!),IF(WEEKDAY(mar!Q$3,1)=1,"WO","P"))</f>
        <v>P</v>
      </c>
      <c r="R10" s="4" t="str">
        <f>IFERROR(LOOKUP(2,1/((#REF!=mar!$A10)*(#REF!&lt;=mar!R$3)*(#REF!&gt;=mar!R$3)),#REF!),IF(WEEKDAY(mar!R$3,1)=1,"WO","P"))</f>
        <v>P</v>
      </c>
      <c r="S10" s="4" t="str">
        <f>IFERROR(LOOKUP(2,1/((#REF!=mar!$A10)*(#REF!&lt;=mar!S$3)*(#REF!&gt;=mar!S$3)),#REF!),IF(WEEKDAY(mar!S$3,1)=1,"WO","P"))</f>
        <v>P</v>
      </c>
      <c r="T10" s="4" t="str">
        <f>IFERROR(LOOKUP(2,1/((#REF!=mar!$A10)*(#REF!&lt;=mar!T$3)*(#REF!&gt;=mar!T$3)),#REF!),IF(WEEKDAY(mar!T$3,1)=1,"WO","P"))</f>
        <v>WO</v>
      </c>
      <c r="U10" s="4" t="str">
        <f>IFERROR(LOOKUP(2,1/((#REF!=mar!$A10)*(#REF!&lt;=mar!U$3)*(#REF!&gt;=mar!U$3)),#REF!),IF(WEEKDAY(mar!U$3,1)=1,"WO","P"))</f>
        <v>P</v>
      </c>
      <c r="V10" s="4" t="str">
        <f>IFERROR(LOOKUP(2,1/((#REF!=mar!$A10)*(#REF!&lt;=mar!V$3)*(#REF!&gt;=mar!V$3)),#REF!),IF(WEEKDAY(mar!V$3,1)=1,"WO","P"))</f>
        <v>P</v>
      </c>
      <c r="W10" s="4" t="str">
        <f>IFERROR(LOOKUP(2,1/((#REF!=mar!$A10)*(#REF!&lt;=mar!W$3)*(#REF!&gt;=mar!W$3)),#REF!),IF(WEEKDAY(mar!W$3,1)=1,"WO","P"))</f>
        <v>P</v>
      </c>
      <c r="X10" s="4" t="str">
        <f>IFERROR(LOOKUP(2,1/((#REF!=mar!$A10)*(#REF!&lt;=mar!X$3)*(#REF!&gt;=mar!X$3)),#REF!),IF(WEEKDAY(mar!X$3,1)=1,"WO","P"))</f>
        <v>P</v>
      </c>
      <c r="Y10" s="4" t="str">
        <f>IFERROR(LOOKUP(2,1/((#REF!=mar!$A10)*(#REF!&lt;=mar!Y$3)*(#REF!&gt;=mar!Y$3)),#REF!),IF(WEEKDAY(mar!Y$3,1)=1,"WO","P"))</f>
        <v>P</v>
      </c>
      <c r="Z10" s="4" t="s">
        <v>350</v>
      </c>
      <c r="AA10" s="4" t="str">
        <f>IFERROR(LOOKUP(2,1/((#REF!=mar!$A10)*(#REF!&lt;=mar!AA$3)*(#REF!&gt;=mar!AA$3)),#REF!),IF(WEEKDAY(mar!AA$3,1)=1,"WO","P"))</f>
        <v>WO</v>
      </c>
      <c r="AB10" s="4" t="str">
        <f>IFERROR(LOOKUP(2,1/((#REF!=mar!$A10)*(#REF!&lt;=mar!AB$3)*(#REF!&gt;=mar!AB$3)),#REF!),IF(WEEKDAY(mar!AB$3,1)=1,"WO","P"))</f>
        <v>P</v>
      </c>
      <c r="AC10" s="4" t="str">
        <f>IFERROR(LOOKUP(2,1/((#REF!=mar!$A10)*(#REF!&lt;=mar!AC$3)*(#REF!&gt;=mar!AC$3)),#REF!),IF(WEEKDAY(mar!AC$3,1)=1,"WO","P"))</f>
        <v>P</v>
      </c>
      <c r="AD10" s="4" t="str">
        <f>IFERROR(LOOKUP(2,1/((#REF!=mar!$A10)*(#REF!&lt;=mar!AD$3)*(#REF!&gt;=mar!AD$3)),#REF!),IF(WEEKDAY(mar!AD$3,1)=1,"WO","P"))</f>
        <v>P</v>
      </c>
      <c r="AE10" s="4" t="str">
        <f>IFERROR(LOOKUP(2,1/((#REF!=mar!$A10)*(#REF!&lt;=mar!AE$3)*(#REF!&gt;=mar!AE$3)),#REF!),IF(WEEKDAY(mar!AE$3,1)=1,"WO","P"))</f>
        <v>P</v>
      </c>
      <c r="AF10" s="4" t="str">
        <f>IFERROR(LOOKUP(2,1/((#REF!=mar!$A10)*(#REF!&lt;=mar!AF$3)*(#REF!&gt;=mar!AF$3)),#REF!),IF(WEEKDAY(mar!AF$3,1)=1,"WO","P"))</f>
        <v>P</v>
      </c>
      <c r="AG10" s="4" t="str">
        <f>IFERROR(LOOKUP(2,1/((#REF!=mar!$A10)*(#REF!&lt;=mar!AG$3)*(#REF!&gt;=mar!AG$3)),#REF!),IF(WEEKDAY(mar!AG$3,1)=1,"WO","P"))</f>
        <v>P</v>
      </c>
      <c r="AH10" s="4" t="str">
        <f>IFERROR(LOOKUP(2,1/((#REF!=mar!$A10)*(#REF!&lt;=mar!AH$3)*(#REF!&gt;=mar!AH$3)),#REF!),IF(WEEKDAY(mar!AH$3,1)=1,"WO","P"))</f>
        <v>WO</v>
      </c>
      <c r="AI10" s="4" t="str">
        <f>IFERROR(LOOKUP(2,1/((#REF!=mar!$A10)*(#REF!&lt;=mar!AI$3)*(#REF!&gt;=mar!AI$3)),#REF!),IF(WEEKDAY(mar!AI$3,1)=1,"WO","P"))</f>
        <v>P</v>
      </c>
      <c r="AJ10" s="4" t="str">
        <f>IFERROR(LOOKUP(2,1/((#REF!=mar!$A10)*(#REF!&lt;=mar!AJ$3)*(#REF!&gt;=mar!AJ$3)),#REF!),IF(WEEKDAY(mar!AJ$3,1)=1,"WO","P"))</f>
        <v>P</v>
      </c>
      <c r="AK10" s="4">
        <f>COUNTIF(mar!$F10:$AJ10,"WO")</f>
        <v>5</v>
      </c>
      <c r="AL10" s="4">
        <f>COUNTIF(mar!$F10:$AJ10,"H")</f>
        <v>2</v>
      </c>
      <c r="AM10" s="4">
        <f>COUNTIF(mar!$F10:$AJ10,"pl")</f>
        <v>0</v>
      </c>
      <c r="AN10" s="4">
        <f>COUNTIF(mar!$F10:$AJ10,"LWP")</f>
        <v>0</v>
      </c>
      <c r="AO10" s="4">
        <f>COUNTIF(mar!$F10:$AJ10,"HD")</f>
        <v>0</v>
      </c>
      <c r="AP10" s="4">
        <f>COUNTIF(mar!$F10:$AJ10,"SL")</f>
        <v>0</v>
      </c>
      <c r="AQ10" s="4">
        <f>COUNTIF(mar!$F10:$AJ10,"CL")</f>
        <v>0</v>
      </c>
      <c r="AR10" s="4">
        <f>COUNTIF(mar!$F10:$AJ10,"A")</f>
        <v>1</v>
      </c>
      <c r="AS10" s="4">
        <f>COUNTIF(mar!$F10:$AJ10,"P")</f>
        <v>23</v>
      </c>
      <c r="AT10" s="4">
        <f t="shared" si="2"/>
        <v>31</v>
      </c>
      <c r="AU10" s="4">
        <f t="shared" si="3"/>
        <v>30</v>
      </c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</row>
    <row r="11" spans="1:78" ht="18.75" x14ac:dyDescent="0.3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IFERROR(LOOKUP(2,1/((#REF!=mar!$A11)*(#REF!&lt;=mar!F$3)*(#REF!&gt;=mar!F$3)),#REF!),IF(WEEKDAY(mar!F$3,1)=1,"WO","P"))</f>
        <v>WO</v>
      </c>
      <c r="G11" s="4" t="str">
        <f>IFERROR(LOOKUP(2,1/((#REF!=mar!$A11)*(#REF!&lt;=mar!G$3)*(#REF!&gt;=mar!G$3)),#REF!),IF(WEEKDAY(mar!G$3,1)=1,"WO","P"))</f>
        <v>P</v>
      </c>
      <c r="H11" s="4" t="str">
        <f>IFERROR(LOOKUP(2,1/((#REF!=mar!$A11)*(#REF!&lt;=mar!H$3)*(#REF!&gt;=mar!H$3)),#REF!),IF(WEEKDAY(mar!H$3,1)=1,"WO","P"))</f>
        <v>P</v>
      </c>
      <c r="I11" s="4" t="s">
        <v>350</v>
      </c>
      <c r="J11" s="4" t="str">
        <f>IFERROR(LOOKUP(2,1/((#REF!=mar!$A11)*(#REF!&lt;=mar!J$3)*(#REF!&gt;=mar!J$3)),#REF!),IF(WEEKDAY(mar!J$3,1)=1,"WO","P"))</f>
        <v>P</v>
      </c>
      <c r="K11" s="4" t="str">
        <f>IFERROR(LOOKUP(2,1/((#REF!=mar!$A11)*(#REF!&lt;=mar!K$3)*(#REF!&gt;=mar!K$3)),#REF!),IF(WEEKDAY(mar!K$3,1)=1,"WO","P"))</f>
        <v>P</v>
      </c>
      <c r="L11" s="4" t="str">
        <f>IFERROR(LOOKUP(2,1/((#REF!=mar!$A11)*(#REF!&lt;=mar!L$3)*(#REF!&gt;=mar!L$3)),#REF!),IF(WEEKDAY(mar!L$3,1)=1,"WO","P"))</f>
        <v>P</v>
      </c>
      <c r="M11" s="4" t="str">
        <f>IFERROR(LOOKUP(2,1/((#REF!=mar!$A11)*(#REF!&lt;=mar!M$3)*(#REF!&gt;=mar!M$3)),#REF!),IF(WEEKDAY(mar!M$3,1)=1,"WO","P"))</f>
        <v>WO</v>
      </c>
      <c r="N11" s="4" t="str">
        <f>IFERROR(LOOKUP(2,1/((#REF!=mar!$A11)*(#REF!&lt;=mar!N$3)*(#REF!&gt;=mar!N$3)),#REF!),IF(WEEKDAY(mar!N$3,1)=1,"WO","P"))</f>
        <v>P</v>
      </c>
      <c r="O11" s="4" t="str">
        <f>IFERROR(LOOKUP(2,1/((#REF!=mar!$A11)*(#REF!&lt;=mar!O$3)*(#REF!&gt;=mar!O$3)),#REF!),IF(WEEKDAY(mar!O$3,1)=1,"WO","P"))</f>
        <v>P</v>
      </c>
      <c r="P11" s="4" t="s">
        <v>539</v>
      </c>
      <c r="Q11" s="4" t="str">
        <f>IFERROR(LOOKUP(2,1/((#REF!=mar!$A11)*(#REF!&lt;=mar!Q$3)*(#REF!&gt;=mar!Q$3)),#REF!),IF(WEEKDAY(mar!Q$3,1)=1,"WO","P"))</f>
        <v>P</v>
      </c>
      <c r="R11" s="4" t="str">
        <f>IFERROR(LOOKUP(2,1/((#REF!=mar!$A11)*(#REF!&lt;=mar!R$3)*(#REF!&gt;=mar!R$3)),#REF!),IF(WEEKDAY(mar!R$3,1)=1,"WO","P"))</f>
        <v>P</v>
      </c>
      <c r="S11" s="4" t="str">
        <f>IFERROR(LOOKUP(2,1/((#REF!=mar!$A11)*(#REF!&lt;=mar!S$3)*(#REF!&gt;=mar!S$3)),#REF!),IF(WEEKDAY(mar!S$3,1)=1,"WO","P"))</f>
        <v>P</v>
      </c>
      <c r="T11" s="4" t="str">
        <f>IFERROR(LOOKUP(2,1/((#REF!=mar!$A11)*(#REF!&lt;=mar!T$3)*(#REF!&gt;=mar!T$3)),#REF!),IF(WEEKDAY(mar!T$3,1)=1,"WO","P"))</f>
        <v>WO</v>
      </c>
      <c r="U11" s="4" t="str">
        <f>IFERROR(LOOKUP(2,1/((#REF!=mar!$A11)*(#REF!&lt;=mar!U$3)*(#REF!&gt;=mar!U$3)),#REF!),IF(WEEKDAY(mar!U$3,1)=1,"WO","P"))</f>
        <v>P</v>
      </c>
      <c r="V11" s="4" t="str">
        <f>IFERROR(LOOKUP(2,1/((#REF!=mar!$A11)*(#REF!&lt;=mar!V$3)*(#REF!&gt;=mar!V$3)),#REF!),IF(WEEKDAY(mar!V$3,1)=1,"WO","P"))</f>
        <v>P</v>
      </c>
      <c r="W11" s="4" t="str">
        <f>IFERROR(LOOKUP(2,1/((#REF!=mar!$A11)*(#REF!&lt;=mar!W$3)*(#REF!&gt;=mar!W$3)),#REF!),IF(WEEKDAY(mar!W$3,1)=1,"WO","P"))</f>
        <v>P</v>
      </c>
      <c r="X11" s="4" t="str">
        <f>IFERROR(LOOKUP(2,1/((#REF!=mar!$A11)*(#REF!&lt;=mar!X$3)*(#REF!&gt;=mar!X$3)),#REF!),IF(WEEKDAY(mar!X$3,1)=1,"WO","P"))</f>
        <v>P</v>
      </c>
      <c r="Y11" s="4" t="str">
        <f>IFERROR(LOOKUP(2,1/((#REF!=mar!$A11)*(#REF!&lt;=mar!Y$3)*(#REF!&gt;=mar!Y$3)),#REF!),IF(WEEKDAY(mar!Y$3,1)=1,"WO","P"))</f>
        <v>P</v>
      </c>
      <c r="Z11" s="4" t="s">
        <v>350</v>
      </c>
      <c r="AA11" s="4" t="str">
        <f>IFERROR(LOOKUP(2,1/((#REF!=mar!$A11)*(#REF!&lt;=mar!AA$3)*(#REF!&gt;=mar!AA$3)),#REF!),IF(WEEKDAY(mar!AA$3,1)=1,"WO","P"))</f>
        <v>WO</v>
      </c>
      <c r="AB11" s="4" t="str">
        <f>IFERROR(LOOKUP(2,1/((#REF!=mar!$A11)*(#REF!&lt;=mar!AB$3)*(#REF!&gt;=mar!AB$3)),#REF!),IF(WEEKDAY(mar!AB$3,1)=1,"WO","P"))</f>
        <v>P</v>
      </c>
      <c r="AC11" s="4" t="str">
        <f>IFERROR(LOOKUP(2,1/((#REF!=mar!$A11)*(#REF!&lt;=mar!AC$3)*(#REF!&gt;=mar!AC$3)),#REF!),IF(WEEKDAY(mar!AC$3,1)=1,"WO","P"))</f>
        <v>P</v>
      </c>
      <c r="AD11" s="4" t="str">
        <f>IFERROR(LOOKUP(2,1/((#REF!=mar!$A11)*(#REF!&lt;=mar!AD$3)*(#REF!&gt;=mar!AD$3)),#REF!),IF(WEEKDAY(mar!AD$3,1)=1,"WO","P"))</f>
        <v>P</v>
      </c>
      <c r="AE11" s="4" t="str">
        <f>IFERROR(LOOKUP(2,1/((#REF!=mar!$A11)*(#REF!&lt;=mar!AE$3)*(#REF!&gt;=mar!AE$3)),#REF!),IF(WEEKDAY(mar!AE$3,1)=1,"WO","P"))</f>
        <v>P</v>
      </c>
      <c r="AF11" s="4" t="str">
        <f>IFERROR(LOOKUP(2,1/((#REF!=mar!$A11)*(#REF!&lt;=mar!AF$3)*(#REF!&gt;=mar!AF$3)),#REF!),IF(WEEKDAY(mar!AF$3,1)=1,"WO","P"))</f>
        <v>P</v>
      </c>
      <c r="AG11" s="4" t="str">
        <f>IFERROR(LOOKUP(2,1/((#REF!=mar!$A11)*(#REF!&lt;=mar!AG$3)*(#REF!&gt;=mar!AG$3)),#REF!),IF(WEEKDAY(mar!AG$3,1)=1,"WO","P"))</f>
        <v>P</v>
      </c>
      <c r="AH11" s="4" t="str">
        <f>IFERROR(LOOKUP(2,1/((#REF!=mar!$A11)*(#REF!&lt;=mar!AH$3)*(#REF!&gt;=mar!AH$3)),#REF!),IF(WEEKDAY(mar!AH$3,1)=1,"WO","P"))</f>
        <v>WO</v>
      </c>
      <c r="AI11" s="4" t="str">
        <f>IFERROR(LOOKUP(2,1/((#REF!=mar!$A11)*(#REF!&lt;=mar!AI$3)*(#REF!&gt;=mar!AI$3)),#REF!),IF(WEEKDAY(mar!AI$3,1)=1,"WO","P"))</f>
        <v>P</v>
      </c>
      <c r="AJ11" s="4" t="str">
        <f>IFERROR(LOOKUP(2,1/((#REF!=mar!$A11)*(#REF!&lt;=mar!AJ$3)*(#REF!&gt;=mar!AJ$3)),#REF!),IF(WEEKDAY(mar!AJ$3,1)=1,"WO","P"))</f>
        <v>P</v>
      </c>
      <c r="AK11" s="4">
        <f>COUNTIF(mar!$F11:$AJ11,"WO")</f>
        <v>5</v>
      </c>
      <c r="AL11" s="4">
        <f>COUNTIF(mar!$F11:$AJ11,"H")</f>
        <v>2</v>
      </c>
      <c r="AM11" s="4">
        <f>COUNTIF(mar!$F11:$AJ11,"pl")</f>
        <v>0</v>
      </c>
      <c r="AN11" s="4">
        <f>COUNTIF(mar!$F11:$AJ11,"LWP")</f>
        <v>0</v>
      </c>
      <c r="AO11" s="4">
        <f>COUNTIF(mar!$F11:$AJ11,"HD")</f>
        <v>0</v>
      </c>
      <c r="AP11" s="4">
        <f>COUNTIF(mar!$F11:$AJ11,"SL")</f>
        <v>0</v>
      </c>
      <c r="AQ11" s="4">
        <f>COUNTIF(mar!$F11:$AJ11,"CL")</f>
        <v>0</v>
      </c>
      <c r="AR11" s="4">
        <f>COUNTIF(mar!$F11:$AJ11,"A")</f>
        <v>1</v>
      </c>
      <c r="AS11" s="4">
        <f>COUNTIF(mar!$F11:$AJ11,"P")</f>
        <v>23</v>
      </c>
      <c r="AT11" s="4">
        <f t="shared" si="2"/>
        <v>31</v>
      </c>
      <c r="AU11" s="4">
        <f t="shared" si="3"/>
        <v>30</v>
      </c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</row>
    <row r="12" spans="1:78" ht="18.75" x14ac:dyDescent="0.3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IFERROR(LOOKUP(2,1/((#REF!=mar!$A12)*(#REF!&lt;=mar!F$3)*(#REF!&gt;=mar!F$3)),#REF!),IF(WEEKDAY(mar!F$3,1)=1,"WO","P"))</f>
        <v>WO</v>
      </c>
      <c r="G12" s="4" t="str">
        <f>IFERROR(LOOKUP(2,1/((#REF!=mar!$A12)*(#REF!&lt;=mar!G$3)*(#REF!&gt;=mar!G$3)),#REF!),IF(WEEKDAY(mar!G$3,1)=1,"WO","P"))</f>
        <v>P</v>
      </c>
      <c r="H12" s="4" t="str">
        <f>IFERROR(LOOKUP(2,1/((#REF!=mar!$A12)*(#REF!&lt;=mar!H$3)*(#REF!&gt;=mar!H$3)),#REF!),IF(WEEKDAY(mar!H$3,1)=1,"WO","P"))</f>
        <v>P</v>
      </c>
      <c r="I12" s="4" t="s">
        <v>350</v>
      </c>
      <c r="J12" s="4" t="str">
        <f>IFERROR(LOOKUP(2,1/((#REF!=mar!$A12)*(#REF!&lt;=mar!J$3)*(#REF!&gt;=mar!J$3)),#REF!),IF(WEEKDAY(mar!J$3,1)=1,"WO","P"))</f>
        <v>P</v>
      </c>
      <c r="K12" s="4" t="str">
        <f>IFERROR(LOOKUP(2,1/((#REF!=mar!$A12)*(#REF!&lt;=mar!K$3)*(#REF!&gt;=mar!K$3)),#REF!),IF(WEEKDAY(mar!K$3,1)=1,"WO","P"))</f>
        <v>P</v>
      </c>
      <c r="L12" s="4" t="str">
        <f>IFERROR(LOOKUP(2,1/((#REF!=mar!$A12)*(#REF!&lt;=mar!L$3)*(#REF!&gt;=mar!L$3)),#REF!),IF(WEEKDAY(mar!L$3,1)=1,"WO","P"))</f>
        <v>P</v>
      </c>
      <c r="M12" s="4" t="str">
        <f>IFERROR(LOOKUP(2,1/((#REF!=mar!$A12)*(#REF!&lt;=mar!M$3)*(#REF!&gt;=mar!M$3)),#REF!),IF(WEEKDAY(mar!M$3,1)=1,"WO","P"))</f>
        <v>WO</v>
      </c>
      <c r="N12" s="4" t="str">
        <f>IFERROR(LOOKUP(2,1/((#REF!=mar!$A12)*(#REF!&lt;=mar!N$3)*(#REF!&gt;=mar!N$3)),#REF!),IF(WEEKDAY(mar!N$3,1)=1,"WO","P"))</f>
        <v>P</v>
      </c>
      <c r="O12" s="4" t="str">
        <f>IFERROR(LOOKUP(2,1/((#REF!=mar!$A12)*(#REF!&lt;=mar!O$3)*(#REF!&gt;=mar!O$3)),#REF!),IF(WEEKDAY(mar!O$3,1)=1,"WO","P"))</f>
        <v>P</v>
      </c>
      <c r="P12" s="4" t="str">
        <f>IFERROR(LOOKUP(2,1/((#REF!=mar!$A12)*(#REF!&lt;=mar!P$3)*(#REF!&gt;=mar!P$3)),#REF!),IF(WEEKDAY(mar!P$3,1)=1,"WO","P"))</f>
        <v>P</v>
      </c>
      <c r="Q12" s="4" t="str">
        <f>IFERROR(LOOKUP(2,1/((#REF!=mar!$A12)*(#REF!&lt;=mar!Q$3)*(#REF!&gt;=mar!Q$3)),#REF!),IF(WEEKDAY(mar!Q$3,1)=1,"WO","P"))</f>
        <v>P</v>
      </c>
      <c r="R12" s="4" t="str">
        <f>IFERROR(LOOKUP(2,1/((#REF!=mar!$A12)*(#REF!&lt;=mar!R$3)*(#REF!&gt;=mar!R$3)),#REF!),IF(WEEKDAY(mar!R$3,1)=1,"WO","P"))</f>
        <v>P</v>
      </c>
      <c r="S12" s="4" t="str">
        <f>IFERROR(LOOKUP(2,1/((#REF!=mar!$A12)*(#REF!&lt;=mar!S$3)*(#REF!&gt;=mar!S$3)),#REF!),IF(WEEKDAY(mar!S$3,1)=1,"WO","P"))</f>
        <v>P</v>
      </c>
      <c r="T12" s="4" t="str">
        <f>IFERROR(LOOKUP(2,1/((#REF!=mar!$A12)*(#REF!&lt;=mar!T$3)*(#REF!&gt;=mar!T$3)),#REF!),IF(WEEKDAY(mar!T$3,1)=1,"WO","P"))</f>
        <v>WO</v>
      </c>
      <c r="U12" s="4" t="str">
        <f>IFERROR(LOOKUP(2,1/((#REF!=mar!$A12)*(#REF!&lt;=mar!U$3)*(#REF!&gt;=mar!U$3)),#REF!),IF(WEEKDAY(mar!U$3,1)=1,"WO","P"))</f>
        <v>P</v>
      </c>
      <c r="V12" s="4" t="str">
        <f>IFERROR(LOOKUP(2,1/((#REF!=mar!$A12)*(#REF!&lt;=mar!V$3)*(#REF!&gt;=mar!V$3)),#REF!),IF(WEEKDAY(mar!V$3,1)=1,"WO","P"))</f>
        <v>P</v>
      </c>
      <c r="W12" s="4" t="str">
        <f>IFERROR(LOOKUP(2,1/((#REF!=mar!$A12)*(#REF!&lt;=mar!W$3)*(#REF!&gt;=mar!W$3)),#REF!),IF(WEEKDAY(mar!W$3,1)=1,"WO","P"))</f>
        <v>P</v>
      </c>
      <c r="X12" s="4" t="str">
        <f>IFERROR(LOOKUP(2,1/((#REF!=mar!$A12)*(#REF!&lt;=mar!X$3)*(#REF!&gt;=mar!X$3)),#REF!),IF(WEEKDAY(mar!X$3,1)=1,"WO","P"))</f>
        <v>P</v>
      </c>
      <c r="Y12" s="4" t="str">
        <f>IFERROR(LOOKUP(2,1/((#REF!=mar!$A12)*(#REF!&lt;=mar!Y$3)*(#REF!&gt;=mar!Y$3)),#REF!),IF(WEEKDAY(mar!Y$3,1)=1,"WO","P"))</f>
        <v>P</v>
      </c>
      <c r="Z12" s="4" t="s">
        <v>350</v>
      </c>
      <c r="AA12" s="4" t="str">
        <f>IFERROR(LOOKUP(2,1/((#REF!=mar!$A12)*(#REF!&lt;=mar!AA$3)*(#REF!&gt;=mar!AA$3)),#REF!),IF(WEEKDAY(mar!AA$3,1)=1,"WO","P"))</f>
        <v>WO</v>
      </c>
      <c r="AB12" s="4" t="str">
        <f>IFERROR(LOOKUP(2,1/((#REF!=mar!$A12)*(#REF!&lt;=mar!AB$3)*(#REF!&gt;=mar!AB$3)),#REF!),IF(WEEKDAY(mar!AB$3,1)=1,"WO","P"))</f>
        <v>P</v>
      </c>
      <c r="AC12" s="4" t="str">
        <f>IFERROR(LOOKUP(2,1/((#REF!=mar!$A12)*(#REF!&lt;=mar!AC$3)*(#REF!&gt;=mar!AC$3)),#REF!),IF(WEEKDAY(mar!AC$3,1)=1,"WO","P"))</f>
        <v>P</v>
      </c>
      <c r="AD12" s="4" t="str">
        <f>IFERROR(LOOKUP(2,1/((#REF!=mar!$A12)*(#REF!&lt;=mar!AD$3)*(#REF!&gt;=mar!AD$3)),#REF!),IF(WEEKDAY(mar!AD$3,1)=1,"WO","P"))</f>
        <v>P</v>
      </c>
      <c r="AE12" s="4" t="str">
        <f>IFERROR(LOOKUP(2,1/((#REF!=mar!$A12)*(#REF!&lt;=mar!AE$3)*(#REF!&gt;=mar!AE$3)),#REF!),IF(WEEKDAY(mar!AE$3,1)=1,"WO","P"))</f>
        <v>P</v>
      </c>
      <c r="AF12" s="4" t="str">
        <f>IFERROR(LOOKUP(2,1/((#REF!=mar!$A12)*(#REF!&lt;=mar!AF$3)*(#REF!&gt;=mar!AF$3)),#REF!),IF(WEEKDAY(mar!AF$3,1)=1,"WO","P"))</f>
        <v>P</v>
      </c>
      <c r="AG12" s="4" t="str">
        <f>IFERROR(LOOKUP(2,1/((#REF!=mar!$A12)*(#REF!&lt;=mar!AG$3)*(#REF!&gt;=mar!AG$3)),#REF!),IF(WEEKDAY(mar!AG$3,1)=1,"WO","P"))</f>
        <v>P</v>
      </c>
      <c r="AH12" s="4" t="str">
        <f>IFERROR(LOOKUP(2,1/((#REF!=mar!$A12)*(#REF!&lt;=mar!AH$3)*(#REF!&gt;=mar!AH$3)),#REF!),IF(WEEKDAY(mar!AH$3,1)=1,"WO","P"))</f>
        <v>WO</v>
      </c>
      <c r="AI12" s="4" t="str">
        <f>IFERROR(LOOKUP(2,1/((#REF!=mar!$A12)*(#REF!&lt;=mar!AI$3)*(#REF!&gt;=mar!AI$3)),#REF!),IF(WEEKDAY(mar!AI$3,1)=1,"WO","P"))</f>
        <v>P</v>
      </c>
      <c r="AJ12" s="4" t="str">
        <f>IFERROR(LOOKUP(2,1/((#REF!=mar!$A12)*(#REF!&lt;=mar!AJ$3)*(#REF!&gt;=mar!AJ$3)),#REF!),IF(WEEKDAY(mar!AJ$3,1)=1,"WO","P"))</f>
        <v>P</v>
      </c>
      <c r="AK12" s="4">
        <f>COUNTIF(mar!$F12:$AJ12,"WO")</f>
        <v>5</v>
      </c>
      <c r="AL12" s="4">
        <f>COUNTIF(mar!$F12:$AJ12,"H")</f>
        <v>2</v>
      </c>
      <c r="AM12" s="4">
        <f>COUNTIF(mar!$F12:$AJ12,"pl")</f>
        <v>0</v>
      </c>
      <c r="AN12" s="4">
        <f>COUNTIF(mar!$F12:$AJ12,"LWP")</f>
        <v>0</v>
      </c>
      <c r="AO12" s="4">
        <f>COUNTIF(mar!$F12:$AJ12,"HD")</f>
        <v>0</v>
      </c>
      <c r="AP12" s="4">
        <f>COUNTIF(mar!$F12:$AJ12,"SL")</f>
        <v>0</v>
      </c>
      <c r="AQ12" s="4">
        <f>COUNTIF(mar!$F12:$AJ12,"CL")</f>
        <v>0</v>
      </c>
      <c r="AR12" s="4">
        <f>COUNTIF(mar!$F12:$AJ12,"A")</f>
        <v>0</v>
      </c>
      <c r="AS12" s="4">
        <f>COUNTIF(mar!$F12:$AJ12,"P")</f>
        <v>24</v>
      </c>
      <c r="AT12" s="4">
        <f t="shared" si="2"/>
        <v>31</v>
      </c>
      <c r="AU12" s="4">
        <f t="shared" si="3"/>
        <v>31</v>
      </c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</row>
    <row r="13" spans="1:78" ht="18.75" x14ac:dyDescent="0.3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IFERROR(LOOKUP(2,1/((#REF!=mar!$A13)*(#REF!&lt;=mar!F$3)*(#REF!&gt;=mar!F$3)),#REF!),IF(WEEKDAY(mar!F$3,1)=1,"WO","P"))</f>
        <v>WO</v>
      </c>
      <c r="G13" s="4" t="str">
        <f>IFERROR(LOOKUP(2,1/((#REF!=mar!$A13)*(#REF!&lt;=mar!G$3)*(#REF!&gt;=mar!G$3)),#REF!),IF(WEEKDAY(mar!G$3,1)=1,"WO","P"))</f>
        <v>P</v>
      </c>
      <c r="H13" s="4" t="str">
        <f>IFERROR(LOOKUP(2,1/((#REF!=mar!$A13)*(#REF!&lt;=mar!H$3)*(#REF!&gt;=mar!H$3)),#REF!),IF(WEEKDAY(mar!H$3,1)=1,"WO","P"))</f>
        <v>P</v>
      </c>
      <c r="I13" s="4" t="s">
        <v>350</v>
      </c>
      <c r="J13" s="4" t="s">
        <v>539</v>
      </c>
      <c r="K13" s="4" t="str">
        <f>IFERROR(LOOKUP(2,1/((#REF!=mar!$A13)*(#REF!&lt;=mar!K$3)*(#REF!&gt;=mar!K$3)),#REF!),IF(WEEKDAY(mar!K$3,1)=1,"WO","P"))</f>
        <v>P</v>
      </c>
      <c r="L13" s="4" t="str">
        <f>IFERROR(LOOKUP(2,1/((#REF!=mar!$A13)*(#REF!&lt;=mar!L$3)*(#REF!&gt;=mar!L$3)),#REF!),IF(WEEKDAY(mar!L$3,1)=1,"WO","P"))</f>
        <v>P</v>
      </c>
      <c r="M13" s="4" t="str">
        <f>IFERROR(LOOKUP(2,1/((#REF!=mar!$A13)*(#REF!&lt;=mar!M$3)*(#REF!&gt;=mar!M$3)),#REF!),IF(WEEKDAY(mar!M$3,1)=1,"WO","P"))</f>
        <v>WO</v>
      </c>
      <c r="N13" s="4" t="str">
        <f>IFERROR(LOOKUP(2,1/((#REF!=mar!$A13)*(#REF!&lt;=mar!N$3)*(#REF!&gt;=mar!N$3)),#REF!),IF(WEEKDAY(mar!N$3,1)=1,"WO","P"))</f>
        <v>P</v>
      </c>
      <c r="O13" s="4" t="str">
        <f>IFERROR(LOOKUP(2,1/((#REF!=mar!$A13)*(#REF!&lt;=mar!O$3)*(#REF!&gt;=mar!O$3)),#REF!),IF(WEEKDAY(mar!O$3,1)=1,"WO","P"))</f>
        <v>P</v>
      </c>
      <c r="P13" s="4" t="str">
        <f>IFERROR(LOOKUP(2,1/((#REF!=mar!$A13)*(#REF!&lt;=mar!P$3)*(#REF!&gt;=mar!P$3)),#REF!),IF(WEEKDAY(mar!P$3,1)=1,"WO","P"))</f>
        <v>P</v>
      </c>
      <c r="Q13" s="4" t="str">
        <f>IFERROR(LOOKUP(2,1/((#REF!=mar!$A13)*(#REF!&lt;=mar!Q$3)*(#REF!&gt;=mar!Q$3)),#REF!),IF(WEEKDAY(mar!Q$3,1)=1,"WO","P"))</f>
        <v>P</v>
      </c>
      <c r="R13" s="4" t="s">
        <v>539</v>
      </c>
      <c r="S13" s="4" t="str">
        <f>IFERROR(LOOKUP(2,1/((#REF!=mar!$A13)*(#REF!&lt;=mar!S$3)*(#REF!&gt;=mar!S$3)),#REF!),IF(WEEKDAY(mar!S$3,1)=1,"WO","P"))</f>
        <v>P</v>
      </c>
      <c r="T13" s="4" t="str">
        <f>IFERROR(LOOKUP(2,1/((#REF!=mar!$A13)*(#REF!&lt;=mar!T$3)*(#REF!&gt;=mar!T$3)),#REF!),IF(WEEKDAY(mar!T$3,1)=1,"WO","P"))</f>
        <v>WO</v>
      </c>
      <c r="U13" s="4" t="str">
        <f>IFERROR(LOOKUP(2,1/((#REF!=mar!$A13)*(#REF!&lt;=mar!U$3)*(#REF!&gt;=mar!U$3)),#REF!),IF(WEEKDAY(mar!U$3,1)=1,"WO","P"))</f>
        <v>P</v>
      </c>
      <c r="V13" s="4" t="str">
        <f>IFERROR(LOOKUP(2,1/((#REF!=mar!$A13)*(#REF!&lt;=mar!V$3)*(#REF!&gt;=mar!V$3)),#REF!),IF(WEEKDAY(mar!V$3,1)=1,"WO","P"))</f>
        <v>P</v>
      </c>
      <c r="W13" s="4" t="str">
        <f>IFERROR(LOOKUP(2,1/((#REF!=mar!$A13)*(#REF!&lt;=mar!W$3)*(#REF!&gt;=mar!W$3)),#REF!),IF(WEEKDAY(mar!W$3,1)=1,"WO","P"))</f>
        <v>P</v>
      </c>
      <c r="X13" s="4" t="str">
        <f>IFERROR(LOOKUP(2,1/((#REF!=mar!$A13)*(#REF!&lt;=mar!X$3)*(#REF!&gt;=mar!X$3)),#REF!),IF(WEEKDAY(mar!X$3,1)=1,"WO","P"))</f>
        <v>P</v>
      </c>
      <c r="Y13" s="4" t="str">
        <f>IFERROR(LOOKUP(2,1/((#REF!=mar!$A13)*(#REF!&lt;=mar!Y$3)*(#REF!&gt;=mar!Y$3)),#REF!),IF(WEEKDAY(mar!Y$3,1)=1,"WO","P"))</f>
        <v>P</v>
      </c>
      <c r="Z13" s="4" t="s">
        <v>350</v>
      </c>
      <c r="AA13" s="4" t="str">
        <f>IFERROR(LOOKUP(2,1/((#REF!=mar!$A13)*(#REF!&lt;=mar!AA$3)*(#REF!&gt;=mar!AA$3)),#REF!),IF(WEEKDAY(mar!AA$3,1)=1,"WO","P"))</f>
        <v>WO</v>
      </c>
      <c r="AB13" s="4" t="str">
        <f>IFERROR(LOOKUP(2,1/((#REF!=mar!$A13)*(#REF!&lt;=mar!AB$3)*(#REF!&gt;=mar!AB$3)),#REF!),IF(WEEKDAY(mar!AB$3,1)=1,"WO","P"))</f>
        <v>P</v>
      </c>
      <c r="AC13" s="4" t="str">
        <f>IFERROR(LOOKUP(2,1/((#REF!=mar!$A13)*(#REF!&lt;=mar!AC$3)*(#REF!&gt;=mar!AC$3)),#REF!),IF(WEEKDAY(mar!AC$3,1)=1,"WO","P"))</f>
        <v>P</v>
      </c>
      <c r="AD13" s="4" t="str">
        <f>IFERROR(LOOKUP(2,1/((#REF!=mar!$A13)*(#REF!&lt;=mar!AD$3)*(#REF!&gt;=mar!AD$3)),#REF!),IF(WEEKDAY(mar!AD$3,1)=1,"WO","P"))</f>
        <v>P</v>
      </c>
      <c r="AE13" s="4" t="str">
        <f>IFERROR(LOOKUP(2,1/((#REF!=mar!$A13)*(#REF!&lt;=mar!AE$3)*(#REF!&gt;=mar!AE$3)),#REF!),IF(WEEKDAY(mar!AE$3,1)=1,"WO","P"))</f>
        <v>P</v>
      </c>
      <c r="AF13" s="4" t="str">
        <f>IFERROR(LOOKUP(2,1/((#REF!=mar!$A13)*(#REF!&lt;=mar!AF$3)*(#REF!&gt;=mar!AF$3)),#REF!),IF(WEEKDAY(mar!AF$3,1)=1,"WO","P"))</f>
        <v>P</v>
      </c>
      <c r="AG13" s="4" t="str">
        <f>IFERROR(LOOKUP(2,1/((#REF!=mar!$A13)*(#REF!&lt;=mar!AG$3)*(#REF!&gt;=mar!AG$3)),#REF!),IF(WEEKDAY(mar!AG$3,1)=1,"WO","P"))</f>
        <v>P</v>
      </c>
      <c r="AH13" s="4" t="str">
        <f>IFERROR(LOOKUP(2,1/((#REF!=mar!$A13)*(#REF!&lt;=mar!AH$3)*(#REF!&gt;=mar!AH$3)),#REF!),IF(WEEKDAY(mar!AH$3,1)=1,"WO","P"))</f>
        <v>WO</v>
      </c>
      <c r="AI13" s="4" t="str">
        <f>IFERROR(LOOKUP(2,1/((#REF!=mar!$A13)*(#REF!&lt;=mar!AI$3)*(#REF!&gt;=mar!AI$3)),#REF!),IF(WEEKDAY(mar!AI$3,1)=1,"WO","P"))</f>
        <v>P</v>
      </c>
      <c r="AJ13" s="4" t="str">
        <f>IFERROR(LOOKUP(2,1/((#REF!=mar!$A13)*(#REF!&lt;=mar!AJ$3)*(#REF!&gt;=mar!AJ$3)),#REF!),IF(WEEKDAY(mar!AJ$3,1)=1,"WO","P"))</f>
        <v>P</v>
      </c>
      <c r="AK13" s="4">
        <f>COUNTIF(mar!$F13:$AJ13,"WO")</f>
        <v>5</v>
      </c>
      <c r="AL13" s="4">
        <f>COUNTIF(mar!$F13:$AJ13,"H")</f>
        <v>2</v>
      </c>
      <c r="AM13" s="4">
        <f>COUNTIF(mar!$F13:$AJ13,"pl")</f>
        <v>0</v>
      </c>
      <c r="AN13" s="4">
        <f>COUNTIF(mar!$F13:$AJ13,"LWP")</f>
        <v>0</v>
      </c>
      <c r="AO13" s="4">
        <f>COUNTIF(mar!$F13:$AJ13,"HD")</f>
        <v>0</v>
      </c>
      <c r="AP13" s="4">
        <f>COUNTIF(mar!$F13:$AJ13,"SL")</f>
        <v>0</v>
      </c>
      <c r="AQ13" s="4">
        <f>COUNTIF(mar!$F13:$AJ13,"CL")</f>
        <v>0</v>
      </c>
      <c r="AR13" s="4">
        <f>COUNTIF(mar!$F13:$AJ13,"A")</f>
        <v>2</v>
      </c>
      <c r="AS13" s="4">
        <f>COUNTIF(mar!$F13:$AJ13,"P")</f>
        <v>22</v>
      </c>
      <c r="AT13" s="4">
        <f t="shared" si="2"/>
        <v>31</v>
      </c>
      <c r="AU13" s="4">
        <f t="shared" si="3"/>
        <v>29</v>
      </c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</row>
    <row r="14" spans="1:78" ht="18.75" x14ac:dyDescent="0.3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IFERROR(LOOKUP(2,1/((#REF!=mar!$A14)*(#REF!&lt;=mar!F$3)*(#REF!&gt;=mar!F$3)),#REF!),IF(WEEKDAY(mar!F$3,1)=1,"WO","P"))</f>
        <v>WO</v>
      </c>
      <c r="G14" s="4" t="str">
        <f>IFERROR(LOOKUP(2,1/((#REF!=mar!$A14)*(#REF!&lt;=mar!G$3)*(#REF!&gt;=mar!G$3)),#REF!),IF(WEEKDAY(mar!G$3,1)=1,"WO","P"))</f>
        <v>P</v>
      </c>
      <c r="H14" s="4" t="str">
        <f>IFERROR(LOOKUP(2,1/((#REF!=mar!$A14)*(#REF!&lt;=mar!H$3)*(#REF!&gt;=mar!H$3)),#REF!),IF(WEEKDAY(mar!H$3,1)=1,"WO","P"))</f>
        <v>P</v>
      </c>
      <c r="I14" s="4" t="s">
        <v>350</v>
      </c>
      <c r="J14" s="4" t="str">
        <f>IFERROR(LOOKUP(2,1/((#REF!=mar!$A14)*(#REF!&lt;=mar!J$3)*(#REF!&gt;=mar!J$3)),#REF!),IF(WEEKDAY(mar!J$3,1)=1,"WO","P"))</f>
        <v>P</v>
      </c>
      <c r="K14" s="4" t="str">
        <f>IFERROR(LOOKUP(2,1/((#REF!=mar!$A14)*(#REF!&lt;=mar!K$3)*(#REF!&gt;=mar!K$3)),#REF!),IF(WEEKDAY(mar!K$3,1)=1,"WO","P"))</f>
        <v>P</v>
      </c>
      <c r="L14" s="4" t="str">
        <f>IFERROR(LOOKUP(2,1/((#REF!=mar!$A14)*(#REF!&lt;=mar!L$3)*(#REF!&gt;=mar!L$3)),#REF!),IF(WEEKDAY(mar!L$3,1)=1,"WO","P"))</f>
        <v>P</v>
      </c>
      <c r="M14" s="4" t="str">
        <f>IFERROR(LOOKUP(2,1/((#REF!=mar!$A14)*(#REF!&lt;=mar!M$3)*(#REF!&gt;=mar!M$3)),#REF!),IF(WEEKDAY(mar!M$3,1)=1,"WO","P"))</f>
        <v>WO</v>
      </c>
      <c r="N14" s="4" t="str">
        <f>IFERROR(LOOKUP(2,1/((#REF!=mar!$A14)*(#REF!&lt;=mar!N$3)*(#REF!&gt;=mar!N$3)),#REF!),IF(WEEKDAY(mar!N$3,1)=1,"WO","P"))</f>
        <v>P</v>
      </c>
      <c r="O14" s="4" t="str">
        <f>IFERROR(LOOKUP(2,1/((#REF!=mar!$A14)*(#REF!&lt;=mar!O$3)*(#REF!&gt;=mar!O$3)),#REF!),IF(WEEKDAY(mar!O$3,1)=1,"WO","P"))</f>
        <v>P</v>
      </c>
      <c r="P14" s="4" t="str">
        <f>IFERROR(LOOKUP(2,1/((#REF!=mar!$A14)*(#REF!&lt;=mar!P$3)*(#REF!&gt;=mar!P$3)),#REF!),IF(WEEKDAY(mar!P$3,1)=1,"WO","P"))</f>
        <v>P</v>
      </c>
      <c r="Q14" s="4" t="str">
        <f>IFERROR(LOOKUP(2,1/((#REF!=mar!$A14)*(#REF!&lt;=mar!Q$3)*(#REF!&gt;=mar!Q$3)),#REF!),IF(WEEKDAY(mar!Q$3,1)=1,"WO","P"))</f>
        <v>P</v>
      </c>
      <c r="R14" s="4" t="str">
        <f>IFERROR(LOOKUP(2,1/((#REF!=mar!$A14)*(#REF!&lt;=mar!R$3)*(#REF!&gt;=mar!R$3)),#REF!),IF(WEEKDAY(mar!R$3,1)=1,"WO","P"))</f>
        <v>P</v>
      </c>
      <c r="S14" s="4" t="str">
        <f>IFERROR(LOOKUP(2,1/((#REF!=mar!$A14)*(#REF!&lt;=mar!S$3)*(#REF!&gt;=mar!S$3)),#REF!),IF(WEEKDAY(mar!S$3,1)=1,"WO","P"))</f>
        <v>P</v>
      </c>
      <c r="T14" s="4" t="str">
        <f>IFERROR(LOOKUP(2,1/((#REF!=mar!$A14)*(#REF!&lt;=mar!T$3)*(#REF!&gt;=mar!T$3)),#REF!),IF(WEEKDAY(mar!T$3,1)=1,"WO","P"))</f>
        <v>WO</v>
      </c>
      <c r="U14" s="4" t="str">
        <f>IFERROR(LOOKUP(2,1/((#REF!=mar!$A14)*(#REF!&lt;=mar!U$3)*(#REF!&gt;=mar!U$3)),#REF!),IF(WEEKDAY(mar!U$3,1)=1,"WO","P"))</f>
        <v>P</v>
      </c>
      <c r="V14" s="4" t="str">
        <f>IFERROR(LOOKUP(2,1/((#REF!=mar!$A14)*(#REF!&lt;=mar!V$3)*(#REF!&gt;=mar!V$3)),#REF!),IF(WEEKDAY(mar!V$3,1)=1,"WO","P"))</f>
        <v>P</v>
      </c>
      <c r="W14" s="4" t="str">
        <f>IFERROR(LOOKUP(2,1/((#REF!=mar!$A14)*(#REF!&lt;=mar!W$3)*(#REF!&gt;=mar!W$3)),#REF!),IF(WEEKDAY(mar!W$3,1)=1,"WO","P"))</f>
        <v>P</v>
      </c>
      <c r="X14" s="4" t="str">
        <f>IFERROR(LOOKUP(2,1/((#REF!=mar!$A14)*(#REF!&lt;=mar!X$3)*(#REF!&gt;=mar!X$3)),#REF!),IF(WEEKDAY(mar!X$3,1)=1,"WO","P"))</f>
        <v>P</v>
      </c>
      <c r="Y14" s="4" t="str">
        <f>IFERROR(LOOKUP(2,1/((#REF!=mar!$A14)*(#REF!&lt;=mar!Y$3)*(#REF!&gt;=mar!Y$3)),#REF!),IF(WEEKDAY(mar!Y$3,1)=1,"WO","P"))</f>
        <v>P</v>
      </c>
      <c r="Z14" s="4" t="s">
        <v>350</v>
      </c>
      <c r="AA14" s="4" t="str">
        <f>IFERROR(LOOKUP(2,1/((#REF!=mar!$A14)*(#REF!&lt;=mar!AA$3)*(#REF!&gt;=mar!AA$3)),#REF!),IF(WEEKDAY(mar!AA$3,1)=1,"WO","P"))</f>
        <v>WO</v>
      </c>
      <c r="AB14" s="4" t="str">
        <f>IFERROR(LOOKUP(2,1/((#REF!=mar!$A14)*(#REF!&lt;=mar!AB$3)*(#REF!&gt;=mar!AB$3)),#REF!),IF(WEEKDAY(mar!AB$3,1)=1,"WO","P"))</f>
        <v>P</v>
      </c>
      <c r="AC14" s="4" t="s">
        <v>539</v>
      </c>
      <c r="AD14" s="4" t="str">
        <f>IFERROR(LOOKUP(2,1/((#REF!=mar!$A14)*(#REF!&lt;=mar!AD$3)*(#REF!&gt;=mar!AD$3)),#REF!),IF(WEEKDAY(mar!AD$3,1)=1,"WO","P"))</f>
        <v>P</v>
      </c>
      <c r="AE14" s="4" t="str">
        <f>IFERROR(LOOKUP(2,1/((#REF!=mar!$A14)*(#REF!&lt;=mar!AE$3)*(#REF!&gt;=mar!AE$3)),#REF!),IF(WEEKDAY(mar!AE$3,1)=1,"WO","P"))</f>
        <v>P</v>
      </c>
      <c r="AF14" s="4" t="str">
        <f>IFERROR(LOOKUP(2,1/((#REF!=mar!$A14)*(#REF!&lt;=mar!AF$3)*(#REF!&gt;=mar!AF$3)),#REF!),IF(WEEKDAY(mar!AF$3,1)=1,"WO","P"))</f>
        <v>P</v>
      </c>
      <c r="AG14" s="4" t="str">
        <f>IFERROR(LOOKUP(2,1/((#REF!=mar!$A14)*(#REF!&lt;=mar!AG$3)*(#REF!&gt;=mar!AG$3)),#REF!),IF(WEEKDAY(mar!AG$3,1)=1,"WO","P"))</f>
        <v>P</v>
      </c>
      <c r="AH14" s="4" t="str">
        <f>IFERROR(LOOKUP(2,1/((#REF!=mar!$A14)*(#REF!&lt;=mar!AH$3)*(#REF!&gt;=mar!AH$3)),#REF!),IF(WEEKDAY(mar!AH$3,1)=1,"WO","P"))</f>
        <v>WO</v>
      </c>
      <c r="AI14" s="4" t="str">
        <f>IFERROR(LOOKUP(2,1/((#REF!=mar!$A14)*(#REF!&lt;=mar!AI$3)*(#REF!&gt;=mar!AI$3)),#REF!),IF(WEEKDAY(mar!AI$3,1)=1,"WO","P"))</f>
        <v>P</v>
      </c>
      <c r="AJ14" s="4" t="str">
        <f>IFERROR(LOOKUP(2,1/((#REF!=mar!$A14)*(#REF!&lt;=mar!AJ$3)*(#REF!&gt;=mar!AJ$3)),#REF!),IF(WEEKDAY(mar!AJ$3,1)=1,"WO","P"))</f>
        <v>P</v>
      </c>
      <c r="AK14" s="4">
        <f>COUNTIF(mar!$F14:$AJ14,"WO")</f>
        <v>5</v>
      </c>
      <c r="AL14" s="4">
        <f>COUNTIF(mar!$F14:$AJ14,"H")</f>
        <v>2</v>
      </c>
      <c r="AM14" s="4">
        <f>COUNTIF(mar!$F14:$AJ14,"pl")</f>
        <v>0</v>
      </c>
      <c r="AN14" s="4">
        <f>COUNTIF(mar!$F14:$AJ14,"LWP")</f>
        <v>0</v>
      </c>
      <c r="AO14" s="4">
        <f>COUNTIF(mar!$F14:$AJ14,"HD")</f>
        <v>0</v>
      </c>
      <c r="AP14" s="4">
        <f>COUNTIF(mar!$F14:$AJ14,"SL")</f>
        <v>0</v>
      </c>
      <c r="AQ14" s="4">
        <f>COUNTIF(mar!$F14:$AJ14,"CL")</f>
        <v>0</v>
      </c>
      <c r="AR14" s="4">
        <f>COUNTIF(mar!$F14:$AJ14,"A")</f>
        <v>1</v>
      </c>
      <c r="AS14" s="4">
        <f>COUNTIF(mar!$F14:$AJ14,"P")</f>
        <v>23</v>
      </c>
      <c r="AT14" s="4">
        <f t="shared" si="2"/>
        <v>31</v>
      </c>
      <c r="AU14" s="4">
        <f t="shared" si="3"/>
        <v>30</v>
      </c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</row>
    <row r="15" spans="1:78" ht="18.75" x14ac:dyDescent="0.3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IFERROR(LOOKUP(2,1/((#REF!=mar!$A15)*(#REF!&lt;=mar!F$3)*(#REF!&gt;=mar!F$3)),#REF!),IF(WEEKDAY(mar!F$3,1)=1,"WO","P"))</f>
        <v>WO</v>
      </c>
      <c r="G15" s="4" t="str">
        <f>IFERROR(LOOKUP(2,1/((#REF!=mar!$A15)*(#REF!&lt;=mar!G$3)*(#REF!&gt;=mar!G$3)),#REF!),IF(WEEKDAY(mar!G$3,1)=1,"WO","P"))</f>
        <v>P</v>
      </c>
      <c r="H15" s="4" t="str">
        <f>IFERROR(LOOKUP(2,1/((#REF!=mar!$A15)*(#REF!&lt;=mar!H$3)*(#REF!&gt;=mar!H$3)),#REF!),IF(WEEKDAY(mar!H$3,1)=1,"WO","P"))</f>
        <v>P</v>
      </c>
      <c r="I15" s="4" t="s">
        <v>350</v>
      </c>
      <c r="J15" s="4" t="str">
        <f>IFERROR(LOOKUP(2,1/((#REF!=mar!$A15)*(#REF!&lt;=mar!J$3)*(#REF!&gt;=mar!J$3)),#REF!),IF(WEEKDAY(mar!J$3,1)=1,"WO","P"))</f>
        <v>P</v>
      </c>
      <c r="K15" s="4" t="str">
        <f>IFERROR(LOOKUP(2,1/((#REF!=mar!$A15)*(#REF!&lt;=mar!K$3)*(#REF!&gt;=mar!K$3)),#REF!),IF(WEEKDAY(mar!K$3,1)=1,"WO","P"))</f>
        <v>P</v>
      </c>
      <c r="L15" s="4" t="str">
        <f>IFERROR(LOOKUP(2,1/((#REF!=mar!$A15)*(#REF!&lt;=mar!L$3)*(#REF!&gt;=mar!L$3)),#REF!),IF(WEEKDAY(mar!L$3,1)=1,"WO","P"))</f>
        <v>P</v>
      </c>
      <c r="M15" s="4" t="str">
        <f>IFERROR(LOOKUP(2,1/((#REF!=mar!$A15)*(#REF!&lt;=mar!M$3)*(#REF!&gt;=mar!M$3)),#REF!),IF(WEEKDAY(mar!M$3,1)=1,"WO","P"))</f>
        <v>WO</v>
      </c>
      <c r="N15" s="4" t="str">
        <f>IFERROR(LOOKUP(2,1/((#REF!=mar!$A15)*(#REF!&lt;=mar!N$3)*(#REF!&gt;=mar!N$3)),#REF!),IF(WEEKDAY(mar!N$3,1)=1,"WO","P"))</f>
        <v>P</v>
      </c>
      <c r="O15" s="4" t="str">
        <f>IFERROR(LOOKUP(2,1/((#REF!=mar!$A15)*(#REF!&lt;=mar!O$3)*(#REF!&gt;=mar!O$3)),#REF!),IF(WEEKDAY(mar!O$3,1)=1,"WO","P"))</f>
        <v>P</v>
      </c>
      <c r="P15" s="4" t="str">
        <f>IFERROR(LOOKUP(2,1/((#REF!=mar!$A15)*(#REF!&lt;=mar!P$3)*(#REF!&gt;=mar!P$3)),#REF!),IF(WEEKDAY(mar!P$3,1)=1,"WO","P"))</f>
        <v>P</v>
      </c>
      <c r="Q15" s="4" t="s">
        <v>539</v>
      </c>
      <c r="R15" s="4" t="str">
        <f>IFERROR(LOOKUP(2,1/((#REF!=mar!$A15)*(#REF!&lt;=mar!R$3)*(#REF!&gt;=mar!R$3)),#REF!),IF(WEEKDAY(mar!R$3,1)=1,"WO","P"))</f>
        <v>P</v>
      </c>
      <c r="S15" s="4" t="str">
        <f>IFERROR(LOOKUP(2,1/((#REF!=mar!$A15)*(#REF!&lt;=mar!S$3)*(#REF!&gt;=mar!S$3)),#REF!),IF(WEEKDAY(mar!S$3,1)=1,"WO","P"))</f>
        <v>P</v>
      </c>
      <c r="T15" s="4" t="str">
        <f>IFERROR(LOOKUP(2,1/((#REF!=mar!$A15)*(#REF!&lt;=mar!T$3)*(#REF!&gt;=mar!T$3)),#REF!),IF(WEEKDAY(mar!T$3,1)=1,"WO","P"))</f>
        <v>WO</v>
      </c>
      <c r="U15" s="4" t="str">
        <f>IFERROR(LOOKUP(2,1/((#REF!=mar!$A15)*(#REF!&lt;=mar!U$3)*(#REF!&gt;=mar!U$3)),#REF!),IF(WEEKDAY(mar!U$3,1)=1,"WO","P"))</f>
        <v>P</v>
      </c>
      <c r="V15" s="4" t="str">
        <f>IFERROR(LOOKUP(2,1/((#REF!=mar!$A15)*(#REF!&lt;=mar!V$3)*(#REF!&gt;=mar!V$3)),#REF!),IF(WEEKDAY(mar!V$3,1)=1,"WO","P"))</f>
        <v>P</v>
      </c>
      <c r="W15" s="4" t="str">
        <f>IFERROR(LOOKUP(2,1/((#REF!=mar!$A15)*(#REF!&lt;=mar!W$3)*(#REF!&gt;=mar!W$3)),#REF!),IF(WEEKDAY(mar!W$3,1)=1,"WO","P"))</f>
        <v>P</v>
      </c>
      <c r="X15" s="4" t="str">
        <f>IFERROR(LOOKUP(2,1/((#REF!=mar!$A15)*(#REF!&lt;=mar!X$3)*(#REF!&gt;=mar!X$3)),#REF!),IF(WEEKDAY(mar!X$3,1)=1,"WO","P"))</f>
        <v>P</v>
      </c>
      <c r="Y15" s="4" t="s">
        <v>539</v>
      </c>
      <c r="Z15" s="4" t="s">
        <v>350</v>
      </c>
      <c r="AA15" s="4" t="str">
        <f>IFERROR(LOOKUP(2,1/((#REF!=mar!$A15)*(#REF!&lt;=mar!AA$3)*(#REF!&gt;=mar!AA$3)),#REF!),IF(WEEKDAY(mar!AA$3,1)=1,"WO","P"))</f>
        <v>WO</v>
      </c>
      <c r="AB15" s="4" t="str">
        <f>IFERROR(LOOKUP(2,1/((#REF!=mar!$A15)*(#REF!&lt;=mar!AB$3)*(#REF!&gt;=mar!AB$3)),#REF!),IF(WEEKDAY(mar!AB$3,1)=1,"WO","P"))</f>
        <v>P</v>
      </c>
      <c r="AC15" s="4" t="str">
        <f>IFERROR(LOOKUP(2,1/((#REF!=mar!$A15)*(#REF!&lt;=mar!AC$3)*(#REF!&gt;=mar!AC$3)),#REF!),IF(WEEKDAY(mar!AC$3,1)=1,"WO","P"))</f>
        <v>P</v>
      </c>
      <c r="AD15" s="4" t="str">
        <f>IFERROR(LOOKUP(2,1/((#REF!=mar!$A15)*(#REF!&lt;=mar!AD$3)*(#REF!&gt;=mar!AD$3)),#REF!),IF(WEEKDAY(mar!AD$3,1)=1,"WO","P"))</f>
        <v>P</v>
      </c>
      <c r="AE15" s="4" t="str">
        <f>IFERROR(LOOKUP(2,1/((#REF!=mar!$A15)*(#REF!&lt;=mar!AE$3)*(#REF!&gt;=mar!AE$3)),#REF!),IF(WEEKDAY(mar!AE$3,1)=1,"WO","P"))</f>
        <v>P</v>
      </c>
      <c r="AF15" s="4" t="str">
        <f>IFERROR(LOOKUP(2,1/((#REF!=mar!$A15)*(#REF!&lt;=mar!AF$3)*(#REF!&gt;=mar!AF$3)),#REF!),IF(WEEKDAY(mar!AF$3,1)=1,"WO","P"))</f>
        <v>P</v>
      </c>
      <c r="AG15" s="4" t="str">
        <f>IFERROR(LOOKUP(2,1/((#REF!=mar!$A15)*(#REF!&lt;=mar!AG$3)*(#REF!&gt;=mar!AG$3)),#REF!),IF(WEEKDAY(mar!AG$3,1)=1,"WO","P"))</f>
        <v>P</v>
      </c>
      <c r="AH15" s="4" t="str">
        <f>IFERROR(LOOKUP(2,1/((#REF!=mar!$A15)*(#REF!&lt;=mar!AH$3)*(#REF!&gt;=mar!AH$3)),#REF!),IF(WEEKDAY(mar!AH$3,1)=1,"WO","P"))</f>
        <v>WO</v>
      </c>
      <c r="AI15" s="4" t="str">
        <f>IFERROR(LOOKUP(2,1/((#REF!=mar!$A15)*(#REF!&lt;=mar!AI$3)*(#REF!&gt;=mar!AI$3)),#REF!),IF(WEEKDAY(mar!AI$3,1)=1,"WO","P"))</f>
        <v>P</v>
      </c>
      <c r="AJ15" s="4" t="str">
        <f>IFERROR(LOOKUP(2,1/((#REF!=mar!$A15)*(#REF!&lt;=mar!AJ$3)*(#REF!&gt;=mar!AJ$3)),#REF!),IF(WEEKDAY(mar!AJ$3,1)=1,"WO","P"))</f>
        <v>P</v>
      </c>
      <c r="AK15" s="4">
        <f>COUNTIF(mar!$F15:$AJ15,"WO")</f>
        <v>5</v>
      </c>
      <c r="AL15" s="4">
        <f>COUNTIF(mar!$F15:$AJ15,"H")</f>
        <v>2</v>
      </c>
      <c r="AM15" s="4">
        <f>COUNTIF(mar!$F15:$AJ15,"pl")</f>
        <v>0</v>
      </c>
      <c r="AN15" s="4">
        <f>COUNTIF(mar!$F15:$AJ15,"LWP")</f>
        <v>0</v>
      </c>
      <c r="AO15" s="4">
        <f>COUNTIF(mar!$F15:$AJ15,"HD")</f>
        <v>0</v>
      </c>
      <c r="AP15" s="4">
        <f>COUNTIF(mar!$F15:$AJ15,"SL")</f>
        <v>0</v>
      </c>
      <c r="AQ15" s="4">
        <f>COUNTIF(mar!$F15:$AJ15,"CL")</f>
        <v>0</v>
      </c>
      <c r="AR15" s="4">
        <f>COUNTIF(mar!$F15:$AJ15,"A")</f>
        <v>2</v>
      </c>
      <c r="AS15" s="4">
        <f>COUNTIF(mar!$F15:$AJ15,"P")</f>
        <v>22</v>
      </c>
      <c r="AT15" s="4">
        <f t="shared" si="2"/>
        <v>31</v>
      </c>
      <c r="AU15" s="4">
        <f t="shared" si="3"/>
        <v>29</v>
      </c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</row>
    <row r="16" spans="1:78" ht="18.75" x14ac:dyDescent="0.3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IFERROR(LOOKUP(2,1/((#REF!=mar!$A16)*(#REF!&lt;=mar!F$3)*(#REF!&gt;=mar!F$3)),#REF!),IF(WEEKDAY(mar!F$3,1)=1,"WO","P"))</f>
        <v>WO</v>
      </c>
      <c r="G16" s="4" t="str">
        <f>IFERROR(LOOKUP(2,1/((lentry!$A$3:$A$3999=mar!$A16)*(lentry!$B$3:$B$3999&lt;=mar!G$3)*(lentry!$C$3:$C$3999&gt;=mar!G$3)),lentry!$D$3:$D$3999),IF(WEEKDAY(mar!G$3,1)=1,"WO","P"))</f>
        <v>P</v>
      </c>
      <c r="H16" s="4" t="str">
        <f>IFERROR(LOOKUP(2,1/((lentry!$A$3:$A$3999=mar!$A16)*(lentry!$B$3:$B$3999&lt;=mar!H$3)*(lentry!$C$3:$C$3999&gt;=mar!H$3)),lentry!$D$3:$D$3999),IF(WEEKDAY(mar!H$3,1)=1,"WO","P"))</f>
        <v>P</v>
      </c>
      <c r="I16" s="4" t="s">
        <v>350</v>
      </c>
      <c r="J16" s="4" t="str">
        <f>IFERROR(LOOKUP(2,1/((lentry!$A$3:$A$3999=mar!$A16)*(lentry!$B$3:$B$3999&lt;=mar!J$3)*(lentry!$C$3:$C$3999&gt;=mar!J$3)),lentry!$D$3:$D$3999),IF(WEEKDAY(mar!J$3,1)=1,"WO","P"))</f>
        <v>P</v>
      </c>
      <c r="K16" s="4" t="str">
        <f>IFERROR(LOOKUP(2,1/((lentry!$A$3:$A$3999=mar!$A16)*(lentry!$B$3:$B$3999&lt;=mar!K$3)*(lentry!$C$3:$C$3999&gt;=mar!K$3)),lentry!$D$3:$D$3999),IF(WEEKDAY(mar!K$3,1)=1,"WO","P"))</f>
        <v>P</v>
      </c>
      <c r="L16" s="4" t="str">
        <f>IFERROR(LOOKUP(2,1/((lentry!$A$3:$A$3999=mar!$A16)*(lentry!$B$3:$B$3999&lt;=mar!L$3)*(lentry!$C$3:$C$3999&gt;=mar!L$3)),lentry!$D$3:$D$3999),IF(WEEKDAY(mar!L$3,1)=1,"WO","P"))</f>
        <v>P</v>
      </c>
      <c r="M16" s="4" t="str">
        <f>IFERROR(LOOKUP(2,1/((#REF!=mar!$A16)*(#REF!&lt;=mar!M$3)*(#REF!&gt;=mar!M$3)),#REF!),IF(WEEKDAY(mar!M$3,1)=1,"WO","P"))</f>
        <v>WO</v>
      </c>
      <c r="N16" s="4" t="str">
        <f>IFERROR(LOOKUP(2,1/((lentry!$A$3:$A$3999=mar!$A16)*(lentry!$B$3:$B$3999&lt;=mar!N$3)*(lentry!$C$3:$C$3999&gt;=mar!N$3)),lentry!$D$3:$D$3999),IF(WEEKDAY(mar!N$3,1)=1,"WO","P"))</f>
        <v>P</v>
      </c>
      <c r="O16" s="4" t="s">
        <v>539</v>
      </c>
      <c r="P16" s="4" t="str">
        <f>IFERROR(LOOKUP(2,1/((lentry!$A$3:$A$3999=mar!$A16)*(lentry!$B$3:$B$3999&lt;=mar!P$3)*(lentry!$C$3:$C$3999&gt;=mar!P$3)),lentry!$D$3:$D$3999),IF(WEEKDAY(mar!P$3,1)=1,"WO","P"))</f>
        <v>P</v>
      </c>
      <c r="Q16" s="4" t="str">
        <f>IFERROR(LOOKUP(2,1/((lentry!$A$3:$A$3999=mar!$A16)*(lentry!$B$3:$B$3999&lt;=mar!Q$3)*(lentry!$C$3:$C$3999&gt;=mar!Q$3)),lentry!$D$3:$D$3999),IF(WEEKDAY(mar!Q$3,1)=1,"WO","P"))</f>
        <v>P</v>
      </c>
      <c r="R16" s="4" t="str">
        <f>IFERROR(LOOKUP(2,1/((lentry!$A$3:$A$3999=mar!$A16)*(lentry!$B$3:$B$3999&lt;=mar!R$3)*(lentry!$C$3:$C$3999&gt;=mar!R$3)),lentry!$D$3:$D$3999),IF(WEEKDAY(mar!R$3,1)=1,"WO","P"))</f>
        <v>P</v>
      </c>
      <c r="S16" s="4" t="str">
        <f>IFERROR(LOOKUP(2,1/((lentry!$A$3:$A$3999=mar!$A16)*(lentry!$B$3:$B$3999&lt;=mar!S$3)*(lentry!$C$3:$C$3999&gt;=mar!S$3)),lentry!$D$3:$D$3999),IF(WEEKDAY(mar!S$3,1)=1,"WO","P"))</f>
        <v>P</v>
      </c>
      <c r="T16" s="4" t="str">
        <f>IFERROR(LOOKUP(2,1/((lentry!$A$3:$A$3999=mar!$A16)*(lentry!$B$3:$B$3999&lt;=mar!T$3)*(lentry!$C$3:$C$3999&gt;=mar!T$3)),lentry!$D$3:$D$3999),IF(WEEKDAY(mar!T$3,1)=1,"WO","P"))</f>
        <v>WO</v>
      </c>
      <c r="U16" s="4" t="str">
        <f>IFERROR(LOOKUP(2,1/((lentry!$A$3:$A$3999=mar!$A16)*(lentry!$B$3:$B$3999&lt;=mar!U$3)*(lentry!$C$3:$C$3999&gt;=mar!U$3)),lentry!$D$3:$D$3999),IF(WEEKDAY(mar!U$3,1)=1,"WO","P"))</f>
        <v>P</v>
      </c>
      <c r="V16" s="4" t="str">
        <f>IFERROR(LOOKUP(2,1/((lentry!$A$3:$A$3999=mar!$A16)*(lentry!$B$3:$B$3999&lt;=mar!V$3)*(lentry!$C$3:$C$3999&gt;=mar!V$3)),lentry!$D$3:$D$3999),IF(WEEKDAY(mar!V$3,1)=1,"WO","P"))</f>
        <v>P</v>
      </c>
      <c r="W16" s="4" t="str">
        <f>IFERROR(LOOKUP(2,1/((lentry!$A$3:$A$3999=mar!$A16)*(lentry!$B$3:$B$3999&lt;=mar!W$3)*(lentry!$C$3:$C$3999&gt;=mar!W$3)),lentry!$D$3:$D$3999),IF(WEEKDAY(mar!W$3,1)=1,"WO","P"))</f>
        <v>P</v>
      </c>
      <c r="X16" s="4" t="str">
        <f>IFERROR(LOOKUP(2,1/((lentry!$A$3:$A$3999=mar!$A16)*(lentry!$B$3:$B$3999&lt;=mar!X$3)*(lentry!$C$3:$C$3999&gt;=mar!X$3)),lentry!$D$3:$D$3999),IF(WEEKDAY(mar!X$3,1)=1,"WO","P"))</f>
        <v>P</v>
      </c>
      <c r="Y16" s="4" t="str">
        <f>IFERROR(LOOKUP(2,1/((lentry!$A$3:$A$3999=mar!$A16)*(lentry!$B$3:$B$3999&lt;=mar!Y$3)*(lentry!$C$3:$C$3999&gt;=mar!Y$3)),lentry!$D$3:$D$3999),IF(WEEKDAY(mar!Y$3,1)=1,"WO","P"))</f>
        <v>P</v>
      </c>
      <c r="Z16" s="4" t="s">
        <v>350</v>
      </c>
      <c r="AA16" s="4" t="str">
        <f>IFERROR(LOOKUP(2,1/((lentry!$A$3:$A$3999=mar!$A16)*(lentry!$B$3:$B$3999&lt;=mar!AA$3)*(lentry!$C$3:$C$3999&gt;=mar!AA$3)),lentry!$D$3:$D$3999),IF(WEEKDAY(mar!AA$3,1)=1,"WO","P"))</f>
        <v>WO</v>
      </c>
      <c r="AB16" s="4" t="str">
        <f>IFERROR(LOOKUP(2,1/((lentry!$A$3:$A$3999=mar!$A16)*(lentry!$B$3:$B$3999&lt;=mar!AB$3)*(lentry!$C$3:$C$3999&gt;=mar!AB$3)),lentry!$D$3:$D$3999),IF(WEEKDAY(mar!AB$3,1)=1,"WO","P"))</f>
        <v>P</v>
      </c>
      <c r="AC16" s="4" t="str">
        <f>IFERROR(LOOKUP(2,1/((lentry!$A$3:$A$3999=mar!$A16)*(lentry!$B$3:$B$3999&lt;=mar!AC$3)*(lentry!$C$3:$C$3999&gt;=mar!AC$3)),lentry!$D$3:$D$3999),IF(WEEKDAY(mar!AC$3,1)=1,"WO","P"))</f>
        <v>P</v>
      </c>
      <c r="AD16" s="4" t="str">
        <f>IFERROR(LOOKUP(2,1/((lentry!$A$3:$A$3999=mar!$A16)*(lentry!$B$3:$B$3999&lt;=mar!AD$3)*(lentry!$C$3:$C$3999&gt;=mar!AD$3)),lentry!$D$3:$D$3999),IF(WEEKDAY(mar!AD$3,1)=1,"WO","P"))</f>
        <v>P</v>
      </c>
      <c r="AE16" s="4" t="str">
        <f>IFERROR(LOOKUP(2,1/((lentry!$A$3:$A$3999=mar!$A16)*(lentry!$B$3:$B$3999&lt;=mar!AE$3)*(lentry!$C$3:$C$3999&gt;=mar!AE$3)),lentry!$D$3:$D$3999),IF(WEEKDAY(mar!AE$3,1)=1,"WO","P"))</f>
        <v>P</v>
      </c>
      <c r="AF16" s="4" t="str">
        <f>IFERROR(LOOKUP(2,1/((lentry!$A$3:$A$3999=mar!$A16)*(lentry!$B$3:$B$3999&lt;=mar!AF$3)*(lentry!$C$3:$C$3999&gt;=mar!AF$3)),lentry!$D$3:$D$3999),IF(WEEKDAY(mar!AF$3,1)=1,"WO","P"))</f>
        <v>P</v>
      </c>
      <c r="AG16" s="4" t="str">
        <f>IFERROR(LOOKUP(2,1/((lentry!$A$3:$A$3999=mar!$A16)*(lentry!$B$3:$B$3999&lt;=mar!AG$3)*(lentry!$C$3:$C$3999&gt;=mar!AG$3)),lentry!$D$3:$D$3999),IF(WEEKDAY(mar!AG$3,1)=1,"WO","P"))</f>
        <v>P</v>
      </c>
      <c r="AH16" s="4" t="str">
        <f>IFERROR(LOOKUP(2,1/((lentry!$A$3:$A$3999=mar!$A16)*(lentry!$B$3:$B$3999&lt;=mar!AH$3)*(lentry!$C$3:$C$3999&gt;=mar!AH$3)),lentry!$D$3:$D$3999),IF(WEEKDAY(mar!AH$3,1)=1,"WO","P"))</f>
        <v>WO</v>
      </c>
      <c r="AI16" s="4" t="str">
        <f>IFERROR(LOOKUP(2,1/((lentry!$A$3:$A$3999=mar!$A16)*(lentry!$B$3:$B$3999&lt;=mar!AI$3)*(lentry!$C$3:$C$3999&gt;=mar!AI$3)),lentry!$D$3:$D$3999),IF(WEEKDAY(mar!AI$3,1)=1,"WO","P"))</f>
        <v>P</v>
      </c>
      <c r="AJ16" s="4" t="str">
        <f>IFERROR(LOOKUP(2,1/((lentry!$A$3:$A$3999=mar!$A16)*(lentry!$B$3:$B$3999&lt;=mar!AJ$3)*(lentry!$C$3:$C$3999&gt;=mar!AJ$3)),lentry!$D$3:$D$3999),IF(WEEKDAY(mar!AJ$3,1)=1,"WO","P"))</f>
        <v>P</v>
      </c>
      <c r="AK16" s="4">
        <f>COUNTIF(mar!$F16:$AJ16,"WO")</f>
        <v>5</v>
      </c>
      <c r="AL16" s="4">
        <f>COUNTIF(mar!$F16:$AJ16,"H")</f>
        <v>2</v>
      </c>
      <c r="AM16" s="4">
        <f>COUNTIF(mar!$F16:$AJ16,"pl")</f>
        <v>0</v>
      </c>
      <c r="AN16" s="4">
        <f>COUNTIF(mar!$F16:$AJ16,"LWP")</f>
        <v>0</v>
      </c>
      <c r="AO16" s="4">
        <f>COUNTIF(mar!$F16:$AJ16,"HD")</f>
        <v>0</v>
      </c>
      <c r="AP16" s="4">
        <f>COUNTIF(mar!$F16:$AJ16,"SL")</f>
        <v>0</v>
      </c>
      <c r="AQ16" s="4">
        <f>COUNTIF(mar!$F16:$AJ16,"CL")</f>
        <v>0</v>
      </c>
      <c r="AR16" s="4">
        <f>COUNTIF(mar!$F16:$AJ16,"A")</f>
        <v>1</v>
      </c>
      <c r="AS16" s="4">
        <f>COUNTIF(mar!$F16:$AJ16,"P")</f>
        <v>23</v>
      </c>
      <c r="AT16" s="4">
        <f t="shared" si="2"/>
        <v>31</v>
      </c>
      <c r="AU16" s="4">
        <f t="shared" si="3"/>
        <v>30</v>
      </c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</row>
    <row r="17" spans="1:78" ht="18.75" x14ac:dyDescent="0.3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IFERROR(LOOKUP(2,1/((#REF!=mar!$A17)*(#REF!&lt;=mar!F$3)*(#REF!&gt;=mar!F$3)),#REF!),IF(WEEKDAY(mar!F$3,1)=1,"WO","P"))</f>
        <v>WO</v>
      </c>
      <c r="G17" s="4" t="str">
        <f>IFERROR(LOOKUP(2,1/((lentry!$A$3:$A$3999=mar!$A17)*(lentry!$B$3:$B$3999&lt;=mar!G$3)*(lentry!$C$3:$C$3999&gt;=mar!G$3)),lentry!$D$3:$D$3999),IF(WEEKDAY(mar!G$3,1)=1,"WO","P"))</f>
        <v>P</v>
      </c>
      <c r="H17" s="4" t="str">
        <f>IFERROR(LOOKUP(2,1/((lentry!$A$3:$A$3999=mar!$A17)*(lentry!$B$3:$B$3999&lt;=mar!H$3)*(lentry!$C$3:$C$3999&gt;=mar!H$3)),lentry!$D$3:$D$3999),IF(WEEKDAY(mar!H$3,1)=1,"WO","P"))</f>
        <v>P</v>
      </c>
      <c r="I17" s="4" t="s">
        <v>350</v>
      </c>
      <c r="J17" s="4" t="str">
        <f>IFERROR(LOOKUP(2,1/((lentry!$A$3:$A$3999=mar!$A17)*(lentry!$B$3:$B$3999&lt;=mar!J$3)*(lentry!$C$3:$C$3999&gt;=mar!J$3)),lentry!$D$3:$D$3999),IF(WEEKDAY(mar!J$3,1)=1,"WO","P"))</f>
        <v>P</v>
      </c>
      <c r="K17" s="4" t="str">
        <f>IFERROR(LOOKUP(2,1/((lentry!$A$3:$A$3999=mar!$A17)*(lentry!$B$3:$B$3999&lt;=mar!K$3)*(lentry!$C$3:$C$3999&gt;=mar!K$3)),lentry!$D$3:$D$3999),IF(WEEKDAY(mar!K$3,1)=1,"WO","P"))</f>
        <v>P</v>
      </c>
      <c r="L17" s="4" t="str">
        <f>IFERROR(LOOKUP(2,1/((lentry!$A$3:$A$3999=mar!$A17)*(lentry!$B$3:$B$3999&lt;=mar!L$3)*(lentry!$C$3:$C$3999&gt;=mar!L$3)),lentry!$D$3:$D$3999),IF(WEEKDAY(mar!L$3,1)=1,"WO","P"))</f>
        <v>P</v>
      </c>
      <c r="M17" s="4" t="str">
        <f>IFERROR(LOOKUP(2,1/((#REF!=mar!$A17)*(#REF!&lt;=mar!M$3)*(#REF!&gt;=mar!M$3)),#REF!),IF(WEEKDAY(mar!M$3,1)=1,"WO","P"))</f>
        <v>WO</v>
      </c>
      <c r="N17" s="4" t="str">
        <f>IFERROR(LOOKUP(2,1/((lentry!$A$3:$A$3999=mar!$A17)*(lentry!$B$3:$B$3999&lt;=mar!N$3)*(lentry!$C$3:$C$3999&gt;=mar!N$3)),lentry!$D$3:$D$3999),IF(WEEKDAY(mar!N$3,1)=1,"WO","P"))</f>
        <v>P</v>
      </c>
      <c r="O17" s="4" t="str">
        <f>IFERROR(LOOKUP(2,1/((lentry!$A$3:$A$3999=mar!$A17)*(lentry!$B$3:$B$3999&lt;=mar!O$3)*(lentry!$C$3:$C$3999&gt;=mar!O$3)),lentry!$D$3:$D$3999),IF(WEEKDAY(mar!O$3,1)=1,"WO","P"))</f>
        <v>P</v>
      </c>
      <c r="P17" s="4" t="str">
        <f>IFERROR(LOOKUP(2,1/((lentry!$A$3:$A$3999=mar!$A17)*(lentry!$B$3:$B$3999&lt;=mar!P$3)*(lentry!$C$3:$C$3999&gt;=mar!P$3)),lentry!$D$3:$D$3999),IF(WEEKDAY(mar!P$3,1)=1,"WO","P"))</f>
        <v>P</v>
      </c>
      <c r="Q17" s="4" t="str">
        <f>IFERROR(LOOKUP(2,1/((lentry!$A$3:$A$3999=mar!$A17)*(lentry!$B$3:$B$3999&lt;=mar!Q$3)*(lentry!$C$3:$C$3999&gt;=mar!Q$3)),lentry!$D$3:$D$3999),IF(WEEKDAY(mar!Q$3,1)=1,"WO","P"))</f>
        <v>P</v>
      </c>
      <c r="R17" s="4" t="str">
        <f>IFERROR(LOOKUP(2,1/((lentry!$A$3:$A$3999=mar!$A17)*(lentry!$B$3:$B$3999&lt;=mar!R$3)*(lentry!$C$3:$C$3999&gt;=mar!R$3)),lentry!$D$3:$D$3999),IF(WEEKDAY(mar!R$3,1)=1,"WO","P"))</f>
        <v>P</v>
      </c>
      <c r="S17" s="4" t="str">
        <f>IFERROR(LOOKUP(2,1/((lentry!$A$3:$A$3999=mar!$A17)*(lentry!$B$3:$B$3999&lt;=mar!S$3)*(lentry!$C$3:$C$3999&gt;=mar!S$3)),lentry!$D$3:$D$3999),IF(WEEKDAY(mar!S$3,1)=1,"WO","P"))</f>
        <v>P</v>
      </c>
      <c r="T17" s="4" t="str">
        <f>IFERROR(LOOKUP(2,1/((lentry!$A$3:$A$3999=mar!$A17)*(lentry!$B$3:$B$3999&lt;=mar!T$3)*(lentry!$C$3:$C$3999&gt;=mar!T$3)),lentry!$D$3:$D$3999),IF(WEEKDAY(mar!T$3,1)=1,"WO","P"))</f>
        <v>WO</v>
      </c>
      <c r="U17" s="4" t="str">
        <f>IFERROR(LOOKUP(2,1/((lentry!$A$3:$A$3999=mar!$A17)*(lentry!$B$3:$B$3999&lt;=mar!U$3)*(lentry!$C$3:$C$3999&gt;=mar!U$3)),lentry!$D$3:$D$3999),IF(WEEKDAY(mar!U$3,1)=1,"WO","P"))</f>
        <v>P</v>
      </c>
      <c r="V17" s="4" t="str">
        <f>IFERROR(LOOKUP(2,1/((lentry!$A$3:$A$3999=mar!$A17)*(lentry!$B$3:$B$3999&lt;=mar!V$3)*(lentry!$C$3:$C$3999&gt;=mar!V$3)),lentry!$D$3:$D$3999),IF(WEEKDAY(mar!V$3,1)=1,"WO","P"))</f>
        <v>P</v>
      </c>
      <c r="W17" s="4" t="str">
        <f>IFERROR(LOOKUP(2,1/((lentry!$A$3:$A$3999=mar!$A17)*(lentry!$B$3:$B$3999&lt;=mar!W$3)*(lentry!$C$3:$C$3999&gt;=mar!W$3)),lentry!$D$3:$D$3999),IF(WEEKDAY(mar!W$3,1)=1,"WO","P"))</f>
        <v>P</v>
      </c>
      <c r="X17" s="4" t="str">
        <f>IFERROR(LOOKUP(2,1/((lentry!$A$3:$A$3999=mar!$A17)*(lentry!$B$3:$B$3999&lt;=mar!X$3)*(lentry!$C$3:$C$3999&gt;=mar!X$3)),lentry!$D$3:$D$3999),IF(WEEKDAY(mar!X$3,1)=1,"WO","P"))</f>
        <v>P</v>
      </c>
      <c r="Y17" s="4" t="str">
        <f>IFERROR(LOOKUP(2,1/((lentry!$A$3:$A$3999=mar!$A17)*(lentry!$B$3:$B$3999&lt;=mar!Y$3)*(lentry!$C$3:$C$3999&gt;=mar!Y$3)),lentry!$D$3:$D$3999),IF(WEEKDAY(mar!Y$3,1)=1,"WO","P"))</f>
        <v>P</v>
      </c>
      <c r="Z17" s="4" t="s">
        <v>350</v>
      </c>
      <c r="AA17" s="4" t="str">
        <f>IFERROR(LOOKUP(2,1/((lentry!$A$3:$A$3999=mar!$A17)*(lentry!$B$3:$B$3999&lt;=mar!AA$3)*(lentry!$C$3:$C$3999&gt;=mar!AA$3)),lentry!$D$3:$D$3999),IF(WEEKDAY(mar!AA$3,1)=1,"WO","P"))</f>
        <v>WO</v>
      </c>
      <c r="AB17" s="4" t="str">
        <f>IFERROR(LOOKUP(2,1/((lentry!$A$3:$A$3999=mar!$A17)*(lentry!$B$3:$B$3999&lt;=mar!AB$3)*(lentry!$C$3:$C$3999&gt;=mar!AB$3)),lentry!$D$3:$D$3999),IF(WEEKDAY(mar!AB$3,1)=1,"WO","P"))</f>
        <v>P</v>
      </c>
      <c r="AC17" s="4" t="str">
        <f>IFERROR(LOOKUP(2,1/((lentry!$A$3:$A$3999=mar!$A17)*(lentry!$B$3:$B$3999&lt;=mar!AC$3)*(lentry!$C$3:$C$3999&gt;=mar!AC$3)),lentry!$D$3:$D$3999),IF(WEEKDAY(mar!AC$3,1)=1,"WO","P"))</f>
        <v>P</v>
      </c>
      <c r="AD17" s="4" t="str">
        <f>IFERROR(LOOKUP(2,1/((lentry!$A$3:$A$3999=mar!$A17)*(lentry!$B$3:$B$3999&lt;=mar!AD$3)*(lentry!$C$3:$C$3999&gt;=mar!AD$3)),lentry!$D$3:$D$3999),IF(WEEKDAY(mar!AD$3,1)=1,"WO","P"))</f>
        <v>P</v>
      </c>
      <c r="AE17" s="4" t="str">
        <f>IFERROR(LOOKUP(2,1/((lentry!$A$3:$A$3999=mar!$A17)*(lentry!$B$3:$B$3999&lt;=mar!AE$3)*(lentry!$C$3:$C$3999&gt;=mar!AE$3)),lentry!$D$3:$D$3999),IF(WEEKDAY(mar!AE$3,1)=1,"WO","P"))</f>
        <v>P</v>
      </c>
      <c r="AF17" s="4" t="str">
        <f>IFERROR(LOOKUP(2,1/((lentry!$A$3:$A$3999=mar!$A17)*(lentry!$B$3:$B$3999&lt;=mar!AF$3)*(lentry!$C$3:$C$3999&gt;=mar!AF$3)),lentry!$D$3:$D$3999),IF(WEEKDAY(mar!AF$3,1)=1,"WO","P"))</f>
        <v>P</v>
      </c>
      <c r="AG17" s="4" t="str">
        <f>IFERROR(LOOKUP(2,1/((lentry!$A$3:$A$3999=mar!$A17)*(lentry!$B$3:$B$3999&lt;=mar!AG$3)*(lentry!$C$3:$C$3999&gt;=mar!AG$3)),lentry!$D$3:$D$3999),IF(WEEKDAY(mar!AG$3,1)=1,"WO","P"))</f>
        <v>P</v>
      </c>
      <c r="AH17" s="4" t="str">
        <f>IFERROR(LOOKUP(2,1/((lentry!$A$3:$A$3999=mar!$A17)*(lentry!$B$3:$B$3999&lt;=mar!AH$3)*(lentry!$C$3:$C$3999&gt;=mar!AH$3)),lentry!$D$3:$D$3999),IF(WEEKDAY(mar!AH$3,1)=1,"WO","P"))</f>
        <v>WO</v>
      </c>
      <c r="AI17" s="4" t="str">
        <f>IFERROR(LOOKUP(2,1/((lentry!$A$3:$A$3999=mar!$A17)*(lentry!$B$3:$B$3999&lt;=mar!AI$3)*(lentry!$C$3:$C$3999&gt;=mar!AI$3)),lentry!$D$3:$D$3999),IF(WEEKDAY(mar!AI$3,1)=1,"WO","P"))</f>
        <v>P</v>
      </c>
      <c r="AJ17" s="4" t="str">
        <f>IFERROR(LOOKUP(2,1/((lentry!$A$3:$A$3999=mar!$A17)*(lentry!$B$3:$B$3999&lt;=mar!AJ$3)*(lentry!$C$3:$C$3999&gt;=mar!AJ$3)),lentry!$D$3:$D$3999),IF(WEEKDAY(mar!AJ$3,1)=1,"WO","P"))</f>
        <v>P</v>
      </c>
      <c r="AK17" s="4">
        <f>COUNTIF(mar!$F17:$AJ17,"WO")</f>
        <v>5</v>
      </c>
      <c r="AL17" s="4">
        <f>COUNTIF(mar!$F17:$AJ17,"H")</f>
        <v>2</v>
      </c>
      <c r="AM17" s="4">
        <f>COUNTIF(mar!$F17:$AJ17,"pl")</f>
        <v>0</v>
      </c>
      <c r="AN17" s="4">
        <f>COUNTIF(mar!$F17:$AJ17,"LWP")</f>
        <v>0</v>
      </c>
      <c r="AO17" s="4">
        <f>COUNTIF(mar!$F17:$AJ17,"HD")</f>
        <v>0</v>
      </c>
      <c r="AP17" s="4">
        <f>COUNTIF(mar!$F17:$AJ17,"SL")</f>
        <v>0</v>
      </c>
      <c r="AQ17" s="4">
        <f>COUNTIF(mar!$F17:$AJ17,"CL")</f>
        <v>0</v>
      </c>
      <c r="AR17" s="4">
        <f>COUNTIF(mar!$F17:$AJ17,"A")</f>
        <v>0</v>
      </c>
      <c r="AS17" s="4">
        <f>COUNTIF(mar!$F17:$AJ17,"P")</f>
        <v>24</v>
      </c>
      <c r="AT17" s="4">
        <f t="shared" si="2"/>
        <v>31</v>
      </c>
      <c r="AU17" s="4">
        <f t="shared" si="3"/>
        <v>31</v>
      </c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</row>
    <row r="18" spans="1:78" ht="18.75" x14ac:dyDescent="0.3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IFERROR(LOOKUP(2,1/((#REF!=mar!$A18)*(#REF!&lt;=mar!F$3)*(#REF!&gt;=mar!F$3)),#REF!),IF(WEEKDAY(mar!F$3,1)=1,"WO","P"))</f>
        <v>WO</v>
      </c>
      <c r="G18" s="4" t="str">
        <f>IFERROR(LOOKUP(2,1/((lentry!$A$3:$A$3999=mar!$A18)*(lentry!$B$3:$B$3999&lt;=mar!G$3)*(lentry!$C$3:$C$3999&gt;=mar!G$3)),lentry!$D$3:$D$3999),IF(WEEKDAY(mar!G$3,1)=1,"WO","P"))</f>
        <v>P</v>
      </c>
      <c r="H18" s="4" t="str">
        <f>IFERROR(LOOKUP(2,1/((lentry!$A$3:$A$3999=mar!$A18)*(lentry!$B$3:$B$3999&lt;=mar!H$3)*(lentry!$C$3:$C$3999&gt;=mar!H$3)),lentry!$D$3:$D$3999),IF(WEEKDAY(mar!H$3,1)=1,"WO","P"))</f>
        <v>P</v>
      </c>
      <c r="I18" s="4" t="s">
        <v>350</v>
      </c>
      <c r="J18" s="4" t="str">
        <f>IFERROR(LOOKUP(2,1/((lentry!$A$3:$A$3999=mar!$A18)*(lentry!$B$3:$B$3999&lt;=mar!J$3)*(lentry!$C$3:$C$3999&gt;=mar!J$3)),lentry!$D$3:$D$3999),IF(WEEKDAY(mar!J$3,1)=1,"WO","P"))</f>
        <v>P</v>
      </c>
      <c r="K18" s="4" t="str">
        <f>IFERROR(LOOKUP(2,1/((lentry!$A$3:$A$3999=mar!$A18)*(lentry!$B$3:$B$3999&lt;=mar!K$3)*(lentry!$C$3:$C$3999&gt;=mar!K$3)),lentry!$D$3:$D$3999),IF(WEEKDAY(mar!K$3,1)=1,"WO","P"))</f>
        <v>P</v>
      </c>
      <c r="L18" s="4" t="str">
        <f>IFERROR(LOOKUP(2,1/((lentry!$A$3:$A$3999=mar!$A18)*(lentry!$B$3:$B$3999&lt;=mar!L$3)*(lentry!$C$3:$C$3999&gt;=mar!L$3)),lentry!$D$3:$D$3999),IF(WEEKDAY(mar!L$3,1)=1,"WO","P"))</f>
        <v>P</v>
      </c>
      <c r="M18" s="4" t="str">
        <f>IFERROR(LOOKUP(2,1/((#REF!=mar!$A18)*(#REF!&lt;=mar!M$3)*(#REF!&gt;=mar!M$3)),#REF!),IF(WEEKDAY(mar!M$3,1)=1,"WO","P"))</f>
        <v>WO</v>
      </c>
      <c r="N18" s="4" t="str">
        <f>IFERROR(LOOKUP(2,1/((lentry!$A$3:$A$3999=mar!$A18)*(lentry!$B$3:$B$3999&lt;=mar!N$3)*(lentry!$C$3:$C$3999&gt;=mar!N$3)),lentry!$D$3:$D$3999),IF(WEEKDAY(mar!N$3,1)=1,"WO","P"))</f>
        <v>P</v>
      </c>
      <c r="O18" s="4" t="str">
        <f>IFERROR(LOOKUP(2,1/((lentry!$A$3:$A$3999=mar!$A18)*(lentry!$B$3:$B$3999&lt;=mar!O$3)*(lentry!$C$3:$C$3999&gt;=mar!O$3)),lentry!$D$3:$D$3999),IF(WEEKDAY(mar!O$3,1)=1,"WO","P"))</f>
        <v>P</v>
      </c>
      <c r="P18" s="4" t="str">
        <f>IFERROR(LOOKUP(2,1/((lentry!$A$3:$A$3999=mar!$A18)*(lentry!$B$3:$B$3999&lt;=mar!P$3)*(lentry!$C$3:$C$3999&gt;=mar!P$3)),lentry!$D$3:$D$3999),IF(WEEKDAY(mar!P$3,1)=1,"WO","P"))</f>
        <v>P</v>
      </c>
      <c r="Q18" s="4" t="str">
        <f>IFERROR(LOOKUP(2,1/((lentry!$A$3:$A$3999=mar!$A18)*(lentry!$B$3:$B$3999&lt;=mar!Q$3)*(lentry!$C$3:$C$3999&gt;=mar!Q$3)),lentry!$D$3:$D$3999),IF(WEEKDAY(mar!Q$3,1)=1,"WO","P"))</f>
        <v>P</v>
      </c>
      <c r="R18" s="4" t="str">
        <f>IFERROR(LOOKUP(2,1/((lentry!$A$3:$A$3999=mar!$A18)*(lentry!$B$3:$B$3999&lt;=mar!R$3)*(lentry!$C$3:$C$3999&gt;=mar!R$3)),lentry!$D$3:$D$3999),IF(WEEKDAY(mar!R$3,1)=1,"WO","P"))</f>
        <v>P</v>
      </c>
      <c r="S18" s="4" t="str">
        <f>IFERROR(LOOKUP(2,1/((lentry!$A$3:$A$3999=mar!$A18)*(lentry!$B$3:$B$3999&lt;=mar!S$3)*(lentry!$C$3:$C$3999&gt;=mar!S$3)),lentry!$D$3:$D$3999),IF(WEEKDAY(mar!S$3,1)=1,"WO","P"))</f>
        <v>P</v>
      </c>
      <c r="T18" s="4" t="str">
        <f>IFERROR(LOOKUP(2,1/((lentry!$A$3:$A$3999=mar!$A18)*(lentry!$B$3:$B$3999&lt;=mar!T$3)*(lentry!$C$3:$C$3999&gt;=mar!T$3)),lentry!$D$3:$D$3999),IF(WEEKDAY(mar!T$3,1)=1,"WO","P"))</f>
        <v>WO</v>
      </c>
      <c r="U18" s="4" t="str">
        <f>IFERROR(LOOKUP(2,1/((lentry!$A$3:$A$3999=mar!$A18)*(lentry!$B$3:$B$3999&lt;=mar!U$3)*(lentry!$C$3:$C$3999&gt;=mar!U$3)),lentry!$D$3:$D$3999),IF(WEEKDAY(mar!U$3,1)=1,"WO","P"))</f>
        <v>P</v>
      </c>
      <c r="V18" s="4" t="str">
        <f>IFERROR(LOOKUP(2,1/((lentry!$A$3:$A$3999=mar!$A18)*(lentry!$B$3:$B$3999&lt;=mar!V$3)*(lentry!$C$3:$C$3999&gt;=mar!V$3)),lentry!$D$3:$D$3999),IF(WEEKDAY(mar!V$3,1)=1,"WO","P"))</f>
        <v>P</v>
      </c>
      <c r="W18" s="4" t="str">
        <f>IFERROR(LOOKUP(2,1/((lentry!$A$3:$A$3999=mar!$A18)*(lentry!$B$3:$B$3999&lt;=mar!W$3)*(lentry!$C$3:$C$3999&gt;=mar!W$3)),lentry!$D$3:$D$3999),IF(WEEKDAY(mar!W$3,1)=1,"WO","P"))</f>
        <v>P</v>
      </c>
      <c r="X18" s="4" t="str">
        <f>IFERROR(LOOKUP(2,1/((lentry!$A$3:$A$3999=mar!$A18)*(lentry!$B$3:$B$3999&lt;=mar!X$3)*(lentry!$C$3:$C$3999&gt;=mar!X$3)),lentry!$D$3:$D$3999),IF(WEEKDAY(mar!X$3,1)=1,"WO","P"))</f>
        <v>P</v>
      </c>
      <c r="Y18" s="4" t="str">
        <f>IFERROR(LOOKUP(2,1/((lentry!$A$3:$A$3999=mar!$A18)*(lentry!$B$3:$B$3999&lt;=mar!Y$3)*(lentry!$C$3:$C$3999&gt;=mar!Y$3)),lentry!$D$3:$D$3999),IF(WEEKDAY(mar!Y$3,1)=1,"WO","P"))</f>
        <v>P</v>
      </c>
      <c r="Z18" s="4" t="s">
        <v>350</v>
      </c>
      <c r="AA18" s="4" t="str">
        <f>IFERROR(LOOKUP(2,1/((lentry!$A$3:$A$3999=mar!$A18)*(lentry!$B$3:$B$3999&lt;=mar!AA$3)*(lentry!$C$3:$C$3999&gt;=mar!AA$3)),lentry!$D$3:$D$3999),IF(WEEKDAY(mar!AA$3,1)=1,"WO","P"))</f>
        <v>WO</v>
      </c>
      <c r="AB18" s="4" t="str">
        <f>IFERROR(LOOKUP(2,1/((lentry!$A$3:$A$3999=mar!$A18)*(lentry!$B$3:$B$3999&lt;=mar!AB$3)*(lentry!$C$3:$C$3999&gt;=mar!AB$3)),lentry!$D$3:$D$3999),IF(WEEKDAY(mar!AB$3,1)=1,"WO","P"))</f>
        <v>P</v>
      </c>
      <c r="AC18" s="4" t="s">
        <v>539</v>
      </c>
      <c r="AD18" s="4" t="str">
        <f>IFERROR(LOOKUP(2,1/((lentry!$A$3:$A$3999=mar!$A18)*(lentry!$B$3:$B$3999&lt;=mar!AD$3)*(lentry!$C$3:$C$3999&gt;=mar!AD$3)),lentry!$D$3:$D$3999),IF(WEEKDAY(mar!AD$3,1)=1,"WO","P"))</f>
        <v>P</v>
      </c>
      <c r="AE18" s="4" t="str">
        <f>IFERROR(LOOKUP(2,1/((lentry!$A$3:$A$3999=mar!$A18)*(lentry!$B$3:$B$3999&lt;=mar!AE$3)*(lentry!$C$3:$C$3999&gt;=mar!AE$3)),lentry!$D$3:$D$3999),IF(WEEKDAY(mar!AE$3,1)=1,"WO","P"))</f>
        <v>P</v>
      </c>
      <c r="AF18" s="4" t="str">
        <f>IFERROR(LOOKUP(2,1/((lentry!$A$3:$A$3999=mar!$A18)*(lentry!$B$3:$B$3999&lt;=mar!AF$3)*(lentry!$C$3:$C$3999&gt;=mar!AF$3)),lentry!$D$3:$D$3999),IF(WEEKDAY(mar!AF$3,1)=1,"WO","P"))</f>
        <v>P</v>
      </c>
      <c r="AG18" s="4" t="str">
        <f>IFERROR(LOOKUP(2,1/((lentry!$A$3:$A$3999=mar!$A18)*(lentry!$B$3:$B$3999&lt;=mar!AG$3)*(lentry!$C$3:$C$3999&gt;=mar!AG$3)),lentry!$D$3:$D$3999),IF(WEEKDAY(mar!AG$3,1)=1,"WO","P"))</f>
        <v>P</v>
      </c>
      <c r="AH18" s="4" t="str">
        <f>IFERROR(LOOKUP(2,1/((lentry!$A$3:$A$3999=mar!$A18)*(lentry!$B$3:$B$3999&lt;=mar!AH$3)*(lentry!$C$3:$C$3999&gt;=mar!AH$3)),lentry!$D$3:$D$3999),IF(WEEKDAY(mar!AH$3,1)=1,"WO","P"))</f>
        <v>WO</v>
      </c>
      <c r="AI18" s="4" t="str">
        <f>IFERROR(LOOKUP(2,1/((lentry!$A$3:$A$3999=mar!$A18)*(lentry!$B$3:$B$3999&lt;=mar!AI$3)*(lentry!$C$3:$C$3999&gt;=mar!AI$3)),lentry!$D$3:$D$3999),IF(WEEKDAY(mar!AI$3,1)=1,"WO","P"))</f>
        <v>P</v>
      </c>
      <c r="AJ18" s="4" t="str">
        <f>IFERROR(LOOKUP(2,1/((lentry!$A$3:$A$3999=mar!$A18)*(lentry!$B$3:$B$3999&lt;=mar!AJ$3)*(lentry!$C$3:$C$3999&gt;=mar!AJ$3)),lentry!$D$3:$D$3999),IF(WEEKDAY(mar!AJ$3,1)=1,"WO","P"))</f>
        <v>P</v>
      </c>
      <c r="AK18" s="4">
        <f>COUNTIF(mar!$F18:$AJ18,"WO")</f>
        <v>5</v>
      </c>
      <c r="AL18" s="4">
        <f>COUNTIF(mar!$F18:$AJ18,"H")</f>
        <v>2</v>
      </c>
      <c r="AM18" s="4">
        <f>COUNTIF(mar!$F18:$AJ18,"pl")</f>
        <v>0</v>
      </c>
      <c r="AN18" s="4">
        <f>COUNTIF(mar!$F18:$AJ18,"LWP")</f>
        <v>0</v>
      </c>
      <c r="AO18" s="4">
        <f>COUNTIF(mar!$F18:$AJ18,"HD")</f>
        <v>0</v>
      </c>
      <c r="AP18" s="4">
        <f>COUNTIF(mar!$F18:$AJ18,"SL")</f>
        <v>0</v>
      </c>
      <c r="AQ18" s="4">
        <f>COUNTIF(mar!$F18:$AJ18,"CL")</f>
        <v>0</v>
      </c>
      <c r="AR18" s="4">
        <f>COUNTIF(mar!$F18:$AJ18,"A")</f>
        <v>1</v>
      </c>
      <c r="AS18" s="4">
        <f>COUNTIF(mar!$F18:$AJ18,"P")</f>
        <v>23</v>
      </c>
      <c r="AT18" s="4">
        <f t="shared" si="2"/>
        <v>31</v>
      </c>
      <c r="AU18" s="4">
        <f t="shared" si="3"/>
        <v>30</v>
      </c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</row>
    <row r="19" spans="1:78" ht="18.75" x14ac:dyDescent="0.3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IFERROR(LOOKUP(2,1/((#REF!=mar!$A19)*(#REF!&lt;=mar!F$3)*(#REF!&gt;=mar!F$3)),#REF!),IF(WEEKDAY(mar!F$3,1)=1,"WO","P"))</f>
        <v>WO</v>
      </c>
      <c r="G19" s="4" t="str">
        <f>IFERROR(LOOKUP(2,1/((lentry!$A$3:$A$3999=mar!$A19)*(lentry!$B$3:$B$3999&lt;=mar!G$3)*(lentry!$C$3:$C$3999&gt;=mar!G$3)),lentry!$D$3:$D$3999),IF(WEEKDAY(mar!G$3,1)=1,"WO","P"))</f>
        <v>P</v>
      </c>
      <c r="H19" s="4" t="str">
        <f>IFERROR(LOOKUP(2,1/((lentry!$A$3:$A$3999=mar!$A19)*(lentry!$B$3:$B$3999&lt;=mar!H$3)*(lentry!$C$3:$C$3999&gt;=mar!H$3)),lentry!$D$3:$D$3999),IF(WEEKDAY(mar!H$3,1)=1,"WO","P"))</f>
        <v>P</v>
      </c>
      <c r="I19" s="4" t="s">
        <v>350</v>
      </c>
      <c r="J19" s="4" t="str">
        <f>IFERROR(LOOKUP(2,1/((lentry!$A$3:$A$3999=mar!$A19)*(lentry!$B$3:$B$3999&lt;=mar!J$3)*(lentry!$C$3:$C$3999&gt;=mar!J$3)),lentry!$D$3:$D$3999),IF(WEEKDAY(mar!J$3,1)=1,"WO","P"))</f>
        <v>P</v>
      </c>
      <c r="K19" s="4" t="str">
        <f>IFERROR(LOOKUP(2,1/((lentry!$A$3:$A$3999=mar!$A19)*(lentry!$B$3:$B$3999&lt;=mar!K$3)*(lentry!$C$3:$C$3999&gt;=mar!K$3)),lentry!$D$3:$D$3999),IF(WEEKDAY(mar!K$3,1)=1,"WO","P"))</f>
        <v>P</v>
      </c>
      <c r="L19" s="4" t="str">
        <f>IFERROR(LOOKUP(2,1/((lentry!$A$3:$A$3999=mar!$A19)*(lentry!$B$3:$B$3999&lt;=mar!L$3)*(lentry!$C$3:$C$3999&gt;=mar!L$3)),lentry!$D$3:$D$3999),IF(WEEKDAY(mar!L$3,1)=1,"WO","P"))</f>
        <v>P</v>
      </c>
      <c r="M19" s="4" t="str">
        <f>IFERROR(LOOKUP(2,1/((#REF!=mar!$A19)*(#REF!&lt;=mar!M$3)*(#REF!&gt;=mar!M$3)),#REF!),IF(WEEKDAY(mar!M$3,1)=1,"WO","P"))</f>
        <v>WO</v>
      </c>
      <c r="N19" s="4" t="str">
        <f>IFERROR(LOOKUP(2,1/((lentry!$A$3:$A$3999=mar!$A19)*(lentry!$B$3:$B$3999&lt;=mar!N$3)*(lentry!$C$3:$C$3999&gt;=mar!N$3)),lentry!$D$3:$D$3999),IF(WEEKDAY(mar!N$3,1)=1,"WO","P"))</f>
        <v>P</v>
      </c>
      <c r="O19" s="4" t="str">
        <f>IFERROR(LOOKUP(2,1/((lentry!$A$3:$A$3999=mar!$A19)*(lentry!$B$3:$B$3999&lt;=mar!O$3)*(lentry!$C$3:$C$3999&gt;=mar!O$3)),lentry!$D$3:$D$3999),IF(WEEKDAY(mar!O$3,1)=1,"WO","P"))</f>
        <v>P</v>
      </c>
      <c r="P19" s="4" t="str">
        <f>IFERROR(LOOKUP(2,1/((lentry!$A$3:$A$3999=mar!$A19)*(lentry!$B$3:$B$3999&lt;=mar!P$3)*(lentry!$C$3:$C$3999&gt;=mar!P$3)),lentry!$D$3:$D$3999),IF(WEEKDAY(mar!P$3,1)=1,"WO","P"))</f>
        <v>P</v>
      </c>
      <c r="Q19" s="4" t="str">
        <f>IFERROR(LOOKUP(2,1/((lentry!$A$3:$A$3999=mar!$A19)*(lentry!$B$3:$B$3999&lt;=mar!Q$3)*(lentry!$C$3:$C$3999&gt;=mar!Q$3)),lentry!$D$3:$D$3999),IF(WEEKDAY(mar!Q$3,1)=1,"WO","P"))</f>
        <v>P</v>
      </c>
      <c r="R19" s="4" t="s">
        <v>539</v>
      </c>
      <c r="S19" s="4" t="str">
        <f>IFERROR(LOOKUP(2,1/((lentry!$A$3:$A$3999=mar!$A19)*(lentry!$B$3:$B$3999&lt;=mar!S$3)*(lentry!$C$3:$C$3999&gt;=mar!S$3)),lentry!$D$3:$D$3999),IF(WEEKDAY(mar!S$3,1)=1,"WO","P"))</f>
        <v>P</v>
      </c>
      <c r="T19" s="4" t="str">
        <f>IFERROR(LOOKUP(2,1/((lentry!$A$3:$A$3999=mar!$A19)*(lentry!$B$3:$B$3999&lt;=mar!T$3)*(lentry!$C$3:$C$3999&gt;=mar!T$3)),lentry!$D$3:$D$3999),IF(WEEKDAY(mar!T$3,1)=1,"WO","P"))</f>
        <v>WO</v>
      </c>
      <c r="U19" s="4" t="str">
        <f>IFERROR(LOOKUP(2,1/((lentry!$A$3:$A$3999=mar!$A19)*(lentry!$B$3:$B$3999&lt;=mar!U$3)*(lentry!$C$3:$C$3999&gt;=mar!U$3)),lentry!$D$3:$D$3999),IF(WEEKDAY(mar!U$3,1)=1,"WO","P"))</f>
        <v>P</v>
      </c>
      <c r="V19" s="4" t="str">
        <f>IFERROR(LOOKUP(2,1/((lentry!$A$3:$A$3999=mar!$A19)*(lentry!$B$3:$B$3999&lt;=mar!V$3)*(lentry!$C$3:$C$3999&gt;=mar!V$3)),lentry!$D$3:$D$3999),IF(WEEKDAY(mar!V$3,1)=1,"WO","P"))</f>
        <v>P</v>
      </c>
      <c r="W19" s="4" t="str">
        <f>IFERROR(LOOKUP(2,1/((lentry!$A$3:$A$3999=mar!$A19)*(lentry!$B$3:$B$3999&lt;=mar!W$3)*(lentry!$C$3:$C$3999&gt;=mar!W$3)),lentry!$D$3:$D$3999),IF(WEEKDAY(mar!W$3,1)=1,"WO","P"))</f>
        <v>P</v>
      </c>
      <c r="X19" s="4" t="str">
        <f>IFERROR(LOOKUP(2,1/((lentry!$A$3:$A$3999=mar!$A19)*(lentry!$B$3:$B$3999&lt;=mar!X$3)*(lentry!$C$3:$C$3999&gt;=mar!X$3)),lentry!$D$3:$D$3999),IF(WEEKDAY(mar!X$3,1)=1,"WO","P"))</f>
        <v>P</v>
      </c>
      <c r="Y19" s="4" t="str">
        <f>IFERROR(LOOKUP(2,1/((lentry!$A$3:$A$3999=mar!$A19)*(lentry!$B$3:$B$3999&lt;=mar!Y$3)*(lentry!$C$3:$C$3999&gt;=mar!Y$3)),lentry!$D$3:$D$3999),IF(WEEKDAY(mar!Y$3,1)=1,"WO","P"))</f>
        <v>P</v>
      </c>
      <c r="Z19" s="4" t="s">
        <v>350</v>
      </c>
      <c r="AA19" s="4" t="str">
        <f>IFERROR(LOOKUP(2,1/((lentry!$A$3:$A$3999=mar!$A19)*(lentry!$B$3:$B$3999&lt;=mar!AA$3)*(lentry!$C$3:$C$3999&gt;=mar!AA$3)),lentry!$D$3:$D$3999),IF(WEEKDAY(mar!AA$3,1)=1,"WO","P"))</f>
        <v>WO</v>
      </c>
      <c r="AB19" s="4" t="str">
        <f>IFERROR(LOOKUP(2,1/((lentry!$A$3:$A$3999=mar!$A19)*(lentry!$B$3:$B$3999&lt;=mar!AB$3)*(lentry!$C$3:$C$3999&gt;=mar!AB$3)),lentry!$D$3:$D$3999),IF(WEEKDAY(mar!AB$3,1)=1,"WO","P"))</f>
        <v>P</v>
      </c>
      <c r="AC19" s="4" t="str">
        <f>IFERROR(LOOKUP(2,1/((lentry!$A$3:$A$3999=mar!$A19)*(lentry!$B$3:$B$3999&lt;=mar!AC$3)*(lentry!$C$3:$C$3999&gt;=mar!AC$3)),lentry!$D$3:$D$3999),IF(WEEKDAY(mar!AC$3,1)=1,"WO","P"))</f>
        <v>P</v>
      </c>
      <c r="AD19" s="4" t="str">
        <f>IFERROR(LOOKUP(2,1/((lentry!$A$3:$A$3999=mar!$A19)*(lentry!$B$3:$B$3999&lt;=mar!AD$3)*(lentry!$C$3:$C$3999&gt;=mar!AD$3)),lentry!$D$3:$D$3999),IF(WEEKDAY(mar!AD$3,1)=1,"WO","P"))</f>
        <v>P</v>
      </c>
      <c r="AE19" s="4" t="str">
        <f>IFERROR(LOOKUP(2,1/((lentry!$A$3:$A$3999=mar!$A19)*(lentry!$B$3:$B$3999&lt;=mar!AE$3)*(lentry!$C$3:$C$3999&gt;=mar!AE$3)),lentry!$D$3:$D$3999),IF(WEEKDAY(mar!AE$3,1)=1,"WO","P"))</f>
        <v>P</v>
      </c>
      <c r="AF19" s="4" t="s">
        <v>539</v>
      </c>
      <c r="AG19" s="4" t="str">
        <f>IFERROR(LOOKUP(2,1/((lentry!$A$3:$A$3999=mar!$A19)*(lentry!$B$3:$B$3999&lt;=mar!AG$3)*(lentry!$C$3:$C$3999&gt;=mar!AG$3)),lentry!$D$3:$D$3999),IF(WEEKDAY(mar!AG$3,1)=1,"WO","P"))</f>
        <v>P</v>
      </c>
      <c r="AH19" s="4" t="str">
        <f>IFERROR(LOOKUP(2,1/((lentry!$A$3:$A$3999=mar!$A19)*(lentry!$B$3:$B$3999&lt;=mar!AH$3)*(lentry!$C$3:$C$3999&gt;=mar!AH$3)),lentry!$D$3:$D$3999),IF(WEEKDAY(mar!AH$3,1)=1,"WO","P"))</f>
        <v>WO</v>
      </c>
      <c r="AI19" s="4" t="str">
        <f>IFERROR(LOOKUP(2,1/((lentry!$A$3:$A$3999=mar!$A19)*(lentry!$B$3:$B$3999&lt;=mar!AI$3)*(lentry!$C$3:$C$3999&gt;=mar!AI$3)),lentry!$D$3:$D$3999),IF(WEEKDAY(mar!AI$3,1)=1,"WO","P"))</f>
        <v>P</v>
      </c>
      <c r="AJ19" s="4" t="str">
        <f>IFERROR(LOOKUP(2,1/((lentry!$A$3:$A$3999=mar!$A19)*(lentry!$B$3:$B$3999&lt;=mar!AJ$3)*(lentry!$C$3:$C$3999&gt;=mar!AJ$3)),lentry!$D$3:$D$3999),IF(WEEKDAY(mar!AJ$3,1)=1,"WO","P"))</f>
        <v>P</v>
      </c>
      <c r="AK19" s="4">
        <f>COUNTIF(mar!$F19:$AJ19,"WO")</f>
        <v>5</v>
      </c>
      <c r="AL19" s="4">
        <f>COUNTIF(mar!$F19:$AJ19,"H")</f>
        <v>2</v>
      </c>
      <c r="AM19" s="4">
        <f>COUNTIF(mar!$F19:$AJ19,"pl")</f>
        <v>0</v>
      </c>
      <c r="AN19" s="4">
        <f>COUNTIF(mar!$F19:$AJ19,"LWP")</f>
        <v>0</v>
      </c>
      <c r="AO19" s="4">
        <f>COUNTIF(mar!$F19:$AJ19,"HD")</f>
        <v>0</v>
      </c>
      <c r="AP19" s="4">
        <f>COUNTIF(mar!$F19:$AJ19,"SL")</f>
        <v>0</v>
      </c>
      <c r="AQ19" s="4">
        <f>COUNTIF(mar!$F19:$AJ19,"CL")</f>
        <v>0</v>
      </c>
      <c r="AR19" s="4">
        <f>COUNTIF(mar!$F19:$AJ19,"A")</f>
        <v>2</v>
      </c>
      <c r="AS19" s="4">
        <f>COUNTIF(mar!$F19:$AJ19,"P")</f>
        <v>22</v>
      </c>
      <c r="AT19" s="4">
        <f t="shared" si="2"/>
        <v>31</v>
      </c>
      <c r="AU19" s="4">
        <f t="shared" si="3"/>
        <v>29</v>
      </c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</row>
    <row r="20" spans="1:78" ht="18.75" x14ac:dyDescent="0.3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IFERROR(LOOKUP(2,1/((#REF!=mar!$A20)*(#REF!&lt;=mar!F$3)*(#REF!&gt;=mar!F$3)),#REF!),IF(WEEKDAY(mar!F$3,1)=1,"WO","P"))</f>
        <v>WO</v>
      </c>
      <c r="G20" s="4" t="str">
        <f>IFERROR(LOOKUP(2,1/((lentry!$A$3:$A$3999=mar!$A20)*(lentry!$B$3:$B$3999&lt;=mar!G$3)*(lentry!$C$3:$C$3999&gt;=mar!G$3)),lentry!$D$3:$D$3999),IF(WEEKDAY(mar!G$3,1)=1,"WO","P"))</f>
        <v>P</v>
      </c>
      <c r="H20" s="4" t="str">
        <f>IFERROR(LOOKUP(2,1/((lentry!$A$3:$A$3999=mar!$A20)*(lentry!$B$3:$B$3999&lt;=mar!H$3)*(lentry!$C$3:$C$3999&gt;=mar!H$3)),lentry!$D$3:$D$3999),IF(WEEKDAY(mar!H$3,1)=1,"WO","P"))</f>
        <v>P</v>
      </c>
      <c r="I20" s="4" t="s">
        <v>350</v>
      </c>
      <c r="J20" s="4" t="str">
        <f>IFERROR(LOOKUP(2,1/((lentry!$A$3:$A$3999=mar!$A20)*(lentry!$B$3:$B$3999&lt;=mar!J$3)*(lentry!$C$3:$C$3999&gt;=mar!J$3)),lentry!$D$3:$D$3999),IF(WEEKDAY(mar!J$3,1)=1,"WO","P"))</f>
        <v>P</v>
      </c>
      <c r="K20" s="4" t="str">
        <f>IFERROR(LOOKUP(2,1/((lentry!$A$3:$A$3999=mar!$A20)*(lentry!$B$3:$B$3999&lt;=mar!K$3)*(lentry!$C$3:$C$3999&gt;=mar!K$3)),lentry!$D$3:$D$3999),IF(WEEKDAY(mar!K$3,1)=1,"WO","P"))</f>
        <v>P</v>
      </c>
      <c r="L20" s="4" t="str">
        <f>IFERROR(LOOKUP(2,1/((lentry!$A$3:$A$3999=mar!$A20)*(lentry!$B$3:$B$3999&lt;=mar!L$3)*(lentry!$C$3:$C$3999&gt;=mar!L$3)),lentry!$D$3:$D$3999),IF(WEEKDAY(mar!L$3,1)=1,"WO","P"))</f>
        <v>P</v>
      </c>
      <c r="M20" s="4" t="str">
        <f>IFERROR(LOOKUP(2,1/((#REF!=mar!$A20)*(#REF!&lt;=mar!M$3)*(#REF!&gt;=mar!M$3)),#REF!),IF(WEEKDAY(mar!M$3,1)=1,"WO","P"))</f>
        <v>WO</v>
      </c>
      <c r="N20" s="4" t="str">
        <f>IFERROR(LOOKUP(2,1/((lentry!$A$3:$A$3999=mar!$A20)*(lentry!$B$3:$B$3999&lt;=mar!N$3)*(lentry!$C$3:$C$3999&gt;=mar!N$3)),lentry!$D$3:$D$3999),IF(WEEKDAY(mar!N$3,1)=1,"WO","P"))</f>
        <v>P</v>
      </c>
      <c r="O20" s="4" t="str">
        <f>IFERROR(LOOKUP(2,1/((lentry!$A$3:$A$3999=mar!$A20)*(lentry!$B$3:$B$3999&lt;=mar!O$3)*(lentry!$C$3:$C$3999&gt;=mar!O$3)),lentry!$D$3:$D$3999),IF(WEEKDAY(mar!O$3,1)=1,"WO","P"))</f>
        <v>P</v>
      </c>
      <c r="P20" s="4" t="str">
        <f>IFERROR(LOOKUP(2,1/((lentry!$A$3:$A$3999=mar!$A20)*(lentry!$B$3:$B$3999&lt;=mar!P$3)*(lentry!$C$3:$C$3999&gt;=mar!P$3)),lentry!$D$3:$D$3999),IF(WEEKDAY(mar!P$3,1)=1,"WO","P"))</f>
        <v>P</v>
      </c>
      <c r="Q20" s="4" t="str">
        <f>IFERROR(LOOKUP(2,1/((lentry!$A$3:$A$3999=mar!$A20)*(lentry!$B$3:$B$3999&lt;=mar!Q$3)*(lentry!$C$3:$C$3999&gt;=mar!Q$3)),lentry!$D$3:$D$3999),IF(WEEKDAY(mar!Q$3,1)=1,"WO","P"))</f>
        <v>P</v>
      </c>
      <c r="R20" s="4" t="str">
        <f>IFERROR(LOOKUP(2,1/((lentry!$A$3:$A$3999=mar!$A20)*(lentry!$B$3:$B$3999&lt;=mar!R$3)*(lentry!$C$3:$C$3999&gt;=mar!R$3)),lentry!$D$3:$D$3999),IF(WEEKDAY(mar!R$3,1)=1,"WO","P"))</f>
        <v>P</v>
      </c>
      <c r="S20" s="4" t="str">
        <f>IFERROR(LOOKUP(2,1/((lentry!$A$3:$A$3999=mar!$A20)*(lentry!$B$3:$B$3999&lt;=mar!S$3)*(lentry!$C$3:$C$3999&gt;=mar!S$3)),lentry!$D$3:$D$3999),IF(WEEKDAY(mar!S$3,1)=1,"WO","P"))</f>
        <v>P</v>
      </c>
      <c r="T20" s="4" t="str">
        <f>IFERROR(LOOKUP(2,1/((lentry!$A$3:$A$3999=mar!$A20)*(lentry!$B$3:$B$3999&lt;=mar!T$3)*(lentry!$C$3:$C$3999&gt;=mar!T$3)),lentry!$D$3:$D$3999),IF(WEEKDAY(mar!T$3,1)=1,"WO","P"))</f>
        <v>WO</v>
      </c>
      <c r="U20" s="4" t="str">
        <f>IFERROR(LOOKUP(2,1/((lentry!$A$3:$A$3999=mar!$A20)*(lentry!$B$3:$B$3999&lt;=mar!U$3)*(lentry!$C$3:$C$3999&gt;=mar!U$3)),lentry!$D$3:$D$3999),IF(WEEKDAY(mar!U$3,1)=1,"WO","P"))</f>
        <v>P</v>
      </c>
      <c r="V20" s="4" t="str">
        <f>IFERROR(LOOKUP(2,1/((lentry!$A$3:$A$3999=mar!$A20)*(lentry!$B$3:$B$3999&lt;=mar!V$3)*(lentry!$C$3:$C$3999&gt;=mar!V$3)),lentry!$D$3:$D$3999),IF(WEEKDAY(mar!V$3,1)=1,"WO","P"))</f>
        <v>P</v>
      </c>
      <c r="W20" s="4" t="str">
        <f>IFERROR(LOOKUP(2,1/((lentry!$A$3:$A$3999=mar!$A20)*(lentry!$B$3:$B$3999&lt;=mar!W$3)*(lentry!$C$3:$C$3999&gt;=mar!W$3)),lentry!$D$3:$D$3999),IF(WEEKDAY(mar!W$3,1)=1,"WO","P"))</f>
        <v>P</v>
      </c>
      <c r="X20" s="4" t="str">
        <f>IFERROR(LOOKUP(2,1/((lentry!$A$3:$A$3999=mar!$A20)*(lentry!$B$3:$B$3999&lt;=mar!X$3)*(lentry!$C$3:$C$3999&gt;=mar!X$3)),lentry!$D$3:$D$3999),IF(WEEKDAY(mar!X$3,1)=1,"WO","P"))</f>
        <v>P</v>
      </c>
      <c r="Y20" s="4" t="str">
        <f>IFERROR(LOOKUP(2,1/((lentry!$A$3:$A$3999=mar!$A20)*(lentry!$B$3:$B$3999&lt;=mar!Y$3)*(lentry!$C$3:$C$3999&gt;=mar!Y$3)),lentry!$D$3:$D$3999),IF(WEEKDAY(mar!Y$3,1)=1,"WO","P"))</f>
        <v>P</v>
      </c>
      <c r="Z20" s="4" t="s">
        <v>350</v>
      </c>
      <c r="AA20" s="4" t="str">
        <f>IFERROR(LOOKUP(2,1/((lentry!$A$3:$A$3999=mar!$A20)*(lentry!$B$3:$B$3999&lt;=mar!AA$3)*(lentry!$C$3:$C$3999&gt;=mar!AA$3)),lentry!$D$3:$D$3999),IF(WEEKDAY(mar!AA$3,1)=1,"WO","P"))</f>
        <v>WO</v>
      </c>
      <c r="AB20" s="4" t="str">
        <f>IFERROR(LOOKUP(2,1/((lentry!$A$3:$A$3999=mar!$A20)*(lentry!$B$3:$B$3999&lt;=mar!AB$3)*(lentry!$C$3:$C$3999&gt;=mar!AB$3)),lentry!$D$3:$D$3999),IF(WEEKDAY(mar!AB$3,1)=1,"WO","P"))</f>
        <v>P</v>
      </c>
      <c r="AC20" s="4" t="str">
        <f>IFERROR(LOOKUP(2,1/((lentry!$A$3:$A$3999=mar!$A20)*(lentry!$B$3:$B$3999&lt;=mar!AC$3)*(lentry!$C$3:$C$3999&gt;=mar!AC$3)),lentry!$D$3:$D$3999),IF(WEEKDAY(mar!AC$3,1)=1,"WO","P"))</f>
        <v>P</v>
      </c>
      <c r="AD20" s="4" t="str">
        <f>IFERROR(LOOKUP(2,1/((lentry!$A$3:$A$3999=mar!$A20)*(lentry!$B$3:$B$3999&lt;=mar!AD$3)*(lentry!$C$3:$C$3999&gt;=mar!AD$3)),lentry!$D$3:$D$3999),IF(WEEKDAY(mar!AD$3,1)=1,"WO","P"))</f>
        <v>P</v>
      </c>
      <c r="AE20" s="4" t="str">
        <f>IFERROR(LOOKUP(2,1/((lentry!$A$3:$A$3999=mar!$A20)*(lentry!$B$3:$B$3999&lt;=mar!AE$3)*(lentry!$C$3:$C$3999&gt;=mar!AE$3)),lentry!$D$3:$D$3999),IF(WEEKDAY(mar!AE$3,1)=1,"WO","P"))</f>
        <v>P</v>
      </c>
      <c r="AF20" s="4" t="str">
        <f>IFERROR(LOOKUP(2,1/((lentry!$A$3:$A$3999=mar!$A20)*(lentry!$B$3:$B$3999&lt;=mar!AF$3)*(lentry!$C$3:$C$3999&gt;=mar!AF$3)),lentry!$D$3:$D$3999),IF(WEEKDAY(mar!AF$3,1)=1,"WO","P"))</f>
        <v>P</v>
      </c>
      <c r="AG20" s="4" t="str">
        <f>IFERROR(LOOKUP(2,1/((lentry!$A$3:$A$3999=mar!$A20)*(lentry!$B$3:$B$3999&lt;=mar!AG$3)*(lentry!$C$3:$C$3999&gt;=mar!AG$3)),lentry!$D$3:$D$3999),IF(WEEKDAY(mar!AG$3,1)=1,"WO","P"))</f>
        <v>P</v>
      </c>
      <c r="AH20" s="4" t="str">
        <f>IFERROR(LOOKUP(2,1/((lentry!$A$3:$A$3999=mar!$A20)*(lentry!$B$3:$B$3999&lt;=mar!AH$3)*(lentry!$C$3:$C$3999&gt;=mar!AH$3)),lentry!$D$3:$D$3999),IF(WEEKDAY(mar!AH$3,1)=1,"WO","P"))</f>
        <v>WO</v>
      </c>
      <c r="AI20" s="4" t="str">
        <f>IFERROR(LOOKUP(2,1/((lentry!$A$3:$A$3999=mar!$A20)*(lentry!$B$3:$B$3999&lt;=mar!AI$3)*(lentry!$C$3:$C$3999&gt;=mar!AI$3)),lentry!$D$3:$D$3999),IF(WEEKDAY(mar!AI$3,1)=1,"WO","P"))</f>
        <v>P</v>
      </c>
      <c r="AJ20" s="4" t="str">
        <f>IFERROR(LOOKUP(2,1/((lentry!$A$3:$A$3999=mar!$A20)*(lentry!$B$3:$B$3999&lt;=mar!AJ$3)*(lentry!$C$3:$C$3999&gt;=mar!AJ$3)),lentry!$D$3:$D$3999),IF(WEEKDAY(mar!AJ$3,1)=1,"WO","P"))</f>
        <v>P</v>
      </c>
      <c r="AK20" s="4">
        <f>COUNTIF(mar!$F20:$AJ20,"WO")</f>
        <v>5</v>
      </c>
      <c r="AL20" s="4">
        <f>COUNTIF(mar!$F20:$AJ20,"H")</f>
        <v>2</v>
      </c>
      <c r="AM20" s="4">
        <f>COUNTIF(mar!$F20:$AJ20,"pl")</f>
        <v>0</v>
      </c>
      <c r="AN20" s="4">
        <f>COUNTIF(mar!$F20:$AJ20,"LWP")</f>
        <v>0</v>
      </c>
      <c r="AO20" s="4">
        <f>COUNTIF(mar!$F20:$AJ20,"HD")</f>
        <v>0</v>
      </c>
      <c r="AP20" s="4">
        <f>COUNTIF(mar!$F20:$AJ20,"SL")</f>
        <v>0</v>
      </c>
      <c r="AQ20" s="4">
        <f>COUNTIF(mar!$F20:$AJ20,"CL")</f>
        <v>0</v>
      </c>
      <c r="AR20" s="4">
        <f>COUNTIF(mar!$F20:$AJ20,"A")</f>
        <v>0</v>
      </c>
      <c r="AS20" s="4">
        <f>COUNTIF(mar!$F20:$AJ20,"P")</f>
        <v>24</v>
      </c>
      <c r="AT20" s="4">
        <f t="shared" si="2"/>
        <v>31</v>
      </c>
      <c r="AU20" s="4">
        <f t="shared" si="3"/>
        <v>31</v>
      </c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</row>
    <row r="21" spans="1:78" ht="18.75" x14ac:dyDescent="0.3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IFERROR(LOOKUP(2,1/((#REF!=mar!$A21)*(#REF!&lt;=mar!F$3)*(#REF!&gt;=mar!F$3)),#REF!),IF(WEEKDAY(mar!F$3,1)=1,"WO","P"))</f>
        <v>WO</v>
      </c>
      <c r="G21" s="4" t="str">
        <f>IFERROR(LOOKUP(2,1/((lentry!$A$3:$A$3999=mar!$A21)*(lentry!$B$3:$B$3999&lt;=mar!G$3)*(lentry!$C$3:$C$3999&gt;=mar!G$3)),lentry!$D$3:$D$3999),IF(WEEKDAY(mar!G$3,1)=1,"WO","P"))</f>
        <v>P</v>
      </c>
      <c r="H21" s="4" t="str">
        <f>IFERROR(LOOKUP(2,1/((lentry!$A$3:$A$3999=mar!$A21)*(lentry!$B$3:$B$3999&lt;=mar!H$3)*(lentry!$C$3:$C$3999&gt;=mar!H$3)),lentry!$D$3:$D$3999),IF(WEEKDAY(mar!H$3,1)=1,"WO","P"))</f>
        <v>P</v>
      </c>
      <c r="I21" s="4" t="s">
        <v>350</v>
      </c>
      <c r="J21" s="4" t="str">
        <f>IFERROR(LOOKUP(2,1/((lentry!$A$3:$A$3999=mar!$A21)*(lentry!$B$3:$B$3999&lt;=mar!J$3)*(lentry!$C$3:$C$3999&gt;=mar!J$3)),lentry!$D$3:$D$3999),IF(WEEKDAY(mar!J$3,1)=1,"WO","P"))</f>
        <v>P</v>
      </c>
      <c r="K21" s="4" t="str">
        <f>IFERROR(LOOKUP(2,1/((lentry!$A$3:$A$3999=mar!$A21)*(lentry!$B$3:$B$3999&lt;=mar!K$3)*(lentry!$C$3:$C$3999&gt;=mar!K$3)),lentry!$D$3:$D$3999),IF(WEEKDAY(mar!K$3,1)=1,"WO","P"))</f>
        <v>P</v>
      </c>
      <c r="L21" s="4" t="str">
        <f>IFERROR(LOOKUP(2,1/((lentry!$A$3:$A$3999=mar!$A21)*(lentry!$B$3:$B$3999&lt;=mar!L$3)*(lentry!$C$3:$C$3999&gt;=mar!L$3)),lentry!$D$3:$D$3999),IF(WEEKDAY(mar!L$3,1)=1,"WO","P"))</f>
        <v>P</v>
      </c>
      <c r="M21" s="4" t="str">
        <f>IFERROR(LOOKUP(2,1/((#REF!=mar!$A21)*(#REF!&lt;=mar!M$3)*(#REF!&gt;=mar!M$3)),#REF!),IF(WEEKDAY(mar!M$3,1)=1,"WO","P"))</f>
        <v>WO</v>
      </c>
      <c r="N21" s="4" t="str">
        <f>IFERROR(LOOKUP(2,1/((lentry!$A$3:$A$3999=mar!$A21)*(lentry!$B$3:$B$3999&lt;=mar!N$3)*(lentry!$C$3:$C$3999&gt;=mar!N$3)),lentry!$D$3:$D$3999),IF(WEEKDAY(mar!N$3,1)=1,"WO","P"))</f>
        <v>P</v>
      </c>
      <c r="O21" s="4" t="str">
        <f>IFERROR(LOOKUP(2,1/((lentry!$A$3:$A$3999=mar!$A21)*(lentry!$B$3:$B$3999&lt;=mar!O$3)*(lentry!$C$3:$C$3999&gt;=mar!O$3)),lentry!$D$3:$D$3999),IF(WEEKDAY(mar!O$3,1)=1,"WO","P"))</f>
        <v>P</v>
      </c>
      <c r="P21" s="4" t="str">
        <f>IFERROR(LOOKUP(2,1/((lentry!$A$3:$A$3999=mar!$A21)*(lentry!$B$3:$B$3999&lt;=mar!P$3)*(lentry!$C$3:$C$3999&gt;=mar!P$3)),lentry!$D$3:$D$3999),IF(WEEKDAY(mar!P$3,1)=1,"WO","P"))</f>
        <v>P</v>
      </c>
      <c r="Q21" s="4" t="str">
        <f>IFERROR(LOOKUP(2,1/((lentry!$A$3:$A$3999=mar!$A21)*(lentry!$B$3:$B$3999&lt;=mar!Q$3)*(lentry!$C$3:$C$3999&gt;=mar!Q$3)),lentry!$D$3:$D$3999),IF(WEEKDAY(mar!Q$3,1)=1,"WO","P"))</f>
        <v>P</v>
      </c>
      <c r="R21" s="4" t="str">
        <f>IFERROR(LOOKUP(2,1/((lentry!$A$3:$A$3999=mar!$A21)*(lentry!$B$3:$B$3999&lt;=mar!R$3)*(lentry!$C$3:$C$3999&gt;=mar!R$3)),lentry!$D$3:$D$3999),IF(WEEKDAY(mar!R$3,1)=1,"WO","P"))</f>
        <v>P</v>
      </c>
      <c r="S21" s="4" t="str">
        <f>IFERROR(LOOKUP(2,1/((lentry!$A$3:$A$3999=mar!$A21)*(lentry!$B$3:$B$3999&lt;=mar!S$3)*(lentry!$C$3:$C$3999&gt;=mar!S$3)),lentry!$D$3:$D$3999),IF(WEEKDAY(mar!S$3,1)=1,"WO","P"))</f>
        <v>P</v>
      </c>
      <c r="T21" s="4" t="str">
        <f>IFERROR(LOOKUP(2,1/((lentry!$A$3:$A$3999=mar!$A21)*(lentry!$B$3:$B$3999&lt;=mar!T$3)*(lentry!$C$3:$C$3999&gt;=mar!T$3)),lentry!$D$3:$D$3999),IF(WEEKDAY(mar!T$3,1)=1,"WO","P"))</f>
        <v>WO</v>
      </c>
      <c r="U21" s="4" t="str">
        <f>IFERROR(LOOKUP(2,1/((lentry!$A$3:$A$3999=mar!$A21)*(lentry!$B$3:$B$3999&lt;=mar!U$3)*(lentry!$C$3:$C$3999&gt;=mar!U$3)),lentry!$D$3:$D$3999),IF(WEEKDAY(mar!U$3,1)=1,"WO","P"))</f>
        <v>P</v>
      </c>
      <c r="V21" s="4" t="str">
        <f>IFERROR(LOOKUP(2,1/((lentry!$A$3:$A$3999=mar!$A21)*(lentry!$B$3:$B$3999&lt;=mar!V$3)*(lentry!$C$3:$C$3999&gt;=mar!V$3)),lentry!$D$3:$D$3999),IF(WEEKDAY(mar!V$3,1)=1,"WO","P"))</f>
        <v>P</v>
      </c>
      <c r="W21" s="4" t="s">
        <v>539</v>
      </c>
      <c r="X21" s="4" t="str">
        <f>IFERROR(LOOKUP(2,1/((lentry!$A$3:$A$3999=mar!$A21)*(lentry!$B$3:$B$3999&lt;=mar!X$3)*(lentry!$C$3:$C$3999&gt;=mar!X$3)),lentry!$D$3:$D$3999),IF(WEEKDAY(mar!X$3,1)=1,"WO","P"))</f>
        <v>P</v>
      </c>
      <c r="Y21" s="4" t="str">
        <f>IFERROR(LOOKUP(2,1/((lentry!$A$3:$A$3999=mar!$A21)*(lentry!$B$3:$B$3999&lt;=mar!Y$3)*(lentry!$C$3:$C$3999&gt;=mar!Y$3)),lentry!$D$3:$D$3999),IF(WEEKDAY(mar!Y$3,1)=1,"WO","P"))</f>
        <v>P</v>
      </c>
      <c r="Z21" s="4" t="s">
        <v>350</v>
      </c>
      <c r="AA21" s="4" t="str">
        <f>IFERROR(LOOKUP(2,1/((lentry!$A$3:$A$3999=mar!$A21)*(lentry!$B$3:$B$3999&lt;=mar!AA$3)*(lentry!$C$3:$C$3999&gt;=mar!AA$3)),lentry!$D$3:$D$3999),IF(WEEKDAY(mar!AA$3,1)=1,"WO","P"))</f>
        <v>WO</v>
      </c>
      <c r="AB21" s="4" t="str">
        <f>IFERROR(LOOKUP(2,1/((lentry!$A$3:$A$3999=mar!$A21)*(lentry!$B$3:$B$3999&lt;=mar!AB$3)*(lentry!$C$3:$C$3999&gt;=mar!AB$3)),lentry!$D$3:$D$3999),IF(WEEKDAY(mar!AB$3,1)=1,"WO","P"))</f>
        <v>P</v>
      </c>
      <c r="AC21" s="4" t="str">
        <f>IFERROR(LOOKUP(2,1/((lentry!$A$3:$A$3999=mar!$A21)*(lentry!$B$3:$B$3999&lt;=mar!AC$3)*(lentry!$C$3:$C$3999&gt;=mar!AC$3)),lentry!$D$3:$D$3999),IF(WEEKDAY(mar!AC$3,1)=1,"WO","P"))</f>
        <v>P</v>
      </c>
      <c r="AD21" s="4" t="str">
        <f>IFERROR(LOOKUP(2,1/((lentry!$A$3:$A$3999=mar!$A21)*(lentry!$B$3:$B$3999&lt;=mar!AD$3)*(lentry!$C$3:$C$3999&gt;=mar!AD$3)),lentry!$D$3:$D$3999),IF(WEEKDAY(mar!AD$3,1)=1,"WO","P"))</f>
        <v>P</v>
      </c>
      <c r="AE21" s="4" t="str">
        <f>IFERROR(LOOKUP(2,1/((lentry!$A$3:$A$3999=mar!$A21)*(lentry!$B$3:$B$3999&lt;=mar!AE$3)*(lentry!$C$3:$C$3999&gt;=mar!AE$3)),lentry!$D$3:$D$3999),IF(WEEKDAY(mar!AE$3,1)=1,"WO","P"))</f>
        <v>P</v>
      </c>
      <c r="AF21" s="4" t="str">
        <f>IFERROR(LOOKUP(2,1/((lentry!$A$3:$A$3999=mar!$A21)*(lentry!$B$3:$B$3999&lt;=mar!AF$3)*(lentry!$C$3:$C$3999&gt;=mar!AF$3)),lentry!$D$3:$D$3999),IF(WEEKDAY(mar!AF$3,1)=1,"WO","P"))</f>
        <v>P</v>
      </c>
      <c r="AG21" s="4" t="str">
        <f>IFERROR(LOOKUP(2,1/((lentry!$A$3:$A$3999=mar!$A21)*(lentry!$B$3:$B$3999&lt;=mar!AG$3)*(lentry!$C$3:$C$3999&gt;=mar!AG$3)),lentry!$D$3:$D$3999),IF(WEEKDAY(mar!AG$3,1)=1,"WO","P"))</f>
        <v>P</v>
      </c>
      <c r="AH21" s="4" t="str">
        <f>IFERROR(LOOKUP(2,1/((lentry!$A$3:$A$3999=mar!$A21)*(lentry!$B$3:$B$3999&lt;=mar!AH$3)*(lentry!$C$3:$C$3999&gt;=mar!AH$3)),lentry!$D$3:$D$3999),IF(WEEKDAY(mar!AH$3,1)=1,"WO","P"))</f>
        <v>WO</v>
      </c>
      <c r="AI21" s="4" t="str">
        <f>IFERROR(LOOKUP(2,1/((lentry!$A$3:$A$3999=mar!$A21)*(lentry!$B$3:$B$3999&lt;=mar!AI$3)*(lentry!$C$3:$C$3999&gt;=mar!AI$3)),lentry!$D$3:$D$3999),IF(WEEKDAY(mar!AI$3,1)=1,"WO","P"))</f>
        <v>P</v>
      </c>
      <c r="AJ21" s="4" t="str">
        <f>IFERROR(LOOKUP(2,1/((lentry!$A$3:$A$3999=mar!$A21)*(lentry!$B$3:$B$3999&lt;=mar!AJ$3)*(lentry!$C$3:$C$3999&gt;=mar!AJ$3)),lentry!$D$3:$D$3999),IF(WEEKDAY(mar!AJ$3,1)=1,"WO","P"))</f>
        <v>P</v>
      </c>
      <c r="AK21" s="4">
        <f>COUNTIF(mar!$F21:$AJ21,"WO")</f>
        <v>5</v>
      </c>
      <c r="AL21" s="4">
        <f>COUNTIF(mar!$F21:$AJ21,"H")</f>
        <v>2</v>
      </c>
      <c r="AM21" s="4">
        <f>COUNTIF(mar!$F21:$AJ21,"pl")</f>
        <v>0</v>
      </c>
      <c r="AN21" s="4">
        <f>COUNTIF(mar!$F21:$AJ21,"LWP")</f>
        <v>0</v>
      </c>
      <c r="AO21" s="4">
        <f>COUNTIF(mar!$F21:$AJ21,"HD")</f>
        <v>0</v>
      </c>
      <c r="AP21" s="4">
        <f>COUNTIF(mar!$F21:$AJ21,"SL")</f>
        <v>0</v>
      </c>
      <c r="AQ21" s="4">
        <f>COUNTIF(mar!$F21:$AJ21,"CL")</f>
        <v>0</v>
      </c>
      <c r="AR21" s="4">
        <f>COUNTIF(mar!$F21:$AJ21,"A")</f>
        <v>1</v>
      </c>
      <c r="AS21" s="4">
        <f>COUNTIF(mar!$F21:$AJ21,"P")</f>
        <v>23</v>
      </c>
      <c r="AT21" s="4">
        <f t="shared" si="2"/>
        <v>31</v>
      </c>
      <c r="AU21" s="4">
        <f t="shared" si="3"/>
        <v>30</v>
      </c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</row>
    <row r="22" spans="1:78" ht="18.75" x14ac:dyDescent="0.3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IFERROR(LOOKUP(2,1/((#REF!=mar!$A22)*(#REF!&lt;=mar!F$3)*(#REF!&gt;=mar!F$3)),#REF!),IF(WEEKDAY(mar!F$3,1)=1,"WO","P"))</f>
        <v>WO</v>
      </c>
      <c r="G22" s="4" t="str">
        <f>IFERROR(LOOKUP(2,1/((lentry!$A$3:$A$3999=mar!$A22)*(lentry!$B$3:$B$3999&lt;=mar!G$3)*(lentry!$C$3:$C$3999&gt;=mar!G$3)),lentry!$D$3:$D$3999),IF(WEEKDAY(mar!G$3,1)=1,"WO","P"))</f>
        <v>P</v>
      </c>
      <c r="H22" s="4" t="str">
        <f>IFERROR(LOOKUP(2,1/((lentry!$A$3:$A$3999=mar!$A22)*(lentry!$B$3:$B$3999&lt;=mar!H$3)*(lentry!$C$3:$C$3999&gt;=mar!H$3)),lentry!$D$3:$D$3999),IF(WEEKDAY(mar!H$3,1)=1,"WO","P"))</f>
        <v>P</v>
      </c>
      <c r="I22" s="4" t="s">
        <v>350</v>
      </c>
      <c r="J22" s="4" t="str">
        <f>IFERROR(LOOKUP(2,1/((lentry!$A$3:$A$3999=mar!$A22)*(lentry!$B$3:$B$3999&lt;=mar!J$3)*(lentry!$C$3:$C$3999&gt;=mar!J$3)),lentry!$D$3:$D$3999),IF(WEEKDAY(mar!J$3,1)=1,"WO","P"))</f>
        <v>P</v>
      </c>
      <c r="K22" s="4" t="str">
        <f>IFERROR(LOOKUP(2,1/((lentry!$A$3:$A$3999=mar!$A22)*(lentry!$B$3:$B$3999&lt;=mar!K$3)*(lentry!$C$3:$C$3999&gt;=mar!K$3)),lentry!$D$3:$D$3999),IF(WEEKDAY(mar!K$3,1)=1,"WO","P"))</f>
        <v>P</v>
      </c>
      <c r="L22" s="4" t="str">
        <f>IFERROR(LOOKUP(2,1/((lentry!$A$3:$A$3999=mar!$A22)*(lentry!$B$3:$B$3999&lt;=mar!L$3)*(lentry!$C$3:$C$3999&gt;=mar!L$3)),lentry!$D$3:$D$3999),IF(WEEKDAY(mar!L$3,1)=1,"WO","P"))</f>
        <v>P</v>
      </c>
      <c r="M22" s="4" t="str">
        <f>IFERROR(LOOKUP(2,1/((#REF!=mar!$A22)*(#REF!&lt;=mar!M$3)*(#REF!&gt;=mar!M$3)),#REF!),IF(WEEKDAY(mar!M$3,1)=1,"WO","P"))</f>
        <v>WO</v>
      </c>
      <c r="N22" s="4" t="str">
        <f>IFERROR(LOOKUP(2,1/((lentry!$A$3:$A$3999=mar!$A22)*(lentry!$B$3:$B$3999&lt;=mar!N$3)*(lentry!$C$3:$C$3999&gt;=mar!N$3)),lentry!$D$3:$D$3999),IF(WEEKDAY(mar!N$3,1)=1,"WO","P"))</f>
        <v>P</v>
      </c>
      <c r="O22" s="4" t="str">
        <f>IFERROR(LOOKUP(2,1/((lentry!$A$3:$A$3999=mar!$A22)*(lentry!$B$3:$B$3999&lt;=mar!O$3)*(lentry!$C$3:$C$3999&gt;=mar!O$3)),lentry!$D$3:$D$3999),IF(WEEKDAY(mar!O$3,1)=1,"WO","P"))</f>
        <v>P</v>
      </c>
      <c r="P22" s="4" t="str">
        <f>IFERROR(LOOKUP(2,1/((lentry!$A$3:$A$3999=mar!$A22)*(lentry!$B$3:$B$3999&lt;=mar!P$3)*(lentry!$C$3:$C$3999&gt;=mar!P$3)),lentry!$D$3:$D$3999),IF(WEEKDAY(mar!P$3,1)=1,"WO","P"))</f>
        <v>P</v>
      </c>
      <c r="Q22" s="4" t="str">
        <f>IFERROR(LOOKUP(2,1/((lentry!$A$3:$A$3999=mar!$A22)*(lentry!$B$3:$B$3999&lt;=mar!Q$3)*(lentry!$C$3:$C$3999&gt;=mar!Q$3)),lentry!$D$3:$D$3999),IF(WEEKDAY(mar!Q$3,1)=1,"WO","P"))</f>
        <v>P</v>
      </c>
      <c r="R22" s="4" t="str">
        <f>IFERROR(LOOKUP(2,1/((lentry!$A$3:$A$3999=mar!$A22)*(lentry!$B$3:$B$3999&lt;=mar!R$3)*(lentry!$C$3:$C$3999&gt;=mar!R$3)),lentry!$D$3:$D$3999),IF(WEEKDAY(mar!R$3,1)=1,"WO","P"))</f>
        <v>P</v>
      </c>
      <c r="S22" s="4" t="str">
        <f>IFERROR(LOOKUP(2,1/((lentry!$A$3:$A$3999=mar!$A22)*(lentry!$B$3:$B$3999&lt;=mar!S$3)*(lentry!$C$3:$C$3999&gt;=mar!S$3)),lentry!$D$3:$D$3999),IF(WEEKDAY(mar!S$3,1)=1,"WO","P"))</f>
        <v>P</v>
      </c>
      <c r="T22" s="4" t="str">
        <f>IFERROR(LOOKUP(2,1/((lentry!$A$3:$A$3999=mar!$A22)*(lentry!$B$3:$B$3999&lt;=mar!T$3)*(lentry!$C$3:$C$3999&gt;=mar!T$3)),lentry!$D$3:$D$3999),IF(WEEKDAY(mar!T$3,1)=1,"WO","P"))</f>
        <v>WO</v>
      </c>
      <c r="U22" s="4" t="str">
        <f>IFERROR(LOOKUP(2,1/((lentry!$A$3:$A$3999=mar!$A22)*(lentry!$B$3:$B$3999&lt;=mar!U$3)*(lentry!$C$3:$C$3999&gt;=mar!U$3)),lentry!$D$3:$D$3999),IF(WEEKDAY(mar!U$3,1)=1,"WO","P"))</f>
        <v>P</v>
      </c>
      <c r="V22" s="4" t="str">
        <f>IFERROR(LOOKUP(2,1/((lentry!$A$3:$A$3999=mar!$A22)*(lentry!$B$3:$B$3999&lt;=mar!V$3)*(lentry!$C$3:$C$3999&gt;=mar!V$3)),lentry!$D$3:$D$3999),IF(WEEKDAY(mar!V$3,1)=1,"WO","P"))</f>
        <v>P</v>
      </c>
      <c r="W22" s="4" t="str">
        <f>IFERROR(LOOKUP(2,1/((lentry!$A$3:$A$3999=mar!$A22)*(lentry!$B$3:$B$3999&lt;=mar!W$3)*(lentry!$C$3:$C$3999&gt;=mar!W$3)),lentry!$D$3:$D$3999),IF(WEEKDAY(mar!W$3,1)=1,"WO","P"))</f>
        <v>P</v>
      </c>
      <c r="X22" s="4" t="str">
        <f>IFERROR(LOOKUP(2,1/((lentry!$A$3:$A$3999=mar!$A22)*(lentry!$B$3:$B$3999&lt;=mar!X$3)*(lentry!$C$3:$C$3999&gt;=mar!X$3)),lentry!$D$3:$D$3999),IF(WEEKDAY(mar!X$3,1)=1,"WO","P"))</f>
        <v>P</v>
      </c>
      <c r="Y22" s="4" t="str">
        <f>IFERROR(LOOKUP(2,1/((lentry!$A$3:$A$3999=mar!$A22)*(lentry!$B$3:$B$3999&lt;=mar!Y$3)*(lentry!$C$3:$C$3999&gt;=mar!Y$3)),lentry!$D$3:$D$3999),IF(WEEKDAY(mar!Y$3,1)=1,"WO","P"))</f>
        <v>P</v>
      </c>
      <c r="Z22" s="4" t="s">
        <v>350</v>
      </c>
      <c r="AA22" s="4" t="str">
        <f>IFERROR(LOOKUP(2,1/((lentry!$A$3:$A$3999=mar!$A22)*(lentry!$B$3:$B$3999&lt;=mar!AA$3)*(lentry!$C$3:$C$3999&gt;=mar!AA$3)),lentry!$D$3:$D$3999),IF(WEEKDAY(mar!AA$3,1)=1,"WO","P"))</f>
        <v>WO</v>
      </c>
      <c r="AB22" s="4" t="str">
        <f>IFERROR(LOOKUP(2,1/((lentry!$A$3:$A$3999=mar!$A22)*(lentry!$B$3:$B$3999&lt;=mar!AB$3)*(lentry!$C$3:$C$3999&gt;=mar!AB$3)),lentry!$D$3:$D$3999),IF(WEEKDAY(mar!AB$3,1)=1,"WO","P"))</f>
        <v>P</v>
      </c>
      <c r="AC22" s="4" t="str">
        <f>IFERROR(LOOKUP(2,1/((lentry!$A$3:$A$3999=mar!$A22)*(lentry!$B$3:$B$3999&lt;=mar!AC$3)*(lentry!$C$3:$C$3999&gt;=mar!AC$3)),lentry!$D$3:$D$3999),IF(WEEKDAY(mar!AC$3,1)=1,"WO","P"))</f>
        <v>P</v>
      </c>
      <c r="AD22" s="4" t="str">
        <f>IFERROR(LOOKUP(2,1/((lentry!$A$3:$A$3999=mar!$A22)*(lentry!$B$3:$B$3999&lt;=mar!AD$3)*(lentry!$C$3:$C$3999&gt;=mar!AD$3)),lentry!$D$3:$D$3999),IF(WEEKDAY(mar!AD$3,1)=1,"WO","P"))</f>
        <v>P</v>
      </c>
      <c r="AE22" s="4" t="str">
        <f>IFERROR(LOOKUP(2,1/((lentry!$A$3:$A$3999=mar!$A22)*(lentry!$B$3:$B$3999&lt;=mar!AE$3)*(lentry!$C$3:$C$3999&gt;=mar!AE$3)),lentry!$D$3:$D$3999),IF(WEEKDAY(mar!AE$3,1)=1,"WO","P"))</f>
        <v>P</v>
      </c>
      <c r="AF22" s="4" t="str">
        <f>IFERROR(LOOKUP(2,1/((lentry!$A$3:$A$3999=mar!$A22)*(lentry!$B$3:$B$3999&lt;=mar!AF$3)*(lentry!$C$3:$C$3999&gt;=mar!AF$3)),lentry!$D$3:$D$3999),IF(WEEKDAY(mar!AF$3,1)=1,"WO","P"))</f>
        <v>P</v>
      </c>
      <c r="AG22" s="4" t="str">
        <f>IFERROR(LOOKUP(2,1/((lentry!$A$3:$A$3999=mar!$A22)*(lentry!$B$3:$B$3999&lt;=mar!AG$3)*(lentry!$C$3:$C$3999&gt;=mar!AG$3)),lentry!$D$3:$D$3999),IF(WEEKDAY(mar!AG$3,1)=1,"WO","P"))</f>
        <v>P</v>
      </c>
      <c r="AH22" s="4" t="str">
        <f>IFERROR(LOOKUP(2,1/((lentry!$A$3:$A$3999=mar!$A22)*(lentry!$B$3:$B$3999&lt;=mar!AH$3)*(lentry!$C$3:$C$3999&gt;=mar!AH$3)),lentry!$D$3:$D$3999),IF(WEEKDAY(mar!AH$3,1)=1,"WO","P"))</f>
        <v>WO</v>
      </c>
      <c r="AI22" s="4" t="str">
        <f>IFERROR(LOOKUP(2,1/((lentry!$A$3:$A$3999=mar!$A22)*(lentry!$B$3:$B$3999&lt;=mar!AI$3)*(lentry!$C$3:$C$3999&gt;=mar!AI$3)),lentry!$D$3:$D$3999),IF(WEEKDAY(mar!AI$3,1)=1,"WO","P"))</f>
        <v>P</v>
      </c>
      <c r="AJ22" s="4" t="s">
        <v>539</v>
      </c>
      <c r="AK22" s="4">
        <f>COUNTIF(mar!$F22:$AJ22,"WO")</f>
        <v>5</v>
      </c>
      <c r="AL22" s="4">
        <f>COUNTIF(mar!$F22:$AJ22,"H")</f>
        <v>2</v>
      </c>
      <c r="AM22" s="4">
        <f>COUNTIF(mar!$F22:$AJ22,"pl")</f>
        <v>0</v>
      </c>
      <c r="AN22" s="4">
        <f>COUNTIF(mar!$F22:$AJ22,"LWP")</f>
        <v>0</v>
      </c>
      <c r="AO22" s="4">
        <f>COUNTIF(mar!$F22:$AJ22,"HD")</f>
        <v>0</v>
      </c>
      <c r="AP22" s="4">
        <f>COUNTIF(mar!$F22:$AJ22,"SL")</f>
        <v>0</v>
      </c>
      <c r="AQ22" s="4">
        <f>COUNTIF(mar!$F22:$AJ22,"CL")</f>
        <v>0</v>
      </c>
      <c r="AR22" s="4">
        <f>COUNTIF(mar!$F22:$AJ22,"A")</f>
        <v>1</v>
      </c>
      <c r="AS22" s="4">
        <f>COUNTIF(mar!$F22:$AJ22,"P")</f>
        <v>23</v>
      </c>
      <c r="AT22" s="4">
        <f t="shared" si="2"/>
        <v>31</v>
      </c>
      <c r="AU22" s="4">
        <f t="shared" si="3"/>
        <v>30</v>
      </c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</row>
    <row r="23" spans="1:78" ht="18.75" x14ac:dyDescent="0.3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IFERROR(LOOKUP(2,1/((#REF!=mar!$A23)*(#REF!&lt;=mar!F$3)*(#REF!&gt;=mar!F$3)),#REF!),IF(WEEKDAY(mar!F$3,1)=1,"WO","P"))</f>
        <v>WO</v>
      </c>
      <c r="G23" s="4" t="str">
        <f>IFERROR(LOOKUP(2,1/((lentry!$A$3:$A$3999=mar!$A23)*(lentry!$B$3:$B$3999&lt;=mar!G$3)*(lentry!$C$3:$C$3999&gt;=mar!G$3)),lentry!$D$3:$D$3999),IF(WEEKDAY(mar!G$3,1)=1,"WO","P"))</f>
        <v>P</v>
      </c>
      <c r="H23" s="4" t="str">
        <f>IFERROR(LOOKUP(2,1/((lentry!$A$3:$A$3999=mar!$A23)*(lentry!$B$3:$B$3999&lt;=mar!H$3)*(lentry!$C$3:$C$3999&gt;=mar!H$3)),lentry!$D$3:$D$3999),IF(WEEKDAY(mar!H$3,1)=1,"WO","P"))</f>
        <v>P</v>
      </c>
      <c r="I23" s="4" t="s">
        <v>350</v>
      </c>
      <c r="J23" s="4" t="str">
        <f>IFERROR(LOOKUP(2,1/((lentry!$A$3:$A$3999=mar!$A23)*(lentry!$B$3:$B$3999&lt;=mar!J$3)*(lentry!$C$3:$C$3999&gt;=mar!J$3)),lentry!$D$3:$D$3999),IF(WEEKDAY(mar!J$3,1)=1,"WO","P"))</f>
        <v>P</v>
      </c>
      <c r="K23" s="4" t="str">
        <f>IFERROR(LOOKUP(2,1/((lentry!$A$3:$A$3999=mar!$A23)*(lentry!$B$3:$B$3999&lt;=mar!K$3)*(lentry!$C$3:$C$3999&gt;=mar!K$3)),lentry!$D$3:$D$3999),IF(WEEKDAY(mar!K$3,1)=1,"WO","P"))</f>
        <v>P</v>
      </c>
      <c r="L23" s="4" t="str">
        <f>IFERROR(LOOKUP(2,1/((lentry!$A$3:$A$3999=mar!$A23)*(lentry!$B$3:$B$3999&lt;=mar!L$3)*(lentry!$C$3:$C$3999&gt;=mar!L$3)),lentry!$D$3:$D$3999),IF(WEEKDAY(mar!L$3,1)=1,"WO","P"))</f>
        <v>P</v>
      </c>
      <c r="M23" s="4" t="str">
        <f>IFERROR(LOOKUP(2,1/((#REF!=mar!$A23)*(#REF!&lt;=mar!M$3)*(#REF!&gt;=mar!M$3)),#REF!),IF(WEEKDAY(mar!M$3,1)=1,"WO","P"))</f>
        <v>WO</v>
      </c>
      <c r="N23" s="4" t="str">
        <f>IFERROR(LOOKUP(2,1/((lentry!$A$3:$A$3999=mar!$A23)*(lentry!$B$3:$B$3999&lt;=mar!N$3)*(lentry!$C$3:$C$3999&gt;=mar!N$3)),lentry!$D$3:$D$3999),IF(WEEKDAY(mar!N$3,1)=1,"WO","P"))</f>
        <v>P</v>
      </c>
      <c r="O23" s="4" t="str">
        <f>IFERROR(LOOKUP(2,1/((lentry!$A$3:$A$3999=mar!$A23)*(lentry!$B$3:$B$3999&lt;=mar!O$3)*(lentry!$C$3:$C$3999&gt;=mar!O$3)),lentry!$D$3:$D$3999),IF(WEEKDAY(mar!O$3,1)=1,"WO","P"))</f>
        <v>P</v>
      </c>
      <c r="P23" s="4" t="str">
        <f>IFERROR(LOOKUP(2,1/((lentry!$A$3:$A$3999=mar!$A23)*(lentry!$B$3:$B$3999&lt;=mar!P$3)*(lentry!$C$3:$C$3999&gt;=mar!P$3)),lentry!$D$3:$D$3999),IF(WEEKDAY(mar!P$3,1)=1,"WO","P"))</f>
        <v>P</v>
      </c>
      <c r="Q23" s="4" t="str">
        <f>IFERROR(LOOKUP(2,1/((lentry!$A$3:$A$3999=mar!$A23)*(lentry!$B$3:$B$3999&lt;=mar!Q$3)*(lentry!$C$3:$C$3999&gt;=mar!Q$3)),lentry!$D$3:$D$3999),IF(WEEKDAY(mar!Q$3,1)=1,"WO","P"))</f>
        <v>P</v>
      </c>
      <c r="R23" s="4" t="str">
        <f>IFERROR(LOOKUP(2,1/((lentry!$A$3:$A$3999=mar!$A23)*(lentry!$B$3:$B$3999&lt;=mar!R$3)*(lentry!$C$3:$C$3999&gt;=mar!R$3)),lentry!$D$3:$D$3999),IF(WEEKDAY(mar!R$3,1)=1,"WO","P"))</f>
        <v>P</v>
      </c>
      <c r="S23" s="4" t="str">
        <f>IFERROR(LOOKUP(2,1/((lentry!$A$3:$A$3999=mar!$A23)*(lentry!$B$3:$B$3999&lt;=mar!S$3)*(lentry!$C$3:$C$3999&gt;=mar!S$3)),lentry!$D$3:$D$3999),IF(WEEKDAY(mar!S$3,1)=1,"WO","P"))</f>
        <v>P</v>
      </c>
      <c r="T23" s="4" t="str">
        <f>IFERROR(LOOKUP(2,1/((lentry!$A$3:$A$3999=mar!$A23)*(lentry!$B$3:$B$3999&lt;=mar!T$3)*(lentry!$C$3:$C$3999&gt;=mar!T$3)),lentry!$D$3:$D$3999),IF(WEEKDAY(mar!T$3,1)=1,"WO","P"))</f>
        <v>WO</v>
      </c>
      <c r="U23" s="4" t="str">
        <f>IFERROR(LOOKUP(2,1/((lentry!$A$3:$A$3999=mar!$A23)*(lentry!$B$3:$B$3999&lt;=mar!U$3)*(lentry!$C$3:$C$3999&gt;=mar!U$3)),lentry!$D$3:$D$3999),IF(WEEKDAY(mar!U$3,1)=1,"WO","P"))</f>
        <v>P</v>
      </c>
      <c r="V23" s="4" t="str">
        <f>IFERROR(LOOKUP(2,1/((lentry!$A$3:$A$3999=mar!$A23)*(lentry!$B$3:$B$3999&lt;=mar!V$3)*(lentry!$C$3:$C$3999&gt;=mar!V$3)),lentry!$D$3:$D$3999),IF(WEEKDAY(mar!V$3,1)=1,"WO","P"))</f>
        <v>P</v>
      </c>
      <c r="W23" s="4" t="str">
        <f>IFERROR(LOOKUP(2,1/((lentry!$A$3:$A$3999=mar!$A23)*(lentry!$B$3:$B$3999&lt;=mar!W$3)*(lentry!$C$3:$C$3999&gt;=mar!W$3)),lentry!$D$3:$D$3999),IF(WEEKDAY(mar!W$3,1)=1,"WO","P"))</f>
        <v>P</v>
      </c>
      <c r="X23" s="4" t="str">
        <f>IFERROR(LOOKUP(2,1/((lentry!$A$3:$A$3999=mar!$A23)*(lentry!$B$3:$B$3999&lt;=mar!X$3)*(lentry!$C$3:$C$3999&gt;=mar!X$3)),lentry!$D$3:$D$3999),IF(WEEKDAY(mar!X$3,1)=1,"WO","P"))</f>
        <v>P</v>
      </c>
      <c r="Y23" s="4" t="str">
        <f>IFERROR(LOOKUP(2,1/((lentry!$A$3:$A$3999=mar!$A23)*(lentry!$B$3:$B$3999&lt;=mar!Y$3)*(lentry!$C$3:$C$3999&gt;=mar!Y$3)),lentry!$D$3:$D$3999),IF(WEEKDAY(mar!Y$3,1)=1,"WO","P"))</f>
        <v>P</v>
      </c>
      <c r="Z23" s="4" t="s">
        <v>350</v>
      </c>
      <c r="AA23" s="4" t="str">
        <f>IFERROR(LOOKUP(2,1/((lentry!$A$3:$A$3999=mar!$A23)*(lentry!$B$3:$B$3999&lt;=mar!AA$3)*(lentry!$C$3:$C$3999&gt;=mar!AA$3)),lentry!$D$3:$D$3999),IF(WEEKDAY(mar!AA$3,1)=1,"WO","P"))</f>
        <v>WO</v>
      </c>
      <c r="AB23" s="4" t="str">
        <f>IFERROR(LOOKUP(2,1/((lentry!$A$3:$A$3999=mar!$A23)*(lentry!$B$3:$B$3999&lt;=mar!AB$3)*(lentry!$C$3:$C$3999&gt;=mar!AB$3)),lentry!$D$3:$D$3999),IF(WEEKDAY(mar!AB$3,1)=1,"WO","P"))</f>
        <v>P</v>
      </c>
      <c r="AC23" s="4" t="str">
        <f>IFERROR(LOOKUP(2,1/((lentry!$A$3:$A$3999=mar!$A23)*(lentry!$B$3:$B$3999&lt;=mar!AC$3)*(lentry!$C$3:$C$3999&gt;=mar!AC$3)),lentry!$D$3:$D$3999),IF(WEEKDAY(mar!AC$3,1)=1,"WO","P"))</f>
        <v>P</v>
      </c>
      <c r="AD23" s="4" t="str">
        <f>IFERROR(LOOKUP(2,1/((lentry!$A$3:$A$3999=mar!$A23)*(lentry!$B$3:$B$3999&lt;=mar!AD$3)*(lentry!$C$3:$C$3999&gt;=mar!AD$3)),lentry!$D$3:$D$3999),IF(WEEKDAY(mar!AD$3,1)=1,"WO","P"))</f>
        <v>P</v>
      </c>
      <c r="AE23" s="4" t="str">
        <f>IFERROR(LOOKUP(2,1/((lentry!$A$3:$A$3999=mar!$A23)*(lentry!$B$3:$B$3999&lt;=mar!AE$3)*(lentry!$C$3:$C$3999&gt;=mar!AE$3)),lentry!$D$3:$D$3999),IF(WEEKDAY(mar!AE$3,1)=1,"WO","P"))</f>
        <v>P</v>
      </c>
      <c r="AF23" s="4" t="str">
        <f>IFERROR(LOOKUP(2,1/((lentry!$A$3:$A$3999=mar!$A23)*(lentry!$B$3:$B$3999&lt;=mar!AF$3)*(lentry!$C$3:$C$3999&gt;=mar!AF$3)),lentry!$D$3:$D$3999),IF(WEEKDAY(mar!AF$3,1)=1,"WO","P"))</f>
        <v>P</v>
      </c>
      <c r="AG23" s="4" t="str">
        <f>IFERROR(LOOKUP(2,1/((lentry!$A$3:$A$3999=mar!$A23)*(lentry!$B$3:$B$3999&lt;=mar!AG$3)*(lentry!$C$3:$C$3999&gt;=mar!AG$3)),lentry!$D$3:$D$3999),IF(WEEKDAY(mar!AG$3,1)=1,"WO","P"))</f>
        <v>P</v>
      </c>
      <c r="AH23" s="4" t="str">
        <f>IFERROR(LOOKUP(2,1/((lentry!$A$3:$A$3999=mar!$A23)*(lentry!$B$3:$B$3999&lt;=mar!AH$3)*(lentry!$C$3:$C$3999&gt;=mar!AH$3)),lentry!$D$3:$D$3999),IF(WEEKDAY(mar!AH$3,1)=1,"WO","P"))</f>
        <v>WO</v>
      </c>
      <c r="AI23" s="4" t="str">
        <f>IFERROR(LOOKUP(2,1/((lentry!$A$3:$A$3999=mar!$A23)*(lentry!$B$3:$B$3999&lt;=mar!AI$3)*(lentry!$C$3:$C$3999&gt;=mar!AI$3)),lentry!$D$3:$D$3999),IF(WEEKDAY(mar!AI$3,1)=1,"WO","P"))</f>
        <v>P</v>
      </c>
      <c r="AJ23" s="4" t="str">
        <f>IFERROR(LOOKUP(2,1/((lentry!$A$3:$A$3999=mar!$A23)*(lentry!$B$3:$B$3999&lt;=mar!AJ$3)*(lentry!$C$3:$C$3999&gt;=mar!AJ$3)),lentry!$D$3:$D$3999),IF(WEEKDAY(mar!AJ$3,1)=1,"WO","P"))</f>
        <v>P</v>
      </c>
      <c r="AK23" s="4">
        <f>COUNTIF(mar!$F23:$AJ23,"WO")</f>
        <v>5</v>
      </c>
      <c r="AL23" s="4">
        <f>COUNTIF(mar!$F23:$AJ23,"H")</f>
        <v>2</v>
      </c>
      <c r="AM23" s="4">
        <f>COUNTIF(mar!$F23:$AJ23,"pl")</f>
        <v>0</v>
      </c>
      <c r="AN23" s="4">
        <f>COUNTIF(mar!$F23:$AJ23,"LWP")</f>
        <v>0</v>
      </c>
      <c r="AO23" s="4">
        <f>COUNTIF(mar!$F23:$AJ23,"HD")</f>
        <v>0</v>
      </c>
      <c r="AP23" s="4">
        <f>COUNTIF(mar!$F23:$AJ23,"SL")</f>
        <v>0</v>
      </c>
      <c r="AQ23" s="4">
        <f>COUNTIF(mar!$F23:$AJ23,"CL")</f>
        <v>0</v>
      </c>
      <c r="AR23" s="4">
        <f>COUNTIF(mar!$F23:$AJ23,"A")</f>
        <v>0</v>
      </c>
      <c r="AS23" s="4">
        <f>COUNTIF(mar!$F23:$AJ23,"P")</f>
        <v>24</v>
      </c>
      <c r="AT23" s="4">
        <f t="shared" si="2"/>
        <v>31</v>
      </c>
      <c r="AU23" s="4">
        <f t="shared" si="3"/>
        <v>31</v>
      </c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</row>
    <row r="24" spans="1:78" ht="18.75" x14ac:dyDescent="0.3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IFERROR(LOOKUP(2,1/((#REF!=mar!$A24)*(#REF!&lt;=mar!F$3)*(#REF!&gt;=mar!F$3)),#REF!),IF(WEEKDAY(mar!F$3,1)=1,"WO","P"))</f>
        <v>WO</v>
      </c>
      <c r="G24" s="4" t="str">
        <f>IFERROR(LOOKUP(2,1/((lentry!$A$3:$A$3999=mar!$A24)*(lentry!$B$3:$B$3999&lt;=mar!G$3)*(lentry!$C$3:$C$3999&gt;=mar!G$3)),lentry!$D$3:$D$3999),IF(WEEKDAY(mar!G$3,1)=1,"WO","P"))</f>
        <v>P</v>
      </c>
      <c r="H24" s="4" t="str">
        <f>IFERROR(LOOKUP(2,1/((lentry!$A$3:$A$3999=mar!$A24)*(lentry!$B$3:$B$3999&lt;=mar!H$3)*(lentry!$C$3:$C$3999&gt;=mar!H$3)),lentry!$D$3:$D$3999),IF(WEEKDAY(mar!H$3,1)=1,"WO","P"))</f>
        <v>P</v>
      </c>
      <c r="I24" s="4" t="s">
        <v>350</v>
      </c>
      <c r="J24" s="4" t="str">
        <f>IFERROR(LOOKUP(2,1/((lentry!$A$3:$A$3999=mar!$A24)*(lentry!$B$3:$B$3999&lt;=mar!J$3)*(lentry!$C$3:$C$3999&gt;=mar!J$3)),lentry!$D$3:$D$3999),IF(WEEKDAY(mar!J$3,1)=1,"WO","P"))</f>
        <v>P</v>
      </c>
      <c r="K24" s="4" t="str">
        <f>IFERROR(LOOKUP(2,1/((lentry!$A$3:$A$3999=mar!$A24)*(lentry!$B$3:$B$3999&lt;=mar!K$3)*(lentry!$C$3:$C$3999&gt;=mar!K$3)),lentry!$D$3:$D$3999),IF(WEEKDAY(mar!K$3,1)=1,"WO","P"))</f>
        <v>P</v>
      </c>
      <c r="L24" s="4" t="str">
        <f>IFERROR(LOOKUP(2,1/((lentry!$A$3:$A$3999=mar!$A24)*(lentry!$B$3:$B$3999&lt;=mar!L$3)*(lentry!$C$3:$C$3999&gt;=mar!L$3)),lentry!$D$3:$D$3999),IF(WEEKDAY(mar!L$3,1)=1,"WO","P"))</f>
        <v>P</v>
      </c>
      <c r="M24" s="4" t="str">
        <f>IFERROR(LOOKUP(2,1/((#REF!=mar!$A24)*(#REF!&lt;=mar!M$3)*(#REF!&gt;=mar!M$3)),#REF!),IF(WEEKDAY(mar!M$3,1)=1,"WO","P"))</f>
        <v>WO</v>
      </c>
      <c r="N24" s="4" t="str">
        <f>IFERROR(LOOKUP(2,1/((lentry!$A$3:$A$3999=mar!$A24)*(lentry!$B$3:$B$3999&lt;=mar!N$3)*(lentry!$C$3:$C$3999&gt;=mar!N$3)),lentry!$D$3:$D$3999),IF(WEEKDAY(mar!N$3,1)=1,"WO","P"))</f>
        <v>P</v>
      </c>
      <c r="O24" s="4" t="str">
        <f>IFERROR(LOOKUP(2,1/((lentry!$A$3:$A$3999=mar!$A24)*(lentry!$B$3:$B$3999&lt;=mar!O$3)*(lentry!$C$3:$C$3999&gt;=mar!O$3)),lentry!$D$3:$D$3999),IF(WEEKDAY(mar!O$3,1)=1,"WO","P"))</f>
        <v>P</v>
      </c>
      <c r="P24" s="4" t="str">
        <f>IFERROR(LOOKUP(2,1/((lentry!$A$3:$A$3999=mar!$A24)*(lentry!$B$3:$B$3999&lt;=mar!P$3)*(lentry!$C$3:$C$3999&gt;=mar!P$3)),lentry!$D$3:$D$3999),IF(WEEKDAY(mar!P$3,1)=1,"WO","P"))</f>
        <v>P</v>
      </c>
      <c r="Q24" s="4" t="str">
        <f>IFERROR(LOOKUP(2,1/((lentry!$A$3:$A$3999=mar!$A24)*(lentry!$B$3:$B$3999&lt;=mar!Q$3)*(lentry!$C$3:$C$3999&gt;=mar!Q$3)),lentry!$D$3:$D$3999),IF(WEEKDAY(mar!Q$3,1)=1,"WO","P"))</f>
        <v>P</v>
      </c>
      <c r="R24" s="4" t="str">
        <f>IFERROR(LOOKUP(2,1/((lentry!$A$3:$A$3999=mar!$A24)*(lentry!$B$3:$B$3999&lt;=mar!R$3)*(lentry!$C$3:$C$3999&gt;=mar!R$3)),lentry!$D$3:$D$3999),IF(WEEKDAY(mar!R$3,1)=1,"WO","P"))</f>
        <v>P</v>
      </c>
      <c r="S24" s="4" t="str">
        <f>IFERROR(LOOKUP(2,1/((lentry!$A$3:$A$3999=mar!$A24)*(lentry!$B$3:$B$3999&lt;=mar!S$3)*(lentry!$C$3:$C$3999&gt;=mar!S$3)),lentry!$D$3:$D$3999),IF(WEEKDAY(mar!S$3,1)=1,"WO","P"))</f>
        <v>P</v>
      </c>
      <c r="T24" s="4" t="str">
        <f>IFERROR(LOOKUP(2,1/((lentry!$A$3:$A$3999=mar!$A24)*(lentry!$B$3:$B$3999&lt;=mar!T$3)*(lentry!$C$3:$C$3999&gt;=mar!T$3)),lentry!$D$3:$D$3999),IF(WEEKDAY(mar!T$3,1)=1,"WO","P"))</f>
        <v>WO</v>
      </c>
      <c r="U24" s="4" t="str">
        <f>IFERROR(LOOKUP(2,1/((lentry!$A$3:$A$3999=mar!$A24)*(lentry!$B$3:$B$3999&lt;=mar!U$3)*(lentry!$C$3:$C$3999&gt;=mar!U$3)),lentry!$D$3:$D$3999),IF(WEEKDAY(mar!U$3,1)=1,"WO","P"))</f>
        <v>P</v>
      </c>
      <c r="V24" s="4" t="str">
        <f>IFERROR(LOOKUP(2,1/((lentry!$A$3:$A$3999=mar!$A24)*(lentry!$B$3:$B$3999&lt;=mar!V$3)*(lentry!$C$3:$C$3999&gt;=mar!V$3)),lentry!$D$3:$D$3999),IF(WEEKDAY(mar!V$3,1)=1,"WO","P"))</f>
        <v>P</v>
      </c>
      <c r="W24" s="4" t="str">
        <f>IFERROR(LOOKUP(2,1/((lentry!$A$3:$A$3999=mar!$A24)*(lentry!$B$3:$B$3999&lt;=mar!W$3)*(lentry!$C$3:$C$3999&gt;=mar!W$3)),lentry!$D$3:$D$3999),IF(WEEKDAY(mar!W$3,1)=1,"WO","P"))</f>
        <v>P</v>
      </c>
      <c r="X24" s="4" t="str">
        <f>IFERROR(LOOKUP(2,1/((lentry!$A$3:$A$3999=mar!$A24)*(lentry!$B$3:$B$3999&lt;=mar!X$3)*(lentry!$C$3:$C$3999&gt;=mar!X$3)),lentry!$D$3:$D$3999),IF(WEEKDAY(mar!X$3,1)=1,"WO","P"))</f>
        <v>P</v>
      </c>
      <c r="Y24" s="4" t="str">
        <f>IFERROR(LOOKUP(2,1/((lentry!$A$3:$A$3999=mar!$A24)*(lentry!$B$3:$B$3999&lt;=mar!Y$3)*(lentry!$C$3:$C$3999&gt;=mar!Y$3)),lentry!$D$3:$D$3999),IF(WEEKDAY(mar!Y$3,1)=1,"WO","P"))</f>
        <v>P</v>
      </c>
      <c r="Z24" s="4" t="s">
        <v>350</v>
      </c>
      <c r="AA24" s="4" t="str">
        <f>IFERROR(LOOKUP(2,1/((lentry!$A$3:$A$3999=mar!$A24)*(lentry!$B$3:$B$3999&lt;=mar!AA$3)*(lentry!$C$3:$C$3999&gt;=mar!AA$3)),lentry!$D$3:$D$3999),IF(WEEKDAY(mar!AA$3,1)=1,"WO","P"))</f>
        <v>WO</v>
      </c>
      <c r="AB24" s="4" t="str">
        <f>IFERROR(LOOKUP(2,1/((lentry!$A$3:$A$3999=mar!$A24)*(lentry!$B$3:$B$3999&lt;=mar!AB$3)*(lentry!$C$3:$C$3999&gt;=mar!AB$3)),lentry!$D$3:$D$3999),IF(WEEKDAY(mar!AB$3,1)=1,"WO","P"))</f>
        <v>P</v>
      </c>
      <c r="AC24" s="4" t="str">
        <f>IFERROR(LOOKUP(2,1/((lentry!$A$3:$A$3999=mar!$A24)*(lentry!$B$3:$B$3999&lt;=mar!AC$3)*(lentry!$C$3:$C$3999&gt;=mar!AC$3)),lentry!$D$3:$D$3999),IF(WEEKDAY(mar!AC$3,1)=1,"WO","P"))</f>
        <v>P</v>
      </c>
      <c r="AD24" s="4" t="str">
        <f>IFERROR(LOOKUP(2,1/((lentry!$A$3:$A$3999=mar!$A24)*(lentry!$B$3:$B$3999&lt;=mar!AD$3)*(lentry!$C$3:$C$3999&gt;=mar!AD$3)),lentry!$D$3:$D$3999),IF(WEEKDAY(mar!AD$3,1)=1,"WO","P"))</f>
        <v>P</v>
      </c>
      <c r="AE24" s="4" t="s">
        <v>539</v>
      </c>
      <c r="AF24" s="4" t="str">
        <f>IFERROR(LOOKUP(2,1/((lentry!$A$3:$A$3999=mar!$A24)*(lentry!$B$3:$B$3999&lt;=mar!AF$3)*(lentry!$C$3:$C$3999&gt;=mar!AF$3)),lentry!$D$3:$D$3999),IF(WEEKDAY(mar!AF$3,1)=1,"WO","P"))</f>
        <v>P</v>
      </c>
      <c r="AG24" s="4" t="str">
        <f>IFERROR(LOOKUP(2,1/((lentry!$A$3:$A$3999=mar!$A24)*(lentry!$B$3:$B$3999&lt;=mar!AG$3)*(lentry!$C$3:$C$3999&gt;=mar!AG$3)),lentry!$D$3:$D$3999),IF(WEEKDAY(mar!AG$3,1)=1,"WO","P"))</f>
        <v>P</v>
      </c>
      <c r="AH24" s="4" t="str">
        <f>IFERROR(LOOKUP(2,1/((lentry!$A$3:$A$3999=mar!$A24)*(lentry!$B$3:$B$3999&lt;=mar!AH$3)*(lentry!$C$3:$C$3999&gt;=mar!AH$3)),lentry!$D$3:$D$3999),IF(WEEKDAY(mar!AH$3,1)=1,"WO","P"))</f>
        <v>WO</v>
      </c>
      <c r="AI24" s="4" t="str">
        <f>IFERROR(LOOKUP(2,1/((lentry!$A$3:$A$3999=mar!$A24)*(lentry!$B$3:$B$3999&lt;=mar!AI$3)*(lentry!$C$3:$C$3999&gt;=mar!AI$3)),lentry!$D$3:$D$3999),IF(WEEKDAY(mar!AI$3,1)=1,"WO","P"))</f>
        <v>P</v>
      </c>
      <c r="AJ24" s="4" t="str">
        <f>IFERROR(LOOKUP(2,1/((lentry!$A$3:$A$3999=mar!$A24)*(lentry!$B$3:$B$3999&lt;=mar!AJ$3)*(lentry!$C$3:$C$3999&gt;=mar!AJ$3)),lentry!$D$3:$D$3999),IF(WEEKDAY(mar!AJ$3,1)=1,"WO","P"))</f>
        <v>P</v>
      </c>
      <c r="AK24" s="4">
        <f>COUNTIF(mar!$F24:$AJ24,"WO")</f>
        <v>5</v>
      </c>
      <c r="AL24" s="4">
        <f>COUNTIF(mar!$F24:$AJ24,"H")</f>
        <v>2</v>
      </c>
      <c r="AM24" s="4">
        <f>COUNTIF(mar!$F24:$AJ24,"pl")</f>
        <v>0</v>
      </c>
      <c r="AN24" s="4">
        <f>COUNTIF(mar!$F24:$AJ24,"LWP")</f>
        <v>0</v>
      </c>
      <c r="AO24" s="4">
        <f>COUNTIF(mar!$F24:$AJ24,"HD")</f>
        <v>0</v>
      </c>
      <c r="AP24" s="4">
        <f>COUNTIF(mar!$F24:$AJ24,"SL")</f>
        <v>0</v>
      </c>
      <c r="AQ24" s="4">
        <f>COUNTIF(mar!$F24:$AJ24,"CL")</f>
        <v>0</v>
      </c>
      <c r="AR24" s="4">
        <f>COUNTIF(mar!$F24:$AJ24,"A")</f>
        <v>1</v>
      </c>
      <c r="AS24" s="4">
        <f>COUNTIF(mar!$F24:$AJ24,"P")</f>
        <v>23</v>
      </c>
      <c r="AT24" s="4">
        <f t="shared" si="2"/>
        <v>31</v>
      </c>
      <c r="AU24" s="4">
        <f t="shared" si="3"/>
        <v>30</v>
      </c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</row>
    <row r="25" spans="1:78" ht="18.75" x14ac:dyDescent="0.3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IFERROR(LOOKUP(2,1/((#REF!=mar!$A25)*(#REF!&lt;=mar!F$3)*(#REF!&gt;=mar!F$3)),#REF!),IF(WEEKDAY(mar!F$3,1)=1,"WO","P"))</f>
        <v>WO</v>
      </c>
      <c r="G25" s="4" t="str">
        <f>IFERROR(LOOKUP(2,1/((lentry!$A$3:$A$3999=mar!$A25)*(lentry!$B$3:$B$3999&lt;=mar!G$3)*(lentry!$C$3:$C$3999&gt;=mar!G$3)),lentry!$D$3:$D$3999),IF(WEEKDAY(mar!G$3,1)=1,"WO","P"))</f>
        <v>P</v>
      </c>
      <c r="H25" s="4" t="str">
        <f>IFERROR(LOOKUP(2,1/((lentry!$A$3:$A$3999=mar!$A25)*(lentry!$B$3:$B$3999&lt;=mar!H$3)*(lentry!$C$3:$C$3999&gt;=mar!H$3)),lentry!$D$3:$D$3999),IF(WEEKDAY(mar!H$3,1)=1,"WO","P"))</f>
        <v>P</v>
      </c>
      <c r="I25" s="4" t="s">
        <v>350</v>
      </c>
      <c r="J25" s="4" t="str">
        <f>IFERROR(LOOKUP(2,1/((lentry!$A$3:$A$3999=mar!$A25)*(lentry!$B$3:$B$3999&lt;=mar!J$3)*(lentry!$C$3:$C$3999&gt;=mar!J$3)),lentry!$D$3:$D$3999),IF(WEEKDAY(mar!J$3,1)=1,"WO","P"))</f>
        <v>P</v>
      </c>
      <c r="K25" s="4" t="str">
        <f>IFERROR(LOOKUP(2,1/((lentry!$A$3:$A$3999=mar!$A25)*(lentry!$B$3:$B$3999&lt;=mar!K$3)*(lentry!$C$3:$C$3999&gt;=mar!K$3)),lentry!$D$3:$D$3999),IF(WEEKDAY(mar!K$3,1)=1,"WO","P"))</f>
        <v>P</v>
      </c>
      <c r="L25" s="4" t="str">
        <f>IFERROR(LOOKUP(2,1/((lentry!$A$3:$A$3999=mar!$A25)*(lentry!$B$3:$B$3999&lt;=mar!L$3)*(lentry!$C$3:$C$3999&gt;=mar!L$3)),lentry!$D$3:$D$3999),IF(WEEKDAY(mar!L$3,1)=1,"WO","P"))</f>
        <v>P</v>
      </c>
      <c r="M25" s="4" t="str">
        <f>IFERROR(LOOKUP(2,1/((#REF!=mar!$A25)*(#REF!&lt;=mar!M$3)*(#REF!&gt;=mar!M$3)),#REF!),IF(WEEKDAY(mar!M$3,1)=1,"WO","P"))</f>
        <v>WO</v>
      </c>
      <c r="N25" s="4" t="str">
        <f>IFERROR(LOOKUP(2,1/((lentry!$A$3:$A$3999=mar!$A25)*(lentry!$B$3:$B$3999&lt;=mar!N$3)*(lentry!$C$3:$C$3999&gt;=mar!N$3)),lentry!$D$3:$D$3999),IF(WEEKDAY(mar!N$3,1)=1,"WO","P"))</f>
        <v>P</v>
      </c>
      <c r="O25" s="4" t="s">
        <v>539</v>
      </c>
      <c r="P25" s="4" t="str">
        <f>IFERROR(LOOKUP(2,1/((lentry!$A$3:$A$3999=mar!$A25)*(lentry!$B$3:$B$3999&lt;=mar!P$3)*(lentry!$C$3:$C$3999&gt;=mar!P$3)),lentry!$D$3:$D$3999),IF(WEEKDAY(mar!P$3,1)=1,"WO","P"))</f>
        <v>P</v>
      </c>
      <c r="Q25" s="4" t="str">
        <f>IFERROR(LOOKUP(2,1/((lentry!$A$3:$A$3999=mar!$A25)*(lentry!$B$3:$B$3999&lt;=mar!Q$3)*(lentry!$C$3:$C$3999&gt;=mar!Q$3)),lentry!$D$3:$D$3999),IF(WEEKDAY(mar!Q$3,1)=1,"WO","P"))</f>
        <v>P</v>
      </c>
      <c r="R25" s="4" t="str">
        <f>IFERROR(LOOKUP(2,1/((lentry!$A$3:$A$3999=mar!$A25)*(lentry!$B$3:$B$3999&lt;=mar!R$3)*(lentry!$C$3:$C$3999&gt;=mar!R$3)),lentry!$D$3:$D$3999),IF(WEEKDAY(mar!R$3,1)=1,"WO","P"))</f>
        <v>P</v>
      </c>
      <c r="S25" s="4" t="str">
        <f>IFERROR(LOOKUP(2,1/((lentry!$A$3:$A$3999=mar!$A25)*(lentry!$B$3:$B$3999&lt;=mar!S$3)*(lentry!$C$3:$C$3999&gt;=mar!S$3)),lentry!$D$3:$D$3999),IF(WEEKDAY(mar!S$3,1)=1,"WO","P"))</f>
        <v>P</v>
      </c>
      <c r="T25" s="4" t="str">
        <f>IFERROR(LOOKUP(2,1/((lentry!$A$3:$A$3999=mar!$A25)*(lentry!$B$3:$B$3999&lt;=mar!T$3)*(lentry!$C$3:$C$3999&gt;=mar!T$3)),lentry!$D$3:$D$3999),IF(WEEKDAY(mar!T$3,1)=1,"WO","P"))</f>
        <v>WO</v>
      </c>
      <c r="U25" s="4" t="str">
        <f>IFERROR(LOOKUP(2,1/((lentry!$A$3:$A$3999=mar!$A25)*(lentry!$B$3:$B$3999&lt;=mar!U$3)*(lentry!$C$3:$C$3999&gt;=mar!U$3)),lentry!$D$3:$D$3999),IF(WEEKDAY(mar!U$3,1)=1,"WO","P"))</f>
        <v>P</v>
      </c>
      <c r="V25" s="4" t="s">
        <v>539</v>
      </c>
      <c r="W25" s="4" t="str">
        <f>IFERROR(LOOKUP(2,1/((lentry!$A$3:$A$3999=mar!$A25)*(lentry!$B$3:$B$3999&lt;=mar!W$3)*(lentry!$C$3:$C$3999&gt;=mar!W$3)),lentry!$D$3:$D$3999),IF(WEEKDAY(mar!W$3,1)=1,"WO","P"))</f>
        <v>P</v>
      </c>
      <c r="X25" s="4" t="str">
        <f>IFERROR(LOOKUP(2,1/((lentry!$A$3:$A$3999=mar!$A25)*(lentry!$B$3:$B$3999&lt;=mar!X$3)*(lentry!$C$3:$C$3999&gt;=mar!X$3)),lentry!$D$3:$D$3999),IF(WEEKDAY(mar!X$3,1)=1,"WO","P"))</f>
        <v>P</v>
      </c>
      <c r="Y25" s="4" t="str">
        <f>IFERROR(LOOKUP(2,1/((lentry!$A$3:$A$3999=mar!$A25)*(lentry!$B$3:$B$3999&lt;=mar!Y$3)*(lentry!$C$3:$C$3999&gt;=mar!Y$3)),lentry!$D$3:$D$3999),IF(WEEKDAY(mar!Y$3,1)=1,"WO","P"))</f>
        <v>P</v>
      </c>
      <c r="Z25" s="4" t="s">
        <v>350</v>
      </c>
      <c r="AA25" s="4" t="str">
        <f>IFERROR(LOOKUP(2,1/((lentry!$A$3:$A$3999=mar!$A25)*(lentry!$B$3:$B$3999&lt;=mar!AA$3)*(lentry!$C$3:$C$3999&gt;=mar!AA$3)),lentry!$D$3:$D$3999),IF(WEEKDAY(mar!AA$3,1)=1,"WO","P"))</f>
        <v>WO</v>
      </c>
      <c r="AB25" s="4" t="str">
        <f>IFERROR(LOOKUP(2,1/((lentry!$A$3:$A$3999=mar!$A25)*(lentry!$B$3:$B$3999&lt;=mar!AB$3)*(lentry!$C$3:$C$3999&gt;=mar!AB$3)),lentry!$D$3:$D$3999),IF(WEEKDAY(mar!AB$3,1)=1,"WO","P"))</f>
        <v>P</v>
      </c>
      <c r="AC25" s="4" t="str">
        <f>IFERROR(LOOKUP(2,1/((lentry!$A$3:$A$3999=mar!$A25)*(lentry!$B$3:$B$3999&lt;=mar!AC$3)*(lentry!$C$3:$C$3999&gt;=mar!AC$3)),lentry!$D$3:$D$3999),IF(WEEKDAY(mar!AC$3,1)=1,"WO","P"))</f>
        <v>P</v>
      </c>
      <c r="AD25" s="4" t="str">
        <f>IFERROR(LOOKUP(2,1/((lentry!$A$3:$A$3999=mar!$A25)*(lentry!$B$3:$B$3999&lt;=mar!AD$3)*(lentry!$C$3:$C$3999&gt;=mar!AD$3)),lentry!$D$3:$D$3999),IF(WEEKDAY(mar!AD$3,1)=1,"WO","P"))</f>
        <v>P</v>
      </c>
      <c r="AE25" s="4" t="str">
        <f>IFERROR(LOOKUP(2,1/((lentry!$A$3:$A$3999=mar!$A25)*(lentry!$B$3:$B$3999&lt;=mar!AE$3)*(lentry!$C$3:$C$3999&gt;=mar!AE$3)),lentry!$D$3:$D$3999),IF(WEEKDAY(mar!AE$3,1)=1,"WO","P"))</f>
        <v>P</v>
      </c>
      <c r="AF25" s="4" t="str">
        <f>IFERROR(LOOKUP(2,1/((lentry!$A$3:$A$3999=mar!$A25)*(lentry!$B$3:$B$3999&lt;=mar!AF$3)*(lentry!$C$3:$C$3999&gt;=mar!AF$3)),lentry!$D$3:$D$3999),IF(WEEKDAY(mar!AF$3,1)=1,"WO","P"))</f>
        <v>P</v>
      </c>
      <c r="AG25" s="4" t="str">
        <f>IFERROR(LOOKUP(2,1/((lentry!$A$3:$A$3999=mar!$A25)*(lentry!$B$3:$B$3999&lt;=mar!AG$3)*(lentry!$C$3:$C$3999&gt;=mar!AG$3)),lentry!$D$3:$D$3999),IF(WEEKDAY(mar!AG$3,1)=1,"WO","P"))</f>
        <v>P</v>
      </c>
      <c r="AH25" s="4" t="str">
        <f>IFERROR(LOOKUP(2,1/((lentry!$A$3:$A$3999=mar!$A25)*(lentry!$B$3:$B$3999&lt;=mar!AH$3)*(lentry!$C$3:$C$3999&gt;=mar!AH$3)),lentry!$D$3:$D$3999),IF(WEEKDAY(mar!AH$3,1)=1,"WO","P"))</f>
        <v>WO</v>
      </c>
      <c r="AI25" s="4" t="str">
        <f>IFERROR(LOOKUP(2,1/((lentry!$A$3:$A$3999=mar!$A25)*(lentry!$B$3:$B$3999&lt;=mar!AI$3)*(lentry!$C$3:$C$3999&gt;=mar!AI$3)),lentry!$D$3:$D$3999),IF(WEEKDAY(mar!AI$3,1)=1,"WO","P"))</f>
        <v>P</v>
      </c>
      <c r="AJ25" s="4" t="str">
        <f>IFERROR(LOOKUP(2,1/((lentry!$A$3:$A$3999=mar!$A25)*(lentry!$B$3:$B$3999&lt;=mar!AJ$3)*(lentry!$C$3:$C$3999&gt;=mar!AJ$3)),lentry!$D$3:$D$3999),IF(WEEKDAY(mar!AJ$3,1)=1,"WO","P"))</f>
        <v>P</v>
      </c>
      <c r="AK25" s="4">
        <f>COUNTIF(mar!$F25:$AJ25,"WO")</f>
        <v>5</v>
      </c>
      <c r="AL25" s="4">
        <f>COUNTIF(mar!$F25:$AJ25,"H")</f>
        <v>2</v>
      </c>
      <c r="AM25" s="4">
        <f>COUNTIF(mar!$F25:$AJ25,"pl")</f>
        <v>0</v>
      </c>
      <c r="AN25" s="4">
        <f>COUNTIF(mar!$F25:$AJ25,"LWP")</f>
        <v>0</v>
      </c>
      <c r="AO25" s="4">
        <f>COUNTIF(mar!$F25:$AJ25,"HD")</f>
        <v>0</v>
      </c>
      <c r="AP25" s="4">
        <f>COUNTIF(mar!$F25:$AJ25,"SL")</f>
        <v>0</v>
      </c>
      <c r="AQ25" s="4">
        <f>COUNTIF(mar!$F25:$AJ25,"CL")</f>
        <v>0</v>
      </c>
      <c r="AR25" s="4">
        <f>COUNTIF(mar!$F25:$AJ25,"A")</f>
        <v>2</v>
      </c>
      <c r="AS25" s="4">
        <f>COUNTIF(mar!$F25:$AJ25,"P")</f>
        <v>22</v>
      </c>
      <c r="AT25" s="4">
        <f t="shared" si="2"/>
        <v>31</v>
      </c>
      <c r="AU25" s="4">
        <f t="shared" si="3"/>
        <v>29</v>
      </c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</row>
    <row r="26" spans="1:78" ht="18.75" x14ac:dyDescent="0.3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IFERROR(LOOKUP(2,1/((#REF!=mar!$A26)*(#REF!&lt;=mar!F$3)*(#REF!&gt;=mar!F$3)),#REF!),IF(WEEKDAY(mar!F$3,1)=1,"WO","P"))</f>
        <v>WO</v>
      </c>
      <c r="G26" s="4" t="str">
        <f>IFERROR(LOOKUP(2,1/((lentry!$A$3:$A$3999=mar!$A26)*(lentry!$B$3:$B$3999&lt;=mar!G$3)*(lentry!$C$3:$C$3999&gt;=mar!G$3)),lentry!$D$3:$D$3999),IF(WEEKDAY(mar!G$3,1)=1,"WO","P"))</f>
        <v>P</v>
      </c>
      <c r="H26" s="4" t="str">
        <f>IFERROR(LOOKUP(2,1/((lentry!$A$3:$A$3999=mar!$A26)*(lentry!$B$3:$B$3999&lt;=mar!H$3)*(lentry!$C$3:$C$3999&gt;=mar!H$3)),lentry!$D$3:$D$3999),IF(WEEKDAY(mar!H$3,1)=1,"WO","P"))</f>
        <v>P</v>
      </c>
      <c r="I26" s="4" t="s">
        <v>350</v>
      </c>
      <c r="J26" s="4" t="str">
        <f>IFERROR(LOOKUP(2,1/((lentry!$A$3:$A$3999=mar!$A26)*(lentry!$B$3:$B$3999&lt;=mar!J$3)*(lentry!$C$3:$C$3999&gt;=mar!J$3)),lentry!$D$3:$D$3999),IF(WEEKDAY(mar!J$3,1)=1,"WO","P"))</f>
        <v>P</v>
      </c>
      <c r="K26" s="4" t="s">
        <v>539</v>
      </c>
      <c r="L26" s="4" t="str">
        <f>IFERROR(LOOKUP(2,1/((lentry!$A$3:$A$3999=mar!$A26)*(lentry!$B$3:$B$3999&lt;=mar!L$3)*(lentry!$C$3:$C$3999&gt;=mar!L$3)),lentry!$D$3:$D$3999),IF(WEEKDAY(mar!L$3,1)=1,"WO","P"))</f>
        <v>P</v>
      </c>
      <c r="M26" s="4" t="str">
        <f>IFERROR(LOOKUP(2,1/((#REF!=mar!$A26)*(#REF!&lt;=mar!M$3)*(#REF!&gt;=mar!M$3)),#REF!),IF(WEEKDAY(mar!M$3,1)=1,"WO","P"))</f>
        <v>WO</v>
      </c>
      <c r="N26" s="4" t="str">
        <f>IFERROR(LOOKUP(2,1/((lentry!$A$3:$A$3999=mar!$A26)*(lentry!$B$3:$B$3999&lt;=mar!N$3)*(lentry!$C$3:$C$3999&gt;=mar!N$3)),lentry!$D$3:$D$3999),IF(WEEKDAY(mar!N$3,1)=1,"WO","P"))</f>
        <v>P</v>
      </c>
      <c r="O26" s="4" t="str">
        <f>IFERROR(LOOKUP(2,1/((lentry!$A$3:$A$3999=mar!$A26)*(lentry!$B$3:$B$3999&lt;=mar!O$3)*(lentry!$C$3:$C$3999&gt;=mar!O$3)),lentry!$D$3:$D$3999),IF(WEEKDAY(mar!O$3,1)=1,"WO","P"))</f>
        <v>P</v>
      </c>
      <c r="P26" s="4" t="str">
        <f>IFERROR(LOOKUP(2,1/((lentry!$A$3:$A$3999=mar!$A26)*(lentry!$B$3:$B$3999&lt;=mar!P$3)*(lentry!$C$3:$C$3999&gt;=mar!P$3)),lentry!$D$3:$D$3999),IF(WEEKDAY(mar!P$3,1)=1,"WO","P"))</f>
        <v>P</v>
      </c>
      <c r="Q26" s="4" t="str">
        <f>IFERROR(LOOKUP(2,1/((lentry!$A$3:$A$3999=mar!$A26)*(lentry!$B$3:$B$3999&lt;=mar!Q$3)*(lentry!$C$3:$C$3999&gt;=mar!Q$3)),lentry!$D$3:$D$3999),IF(WEEKDAY(mar!Q$3,1)=1,"WO","P"))</f>
        <v>P</v>
      </c>
      <c r="R26" s="4" t="str">
        <f>IFERROR(LOOKUP(2,1/((lentry!$A$3:$A$3999=mar!$A26)*(lentry!$B$3:$B$3999&lt;=mar!R$3)*(lentry!$C$3:$C$3999&gt;=mar!R$3)),lentry!$D$3:$D$3999),IF(WEEKDAY(mar!R$3,1)=1,"WO","P"))</f>
        <v>P</v>
      </c>
      <c r="S26" s="4" t="str">
        <f>IFERROR(LOOKUP(2,1/((lentry!$A$3:$A$3999=mar!$A26)*(lentry!$B$3:$B$3999&lt;=mar!S$3)*(lentry!$C$3:$C$3999&gt;=mar!S$3)),lentry!$D$3:$D$3999),IF(WEEKDAY(mar!S$3,1)=1,"WO","P"))</f>
        <v>P</v>
      </c>
      <c r="T26" s="4" t="str">
        <f>IFERROR(LOOKUP(2,1/((lentry!$A$3:$A$3999=mar!$A26)*(lentry!$B$3:$B$3999&lt;=mar!T$3)*(lentry!$C$3:$C$3999&gt;=mar!T$3)),lentry!$D$3:$D$3999),IF(WEEKDAY(mar!T$3,1)=1,"WO","P"))</f>
        <v>WO</v>
      </c>
      <c r="U26" s="4" t="str">
        <f>IFERROR(LOOKUP(2,1/((lentry!$A$3:$A$3999=mar!$A26)*(lentry!$B$3:$B$3999&lt;=mar!U$3)*(lentry!$C$3:$C$3999&gt;=mar!U$3)),lentry!$D$3:$D$3999),IF(WEEKDAY(mar!U$3,1)=1,"WO","P"))</f>
        <v>P</v>
      </c>
      <c r="V26" s="4" t="str">
        <f>IFERROR(LOOKUP(2,1/((lentry!$A$3:$A$3999=mar!$A26)*(lentry!$B$3:$B$3999&lt;=mar!V$3)*(lentry!$C$3:$C$3999&gt;=mar!V$3)),lentry!$D$3:$D$3999),IF(WEEKDAY(mar!V$3,1)=1,"WO","P"))</f>
        <v>P</v>
      </c>
      <c r="W26" s="4" t="str">
        <f>IFERROR(LOOKUP(2,1/((lentry!$A$3:$A$3999=mar!$A26)*(lentry!$B$3:$B$3999&lt;=mar!W$3)*(lentry!$C$3:$C$3999&gt;=mar!W$3)),lentry!$D$3:$D$3999),IF(WEEKDAY(mar!W$3,1)=1,"WO","P"))</f>
        <v>P</v>
      </c>
      <c r="X26" s="4" t="str">
        <f>IFERROR(LOOKUP(2,1/((lentry!$A$3:$A$3999=mar!$A26)*(lentry!$B$3:$B$3999&lt;=mar!X$3)*(lentry!$C$3:$C$3999&gt;=mar!X$3)),lentry!$D$3:$D$3999),IF(WEEKDAY(mar!X$3,1)=1,"WO","P"))</f>
        <v>P</v>
      </c>
      <c r="Y26" s="4" t="str">
        <f>IFERROR(LOOKUP(2,1/((lentry!$A$3:$A$3999=mar!$A26)*(lentry!$B$3:$B$3999&lt;=mar!Y$3)*(lentry!$C$3:$C$3999&gt;=mar!Y$3)),lentry!$D$3:$D$3999),IF(WEEKDAY(mar!Y$3,1)=1,"WO","P"))</f>
        <v>P</v>
      </c>
      <c r="Z26" s="4" t="s">
        <v>350</v>
      </c>
      <c r="AA26" s="4" t="str">
        <f>IFERROR(LOOKUP(2,1/((lentry!$A$3:$A$3999=mar!$A26)*(lentry!$B$3:$B$3999&lt;=mar!AA$3)*(lentry!$C$3:$C$3999&gt;=mar!AA$3)),lentry!$D$3:$D$3999),IF(WEEKDAY(mar!AA$3,1)=1,"WO","P"))</f>
        <v>WO</v>
      </c>
      <c r="AB26" s="4" t="str">
        <f>IFERROR(LOOKUP(2,1/((lentry!$A$3:$A$3999=mar!$A26)*(lentry!$B$3:$B$3999&lt;=mar!AB$3)*(lentry!$C$3:$C$3999&gt;=mar!AB$3)),lentry!$D$3:$D$3999),IF(WEEKDAY(mar!AB$3,1)=1,"WO","P"))</f>
        <v>P</v>
      </c>
      <c r="AC26" s="4" t="str">
        <f>IFERROR(LOOKUP(2,1/((lentry!$A$3:$A$3999=mar!$A26)*(lentry!$B$3:$B$3999&lt;=mar!AC$3)*(lentry!$C$3:$C$3999&gt;=mar!AC$3)),lentry!$D$3:$D$3999),IF(WEEKDAY(mar!AC$3,1)=1,"WO","P"))</f>
        <v>P</v>
      </c>
      <c r="AD26" s="4" t="str">
        <f>IFERROR(LOOKUP(2,1/((lentry!$A$3:$A$3999=mar!$A26)*(lentry!$B$3:$B$3999&lt;=mar!AD$3)*(lentry!$C$3:$C$3999&gt;=mar!AD$3)),lentry!$D$3:$D$3999),IF(WEEKDAY(mar!AD$3,1)=1,"WO","P"))</f>
        <v>P</v>
      </c>
      <c r="AE26" s="4" t="str">
        <f>IFERROR(LOOKUP(2,1/((lentry!$A$3:$A$3999=mar!$A26)*(lentry!$B$3:$B$3999&lt;=mar!AE$3)*(lentry!$C$3:$C$3999&gt;=mar!AE$3)),lentry!$D$3:$D$3999),IF(WEEKDAY(mar!AE$3,1)=1,"WO","P"))</f>
        <v>P</v>
      </c>
      <c r="AF26" s="4" t="str">
        <f>IFERROR(LOOKUP(2,1/((lentry!$A$3:$A$3999=mar!$A26)*(lentry!$B$3:$B$3999&lt;=mar!AF$3)*(lentry!$C$3:$C$3999&gt;=mar!AF$3)),lentry!$D$3:$D$3999),IF(WEEKDAY(mar!AF$3,1)=1,"WO","P"))</f>
        <v>P</v>
      </c>
      <c r="AG26" s="4" t="str">
        <f>IFERROR(LOOKUP(2,1/((lentry!$A$3:$A$3999=mar!$A26)*(lentry!$B$3:$B$3999&lt;=mar!AG$3)*(lentry!$C$3:$C$3999&gt;=mar!AG$3)),lentry!$D$3:$D$3999),IF(WEEKDAY(mar!AG$3,1)=1,"WO","P"))</f>
        <v>P</v>
      </c>
      <c r="AH26" s="4" t="str">
        <f>IFERROR(LOOKUP(2,1/((lentry!$A$3:$A$3999=mar!$A26)*(lentry!$B$3:$B$3999&lt;=mar!AH$3)*(lentry!$C$3:$C$3999&gt;=mar!AH$3)),lentry!$D$3:$D$3999),IF(WEEKDAY(mar!AH$3,1)=1,"WO","P"))</f>
        <v>WO</v>
      </c>
      <c r="AI26" s="4" t="str">
        <f>IFERROR(LOOKUP(2,1/((lentry!$A$3:$A$3999=mar!$A26)*(lentry!$B$3:$B$3999&lt;=mar!AI$3)*(lentry!$C$3:$C$3999&gt;=mar!AI$3)),lentry!$D$3:$D$3999),IF(WEEKDAY(mar!AI$3,1)=1,"WO","P"))</f>
        <v>P</v>
      </c>
      <c r="AJ26" s="4" t="str">
        <f>IFERROR(LOOKUP(2,1/((lentry!$A$3:$A$3999=mar!$A26)*(lentry!$B$3:$B$3999&lt;=mar!AJ$3)*(lentry!$C$3:$C$3999&gt;=mar!AJ$3)),lentry!$D$3:$D$3999),IF(WEEKDAY(mar!AJ$3,1)=1,"WO","P"))</f>
        <v>P</v>
      </c>
      <c r="AK26" s="4">
        <f>COUNTIF(mar!$F26:$AJ26,"WO")</f>
        <v>5</v>
      </c>
      <c r="AL26" s="4">
        <f>COUNTIF(mar!$F26:$AJ26,"H")</f>
        <v>2</v>
      </c>
      <c r="AM26" s="4">
        <f>COUNTIF(mar!$F26:$AJ26,"pl")</f>
        <v>0</v>
      </c>
      <c r="AN26" s="4">
        <f>COUNTIF(mar!$F26:$AJ26,"LWP")</f>
        <v>0</v>
      </c>
      <c r="AO26" s="4">
        <f>COUNTIF(mar!$F26:$AJ26,"HD")</f>
        <v>0</v>
      </c>
      <c r="AP26" s="4">
        <f>COUNTIF(mar!$F26:$AJ26,"SL")</f>
        <v>0</v>
      </c>
      <c r="AQ26" s="4">
        <f>COUNTIF(mar!$F26:$AJ26,"CL")</f>
        <v>0</v>
      </c>
      <c r="AR26" s="4">
        <f>COUNTIF(mar!$F26:$AJ26,"A")</f>
        <v>1</v>
      </c>
      <c r="AS26" s="4">
        <f>COUNTIF(mar!$F26:$AJ26,"P")</f>
        <v>23</v>
      </c>
      <c r="AT26" s="4">
        <f t="shared" si="2"/>
        <v>31</v>
      </c>
      <c r="AU26" s="4">
        <f t="shared" si="3"/>
        <v>30</v>
      </c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</row>
    <row r="27" spans="1:78" ht="18.75" x14ac:dyDescent="0.3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IFERROR(LOOKUP(2,1/((#REF!=mar!$A27)*(#REF!&lt;=mar!F$3)*(#REF!&gt;=mar!F$3)),#REF!),IF(WEEKDAY(mar!F$3,1)=1,"WO","P"))</f>
        <v>WO</v>
      </c>
      <c r="G27" s="4" t="str">
        <f>IFERROR(LOOKUP(2,1/((lentry!$A$3:$A$3999=mar!$A27)*(lentry!$B$3:$B$3999&lt;=mar!G$3)*(lentry!$C$3:$C$3999&gt;=mar!G$3)),lentry!$D$3:$D$3999),IF(WEEKDAY(mar!G$3,1)=1,"WO","P"))</f>
        <v>P</v>
      </c>
      <c r="H27" s="4" t="str">
        <f>IFERROR(LOOKUP(2,1/((lentry!$A$3:$A$3999=mar!$A27)*(lentry!$B$3:$B$3999&lt;=mar!H$3)*(lentry!$C$3:$C$3999&gt;=mar!H$3)),lentry!$D$3:$D$3999),IF(WEEKDAY(mar!H$3,1)=1,"WO","P"))</f>
        <v>P</v>
      </c>
      <c r="I27" s="4" t="s">
        <v>350</v>
      </c>
      <c r="J27" s="4" t="str">
        <f>IFERROR(LOOKUP(2,1/((lentry!$A$3:$A$3999=mar!$A27)*(lentry!$B$3:$B$3999&lt;=mar!J$3)*(lentry!$C$3:$C$3999&gt;=mar!J$3)),lentry!$D$3:$D$3999),IF(WEEKDAY(mar!J$3,1)=1,"WO","P"))</f>
        <v>P</v>
      </c>
      <c r="K27" s="4" t="str">
        <f>IFERROR(LOOKUP(2,1/((lentry!$A$3:$A$3999=mar!$A27)*(lentry!$B$3:$B$3999&lt;=mar!K$3)*(lentry!$C$3:$C$3999&gt;=mar!K$3)),lentry!$D$3:$D$3999),IF(WEEKDAY(mar!K$3,1)=1,"WO","P"))</f>
        <v>P</v>
      </c>
      <c r="L27" s="4" t="str">
        <f>IFERROR(LOOKUP(2,1/((lentry!$A$3:$A$3999=mar!$A27)*(lentry!$B$3:$B$3999&lt;=mar!L$3)*(lentry!$C$3:$C$3999&gt;=mar!L$3)),lentry!$D$3:$D$3999),IF(WEEKDAY(mar!L$3,1)=1,"WO","P"))</f>
        <v>P</v>
      </c>
      <c r="M27" s="4" t="str">
        <f>IFERROR(LOOKUP(2,1/((#REF!=mar!$A27)*(#REF!&lt;=mar!M$3)*(#REF!&gt;=mar!M$3)),#REF!),IF(WEEKDAY(mar!M$3,1)=1,"WO","P"))</f>
        <v>WO</v>
      </c>
      <c r="N27" s="4" t="str">
        <f>IFERROR(LOOKUP(2,1/((lentry!$A$3:$A$3999=mar!$A27)*(lentry!$B$3:$B$3999&lt;=mar!N$3)*(lentry!$C$3:$C$3999&gt;=mar!N$3)),lentry!$D$3:$D$3999),IF(WEEKDAY(mar!N$3,1)=1,"WO","P"))</f>
        <v>P</v>
      </c>
      <c r="O27" s="4" t="str">
        <f>IFERROR(LOOKUP(2,1/((lentry!$A$3:$A$3999=mar!$A27)*(lentry!$B$3:$B$3999&lt;=mar!O$3)*(lentry!$C$3:$C$3999&gt;=mar!O$3)),lentry!$D$3:$D$3999),IF(WEEKDAY(mar!O$3,1)=1,"WO","P"))</f>
        <v>P</v>
      </c>
      <c r="P27" s="4" t="str">
        <f>IFERROR(LOOKUP(2,1/((lentry!$A$3:$A$3999=mar!$A27)*(lentry!$B$3:$B$3999&lt;=mar!P$3)*(lentry!$C$3:$C$3999&gt;=mar!P$3)),lentry!$D$3:$D$3999),IF(WEEKDAY(mar!P$3,1)=1,"WO","P"))</f>
        <v>P</v>
      </c>
      <c r="Q27" s="4" t="str">
        <f>IFERROR(LOOKUP(2,1/((lentry!$A$3:$A$3999=mar!$A27)*(lentry!$B$3:$B$3999&lt;=mar!Q$3)*(lentry!$C$3:$C$3999&gt;=mar!Q$3)),lentry!$D$3:$D$3999),IF(WEEKDAY(mar!Q$3,1)=1,"WO","P"))</f>
        <v>P</v>
      </c>
      <c r="R27" s="4" t="str">
        <f>IFERROR(LOOKUP(2,1/((lentry!$A$3:$A$3999=mar!$A27)*(lentry!$B$3:$B$3999&lt;=mar!R$3)*(lentry!$C$3:$C$3999&gt;=mar!R$3)),lentry!$D$3:$D$3999),IF(WEEKDAY(mar!R$3,1)=1,"WO","P"))</f>
        <v>P</v>
      </c>
      <c r="S27" s="4" t="str">
        <f>IFERROR(LOOKUP(2,1/((lentry!$A$3:$A$3999=mar!$A27)*(lentry!$B$3:$B$3999&lt;=mar!S$3)*(lentry!$C$3:$C$3999&gt;=mar!S$3)),lentry!$D$3:$D$3999),IF(WEEKDAY(mar!S$3,1)=1,"WO","P"))</f>
        <v>P</v>
      </c>
      <c r="T27" s="4" t="str">
        <f>IFERROR(LOOKUP(2,1/((lentry!$A$3:$A$3999=mar!$A27)*(lentry!$B$3:$B$3999&lt;=mar!T$3)*(lentry!$C$3:$C$3999&gt;=mar!T$3)),lentry!$D$3:$D$3999),IF(WEEKDAY(mar!T$3,1)=1,"WO","P"))</f>
        <v>WO</v>
      </c>
      <c r="U27" s="4" t="str">
        <f>IFERROR(LOOKUP(2,1/((lentry!$A$3:$A$3999=mar!$A27)*(lentry!$B$3:$B$3999&lt;=mar!U$3)*(lentry!$C$3:$C$3999&gt;=mar!U$3)),lentry!$D$3:$D$3999),IF(WEEKDAY(mar!U$3,1)=1,"WO","P"))</f>
        <v>P</v>
      </c>
      <c r="V27" s="4" t="str">
        <f>IFERROR(LOOKUP(2,1/((lentry!$A$3:$A$3999=mar!$A27)*(lentry!$B$3:$B$3999&lt;=mar!V$3)*(lentry!$C$3:$C$3999&gt;=mar!V$3)),lentry!$D$3:$D$3999),IF(WEEKDAY(mar!V$3,1)=1,"WO","P"))</f>
        <v>P</v>
      </c>
      <c r="W27" s="4" t="str">
        <f>IFERROR(LOOKUP(2,1/((lentry!$A$3:$A$3999=mar!$A27)*(lentry!$B$3:$B$3999&lt;=mar!W$3)*(lentry!$C$3:$C$3999&gt;=mar!W$3)),lentry!$D$3:$D$3999),IF(WEEKDAY(mar!W$3,1)=1,"WO","P"))</f>
        <v>P</v>
      </c>
      <c r="X27" s="4" t="str">
        <f>IFERROR(LOOKUP(2,1/((lentry!$A$3:$A$3999=mar!$A27)*(lentry!$B$3:$B$3999&lt;=mar!X$3)*(lentry!$C$3:$C$3999&gt;=mar!X$3)),lentry!$D$3:$D$3999),IF(WEEKDAY(mar!X$3,1)=1,"WO","P"))</f>
        <v>P</v>
      </c>
      <c r="Y27" s="4" t="str">
        <f>IFERROR(LOOKUP(2,1/((lentry!$A$3:$A$3999=mar!$A27)*(lentry!$B$3:$B$3999&lt;=mar!Y$3)*(lentry!$C$3:$C$3999&gt;=mar!Y$3)),lentry!$D$3:$D$3999),IF(WEEKDAY(mar!Y$3,1)=1,"WO","P"))</f>
        <v>P</v>
      </c>
      <c r="Z27" s="4" t="s">
        <v>350</v>
      </c>
      <c r="AA27" s="4" t="str">
        <f>IFERROR(LOOKUP(2,1/((lentry!$A$3:$A$3999=mar!$A27)*(lentry!$B$3:$B$3999&lt;=mar!AA$3)*(lentry!$C$3:$C$3999&gt;=mar!AA$3)),lentry!$D$3:$D$3999),IF(WEEKDAY(mar!AA$3,1)=1,"WO","P"))</f>
        <v>WO</v>
      </c>
      <c r="AB27" s="4" t="str">
        <f>IFERROR(LOOKUP(2,1/((lentry!$A$3:$A$3999=mar!$A27)*(lentry!$B$3:$B$3999&lt;=mar!AB$3)*(lentry!$C$3:$C$3999&gt;=mar!AB$3)),lentry!$D$3:$D$3999),IF(WEEKDAY(mar!AB$3,1)=1,"WO","P"))</f>
        <v>P</v>
      </c>
      <c r="AC27" s="4" t="str">
        <f>IFERROR(LOOKUP(2,1/((lentry!$A$3:$A$3999=mar!$A27)*(lentry!$B$3:$B$3999&lt;=mar!AC$3)*(lentry!$C$3:$C$3999&gt;=mar!AC$3)),lentry!$D$3:$D$3999),IF(WEEKDAY(mar!AC$3,1)=1,"WO","P"))</f>
        <v>P</v>
      </c>
      <c r="AD27" s="4" t="str">
        <f>IFERROR(LOOKUP(2,1/((lentry!$A$3:$A$3999=mar!$A27)*(lentry!$B$3:$B$3999&lt;=mar!AD$3)*(lentry!$C$3:$C$3999&gt;=mar!AD$3)),lentry!$D$3:$D$3999),IF(WEEKDAY(mar!AD$3,1)=1,"WO","P"))</f>
        <v>P</v>
      </c>
      <c r="AE27" s="4" t="str">
        <f>IFERROR(LOOKUP(2,1/((lentry!$A$3:$A$3999=mar!$A27)*(lentry!$B$3:$B$3999&lt;=mar!AE$3)*(lentry!$C$3:$C$3999&gt;=mar!AE$3)),lentry!$D$3:$D$3999),IF(WEEKDAY(mar!AE$3,1)=1,"WO","P"))</f>
        <v>P</v>
      </c>
      <c r="AF27" s="4" t="str">
        <f>IFERROR(LOOKUP(2,1/((lentry!$A$3:$A$3999=mar!$A27)*(lentry!$B$3:$B$3999&lt;=mar!AF$3)*(lentry!$C$3:$C$3999&gt;=mar!AF$3)),lentry!$D$3:$D$3999),IF(WEEKDAY(mar!AF$3,1)=1,"WO","P"))</f>
        <v>P</v>
      </c>
      <c r="AG27" s="4" t="str">
        <f>IFERROR(LOOKUP(2,1/((lentry!$A$3:$A$3999=mar!$A27)*(lentry!$B$3:$B$3999&lt;=mar!AG$3)*(lentry!$C$3:$C$3999&gt;=mar!AG$3)),lentry!$D$3:$D$3999),IF(WEEKDAY(mar!AG$3,1)=1,"WO","P"))</f>
        <v>P</v>
      </c>
      <c r="AH27" s="4" t="str">
        <f>IFERROR(LOOKUP(2,1/((lentry!$A$3:$A$3999=mar!$A27)*(lentry!$B$3:$B$3999&lt;=mar!AH$3)*(lentry!$C$3:$C$3999&gt;=mar!AH$3)),lentry!$D$3:$D$3999),IF(WEEKDAY(mar!AH$3,1)=1,"WO","P"))</f>
        <v>WO</v>
      </c>
      <c r="AI27" s="4" t="str">
        <f>IFERROR(LOOKUP(2,1/((lentry!$A$3:$A$3999=mar!$A27)*(lentry!$B$3:$B$3999&lt;=mar!AI$3)*(lentry!$C$3:$C$3999&gt;=mar!AI$3)),lentry!$D$3:$D$3999),IF(WEEKDAY(mar!AI$3,1)=1,"WO","P"))</f>
        <v>P</v>
      </c>
      <c r="AJ27" s="4" t="str">
        <f>IFERROR(LOOKUP(2,1/((lentry!$A$3:$A$3999=mar!$A27)*(lentry!$B$3:$B$3999&lt;=mar!AJ$3)*(lentry!$C$3:$C$3999&gt;=mar!AJ$3)),lentry!$D$3:$D$3999),IF(WEEKDAY(mar!AJ$3,1)=1,"WO","P"))</f>
        <v>P</v>
      </c>
      <c r="AK27" s="4">
        <f>COUNTIF(mar!$F27:$AJ27,"WO")</f>
        <v>5</v>
      </c>
      <c r="AL27" s="4">
        <f>COUNTIF(mar!$F27:$AJ27,"H")</f>
        <v>2</v>
      </c>
      <c r="AM27" s="4">
        <f>COUNTIF(mar!$F27:$AJ27,"pl")</f>
        <v>0</v>
      </c>
      <c r="AN27" s="4">
        <f>COUNTIF(mar!$F27:$AJ27,"LWP")</f>
        <v>0</v>
      </c>
      <c r="AO27" s="4">
        <f>COUNTIF(mar!$F27:$AJ27,"HD")</f>
        <v>0</v>
      </c>
      <c r="AP27" s="4">
        <f>COUNTIF(mar!$F27:$AJ27,"SL")</f>
        <v>0</v>
      </c>
      <c r="AQ27" s="4">
        <f>COUNTIF(mar!$F27:$AJ27,"CL")</f>
        <v>0</v>
      </c>
      <c r="AR27" s="4">
        <f>COUNTIF(mar!$F27:$AJ27,"A")</f>
        <v>0</v>
      </c>
      <c r="AS27" s="4">
        <f>COUNTIF(mar!$F27:$AJ27,"P")</f>
        <v>24</v>
      </c>
      <c r="AT27" s="4">
        <f t="shared" si="2"/>
        <v>31</v>
      </c>
      <c r="AU27" s="4">
        <f t="shared" si="3"/>
        <v>31</v>
      </c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</row>
    <row r="28" spans="1:78" ht="18.75" x14ac:dyDescent="0.3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IFERROR(LOOKUP(2,1/((#REF!=mar!$A28)*(#REF!&lt;=mar!F$3)*(#REF!&gt;=mar!F$3)),#REF!),IF(WEEKDAY(mar!F$3,1)=1,"WO","P"))</f>
        <v>WO</v>
      </c>
      <c r="G28" s="4" t="str">
        <f>IFERROR(LOOKUP(2,1/((lentry!$A$3:$A$3999=mar!$A28)*(lentry!$B$3:$B$3999&lt;=mar!G$3)*(lentry!$C$3:$C$3999&gt;=mar!G$3)),lentry!$D$3:$D$3999),IF(WEEKDAY(mar!G$3,1)=1,"WO","P"))</f>
        <v>P</v>
      </c>
      <c r="H28" s="4" t="str">
        <f>IFERROR(LOOKUP(2,1/((lentry!$A$3:$A$3999=mar!$A28)*(lentry!$B$3:$B$3999&lt;=mar!H$3)*(lentry!$C$3:$C$3999&gt;=mar!H$3)),lentry!$D$3:$D$3999),IF(WEEKDAY(mar!H$3,1)=1,"WO","P"))</f>
        <v>P</v>
      </c>
      <c r="I28" s="4" t="s">
        <v>350</v>
      </c>
      <c r="J28" s="4" t="str">
        <f>IFERROR(LOOKUP(2,1/((lentry!$A$3:$A$3999=mar!$A28)*(lentry!$B$3:$B$3999&lt;=mar!J$3)*(lentry!$C$3:$C$3999&gt;=mar!J$3)),lentry!$D$3:$D$3999),IF(WEEKDAY(mar!J$3,1)=1,"WO","P"))</f>
        <v>P</v>
      </c>
      <c r="K28" s="4" t="str">
        <f>IFERROR(LOOKUP(2,1/((lentry!$A$3:$A$3999=mar!$A28)*(lentry!$B$3:$B$3999&lt;=mar!K$3)*(lentry!$C$3:$C$3999&gt;=mar!K$3)),lentry!$D$3:$D$3999),IF(WEEKDAY(mar!K$3,1)=1,"WO","P"))</f>
        <v>P</v>
      </c>
      <c r="L28" s="4" t="str">
        <f>IFERROR(LOOKUP(2,1/((lentry!$A$3:$A$3999=mar!$A28)*(lentry!$B$3:$B$3999&lt;=mar!L$3)*(lentry!$C$3:$C$3999&gt;=mar!L$3)),lentry!$D$3:$D$3999),IF(WEEKDAY(mar!L$3,1)=1,"WO","P"))</f>
        <v>P</v>
      </c>
      <c r="M28" s="4" t="str">
        <f>IFERROR(LOOKUP(2,1/((#REF!=mar!$A28)*(#REF!&lt;=mar!M$3)*(#REF!&gt;=mar!M$3)),#REF!),IF(WEEKDAY(mar!M$3,1)=1,"WO","P"))</f>
        <v>WO</v>
      </c>
      <c r="N28" s="4" t="str">
        <f>IFERROR(LOOKUP(2,1/((lentry!$A$3:$A$3999=mar!$A28)*(lentry!$B$3:$B$3999&lt;=mar!N$3)*(lentry!$C$3:$C$3999&gt;=mar!N$3)),lentry!$D$3:$D$3999),IF(WEEKDAY(mar!N$3,1)=1,"WO","P"))</f>
        <v>P</v>
      </c>
      <c r="O28" s="4" t="str">
        <f>IFERROR(LOOKUP(2,1/((lentry!$A$3:$A$3999=mar!$A28)*(lentry!$B$3:$B$3999&lt;=mar!O$3)*(lentry!$C$3:$C$3999&gt;=mar!O$3)),lentry!$D$3:$D$3999),IF(WEEKDAY(mar!O$3,1)=1,"WO","P"))</f>
        <v>P</v>
      </c>
      <c r="P28" s="4" t="str">
        <f>IFERROR(LOOKUP(2,1/((lentry!$A$3:$A$3999=mar!$A28)*(lentry!$B$3:$B$3999&lt;=mar!P$3)*(lentry!$C$3:$C$3999&gt;=mar!P$3)),lentry!$D$3:$D$3999),IF(WEEKDAY(mar!P$3,1)=1,"WO","P"))</f>
        <v>P</v>
      </c>
      <c r="Q28" s="4" t="str">
        <f>IFERROR(LOOKUP(2,1/((lentry!$A$3:$A$3999=mar!$A28)*(lentry!$B$3:$B$3999&lt;=mar!Q$3)*(lentry!$C$3:$C$3999&gt;=mar!Q$3)),lentry!$D$3:$D$3999),IF(WEEKDAY(mar!Q$3,1)=1,"WO","P"))</f>
        <v>P</v>
      </c>
      <c r="R28" s="4" t="str">
        <f>IFERROR(LOOKUP(2,1/((lentry!$A$3:$A$3999=mar!$A28)*(lentry!$B$3:$B$3999&lt;=mar!R$3)*(lentry!$C$3:$C$3999&gt;=mar!R$3)),lentry!$D$3:$D$3999),IF(WEEKDAY(mar!R$3,1)=1,"WO","P"))</f>
        <v>P</v>
      </c>
      <c r="S28" s="4" t="str">
        <f>IFERROR(LOOKUP(2,1/((lentry!$A$3:$A$3999=mar!$A28)*(lentry!$B$3:$B$3999&lt;=mar!S$3)*(lentry!$C$3:$C$3999&gt;=mar!S$3)),lentry!$D$3:$D$3999),IF(WEEKDAY(mar!S$3,1)=1,"WO","P"))</f>
        <v>P</v>
      </c>
      <c r="T28" s="4" t="str">
        <f>IFERROR(LOOKUP(2,1/((lentry!$A$3:$A$3999=mar!$A28)*(lentry!$B$3:$B$3999&lt;=mar!T$3)*(lentry!$C$3:$C$3999&gt;=mar!T$3)),lentry!$D$3:$D$3999),IF(WEEKDAY(mar!T$3,1)=1,"WO","P"))</f>
        <v>WO</v>
      </c>
      <c r="U28" s="4" t="str">
        <f>IFERROR(LOOKUP(2,1/((lentry!$A$3:$A$3999=mar!$A28)*(lentry!$B$3:$B$3999&lt;=mar!U$3)*(lentry!$C$3:$C$3999&gt;=mar!U$3)),lentry!$D$3:$D$3999),IF(WEEKDAY(mar!U$3,1)=1,"WO","P"))</f>
        <v>P</v>
      </c>
      <c r="V28" s="4" t="str">
        <f>IFERROR(LOOKUP(2,1/((lentry!$A$3:$A$3999=mar!$A28)*(lentry!$B$3:$B$3999&lt;=mar!V$3)*(lentry!$C$3:$C$3999&gt;=mar!V$3)),lentry!$D$3:$D$3999),IF(WEEKDAY(mar!V$3,1)=1,"WO","P"))</f>
        <v>P</v>
      </c>
      <c r="W28" s="4" t="str">
        <f>IFERROR(LOOKUP(2,1/((lentry!$A$3:$A$3999=mar!$A28)*(lentry!$B$3:$B$3999&lt;=mar!W$3)*(lentry!$C$3:$C$3999&gt;=mar!W$3)),lentry!$D$3:$D$3999),IF(WEEKDAY(mar!W$3,1)=1,"WO","P"))</f>
        <v>P</v>
      </c>
      <c r="X28" s="4" t="str">
        <f>IFERROR(LOOKUP(2,1/((lentry!$A$3:$A$3999=mar!$A28)*(lentry!$B$3:$B$3999&lt;=mar!X$3)*(lentry!$C$3:$C$3999&gt;=mar!X$3)),lentry!$D$3:$D$3999),IF(WEEKDAY(mar!X$3,1)=1,"WO","P"))</f>
        <v>P</v>
      </c>
      <c r="Y28" s="4" t="str">
        <f>IFERROR(LOOKUP(2,1/((lentry!$A$3:$A$3999=mar!$A28)*(lentry!$B$3:$B$3999&lt;=mar!Y$3)*(lentry!$C$3:$C$3999&gt;=mar!Y$3)),lentry!$D$3:$D$3999),IF(WEEKDAY(mar!Y$3,1)=1,"WO","P"))</f>
        <v>P</v>
      </c>
      <c r="Z28" s="4" t="s">
        <v>350</v>
      </c>
      <c r="AA28" s="4" t="str">
        <f>IFERROR(LOOKUP(2,1/((lentry!$A$3:$A$3999=mar!$A28)*(lentry!$B$3:$B$3999&lt;=mar!AA$3)*(lentry!$C$3:$C$3999&gt;=mar!AA$3)),lentry!$D$3:$D$3999),IF(WEEKDAY(mar!AA$3,1)=1,"WO","P"))</f>
        <v>WO</v>
      </c>
      <c r="AB28" s="4" t="str">
        <f>IFERROR(LOOKUP(2,1/((lentry!$A$3:$A$3999=mar!$A28)*(lentry!$B$3:$B$3999&lt;=mar!AB$3)*(lentry!$C$3:$C$3999&gt;=mar!AB$3)),lentry!$D$3:$D$3999),IF(WEEKDAY(mar!AB$3,1)=1,"WO","P"))</f>
        <v>P</v>
      </c>
      <c r="AC28" s="4" t="str">
        <f>IFERROR(LOOKUP(2,1/((lentry!$A$3:$A$3999=mar!$A28)*(lentry!$B$3:$B$3999&lt;=mar!AC$3)*(lentry!$C$3:$C$3999&gt;=mar!AC$3)),lentry!$D$3:$D$3999),IF(WEEKDAY(mar!AC$3,1)=1,"WO","P"))</f>
        <v>P</v>
      </c>
      <c r="AD28" s="4" t="str">
        <f>IFERROR(LOOKUP(2,1/((lentry!$A$3:$A$3999=mar!$A28)*(lentry!$B$3:$B$3999&lt;=mar!AD$3)*(lentry!$C$3:$C$3999&gt;=mar!AD$3)),lentry!$D$3:$D$3999),IF(WEEKDAY(mar!AD$3,1)=1,"WO","P"))</f>
        <v>P</v>
      </c>
      <c r="AE28" s="4" t="str">
        <f>IFERROR(LOOKUP(2,1/((lentry!$A$3:$A$3999=mar!$A28)*(lentry!$B$3:$B$3999&lt;=mar!AE$3)*(lentry!$C$3:$C$3999&gt;=mar!AE$3)),lentry!$D$3:$D$3999),IF(WEEKDAY(mar!AE$3,1)=1,"WO","P"))</f>
        <v>P</v>
      </c>
      <c r="AF28" s="4" t="str">
        <f>IFERROR(LOOKUP(2,1/((lentry!$A$3:$A$3999=mar!$A28)*(lentry!$B$3:$B$3999&lt;=mar!AF$3)*(lentry!$C$3:$C$3999&gt;=mar!AF$3)),lentry!$D$3:$D$3999),IF(WEEKDAY(mar!AF$3,1)=1,"WO","P"))</f>
        <v>P</v>
      </c>
      <c r="AG28" s="4" t="str">
        <f>IFERROR(LOOKUP(2,1/((lentry!$A$3:$A$3999=mar!$A28)*(lentry!$B$3:$B$3999&lt;=mar!AG$3)*(lentry!$C$3:$C$3999&gt;=mar!AG$3)),lentry!$D$3:$D$3999),IF(WEEKDAY(mar!AG$3,1)=1,"WO","P"))</f>
        <v>P</v>
      </c>
      <c r="AH28" s="4" t="str">
        <f>IFERROR(LOOKUP(2,1/((lentry!$A$3:$A$3999=mar!$A28)*(lentry!$B$3:$B$3999&lt;=mar!AH$3)*(lentry!$C$3:$C$3999&gt;=mar!AH$3)),lentry!$D$3:$D$3999),IF(WEEKDAY(mar!AH$3,1)=1,"WO","P"))</f>
        <v>WO</v>
      </c>
      <c r="AI28" s="4" t="str">
        <f>IFERROR(LOOKUP(2,1/((lentry!$A$3:$A$3999=mar!$A28)*(lentry!$B$3:$B$3999&lt;=mar!AI$3)*(lentry!$C$3:$C$3999&gt;=mar!AI$3)),lentry!$D$3:$D$3999),IF(WEEKDAY(mar!AI$3,1)=1,"WO","P"))</f>
        <v>P</v>
      </c>
      <c r="AJ28" s="4" t="str">
        <f>IFERROR(LOOKUP(2,1/((lentry!$A$3:$A$3999=mar!$A28)*(lentry!$B$3:$B$3999&lt;=mar!AJ$3)*(lentry!$C$3:$C$3999&gt;=mar!AJ$3)),lentry!$D$3:$D$3999),IF(WEEKDAY(mar!AJ$3,1)=1,"WO","P"))</f>
        <v>P</v>
      </c>
      <c r="AK28" s="4">
        <f>COUNTIF(mar!$F28:$AJ28,"WO")</f>
        <v>5</v>
      </c>
      <c r="AL28" s="4">
        <f>COUNTIF(mar!$F28:$AJ28,"H")</f>
        <v>2</v>
      </c>
      <c r="AM28" s="4">
        <f>COUNTIF(mar!$F28:$AJ28,"pl")</f>
        <v>0</v>
      </c>
      <c r="AN28" s="4">
        <f>COUNTIF(mar!$F28:$AJ28,"LWP")</f>
        <v>0</v>
      </c>
      <c r="AO28" s="4">
        <f>COUNTIF(mar!$F28:$AJ28,"HD")</f>
        <v>0</v>
      </c>
      <c r="AP28" s="4">
        <f>COUNTIF(mar!$F28:$AJ28,"SL")</f>
        <v>0</v>
      </c>
      <c r="AQ28" s="4">
        <f>COUNTIF(mar!$F28:$AJ28,"CL")</f>
        <v>0</v>
      </c>
      <c r="AR28" s="4">
        <f>COUNTIF(mar!$F28:$AJ28,"A")</f>
        <v>0</v>
      </c>
      <c r="AS28" s="4">
        <f>COUNTIF(mar!$F28:$AJ28,"P")</f>
        <v>24</v>
      </c>
      <c r="AT28" s="4">
        <f t="shared" si="2"/>
        <v>31</v>
      </c>
      <c r="AU28" s="4">
        <f t="shared" si="3"/>
        <v>31</v>
      </c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</row>
    <row r="29" spans="1:78" ht="18.75" x14ac:dyDescent="0.3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IFERROR(LOOKUP(2,1/((#REF!=mar!$A29)*(#REF!&lt;=mar!F$3)*(#REF!&gt;=mar!F$3)),#REF!),IF(WEEKDAY(mar!F$3,1)=1,"WO","P"))</f>
        <v>WO</v>
      </c>
      <c r="G29" s="4" t="str">
        <f>IFERROR(LOOKUP(2,1/((lentry!$A$3:$A$3999=mar!$A29)*(lentry!$B$3:$B$3999&lt;=mar!G$3)*(lentry!$C$3:$C$3999&gt;=mar!G$3)),lentry!$D$3:$D$3999),IF(WEEKDAY(mar!G$3,1)=1,"WO","P"))</f>
        <v>P</v>
      </c>
      <c r="H29" s="4" t="str">
        <f>IFERROR(LOOKUP(2,1/((lentry!$A$3:$A$3999=mar!$A29)*(lentry!$B$3:$B$3999&lt;=mar!H$3)*(lentry!$C$3:$C$3999&gt;=mar!H$3)),lentry!$D$3:$D$3999),IF(WEEKDAY(mar!H$3,1)=1,"WO","P"))</f>
        <v>P</v>
      </c>
      <c r="I29" s="4" t="s">
        <v>350</v>
      </c>
      <c r="J29" s="4" t="str">
        <f>IFERROR(LOOKUP(2,1/((lentry!$A$3:$A$3999=mar!$A29)*(lentry!$B$3:$B$3999&lt;=mar!J$3)*(lentry!$C$3:$C$3999&gt;=mar!J$3)),lentry!$D$3:$D$3999),IF(WEEKDAY(mar!J$3,1)=1,"WO","P"))</f>
        <v>P</v>
      </c>
      <c r="K29" s="4" t="str">
        <f>IFERROR(LOOKUP(2,1/((lentry!$A$3:$A$3999=mar!$A29)*(lentry!$B$3:$B$3999&lt;=mar!K$3)*(lentry!$C$3:$C$3999&gt;=mar!K$3)),lentry!$D$3:$D$3999),IF(WEEKDAY(mar!K$3,1)=1,"WO","P"))</f>
        <v>P</v>
      </c>
      <c r="L29" s="4" t="str">
        <f>IFERROR(LOOKUP(2,1/((lentry!$A$3:$A$3999=mar!$A29)*(lentry!$B$3:$B$3999&lt;=mar!L$3)*(lentry!$C$3:$C$3999&gt;=mar!L$3)),lentry!$D$3:$D$3999),IF(WEEKDAY(mar!L$3,1)=1,"WO","P"))</f>
        <v>P</v>
      </c>
      <c r="M29" s="4" t="str">
        <f>IFERROR(LOOKUP(2,1/((#REF!=mar!$A29)*(#REF!&lt;=mar!M$3)*(#REF!&gt;=mar!M$3)),#REF!),IF(WEEKDAY(mar!M$3,1)=1,"WO","P"))</f>
        <v>WO</v>
      </c>
      <c r="N29" s="4" t="str">
        <f>IFERROR(LOOKUP(2,1/((lentry!$A$3:$A$3999=mar!$A29)*(lentry!$B$3:$B$3999&lt;=mar!N$3)*(lentry!$C$3:$C$3999&gt;=mar!N$3)),lentry!$D$3:$D$3999),IF(WEEKDAY(mar!N$3,1)=1,"WO","P"))</f>
        <v>P</v>
      </c>
      <c r="O29" s="4" t="str">
        <f>IFERROR(LOOKUP(2,1/((lentry!$A$3:$A$3999=mar!$A29)*(lentry!$B$3:$B$3999&lt;=mar!O$3)*(lentry!$C$3:$C$3999&gt;=mar!O$3)),lentry!$D$3:$D$3999),IF(WEEKDAY(mar!O$3,1)=1,"WO","P"))</f>
        <v>P</v>
      </c>
      <c r="P29" s="4" t="str">
        <f>IFERROR(LOOKUP(2,1/((lentry!$A$3:$A$3999=mar!$A29)*(lentry!$B$3:$B$3999&lt;=mar!P$3)*(lentry!$C$3:$C$3999&gt;=mar!P$3)),lentry!$D$3:$D$3999),IF(WEEKDAY(mar!P$3,1)=1,"WO","P"))</f>
        <v>P</v>
      </c>
      <c r="Q29" s="4" t="str">
        <f>IFERROR(LOOKUP(2,1/((lentry!$A$3:$A$3999=mar!$A29)*(lentry!$B$3:$B$3999&lt;=mar!Q$3)*(lentry!$C$3:$C$3999&gt;=mar!Q$3)),lentry!$D$3:$D$3999),IF(WEEKDAY(mar!Q$3,1)=1,"WO","P"))</f>
        <v>P</v>
      </c>
      <c r="R29" s="4" t="str">
        <f>IFERROR(LOOKUP(2,1/((lentry!$A$3:$A$3999=mar!$A29)*(lentry!$B$3:$B$3999&lt;=mar!R$3)*(lentry!$C$3:$C$3999&gt;=mar!R$3)),lentry!$D$3:$D$3999),IF(WEEKDAY(mar!R$3,1)=1,"WO","P"))</f>
        <v>P</v>
      </c>
      <c r="S29" s="4" t="str">
        <f>IFERROR(LOOKUP(2,1/((lentry!$A$3:$A$3999=mar!$A29)*(lentry!$B$3:$B$3999&lt;=mar!S$3)*(lentry!$C$3:$C$3999&gt;=mar!S$3)),lentry!$D$3:$D$3999),IF(WEEKDAY(mar!S$3,1)=1,"WO","P"))</f>
        <v>P</v>
      </c>
      <c r="T29" s="4" t="str">
        <f>IFERROR(LOOKUP(2,1/((lentry!$A$3:$A$3999=mar!$A29)*(lentry!$B$3:$B$3999&lt;=mar!T$3)*(lentry!$C$3:$C$3999&gt;=mar!T$3)),lentry!$D$3:$D$3999),IF(WEEKDAY(mar!T$3,1)=1,"WO","P"))</f>
        <v>WO</v>
      </c>
      <c r="U29" s="4" t="str">
        <f>IFERROR(LOOKUP(2,1/((lentry!$A$3:$A$3999=mar!$A29)*(lentry!$B$3:$B$3999&lt;=mar!U$3)*(lentry!$C$3:$C$3999&gt;=mar!U$3)),lentry!$D$3:$D$3999),IF(WEEKDAY(mar!U$3,1)=1,"WO","P"))</f>
        <v>P</v>
      </c>
      <c r="V29" s="4" t="str">
        <f>IFERROR(LOOKUP(2,1/((lentry!$A$3:$A$3999=mar!$A29)*(lentry!$B$3:$B$3999&lt;=mar!V$3)*(lentry!$C$3:$C$3999&gt;=mar!V$3)),lentry!$D$3:$D$3999),IF(WEEKDAY(mar!V$3,1)=1,"WO","P"))</f>
        <v>P</v>
      </c>
      <c r="W29" s="4" t="str">
        <f>IFERROR(LOOKUP(2,1/((lentry!$A$3:$A$3999=mar!$A29)*(lentry!$B$3:$B$3999&lt;=mar!W$3)*(lentry!$C$3:$C$3999&gt;=mar!W$3)),lentry!$D$3:$D$3999),IF(WEEKDAY(mar!W$3,1)=1,"WO","P"))</f>
        <v>P</v>
      </c>
      <c r="X29" s="4" t="str">
        <f>IFERROR(LOOKUP(2,1/((lentry!$A$3:$A$3999=mar!$A29)*(lentry!$B$3:$B$3999&lt;=mar!X$3)*(lentry!$C$3:$C$3999&gt;=mar!X$3)),lentry!$D$3:$D$3999),IF(WEEKDAY(mar!X$3,1)=1,"WO","P"))</f>
        <v>P</v>
      </c>
      <c r="Y29" s="4" t="str">
        <f>IFERROR(LOOKUP(2,1/((lentry!$A$3:$A$3999=mar!$A29)*(lentry!$B$3:$B$3999&lt;=mar!Y$3)*(lentry!$C$3:$C$3999&gt;=mar!Y$3)),lentry!$D$3:$D$3999),IF(WEEKDAY(mar!Y$3,1)=1,"WO","P"))</f>
        <v>P</v>
      </c>
      <c r="Z29" s="4" t="s">
        <v>350</v>
      </c>
      <c r="AA29" s="4" t="str">
        <f>IFERROR(LOOKUP(2,1/((lentry!$A$3:$A$3999=mar!$A29)*(lentry!$B$3:$B$3999&lt;=mar!AA$3)*(lentry!$C$3:$C$3999&gt;=mar!AA$3)),lentry!$D$3:$D$3999),IF(WEEKDAY(mar!AA$3,1)=1,"WO","P"))</f>
        <v>WO</v>
      </c>
      <c r="AB29" s="4" t="str">
        <f>IFERROR(LOOKUP(2,1/((lentry!$A$3:$A$3999=mar!$A29)*(lentry!$B$3:$B$3999&lt;=mar!AB$3)*(lentry!$C$3:$C$3999&gt;=mar!AB$3)),lentry!$D$3:$D$3999),IF(WEEKDAY(mar!AB$3,1)=1,"WO","P"))</f>
        <v>P</v>
      </c>
      <c r="AC29" s="4" t="str">
        <f>IFERROR(LOOKUP(2,1/((lentry!$A$3:$A$3999=mar!$A29)*(lentry!$B$3:$B$3999&lt;=mar!AC$3)*(lentry!$C$3:$C$3999&gt;=mar!AC$3)),lentry!$D$3:$D$3999),IF(WEEKDAY(mar!AC$3,1)=1,"WO","P"))</f>
        <v>P</v>
      </c>
      <c r="AD29" s="4" t="str">
        <f>IFERROR(LOOKUP(2,1/((lentry!$A$3:$A$3999=mar!$A29)*(lentry!$B$3:$B$3999&lt;=mar!AD$3)*(lentry!$C$3:$C$3999&gt;=mar!AD$3)),lentry!$D$3:$D$3999),IF(WEEKDAY(mar!AD$3,1)=1,"WO","P"))</f>
        <v>P</v>
      </c>
      <c r="AE29" s="4" t="str">
        <f>IFERROR(LOOKUP(2,1/((lentry!$A$3:$A$3999=mar!$A29)*(lentry!$B$3:$B$3999&lt;=mar!AE$3)*(lentry!$C$3:$C$3999&gt;=mar!AE$3)),lentry!$D$3:$D$3999),IF(WEEKDAY(mar!AE$3,1)=1,"WO","P"))</f>
        <v>P</v>
      </c>
      <c r="AF29" s="4" t="str">
        <f>IFERROR(LOOKUP(2,1/((lentry!$A$3:$A$3999=mar!$A29)*(lentry!$B$3:$B$3999&lt;=mar!AF$3)*(lentry!$C$3:$C$3999&gt;=mar!AF$3)),lentry!$D$3:$D$3999),IF(WEEKDAY(mar!AF$3,1)=1,"WO","P"))</f>
        <v>P</v>
      </c>
      <c r="AG29" s="4" t="str">
        <f>IFERROR(LOOKUP(2,1/((lentry!$A$3:$A$3999=mar!$A29)*(lentry!$B$3:$B$3999&lt;=mar!AG$3)*(lentry!$C$3:$C$3999&gt;=mar!AG$3)),lentry!$D$3:$D$3999),IF(WEEKDAY(mar!AG$3,1)=1,"WO","P"))</f>
        <v>P</v>
      </c>
      <c r="AH29" s="4" t="str">
        <f>IFERROR(LOOKUP(2,1/((lentry!$A$3:$A$3999=mar!$A29)*(lentry!$B$3:$B$3999&lt;=mar!AH$3)*(lentry!$C$3:$C$3999&gt;=mar!AH$3)),lentry!$D$3:$D$3999),IF(WEEKDAY(mar!AH$3,1)=1,"WO","P"))</f>
        <v>WO</v>
      </c>
      <c r="AI29" s="4" t="str">
        <f>IFERROR(LOOKUP(2,1/((lentry!$A$3:$A$3999=mar!$A29)*(lentry!$B$3:$B$3999&lt;=mar!AI$3)*(lentry!$C$3:$C$3999&gt;=mar!AI$3)),lentry!$D$3:$D$3999),IF(WEEKDAY(mar!AI$3,1)=1,"WO","P"))</f>
        <v>P</v>
      </c>
      <c r="AJ29" s="4" t="str">
        <f>IFERROR(LOOKUP(2,1/((lentry!$A$3:$A$3999=mar!$A29)*(lentry!$B$3:$B$3999&lt;=mar!AJ$3)*(lentry!$C$3:$C$3999&gt;=mar!AJ$3)),lentry!$D$3:$D$3999),IF(WEEKDAY(mar!AJ$3,1)=1,"WO","P"))</f>
        <v>P</v>
      </c>
      <c r="AK29" s="4">
        <f>COUNTIF(mar!$F29:$AJ29,"WO")</f>
        <v>5</v>
      </c>
      <c r="AL29" s="4">
        <f>COUNTIF(mar!$F29:$AJ29,"H")</f>
        <v>2</v>
      </c>
      <c r="AM29" s="4">
        <f>COUNTIF(mar!$F29:$AJ29,"pl")</f>
        <v>0</v>
      </c>
      <c r="AN29" s="4">
        <f>COUNTIF(mar!$F29:$AJ29,"LWP")</f>
        <v>0</v>
      </c>
      <c r="AO29" s="4">
        <f>COUNTIF(mar!$F29:$AJ29,"HD")</f>
        <v>0</v>
      </c>
      <c r="AP29" s="4">
        <f>COUNTIF(mar!$F29:$AJ29,"SL")</f>
        <v>0</v>
      </c>
      <c r="AQ29" s="4">
        <f>COUNTIF(mar!$F29:$AJ29,"CL")</f>
        <v>0</v>
      </c>
      <c r="AR29" s="4">
        <f>COUNTIF(mar!$F29:$AJ29,"A")</f>
        <v>0</v>
      </c>
      <c r="AS29" s="4">
        <f>COUNTIF(mar!$F29:$AJ29,"P")</f>
        <v>24</v>
      </c>
      <c r="AT29" s="4">
        <f t="shared" si="2"/>
        <v>31</v>
      </c>
      <c r="AU29" s="4">
        <f t="shared" si="3"/>
        <v>31</v>
      </c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</row>
    <row r="30" spans="1:78" ht="18.75" x14ac:dyDescent="0.3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IFERROR(LOOKUP(2,1/((#REF!=mar!$A30)*(#REF!&lt;=mar!F$3)*(#REF!&gt;=mar!F$3)),#REF!),IF(WEEKDAY(mar!F$3,1)=1,"WO","P"))</f>
        <v>WO</v>
      </c>
      <c r="G30" s="4" t="str">
        <f>IFERROR(LOOKUP(2,1/((lentry!$A$3:$A$3999=mar!$A30)*(lentry!$B$3:$B$3999&lt;=mar!G$3)*(lentry!$C$3:$C$3999&gt;=mar!G$3)),lentry!$D$3:$D$3999),IF(WEEKDAY(mar!G$3,1)=1,"WO","P"))</f>
        <v>P</v>
      </c>
      <c r="H30" s="4" t="str">
        <f>IFERROR(LOOKUP(2,1/((lentry!$A$3:$A$3999=mar!$A30)*(lentry!$B$3:$B$3999&lt;=mar!H$3)*(lentry!$C$3:$C$3999&gt;=mar!H$3)),lentry!$D$3:$D$3999),IF(WEEKDAY(mar!H$3,1)=1,"WO","P"))</f>
        <v>P</v>
      </c>
      <c r="I30" s="4" t="s">
        <v>350</v>
      </c>
      <c r="J30" s="4" t="str">
        <f>IFERROR(LOOKUP(2,1/((lentry!$A$3:$A$3999=mar!$A30)*(lentry!$B$3:$B$3999&lt;=mar!J$3)*(lentry!$C$3:$C$3999&gt;=mar!J$3)),lentry!$D$3:$D$3999),IF(WEEKDAY(mar!J$3,1)=1,"WO","P"))</f>
        <v>P</v>
      </c>
      <c r="K30" s="4" t="str">
        <f>IFERROR(LOOKUP(2,1/((lentry!$A$3:$A$3999=mar!$A30)*(lentry!$B$3:$B$3999&lt;=mar!K$3)*(lentry!$C$3:$C$3999&gt;=mar!K$3)),lentry!$D$3:$D$3999),IF(WEEKDAY(mar!K$3,1)=1,"WO","P"))</f>
        <v>P</v>
      </c>
      <c r="L30" s="4" t="str">
        <f>IFERROR(LOOKUP(2,1/((lentry!$A$3:$A$3999=mar!$A30)*(lentry!$B$3:$B$3999&lt;=mar!L$3)*(lentry!$C$3:$C$3999&gt;=mar!L$3)),lentry!$D$3:$D$3999),IF(WEEKDAY(mar!L$3,1)=1,"WO","P"))</f>
        <v>P</v>
      </c>
      <c r="M30" s="4" t="str">
        <f>IFERROR(LOOKUP(2,1/((#REF!=mar!$A30)*(#REF!&lt;=mar!M$3)*(#REF!&gt;=mar!M$3)),#REF!),IF(WEEKDAY(mar!M$3,1)=1,"WO","P"))</f>
        <v>WO</v>
      </c>
      <c r="N30" s="4" t="str">
        <f>IFERROR(LOOKUP(2,1/((lentry!$A$3:$A$3999=mar!$A30)*(lentry!$B$3:$B$3999&lt;=mar!N$3)*(lentry!$C$3:$C$3999&gt;=mar!N$3)),lentry!$D$3:$D$3999),IF(WEEKDAY(mar!N$3,1)=1,"WO","P"))</f>
        <v>SL</v>
      </c>
      <c r="O30" s="4" t="str">
        <f>IFERROR(LOOKUP(2,1/((lentry!$A$3:$A$3999=mar!$A30)*(lentry!$B$3:$B$3999&lt;=mar!O$3)*(lentry!$C$3:$C$3999&gt;=mar!O$3)),lentry!$D$3:$D$3999),IF(WEEKDAY(mar!O$3,1)=1,"WO","P"))</f>
        <v>SL</v>
      </c>
      <c r="P30" s="4" t="str">
        <f>IFERROR(LOOKUP(2,1/((lentry!$A$3:$A$3999=mar!$A30)*(lentry!$B$3:$B$3999&lt;=mar!P$3)*(lentry!$C$3:$C$3999&gt;=mar!P$3)),lentry!$D$3:$D$3999),IF(WEEKDAY(mar!P$3,1)=1,"WO","P"))</f>
        <v>P</v>
      </c>
      <c r="Q30" s="4" t="str">
        <f>IFERROR(LOOKUP(2,1/((lentry!$A$3:$A$3999=mar!$A30)*(lentry!$B$3:$B$3999&lt;=mar!Q$3)*(lentry!$C$3:$C$3999&gt;=mar!Q$3)),lentry!$D$3:$D$3999),IF(WEEKDAY(mar!Q$3,1)=1,"WO","P"))</f>
        <v>P</v>
      </c>
      <c r="R30" s="4" t="str">
        <f>IFERROR(LOOKUP(2,1/((lentry!$A$3:$A$3999=mar!$A30)*(lentry!$B$3:$B$3999&lt;=mar!R$3)*(lentry!$C$3:$C$3999&gt;=mar!R$3)),lentry!$D$3:$D$3999),IF(WEEKDAY(mar!R$3,1)=1,"WO","P"))</f>
        <v>P</v>
      </c>
      <c r="S30" s="4" t="str">
        <f>IFERROR(LOOKUP(2,1/((lentry!$A$3:$A$3999=mar!$A30)*(lentry!$B$3:$B$3999&lt;=mar!S$3)*(lentry!$C$3:$C$3999&gt;=mar!S$3)),lentry!$D$3:$D$3999),IF(WEEKDAY(mar!S$3,1)=1,"WO","P"))</f>
        <v>P</v>
      </c>
      <c r="T30" s="4" t="str">
        <f>IFERROR(LOOKUP(2,1/((lentry!$A$3:$A$3999=mar!$A30)*(lentry!$B$3:$B$3999&lt;=mar!T$3)*(lentry!$C$3:$C$3999&gt;=mar!T$3)),lentry!$D$3:$D$3999),IF(WEEKDAY(mar!T$3,1)=1,"WO","P"))</f>
        <v>WO</v>
      </c>
      <c r="U30" s="4" t="str">
        <f>IFERROR(LOOKUP(2,1/((lentry!$A$3:$A$3999=mar!$A30)*(lentry!$B$3:$B$3999&lt;=mar!U$3)*(lentry!$C$3:$C$3999&gt;=mar!U$3)),lentry!$D$3:$D$3999),IF(WEEKDAY(mar!U$3,1)=1,"WO","P"))</f>
        <v>P</v>
      </c>
      <c r="V30" s="4" t="str">
        <f>IFERROR(LOOKUP(2,1/((lentry!$A$3:$A$3999=mar!$A30)*(lentry!$B$3:$B$3999&lt;=mar!V$3)*(lentry!$C$3:$C$3999&gt;=mar!V$3)),lentry!$D$3:$D$3999),IF(WEEKDAY(mar!V$3,1)=1,"WO","P"))</f>
        <v>P</v>
      </c>
      <c r="W30" s="4" t="str">
        <f>IFERROR(LOOKUP(2,1/((lentry!$A$3:$A$3999=mar!$A30)*(lentry!$B$3:$B$3999&lt;=mar!W$3)*(lentry!$C$3:$C$3999&gt;=mar!W$3)),lentry!$D$3:$D$3999),IF(WEEKDAY(mar!W$3,1)=1,"WO","P"))</f>
        <v>P</v>
      </c>
      <c r="X30" s="4" t="str">
        <f>IFERROR(LOOKUP(2,1/((lentry!$A$3:$A$3999=mar!$A30)*(lentry!$B$3:$B$3999&lt;=mar!X$3)*(lentry!$C$3:$C$3999&gt;=mar!X$3)),lentry!$D$3:$D$3999),IF(WEEKDAY(mar!X$3,1)=1,"WO","P"))</f>
        <v>P</v>
      </c>
      <c r="Y30" s="4" t="str">
        <f>IFERROR(LOOKUP(2,1/((lentry!$A$3:$A$3999=mar!$A30)*(lentry!$B$3:$B$3999&lt;=mar!Y$3)*(lentry!$C$3:$C$3999&gt;=mar!Y$3)),lentry!$D$3:$D$3999),IF(WEEKDAY(mar!Y$3,1)=1,"WO","P"))</f>
        <v>P</v>
      </c>
      <c r="Z30" s="4" t="s">
        <v>350</v>
      </c>
      <c r="AA30" s="4" t="str">
        <f>IFERROR(LOOKUP(2,1/((lentry!$A$3:$A$3999=mar!$A30)*(lentry!$B$3:$B$3999&lt;=mar!AA$3)*(lentry!$C$3:$C$3999&gt;=mar!AA$3)),lentry!$D$3:$D$3999),IF(WEEKDAY(mar!AA$3,1)=1,"WO","P"))</f>
        <v>WO</v>
      </c>
      <c r="AB30" s="4" t="str">
        <f>IFERROR(LOOKUP(2,1/((lentry!$A$3:$A$3999=mar!$A30)*(lentry!$B$3:$B$3999&lt;=mar!AB$3)*(lentry!$C$3:$C$3999&gt;=mar!AB$3)),lentry!$D$3:$D$3999),IF(WEEKDAY(mar!AB$3,1)=1,"WO","P"))</f>
        <v>P</v>
      </c>
      <c r="AC30" s="4" t="str">
        <f>IFERROR(LOOKUP(2,1/((lentry!$A$3:$A$3999=mar!$A30)*(lentry!$B$3:$B$3999&lt;=mar!AC$3)*(lentry!$C$3:$C$3999&gt;=mar!AC$3)),lentry!$D$3:$D$3999),IF(WEEKDAY(mar!AC$3,1)=1,"WO","P"))</f>
        <v>P</v>
      </c>
      <c r="AD30" s="4" t="str">
        <f>IFERROR(LOOKUP(2,1/((lentry!$A$3:$A$3999=mar!$A30)*(lentry!$B$3:$B$3999&lt;=mar!AD$3)*(lentry!$C$3:$C$3999&gt;=mar!AD$3)),lentry!$D$3:$D$3999),IF(WEEKDAY(mar!AD$3,1)=1,"WO","P"))</f>
        <v>P</v>
      </c>
      <c r="AE30" s="4" t="str">
        <f>IFERROR(LOOKUP(2,1/((lentry!$A$3:$A$3999=mar!$A30)*(lentry!$B$3:$B$3999&lt;=mar!AE$3)*(lentry!$C$3:$C$3999&gt;=mar!AE$3)),lentry!$D$3:$D$3999),IF(WEEKDAY(mar!AE$3,1)=1,"WO","P"))</f>
        <v>P</v>
      </c>
      <c r="AF30" s="4" t="str">
        <f>IFERROR(LOOKUP(2,1/((lentry!$A$3:$A$3999=mar!$A30)*(lentry!$B$3:$B$3999&lt;=mar!AF$3)*(lentry!$C$3:$C$3999&gt;=mar!AF$3)),lentry!$D$3:$D$3999),IF(WEEKDAY(mar!AF$3,1)=1,"WO","P"))</f>
        <v>P</v>
      </c>
      <c r="AG30" s="4" t="str">
        <f>IFERROR(LOOKUP(2,1/((lentry!$A$3:$A$3999=mar!$A30)*(lentry!$B$3:$B$3999&lt;=mar!AG$3)*(lentry!$C$3:$C$3999&gt;=mar!AG$3)),lentry!$D$3:$D$3999),IF(WEEKDAY(mar!AG$3,1)=1,"WO","P"))</f>
        <v>P</v>
      </c>
      <c r="AH30" s="4" t="str">
        <f>IFERROR(LOOKUP(2,1/((lentry!$A$3:$A$3999=mar!$A30)*(lentry!$B$3:$B$3999&lt;=mar!AH$3)*(lentry!$C$3:$C$3999&gt;=mar!AH$3)),lentry!$D$3:$D$3999),IF(WEEKDAY(mar!AH$3,1)=1,"WO","P"))</f>
        <v>WO</v>
      </c>
      <c r="AI30" s="4" t="str">
        <f>IFERROR(LOOKUP(2,1/((lentry!$A$3:$A$3999=mar!$A30)*(lentry!$B$3:$B$3999&lt;=mar!AI$3)*(lentry!$C$3:$C$3999&gt;=mar!AI$3)),lentry!$D$3:$D$3999),IF(WEEKDAY(mar!AI$3,1)=1,"WO","P"))</f>
        <v>P</v>
      </c>
      <c r="AJ30" s="4" t="str">
        <f>IFERROR(LOOKUP(2,1/((lentry!$A$3:$A$3999=mar!$A30)*(lentry!$B$3:$B$3999&lt;=mar!AJ$3)*(lentry!$C$3:$C$3999&gt;=mar!AJ$3)),lentry!$D$3:$D$3999),IF(WEEKDAY(mar!AJ$3,1)=1,"WO","P"))</f>
        <v>P</v>
      </c>
      <c r="AK30" s="4">
        <f>COUNTIF(mar!$F30:$AJ30,"WO")</f>
        <v>5</v>
      </c>
      <c r="AL30" s="4">
        <f>COUNTIF(mar!$F30:$AJ30,"H")</f>
        <v>2</v>
      </c>
      <c r="AM30" s="4">
        <f>COUNTIF(mar!$F30:$AJ30,"pl")</f>
        <v>0</v>
      </c>
      <c r="AN30" s="4">
        <f>COUNTIF(mar!$F30:$AJ30,"LWP")</f>
        <v>0</v>
      </c>
      <c r="AO30" s="4">
        <f>COUNTIF(mar!$F30:$AJ30,"HD")</f>
        <v>0</v>
      </c>
      <c r="AP30" s="4">
        <f>COUNTIF(mar!$F30:$AJ30,"SL")</f>
        <v>2</v>
      </c>
      <c r="AQ30" s="4">
        <f>COUNTIF(mar!$F30:$AJ30,"CL")</f>
        <v>0</v>
      </c>
      <c r="AR30" s="4">
        <f>COUNTIF(mar!$F30:$AJ30,"A")</f>
        <v>0</v>
      </c>
      <c r="AS30" s="4">
        <f>COUNTIF(mar!$F30:$AJ30,"P")</f>
        <v>22</v>
      </c>
      <c r="AT30" s="4">
        <f t="shared" si="2"/>
        <v>31</v>
      </c>
      <c r="AU30" s="4">
        <f t="shared" si="3"/>
        <v>31</v>
      </c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</row>
    <row r="31" spans="1:78" ht="18.75" x14ac:dyDescent="0.3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IFERROR(LOOKUP(2,1/((#REF!=mar!$A31)*(#REF!&lt;=mar!F$3)*(#REF!&gt;=mar!F$3)),#REF!),IF(WEEKDAY(mar!F$3,1)=1,"WO","P"))</f>
        <v>WO</v>
      </c>
      <c r="G31" s="4" t="str">
        <f>IFERROR(LOOKUP(2,1/((lentry!$A$3:$A$3999=mar!$A31)*(lentry!$B$3:$B$3999&lt;=mar!G$3)*(lentry!$C$3:$C$3999&gt;=mar!G$3)),lentry!$D$3:$D$3999),IF(WEEKDAY(mar!G$3,1)=1,"WO","P"))</f>
        <v>P</v>
      </c>
      <c r="H31" s="4" t="str">
        <f>IFERROR(LOOKUP(2,1/((lentry!$A$3:$A$3999=mar!$A31)*(lentry!$B$3:$B$3999&lt;=mar!H$3)*(lentry!$C$3:$C$3999&gt;=mar!H$3)),lentry!$D$3:$D$3999),IF(WEEKDAY(mar!H$3,1)=1,"WO","P"))</f>
        <v>P</v>
      </c>
      <c r="I31" s="4" t="s">
        <v>350</v>
      </c>
      <c r="J31" s="4" t="str">
        <f>IFERROR(LOOKUP(2,1/((lentry!$A$3:$A$3999=mar!$A31)*(lentry!$B$3:$B$3999&lt;=mar!J$3)*(lentry!$C$3:$C$3999&gt;=mar!J$3)),lentry!$D$3:$D$3999),IF(WEEKDAY(mar!J$3,1)=1,"WO","P"))</f>
        <v>P</v>
      </c>
      <c r="K31" s="4" t="str">
        <f>IFERROR(LOOKUP(2,1/((lentry!$A$3:$A$3999=mar!$A31)*(lentry!$B$3:$B$3999&lt;=mar!K$3)*(lentry!$C$3:$C$3999&gt;=mar!K$3)),lentry!$D$3:$D$3999),IF(WEEKDAY(mar!K$3,1)=1,"WO","P"))</f>
        <v>P</v>
      </c>
      <c r="L31" s="4" t="str">
        <f>IFERROR(LOOKUP(2,1/((lentry!$A$3:$A$3999=mar!$A31)*(lentry!$B$3:$B$3999&lt;=mar!L$3)*(lentry!$C$3:$C$3999&gt;=mar!L$3)),lentry!$D$3:$D$3999),IF(WEEKDAY(mar!L$3,1)=1,"WO","P"))</f>
        <v>P</v>
      </c>
      <c r="M31" s="4" t="str">
        <f>IFERROR(LOOKUP(2,1/((#REF!=mar!$A31)*(#REF!&lt;=mar!M$3)*(#REF!&gt;=mar!M$3)),#REF!),IF(WEEKDAY(mar!M$3,1)=1,"WO","P"))</f>
        <v>WO</v>
      </c>
      <c r="N31" s="4" t="str">
        <f>IFERROR(LOOKUP(2,1/((lentry!$A$3:$A$3999=mar!$A31)*(lentry!$B$3:$B$3999&lt;=mar!N$3)*(lentry!$C$3:$C$3999&gt;=mar!N$3)),lentry!$D$3:$D$3999),IF(WEEKDAY(mar!N$3,1)=1,"WO","P"))</f>
        <v>P</v>
      </c>
      <c r="O31" s="4" t="str">
        <f>IFERROR(LOOKUP(2,1/((lentry!$A$3:$A$3999=mar!$A31)*(lentry!$B$3:$B$3999&lt;=mar!O$3)*(lentry!$C$3:$C$3999&gt;=mar!O$3)),lentry!$D$3:$D$3999),IF(WEEKDAY(mar!O$3,1)=1,"WO","P"))</f>
        <v>P</v>
      </c>
      <c r="P31" s="4" t="str">
        <f>IFERROR(LOOKUP(2,1/((lentry!$A$3:$A$3999=mar!$A31)*(lentry!$B$3:$B$3999&lt;=mar!P$3)*(lentry!$C$3:$C$3999&gt;=mar!P$3)),lentry!$D$3:$D$3999),IF(WEEKDAY(mar!P$3,1)=1,"WO","P"))</f>
        <v>P</v>
      </c>
      <c r="Q31" s="4" t="str">
        <f>IFERROR(LOOKUP(2,1/((lentry!$A$3:$A$3999=mar!$A31)*(lentry!$B$3:$B$3999&lt;=mar!Q$3)*(lentry!$C$3:$C$3999&gt;=mar!Q$3)),lentry!$D$3:$D$3999),IF(WEEKDAY(mar!Q$3,1)=1,"WO","P"))</f>
        <v>P</v>
      </c>
      <c r="R31" s="4" t="str">
        <f>IFERROR(LOOKUP(2,1/((lentry!$A$3:$A$3999=mar!$A31)*(lentry!$B$3:$B$3999&lt;=mar!R$3)*(lentry!$C$3:$C$3999&gt;=mar!R$3)),lentry!$D$3:$D$3999),IF(WEEKDAY(mar!R$3,1)=1,"WO","P"))</f>
        <v>P</v>
      </c>
      <c r="S31" s="4" t="str">
        <f>IFERROR(LOOKUP(2,1/((lentry!$A$3:$A$3999=mar!$A31)*(lentry!$B$3:$B$3999&lt;=mar!S$3)*(lentry!$C$3:$C$3999&gt;=mar!S$3)),lentry!$D$3:$D$3999),IF(WEEKDAY(mar!S$3,1)=1,"WO","P"))</f>
        <v>P</v>
      </c>
      <c r="T31" s="4" t="str">
        <f>IFERROR(LOOKUP(2,1/((lentry!$A$3:$A$3999=mar!$A31)*(lentry!$B$3:$B$3999&lt;=mar!T$3)*(lentry!$C$3:$C$3999&gt;=mar!T$3)),lentry!$D$3:$D$3999),IF(WEEKDAY(mar!T$3,1)=1,"WO","P"))</f>
        <v>WO</v>
      </c>
      <c r="U31" s="4" t="str">
        <f>IFERROR(LOOKUP(2,1/((lentry!$A$3:$A$3999=mar!$A31)*(lentry!$B$3:$B$3999&lt;=mar!U$3)*(lentry!$C$3:$C$3999&gt;=mar!U$3)),lentry!$D$3:$D$3999),IF(WEEKDAY(mar!U$3,1)=1,"WO","P"))</f>
        <v>P</v>
      </c>
      <c r="V31" s="4" t="str">
        <f>IFERROR(LOOKUP(2,1/((lentry!$A$3:$A$3999=mar!$A31)*(lentry!$B$3:$B$3999&lt;=mar!V$3)*(lentry!$C$3:$C$3999&gt;=mar!V$3)),lentry!$D$3:$D$3999),IF(WEEKDAY(mar!V$3,1)=1,"WO","P"))</f>
        <v>P</v>
      </c>
      <c r="W31" s="4" t="str">
        <f>IFERROR(LOOKUP(2,1/((lentry!$A$3:$A$3999=mar!$A31)*(lentry!$B$3:$B$3999&lt;=mar!W$3)*(lentry!$C$3:$C$3999&gt;=mar!W$3)),lentry!$D$3:$D$3999),IF(WEEKDAY(mar!W$3,1)=1,"WO","P"))</f>
        <v>P</v>
      </c>
      <c r="X31" s="4" t="str">
        <f>IFERROR(LOOKUP(2,1/((lentry!$A$3:$A$3999=mar!$A31)*(lentry!$B$3:$B$3999&lt;=mar!X$3)*(lentry!$C$3:$C$3999&gt;=mar!X$3)),lentry!$D$3:$D$3999),IF(WEEKDAY(mar!X$3,1)=1,"WO","P"))</f>
        <v>P</v>
      </c>
      <c r="Y31" s="4" t="str">
        <f>IFERROR(LOOKUP(2,1/((lentry!$A$3:$A$3999=mar!$A31)*(lentry!$B$3:$B$3999&lt;=mar!Y$3)*(lentry!$C$3:$C$3999&gt;=mar!Y$3)),lentry!$D$3:$D$3999),IF(WEEKDAY(mar!Y$3,1)=1,"WO","P"))</f>
        <v>P</v>
      </c>
      <c r="Z31" s="4" t="s">
        <v>350</v>
      </c>
      <c r="AA31" s="4" t="str">
        <f>IFERROR(LOOKUP(2,1/((lentry!$A$3:$A$3999=mar!$A31)*(lentry!$B$3:$B$3999&lt;=mar!AA$3)*(lentry!$C$3:$C$3999&gt;=mar!AA$3)),lentry!$D$3:$D$3999),IF(WEEKDAY(mar!AA$3,1)=1,"WO","P"))</f>
        <v>WO</v>
      </c>
      <c r="AB31" s="4" t="str">
        <f>IFERROR(LOOKUP(2,1/((lentry!$A$3:$A$3999=mar!$A31)*(lentry!$B$3:$B$3999&lt;=mar!AB$3)*(lentry!$C$3:$C$3999&gt;=mar!AB$3)),lentry!$D$3:$D$3999),IF(WEEKDAY(mar!AB$3,1)=1,"WO","P"))</f>
        <v>P</v>
      </c>
      <c r="AC31" s="4" t="str">
        <f>IFERROR(LOOKUP(2,1/((lentry!$A$3:$A$3999=mar!$A31)*(lentry!$B$3:$B$3999&lt;=mar!AC$3)*(lentry!$C$3:$C$3999&gt;=mar!AC$3)),lentry!$D$3:$D$3999),IF(WEEKDAY(mar!AC$3,1)=1,"WO","P"))</f>
        <v>P</v>
      </c>
      <c r="AD31" s="4" t="str">
        <f>IFERROR(LOOKUP(2,1/((lentry!$A$3:$A$3999=mar!$A31)*(lentry!$B$3:$B$3999&lt;=mar!AD$3)*(lentry!$C$3:$C$3999&gt;=mar!AD$3)),lentry!$D$3:$D$3999),IF(WEEKDAY(mar!AD$3,1)=1,"WO","P"))</f>
        <v>P</v>
      </c>
      <c r="AE31" s="4" t="str">
        <f>IFERROR(LOOKUP(2,1/((lentry!$A$3:$A$3999=mar!$A31)*(lentry!$B$3:$B$3999&lt;=mar!AE$3)*(lentry!$C$3:$C$3999&gt;=mar!AE$3)),lentry!$D$3:$D$3999),IF(WEEKDAY(mar!AE$3,1)=1,"WO","P"))</f>
        <v>P</v>
      </c>
      <c r="AF31" s="4" t="str">
        <f>IFERROR(LOOKUP(2,1/((lentry!$A$3:$A$3999=mar!$A31)*(lentry!$B$3:$B$3999&lt;=mar!AF$3)*(lentry!$C$3:$C$3999&gt;=mar!AF$3)),lentry!$D$3:$D$3999),IF(WEEKDAY(mar!AF$3,1)=1,"WO","P"))</f>
        <v>P</v>
      </c>
      <c r="AG31" s="4" t="str">
        <f>IFERROR(LOOKUP(2,1/((lentry!$A$3:$A$3999=mar!$A31)*(lentry!$B$3:$B$3999&lt;=mar!AG$3)*(lentry!$C$3:$C$3999&gt;=mar!AG$3)),lentry!$D$3:$D$3999),IF(WEEKDAY(mar!AG$3,1)=1,"WO","P"))</f>
        <v>P</v>
      </c>
      <c r="AH31" s="4" t="str">
        <f>IFERROR(LOOKUP(2,1/((lentry!$A$3:$A$3999=mar!$A31)*(lentry!$B$3:$B$3999&lt;=mar!AH$3)*(lentry!$C$3:$C$3999&gt;=mar!AH$3)),lentry!$D$3:$D$3999),IF(WEEKDAY(mar!AH$3,1)=1,"WO","P"))</f>
        <v>WO</v>
      </c>
      <c r="AI31" s="4" t="str">
        <f>IFERROR(LOOKUP(2,1/((lentry!$A$3:$A$3999=mar!$A31)*(lentry!$B$3:$B$3999&lt;=mar!AI$3)*(lentry!$C$3:$C$3999&gt;=mar!AI$3)),lentry!$D$3:$D$3999),IF(WEEKDAY(mar!AI$3,1)=1,"WO","P"))</f>
        <v>P</v>
      </c>
      <c r="AJ31" s="4" t="str">
        <f>IFERROR(LOOKUP(2,1/((lentry!$A$3:$A$3999=mar!$A31)*(lentry!$B$3:$B$3999&lt;=mar!AJ$3)*(lentry!$C$3:$C$3999&gt;=mar!AJ$3)),lentry!$D$3:$D$3999),IF(WEEKDAY(mar!AJ$3,1)=1,"WO","P"))</f>
        <v>P</v>
      </c>
      <c r="AK31" s="4">
        <f>COUNTIF(mar!$F31:$AJ31,"WO")</f>
        <v>5</v>
      </c>
      <c r="AL31" s="4">
        <f>COUNTIF(mar!$F31:$AJ31,"H")</f>
        <v>2</v>
      </c>
      <c r="AM31" s="4">
        <f>COUNTIF(mar!$F31:$AJ31,"pl")</f>
        <v>0</v>
      </c>
      <c r="AN31" s="4">
        <f>COUNTIF(mar!$F31:$AJ31,"LWP")</f>
        <v>0</v>
      </c>
      <c r="AO31" s="4">
        <f>COUNTIF(mar!$F31:$AJ31,"HD")</f>
        <v>0</v>
      </c>
      <c r="AP31" s="4">
        <f>COUNTIF(mar!$F31:$AJ31,"SL")</f>
        <v>0</v>
      </c>
      <c r="AQ31" s="4">
        <f>COUNTIF(mar!$F31:$AJ31,"CL")</f>
        <v>0</v>
      </c>
      <c r="AR31" s="4">
        <f>COUNTIF(mar!$F31:$AJ31,"A")</f>
        <v>0</v>
      </c>
      <c r="AS31" s="4">
        <f>COUNTIF(mar!$F31:$AJ31,"P")</f>
        <v>24</v>
      </c>
      <c r="AT31" s="4">
        <f t="shared" si="2"/>
        <v>31</v>
      </c>
      <c r="AU31" s="4">
        <f t="shared" si="3"/>
        <v>31</v>
      </c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</row>
    <row r="32" spans="1:78" ht="18.75" x14ac:dyDescent="0.3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IFERROR(LOOKUP(2,1/((#REF!=mar!$A32)*(#REF!&lt;=mar!F$3)*(#REF!&gt;=mar!F$3)),#REF!),IF(WEEKDAY(mar!F$3,1)=1,"WO","P"))</f>
        <v>WO</v>
      </c>
      <c r="G32" s="4" t="str">
        <f>IFERROR(LOOKUP(2,1/((lentry!$A$3:$A$3999=mar!$A32)*(lentry!$B$3:$B$3999&lt;=mar!G$3)*(lentry!$C$3:$C$3999&gt;=mar!G$3)),lentry!$D$3:$D$3999),IF(WEEKDAY(mar!G$3,1)=1,"WO","P"))</f>
        <v>P</v>
      </c>
      <c r="H32" s="4" t="str">
        <f>IFERROR(LOOKUP(2,1/((lentry!$A$3:$A$3999=mar!$A32)*(lentry!$B$3:$B$3999&lt;=mar!H$3)*(lentry!$C$3:$C$3999&gt;=mar!H$3)),lentry!$D$3:$D$3999),IF(WEEKDAY(mar!H$3,1)=1,"WO","P"))</f>
        <v>P</v>
      </c>
      <c r="I32" s="4" t="s">
        <v>350</v>
      </c>
      <c r="J32" s="4" t="str">
        <f>IFERROR(LOOKUP(2,1/((lentry!$A$3:$A$3999=mar!$A32)*(lentry!$B$3:$B$3999&lt;=mar!J$3)*(lentry!$C$3:$C$3999&gt;=mar!J$3)),lentry!$D$3:$D$3999),IF(WEEKDAY(mar!J$3,1)=1,"WO","P"))</f>
        <v>P</v>
      </c>
      <c r="K32" s="4" t="str">
        <f>IFERROR(LOOKUP(2,1/((lentry!$A$3:$A$3999=mar!$A32)*(lentry!$B$3:$B$3999&lt;=mar!K$3)*(lentry!$C$3:$C$3999&gt;=mar!K$3)),lentry!$D$3:$D$3999),IF(WEEKDAY(mar!K$3,1)=1,"WO","P"))</f>
        <v>P</v>
      </c>
      <c r="L32" s="4" t="str">
        <f>IFERROR(LOOKUP(2,1/((lentry!$A$3:$A$3999=mar!$A32)*(lentry!$B$3:$B$3999&lt;=mar!L$3)*(lentry!$C$3:$C$3999&gt;=mar!L$3)),lentry!$D$3:$D$3999),IF(WEEKDAY(mar!L$3,1)=1,"WO","P"))</f>
        <v>P</v>
      </c>
      <c r="M32" s="4" t="str">
        <f>IFERROR(LOOKUP(2,1/((#REF!=mar!$A32)*(#REF!&lt;=mar!M$3)*(#REF!&gt;=mar!M$3)),#REF!),IF(WEEKDAY(mar!M$3,1)=1,"WO","P"))</f>
        <v>WO</v>
      </c>
      <c r="N32" s="4" t="str">
        <f>IFERROR(LOOKUP(2,1/((lentry!$A$3:$A$3999=mar!$A32)*(lentry!$B$3:$B$3999&lt;=mar!N$3)*(lentry!$C$3:$C$3999&gt;=mar!N$3)),lentry!$D$3:$D$3999),IF(WEEKDAY(mar!N$3,1)=1,"WO","P"))</f>
        <v>P</v>
      </c>
      <c r="O32" s="4" t="str">
        <f>IFERROR(LOOKUP(2,1/((lentry!$A$3:$A$3999=mar!$A32)*(lentry!$B$3:$B$3999&lt;=mar!O$3)*(lentry!$C$3:$C$3999&gt;=mar!O$3)),lentry!$D$3:$D$3999),IF(WEEKDAY(mar!O$3,1)=1,"WO","P"))</f>
        <v>P</v>
      </c>
      <c r="P32" s="4" t="str">
        <f>IFERROR(LOOKUP(2,1/((lentry!$A$3:$A$3999=mar!$A32)*(lentry!$B$3:$B$3999&lt;=mar!P$3)*(lentry!$C$3:$C$3999&gt;=mar!P$3)),lentry!$D$3:$D$3999),IF(WEEKDAY(mar!P$3,1)=1,"WO","P"))</f>
        <v>P</v>
      </c>
      <c r="Q32" s="4" t="str">
        <f>IFERROR(LOOKUP(2,1/((lentry!$A$3:$A$3999=mar!$A32)*(lentry!$B$3:$B$3999&lt;=mar!Q$3)*(lentry!$C$3:$C$3999&gt;=mar!Q$3)),lentry!$D$3:$D$3999),IF(WEEKDAY(mar!Q$3,1)=1,"WO","P"))</f>
        <v>P</v>
      </c>
      <c r="R32" s="4" t="str">
        <f>IFERROR(LOOKUP(2,1/((lentry!$A$3:$A$3999=mar!$A32)*(lentry!$B$3:$B$3999&lt;=mar!R$3)*(lentry!$C$3:$C$3999&gt;=mar!R$3)),lentry!$D$3:$D$3999),IF(WEEKDAY(mar!R$3,1)=1,"WO","P"))</f>
        <v>P</v>
      </c>
      <c r="S32" s="4" t="str">
        <f>IFERROR(LOOKUP(2,1/((lentry!$A$3:$A$3999=mar!$A32)*(lentry!$B$3:$B$3999&lt;=mar!S$3)*(lentry!$C$3:$C$3999&gt;=mar!S$3)),lentry!$D$3:$D$3999),IF(WEEKDAY(mar!S$3,1)=1,"WO","P"))</f>
        <v>P</v>
      </c>
      <c r="T32" s="4" t="str">
        <f>IFERROR(LOOKUP(2,1/((lentry!$A$3:$A$3999=mar!$A32)*(lentry!$B$3:$B$3999&lt;=mar!T$3)*(lentry!$C$3:$C$3999&gt;=mar!T$3)),lentry!$D$3:$D$3999),IF(WEEKDAY(mar!T$3,1)=1,"WO","P"))</f>
        <v>WO</v>
      </c>
      <c r="U32" s="4" t="str">
        <f>IFERROR(LOOKUP(2,1/((lentry!$A$3:$A$3999=mar!$A32)*(lentry!$B$3:$B$3999&lt;=mar!U$3)*(lentry!$C$3:$C$3999&gt;=mar!U$3)),lentry!$D$3:$D$3999),IF(WEEKDAY(mar!U$3,1)=1,"WO","P"))</f>
        <v>P</v>
      </c>
      <c r="V32" s="4" t="str">
        <f>IFERROR(LOOKUP(2,1/((lentry!$A$3:$A$3999=mar!$A32)*(lentry!$B$3:$B$3999&lt;=mar!V$3)*(lentry!$C$3:$C$3999&gt;=mar!V$3)),lentry!$D$3:$D$3999),IF(WEEKDAY(mar!V$3,1)=1,"WO","P"))</f>
        <v>P</v>
      </c>
      <c r="W32" s="4" t="str">
        <f>IFERROR(LOOKUP(2,1/((lentry!$A$3:$A$3999=mar!$A32)*(lentry!$B$3:$B$3999&lt;=mar!W$3)*(lentry!$C$3:$C$3999&gt;=mar!W$3)),lentry!$D$3:$D$3999),IF(WEEKDAY(mar!W$3,1)=1,"WO","P"))</f>
        <v>P</v>
      </c>
      <c r="X32" s="4" t="str">
        <f>IFERROR(LOOKUP(2,1/((lentry!$A$3:$A$3999=mar!$A32)*(lentry!$B$3:$B$3999&lt;=mar!X$3)*(lentry!$C$3:$C$3999&gt;=mar!X$3)),lentry!$D$3:$D$3999),IF(WEEKDAY(mar!X$3,1)=1,"WO","P"))</f>
        <v>P</v>
      </c>
      <c r="Y32" s="4" t="str">
        <f>IFERROR(LOOKUP(2,1/((lentry!$A$3:$A$3999=mar!$A32)*(lentry!$B$3:$B$3999&lt;=mar!Y$3)*(lentry!$C$3:$C$3999&gt;=mar!Y$3)),lentry!$D$3:$D$3999),IF(WEEKDAY(mar!Y$3,1)=1,"WO","P"))</f>
        <v>P</v>
      </c>
      <c r="Z32" s="4" t="s">
        <v>350</v>
      </c>
      <c r="AA32" s="4" t="str">
        <f>IFERROR(LOOKUP(2,1/((lentry!$A$3:$A$3999=mar!$A32)*(lentry!$B$3:$B$3999&lt;=mar!AA$3)*(lentry!$C$3:$C$3999&gt;=mar!AA$3)),lentry!$D$3:$D$3999),IF(WEEKDAY(mar!AA$3,1)=1,"WO","P"))</f>
        <v>WO</v>
      </c>
      <c r="AB32" s="4" t="str">
        <f>IFERROR(LOOKUP(2,1/((lentry!$A$3:$A$3999=mar!$A32)*(lentry!$B$3:$B$3999&lt;=mar!AB$3)*(lentry!$C$3:$C$3999&gt;=mar!AB$3)),lentry!$D$3:$D$3999),IF(WEEKDAY(mar!AB$3,1)=1,"WO","P"))</f>
        <v>P</v>
      </c>
      <c r="AC32" s="4" t="str">
        <f>IFERROR(LOOKUP(2,1/((lentry!$A$3:$A$3999=mar!$A32)*(lentry!$B$3:$B$3999&lt;=mar!AC$3)*(lentry!$C$3:$C$3999&gt;=mar!AC$3)),lentry!$D$3:$D$3999),IF(WEEKDAY(mar!AC$3,1)=1,"WO","P"))</f>
        <v>P</v>
      </c>
      <c r="AD32" s="4" t="str">
        <f>IFERROR(LOOKUP(2,1/((lentry!$A$3:$A$3999=mar!$A32)*(lentry!$B$3:$B$3999&lt;=mar!AD$3)*(lentry!$C$3:$C$3999&gt;=mar!AD$3)),lentry!$D$3:$D$3999),IF(WEEKDAY(mar!AD$3,1)=1,"WO","P"))</f>
        <v>P</v>
      </c>
      <c r="AE32" s="4" t="str">
        <f>IFERROR(LOOKUP(2,1/((lentry!$A$3:$A$3999=mar!$A32)*(lentry!$B$3:$B$3999&lt;=mar!AE$3)*(lentry!$C$3:$C$3999&gt;=mar!AE$3)),lentry!$D$3:$D$3999),IF(WEEKDAY(mar!AE$3,1)=1,"WO","P"))</f>
        <v>P</v>
      </c>
      <c r="AF32" s="4" t="s">
        <v>539</v>
      </c>
      <c r="AG32" s="4" t="str">
        <f>IFERROR(LOOKUP(2,1/((lentry!$A$3:$A$3999=mar!$A32)*(lentry!$B$3:$B$3999&lt;=mar!AG$3)*(lentry!$C$3:$C$3999&gt;=mar!AG$3)),lentry!$D$3:$D$3999),IF(WEEKDAY(mar!AG$3,1)=1,"WO","P"))</f>
        <v>P</v>
      </c>
      <c r="AH32" s="4" t="str">
        <f>IFERROR(LOOKUP(2,1/((lentry!$A$3:$A$3999=mar!$A32)*(lentry!$B$3:$B$3999&lt;=mar!AH$3)*(lentry!$C$3:$C$3999&gt;=mar!AH$3)),lentry!$D$3:$D$3999),IF(WEEKDAY(mar!AH$3,1)=1,"WO","P"))</f>
        <v>WO</v>
      </c>
      <c r="AI32" s="4" t="str">
        <f>IFERROR(LOOKUP(2,1/((lentry!$A$3:$A$3999=mar!$A32)*(lentry!$B$3:$B$3999&lt;=mar!AI$3)*(lentry!$C$3:$C$3999&gt;=mar!AI$3)),lentry!$D$3:$D$3999),IF(WEEKDAY(mar!AI$3,1)=1,"WO","P"))</f>
        <v>P</v>
      </c>
      <c r="AJ32" s="4" t="str">
        <f>IFERROR(LOOKUP(2,1/((lentry!$A$3:$A$3999=mar!$A32)*(lentry!$B$3:$B$3999&lt;=mar!AJ$3)*(lentry!$C$3:$C$3999&gt;=mar!AJ$3)),lentry!$D$3:$D$3999),IF(WEEKDAY(mar!AJ$3,1)=1,"WO","P"))</f>
        <v>P</v>
      </c>
      <c r="AK32" s="4">
        <f>COUNTIF(mar!$F32:$AJ32,"WO")</f>
        <v>5</v>
      </c>
      <c r="AL32" s="4">
        <f>COUNTIF(mar!$F32:$AJ32,"H")</f>
        <v>2</v>
      </c>
      <c r="AM32" s="4">
        <f>COUNTIF(mar!$F32:$AJ32,"pl")</f>
        <v>0</v>
      </c>
      <c r="AN32" s="4">
        <f>COUNTIF(mar!$F32:$AJ32,"LWP")</f>
        <v>0</v>
      </c>
      <c r="AO32" s="4">
        <f>COUNTIF(mar!$F32:$AJ32,"HD")</f>
        <v>0</v>
      </c>
      <c r="AP32" s="4">
        <f>COUNTIF(mar!$F32:$AJ32,"SL")</f>
        <v>0</v>
      </c>
      <c r="AQ32" s="4">
        <f>COUNTIF(mar!$F32:$AJ32,"CL")</f>
        <v>0</v>
      </c>
      <c r="AR32" s="4">
        <f>COUNTIF(mar!$F32:$AJ32,"A")</f>
        <v>1</v>
      </c>
      <c r="AS32" s="4">
        <f>COUNTIF(mar!$F32:$AJ32,"P")</f>
        <v>23</v>
      </c>
      <c r="AT32" s="4">
        <f t="shared" si="2"/>
        <v>31</v>
      </c>
      <c r="AU32" s="4">
        <f t="shared" si="3"/>
        <v>30</v>
      </c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</row>
    <row r="33" spans="1:78" ht="18.75" x14ac:dyDescent="0.3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IFERROR(LOOKUP(2,1/((#REF!=mar!$A33)*(#REF!&lt;=mar!F$3)*(#REF!&gt;=mar!F$3)),#REF!),IF(WEEKDAY(mar!F$3,1)=1,"WO","P"))</f>
        <v>WO</v>
      </c>
      <c r="G33" s="4" t="str">
        <f>IFERROR(LOOKUP(2,1/((lentry!$A$3:$A$3999=mar!$A33)*(lentry!$B$3:$B$3999&lt;=mar!G$3)*(lentry!$C$3:$C$3999&gt;=mar!G$3)),lentry!$D$3:$D$3999),IF(WEEKDAY(mar!G$3,1)=1,"WO","P"))</f>
        <v>P</v>
      </c>
      <c r="H33" s="4" t="str">
        <f>IFERROR(LOOKUP(2,1/((lentry!$A$3:$A$3999=mar!$A33)*(lentry!$B$3:$B$3999&lt;=mar!H$3)*(lentry!$C$3:$C$3999&gt;=mar!H$3)),lentry!$D$3:$D$3999),IF(WEEKDAY(mar!H$3,1)=1,"WO","P"))</f>
        <v>P</v>
      </c>
      <c r="I33" s="4" t="s">
        <v>350</v>
      </c>
      <c r="J33" s="4" t="str">
        <f>IFERROR(LOOKUP(2,1/((lentry!$A$3:$A$3999=mar!$A33)*(lentry!$B$3:$B$3999&lt;=mar!J$3)*(lentry!$C$3:$C$3999&gt;=mar!J$3)),lentry!$D$3:$D$3999),IF(WEEKDAY(mar!J$3,1)=1,"WO","P"))</f>
        <v>P</v>
      </c>
      <c r="K33" s="4" t="str">
        <f>IFERROR(LOOKUP(2,1/((lentry!$A$3:$A$3999=mar!$A33)*(lentry!$B$3:$B$3999&lt;=mar!K$3)*(lentry!$C$3:$C$3999&gt;=mar!K$3)),lentry!$D$3:$D$3999),IF(WEEKDAY(mar!K$3,1)=1,"WO","P"))</f>
        <v>P</v>
      </c>
      <c r="L33" s="4" t="str">
        <f>IFERROR(LOOKUP(2,1/((lentry!$A$3:$A$3999=mar!$A33)*(lentry!$B$3:$B$3999&lt;=mar!L$3)*(lentry!$C$3:$C$3999&gt;=mar!L$3)),lentry!$D$3:$D$3999),IF(WEEKDAY(mar!L$3,1)=1,"WO","P"))</f>
        <v>P</v>
      </c>
      <c r="M33" s="4" t="str">
        <f>IFERROR(LOOKUP(2,1/((#REF!=mar!$A33)*(#REF!&lt;=mar!M$3)*(#REF!&gt;=mar!M$3)),#REF!),IF(WEEKDAY(mar!M$3,1)=1,"WO","P"))</f>
        <v>WO</v>
      </c>
      <c r="N33" s="4" t="str">
        <f>IFERROR(LOOKUP(2,1/((lentry!$A$3:$A$3999=mar!$A33)*(lentry!$B$3:$B$3999&lt;=mar!N$3)*(lentry!$C$3:$C$3999&gt;=mar!N$3)),lentry!$D$3:$D$3999),IF(WEEKDAY(mar!N$3,1)=1,"WO","P"))</f>
        <v>P</v>
      </c>
      <c r="O33" s="4" t="str">
        <f>IFERROR(LOOKUP(2,1/((lentry!$A$3:$A$3999=mar!$A33)*(lentry!$B$3:$B$3999&lt;=mar!O$3)*(lentry!$C$3:$C$3999&gt;=mar!O$3)),lentry!$D$3:$D$3999),IF(WEEKDAY(mar!O$3,1)=1,"WO","P"))</f>
        <v>P</v>
      </c>
      <c r="P33" s="4" t="str">
        <f>IFERROR(LOOKUP(2,1/((lentry!$A$3:$A$3999=mar!$A33)*(lentry!$B$3:$B$3999&lt;=mar!P$3)*(lentry!$C$3:$C$3999&gt;=mar!P$3)),lentry!$D$3:$D$3999),IF(WEEKDAY(mar!P$3,1)=1,"WO","P"))</f>
        <v>P</v>
      </c>
      <c r="Q33" s="4" t="str">
        <f>IFERROR(LOOKUP(2,1/((lentry!$A$3:$A$3999=mar!$A33)*(lentry!$B$3:$B$3999&lt;=mar!Q$3)*(lentry!$C$3:$C$3999&gt;=mar!Q$3)),lentry!$D$3:$D$3999),IF(WEEKDAY(mar!Q$3,1)=1,"WO","P"))</f>
        <v>P</v>
      </c>
      <c r="R33" s="4" t="str">
        <f>IFERROR(LOOKUP(2,1/((lentry!$A$3:$A$3999=mar!$A33)*(lentry!$B$3:$B$3999&lt;=mar!R$3)*(lentry!$C$3:$C$3999&gt;=mar!R$3)),lentry!$D$3:$D$3999),IF(WEEKDAY(mar!R$3,1)=1,"WO","P"))</f>
        <v>P</v>
      </c>
      <c r="S33" s="4" t="str">
        <f>IFERROR(LOOKUP(2,1/((lentry!$A$3:$A$3999=mar!$A33)*(lentry!$B$3:$B$3999&lt;=mar!S$3)*(lentry!$C$3:$C$3999&gt;=mar!S$3)),lentry!$D$3:$D$3999),IF(WEEKDAY(mar!S$3,1)=1,"WO","P"))</f>
        <v>P</v>
      </c>
      <c r="T33" s="4" t="str">
        <f>IFERROR(LOOKUP(2,1/((lentry!$A$3:$A$3999=mar!$A33)*(lentry!$B$3:$B$3999&lt;=mar!T$3)*(lentry!$C$3:$C$3999&gt;=mar!T$3)),lentry!$D$3:$D$3999),IF(WEEKDAY(mar!T$3,1)=1,"WO","P"))</f>
        <v>WO</v>
      </c>
      <c r="U33" s="4" t="str">
        <f>IFERROR(LOOKUP(2,1/((lentry!$A$3:$A$3999=mar!$A33)*(lentry!$B$3:$B$3999&lt;=mar!U$3)*(lentry!$C$3:$C$3999&gt;=mar!U$3)),lentry!$D$3:$D$3999),IF(WEEKDAY(mar!U$3,1)=1,"WO","P"))</f>
        <v>P</v>
      </c>
      <c r="V33" s="4" t="str">
        <f>IFERROR(LOOKUP(2,1/((lentry!$A$3:$A$3999=mar!$A33)*(lentry!$B$3:$B$3999&lt;=mar!V$3)*(lentry!$C$3:$C$3999&gt;=mar!V$3)),lentry!$D$3:$D$3999),IF(WEEKDAY(mar!V$3,1)=1,"WO","P"))</f>
        <v>P</v>
      </c>
      <c r="W33" s="4" t="str">
        <f>IFERROR(LOOKUP(2,1/((lentry!$A$3:$A$3999=mar!$A33)*(lentry!$B$3:$B$3999&lt;=mar!W$3)*(lentry!$C$3:$C$3999&gt;=mar!W$3)),lentry!$D$3:$D$3999),IF(WEEKDAY(mar!W$3,1)=1,"WO","P"))</f>
        <v>P</v>
      </c>
      <c r="X33" s="4" t="str">
        <f>IFERROR(LOOKUP(2,1/((lentry!$A$3:$A$3999=mar!$A33)*(lentry!$B$3:$B$3999&lt;=mar!X$3)*(lentry!$C$3:$C$3999&gt;=mar!X$3)),lentry!$D$3:$D$3999),IF(WEEKDAY(mar!X$3,1)=1,"WO","P"))</f>
        <v>P</v>
      </c>
      <c r="Y33" s="4" t="str">
        <f>IFERROR(LOOKUP(2,1/((lentry!$A$3:$A$3999=mar!$A33)*(lentry!$B$3:$B$3999&lt;=mar!Y$3)*(lentry!$C$3:$C$3999&gt;=mar!Y$3)),lentry!$D$3:$D$3999),IF(WEEKDAY(mar!Y$3,1)=1,"WO","P"))</f>
        <v>P</v>
      </c>
      <c r="Z33" s="4" t="s">
        <v>350</v>
      </c>
      <c r="AA33" s="4" t="str">
        <f>IFERROR(LOOKUP(2,1/((lentry!$A$3:$A$3999=mar!$A33)*(lentry!$B$3:$B$3999&lt;=mar!AA$3)*(lentry!$C$3:$C$3999&gt;=mar!AA$3)),lentry!$D$3:$D$3999),IF(WEEKDAY(mar!AA$3,1)=1,"WO","P"))</f>
        <v>WO</v>
      </c>
      <c r="AB33" s="4" t="str">
        <f>IFERROR(LOOKUP(2,1/((lentry!$A$3:$A$3999=mar!$A33)*(lentry!$B$3:$B$3999&lt;=mar!AB$3)*(lentry!$C$3:$C$3999&gt;=mar!AB$3)),lentry!$D$3:$D$3999),IF(WEEKDAY(mar!AB$3,1)=1,"WO","P"))</f>
        <v>P</v>
      </c>
      <c r="AC33" s="4" t="str">
        <f>IFERROR(LOOKUP(2,1/((lentry!$A$3:$A$3999=mar!$A33)*(lentry!$B$3:$B$3999&lt;=mar!AC$3)*(lentry!$C$3:$C$3999&gt;=mar!AC$3)),lentry!$D$3:$D$3999),IF(WEEKDAY(mar!AC$3,1)=1,"WO","P"))</f>
        <v>P</v>
      </c>
      <c r="AD33" s="4" t="str">
        <f>IFERROR(LOOKUP(2,1/((lentry!$A$3:$A$3999=mar!$A33)*(lentry!$B$3:$B$3999&lt;=mar!AD$3)*(lentry!$C$3:$C$3999&gt;=mar!AD$3)),lentry!$D$3:$D$3999),IF(WEEKDAY(mar!AD$3,1)=1,"WO","P"))</f>
        <v>P</v>
      </c>
      <c r="AE33" s="4" t="str">
        <f>IFERROR(LOOKUP(2,1/((lentry!$A$3:$A$3999=mar!$A33)*(lentry!$B$3:$B$3999&lt;=mar!AE$3)*(lentry!$C$3:$C$3999&gt;=mar!AE$3)),lentry!$D$3:$D$3999),IF(WEEKDAY(mar!AE$3,1)=1,"WO","P"))</f>
        <v>P</v>
      </c>
      <c r="AF33" s="4" t="str">
        <f>IFERROR(LOOKUP(2,1/((lentry!$A$3:$A$3999=mar!$A33)*(lentry!$B$3:$B$3999&lt;=mar!AF$3)*(lentry!$C$3:$C$3999&gt;=mar!AF$3)),lentry!$D$3:$D$3999),IF(WEEKDAY(mar!AF$3,1)=1,"WO","P"))</f>
        <v>P</v>
      </c>
      <c r="AG33" s="4" t="str">
        <f>IFERROR(LOOKUP(2,1/((lentry!$A$3:$A$3999=mar!$A33)*(lentry!$B$3:$B$3999&lt;=mar!AG$3)*(lentry!$C$3:$C$3999&gt;=mar!AG$3)),lentry!$D$3:$D$3999),IF(WEEKDAY(mar!AG$3,1)=1,"WO","P"))</f>
        <v>P</v>
      </c>
      <c r="AH33" s="4" t="str">
        <f>IFERROR(LOOKUP(2,1/((lentry!$A$3:$A$3999=mar!$A33)*(lentry!$B$3:$B$3999&lt;=mar!AH$3)*(lentry!$C$3:$C$3999&gt;=mar!AH$3)),lentry!$D$3:$D$3999),IF(WEEKDAY(mar!AH$3,1)=1,"WO","P"))</f>
        <v>WO</v>
      </c>
      <c r="AI33" s="4" t="str">
        <f>IFERROR(LOOKUP(2,1/((lentry!$A$3:$A$3999=mar!$A33)*(lentry!$B$3:$B$3999&lt;=mar!AI$3)*(lentry!$C$3:$C$3999&gt;=mar!AI$3)),lentry!$D$3:$D$3999),IF(WEEKDAY(mar!AI$3,1)=1,"WO","P"))</f>
        <v>P</v>
      </c>
      <c r="AJ33" s="4" t="str">
        <f>IFERROR(LOOKUP(2,1/((lentry!$A$3:$A$3999=mar!$A33)*(lentry!$B$3:$B$3999&lt;=mar!AJ$3)*(lentry!$C$3:$C$3999&gt;=mar!AJ$3)),lentry!$D$3:$D$3999),IF(WEEKDAY(mar!AJ$3,1)=1,"WO","P"))</f>
        <v>P</v>
      </c>
      <c r="AK33" s="4">
        <f>COUNTIF(mar!$F33:$AJ33,"WO")</f>
        <v>5</v>
      </c>
      <c r="AL33" s="4">
        <f>COUNTIF(mar!$F33:$AJ33,"H")</f>
        <v>2</v>
      </c>
      <c r="AM33" s="4">
        <f>COUNTIF(mar!$F33:$AJ33,"pl")</f>
        <v>0</v>
      </c>
      <c r="AN33" s="4">
        <f>COUNTIF(mar!$F33:$AJ33,"LWP")</f>
        <v>0</v>
      </c>
      <c r="AO33" s="4">
        <f>COUNTIF(mar!$F33:$AJ33,"HD")</f>
        <v>0</v>
      </c>
      <c r="AP33" s="4">
        <f>COUNTIF(mar!$F33:$AJ33,"SL")</f>
        <v>0</v>
      </c>
      <c r="AQ33" s="4">
        <f>COUNTIF(mar!$F33:$AJ33,"CL")</f>
        <v>0</v>
      </c>
      <c r="AR33" s="4">
        <f>COUNTIF(mar!$F33:$AJ33,"A")</f>
        <v>0</v>
      </c>
      <c r="AS33" s="4">
        <f>COUNTIF(mar!$F33:$AJ33,"P")</f>
        <v>24</v>
      </c>
      <c r="AT33" s="4">
        <f t="shared" si="2"/>
        <v>31</v>
      </c>
      <c r="AU33" s="4">
        <f t="shared" si="3"/>
        <v>31</v>
      </c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</row>
    <row r="34" spans="1:78" ht="18.75" x14ac:dyDescent="0.3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IFERROR(LOOKUP(2,1/((#REF!=mar!$A34)*(#REF!&lt;=mar!F$3)*(#REF!&gt;=mar!F$3)),#REF!),IF(WEEKDAY(mar!F$3,1)=1,"WO","P"))</f>
        <v>WO</v>
      </c>
      <c r="G34" s="4" t="str">
        <f>IFERROR(LOOKUP(2,1/((lentry!$A$3:$A$3999=mar!$A34)*(lentry!$B$3:$B$3999&lt;=mar!G$3)*(lentry!$C$3:$C$3999&gt;=mar!G$3)),lentry!$D$3:$D$3999),IF(WEEKDAY(mar!G$3,1)=1,"WO","P"))</f>
        <v>P</v>
      </c>
      <c r="H34" s="4" t="str">
        <f>IFERROR(LOOKUP(2,1/((lentry!$A$3:$A$3999=mar!$A34)*(lentry!$B$3:$B$3999&lt;=mar!H$3)*(lentry!$C$3:$C$3999&gt;=mar!H$3)),lentry!$D$3:$D$3999),IF(WEEKDAY(mar!H$3,1)=1,"WO","P"))</f>
        <v>P</v>
      </c>
      <c r="I34" s="4" t="s">
        <v>350</v>
      </c>
      <c r="J34" s="4" t="str">
        <f>IFERROR(LOOKUP(2,1/((lentry!$A$3:$A$3999=mar!$A34)*(lentry!$B$3:$B$3999&lt;=mar!J$3)*(lentry!$C$3:$C$3999&gt;=mar!J$3)),lentry!$D$3:$D$3999),IF(WEEKDAY(mar!J$3,1)=1,"WO","P"))</f>
        <v>P</v>
      </c>
      <c r="K34" s="4" t="str">
        <f>IFERROR(LOOKUP(2,1/((lentry!$A$3:$A$3999=mar!$A34)*(lentry!$B$3:$B$3999&lt;=mar!K$3)*(lentry!$C$3:$C$3999&gt;=mar!K$3)),lentry!$D$3:$D$3999),IF(WEEKDAY(mar!K$3,1)=1,"WO","P"))</f>
        <v>P</v>
      </c>
      <c r="L34" s="4" t="str">
        <f>IFERROR(LOOKUP(2,1/((lentry!$A$3:$A$3999=mar!$A34)*(lentry!$B$3:$B$3999&lt;=mar!L$3)*(lentry!$C$3:$C$3999&gt;=mar!L$3)),lentry!$D$3:$D$3999),IF(WEEKDAY(mar!L$3,1)=1,"WO","P"))</f>
        <v>LWP</v>
      </c>
      <c r="M34" s="4" t="str">
        <f>IFERROR(LOOKUP(2,1/((#REF!=mar!$A34)*(#REF!&lt;=mar!M$3)*(#REF!&gt;=mar!M$3)),#REF!),IF(WEEKDAY(mar!M$3,1)=1,"WO","P"))</f>
        <v>WO</v>
      </c>
      <c r="N34" s="4" t="str">
        <f>IFERROR(LOOKUP(2,1/((lentry!$A$3:$A$3999=mar!$A34)*(lentry!$B$3:$B$3999&lt;=mar!N$3)*(lentry!$C$3:$C$3999&gt;=mar!N$3)),lentry!$D$3:$D$3999),IF(WEEKDAY(mar!N$3,1)=1,"WO","P"))</f>
        <v>P</v>
      </c>
      <c r="O34" s="4" t="str">
        <f>IFERROR(LOOKUP(2,1/((lentry!$A$3:$A$3999=mar!$A34)*(lentry!$B$3:$B$3999&lt;=mar!O$3)*(lentry!$C$3:$C$3999&gt;=mar!O$3)),lentry!$D$3:$D$3999),IF(WEEKDAY(mar!O$3,1)=1,"WO","P"))</f>
        <v>P</v>
      </c>
      <c r="P34" s="4" t="str">
        <f>IFERROR(LOOKUP(2,1/((lentry!$A$3:$A$3999=mar!$A34)*(lentry!$B$3:$B$3999&lt;=mar!P$3)*(lentry!$C$3:$C$3999&gt;=mar!P$3)),lentry!$D$3:$D$3999),IF(WEEKDAY(mar!P$3,1)=1,"WO","P"))</f>
        <v>P</v>
      </c>
      <c r="Q34" s="4" t="str">
        <f>IFERROR(LOOKUP(2,1/((lentry!$A$3:$A$3999=mar!$A34)*(lentry!$B$3:$B$3999&lt;=mar!Q$3)*(lentry!$C$3:$C$3999&gt;=mar!Q$3)),lentry!$D$3:$D$3999),IF(WEEKDAY(mar!Q$3,1)=1,"WO","P"))</f>
        <v>P</v>
      </c>
      <c r="R34" s="4" t="str">
        <f>IFERROR(LOOKUP(2,1/((lentry!$A$3:$A$3999=mar!$A34)*(lentry!$B$3:$B$3999&lt;=mar!R$3)*(lentry!$C$3:$C$3999&gt;=mar!R$3)),lentry!$D$3:$D$3999),IF(WEEKDAY(mar!R$3,1)=1,"WO","P"))</f>
        <v>P</v>
      </c>
      <c r="S34" s="4" t="str">
        <f>IFERROR(LOOKUP(2,1/((lentry!$A$3:$A$3999=mar!$A34)*(lentry!$B$3:$B$3999&lt;=mar!S$3)*(lentry!$C$3:$C$3999&gt;=mar!S$3)),lentry!$D$3:$D$3999),IF(WEEKDAY(mar!S$3,1)=1,"WO","P"))</f>
        <v>P</v>
      </c>
      <c r="T34" s="4" t="str">
        <f>IFERROR(LOOKUP(2,1/((lentry!$A$3:$A$3999=mar!$A34)*(lentry!$B$3:$B$3999&lt;=mar!T$3)*(lentry!$C$3:$C$3999&gt;=mar!T$3)),lentry!$D$3:$D$3999),IF(WEEKDAY(mar!T$3,1)=1,"WO","P"))</f>
        <v>WO</v>
      </c>
      <c r="U34" s="4" t="str">
        <f>IFERROR(LOOKUP(2,1/((lentry!$A$3:$A$3999=mar!$A34)*(lentry!$B$3:$B$3999&lt;=mar!U$3)*(lentry!$C$3:$C$3999&gt;=mar!U$3)),lentry!$D$3:$D$3999),IF(WEEKDAY(mar!U$3,1)=1,"WO","P"))</f>
        <v>P</v>
      </c>
      <c r="V34" s="4" t="str">
        <f>IFERROR(LOOKUP(2,1/((lentry!$A$3:$A$3999=mar!$A34)*(lentry!$B$3:$B$3999&lt;=mar!V$3)*(lentry!$C$3:$C$3999&gt;=mar!V$3)),lentry!$D$3:$D$3999),IF(WEEKDAY(mar!V$3,1)=1,"WO","P"))</f>
        <v>P</v>
      </c>
      <c r="W34" s="4" t="str">
        <f>IFERROR(LOOKUP(2,1/((lentry!$A$3:$A$3999=mar!$A34)*(lentry!$B$3:$B$3999&lt;=mar!W$3)*(lentry!$C$3:$C$3999&gt;=mar!W$3)),lentry!$D$3:$D$3999),IF(WEEKDAY(mar!W$3,1)=1,"WO","P"))</f>
        <v>P</v>
      </c>
      <c r="X34" s="4" t="str">
        <f>IFERROR(LOOKUP(2,1/((lentry!$A$3:$A$3999=mar!$A34)*(lentry!$B$3:$B$3999&lt;=mar!X$3)*(lentry!$C$3:$C$3999&gt;=mar!X$3)),lentry!$D$3:$D$3999),IF(WEEKDAY(mar!X$3,1)=1,"WO","P"))</f>
        <v>P</v>
      </c>
      <c r="Y34" s="4" t="str">
        <f>IFERROR(LOOKUP(2,1/((lentry!$A$3:$A$3999=mar!$A34)*(lentry!$B$3:$B$3999&lt;=mar!Y$3)*(lentry!$C$3:$C$3999&gt;=mar!Y$3)),lentry!$D$3:$D$3999),IF(WEEKDAY(mar!Y$3,1)=1,"WO","P"))</f>
        <v>P</v>
      </c>
      <c r="Z34" s="4" t="s">
        <v>350</v>
      </c>
      <c r="AA34" s="4" t="str">
        <f>IFERROR(LOOKUP(2,1/((lentry!$A$3:$A$3999=mar!$A34)*(lentry!$B$3:$B$3999&lt;=mar!AA$3)*(lentry!$C$3:$C$3999&gt;=mar!AA$3)),lentry!$D$3:$D$3999),IF(WEEKDAY(mar!AA$3,1)=1,"WO","P"))</f>
        <v>WO</v>
      </c>
      <c r="AB34" s="4" t="str">
        <f>IFERROR(LOOKUP(2,1/((lentry!$A$3:$A$3999=mar!$A34)*(lentry!$B$3:$B$3999&lt;=mar!AB$3)*(lentry!$C$3:$C$3999&gt;=mar!AB$3)),lentry!$D$3:$D$3999),IF(WEEKDAY(mar!AB$3,1)=1,"WO","P"))</f>
        <v>P</v>
      </c>
      <c r="AC34" s="4" t="str">
        <f>IFERROR(LOOKUP(2,1/((lentry!$A$3:$A$3999=mar!$A34)*(lentry!$B$3:$B$3999&lt;=mar!AC$3)*(lentry!$C$3:$C$3999&gt;=mar!AC$3)),lentry!$D$3:$D$3999),IF(WEEKDAY(mar!AC$3,1)=1,"WO","P"))</f>
        <v>P</v>
      </c>
      <c r="AD34" s="4" t="str">
        <f>IFERROR(LOOKUP(2,1/((lentry!$A$3:$A$3999=mar!$A34)*(lentry!$B$3:$B$3999&lt;=mar!AD$3)*(lentry!$C$3:$C$3999&gt;=mar!AD$3)),lentry!$D$3:$D$3999),IF(WEEKDAY(mar!AD$3,1)=1,"WO","P"))</f>
        <v>P</v>
      </c>
      <c r="AE34" s="4" t="str">
        <f>IFERROR(LOOKUP(2,1/((lentry!$A$3:$A$3999=mar!$A34)*(lentry!$B$3:$B$3999&lt;=mar!AE$3)*(lentry!$C$3:$C$3999&gt;=mar!AE$3)),lentry!$D$3:$D$3999),IF(WEEKDAY(mar!AE$3,1)=1,"WO","P"))</f>
        <v>P</v>
      </c>
      <c r="AF34" s="4" t="str">
        <f>IFERROR(LOOKUP(2,1/((lentry!$A$3:$A$3999=mar!$A34)*(lentry!$B$3:$B$3999&lt;=mar!AF$3)*(lentry!$C$3:$C$3999&gt;=mar!AF$3)),lentry!$D$3:$D$3999),IF(WEEKDAY(mar!AF$3,1)=1,"WO","P"))</f>
        <v>P</v>
      </c>
      <c r="AG34" s="4" t="str">
        <f>IFERROR(LOOKUP(2,1/((lentry!$A$3:$A$3999=mar!$A34)*(lentry!$B$3:$B$3999&lt;=mar!AG$3)*(lentry!$C$3:$C$3999&gt;=mar!AG$3)),lentry!$D$3:$D$3999),IF(WEEKDAY(mar!AG$3,1)=1,"WO","P"))</f>
        <v>P</v>
      </c>
      <c r="AH34" s="4" t="str">
        <f>IFERROR(LOOKUP(2,1/((lentry!$A$3:$A$3999=mar!$A34)*(lentry!$B$3:$B$3999&lt;=mar!AH$3)*(lentry!$C$3:$C$3999&gt;=mar!AH$3)),lentry!$D$3:$D$3999),IF(WEEKDAY(mar!AH$3,1)=1,"WO","P"))</f>
        <v>WO</v>
      </c>
      <c r="AI34" s="4" t="str">
        <f>IFERROR(LOOKUP(2,1/((lentry!$A$3:$A$3999=mar!$A34)*(lentry!$B$3:$B$3999&lt;=mar!AI$3)*(lentry!$C$3:$C$3999&gt;=mar!AI$3)),lentry!$D$3:$D$3999),IF(WEEKDAY(mar!AI$3,1)=1,"WO","P"))</f>
        <v>P</v>
      </c>
      <c r="AJ34" s="4" t="str">
        <f>IFERROR(LOOKUP(2,1/((lentry!$A$3:$A$3999=mar!$A34)*(lentry!$B$3:$B$3999&lt;=mar!AJ$3)*(lentry!$C$3:$C$3999&gt;=mar!AJ$3)),lentry!$D$3:$D$3999),IF(WEEKDAY(mar!AJ$3,1)=1,"WO","P"))</f>
        <v>P</v>
      </c>
      <c r="AK34" s="4">
        <f>COUNTIF(mar!$F34:$AJ34,"WO")</f>
        <v>5</v>
      </c>
      <c r="AL34" s="4">
        <f>COUNTIF(mar!$F34:$AJ34,"H")</f>
        <v>2</v>
      </c>
      <c r="AM34" s="4">
        <f>COUNTIF(mar!$F34:$AJ34,"pl")</f>
        <v>0</v>
      </c>
      <c r="AN34" s="4">
        <f>COUNTIF(mar!$F34:$AJ34,"LWP")</f>
        <v>1</v>
      </c>
      <c r="AO34" s="4">
        <f>COUNTIF(mar!$F34:$AJ34,"HD")</f>
        <v>0</v>
      </c>
      <c r="AP34" s="4">
        <f>COUNTIF(mar!$F34:$AJ34,"SL")</f>
        <v>0</v>
      </c>
      <c r="AQ34" s="4">
        <f>COUNTIF(mar!$F34:$AJ34,"CL")</f>
        <v>0</v>
      </c>
      <c r="AR34" s="4">
        <f>COUNTIF(mar!$F34:$AJ34,"A")</f>
        <v>0</v>
      </c>
      <c r="AS34" s="4">
        <f>COUNTIF(mar!$F34:$AJ34,"P")</f>
        <v>23</v>
      </c>
      <c r="AT34" s="4">
        <f t="shared" si="2"/>
        <v>31</v>
      </c>
      <c r="AU34" s="4">
        <f t="shared" si="3"/>
        <v>30</v>
      </c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</row>
    <row r="35" spans="1:78" ht="18.75" x14ac:dyDescent="0.3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IFERROR(LOOKUP(2,1/((#REF!=mar!$A35)*(#REF!&lt;=mar!F$3)*(#REF!&gt;=mar!F$3)),#REF!),IF(WEEKDAY(mar!F$3,1)=1,"WO","P"))</f>
        <v>WO</v>
      </c>
      <c r="G35" s="4" t="str">
        <f>IFERROR(LOOKUP(2,1/((lentry!$A$3:$A$3999=mar!$A35)*(lentry!$B$3:$B$3999&lt;=mar!G$3)*(lentry!$C$3:$C$3999&gt;=mar!G$3)),lentry!$D$3:$D$3999),IF(WEEKDAY(mar!G$3,1)=1,"WO","P"))</f>
        <v>P</v>
      </c>
      <c r="H35" s="4" t="str">
        <f>IFERROR(LOOKUP(2,1/((lentry!$A$3:$A$3999=mar!$A35)*(lentry!$B$3:$B$3999&lt;=mar!H$3)*(lentry!$C$3:$C$3999&gt;=mar!H$3)),lentry!$D$3:$D$3999),IF(WEEKDAY(mar!H$3,1)=1,"WO","P"))</f>
        <v>P</v>
      </c>
      <c r="I35" s="4" t="s">
        <v>350</v>
      </c>
      <c r="J35" s="4" t="str">
        <f>IFERROR(LOOKUP(2,1/((lentry!$A$3:$A$3999=mar!$A35)*(lentry!$B$3:$B$3999&lt;=mar!J$3)*(lentry!$C$3:$C$3999&gt;=mar!J$3)),lentry!$D$3:$D$3999),IF(WEEKDAY(mar!J$3,1)=1,"WO","P"))</f>
        <v>P</v>
      </c>
      <c r="K35" s="4" t="str">
        <f>IFERROR(LOOKUP(2,1/((lentry!$A$3:$A$3999=mar!$A35)*(lentry!$B$3:$B$3999&lt;=mar!K$3)*(lentry!$C$3:$C$3999&gt;=mar!K$3)),lentry!$D$3:$D$3999),IF(WEEKDAY(mar!K$3,1)=1,"WO","P"))</f>
        <v>P</v>
      </c>
      <c r="L35" s="4" t="str">
        <f>IFERROR(LOOKUP(2,1/((lentry!$A$3:$A$3999=mar!$A35)*(lentry!$B$3:$B$3999&lt;=mar!L$3)*(lentry!$C$3:$C$3999&gt;=mar!L$3)),lentry!$D$3:$D$3999),IF(WEEKDAY(mar!L$3,1)=1,"WO","P"))</f>
        <v>P</v>
      </c>
      <c r="M35" s="4" t="str">
        <f>IFERROR(LOOKUP(2,1/((#REF!=mar!$A35)*(#REF!&lt;=mar!M$3)*(#REF!&gt;=mar!M$3)),#REF!),IF(WEEKDAY(mar!M$3,1)=1,"WO","P"))</f>
        <v>WO</v>
      </c>
      <c r="N35" s="4" t="str">
        <f>IFERROR(LOOKUP(2,1/((lentry!$A$3:$A$3999=mar!$A35)*(lentry!$B$3:$B$3999&lt;=mar!N$3)*(lentry!$C$3:$C$3999&gt;=mar!N$3)),lentry!$D$3:$D$3999),IF(WEEKDAY(mar!N$3,1)=1,"WO","P"))</f>
        <v>P</v>
      </c>
      <c r="O35" s="4" t="str">
        <f>IFERROR(LOOKUP(2,1/((lentry!$A$3:$A$3999=mar!$A35)*(lentry!$B$3:$B$3999&lt;=mar!O$3)*(lentry!$C$3:$C$3999&gt;=mar!O$3)),lentry!$D$3:$D$3999),IF(WEEKDAY(mar!O$3,1)=1,"WO","P"))</f>
        <v>P</v>
      </c>
      <c r="P35" s="4" t="str">
        <f>IFERROR(LOOKUP(2,1/((lentry!$A$3:$A$3999=mar!$A35)*(lentry!$B$3:$B$3999&lt;=mar!P$3)*(lentry!$C$3:$C$3999&gt;=mar!P$3)),lentry!$D$3:$D$3999),IF(WEEKDAY(mar!P$3,1)=1,"WO","P"))</f>
        <v>P</v>
      </c>
      <c r="Q35" s="4" t="str">
        <f>IFERROR(LOOKUP(2,1/((lentry!$A$3:$A$3999=mar!$A35)*(lentry!$B$3:$B$3999&lt;=mar!Q$3)*(lentry!$C$3:$C$3999&gt;=mar!Q$3)),lentry!$D$3:$D$3999),IF(WEEKDAY(mar!Q$3,1)=1,"WO","P"))</f>
        <v>P</v>
      </c>
      <c r="R35" s="4" t="str">
        <f>IFERROR(LOOKUP(2,1/((lentry!$A$3:$A$3999=mar!$A35)*(lentry!$B$3:$B$3999&lt;=mar!R$3)*(lentry!$C$3:$C$3999&gt;=mar!R$3)),lentry!$D$3:$D$3999),IF(WEEKDAY(mar!R$3,1)=1,"WO","P"))</f>
        <v>P</v>
      </c>
      <c r="S35" s="4" t="str">
        <f>IFERROR(LOOKUP(2,1/((lentry!$A$3:$A$3999=mar!$A35)*(lentry!$B$3:$B$3999&lt;=mar!S$3)*(lentry!$C$3:$C$3999&gt;=mar!S$3)),lentry!$D$3:$D$3999),IF(WEEKDAY(mar!S$3,1)=1,"WO","P"))</f>
        <v>P</v>
      </c>
      <c r="T35" s="4" t="str">
        <f>IFERROR(LOOKUP(2,1/((lentry!$A$3:$A$3999=mar!$A35)*(lentry!$B$3:$B$3999&lt;=mar!T$3)*(lentry!$C$3:$C$3999&gt;=mar!T$3)),lentry!$D$3:$D$3999),IF(WEEKDAY(mar!T$3,1)=1,"WO","P"))</f>
        <v>WO</v>
      </c>
      <c r="U35" s="4" t="str">
        <f>IFERROR(LOOKUP(2,1/((lentry!$A$3:$A$3999=mar!$A35)*(lentry!$B$3:$B$3999&lt;=mar!U$3)*(lentry!$C$3:$C$3999&gt;=mar!U$3)),lentry!$D$3:$D$3999),IF(WEEKDAY(mar!U$3,1)=1,"WO","P"))</f>
        <v>P</v>
      </c>
      <c r="V35" s="4" t="str">
        <f>IFERROR(LOOKUP(2,1/((lentry!$A$3:$A$3999=mar!$A35)*(lentry!$B$3:$B$3999&lt;=mar!V$3)*(lentry!$C$3:$C$3999&gt;=mar!V$3)),lentry!$D$3:$D$3999),IF(WEEKDAY(mar!V$3,1)=1,"WO","P"))</f>
        <v>P</v>
      </c>
      <c r="W35" s="4" t="str">
        <f>IFERROR(LOOKUP(2,1/((lentry!$A$3:$A$3999=mar!$A35)*(lentry!$B$3:$B$3999&lt;=mar!W$3)*(lentry!$C$3:$C$3999&gt;=mar!W$3)),lentry!$D$3:$D$3999),IF(WEEKDAY(mar!W$3,1)=1,"WO","P"))</f>
        <v>P</v>
      </c>
      <c r="X35" s="4" t="str">
        <f>IFERROR(LOOKUP(2,1/((lentry!$A$3:$A$3999=mar!$A35)*(lentry!$B$3:$B$3999&lt;=mar!X$3)*(lentry!$C$3:$C$3999&gt;=mar!X$3)),lentry!$D$3:$D$3999),IF(WEEKDAY(mar!X$3,1)=1,"WO","P"))</f>
        <v>P</v>
      </c>
      <c r="Y35" s="4" t="str">
        <f>IFERROR(LOOKUP(2,1/((lentry!$A$3:$A$3999=mar!$A35)*(lentry!$B$3:$B$3999&lt;=mar!Y$3)*(lentry!$C$3:$C$3999&gt;=mar!Y$3)),lentry!$D$3:$D$3999),IF(WEEKDAY(mar!Y$3,1)=1,"WO","P"))</f>
        <v>P</v>
      </c>
      <c r="Z35" s="4" t="s">
        <v>350</v>
      </c>
      <c r="AA35" s="4" t="str">
        <f>IFERROR(LOOKUP(2,1/((lentry!$A$3:$A$3999=mar!$A35)*(lentry!$B$3:$B$3999&lt;=mar!AA$3)*(lentry!$C$3:$C$3999&gt;=mar!AA$3)),lentry!$D$3:$D$3999),IF(WEEKDAY(mar!AA$3,1)=1,"WO","P"))</f>
        <v>WO</v>
      </c>
      <c r="AB35" s="4" t="str">
        <f>IFERROR(LOOKUP(2,1/((lentry!$A$3:$A$3999=mar!$A35)*(lentry!$B$3:$B$3999&lt;=mar!AB$3)*(lentry!$C$3:$C$3999&gt;=mar!AB$3)),lentry!$D$3:$D$3999),IF(WEEKDAY(mar!AB$3,1)=1,"WO","P"))</f>
        <v>P</v>
      </c>
      <c r="AC35" s="4" t="str">
        <f>IFERROR(LOOKUP(2,1/((lentry!$A$3:$A$3999=mar!$A35)*(lentry!$B$3:$B$3999&lt;=mar!AC$3)*(lentry!$C$3:$C$3999&gt;=mar!AC$3)),lentry!$D$3:$D$3999),IF(WEEKDAY(mar!AC$3,1)=1,"WO","P"))</f>
        <v>P</v>
      </c>
      <c r="AD35" s="4" t="str">
        <f>IFERROR(LOOKUP(2,1/((lentry!$A$3:$A$3999=mar!$A35)*(lentry!$B$3:$B$3999&lt;=mar!AD$3)*(lentry!$C$3:$C$3999&gt;=mar!AD$3)),lentry!$D$3:$D$3999),IF(WEEKDAY(mar!AD$3,1)=1,"WO","P"))</f>
        <v>P</v>
      </c>
      <c r="AE35" s="4" t="str">
        <f>IFERROR(LOOKUP(2,1/((lentry!$A$3:$A$3999=mar!$A35)*(lentry!$B$3:$B$3999&lt;=mar!AE$3)*(lentry!$C$3:$C$3999&gt;=mar!AE$3)),lentry!$D$3:$D$3999),IF(WEEKDAY(mar!AE$3,1)=1,"WO","P"))</f>
        <v>P</v>
      </c>
      <c r="AF35" s="4" t="str">
        <f>IFERROR(LOOKUP(2,1/((lentry!$A$3:$A$3999=mar!$A35)*(lentry!$B$3:$B$3999&lt;=mar!AF$3)*(lentry!$C$3:$C$3999&gt;=mar!AF$3)),lentry!$D$3:$D$3999),IF(WEEKDAY(mar!AF$3,1)=1,"WO","P"))</f>
        <v>P</v>
      </c>
      <c r="AG35" s="4" t="str">
        <f>IFERROR(LOOKUP(2,1/((lentry!$A$3:$A$3999=mar!$A35)*(lentry!$B$3:$B$3999&lt;=mar!AG$3)*(lentry!$C$3:$C$3999&gt;=mar!AG$3)),lentry!$D$3:$D$3999),IF(WEEKDAY(mar!AG$3,1)=1,"WO","P"))</f>
        <v>P</v>
      </c>
      <c r="AH35" s="4" t="str">
        <f>IFERROR(LOOKUP(2,1/((lentry!$A$3:$A$3999=mar!$A35)*(lentry!$B$3:$B$3999&lt;=mar!AH$3)*(lentry!$C$3:$C$3999&gt;=mar!AH$3)),lentry!$D$3:$D$3999),IF(WEEKDAY(mar!AH$3,1)=1,"WO","P"))</f>
        <v>WO</v>
      </c>
      <c r="AI35" s="4" t="str">
        <f>IFERROR(LOOKUP(2,1/((lentry!$A$3:$A$3999=mar!$A35)*(lentry!$B$3:$B$3999&lt;=mar!AI$3)*(lentry!$C$3:$C$3999&gt;=mar!AI$3)),lentry!$D$3:$D$3999),IF(WEEKDAY(mar!AI$3,1)=1,"WO","P"))</f>
        <v>P</v>
      </c>
      <c r="AJ35" s="4" t="str">
        <f>IFERROR(LOOKUP(2,1/((lentry!$A$3:$A$3999=mar!$A35)*(lentry!$B$3:$B$3999&lt;=mar!AJ$3)*(lentry!$C$3:$C$3999&gt;=mar!AJ$3)),lentry!$D$3:$D$3999),IF(WEEKDAY(mar!AJ$3,1)=1,"WO","P"))</f>
        <v>P</v>
      </c>
      <c r="AK35" s="4">
        <f>COUNTIF(mar!$F35:$AJ35,"WO")</f>
        <v>5</v>
      </c>
      <c r="AL35" s="4">
        <f>COUNTIF(mar!$F35:$AJ35,"H")</f>
        <v>2</v>
      </c>
      <c r="AM35" s="4">
        <f>COUNTIF(mar!$F35:$AJ35,"pl")</f>
        <v>0</v>
      </c>
      <c r="AN35" s="4">
        <f>COUNTIF(mar!$F35:$AJ35,"LWP")</f>
        <v>0</v>
      </c>
      <c r="AO35" s="4">
        <f>COUNTIF(mar!$F35:$AJ35,"HD")</f>
        <v>0</v>
      </c>
      <c r="AP35" s="4">
        <f>COUNTIF(mar!$F35:$AJ35,"SL")</f>
        <v>0</v>
      </c>
      <c r="AQ35" s="4">
        <f>COUNTIF(mar!$F35:$AJ35,"CL")</f>
        <v>0</v>
      </c>
      <c r="AR35" s="4">
        <f>COUNTIF(mar!$F35:$AJ35,"A")</f>
        <v>0</v>
      </c>
      <c r="AS35" s="4">
        <f>COUNTIF(mar!$F35:$AJ35,"P")</f>
        <v>24</v>
      </c>
      <c r="AT35" s="4">
        <f t="shared" si="2"/>
        <v>31</v>
      </c>
      <c r="AU35" s="4">
        <f t="shared" si="3"/>
        <v>31</v>
      </c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</row>
    <row r="36" spans="1:78" ht="18.75" x14ac:dyDescent="0.3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IFERROR(LOOKUP(2,1/((#REF!=mar!$A36)*(#REF!&lt;=mar!F$3)*(#REF!&gt;=mar!F$3)),#REF!),IF(WEEKDAY(mar!F$3,1)=1,"WO","P"))</f>
        <v>WO</v>
      </c>
      <c r="G36" s="4" t="str">
        <f>IFERROR(LOOKUP(2,1/((lentry!$A$3:$A$3999=mar!$A36)*(lentry!$B$3:$B$3999&lt;=mar!G$3)*(lentry!$C$3:$C$3999&gt;=mar!G$3)),lentry!$D$3:$D$3999),IF(WEEKDAY(mar!G$3,1)=1,"WO","P"))</f>
        <v>P</v>
      </c>
      <c r="H36" s="4" t="str">
        <f>IFERROR(LOOKUP(2,1/((lentry!$A$3:$A$3999=mar!$A36)*(lentry!$B$3:$B$3999&lt;=mar!H$3)*(lentry!$C$3:$C$3999&gt;=mar!H$3)),lentry!$D$3:$D$3999),IF(WEEKDAY(mar!H$3,1)=1,"WO","P"))</f>
        <v>P</v>
      </c>
      <c r="I36" s="4" t="s">
        <v>350</v>
      </c>
      <c r="J36" s="4" t="str">
        <f>IFERROR(LOOKUP(2,1/((lentry!$A$3:$A$3999=mar!$A36)*(lentry!$B$3:$B$3999&lt;=mar!J$3)*(lentry!$C$3:$C$3999&gt;=mar!J$3)),lentry!$D$3:$D$3999),IF(WEEKDAY(mar!J$3,1)=1,"WO","P"))</f>
        <v>P</v>
      </c>
      <c r="K36" s="4" t="str">
        <f>IFERROR(LOOKUP(2,1/((lentry!$A$3:$A$3999=mar!$A36)*(lentry!$B$3:$B$3999&lt;=mar!K$3)*(lentry!$C$3:$C$3999&gt;=mar!K$3)),lentry!$D$3:$D$3999),IF(WEEKDAY(mar!K$3,1)=1,"WO","P"))</f>
        <v>P</v>
      </c>
      <c r="L36" s="4" t="str">
        <f>IFERROR(LOOKUP(2,1/((lentry!$A$3:$A$3999=mar!$A36)*(lentry!$B$3:$B$3999&lt;=mar!L$3)*(lentry!$C$3:$C$3999&gt;=mar!L$3)),lentry!$D$3:$D$3999),IF(WEEKDAY(mar!L$3,1)=1,"WO","P"))</f>
        <v>P</v>
      </c>
      <c r="M36" s="4" t="str">
        <f>IFERROR(LOOKUP(2,1/((#REF!=mar!$A36)*(#REF!&lt;=mar!M$3)*(#REF!&gt;=mar!M$3)),#REF!),IF(WEEKDAY(mar!M$3,1)=1,"WO","P"))</f>
        <v>WO</v>
      </c>
      <c r="N36" s="4" t="str">
        <f>IFERROR(LOOKUP(2,1/((lentry!$A$3:$A$3999=mar!$A36)*(lentry!$B$3:$B$3999&lt;=mar!N$3)*(lentry!$C$3:$C$3999&gt;=mar!N$3)),lentry!$D$3:$D$3999),IF(WEEKDAY(mar!N$3,1)=1,"WO","P"))</f>
        <v>P</v>
      </c>
      <c r="O36" s="4" t="str">
        <f>IFERROR(LOOKUP(2,1/((lentry!$A$3:$A$3999=mar!$A36)*(lentry!$B$3:$B$3999&lt;=mar!O$3)*(lentry!$C$3:$C$3999&gt;=mar!O$3)),lentry!$D$3:$D$3999),IF(WEEKDAY(mar!O$3,1)=1,"WO","P"))</f>
        <v>P</v>
      </c>
      <c r="P36" s="4" t="str">
        <f>IFERROR(LOOKUP(2,1/((lentry!$A$3:$A$3999=mar!$A36)*(lentry!$B$3:$B$3999&lt;=mar!P$3)*(lentry!$C$3:$C$3999&gt;=mar!P$3)),lentry!$D$3:$D$3999),IF(WEEKDAY(mar!P$3,1)=1,"WO","P"))</f>
        <v>P</v>
      </c>
      <c r="Q36" s="4" t="str">
        <f>IFERROR(LOOKUP(2,1/((lentry!$A$3:$A$3999=mar!$A36)*(lentry!$B$3:$B$3999&lt;=mar!Q$3)*(lentry!$C$3:$C$3999&gt;=mar!Q$3)),lentry!$D$3:$D$3999),IF(WEEKDAY(mar!Q$3,1)=1,"WO","P"))</f>
        <v>P</v>
      </c>
      <c r="R36" s="4" t="str">
        <f>IFERROR(LOOKUP(2,1/((lentry!$A$3:$A$3999=mar!$A36)*(lentry!$B$3:$B$3999&lt;=mar!R$3)*(lentry!$C$3:$C$3999&gt;=mar!R$3)),lentry!$D$3:$D$3999),IF(WEEKDAY(mar!R$3,1)=1,"WO","P"))</f>
        <v>P</v>
      </c>
      <c r="S36" s="4" t="str">
        <f>IFERROR(LOOKUP(2,1/((lentry!$A$3:$A$3999=mar!$A36)*(lentry!$B$3:$B$3999&lt;=mar!S$3)*(lentry!$C$3:$C$3999&gt;=mar!S$3)),lentry!$D$3:$D$3999),IF(WEEKDAY(mar!S$3,1)=1,"WO","P"))</f>
        <v>P</v>
      </c>
      <c r="T36" s="4" t="str">
        <f>IFERROR(LOOKUP(2,1/((lentry!$A$3:$A$3999=mar!$A36)*(lentry!$B$3:$B$3999&lt;=mar!T$3)*(lentry!$C$3:$C$3999&gt;=mar!T$3)),lentry!$D$3:$D$3999),IF(WEEKDAY(mar!T$3,1)=1,"WO","P"))</f>
        <v>WO</v>
      </c>
      <c r="U36" s="4" t="str">
        <f>IFERROR(LOOKUP(2,1/((lentry!$A$3:$A$3999=mar!$A36)*(lentry!$B$3:$B$3999&lt;=mar!U$3)*(lentry!$C$3:$C$3999&gt;=mar!U$3)),lentry!$D$3:$D$3999),IF(WEEKDAY(mar!U$3,1)=1,"WO","P"))</f>
        <v>P</v>
      </c>
      <c r="V36" s="4" t="str">
        <f>IFERROR(LOOKUP(2,1/((lentry!$A$3:$A$3999=mar!$A36)*(lentry!$B$3:$B$3999&lt;=mar!V$3)*(lentry!$C$3:$C$3999&gt;=mar!V$3)),lentry!$D$3:$D$3999),IF(WEEKDAY(mar!V$3,1)=1,"WO","P"))</f>
        <v>P</v>
      </c>
      <c r="W36" s="4" t="str">
        <f>IFERROR(LOOKUP(2,1/((lentry!$A$3:$A$3999=mar!$A36)*(lentry!$B$3:$B$3999&lt;=mar!W$3)*(lentry!$C$3:$C$3999&gt;=mar!W$3)),lentry!$D$3:$D$3999),IF(WEEKDAY(mar!W$3,1)=1,"WO","P"))</f>
        <v>P</v>
      </c>
      <c r="X36" s="4" t="str">
        <f>IFERROR(LOOKUP(2,1/((lentry!$A$3:$A$3999=mar!$A36)*(lentry!$B$3:$B$3999&lt;=mar!X$3)*(lentry!$C$3:$C$3999&gt;=mar!X$3)),lentry!$D$3:$D$3999),IF(WEEKDAY(mar!X$3,1)=1,"WO","P"))</f>
        <v>P</v>
      </c>
      <c r="Y36" s="4" t="str">
        <f>IFERROR(LOOKUP(2,1/((lentry!$A$3:$A$3999=mar!$A36)*(lentry!$B$3:$B$3999&lt;=mar!Y$3)*(lentry!$C$3:$C$3999&gt;=mar!Y$3)),lentry!$D$3:$D$3999),IF(WEEKDAY(mar!Y$3,1)=1,"WO","P"))</f>
        <v>P</v>
      </c>
      <c r="Z36" s="4" t="s">
        <v>350</v>
      </c>
      <c r="AA36" s="4" t="str">
        <f>IFERROR(LOOKUP(2,1/((lentry!$A$3:$A$3999=mar!$A36)*(lentry!$B$3:$B$3999&lt;=mar!AA$3)*(lentry!$C$3:$C$3999&gt;=mar!AA$3)),lentry!$D$3:$D$3999),IF(WEEKDAY(mar!AA$3,1)=1,"WO","P"))</f>
        <v>WO</v>
      </c>
      <c r="AB36" s="4" t="str">
        <f>IFERROR(LOOKUP(2,1/((lentry!$A$3:$A$3999=mar!$A36)*(lentry!$B$3:$B$3999&lt;=mar!AB$3)*(lentry!$C$3:$C$3999&gt;=mar!AB$3)),lentry!$D$3:$D$3999),IF(WEEKDAY(mar!AB$3,1)=1,"WO","P"))</f>
        <v>P</v>
      </c>
      <c r="AC36" s="4" t="str">
        <f>IFERROR(LOOKUP(2,1/((lentry!$A$3:$A$3999=mar!$A36)*(lentry!$B$3:$B$3999&lt;=mar!AC$3)*(lentry!$C$3:$C$3999&gt;=mar!AC$3)),lentry!$D$3:$D$3999),IF(WEEKDAY(mar!AC$3,1)=1,"WO","P"))</f>
        <v>P</v>
      </c>
      <c r="AD36" s="4" t="str">
        <f>IFERROR(LOOKUP(2,1/((lentry!$A$3:$A$3999=mar!$A36)*(lentry!$B$3:$B$3999&lt;=mar!AD$3)*(lentry!$C$3:$C$3999&gt;=mar!AD$3)),lentry!$D$3:$D$3999),IF(WEEKDAY(mar!AD$3,1)=1,"WO","P"))</f>
        <v>P</v>
      </c>
      <c r="AE36" s="4" t="str">
        <f>IFERROR(LOOKUP(2,1/((lentry!$A$3:$A$3999=mar!$A36)*(lentry!$B$3:$B$3999&lt;=mar!AE$3)*(lentry!$C$3:$C$3999&gt;=mar!AE$3)),lentry!$D$3:$D$3999),IF(WEEKDAY(mar!AE$3,1)=1,"WO","P"))</f>
        <v>P</v>
      </c>
      <c r="AF36" s="4" t="str">
        <f>IFERROR(LOOKUP(2,1/((lentry!$A$3:$A$3999=mar!$A36)*(lentry!$B$3:$B$3999&lt;=mar!AF$3)*(lentry!$C$3:$C$3999&gt;=mar!AF$3)),lentry!$D$3:$D$3999),IF(WEEKDAY(mar!AF$3,1)=1,"WO","P"))</f>
        <v>P</v>
      </c>
      <c r="AG36" s="4" t="str">
        <f>IFERROR(LOOKUP(2,1/((lentry!$A$3:$A$3999=mar!$A36)*(lentry!$B$3:$B$3999&lt;=mar!AG$3)*(lentry!$C$3:$C$3999&gt;=mar!AG$3)),lentry!$D$3:$D$3999),IF(WEEKDAY(mar!AG$3,1)=1,"WO","P"))</f>
        <v>P</v>
      </c>
      <c r="AH36" s="4" t="str">
        <f>IFERROR(LOOKUP(2,1/((lentry!$A$3:$A$3999=mar!$A36)*(lentry!$B$3:$B$3999&lt;=mar!AH$3)*(lentry!$C$3:$C$3999&gt;=mar!AH$3)),lentry!$D$3:$D$3999),IF(WEEKDAY(mar!AH$3,1)=1,"WO","P"))</f>
        <v>WO</v>
      </c>
      <c r="AI36" s="4" t="str">
        <f>IFERROR(LOOKUP(2,1/((lentry!$A$3:$A$3999=mar!$A36)*(lentry!$B$3:$B$3999&lt;=mar!AI$3)*(lentry!$C$3:$C$3999&gt;=mar!AI$3)),lentry!$D$3:$D$3999),IF(WEEKDAY(mar!AI$3,1)=1,"WO","P"))</f>
        <v>P</v>
      </c>
      <c r="AJ36" s="4" t="str">
        <f>IFERROR(LOOKUP(2,1/((lentry!$A$3:$A$3999=mar!$A36)*(lentry!$B$3:$B$3999&lt;=mar!AJ$3)*(lentry!$C$3:$C$3999&gt;=mar!AJ$3)),lentry!$D$3:$D$3999),IF(WEEKDAY(mar!AJ$3,1)=1,"WO","P"))</f>
        <v>P</v>
      </c>
      <c r="AK36" s="4">
        <f>COUNTIF(mar!$F36:$AJ36,"WO")</f>
        <v>5</v>
      </c>
      <c r="AL36" s="4">
        <f>COUNTIF(mar!$F36:$AJ36,"H")</f>
        <v>2</v>
      </c>
      <c r="AM36" s="4">
        <f>COUNTIF(mar!$F36:$AJ36,"pl")</f>
        <v>0</v>
      </c>
      <c r="AN36" s="4">
        <f>COUNTIF(mar!$F36:$AJ36,"LWP")</f>
        <v>0</v>
      </c>
      <c r="AO36" s="4">
        <f>COUNTIF(mar!$F36:$AJ36,"HD")</f>
        <v>0</v>
      </c>
      <c r="AP36" s="4">
        <f>COUNTIF(mar!$F36:$AJ36,"SL")</f>
        <v>0</v>
      </c>
      <c r="AQ36" s="4">
        <f>COUNTIF(mar!$F36:$AJ36,"CL")</f>
        <v>0</v>
      </c>
      <c r="AR36" s="4">
        <f>COUNTIF(mar!$F36:$AJ36,"A")</f>
        <v>0</v>
      </c>
      <c r="AS36" s="4">
        <f>COUNTIF(mar!$F36:$AJ36,"P")</f>
        <v>24</v>
      </c>
      <c r="AT36" s="4">
        <f t="shared" si="2"/>
        <v>31</v>
      </c>
      <c r="AU36" s="4">
        <f t="shared" si="3"/>
        <v>31</v>
      </c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</row>
    <row r="37" spans="1:78" ht="18.75" x14ac:dyDescent="0.3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IFERROR(LOOKUP(2,1/((#REF!=mar!$A37)*(#REF!&lt;=mar!F$3)*(#REF!&gt;=mar!F$3)),#REF!),IF(WEEKDAY(mar!F$3,1)=1,"WO","P"))</f>
        <v>WO</v>
      </c>
      <c r="G37" s="4" t="str">
        <f>IFERROR(LOOKUP(2,1/((lentry!$A$3:$A$3999=mar!$A37)*(lentry!$B$3:$B$3999&lt;=mar!G$3)*(lentry!$C$3:$C$3999&gt;=mar!G$3)),lentry!$D$3:$D$3999),IF(WEEKDAY(mar!G$3,1)=1,"WO","P"))</f>
        <v>P</v>
      </c>
      <c r="H37" s="4" t="str">
        <f>IFERROR(LOOKUP(2,1/((lentry!$A$3:$A$3999=mar!$A37)*(lentry!$B$3:$B$3999&lt;=mar!H$3)*(lentry!$C$3:$C$3999&gt;=mar!H$3)),lentry!$D$3:$D$3999),IF(WEEKDAY(mar!H$3,1)=1,"WO","P"))</f>
        <v>P</v>
      </c>
      <c r="I37" s="4" t="s">
        <v>350</v>
      </c>
      <c r="J37" s="4" t="str">
        <f>IFERROR(LOOKUP(2,1/((lentry!$A$3:$A$3999=mar!$A37)*(lentry!$B$3:$B$3999&lt;=mar!J$3)*(lentry!$C$3:$C$3999&gt;=mar!J$3)),lentry!$D$3:$D$3999),IF(WEEKDAY(mar!J$3,1)=1,"WO","P"))</f>
        <v>P</v>
      </c>
      <c r="K37" s="4" t="str">
        <f>IFERROR(LOOKUP(2,1/((lentry!$A$3:$A$3999=mar!$A37)*(lentry!$B$3:$B$3999&lt;=mar!K$3)*(lentry!$C$3:$C$3999&gt;=mar!K$3)),lentry!$D$3:$D$3999),IF(WEEKDAY(mar!K$3,1)=1,"WO","P"))</f>
        <v>P</v>
      </c>
      <c r="L37" s="4" t="str">
        <f>IFERROR(LOOKUP(2,1/((lentry!$A$3:$A$3999=mar!$A37)*(lentry!$B$3:$B$3999&lt;=mar!L$3)*(lentry!$C$3:$C$3999&gt;=mar!L$3)),lentry!$D$3:$D$3999),IF(WEEKDAY(mar!L$3,1)=1,"WO","P"))</f>
        <v>P</v>
      </c>
      <c r="M37" s="4" t="str">
        <f>IFERROR(LOOKUP(2,1/((#REF!=mar!$A37)*(#REF!&lt;=mar!M$3)*(#REF!&gt;=mar!M$3)),#REF!),IF(WEEKDAY(mar!M$3,1)=1,"WO","P"))</f>
        <v>WO</v>
      </c>
      <c r="N37" s="4" t="str">
        <f>IFERROR(LOOKUP(2,1/((lentry!$A$3:$A$3999=mar!$A37)*(lentry!$B$3:$B$3999&lt;=mar!N$3)*(lentry!$C$3:$C$3999&gt;=mar!N$3)),lentry!$D$3:$D$3999),IF(WEEKDAY(mar!N$3,1)=1,"WO","P"))</f>
        <v>P</v>
      </c>
      <c r="O37" s="4" t="str">
        <f>IFERROR(LOOKUP(2,1/((lentry!$A$3:$A$3999=mar!$A37)*(lentry!$B$3:$B$3999&lt;=mar!O$3)*(lentry!$C$3:$C$3999&gt;=mar!O$3)),lentry!$D$3:$D$3999),IF(WEEKDAY(mar!O$3,1)=1,"WO","P"))</f>
        <v>P</v>
      </c>
      <c r="P37" s="4" t="s">
        <v>539</v>
      </c>
      <c r="Q37" s="4" t="str">
        <f>IFERROR(LOOKUP(2,1/((lentry!$A$3:$A$3999=mar!$A37)*(lentry!$B$3:$B$3999&lt;=mar!Q$3)*(lentry!$C$3:$C$3999&gt;=mar!Q$3)),lentry!$D$3:$D$3999),IF(WEEKDAY(mar!Q$3,1)=1,"WO","P"))</f>
        <v>P</v>
      </c>
      <c r="R37" s="4" t="str">
        <f>IFERROR(LOOKUP(2,1/((lentry!$A$3:$A$3999=mar!$A37)*(lentry!$B$3:$B$3999&lt;=mar!R$3)*(lentry!$C$3:$C$3999&gt;=mar!R$3)),lentry!$D$3:$D$3999),IF(WEEKDAY(mar!R$3,1)=1,"WO","P"))</f>
        <v>P</v>
      </c>
      <c r="S37" s="4" t="str">
        <f>IFERROR(LOOKUP(2,1/((lentry!$A$3:$A$3999=mar!$A37)*(lentry!$B$3:$B$3999&lt;=mar!S$3)*(lentry!$C$3:$C$3999&gt;=mar!S$3)),lentry!$D$3:$D$3999),IF(WEEKDAY(mar!S$3,1)=1,"WO","P"))</f>
        <v>P</v>
      </c>
      <c r="T37" s="4" t="str">
        <f>IFERROR(LOOKUP(2,1/((lentry!$A$3:$A$3999=mar!$A37)*(lentry!$B$3:$B$3999&lt;=mar!T$3)*(lentry!$C$3:$C$3999&gt;=mar!T$3)),lentry!$D$3:$D$3999),IF(WEEKDAY(mar!T$3,1)=1,"WO","P"))</f>
        <v>WO</v>
      </c>
      <c r="U37" s="4" t="str">
        <f>IFERROR(LOOKUP(2,1/((lentry!$A$3:$A$3999=mar!$A37)*(lentry!$B$3:$B$3999&lt;=mar!U$3)*(lentry!$C$3:$C$3999&gt;=mar!U$3)),lentry!$D$3:$D$3999),IF(WEEKDAY(mar!U$3,1)=1,"WO","P"))</f>
        <v>P</v>
      </c>
      <c r="V37" s="4" t="str">
        <f>IFERROR(LOOKUP(2,1/((lentry!$A$3:$A$3999=mar!$A37)*(lentry!$B$3:$B$3999&lt;=mar!V$3)*(lentry!$C$3:$C$3999&gt;=mar!V$3)),lentry!$D$3:$D$3999),IF(WEEKDAY(mar!V$3,1)=1,"WO","P"))</f>
        <v>P</v>
      </c>
      <c r="W37" s="4" t="str">
        <f>IFERROR(LOOKUP(2,1/((lentry!$A$3:$A$3999=mar!$A37)*(lentry!$B$3:$B$3999&lt;=mar!W$3)*(lentry!$C$3:$C$3999&gt;=mar!W$3)),lentry!$D$3:$D$3999),IF(WEEKDAY(mar!W$3,1)=1,"WO","P"))</f>
        <v>P</v>
      </c>
      <c r="X37" s="4" t="str">
        <f>IFERROR(LOOKUP(2,1/((lentry!$A$3:$A$3999=mar!$A37)*(lentry!$B$3:$B$3999&lt;=mar!X$3)*(lentry!$C$3:$C$3999&gt;=mar!X$3)),lentry!$D$3:$D$3999),IF(WEEKDAY(mar!X$3,1)=1,"WO","P"))</f>
        <v>P</v>
      </c>
      <c r="Y37" s="4" t="str">
        <f>IFERROR(LOOKUP(2,1/((lentry!$A$3:$A$3999=mar!$A37)*(lentry!$B$3:$B$3999&lt;=mar!Y$3)*(lentry!$C$3:$C$3999&gt;=mar!Y$3)),lentry!$D$3:$D$3999),IF(WEEKDAY(mar!Y$3,1)=1,"WO","P"))</f>
        <v>P</v>
      </c>
      <c r="Z37" s="4" t="s">
        <v>350</v>
      </c>
      <c r="AA37" s="4" t="str">
        <f>IFERROR(LOOKUP(2,1/((lentry!$A$3:$A$3999=mar!$A37)*(lentry!$B$3:$B$3999&lt;=mar!AA$3)*(lentry!$C$3:$C$3999&gt;=mar!AA$3)),lentry!$D$3:$D$3999),IF(WEEKDAY(mar!AA$3,1)=1,"WO","P"))</f>
        <v>WO</v>
      </c>
      <c r="AB37" s="4" t="str">
        <f>IFERROR(LOOKUP(2,1/((lentry!$A$3:$A$3999=mar!$A37)*(lentry!$B$3:$B$3999&lt;=mar!AB$3)*(lentry!$C$3:$C$3999&gt;=mar!AB$3)),lentry!$D$3:$D$3999),IF(WEEKDAY(mar!AB$3,1)=1,"WO","P"))</f>
        <v>P</v>
      </c>
      <c r="AC37" s="4" t="str">
        <f>IFERROR(LOOKUP(2,1/((lentry!$A$3:$A$3999=mar!$A37)*(lentry!$B$3:$B$3999&lt;=mar!AC$3)*(lentry!$C$3:$C$3999&gt;=mar!AC$3)),lentry!$D$3:$D$3999),IF(WEEKDAY(mar!AC$3,1)=1,"WO","P"))</f>
        <v>P</v>
      </c>
      <c r="AD37" s="4" t="s">
        <v>539</v>
      </c>
      <c r="AE37" s="4" t="str">
        <f>IFERROR(LOOKUP(2,1/((lentry!$A$3:$A$3999=mar!$A37)*(lentry!$B$3:$B$3999&lt;=mar!AE$3)*(lentry!$C$3:$C$3999&gt;=mar!AE$3)),lentry!$D$3:$D$3999),IF(WEEKDAY(mar!AE$3,1)=1,"WO","P"))</f>
        <v>P</v>
      </c>
      <c r="AF37" s="4" t="str">
        <f>IFERROR(LOOKUP(2,1/((lentry!$A$3:$A$3999=mar!$A37)*(lentry!$B$3:$B$3999&lt;=mar!AF$3)*(lentry!$C$3:$C$3999&gt;=mar!AF$3)),lentry!$D$3:$D$3999),IF(WEEKDAY(mar!AF$3,1)=1,"WO","P"))</f>
        <v>P</v>
      </c>
      <c r="AG37" s="4" t="str">
        <f>IFERROR(LOOKUP(2,1/((lentry!$A$3:$A$3999=mar!$A37)*(lentry!$B$3:$B$3999&lt;=mar!AG$3)*(lentry!$C$3:$C$3999&gt;=mar!AG$3)),lentry!$D$3:$D$3999),IF(WEEKDAY(mar!AG$3,1)=1,"WO","P"))</f>
        <v>P</v>
      </c>
      <c r="AH37" s="4" t="str">
        <f>IFERROR(LOOKUP(2,1/((lentry!$A$3:$A$3999=mar!$A37)*(lentry!$B$3:$B$3999&lt;=mar!AH$3)*(lentry!$C$3:$C$3999&gt;=mar!AH$3)),lentry!$D$3:$D$3999),IF(WEEKDAY(mar!AH$3,1)=1,"WO","P"))</f>
        <v>WO</v>
      </c>
      <c r="AI37" s="4" t="str">
        <f>IFERROR(LOOKUP(2,1/((lentry!$A$3:$A$3999=mar!$A37)*(lentry!$B$3:$B$3999&lt;=mar!AI$3)*(lentry!$C$3:$C$3999&gt;=mar!AI$3)),lentry!$D$3:$D$3999),IF(WEEKDAY(mar!AI$3,1)=1,"WO","P"))</f>
        <v>P</v>
      </c>
      <c r="AJ37" s="4" t="str">
        <f>IFERROR(LOOKUP(2,1/((lentry!$A$3:$A$3999=mar!$A37)*(lentry!$B$3:$B$3999&lt;=mar!AJ$3)*(lentry!$C$3:$C$3999&gt;=mar!AJ$3)),lentry!$D$3:$D$3999),IF(WEEKDAY(mar!AJ$3,1)=1,"WO","P"))</f>
        <v>P</v>
      </c>
      <c r="AK37" s="4">
        <f>COUNTIF(mar!$F37:$AJ37,"WO")</f>
        <v>5</v>
      </c>
      <c r="AL37" s="4">
        <f>COUNTIF(mar!$F37:$AJ37,"H")</f>
        <v>2</v>
      </c>
      <c r="AM37" s="4">
        <f>COUNTIF(mar!$F37:$AJ37,"pl")</f>
        <v>0</v>
      </c>
      <c r="AN37" s="4">
        <f>COUNTIF(mar!$F37:$AJ37,"LWP")</f>
        <v>0</v>
      </c>
      <c r="AO37" s="4">
        <f>COUNTIF(mar!$F37:$AJ37,"HD")</f>
        <v>0</v>
      </c>
      <c r="AP37" s="4">
        <f>COUNTIF(mar!$F37:$AJ37,"SL")</f>
        <v>0</v>
      </c>
      <c r="AQ37" s="4">
        <f>COUNTIF(mar!$F37:$AJ37,"CL")</f>
        <v>0</v>
      </c>
      <c r="AR37" s="4">
        <f>COUNTIF(mar!$F37:$AJ37,"A")</f>
        <v>2</v>
      </c>
      <c r="AS37" s="4">
        <f>COUNTIF(mar!$F37:$AJ37,"P")</f>
        <v>22</v>
      </c>
      <c r="AT37" s="4">
        <f t="shared" si="2"/>
        <v>31</v>
      </c>
      <c r="AU37" s="4">
        <f t="shared" si="3"/>
        <v>29</v>
      </c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</row>
    <row r="38" spans="1:78" ht="18.75" x14ac:dyDescent="0.3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IFERROR(LOOKUP(2,1/((#REF!=mar!$A38)*(#REF!&lt;=mar!F$3)*(#REF!&gt;=mar!F$3)),#REF!),IF(WEEKDAY(mar!F$3,1)=1,"WO","P"))</f>
        <v>WO</v>
      </c>
      <c r="G38" s="4" t="str">
        <f>IFERROR(LOOKUP(2,1/((lentry!$A$3:$A$3999=mar!$A38)*(lentry!$B$3:$B$3999&lt;=mar!G$3)*(lentry!$C$3:$C$3999&gt;=mar!G$3)),lentry!$D$3:$D$3999),IF(WEEKDAY(mar!G$3,1)=1,"WO","P"))</f>
        <v>P</v>
      </c>
      <c r="H38" s="4" t="str">
        <f>IFERROR(LOOKUP(2,1/((lentry!$A$3:$A$3999=mar!$A38)*(lentry!$B$3:$B$3999&lt;=mar!H$3)*(lentry!$C$3:$C$3999&gt;=mar!H$3)),lentry!$D$3:$D$3999),IF(WEEKDAY(mar!H$3,1)=1,"WO","P"))</f>
        <v>P</v>
      </c>
      <c r="I38" s="4" t="s">
        <v>350</v>
      </c>
      <c r="J38" s="4" t="str">
        <f>IFERROR(LOOKUP(2,1/((lentry!$A$3:$A$3999=mar!$A38)*(lentry!$B$3:$B$3999&lt;=mar!J$3)*(lentry!$C$3:$C$3999&gt;=mar!J$3)),lentry!$D$3:$D$3999),IF(WEEKDAY(mar!J$3,1)=1,"WO","P"))</f>
        <v>P</v>
      </c>
      <c r="K38" s="4" t="str">
        <f>IFERROR(LOOKUP(2,1/((lentry!$A$3:$A$3999=mar!$A38)*(lentry!$B$3:$B$3999&lt;=mar!K$3)*(lentry!$C$3:$C$3999&gt;=mar!K$3)),lentry!$D$3:$D$3999),IF(WEEKDAY(mar!K$3,1)=1,"WO","P"))</f>
        <v>P</v>
      </c>
      <c r="L38" s="4" t="str">
        <f>IFERROR(LOOKUP(2,1/((lentry!$A$3:$A$3999=mar!$A38)*(lentry!$B$3:$B$3999&lt;=mar!L$3)*(lentry!$C$3:$C$3999&gt;=mar!L$3)),lentry!$D$3:$D$3999),IF(WEEKDAY(mar!L$3,1)=1,"WO","P"))</f>
        <v>P</v>
      </c>
      <c r="M38" s="4" t="str">
        <f>IFERROR(LOOKUP(2,1/((#REF!=mar!$A38)*(#REF!&lt;=mar!M$3)*(#REF!&gt;=mar!M$3)),#REF!),IF(WEEKDAY(mar!M$3,1)=1,"WO","P"))</f>
        <v>WO</v>
      </c>
      <c r="N38" s="4" t="str">
        <f>IFERROR(LOOKUP(2,1/((lentry!$A$3:$A$3999=mar!$A38)*(lentry!$B$3:$B$3999&lt;=mar!N$3)*(lentry!$C$3:$C$3999&gt;=mar!N$3)),lentry!$D$3:$D$3999),IF(WEEKDAY(mar!N$3,1)=1,"WO","P"))</f>
        <v>P</v>
      </c>
      <c r="O38" s="4" t="str">
        <f>IFERROR(LOOKUP(2,1/((lentry!$A$3:$A$3999=mar!$A38)*(lentry!$B$3:$B$3999&lt;=mar!O$3)*(lentry!$C$3:$C$3999&gt;=mar!O$3)),lentry!$D$3:$D$3999),IF(WEEKDAY(mar!O$3,1)=1,"WO","P"))</f>
        <v>P</v>
      </c>
      <c r="P38" s="4" t="str">
        <f>IFERROR(LOOKUP(2,1/((lentry!$A$3:$A$3999=mar!$A38)*(lentry!$B$3:$B$3999&lt;=mar!P$3)*(lentry!$C$3:$C$3999&gt;=mar!P$3)),lentry!$D$3:$D$3999),IF(WEEKDAY(mar!P$3,1)=1,"WO","P"))</f>
        <v>P</v>
      </c>
      <c r="Q38" s="4" t="str">
        <f>IFERROR(LOOKUP(2,1/((lentry!$A$3:$A$3999=mar!$A38)*(lentry!$B$3:$B$3999&lt;=mar!Q$3)*(lentry!$C$3:$C$3999&gt;=mar!Q$3)),lentry!$D$3:$D$3999),IF(WEEKDAY(mar!Q$3,1)=1,"WO","P"))</f>
        <v>P</v>
      </c>
      <c r="R38" s="4" t="str">
        <f>IFERROR(LOOKUP(2,1/((lentry!$A$3:$A$3999=mar!$A38)*(lentry!$B$3:$B$3999&lt;=mar!R$3)*(lentry!$C$3:$C$3999&gt;=mar!R$3)),lentry!$D$3:$D$3999),IF(WEEKDAY(mar!R$3,1)=1,"WO","P"))</f>
        <v>P</v>
      </c>
      <c r="S38" s="4" t="str">
        <f>IFERROR(LOOKUP(2,1/((lentry!$A$3:$A$3999=mar!$A38)*(lentry!$B$3:$B$3999&lt;=mar!S$3)*(lentry!$C$3:$C$3999&gt;=mar!S$3)),lentry!$D$3:$D$3999),IF(WEEKDAY(mar!S$3,1)=1,"WO","P"))</f>
        <v>P</v>
      </c>
      <c r="T38" s="4" t="str">
        <f>IFERROR(LOOKUP(2,1/((lentry!$A$3:$A$3999=mar!$A38)*(lentry!$B$3:$B$3999&lt;=mar!T$3)*(lentry!$C$3:$C$3999&gt;=mar!T$3)),lentry!$D$3:$D$3999),IF(WEEKDAY(mar!T$3,1)=1,"WO","P"))</f>
        <v>WO</v>
      </c>
      <c r="U38" s="4" t="str">
        <f>IFERROR(LOOKUP(2,1/((lentry!$A$3:$A$3999=mar!$A38)*(lentry!$B$3:$B$3999&lt;=mar!U$3)*(lentry!$C$3:$C$3999&gt;=mar!U$3)),lentry!$D$3:$D$3999),IF(WEEKDAY(mar!U$3,1)=1,"WO","P"))</f>
        <v>P</v>
      </c>
      <c r="V38" s="4" t="str">
        <f>IFERROR(LOOKUP(2,1/((lentry!$A$3:$A$3999=mar!$A38)*(lentry!$B$3:$B$3999&lt;=mar!V$3)*(lentry!$C$3:$C$3999&gt;=mar!V$3)),lentry!$D$3:$D$3999),IF(WEEKDAY(mar!V$3,1)=1,"WO","P"))</f>
        <v>P</v>
      </c>
      <c r="W38" s="4" t="str">
        <f>IFERROR(LOOKUP(2,1/((lentry!$A$3:$A$3999=mar!$A38)*(lentry!$B$3:$B$3999&lt;=mar!W$3)*(lentry!$C$3:$C$3999&gt;=mar!W$3)),lentry!$D$3:$D$3999),IF(WEEKDAY(mar!W$3,1)=1,"WO","P"))</f>
        <v>P</v>
      </c>
      <c r="X38" s="4" t="str">
        <f>IFERROR(LOOKUP(2,1/((lentry!$A$3:$A$3999=mar!$A38)*(lentry!$B$3:$B$3999&lt;=mar!X$3)*(lentry!$C$3:$C$3999&gt;=mar!X$3)),lentry!$D$3:$D$3999),IF(WEEKDAY(mar!X$3,1)=1,"WO","P"))</f>
        <v>P</v>
      </c>
      <c r="Y38" s="4" t="str">
        <f>IFERROR(LOOKUP(2,1/((lentry!$A$3:$A$3999=mar!$A38)*(lentry!$B$3:$B$3999&lt;=mar!Y$3)*(lentry!$C$3:$C$3999&gt;=mar!Y$3)),lentry!$D$3:$D$3999),IF(WEEKDAY(mar!Y$3,1)=1,"WO","P"))</f>
        <v>P</v>
      </c>
      <c r="Z38" s="4" t="s">
        <v>350</v>
      </c>
      <c r="AA38" s="4" t="str">
        <f>IFERROR(LOOKUP(2,1/((lentry!$A$3:$A$3999=mar!$A38)*(lentry!$B$3:$B$3999&lt;=mar!AA$3)*(lentry!$C$3:$C$3999&gt;=mar!AA$3)),lentry!$D$3:$D$3999),IF(WEEKDAY(mar!AA$3,1)=1,"WO","P"))</f>
        <v>WO</v>
      </c>
      <c r="AB38" s="4" t="str">
        <f>IFERROR(LOOKUP(2,1/((lentry!$A$3:$A$3999=mar!$A38)*(lentry!$B$3:$B$3999&lt;=mar!AB$3)*(lentry!$C$3:$C$3999&gt;=mar!AB$3)),lentry!$D$3:$D$3999),IF(WEEKDAY(mar!AB$3,1)=1,"WO","P"))</f>
        <v>P</v>
      </c>
      <c r="AC38" s="4" t="str">
        <f>IFERROR(LOOKUP(2,1/((lentry!$A$3:$A$3999=mar!$A38)*(lentry!$B$3:$B$3999&lt;=mar!AC$3)*(lentry!$C$3:$C$3999&gt;=mar!AC$3)),lentry!$D$3:$D$3999),IF(WEEKDAY(mar!AC$3,1)=1,"WO","P"))</f>
        <v>P</v>
      </c>
      <c r="AD38" s="4" t="str">
        <f>IFERROR(LOOKUP(2,1/((lentry!$A$3:$A$3999=mar!$A38)*(lentry!$B$3:$B$3999&lt;=mar!AD$3)*(lentry!$C$3:$C$3999&gt;=mar!AD$3)),lentry!$D$3:$D$3999),IF(WEEKDAY(mar!AD$3,1)=1,"WO","P"))</f>
        <v>P</v>
      </c>
      <c r="AE38" s="4" t="str">
        <f>IFERROR(LOOKUP(2,1/((lentry!$A$3:$A$3999=mar!$A38)*(lentry!$B$3:$B$3999&lt;=mar!AE$3)*(lentry!$C$3:$C$3999&gt;=mar!AE$3)),lentry!$D$3:$D$3999),IF(WEEKDAY(mar!AE$3,1)=1,"WO","P"))</f>
        <v>P</v>
      </c>
      <c r="AF38" s="4" t="str">
        <f>IFERROR(LOOKUP(2,1/((lentry!$A$3:$A$3999=mar!$A38)*(lentry!$B$3:$B$3999&lt;=mar!AF$3)*(lentry!$C$3:$C$3999&gt;=mar!AF$3)),lentry!$D$3:$D$3999),IF(WEEKDAY(mar!AF$3,1)=1,"WO","P"))</f>
        <v>P</v>
      </c>
      <c r="AG38" s="4" t="str">
        <f>IFERROR(LOOKUP(2,1/((lentry!$A$3:$A$3999=mar!$A38)*(lentry!$B$3:$B$3999&lt;=mar!AG$3)*(lentry!$C$3:$C$3999&gt;=mar!AG$3)),lentry!$D$3:$D$3999),IF(WEEKDAY(mar!AG$3,1)=1,"WO","P"))</f>
        <v>P</v>
      </c>
      <c r="AH38" s="4" t="str">
        <f>IFERROR(LOOKUP(2,1/((lentry!$A$3:$A$3999=mar!$A38)*(lentry!$B$3:$B$3999&lt;=mar!AH$3)*(lentry!$C$3:$C$3999&gt;=mar!AH$3)),lentry!$D$3:$D$3999),IF(WEEKDAY(mar!AH$3,1)=1,"WO","P"))</f>
        <v>WO</v>
      </c>
      <c r="AI38" s="4" t="str">
        <f>IFERROR(LOOKUP(2,1/((lentry!$A$3:$A$3999=mar!$A38)*(lentry!$B$3:$B$3999&lt;=mar!AI$3)*(lentry!$C$3:$C$3999&gt;=mar!AI$3)),lentry!$D$3:$D$3999),IF(WEEKDAY(mar!AI$3,1)=1,"WO","P"))</f>
        <v>P</v>
      </c>
      <c r="AJ38" s="4" t="str">
        <f>IFERROR(LOOKUP(2,1/((lentry!$A$3:$A$3999=mar!$A38)*(lentry!$B$3:$B$3999&lt;=mar!AJ$3)*(lentry!$C$3:$C$3999&gt;=mar!AJ$3)),lentry!$D$3:$D$3999),IF(WEEKDAY(mar!AJ$3,1)=1,"WO","P"))</f>
        <v>P</v>
      </c>
      <c r="AK38" s="4">
        <f>COUNTIF(mar!$F38:$AJ38,"WO")</f>
        <v>5</v>
      </c>
      <c r="AL38" s="4">
        <f>COUNTIF(mar!$F38:$AJ38,"H")</f>
        <v>2</v>
      </c>
      <c r="AM38" s="4">
        <f>COUNTIF(mar!$F38:$AJ38,"pl")</f>
        <v>0</v>
      </c>
      <c r="AN38" s="4">
        <f>COUNTIF(mar!$F38:$AJ38,"LWP")</f>
        <v>0</v>
      </c>
      <c r="AO38" s="4">
        <f>COUNTIF(mar!$F38:$AJ38,"HD")</f>
        <v>0</v>
      </c>
      <c r="AP38" s="4">
        <f>COUNTIF(mar!$F38:$AJ38,"SL")</f>
        <v>0</v>
      </c>
      <c r="AQ38" s="4">
        <f>COUNTIF(mar!$F38:$AJ38,"CL")</f>
        <v>0</v>
      </c>
      <c r="AR38" s="4">
        <f>COUNTIF(mar!$F38:$AJ38,"A")</f>
        <v>0</v>
      </c>
      <c r="AS38" s="4">
        <f>COUNTIF(mar!$F38:$AJ38,"P")</f>
        <v>24</v>
      </c>
      <c r="AT38" s="4">
        <f t="shared" si="2"/>
        <v>31</v>
      </c>
      <c r="AU38" s="4">
        <f t="shared" si="3"/>
        <v>31</v>
      </c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</row>
    <row r="39" spans="1:78" ht="18.75" x14ac:dyDescent="0.3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IFERROR(LOOKUP(2,1/((#REF!=mar!$A39)*(#REF!&lt;=mar!F$3)*(#REF!&gt;=mar!F$3)),#REF!),IF(WEEKDAY(mar!F$3,1)=1,"WO","P"))</f>
        <v>WO</v>
      </c>
      <c r="G39" s="4" t="s">
        <v>539</v>
      </c>
      <c r="H39" s="4" t="str">
        <f>IFERROR(LOOKUP(2,1/((lentry!$A$3:$A$3999=mar!$A39)*(lentry!$B$3:$B$3999&lt;=mar!H$3)*(lentry!$C$3:$C$3999&gt;=mar!H$3)),lentry!$D$3:$D$3999),IF(WEEKDAY(mar!H$3,1)=1,"WO","P"))</f>
        <v>P</v>
      </c>
      <c r="I39" s="4" t="s">
        <v>350</v>
      </c>
      <c r="J39" s="4" t="str">
        <f>IFERROR(LOOKUP(2,1/((lentry!$A$3:$A$3999=mar!$A39)*(lentry!$B$3:$B$3999&lt;=mar!J$3)*(lentry!$C$3:$C$3999&gt;=mar!J$3)),lentry!$D$3:$D$3999),IF(WEEKDAY(mar!J$3,1)=1,"WO","P"))</f>
        <v>P</v>
      </c>
      <c r="K39" s="4" t="str">
        <f>IFERROR(LOOKUP(2,1/((lentry!$A$3:$A$3999=mar!$A39)*(lentry!$B$3:$B$3999&lt;=mar!K$3)*(lentry!$C$3:$C$3999&gt;=mar!K$3)),lentry!$D$3:$D$3999),IF(WEEKDAY(mar!K$3,1)=1,"WO","P"))</f>
        <v>P</v>
      </c>
      <c r="L39" s="4" t="str">
        <f>IFERROR(LOOKUP(2,1/((lentry!$A$3:$A$3999=mar!$A39)*(lentry!$B$3:$B$3999&lt;=mar!L$3)*(lentry!$C$3:$C$3999&gt;=mar!L$3)),lentry!$D$3:$D$3999),IF(WEEKDAY(mar!L$3,1)=1,"WO","P"))</f>
        <v>P</v>
      </c>
      <c r="M39" s="4" t="str">
        <f>IFERROR(LOOKUP(2,1/((#REF!=mar!$A39)*(#REF!&lt;=mar!M$3)*(#REF!&gt;=mar!M$3)),#REF!),IF(WEEKDAY(mar!M$3,1)=1,"WO","P"))</f>
        <v>WO</v>
      </c>
      <c r="N39" s="4" t="str">
        <f>IFERROR(LOOKUP(2,1/((lentry!$A$3:$A$3999=mar!$A39)*(lentry!$B$3:$B$3999&lt;=mar!N$3)*(lentry!$C$3:$C$3999&gt;=mar!N$3)),lentry!$D$3:$D$3999),IF(WEEKDAY(mar!N$3,1)=1,"WO","P"))</f>
        <v>P</v>
      </c>
      <c r="O39" s="4" t="str">
        <f>IFERROR(LOOKUP(2,1/((lentry!$A$3:$A$3999=mar!$A39)*(lentry!$B$3:$B$3999&lt;=mar!O$3)*(lentry!$C$3:$C$3999&gt;=mar!O$3)),lentry!$D$3:$D$3999),IF(WEEKDAY(mar!O$3,1)=1,"WO","P"))</f>
        <v>P</v>
      </c>
      <c r="P39" s="4" t="str">
        <f>IFERROR(LOOKUP(2,1/((lentry!$A$3:$A$3999=mar!$A39)*(lentry!$B$3:$B$3999&lt;=mar!P$3)*(lentry!$C$3:$C$3999&gt;=mar!P$3)),lentry!$D$3:$D$3999),IF(WEEKDAY(mar!P$3,1)=1,"WO","P"))</f>
        <v>P</v>
      </c>
      <c r="Q39" s="4" t="str">
        <f>IFERROR(LOOKUP(2,1/((lentry!$A$3:$A$3999=mar!$A39)*(lentry!$B$3:$B$3999&lt;=mar!Q$3)*(lentry!$C$3:$C$3999&gt;=mar!Q$3)),lentry!$D$3:$D$3999),IF(WEEKDAY(mar!Q$3,1)=1,"WO","P"))</f>
        <v>P</v>
      </c>
      <c r="R39" s="4" t="str">
        <f>IFERROR(LOOKUP(2,1/((lentry!$A$3:$A$3999=mar!$A39)*(lentry!$B$3:$B$3999&lt;=mar!R$3)*(lentry!$C$3:$C$3999&gt;=mar!R$3)),lentry!$D$3:$D$3999),IF(WEEKDAY(mar!R$3,1)=1,"WO","P"))</f>
        <v>P</v>
      </c>
      <c r="S39" s="4" t="str">
        <f>IFERROR(LOOKUP(2,1/((lentry!$A$3:$A$3999=mar!$A39)*(lentry!$B$3:$B$3999&lt;=mar!S$3)*(lentry!$C$3:$C$3999&gt;=mar!S$3)),lentry!$D$3:$D$3999),IF(WEEKDAY(mar!S$3,1)=1,"WO","P"))</f>
        <v>P</v>
      </c>
      <c r="T39" s="4" t="str">
        <f>IFERROR(LOOKUP(2,1/((lentry!$A$3:$A$3999=mar!$A39)*(lentry!$B$3:$B$3999&lt;=mar!T$3)*(lentry!$C$3:$C$3999&gt;=mar!T$3)),lentry!$D$3:$D$3999),IF(WEEKDAY(mar!T$3,1)=1,"WO","P"))</f>
        <v>WO</v>
      </c>
      <c r="U39" s="4" t="str">
        <f>IFERROR(LOOKUP(2,1/((lentry!$A$3:$A$3999=mar!$A39)*(lentry!$B$3:$B$3999&lt;=mar!U$3)*(lentry!$C$3:$C$3999&gt;=mar!U$3)),lentry!$D$3:$D$3999),IF(WEEKDAY(mar!U$3,1)=1,"WO","P"))</f>
        <v>P</v>
      </c>
      <c r="V39" s="4" t="str">
        <f>IFERROR(LOOKUP(2,1/((lentry!$A$3:$A$3999=mar!$A39)*(lentry!$B$3:$B$3999&lt;=mar!V$3)*(lentry!$C$3:$C$3999&gt;=mar!V$3)),lentry!$D$3:$D$3999),IF(WEEKDAY(mar!V$3,1)=1,"WO","P"))</f>
        <v>P</v>
      </c>
      <c r="W39" s="4" t="str">
        <f>IFERROR(LOOKUP(2,1/((lentry!$A$3:$A$3999=mar!$A39)*(lentry!$B$3:$B$3999&lt;=mar!W$3)*(lentry!$C$3:$C$3999&gt;=mar!W$3)),lentry!$D$3:$D$3999),IF(WEEKDAY(mar!W$3,1)=1,"WO","P"))</f>
        <v>P</v>
      </c>
      <c r="X39" s="4" t="str">
        <f>IFERROR(LOOKUP(2,1/((lentry!$A$3:$A$3999=mar!$A39)*(lentry!$B$3:$B$3999&lt;=mar!X$3)*(lentry!$C$3:$C$3999&gt;=mar!X$3)),lentry!$D$3:$D$3999),IF(WEEKDAY(mar!X$3,1)=1,"WO","P"))</f>
        <v>P</v>
      </c>
      <c r="Y39" s="4" t="str">
        <f>IFERROR(LOOKUP(2,1/((lentry!$A$3:$A$3999=mar!$A39)*(lentry!$B$3:$B$3999&lt;=mar!Y$3)*(lentry!$C$3:$C$3999&gt;=mar!Y$3)),lentry!$D$3:$D$3999),IF(WEEKDAY(mar!Y$3,1)=1,"WO","P"))</f>
        <v>P</v>
      </c>
      <c r="Z39" s="4" t="s">
        <v>350</v>
      </c>
      <c r="AA39" s="4" t="str">
        <f>IFERROR(LOOKUP(2,1/((lentry!$A$3:$A$3999=mar!$A39)*(lentry!$B$3:$B$3999&lt;=mar!AA$3)*(lentry!$C$3:$C$3999&gt;=mar!AA$3)),lentry!$D$3:$D$3999),IF(WEEKDAY(mar!AA$3,1)=1,"WO","P"))</f>
        <v>WO</v>
      </c>
      <c r="AB39" s="4" t="str">
        <f>IFERROR(LOOKUP(2,1/((lentry!$A$3:$A$3999=mar!$A39)*(lentry!$B$3:$B$3999&lt;=mar!AB$3)*(lentry!$C$3:$C$3999&gt;=mar!AB$3)),lentry!$D$3:$D$3999),IF(WEEKDAY(mar!AB$3,1)=1,"WO","P"))</f>
        <v>P</v>
      </c>
      <c r="AC39" s="4" t="str">
        <f>IFERROR(LOOKUP(2,1/((lentry!$A$3:$A$3999=mar!$A39)*(lentry!$B$3:$B$3999&lt;=mar!AC$3)*(lentry!$C$3:$C$3999&gt;=mar!AC$3)),lentry!$D$3:$D$3999),IF(WEEKDAY(mar!AC$3,1)=1,"WO","P"))</f>
        <v>P</v>
      </c>
      <c r="AD39" s="4" t="str">
        <f>IFERROR(LOOKUP(2,1/((lentry!$A$3:$A$3999=mar!$A39)*(lentry!$B$3:$B$3999&lt;=mar!AD$3)*(lentry!$C$3:$C$3999&gt;=mar!AD$3)),lentry!$D$3:$D$3999),IF(WEEKDAY(mar!AD$3,1)=1,"WO","P"))</f>
        <v>P</v>
      </c>
      <c r="AE39" s="4" t="str">
        <f>IFERROR(LOOKUP(2,1/((lentry!$A$3:$A$3999=mar!$A39)*(lentry!$B$3:$B$3999&lt;=mar!AE$3)*(lentry!$C$3:$C$3999&gt;=mar!AE$3)),lentry!$D$3:$D$3999),IF(WEEKDAY(mar!AE$3,1)=1,"WO","P"))</f>
        <v>P</v>
      </c>
      <c r="AF39" s="4" t="str">
        <f>IFERROR(LOOKUP(2,1/((lentry!$A$3:$A$3999=mar!$A39)*(lentry!$B$3:$B$3999&lt;=mar!AF$3)*(lentry!$C$3:$C$3999&gt;=mar!AF$3)),lentry!$D$3:$D$3999),IF(WEEKDAY(mar!AF$3,1)=1,"WO","P"))</f>
        <v>P</v>
      </c>
      <c r="AG39" s="4" t="str">
        <f>IFERROR(LOOKUP(2,1/((lentry!$A$3:$A$3999=mar!$A39)*(lentry!$B$3:$B$3999&lt;=mar!AG$3)*(lentry!$C$3:$C$3999&gt;=mar!AG$3)),lentry!$D$3:$D$3999),IF(WEEKDAY(mar!AG$3,1)=1,"WO","P"))</f>
        <v>P</v>
      </c>
      <c r="AH39" s="4" t="str">
        <f>IFERROR(LOOKUP(2,1/((lentry!$A$3:$A$3999=mar!$A39)*(lentry!$B$3:$B$3999&lt;=mar!AH$3)*(lentry!$C$3:$C$3999&gt;=mar!AH$3)),lentry!$D$3:$D$3999),IF(WEEKDAY(mar!AH$3,1)=1,"WO","P"))</f>
        <v>WO</v>
      </c>
      <c r="AI39" s="4" t="str">
        <f>IFERROR(LOOKUP(2,1/((lentry!$A$3:$A$3999=mar!$A39)*(lentry!$B$3:$B$3999&lt;=mar!AI$3)*(lentry!$C$3:$C$3999&gt;=mar!AI$3)),lentry!$D$3:$D$3999),IF(WEEKDAY(mar!AI$3,1)=1,"WO","P"))</f>
        <v>P</v>
      </c>
      <c r="AJ39" s="4" t="str">
        <f>IFERROR(LOOKUP(2,1/((lentry!$A$3:$A$3999=mar!$A39)*(lentry!$B$3:$B$3999&lt;=mar!AJ$3)*(lentry!$C$3:$C$3999&gt;=mar!AJ$3)),lentry!$D$3:$D$3999),IF(WEEKDAY(mar!AJ$3,1)=1,"WO","P"))</f>
        <v>P</v>
      </c>
      <c r="AK39" s="4">
        <f>COUNTIF(mar!$F39:$AJ39,"WO")</f>
        <v>5</v>
      </c>
      <c r="AL39" s="4">
        <f>COUNTIF(mar!$F39:$AJ39,"H")</f>
        <v>2</v>
      </c>
      <c r="AM39" s="4">
        <f>COUNTIF(mar!$F39:$AJ39,"pl")</f>
        <v>0</v>
      </c>
      <c r="AN39" s="4">
        <f>COUNTIF(mar!$F39:$AJ39,"LWP")</f>
        <v>0</v>
      </c>
      <c r="AO39" s="4">
        <f>COUNTIF(mar!$F39:$AJ39,"HD")</f>
        <v>0</v>
      </c>
      <c r="AP39" s="4">
        <f>COUNTIF(mar!$F39:$AJ39,"SL")</f>
        <v>0</v>
      </c>
      <c r="AQ39" s="4">
        <f>COUNTIF(mar!$F39:$AJ39,"CL")</f>
        <v>0</v>
      </c>
      <c r="AR39" s="4">
        <f>COUNTIF(mar!$F39:$AJ39,"A")</f>
        <v>1</v>
      </c>
      <c r="AS39" s="4">
        <f>COUNTIF(mar!$F39:$AJ39,"P")</f>
        <v>23</v>
      </c>
      <c r="AT39" s="4">
        <f t="shared" si="2"/>
        <v>31</v>
      </c>
      <c r="AU39" s="4">
        <f t="shared" si="3"/>
        <v>30</v>
      </c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</row>
    <row r="40" spans="1:78" ht="18.75" x14ac:dyDescent="0.3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IFERROR(LOOKUP(2,1/((#REF!=mar!$A40)*(#REF!&lt;=mar!F$3)*(#REF!&gt;=mar!F$3)),#REF!),IF(WEEKDAY(mar!F$3,1)=1,"WO","P"))</f>
        <v>WO</v>
      </c>
      <c r="G40" s="4" t="str">
        <f>IFERROR(LOOKUP(2,1/((lentry!$A$3:$A$3999=mar!$A40)*(lentry!$B$3:$B$3999&lt;=mar!G$3)*(lentry!$C$3:$C$3999&gt;=mar!G$3)),lentry!$D$3:$D$3999),IF(WEEKDAY(mar!G$3,1)=1,"WO","P"))</f>
        <v>P</v>
      </c>
      <c r="H40" s="4" t="str">
        <f>IFERROR(LOOKUP(2,1/((lentry!$A$3:$A$3999=mar!$A40)*(lentry!$B$3:$B$3999&lt;=mar!H$3)*(lentry!$C$3:$C$3999&gt;=mar!H$3)),lentry!$D$3:$D$3999),IF(WEEKDAY(mar!H$3,1)=1,"WO","P"))</f>
        <v>P</v>
      </c>
      <c r="I40" s="4" t="s">
        <v>350</v>
      </c>
      <c r="J40" s="4" t="str">
        <f>IFERROR(LOOKUP(2,1/((lentry!$A$3:$A$3999=mar!$A40)*(lentry!$B$3:$B$3999&lt;=mar!J$3)*(lentry!$C$3:$C$3999&gt;=mar!J$3)),lentry!$D$3:$D$3999),IF(WEEKDAY(mar!J$3,1)=1,"WO","P"))</f>
        <v>P</v>
      </c>
      <c r="K40" s="4" t="str">
        <f>IFERROR(LOOKUP(2,1/((lentry!$A$3:$A$3999=mar!$A40)*(lentry!$B$3:$B$3999&lt;=mar!K$3)*(lentry!$C$3:$C$3999&gt;=mar!K$3)),lentry!$D$3:$D$3999),IF(WEEKDAY(mar!K$3,1)=1,"WO","P"))</f>
        <v>P</v>
      </c>
      <c r="L40" s="4" t="str">
        <f>IFERROR(LOOKUP(2,1/((lentry!$A$3:$A$3999=mar!$A40)*(lentry!$B$3:$B$3999&lt;=mar!L$3)*(lentry!$C$3:$C$3999&gt;=mar!L$3)),lentry!$D$3:$D$3999),IF(WEEKDAY(mar!L$3,1)=1,"WO","P"))</f>
        <v>PL</v>
      </c>
      <c r="M40" s="4" t="str">
        <f>IFERROR(LOOKUP(2,1/((#REF!=mar!$A40)*(#REF!&lt;=mar!M$3)*(#REF!&gt;=mar!M$3)),#REF!),IF(WEEKDAY(mar!M$3,1)=1,"WO","P"))</f>
        <v>WO</v>
      </c>
      <c r="N40" s="4" t="str">
        <f>IFERROR(LOOKUP(2,1/((lentry!$A$3:$A$3999=mar!$A40)*(lentry!$B$3:$B$3999&lt;=mar!N$3)*(lentry!$C$3:$C$3999&gt;=mar!N$3)),lentry!$D$3:$D$3999),IF(WEEKDAY(mar!N$3,1)=1,"WO","P"))</f>
        <v>P</v>
      </c>
      <c r="O40" s="4" t="str">
        <f>IFERROR(LOOKUP(2,1/((lentry!$A$3:$A$3999=mar!$A40)*(lentry!$B$3:$B$3999&lt;=mar!O$3)*(lentry!$C$3:$C$3999&gt;=mar!O$3)),lentry!$D$3:$D$3999),IF(WEEKDAY(mar!O$3,1)=1,"WO","P"))</f>
        <v>P</v>
      </c>
      <c r="P40" s="4" t="str">
        <f>IFERROR(LOOKUP(2,1/((lentry!$A$3:$A$3999=mar!$A40)*(lentry!$B$3:$B$3999&lt;=mar!P$3)*(lentry!$C$3:$C$3999&gt;=mar!P$3)),lentry!$D$3:$D$3999),IF(WEEKDAY(mar!P$3,1)=1,"WO","P"))</f>
        <v>P</v>
      </c>
      <c r="Q40" s="4" t="str">
        <f>IFERROR(LOOKUP(2,1/((lentry!$A$3:$A$3999=mar!$A40)*(lentry!$B$3:$B$3999&lt;=mar!Q$3)*(lentry!$C$3:$C$3999&gt;=mar!Q$3)),lentry!$D$3:$D$3999),IF(WEEKDAY(mar!Q$3,1)=1,"WO","P"))</f>
        <v>P</v>
      </c>
      <c r="R40" s="4" t="str">
        <f>IFERROR(LOOKUP(2,1/((lentry!$A$3:$A$3999=mar!$A40)*(lentry!$B$3:$B$3999&lt;=mar!R$3)*(lentry!$C$3:$C$3999&gt;=mar!R$3)),lentry!$D$3:$D$3999),IF(WEEKDAY(mar!R$3,1)=1,"WO","P"))</f>
        <v>P</v>
      </c>
      <c r="S40" s="4" t="str">
        <f>IFERROR(LOOKUP(2,1/((lentry!$A$3:$A$3999=mar!$A40)*(lentry!$B$3:$B$3999&lt;=mar!S$3)*(lentry!$C$3:$C$3999&gt;=mar!S$3)),lentry!$D$3:$D$3999),IF(WEEKDAY(mar!S$3,1)=1,"WO","P"))</f>
        <v>P</v>
      </c>
      <c r="T40" s="4" t="str">
        <f>IFERROR(LOOKUP(2,1/((lentry!$A$3:$A$3999=mar!$A40)*(lentry!$B$3:$B$3999&lt;=mar!T$3)*(lentry!$C$3:$C$3999&gt;=mar!T$3)),lentry!$D$3:$D$3999),IF(WEEKDAY(mar!T$3,1)=1,"WO","P"))</f>
        <v>WO</v>
      </c>
      <c r="U40" s="4" t="str">
        <f>IFERROR(LOOKUP(2,1/((lentry!$A$3:$A$3999=mar!$A40)*(lentry!$B$3:$B$3999&lt;=mar!U$3)*(lentry!$C$3:$C$3999&gt;=mar!U$3)),lentry!$D$3:$D$3999),IF(WEEKDAY(mar!U$3,1)=1,"WO","P"))</f>
        <v>P</v>
      </c>
      <c r="V40" s="4" t="str">
        <f>IFERROR(LOOKUP(2,1/((lentry!$A$3:$A$3999=mar!$A40)*(lentry!$B$3:$B$3999&lt;=mar!V$3)*(lentry!$C$3:$C$3999&gt;=mar!V$3)),lentry!$D$3:$D$3999),IF(WEEKDAY(mar!V$3,1)=1,"WO","P"))</f>
        <v>P</v>
      </c>
      <c r="W40" s="4" t="str">
        <f>IFERROR(LOOKUP(2,1/((lentry!$A$3:$A$3999=mar!$A40)*(lentry!$B$3:$B$3999&lt;=mar!W$3)*(lentry!$C$3:$C$3999&gt;=mar!W$3)),lentry!$D$3:$D$3999),IF(WEEKDAY(mar!W$3,1)=1,"WO","P"))</f>
        <v>P</v>
      </c>
      <c r="X40" s="4" t="str">
        <f>IFERROR(LOOKUP(2,1/((lentry!$A$3:$A$3999=mar!$A40)*(lentry!$B$3:$B$3999&lt;=mar!X$3)*(lentry!$C$3:$C$3999&gt;=mar!X$3)),lentry!$D$3:$D$3999),IF(WEEKDAY(mar!X$3,1)=1,"WO","P"))</f>
        <v>P</v>
      </c>
      <c r="Y40" s="4" t="str">
        <f>IFERROR(LOOKUP(2,1/((lentry!$A$3:$A$3999=mar!$A40)*(lentry!$B$3:$B$3999&lt;=mar!Y$3)*(lentry!$C$3:$C$3999&gt;=mar!Y$3)),lentry!$D$3:$D$3999),IF(WEEKDAY(mar!Y$3,1)=1,"WO","P"))</f>
        <v>P</v>
      </c>
      <c r="Z40" s="4" t="s">
        <v>350</v>
      </c>
      <c r="AA40" s="4" t="str">
        <f>IFERROR(LOOKUP(2,1/((lentry!$A$3:$A$3999=mar!$A40)*(lentry!$B$3:$B$3999&lt;=mar!AA$3)*(lentry!$C$3:$C$3999&gt;=mar!AA$3)),lentry!$D$3:$D$3999),IF(WEEKDAY(mar!AA$3,1)=1,"WO","P"))</f>
        <v>WO</v>
      </c>
      <c r="AB40" s="4" t="str">
        <f>IFERROR(LOOKUP(2,1/((lentry!$A$3:$A$3999=mar!$A40)*(lentry!$B$3:$B$3999&lt;=mar!AB$3)*(lentry!$C$3:$C$3999&gt;=mar!AB$3)),lentry!$D$3:$D$3999),IF(WEEKDAY(mar!AB$3,1)=1,"WO","P"))</f>
        <v>P</v>
      </c>
      <c r="AC40" s="4" t="str">
        <f>IFERROR(LOOKUP(2,1/((lentry!$A$3:$A$3999=mar!$A40)*(lentry!$B$3:$B$3999&lt;=mar!AC$3)*(lentry!$C$3:$C$3999&gt;=mar!AC$3)),lentry!$D$3:$D$3999),IF(WEEKDAY(mar!AC$3,1)=1,"WO","P"))</f>
        <v>P</v>
      </c>
      <c r="AD40" s="4" t="str">
        <f>IFERROR(LOOKUP(2,1/((lentry!$A$3:$A$3999=mar!$A40)*(lentry!$B$3:$B$3999&lt;=mar!AD$3)*(lentry!$C$3:$C$3999&gt;=mar!AD$3)),lentry!$D$3:$D$3999),IF(WEEKDAY(mar!AD$3,1)=1,"WO","P"))</f>
        <v>P</v>
      </c>
      <c r="AE40" s="4" t="str">
        <f>IFERROR(LOOKUP(2,1/((lentry!$A$3:$A$3999=mar!$A40)*(lentry!$B$3:$B$3999&lt;=mar!AE$3)*(lentry!$C$3:$C$3999&gt;=mar!AE$3)),lentry!$D$3:$D$3999),IF(WEEKDAY(mar!AE$3,1)=1,"WO","P"))</f>
        <v>P</v>
      </c>
      <c r="AF40" s="4" t="str">
        <f>IFERROR(LOOKUP(2,1/((lentry!$A$3:$A$3999=mar!$A40)*(lentry!$B$3:$B$3999&lt;=mar!AF$3)*(lentry!$C$3:$C$3999&gt;=mar!AF$3)),lentry!$D$3:$D$3999),IF(WEEKDAY(mar!AF$3,1)=1,"WO","P"))</f>
        <v>P</v>
      </c>
      <c r="AG40" s="4" t="str">
        <f>IFERROR(LOOKUP(2,1/((lentry!$A$3:$A$3999=mar!$A40)*(lentry!$B$3:$B$3999&lt;=mar!AG$3)*(lentry!$C$3:$C$3999&gt;=mar!AG$3)),lentry!$D$3:$D$3999),IF(WEEKDAY(mar!AG$3,1)=1,"WO","P"))</f>
        <v>P</v>
      </c>
      <c r="AH40" s="4" t="str">
        <f>IFERROR(LOOKUP(2,1/((lentry!$A$3:$A$3999=mar!$A40)*(lentry!$B$3:$B$3999&lt;=mar!AH$3)*(lentry!$C$3:$C$3999&gt;=mar!AH$3)),lentry!$D$3:$D$3999),IF(WEEKDAY(mar!AH$3,1)=1,"WO","P"))</f>
        <v>WO</v>
      </c>
      <c r="AI40" s="4" t="str">
        <f>IFERROR(LOOKUP(2,1/((lentry!$A$3:$A$3999=mar!$A40)*(lentry!$B$3:$B$3999&lt;=mar!AI$3)*(lentry!$C$3:$C$3999&gt;=mar!AI$3)),lentry!$D$3:$D$3999),IF(WEEKDAY(mar!AI$3,1)=1,"WO","P"))</f>
        <v>P</v>
      </c>
      <c r="AJ40" s="4" t="str">
        <f>IFERROR(LOOKUP(2,1/((lentry!$A$3:$A$3999=mar!$A40)*(lentry!$B$3:$B$3999&lt;=mar!AJ$3)*(lentry!$C$3:$C$3999&gt;=mar!AJ$3)),lentry!$D$3:$D$3999),IF(WEEKDAY(mar!AJ$3,1)=1,"WO","P"))</f>
        <v>P</v>
      </c>
      <c r="AK40" s="4">
        <f>COUNTIF(mar!$F40:$AJ40,"WO")</f>
        <v>5</v>
      </c>
      <c r="AL40" s="4">
        <f>COUNTIF(mar!$F40:$AJ40,"H")</f>
        <v>2</v>
      </c>
      <c r="AM40" s="4">
        <f>COUNTIF(mar!$F40:$AJ40,"pl")</f>
        <v>1</v>
      </c>
      <c r="AN40" s="4">
        <f>COUNTIF(mar!$F40:$AJ40,"LWP")</f>
        <v>0</v>
      </c>
      <c r="AO40" s="4">
        <f>COUNTIF(mar!$F40:$AJ40,"HD")</f>
        <v>0</v>
      </c>
      <c r="AP40" s="4">
        <f>COUNTIF(mar!$F40:$AJ40,"SL")</f>
        <v>0</v>
      </c>
      <c r="AQ40" s="4">
        <f>COUNTIF(mar!$F40:$AJ40,"CL")</f>
        <v>0</v>
      </c>
      <c r="AR40" s="4">
        <f>COUNTIF(mar!$F40:$AJ40,"A")</f>
        <v>0</v>
      </c>
      <c r="AS40" s="4">
        <f>COUNTIF(mar!$F40:$AJ40,"P")</f>
        <v>23</v>
      </c>
      <c r="AT40" s="4">
        <f t="shared" si="2"/>
        <v>31</v>
      </c>
      <c r="AU40" s="4">
        <f t="shared" si="3"/>
        <v>31</v>
      </c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</row>
    <row r="41" spans="1:78" ht="18.75" x14ac:dyDescent="0.3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IFERROR(LOOKUP(2,1/((#REF!=mar!$A41)*(#REF!&lt;=mar!F$3)*(#REF!&gt;=mar!F$3)),#REF!),IF(WEEKDAY(mar!F$3,1)=1,"WO","P"))</f>
        <v>WO</v>
      </c>
      <c r="G41" s="4" t="str">
        <f>IFERROR(LOOKUP(2,1/((lentry!$A$3:$A$3999=mar!$A41)*(lentry!$B$3:$B$3999&lt;=mar!G$3)*(lentry!$C$3:$C$3999&gt;=mar!G$3)),lentry!$D$3:$D$3999),IF(WEEKDAY(mar!G$3,1)=1,"WO","P"))</f>
        <v>P</v>
      </c>
      <c r="H41" s="4" t="str">
        <f>IFERROR(LOOKUP(2,1/((lentry!$A$3:$A$3999=mar!$A41)*(lentry!$B$3:$B$3999&lt;=mar!H$3)*(lentry!$C$3:$C$3999&gt;=mar!H$3)),lentry!$D$3:$D$3999),IF(WEEKDAY(mar!H$3,1)=1,"WO","P"))</f>
        <v>P</v>
      </c>
      <c r="I41" s="4" t="s">
        <v>350</v>
      </c>
      <c r="J41" s="4" t="str">
        <f>IFERROR(LOOKUP(2,1/((lentry!$A$3:$A$3999=mar!$A41)*(lentry!$B$3:$B$3999&lt;=mar!J$3)*(lentry!$C$3:$C$3999&gt;=mar!J$3)),lentry!$D$3:$D$3999),IF(WEEKDAY(mar!J$3,1)=1,"WO","P"))</f>
        <v>P</v>
      </c>
      <c r="K41" s="4" t="str">
        <f>IFERROR(LOOKUP(2,1/((lentry!$A$3:$A$3999=mar!$A41)*(lentry!$B$3:$B$3999&lt;=mar!K$3)*(lentry!$C$3:$C$3999&gt;=mar!K$3)),lentry!$D$3:$D$3999),IF(WEEKDAY(mar!K$3,1)=1,"WO","P"))</f>
        <v>P</v>
      </c>
      <c r="L41" s="4" t="str">
        <f>IFERROR(LOOKUP(2,1/((lentry!$A$3:$A$3999=mar!$A41)*(lentry!$B$3:$B$3999&lt;=mar!L$3)*(lentry!$C$3:$C$3999&gt;=mar!L$3)),lentry!$D$3:$D$3999),IF(WEEKDAY(mar!L$3,1)=1,"WO","P"))</f>
        <v>P</v>
      </c>
      <c r="M41" s="4" t="str">
        <f>IFERROR(LOOKUP(2,1/((#REF!=mar!$A41)*(#REF!&lt;=mar!M$3)*(#REF!&gt;=mar!M$3)),#REF!),IF(WEEKDAY(mar!M$3,1)=1,"WO","P"))</f>
        <v>WO</v>
      </c>
      <c r="N41" s="4" t="str">
        <f>IFERROR(LOOKUP(2,1/((lentry!$A$3:$A$3999=mar!$A41)*(lentry!$B$3:$B$3999&lt;=mar!N$3)*(lentry!$C$3:$C$3999&gt;=mar!N$3)),lentry!$D$3:$D$3999),IF(WEEKDAY(mar!N$3,1)=1,"WO","P"))</f>
        <v>P</v>
      </c>
      <c r="O41" s="4" t="str">
        <f>IFERROR(LOOKUP(2,1/((lentry!$A$3:$A$3999=mar!$A41)*(lentry!$B$3:$B$3999&lt;=mar!O$3)*(lentry!$C$3:$C$3999&gt;=mar!O$3)),lentry!$D$3:$D$3999),IF(WEEKDAY(mar!O$3,1)=1,"WO","P"))</f>
        <v>P</v>
      </c>
      <c r="P41" s="4" t="str">
        <f>IFERROR(LOOKUP(2,1/((lentry!$A$3:$A$3999=mar!$A41)*(lentry!$B$3:$B$3999&lt;=mar!P$3)*(lentry!$C$3:$C$3999&gt;=mar!P$3)),lentry!$D$3:$D$3999),IF(WEEKDAY(mar!P$3,1)=1,"WO","P"))</f>
        <v>P</v>
      </c>
      <c r="Q41" s="4" t="str">
        <f>IFERROR(LOOKUP(2,1/((lentry!$A$3:$A$3999=mar!$A41)*(lentry!$B$3:$B$3999&lt;=mar!Q$3)*(lentry!$C$3:$C$3999&gt;=mar!Q$3)),lentry!$D$3:$D$3999),IF(WEEKDAY(mar!Q$3,1)=1,"WO","P"))</f>
        <v>P</v>
      </c>
      <c r="R41" s="4" t="str">
        <f>IFERROR(LOOKUP(2,1/((lentry!$A$3:$A$3999=mar!$A41)*(lentry!$B$3:$B$3999&lt;=mar!R$3)*(lentry!$C$3:$C$3999&gt;=mar!R$3)),lentry!$D$3:$D$3999),IF(WEEKDAY(mar!R$3,1)=1,"WO","P"))</f>
        <v>P</v>
      </c>
      <c r="S41" s="4" t="str">
        <f>IFERROR(LOOKUP(2,1/((lentry!$A$3:$A$3999=mar!$A41)*(lentry!$B$3:$B$3999&lt;=mar!S$3)*(lentry!$C$3:$C$3999&gt;=mar!S$3)),lentry!$D$3:$D$3999),IF(WEEKDAY(mar!S$3,1)=1,"WO","P"))</f>
        <v>P</v>
      </c>
      <c r="T41" s="4" t="str">
        <f>IFERROR(LOOKUP(2,1/((lentry!$A$3:$A$3999=mar!$A41)*(lentry!$B$3:$B$3999&lt;=mar!T$3)*(lentry!$C$3:$C$3999&gt;=mar!T$3)),lentry!$D$3:$D$3999),IF(WEEKDAY(mar!T$3,1)=1,"WO","P"))</f>
        <v>WO</v>
      </c>
      <c r="U41" s="4" t="str">
        <f>IFERROR(LOOKUP(2,1/((lentry!$A$3:$A$3999=mar!$A41)*(lentry!$B$3:$B$3999&lt;=mar!U$3)*(lentry!$C$3:$C$3999&gt;=mar!U$3)),lentry!$D$3:$D$3999),IF(WEEKDAY(mar!U$3,1)=1,"WO","P"))</f>
        <v>P</v>
      </c>
      <c r="V41" s="4" t="str">
        <f>IFERROR(LOOKUP(2,1/((lentry!$A$3:$A$3999=mar!$A41)*(lentry!$B$3:$B$3999&lt;=mar!V$3)*(lentry!$C$3:$C$3999&gt;=mar!V$3)),lentry!$D$3:$D$3999),IF(WEEKDAY(mar!V$3,1)=1,"WO","P"))</f>
        <v>P</v>
      </c>
      <c r="W41" s="4" t="str">
        <f>IFERROR(LOOKUP(2,1/((lentry!$A$3:$A$3999=mar!$A41)*(lentry!$B$3:$B$3999&lt;=mar!W$3)*(lentry!$C$3:$C$3999&gt;=mar!W$3)),lentry!$D$3:$D$3999),IF(WEEKDAY(mar!W$3,1)=1,"WO","P"))</f>
        <v>P</v>
      </c>
      <c r="X41" s="4" t="str">
        <f>IFERROR(LOOKUP(2,1/((lentry!$A$3:$A$3999=mar!$A41)*(lentry!$B$3:$B$3999&lt;=mar!X$3)*(lentry!$C$3:$C$3999&gt;=mar!X$3)),lentry!$D$3:$D$3999),IF(WEEKDAY(mar!X$3,1)=1,"WO","P"))</f>
        <v>P</v>
      </c>
      <c r="Y41" s="4" t="str">
        <f>IFERROR(LOOKUP(2,1/((lentry!$A$3:$A$3999=mar!$A41)*(lentry!$B$3:$B$3999&lt;=mar!Y$3)*(lentry!$C$3:$C$3999&gt;=mar!Y$3)),lentry!$D$3:$D$3999),IF(WEEKDAY(mar!Y$3,1)=1,"WO","P"))</f>
        <v>P</v>
      </c>
      <c r="Z41" s="4" t="s">
        <v>350</v>
      </c>
      <c r="AA41" s="4" t="str">
        <f>IFERROR(LOOKUP(2,1/((lentry!$A$3:$A$3999=mar!$A41)*(lentry!$B$3:$B$3999&lt;=mar!AA$3)*(lentry!$C$3:$C$3999&gt;=mar!AA$3)),lentry!$D$3:$D$3999),IF(WEEKDAY(mar!AA$3,1)=1,"WO","P"))</f>
        <v>WO</v>
      </c>
      <c r="AB41" s="4" t="str">
        <f>IFERROR(LOOKUP(2,1/((lentry!$A$3:$A$3999=mar!$A41)*(lentry!$B$3:$B$3999&lt;=mar!AB$3)*(lentry!$C$3:$C$3999&gt;=mar!AB$3)),lentry!$D$3:$D$3999),IF(WEEKDAY(mar!AB$3,1)=1,"WO","P"))</f>
        <v>P</v>
      </c>
      <c r="AC41" s="4" t="str">
        <f>IFERROR(LOOKUP(2,1/((lentry!$A$3:$A$3999=mar!$A41)*(lentry!$B$3:$B$3999&lt;=mar!AC$3)*(lentry!$C$3:$C$3999&gt;=mar!AC$3)),lentry!$D$3:$D$3999),IF(WEEKDAY(mar!AC$3,1)=1,"WO","P"))</f>
        <v>P</v>
      </c>
      <c r="AD41" s="4" t="str">
        <f>IFERROR(LOOKUP(2,1/((lentry!$A$3:$A$3999=mar!$A41)*(lentry!$B$3:$B$3999&lt;=mar!AD$3)*(lentry!$C$3:$C$3999&gt;=mar!AD$3)),lentry!$D$3:$D$3999),IF(WEEKDAY(mar!AD$3,1)=1,"WO","P"))</f>
        <v>P</v>
      </c>
      <c r="AE41" s="4" t="str">
        <f>IFERROR(LOOKUP(2,1/((lentry!$A$3:$A$3999=mar!$A41)*(lentry!$B$3:$B$3999&lt;=mar!AE$3)*(lentry!$C$3:$C$3999&gt;=mar!AE$3)),lentry!$D$3:$D$3999),IF(WEEKDAY(mar!AE$3,1)=1,"WO","P"))</f>
        <v>P</v>
      </c>
      <c r="AF41" s="4" t="str">
        <f>IFERROR(LOOKUP(2,1/((lentry!$A$3:$A$3999=mar!$A41)*(lentry!$B$3:$B$3999&lt;=mar!AF$3)*(lentry!$C$3:$C$3999&gt;=mar!AF$3)),lentry!$D$3:$D$3999),IF(WEEKDAY(mar!AF$3,1)=1,"WO","P"))</f>
        <v>P</v>
      </c>
      <c r="AG41" s="4" t="str">
        <f>IFERROR(LOOKUP(2,1/((lentry!$A$3:$A$3999=mar!$A41)*(lentry!$B$3:$B$3999&lt;=mar!AG$3)*(lentry!$C$3:$C$3999&gt;=mar!AG$3)),lentry!$D$3:$D$3999),IF(WEEKDAY(mar!AG$3,1)=1,"WO","P"))</f>
        <v>P</v>
      </c>
      <c r="AH41" s="4" t="str">
        <f>IFERROR(LOOKUP(2,1/((lentry!$A$3:$A$3999=mar!$A41)*(lentry!$B$3:$B$3999&lt;=mar!AH$3)*(lentry!$C$3:$C$3999&gt;=mar!AH$3)),lentry!$D$3:$D$3999),IF(WEEKDAY(mar!AH$3,1)=1,"WO","P"))</f>
        <v>WO</v>
      </c>
      <c r="AI41" s="4" t="str">
        <f>IFERROR(LOOKUP(2,1/((lentry!$A$3:$A$3999=mar!$A41)*(lentry!$B$3:$B$3999&lt;=mar!AI$3)*(lentry!$C$3:$C$3999&gt;=mar!AI$3)),lentry!$D$3:$D$3999),IF(WEEKDAY(mar!AI$3,1)=1,"WO","P"))</f>
        <v>P</v>
      </c>
      <c r="AJ41" s="4" t="str">
        <f>IFERROR(LOOKUP(2,1/((lentry!$A$3:$A$3999=mar!$A41)*(lentry!$B$3:$B$3999&lt;=mar!AJ$3)*(lentry!$C$3:$C$3999&gt;=mar!AJ$3)),lentry!$D$3:$D$3999),IF(WEEKDAY(mar!AJ$3,1)=1,"WO","P"))</f>
        <v>P</v>
      </c>
      <c r="AK41" s="4">
        <f>COUNTIF(mar!$F41:$AJ41,"WO")</f>
        <v>5</v>
      </c>
      <c r="AL41" s="4">
        <f>COUNTIF(mar!$F41:$AJ41,"H")</f>
        <v>2</v>
      </c>
      <c r="AM41" s="4">
        <f>COUNTIF(mar!$F41:$AJ41,"pl")</f>
        <v>0</v>
      </c>
      <c r="AN41" s="4">
        <f>COUNTIF(mar!$F41:$AJ41,"LWP")</f>
        <v>0</v>
      </c>
      <c r="AO41" s="4">
        <f>COUNTIF(mar!$F41:$AJ41,"HD")</f>
        <v>0</v>
      </c>
      <c r="AP41" s="4">
        <f>COUNTIF(mar!$F41:$AJ41,"SL")</f>
        <v>0</v>
      </c>
      <c r="AQ41" s="4">
        <f>COUNTIF(mar!$F41:$AJ41,"CL")</f>
        <v>0</v>
      </c>
      <c r="AR41" s="4">
        <f>COUNTIF(mar!$F41:$AJ41,"A")</f>
        <v>0</v>
      </c>
      <c r="AS41" s="4">
        <f>COUNTIF(mar!$F41:$AJ41,"P")</f>
        <v>24</v>
      </c>
      <c r="AT41" s="4">
        <f t="shared" si="2"/>
        <v>31</v>
      </c>
      <c r="AU41" s="4">
        <f t="shared" si="3"/>
        <v>31</v>
      </c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</row>
    <row r="42" spans="1:78" ht="18.75" x14ac:dyDescent="0.3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IFERROR(LOOKUP(2,1/((#REF!=mar!$A42)*(#REF!&lt;=mar!F$3)*(#REF!&gt;=mar!F$3)),#REF!),IF(WEEKDAY(mar!F$3,1)=1,"WO","P"))</f>
        <v>WO</v>
      </c>
      <c r="G42" s="4" t="str">
        <f>IFERROR(LOOKUP(2,1/((lentry!$A$3:$A$3999=mar!$A42)*(lentry!$B$3:$B$3999&lt;=mar!G$3)*(lentry!$C$3:$C$3999&gt;=mar!G$3)),lentry!$D$3:$D$3999),IF(WEEKDAY(mar!G$3,1)=1,"WO","P"))</f>
        <v>P</v>
      </c>
      <c r="H42" s="4" t="str">
        <f>IFERROR(LOOKUP(2,1/((lentry!$A$3:$A$3999=mar!$A42)*(lentry!$B$3:$B$3999&lt;=mar!H$3)*(lentry!$C$3:$C$3999&gt;=mar!H$3)),lentry!$D$3:$D$3999),IF(WEEKDAY(mar!H$3,1)=1,"WO","P"))</f>
        <v>P</v>
      </c>
      <c r="I42" s="4" t="s">
        <v>350</v>
      </c>
      <c r="J42" s="4" t="str">
        <f>IFERROR(LOOKUP(2,1/((lentry!$A$3:$A$3999=mar!$A42)*(lentry!$B$3:$B$3999&lt;=mar!J$3)*(lentry!$C$3:$C$3999&gt;=mar!J$3)),lentry!$D$3:$D$3999),IF(WEEKDAY(mar!J$3,1)=1,"WO","P"))</f>
        <v>P</v>
      </c>
      <c r="K42" s="4" t="str">
        <f>IFERROR(LOOKUP(2,1/((lentry!$A$3:$A$3999=mar!$A42)*(lentry!$B$3:$B$3999&lt;=mar!K$3)*(lentry!$C$3:$C$3999&gt;=mar!K$3)),lentry!$D$3:$D$3999),IF(WEEKDAY(mar!K$3,1)=1,"WO","P"))</f>
        <v>P</v>
      </c>
      <c r="L42" s="4" t="str">
        <f>IFERROR(LOOKUP(2,1/((lentry!$A$3:$A$3999=mar!$A42)*(lentry!$B$3:$B$3999&lt;=mar!L$3)*(lentry!$C$3:$C$3999&gt;=mar!L$3)),lentry!$D$3:$D$3999),IF(WEEKDAY(mar!L$3,1)=1,"WO","P"))</f>
        <v>P</v>
      </c>
      <c r="M42" s="4" t="str">
        <f>IFERROR(LOOKUP(2,1/((#REF!=mar!$A42)*(#REF!&lt;=mar!M$3)*(#REF!&gt;=mar!M$3)),#REF!),IF(WEEKDAY(mar!M$3,1)=1,"WO","P"))</f>
        <v>WO</v>
      </c>
      <c r="N42" s="4" t="str">
        <f>IFERROR(LOOKUP(2,1/((lentry!$A$3:$A$3999=mar!$A42)*(lentry!$B$3:$B$3999&lt;=mar!N$3)*(lentry!$C$3:$C$3999&gt;=mar!N$3)),lentry!$D$3:$D$3999),IF(WEEKDAY(mar!N$3,1)=1,"WO","P"))</f>
        <v>P</v>
      </c>
      <c r="O42" s="4" t="str">
        <f>IFERROR(LOOKUP(2,1/((lentry!$A$3:$A$3999=mar!$A42)*(lentry!$B$3:$B$3999&lt;=mar!O$3)*(lentry!$C$3:$C$3999&gt;=mar!O$3)),lentry!$D$3:$D$3999),IF(WEEKDAY(mar!O$3,1)=1,"WO","P"))</f>
        <v>P</v>
      </c>
      <c r="P42" s="4" t="str">
        <f>IFERROR(LOOKUP(2,1/((lentry!$A$3:$A$3999=mar!$A42)*(lentry!$B$3:$B$3999&lt;=mar!P$3)*(lentry!$C$3:$C$3999&gt;=mar!P$3)),lentry!$D$3:$D$3999),IF(WEEKDAY(mar!P$3,1)=1,"WO","P"))</f>
        <v>P</v>
      </c>
      <c r="Q42" s="4" t="str">
        <f>IFERROR(LOOKUP(2,1/((lentry!$A$3:$A$3999=mar!$A42)*(lentry!$B$3:$B$3999&lt;=mar!Q$3)*(lentry!$C$3:$C$3999&gt;=mar!Q$3)),lentry!$D$3:$D$3999),IF(WEEKDAY(mar!Q$3,1)=1,"WO","P"))</f>
        <v>P</v>
      </c>
      <c r="R42" s="4" t="str">
        <f>IFERROR(LOOKUP(2,1/((lentry!$A$3:$A$3999=mar!$A42)*(lentry!$B$3:$B$3999&lt;=mar!R$3)*(lentry!$C$3:$C$3999&gt;=mar!R$3)),lentry!$D$3:$D$3999),IF(WEEKDAY(mar!R$3,1)=1,"WO","P"))</f>
        <v>P</v>
      </c>
      <c r="S42" s="4" t="str">
        <f>IFERROR(LOOKUP(2,1/((lentry!$A$3:$A$3999=mar!$A42)*(lentry!$B$3:$B$3999&lt;=mar!S$3)*(lentry!$C$3:$C$3999&gt;=mar!S$3)),lentry!$D$3:$D$3999),IF(WEEKDAY(mar!S$3,1)=1,"WO","P"))</f>
        <v>P</v>
      </c>
      <c r="T42" s="4" t="str">
        <f>IFERROR(LOOKUP(2,1/((lentry!$A$3:$A$3999=mar!$A42)*(lentry!$B$3:$B$3999&lt;=mar!T$3)*(lentry!$C$3:$C$3999&gt;=mar!T$3)),lentry!$D$3:$D$3999),IF(WEEKDAY(mar!T$3,1)=1,"WO","P"))</f>
        <v>WO</v>
      </c>
      <c r="U42" s="4" t="str">
        <f>IFERROR(LOOKUP(2,1/((lentry!$A$3:$A$3999=mar!$A42)*(lentry!$B$3:$B$3999&lt;=mar!U$3)*(lentry!$C$3:$C$3999&gt;=mar!U$3)),lentry!$D$3:$D$3999),IF(WEEKDAY(mar!U$3,1)=1,"WO","P"))</f>
        <v>P</v>
      </c>
      <c r="V42" s="4" t="str">
        <f>IFERROR(LOOKUP(2,1/((lentry!$A$3:$A$3999=mar!$A42)*(lentry!$B$3:$B$3999&lt;=mar!V$3)*(lentry!$C$3:$C$3999&gt;=mar!V$3)),lentry!$D$3:$D$3999),IF(WEEKDAY(mar!V$3,1)=1,"WO","P"))</f>
        <v>P</v>
      </c>
      <c r="W42" s="4" t="str">
        <f>IFERROR(LOOKUP(2,1/((lentry!$A$3:$A$3999=mar!$A42)*(lentry!$B$3:$B$3999&lt;=mar!W$3)*(lentry!$C$3:$C$3999&gt;=mar!W$3)),lentry!$D$3:$D$3999),IF(WEEKDAY(mar!W$3,1)=1,"WO","P"))</f>
        <v>P</v>
      </c>
      <c r="X42" s="4" t="str">
        <f>IFERROR(LOOKUP(2,1/((lentry!$A$3:$A$3999=mar!$A42)*(lentry!$B$3:$B$3999&lt;=mar!X$3)*(lentry!$C$3:$C$3999&gt;=mar!X$3)),lentry!$D$3:$D$3999),IF(WEEKDAY(mar!X$3,1)=1,"WO","P"))</f>
        <v>P</v>
      </c>
      <c r="Y42" s="4" t="str">
        <f>IFERROR(LOOKUP(2,1/((lentry!$A$3:$A$3999=mar!$A42)*(lentry!$B$3:$B$3999&lt;=mar!Y$3)*(lentry!$C$3:$C$3999&gt;=mar!Y$3)),lentry!$D$3:$D$3999),IF(WEEKDAY(mar!Y$3,1)=1,"WO","P"))</f>
        <v>P</v>
      </c>
      <c r="Z42" s="4" t="s">
        <v>350</v>
      </c>
      <c r="AA42" s="4" t="str">
        <f>IFERROR(LOOKUP(2,1/((lentry!$A$3:$A$3999=mar!$A42)*(lentry!$B$3:$B$3999&lt;=mar!AA$3)*(lentry!$C$3:$C$3999&gt;=mar!AA$3)),lentry!$D$3:$D$3999),IF(WEEKDAY(mar!AA$3,1)=1,"WO","P"))</f>
        <v>WO</v>
      </c>
      <c r="AB42" s="4" t="str">
        <f>IFERROR(LOOKUP(2,1/((lentry!$A$3:$A$3999=mar!$A42)*(lentry!$B$3:$B$3999&lt;=mar!AB$3)*(lentry!$C$3:$C$3999&gt;=mar!AB$3)),lentry!$D$3:$D$3999),IF(WEEKDAY(mar!AB$3,1)=1,"WO","P"))</f>
        <v>P</v>
      </c>
      <c r="AC42" s="4" t="str">
        <f>IFERROR(LOOKUP(2,1/((lentry!$A$3:$A$3999=mar!$A42)*(lentry!$B$3:$B$3999&lt;=mar!AC$3)*(lentry!$C$3:$C$3999&gt;=mar!AC$3)),lentry!$D$3:$D$3999),IF(WEEKDAY(mar!AC$3,1)=1,"WO","P"))</f>
        <v>P</v>
      </c>
      <c r="AD42" s="4" t="str">
        <f>IFERROR(LOOKUP(2,1/((lentry!$A$3:$A$3999=mar!$A42)*(lentry!$B$3:$B$3999&lt;=mar!AD$3)*(lentry!$C$3:$C$3999&gt;=mar!AD$3)),lentry!$D$3:$D$3999),IF(WEEKDAY(mar!AD$3,1)=1,"WO","P"))</f>
        <v>P</v>
      </c>
      <c r="AE42" s="4" t="str">
        <f>IFERROR(LOOKUP(2,1/((lentry!$A$3:$A$3999=mar!$A42)*(lentry!$B$3:$B$3999&lt;=mar!AE$3)*(lentry!$C$3:$C$3999&gt;=mar!AE$3)),lentry!$D$3:$D$3999),IF(WEEKDAY(mar!AE$3,1)=1,"WO","P"))</f>
        <v>P</v>
      </c>
      <c r="AF42" s="4" t="str">
        <f>IFERROR(LOOKUP(2,1/((lentry!$A$3:$A$3999=mar!$A42)*(lentry!$B$3:$B$3999&lt;=mar!AF$3)*(lentry!$C$3:$C$3999&gt;=mar!AF$3)),lentry!$D$3:$D$3999),IF(WEEKDAY(mar!AF$3,1)=1,"WO","P"))</f>
        <v>P</v>
      </c>
      <c r="AG42" s="4" t="str">
        <f>IFERROR(LOOKUP(2,1/((lentry!$A$3:$A$3999=mar!$A42)*(lentry!$B$3:$B$3999&lt;=mar!AG$3)*(lentry!$C$3:$C$3999&gt;=mar!AG$3)),lentry!$D$3:$D$3999),IF(WEEKDAY(mar!AG$3,1)=1,"WO","P"))</f>
        <v>P</v>
      </c>
      <c r="AH42" s="4" t="str">
        <f>IFERROR(LOOKUP(2,1/((lentry!$A$3:$A$3999=mar!$A42)*(lentry!$B$3:$B$3999&lt;=mar!AH$3)*(lentry!$C$3:$C$3999&gt;=mar!AH$3)),lentry!$D$3:$D$3999),IF(WEEKDAY(mar!AH$3,1)=1,"WO","P"))</f>
        <v>WO</v>
      </c>
      <c r="AI42" s="4" t="str">
        <f>IFERROR(LOOKUP(2,1/((lentry!$A$3:$A$3999=mar!$A42)*(lentry!$B$3:$B$3999&lt;=mar!AI$3)*(lentry!$C$3:$C$3999&gt;=mar!AI$3)),lentry!$D$3:$D$3999),IF(WEEKDAY(mar!AI$3,1)=1,"WO","P"))</f>
        <v>P</v>
      </c>
      <c r="AJ42" s="4" t="str">
        <f>IFERROR(LOOKUP(2,1/((lentry!$A$3:$A$3999=mar!$A42)*(lentry!$B$3:$B$3999&lt;=mar!AJ$3)*(lentry!$C$3:$C$3999&gt;=mar!AJ$3)),lentry!$D$3:$D$3999),IF(WEEKDAY(mar!AJ$3,1)=1,"WO","P"))</f>
        <v>P</v>
      </c>
      <c r="AK42" s="4">
        <f>COUNTIF(mar!$F42:$AJ42,"WO")</f>
        <v>5</v>
      </c>
      <c r="AL42" s="4">
        <f>COUNTIF(mar!$F42:$AJ42,"H")</f>
        <v>2</v>
      </c>
      <c r="AM42" s="4">
        <f>COUNTIF(mar!$F42:$AJ42,"pl")</f>
        <v>0</v>
      </c>
      <c r="AN42" s="4">
        <f>COUNTIF(mar!$F42:$AJ42,"LWP")</f>
        <v>0</v>
      </c>
      <c r="AO42" s="4">
        <f>COUNTIF(mar!$F42:$AJ42,"HD")</f>
        <v>0</v>
      </c>
      <c r="AP42" s="4">
        <f>COUNTIF(mar!$F42:$AJ42,"SL")</f>
        <v>0</v>
      </c>
      <c r="AQ42" s="4">
        <f>COUNTIF(mar!$F42:$AJ42,"CL")</f>
        <v>0</v>
      </c>
      <c r="AR42" s="4">
        <f>COUNTIF(mar!$F42:$AJ42,"A")</f>
        <v>0</v>
      </c>
      <c r="AS42" s="4">
        <f>COUNTIF(mar!$F42:$AJ42,"P")</f>
        <v>24</v>
      </c>
      <c r="AT42" s="4">
        <f t="shared" si="2"/>
        <v>31</v>
      </c>
      <c r="AU42" s="4">
        <f t="shared" si="3"/>
        <v>31</v>
      </c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</row>
    <row r="43" spans="1:78" ht="18.75" x14ac:dyDescent="0.3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IFERROR(LOOKUP(2,1/((#REF!=mar!$A43)*(#REF!&lt;=mar!F$3)*(#REF!&gt;=mar!F$3)),#REF!),IF(WEEKDAY(mar!F$3,1)=1,"WO","P"))</f>
        <v>WO</v>
      </c>
      <c r="G43" s="4" t="str">
        <f>IFERROR(LOOKUP(2,1/((lentry!$A$3:$A$3999=mar!$A43)*(lentry!$B$3:$B$3999&lt;=mar!G$3)*(lentry!$C$3:$C$3999&gt;=mar!G$3)),lentry!$D$3:$D$3999),IF(WEEKDAY(mar!G$3,1)=1,"WO","P"))</f>
        <v>P</v>
      </c>
      <c r="H43" s="4" t="str">
        <f>IFERROR(LOOKUP(2,1/((lentry!$A$3:$A$3999=mar!$A43)*(lentry!$B$3:$B$3999&lt;=mar!H$3)*(lentry!$C$3:$C$3999&gt;=mar!H$3)),lentry!$D$3:$D$3999),IF(WEEKDAY(mar!H$3,1)=1,"WO","P"))</f>
        <v>P</v>
      </c>
      <c r="I43" s="4" t="s">
        <v>350</v>
      </c>
      <c r="J43" s="4" t="str">
        <f>IFERROR(LOOKUP(2,1/((lentry!$A$3:$A$3999=mar!$A43)*(lentry!$B$3:$B$3999&lt;=mar!J$3)*(lentry!$C$3:$C$3999&gt;=mar!J$3)),lentry!$D$3:$D$3999),IF(WEEKDAY(mar!J$3,1)=1,"WO","P"))</f>
        <v>P</v>
      </c>
      <c r="K43" s="4" t="str">
        <f>IFERROR(LOOKUP(2,1/((lentry!$A$3:$A$3999=mar!$A43)*(lentry!$B$3:$B$3999&lt;=mar!K$3)*(lentry!$C$3:$C$3999&gt;=mar!K$3)),lentry!$D$3:$D$3999),IF(WEEKDAY(mar!K$3,1)=1,"WO","P"))</f>
        <v>P</v>
      </c>
      <c r="L43" s="4" t="str">
        <f>IFERROR(LOOKUP(2,1/((lentry!$A$3:$A$3999=mar!$A43)*(lentry!$B$3:$B$3999&lt;=mar!L$3)*(lentry!$C$3:$C$3999&gt;=mar!L$3)),lentry!$D$3:$D$3999),IF(WEEKDAY(mar!L$3,1)=1,"WO","P"))</f>
        <v>P</v>
      </c>
      <c r="M43" s="4" t="str">
        <f>IFERROR(LOOKUP(2,1/((#REF!=mar!$A43)*(#REF!&lt;=mar!M$3)*(#REF!&gt;=mar!M$3)),#REF!),IF(WEEKDAY(mar!M$3,1)=1,"WO","P"))</f>
        <v>WO</v>
      </c>
      <c r="N43" s="4" t="str">
        <f>IFERROR(LOOKUP(2,1/((lentry!$A$3:$A$3999=mar!$A43)*(lentry!$B$3:$B$3999&lt;=mar!N$3)*(lentry!$C$3:$C$3999&gt;=mar!N$3)),lentry!$D$3:$D$3999),IF(WEEKDAY(mar!N$3,1)=1,"WO","P"))</f>
        <v>P</v>
      </c>
      <c r="O43" s="4" t="str">
        <f>IFERROR(LOOKUP(2,1/((lentry!$A$3:$A$3999=mar!$A43)*(lentry!$B$3:$B$3999&lt;=mar!O$3)*(lentry!$C$3:$C$3999&gt;=mar!O$3)),lentry!$D$3:$D$3999),IF(WEEKDAY(mar!O$3,1)=1,"WO","P"))</f>
        <v>P</v>
      </c>
      <c r="P43" s="4" t="str">
        <f>IFERROR(LOOKUP(2,1/((lentry!$A$3:$A$3999=mar!$A43)*(lentry!$B$3:$B$3999&lt;=mar!P$3)*(lentry!$C$3:$C$3999&gt;=mar!P$3)),lentry!$D$3:$D$3999),IF(WEEKDAY(mar!P$3,1)=1,"WO","P"))</f>
        <v>P</v>
      </c>
      <c r="Q43" s="4" t="str">
        <f>IFERROR(LOOKUP(2,1/((lentry!$A$3:$A$3999=mar!$A43)*(lentry!$B$3:$B$3999&lt;=mar!Q$3)*(lentry!$C$3:$C$3999&gt;=mar!Q$3)),lentry!$D$3:$D$3999),IF(WEEKDAY(mar!Q$3,1)=1,"WO","P"))</f>
        <v>P</v>
      </c>
      <c r="R43" s="4" t="s">
        <v>539</v>
      </c>
      <c r="S43" s="4" t="str">
        <f>IFERROR(LOOKUP(2,1/((lentry!$A$3:$A$3999=mar!$A43)*(lentry!$B$3:$B$3999&lt;=mar!S$3)*(lentry!$C$3:$C$3999&gt;=mar!S$3)),lentry!$D$3:$D$3999),IF(WEEKDAY(mar!S$3,1)=1,"WO","P"))</f>
        <v>P</v>
      </c>
      <c r="T43" s="4" t="str">
        <f>IFERROR(LOOKUP(2,1/((lentry!$A$3:$A$3999=mar!$A43)*(lentry!$B$3:$B$3999&lt;=mar!T$3)*(lentry!$C$3:$C$3999&gt;=mar!T$3)),lentry!$D$3:$D$3999),IF(WEEKDAY(mar!T$3,1)=1,"WO","P"))</f>
        <v>WO</v>
      </c>
      <c r="U43" s="4" t="str">
        <f>IFERROR(LOOKUP(2,1/((lentry!$A$3:$A$3999=mar!$A43)*(lentry!$B$3:$B$3999&lt;=mar!U$3)*(lentry!$C$3:$C$3999&gt;=mar!U$3)),lentry!$D$3:$D$3999),IF(WEEKDAY(mar!U$3,1)=1,"WO","P"))</f>
        <v>P</v>
      </c>
      <c r="V43" s="4" t="str">
        <f>IFERROR(LOOKUP(2,1/((lentry!$A$3:$A$3999=mar!$A43)*(lentry!$B$3:$B$3999&lt;=mar!V$3)*(lentry!$C$3:$C$3999&gt;=mar!V$3)),lentry!$D$3:$D$3999),IF(WEEKDAY(mar!V$3,1)=1,"WO","P"))</f>
        <v>P</v>
      </c>
      <c r="W43" s="4" t="str">
        <f>IFERROR(LOOKUP(2,1/((lentry!$A$3:$A$3999=mar!$A43)*(lentry!$B$3:$B$3999&lt;=mar!W$3)*(lentry!$C$3:$C$3999&gt;=mar!W$3)),lentry!$D$3:$D$3999),IF(WEEKDAY(mar!W$3,1)=1,"WO","P"))</f>
        <v>P</v>
      </c>
      <c r="X43" s="4" t="str">
        <f>IFERROR(LOOKUP(2,1/((lentry!$A$3:$A$3999=mar!$A43)*(lentry!$B$3:$B$3999&lt;=mar!X$3)*(lentry!$C$3:$C$3999&gt;=mar!X$3)),lentry!$D$3:$D$3999),IF(WEEKDAY(mar!X$3,1)=1,"WO","P"))</f>
        <v>P</v>
      </c>
      <c r="Y43" s="4" t="str">
        <f>IFERROR(LOOKUP(2,1/((lentry!$A$3:$A$3999=mar!$A43)*(lentry!$B$3:$B$3999&lt;=mar!Y$3)*(lentry!$C$3:$C$3999&gt;=mar!Y$3)),lentry!$D$3:$D$3999),IF(WEEKDAY(mar!Y$3,1)=1,"WO","P"))</f>
        <v>P</v>
      </c>
      <c r="Z43" s="4" t="s">
        <v>350</v>
      </c>
      <c r="AA43" s="4" t="str">
        <f>IFERROR(LOOKUP(2,1/((lentry!$A$3:$A$3999=mar!$A43)*(lentry!$B$3:$B$3999&lt;=mar!AA$3)*(lentry!$C$3:$C$3999&gt;=mar!AA$3)),lentry!$D$3:$D$3999),IF(WEEKDAY(mar!AA$3,1)=1,"WO","P"))</f>
        <v>WO</v>
      </c>
      <c r="AB43" s="4" t="str">
        <f>IFERROR(LOOKUP(2,1/((lentry!$A$3:$A$3999=mar!$A43)*(lentry!$B$3:$B$3999&lt;=mar!AB$3)*(lentry!$C$3:$C$3999&gt;=mar!AB$3)),lentry!$D$3:$D$3999),IF(WEEKDAY(mar!AB$3,1)=1,"WO","P"))</f>
        <v>P</v>
      </c>
      <c r="AC43" s="4" t="str">
        <f>IFERROR(LOOKUP(2,1/((lentry!$A$3:$A$3999=mar!$A43)*(lentry!$B$3:$B$3999&lt;=mar!AC$3)*(lentry!$C$3:$C$3999&gt;=mar!AC$3)),lentry!$D$3:$D$3999),IF(WEEKDAY(mar!AC$3,1)=1,"WO","P"))</f>
        <v>P</v>
      </c>
      <c r="AD43" s="4" t="str">
        <f>IFERROR(LOOKUP(2,1/((lentry!$A$3:$A$3999=mar!$A43)*(lentry!$B$3:$B$3999&lt;=mar!AD$3)*(lentry!$C$3:$C$3999&gt;=mar!AD$3)),lentry!$D$3:$D$3999),IF(WEEKDAY(mar!AD$3,1)=1,"WO","P"))</f>
        <v>P</v>
      </c>
      <c r="AE43" s="4" t="str">
        <f>IFERROR(LOOKUP(2,1/((lentry!$A$3:$A$3999=mar!$A43)*(lentry!$B$3:$B$3999&lt;=mar!AE$3)*(lentry!$C$3:$C$3999&gt;=mar!AE$3)),lentry!$D$3:$D$3999),IF(WEEKDAY(mar!AE$3,1)=1,"WO","P"))</f>
        <v>P</v>
      </c>
      <c r="AF43" s="4" t="str">
        <f>IFERROR(LOOKUP(2,1/((lentry!$A$3:$A$3999=mar!$A43)*(lentry!$B$3:$B$3999&lt;=mar!AF$3)*(lentry!$C$3:$C$3999&gt;=mar!AF$3)),lentry!$D$3:$D$3999),IF(WEEKDAY(mar!AF$3,1)=1,"WO","P"))</f>
        <v>P</v>
      </c>
      <c r="AG43" s="4" t="str">
        <f>IFERROR(LOOKUP(2,1/((lentry!$A$3:$A$3999=mar!$A43)*(lentry!$B$3:$B$3999&lt;=mar!AG$3)*(lentry!$C$3:$C$3999&gt;=mar!AG$3)),lentry!$D$3:$D$3999),IF(WEEKDAY(mar!AG$3,1)=1,"WO","P"))</f>
        <v>P</v>
      </c>
      <c r="AH43" s="4" t="str">
        <f>IFERROR(LOOKUP(2,1/((lentry!$A$3:$A$3999=mar!$A43)*(lentry!$B$3:$B$3999&lt;=mar!AH$3)*(lentry!$C$3:$C$3999&gt;=mar!AH$3)),lentry!$D$3:$D$3999),IF(WEEKDAY(mar!AH$3,1)=1,"WO","P"))</f>
        <v>WO</v>
      </c>
      <c r="AI43" s="4" t="str">
        <f>IFERROR(LOOKUP(2,1/((lentry!$A$3:$A$3999=mar!$A43)*(lentry!$B$3:$B$3999&lt;=mar!AI$3)*(lentry!$C$3:$C$3999&gt;=mar!AI$3)),lentry!$D$3:$D$3999),IF(WEEKDAY(mar!AI$3,1)=1,"WO","P"))</f>
        <v>P</v>
      </c>
      <c r="AJ43" s="4" t="str">
        <f>IFERROR(LOOKUP(2,1/((lentry!$A$3:$A$3999=mar!$A43)*(lentry!$B$3:$B$3999&lt;=mar!AJ$3)*(lentry!$C$3:$C$3999&gt;=mar!AJ$3)),lentry!$D$3:$D$3999),IF(WEEKDAY(mar!AJ$3,1)=1,"WO","P"))</f>
        <v>P</v>
      </c>
      <c r="AK43" s="4">
        <f>COUNTIF(mar!$F43:$AJ43,"WO")</f>
        <v>5</v>
      </c>
      <c r="AL43" s="4">
        <f>COUNTIF(mar!$F43:$AJ43,"H")</f>
        <v>2</v>
      </c>
      <c r="AM43" s="4">
        <f>COUNTIF(mar!$F43:$AJ43,"pl")</f>
        <v>0</v>
      </c>
      <c r="AN43" s="4">
        <f>COUNTIF(mar!$F43:$AJ43,"LWP")</f>
        <v>0</v>
      </c>
      <c r="AO43" s="4">
        <f>COUNTIF(mar!$F43:$AJ43,"HD")</f>
        <v>0</v>
      </c>
      <c r="AP43" s="4">
        <f>COUNTIF(mar!$F43:$AJ43,"SL")</f>
        <v>0</v>
      </c>
      <c r="AQ43" s="4">
        <f>COUNTIF(mar!$F43:$AJ43,"CL")</f>
        <v>0</v>
      </c>
      <c r="AR43" s="4">
        <f>COUNTIF(mar!$F43:$AJ43,"A")</f>
        <v>1</v>
      </c>
      <c r="AS43" s="4">
        <f>COUNTIF(mar!$F43:$AJ43,"P")</f>
        <v>23</v>
      </c>
      <c r="AT43" s="4">
        <f t="shared" si="2"/>
        <v>31</v>
      </c>
      <c r="AU43" s="4">
        <f t="shared" si="3"/>
        <v>30</v>
      </c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</row>
    <row r="44" spans="1:78" ht="18.75" x14ac:dyDescent="0.3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IFERROR(LOOKUP(2,1/((#REF!=mar!$A44)*(#REF!&lt;=mar!F$3)*(#REF!&gt;=mar!F$3)),#REF!),IF(WEEKDAY(mar!F$3,1)=1,"WO","P"))</f>
        <v>WO</v>
      </c>
      <c r="G44" s="4" t="str">
        <f>IFERROR(LOOKUP(2,1/((lentry!$A$3:$A$3999=mar!$A44)*(lentry!$B$3:$B$3999&lt;=mar!G$3)*(lentry!$C$3:$C$3999&gt;=mar!G$3)),lentry!$D$3:$D$3999),IF(WEEKDAY(mar!G$3,1)=1,"WO","P"))</f>
        <v>P</v>
      </c>
      <c r="H44" s="4" t="str">
        <f>IFERROR(LOOKUP(2,1/((lentry!$A$3:$A$3999=mar!$A44)*(lentry!$B$3:$B$3999&lt;=mar!H$3)*(lentry!$C$3:$C$3999&gt;=mar!H$3)),lentry!$D$3:$D$3999),IF(WEEKDAY(mar!H$3,1)=1,"WO","P"))</f>
        <v>P</v>
      </c>
      <c r="I44" s="4" t="s">
        <v>350</v>
      </c>
      <c r="J44" s="4" t="str">
        <f>IFERROR(LOOKUP(2,1/((lentry!$A$3:$A$3999=mar!$A44)*(lentry!$B$3:$B$3999&lt;=mar!J$3)*(lentry!$C$3:$C$3999&gt;=mar!J$3)),lentry!$D$3:$D$3999),IF(WEEKDAY(mar!J$3,1)=1,"WO","P"))</f>
        <v>P</v>
      </c>
      <c r="K44" s="4" t="str">
        <f>IFERROR(LOOKUP(2,1/((lentry!$A$3:$A$3999=mar!$A44)*(lentry!$B$3:$B$3999&lt;=mar!K$3)*(lentry!$C$3:$C$3999&gt;=mar!K$3)),lentry!$D$3:$D$3999),IF(WEEKDAY(mar!K$3,1)=1,"WO","P"))</f>
        <v>P</v>
      </c>
      <c r="L44" s="4" t="str">
        <f>IFERROR(LOOKUP(2,1/((lentry!$A$3:$A$3999=mar!$A44)*(lentry!$B$3:$B$3999&lt;=mar!L$3)*(lentry!$C$3:$C$3999&gt;=mar!L$3)),lentry!$D$3:$D$3999),IF(WEEKDAY(mar!L$3,1)=1,"WO","P"))</f>
        <v>P</v>
      </c>
      <c r="M44" s="4" t="str">
        <f>IFERROR(LOOKUP(2,1/((#REF!=mar!$A44)*(#REF!&lt;=mar!M$3)*(#REF!&gt;=mar!M$3)),#REF!),IF(WEEKDAY(mar!M$3,1)=1,"WO","P"))</f>
        <v>WO</v>
      </c>
      <c r="N44" s="4" t="str">
        <f>IFERROR(LOOKUP(2,1/((lentry!$A$3:$A$3999=mar!$A44)*(lentry!$B$3:$B$3999&lt;=mar!N$3)*(lentry!$C$3:$C$3999&gt;=mar!N$3)),lentry!$D$3:$D$3999),IF(WEEKDAY(mar!N$3,1)=1,"WO","P"))</f>
        <v>P</v>
      </c>
      <c r="O44" s="4" t="str">
        <f>IFERROR(LOOKUP(2,1/((lentry!$A$3:$A$3999=mar!$A44)*(lentry!$B$3:$B$3999&lt;=mar!O$3)*(lentry!$C$3:$C$3999&gt;=mar!O$3)),lentry!$D$3:$D$3999),IF(WEEKDAY(mar!O$3,1)=1,"WO","P"))</f>
        <v>P</v>
      </c>
      <c r="P44" s="4" t="str">
        <f>IFERROR(LOOKUP(2,1/((lentry!$A$3:$A$3999=mar!$A44)*(lentry!$B$3:$B$3999&lt;=mar!P$3)*(lentry!$C$3:$C$3999&gt;=mar!P$3)),lentry!$D$3:$D$3999),IF(WEEKDAY(mar!P$3,1)=1,"WO","P"))</f>
        <v>P</v>
      </c>
      <c r="Q44" s="4" t="str">
        <f>IFERROR(LOOKUP(2,1/((lentry!$A$3:$A$3999=mar!$A44)*(lentry!$B$3:$B$3999&lt;=mar!Q$3)*(lentry!$C$3:$C$3999&gt;=mar!Q$3)),lentry!$D$3:$D$3999),IF(WEEKDAY(mar!Q$3,1)=1,"WO","P"))</f>
        <v>P</v>
      </c>
      <c r="R44" s="4" t="str">
        <f>IFERROR(LOOKUP(2,1/((lentry!$A$3:$A$3999=mar!$A44)*(lentry!$B$3:$B$3999&lt;=mar!R$3)*(lentry!$C$3:$C$3999&gt;=mar!R$3)),lentry!$D$3:$D$3999),IF(WEEKDAY(mar!R$3,1)=1,"WO","P"))</f>
        <v>P</v>
      </c>
      <c r="S44" s="4" t="str">
        <f>IFERROR(LOOKUP(2,1/((lentry!$A$3:$A$3999=mar!$A44)*(lentry!$B$3:$B$3999&lt;=mar!S$3)*(lentry!$C$3:$C$3999&gt;=mar!S$3)),lentry!$D$3:$D$3999),IF(WEEKDAY(mar!S$3,1)=1,"WO","P"))</f>
        <v>P</v>
      </c>
      <c r="T44" s="4" t="str">
        <f>IFERROR(LOOKUP(2,1/((lentry!$A$3:$A$3999=mar!$A44)*(lentry!$B$3:$B$3999&lt;=mar!T$3)*(lentry!$C$3:$C$3999&gt;=mar!T$3)),lentry!$D$3:$D$3999),IF(WEEKDAY(mar!T$3,1)=1,"WO","P"))</f>
        <v>WO</v>
      </c>
      <c r="U44" s="4" t="str">
        <f>IFERROR(LOOKUP(2,1/((lentry!$A$3:$A$3999=mar!$A44)*(lentry!$B$3:$B$3999&lt;=mar!U$3)*(lentry!$C$3:$C$3999&gt;=mar!U$3)),lentry!$D$3:$D$3999),IF(WEEKDAY(mar!U$3,1)=1,"WO","P"))</f>
        <v>P</v>
      </c>
      <c r="V44" s="4" t="s">
        <v>539</v>
      </c>
      <c r="W44" s="4" t="str">
        <f>IFERROR(LOOKUP(2,1/((lentry!$A$3:$A$3999=mar!$A44)*(lentry!$B$3:$B$3999&lt;=mar!W$3)*(lentry!$C$3:$C$3999&gt;=mar!W$3)),lentry!$D$3:$D$3999),IF(WEEKDAY(mar!W$3,1)=1,"WO","P"))</f>
        <v>P</v>
      </c>
      <c r="X44" s="4" t="str">
        <f>IFERROR(LOOKUP(2,1/((lentry!$A$3:$A$3999=mar!$A44)*(lentry!$B$3:$B$3999&lt;=mar!X$3)*(lentry!$C$3:$C$3999&gt;=mar!X$3)),lentry!$D$3:$D$3999),IF(WEEKDAY(mar!X$3,1)=1,"WO","P"))</f>
        <v>P</v>
      </c>
      <c r="Y44" s="4" t="str">
        <f>IFERROR(LOOKUP(2,1/((lentry!$A$3:$A$3999=mar!$A44)*(lentry!$B$3:$B$3999&lt;=mar!Y$3)*(lentry!$C$3:$C$3999&gt;=mar!Y$3)),lentry!$D$3:$D$3999),IF(WEEKDAY(mar!Y$3,1)=1,"WO","P"))</f>
        <v>P</v>
      </c>
      <c r="Z44" s="4" t="s">
        <v>350</v>
      </c>
      <c r="AA44" s="4" t="str">
        <f>IFERROR(LOOKUP(2,1/((lentry!$A$3:$A$3999=mar!$A44)*(lentry!$B$3:$B$3999&lt;=mar!AA$3)*(lentry!$C$3:$C$3999&gt;=mar!AA$3)),lentry!$D$3:$D$3999),IF(WEEKDAY(mar!AA$3,1)=1,"WO","P"))</f>
        <v>WO</v>
      </c>
      <c r="AB44" s="4" t="str">
        <f>IFERROR(LOOKUP(2,1/((lentry!$A$3:$A$3999=mar!$A44)*(lentry!$B$3:$B$3999&lt;=mar!AB$3)*(lentry!$C$3:$C$3999&gt;=mar!AB$3)),lentry!$D$3:$D$3999),IF(WEEKDAY(mar!AB$3,1)=1,"WO","P"))</f>
        <v>P</v>
      </c>
      <c r="AC44" s="4" t="s">
        <v>539</v>
      </c>
      <c r="AD44" s="4" t="str">
        <f>IFERROR(LOOKUP(2,1/((lentry!$A$3:$A$3999=mar!$A44)*(lentry!$B$3:$B$3999&lt;=mar!AD$3)*(lentry!$C$3:$C$3999&gt;=mar!AD$3)),lentry!$D$3:$D$3999),IF(WEEKDAY(mar!AD$3,1)=1,"WO","P"))</f>
        <v>P</v>
      </c>
      <c r="AE44" s="4" t="str">
        <f>IFERROR(LOOKUP(2,1/((lentry!$A$3:$A$3999=mar!$A44)*(lentry!$B$3:$B$3999&lt;=mar!AE$3)*(lentry!$C$3:$C$3999&gt;=mar!AE$3)),lentry!$D$3:$D$3999),IF(WEEKDAY(mar!AE$3,1)=1,"WO","P"))</f>
        <v>P</v>
      </c>
      <c r="AF44" s="4" t="str">
        <f>IFERROR(LOOKUP(2,1/((lentry!$A$3:$A$3999=mar!$A44)*(lentry!$B$3:$B$3999&lt;=mar!AF$3)*(lentry!$C$3:$C$3999&gt;=mar!AF$3)),lentry!$D$3:$D$3999),IF(WEEKDAY(mar!AF$3,1)=1,"WO","P"))</f>
        <v>P</v>
      </c>
      <c r="AG44" s="4" t="str">
        <f>IFERROR(LOOKUP(2,1/((lentry!$A$3:$A$3999=mar!$A44)*(lentry!$B$3:$B$3999&lt;=mar!AG$3)*(lentry!$C$3:$C$3999&gt;=mar!AG$3)),lentry!$D$3:$D$3999),IF(WEEKDAY(mar!AG$3,1)=1,"WO","P"))</f>
        <v>P</v>
      </c>
      <c r="AH44" s="4" t="str">
        <f>IFERROR(LOOKUP(2,1/((lentry!$A$3:$A$3999=mar!$A44)*(lentry!$B$3:$B$3999&lt;=mar!AH$3)*(lentry!$C$3:$C$3999&gt;=mar!AH$3)),lentry!$D$3:$D$3999),IF(WEEKDAY(mar!AH$3,1)=1,"WO","P"))</f>
        <v>WO</v>
      </c>
      <c r="AI44" s="4" t="str">
        <f>IFERROR(LOOKUP(2,1/((lentry!$A$3:$A$3999=mar!$A44)*(lentry!$B$3:$B$3999&lt;=mar!AI$3)*(lentry!$C$3:$C$3999&gt;=mar!AI$3)),lentry!$D$3:$D$3999),IF(WEEKDAY(mar!AI$3,1)=1,"WO","P"))</f>
        <v>P</v>
      </c>
      <c r="AJ44" s="4" t="str">
        <f>IFERROR(LOOKUP(2,1/((lentry!$A$3:$A$3999=mar!$A44)*(lentry!$B$3:$B$3999&lt;=mar!AJ$3)*(lentry!$C$3:$C$3999&gt;=mar!AJ$3)),lentry!$D$3:$D$3999),IF(WEEKDAY(mar!AJ$3,1)=1,"WO","P"))</f>
        <v>P</v>
      </c>
      <c r="AK44" s="4">
        <f>COUNTIF(mar!$F44:$AJ44,"WO")</f>
        <v>5</v>
      </c>
      <c r="AL44" s="4">
        <f>COUNTIF(mar!$F44:$AJ44,"H")</f>
        <v>2</v>
      </c>
      <c r="AM44" s="4">
        <f>COUNTIF(mar!$F44:$AJ44,"pl")</f>
        <v>0</v>
      </c>
      <c r="AN44" s="4">
        <f>COUNTIF(mar!$F44:$AJ44,"LWP")</f>
        <v>0</v>
      </c>
      <c r="AO44" s="4">
        <f>COUNTIF(mar!$F44:$AJ44,"HD")</f>
        <v>0</v>
      </c>
      <c r="AP44" s="4">
        <f>COUNTIF(mar!$F44:$AJ44,"SL")</f>
        <v>0</v>
      </c>
      <c r="AQ44" s="4">
        <f>COUNTIF(mar!$F44:$AJ44,"CL")</f>
        <v>0</v>
      </c>
      <c r="AR44" s="4">
        <f>COUNTIF(mar!$F44:$AJ44,"A")</f>
        <v>2</v>
      </c>
      <c r="AS44" s="4">
        <f>COUNTIF(mar!$F44:$AJ44,"P")</f>
        <v>22</v>
      </c>
      <c r="AT44" s="4">
        <f t="shared" si="2"/>
        <v>31</v>
      </c>
      <c r="AU44" s="4">
        <f t="shared" si="3"/>
        <v>29</v>
      </c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</row>
    <row r="45" spans="1:78" ht="18.75" x14ac:dyDescent="0.3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IFERROR(LOOKUP(2,1/((#REF!=mar!$A45)*(#REF!&lt;=mar!F$3)*(#REF!&gt;=mar!F$3)),#REF!),IF(WEEKDAY(mar!F$3,1)=1,"WO","P"))</f>
        <v>WO</v>
      </c>
      <c r="G45" s="4" t="str">
        <f>IFERROR(LOOKUP(2,1/((lentry!$A$3:$A$3999=mar!$A45)*(lentry!$B$3:$B$3999&lt;=mar!G$3)*(lentry!$C$3:$C$3999&gt;=mar!G$3)),lentry!$D$3:$D$3999),IF(WEEKDAY(mar!G$3,1)=1,"WO","P"))</f>
        <v>P</v>
      </c>
      <c r="H45" s="4" t="str">
        <f>IFERROR(LOOKUP(2,1/((lentry!$A$3:$A$3999=mar!$A45)*(lentry!$B$3:$B$3999&lt;=mar!H$3)*(lentry!$C$3:$C$3999&gt;=mar!H$3)),lentry!$D$3:$D$3999),IF(WEEKDAY(mar!H$3,1)=1,"WO","P"))</f>
        <v>P</v>
      </c>
      <c r="I45" s="4" t="s">
        <v>350</v>
      </c>
      <c r="J45" s="4" t="str">
        <f>IFERROR(LOOKUP(2,1/((lentry!$A$3:$A$3999=mar!$A45)*(lentry!$B$3:$B$3999&lt;=mar!J$3)*(lentry!$C$3:$C$3999&gt;=mar!J$3)),lentry!$D$3:$D$3999),IF(WEEKDAY(mar!J$3,1)=1,"WO","P"))</f>
        <v>P</v>
      </c>
      <c r="K45" s="4" t="str">
        <f>IFERROR(LOOKUP(2,1/((lentry!$A$3:$A$3999=mar!$A45)*(lentry!$B$3:$B$3999&lt;=mar!K$3)*(lentry!$C$3:$C$3999&gt;=mar!K$3)),lentry!$D$3:$D$3999),IF(WEEKDAY(mar!K$3,1)=1,"WO","P"))</f>
        <v>P</v>
      </c>
      <c r="L45" s="4" t="str">
        <f>IFERROR(LOOKUP(2,1/((lentry!$A$3:$A$3999=mar!$A45)*(lentry!$B$3:$B$3999&lt;=mar!L$3)*(lentry!$C$3:$C$3999&gt;=mar!L$3)),lentry!$D$3:$D$3999),IF(WEEKDAY(mar!L$3,1)=1,"WO","P"))</f>
        <v>P</v>
      </c>
      <c r="M45" s="4" t="str">
        <f>IFERROR(LOOKUP(2,1/((#REF!=mar!$A45)*(#REF!&lt;=mar!M$3)*(#REF!&gt;=mar!M$3)),#REF!),IF(WEEKDAY(mar!M$3,1)=1,"WO","P"))</f>
        <v>WO</v>
      </c>
      <c r="N45" s="4" t="str">
        <f>IFERROR(LOOKUP(2,1/((lentry!$A$3:$A$3999=mar!$A45)*(lentry!$B$3:$B$3999&lt;=mar!N$3)*(lentry!$C$3:$C$3999&gt;=mar!N$3)),lentry!$D$3:$D$3999),IF(WEEKDAY(mar!N$3,1)=1,"WO","P"))</f>
        <v>P</v>
      </c>
      <c r="O45" s="4" t="str">
        <f>IFERROR(LOOKUP(2,1/((lentry!$A$3:$A$3999=mar!$A45)*(lentry!$B$3:$B$3999&lt;=mar!O$3)*(lentry!$C$3:$C$3999&gt;=mar!O$3)),lentry!$D$3:$D$3999),IF(WEEKDAY(mar!O$3,1)=1,"WO","P"))</f>
        <v>P</v>
      </c>
      <c r="P45" s="4" t="str">
        <f>IFERROR(LOOKUP(2,1/((lentry!$A$3:$A$3999=mar!$A45)*(lentry!$B$3:$B$3999&lt;=mar!P$3)*(lentry!$C$3:$C$3999&gt;=mar!P$3)),lentry!$D$3:$D$3999),IF(WEEKDAY(mar!P$3,1)=1,"WO","P"))</f>
        <v>P</v>
      </c>
      <c r="Q45" s="4" t="str">
        <f>IFERROR(LOOKUP(2,1/((lentry!$A$3:$A$3999=mar!$A45)*(lentry!$B$3:$B$3999&lt;=mar!Q$3)*(lentry!$C$3:$C$3999&gt;=mar!Q$3)),lentry!$D$3:$D$3999),IF(WEEKDAY(mar!Q$3,1)=1,"WO","P"))</f>
        <v>P</v>
      </c>
      <c r="R45" s="4" t="str">
        <f>IFERROR(LOOKUP(2,1/((lentry!$A$3:$A$3999=mar!$A45)*(lentry!$B$3:$B$3999&lt;=mar!R$3)*(lentry!$C$3:$C$3999&gt;=mar!R$3)),lentry!$D$3:$D$3999),IF(WEEKDAY(mar!R$3,1)=1,"WO","P"))</f>
        <v>P</v>
      </c>
      <c r="S45" s="4" t="str">
        <f>IFERROR(LOOKUP(2,1/((lentry!$A$3:$A$3999=mar!$A45)*(lentry!$B$3:$B$3999&lt;=mar!S$3)*(lentry!$C$3:$C$3999&gt;=mar!S$3)),lentry!$D$3:$D$3999),IF(WEEKDAY(mar!S$3,1)=1,"WO","P"))</f>
        <v>P</v>
      </c>
      <c r="T45" s="4" t="str">
        <f>IFERROR(LOOKUP(2,1/((lentry!$A$3:$A$3999=mar!$A45)*(lentry!$B$3:$B$3999&lt;=mar!T$3)*(lentry!$C$3:$C$3999&gt;=mar!T$3)),lentry!$D$3:$D$3999),IF(WEEKDAY(mar!T$3,1)=1,"WO","P"))</f>
        <v>WO</v>
      </c>
      <c r="U45" s="4" t="str">
        <f>IFERROR(LOOKUP(2,1/((lentry!$A$3:$A$3999=mar!$A45)*(lentry!$B$3:$B$3999&lt;=mar!U$3)*(lentry!$C$3:$C$3999&gt;=mar!U$3)),lentry!$D$3:$D$3999),IF(WEEKDAY(mar!U$3,1)=1,"WO","P"))</f>
        <v>P</v>
      </c>
      <c r="V45" s="4" t="str">
        <f>IFERROR(LOOKUP(2,1/((lentry!$A$3:$A$3999=mar!$A45)*(lentry!$B$3:$B$3999&lt;=mar!V$3)*(lentry!$C$3:$C$3999&gt;=mar!V$3)),lentry!$D$3:$D$3999),IF(WEEKDAY(mar!V$3,1)=1,"WO","P"))</f>
        <v>P</v>
      </c>
      <c r="W45" s="4" t="str">
        <f>IFERROR(LOOKUP(2,1/((lentry!$A$3:$A$3999=mar!$A45)*(lentry!$B$3:$B$3999&lt;=mar!W$3)*(lentry!$C$3:$C$3999&gt;=mar!W$3)),lentry!$D$3:$D$3999),IF(WEEKDAY(mar!W$3,1)=1,"WO","P"))</f>
        <v>P</v>
      </c>
      <c r="X45" s="4" t="str">
        <f>IFERROR(LOOKUP(2,1/((lentry!$A$3:$A$3999=mar!$A45)*(lentry!$B$3:$B$3999&lt;=mar!X$3)*(lentry!$C$3:$C$3999&gt;=mar!X$3)),lentry!$D$3:$D$3999),IF(WEEKDAY(mar!X$3,1)=1,"WO","P"))</f>
        <v>P</v>
      </c>
      <c r="Y45" s="4" t="str">
        <f>IFERROR(LOOKUP(2,1/((lentry!$A$3:$A$3999=mar!$A45)*(lentry!$B$3:$B$3999&lt;=mar!Y$3)*(lentry!$C$3:$C$3999&gt;=mar!Y$3)),lentry!$D$3:$D$3999),IF(WEEKDAY(mar!Y$3,1)=1,"WO","P"))</f>
        <v>P</v>
      </c>
      <c r="Z45" s="4" t="s">
        <v>350</v>
      </c>
      <c r="AA45" s="4" t="str">
        <f>IFERROR(LOOKUP(2,1/((lentry!$A$3:$A$3999=mar!$A45)*(lentry!$B$3:$B$3999&lt;=mar!AA$3)*(lentry!$C$3:$C$3999&gt;=mar!AA$3)),lentry!$D$3:$D$3999),IF(WEEKDAY(mar!AA$3,1)=1,"WO","P"))</f>
        <v>WO</v>
      </c>
      <c r="AB45" s="4" t="str">
        <f>IFERROR(LOOKUP(2,1/((lentry!$A$3:$A$3999=mar!$A45)*(lentry!$B$3:$B$3999&lt;=mar!AB$3)*(lentry!$C$3:$C$3999&gt;=mar!AB$3)),lentry!$D$3:$D$3999),IF(WEEKDAY(mar!AB$3,1)=1,"WO","P"))</f>
        <v>P</v>
      </c>
      <c r="AC45" s="4" t="str">
        <f>IFERROR(LOOKUP(2,1/((lentry!$A$3:$A$3999=mar!$A45)*(lentry!$B$3:$B$3999&lt;=mar!AC$3)*(lentry!$C$3:$C$3999&gt;=mar!AC$3)),lentry!$D$3:$D$3999),IF(WEEKDAY(mar!AC$3,1)=1,"WO","P"))</f>
        <v>P</v>
      </c>
      <c r="AD45" s="4" t="str">
        <f>IFERROR(LOOKUP(2,1/((lentry!$A$3:$A$3999=mar!$A45)*(lentry!$B$3:$B$3999&lt;=mar!AD$3)*(lentry!$C$3:$C$3999&gt;=mar!AD$3)),lentry!$D$3:$D$3999),IF(WEEKDAY(mar!AD$3,1)=1,"WO","P"))</f>
        <v>P</v>
      </c>
      <c r="AE45" s="4" t="str">
        <f>IFERROR(LOOKUP(2,1/((lentry!$A$3:$A$3999=mar!$A45)*(lentry!$B$3:$B$3999&lt;=mar!AE$3)*(lentry!$C$3:$C$3999&gt;=mar!AE$3)),lentry!$D$3:$D$3999),IF(WEEKDAY(mar!AE$3,1)=1,"WO","P"))</f>
        <v>P</v>
      </c>
      <c r="AF45" s="4" t="str">
        <f>IFERROR(LOOKUP(2,1/((lentry!$A$3:$A$3999=mar!$A45)*(lentry!$B$3:$B$3999&lt;=mar!AF$3)*(lentry!$C$3:$C$3999&gt;=mar!AF$3)),lentry!$D$3:$D$3999),IF(WEEKDAY(mar!AF$3,1)=1,"WO","P"))</f>
        <v>P</v>
      </c>
      <c r="AG45" s="4" t="str">
        <f>IFERROR(LOOKUP(2,1/((lentry!$A$3:$A$3999=mar!$A45)*(lentry!$B$3:$B$3999&lt;=mar!AG$3)*(lentry!$C$3:$C$3999&gt;=mar!AG$3)),lentry!$D$3:$D$3999),IF(WEEKDAY(mar!AG$3,1)=1,"WO","P"))</f>
        <v>P</v>
      </c>
      <c r="AH45" s="4" t="str">
        <f>IFERROR(LOOKUP(2,1/((lentry!$A$3:$A$3999=mar!$A45)*(lentry!$B$3:$B$3999&lt;=mar!AH$3)*(lentry!$C$3:$C$3999&gt;=mar!AH$3)),lentry!$D$3:$D$3999),IF(WEEKDAY(mar!AH$3,1)=1,"WO","P"))</f>
        <v>WO</v>
      </c>
      <c r="AI45" s="4" t="str">
        <f>IFERROR(LOOKUP(2,1/((lentry!$A$3:$A$3999=mar!$A45)*(lentry!$B$3:$B$3999&lt;=mar!AI$3)*(lentry!$C$3:$C$3999&gt;=mar!AI$3)),lentry!$D$3:$D$3999),IF(WEEKDAY(mar!AI$3,1)=1,"WO","P"))</f>
        <v>P</v>
      </c>
      <c r="AJ45" s="4" t="str">
        <f>IFERROR(LOOKUP(2,1/((lentry!$A$3:$A$3999=mar!$A45)*(lentry!$B$3:$B$3999&lt;=mar!AJ$3)*(lentry!$C$3:$C$3999&gt;=mar!AJ$3)),lentry!$D$3:$D$3999),IF(WEEKDAY(mar!AJ$3,1)=1,"WO","P"))</f>
        <v>P</v>
      </c>
      <c r="AK45" s="4">
        <f>COUNTIF(mar!$F45:$AJ45,"WO")</f>
        <v>5</v>
      </c>
      <c r="AL45" s="4">
        <f>COUNTIF(mar!$F45:$AJ45,"H")</f>
        <v>2</v>
      </c>
      <c r="AM45" s="4">
        <f>COUNTIF(mar!$F45:$AJ45,"pl")</f>
        <v>0</v>
      </c>
      <c r="AN45" s="4">
        <f>COUNTIF(mar!$F45:$AJ45,"LWP")</f>
        <v>0</v>
      </c>
      <c r="AO45" s="4">
        <f>COUNTIF(mar!$F45:$AJ45,"HD")</f>
        <v>0</v>
      </c>
      <c r="AP45" s="4">
        <f>COUNTIF(mar!$F45:$AJ45,"SL")</f>
        <v>0</v>
      </c>
      <c r="AQ45" s="4">
        <f>COUNTIF(mar!$F45:$AJ45,"CL")</f>
        <v>0</v>
      </c>
      <c r="AR45" s="4">
        <f>COUNTIF(mar!$F45:$AJ45,"A")</f>
        <v>0</v>
      </c>
      <c r="AS45" s="4">
        <f>COUNTIF(mar!$F45:$AJ45,"P")</f>
        <v>24</v>
      </c>
      <c r="AT45" s="4">
        <f t="shared" si="2"/>
        <v>31</v>
      </c>
      <c r="AU45" s="4">
        <f t="shared" si="3"/>
        <v>31</v>
      </c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</row>
    <row r="46" spans="1:78" ht="18.75" x14ac:dyDescent="0.3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IFERROR(LOOKUP(2,1/((#REF!=mar!$A46)*(#REF!&lt;=mar!F$3)*(#REF!&gt;=mar!F$3)),#REF!),IF(WEEKDAY(mar!F$3,1)=1,"WO","P"))</f>
        <v>WO</v>
      </c>
      <c r="G46" s="4" t="str">
        <f>IFERROR(LOOKUP(2,1/((lentry!$A$3:$A$3999=mar!$A46)*(lentry!$B$3:$B$3999&lt;=mar!G$3)*(lentry!$C$3:$C$3999&gt;=mar!G$3)),lentry!$D$3:$D$3999),IF(WEEKDAY(mar!G$3,1)=1,"WO","P"))</f>
        <v>P</v>
      </c>
      <c r="H46" s="4" t="str">
        <f>IFERROR(LOOKUP(2,1/((lentry!$A$3:$A$3999=mar!$A46)*(lentry!$B$3:$B$3999&lt;=mar!H$3)*(lentry!$C$3:$C$3999&gt;=mar!H$3)),lentry!$D$3:$D$3999),IF(WEEKDAY(mar!H$3,1)=1,"WO","P"))</f>
        <v>P</v>
      </c>
      <c r="I46" s="4" t="s">
        <v>350</v>
      </c>
      <c r="J46" s="4" t="str">
        <f>IFERROR(LOOKUP(2,1/((lentry!$A$3:$A$3999=mar!$A46)*(lentry!$B$3:$B$3999&lt;=mar!J$3)*(lentry!$C$3:$C$3999&gt;=mar!J$3)),lentry!$D$3:$D$3999),IF(WEEKDAY(mar!J$3,1)=1,"WO","P"))</f>
        <v>P</v>
      </c>
      <c r="K46" s="4" t="str">
        <f>IFERROR(LOOKUP(2,1/((lentry!$A$3:$A$3999=mar!$A46)*(lentry!$B$3:$B$3999&lt;=mar!K$3)*(lentry!$C$3:$C$3999&gt;=mar!K$3)),lentry!$D$3:$D$3999),IF(WEEKDAY(mar!K$3,1)=1,"WO","P"))</f>
        <v>P</v>
      </c>
      <c r="L46" s="4" t="str">
        <f>IFERROR(LOOKUP(2,1/((lentry!$A$3:$A$3999=mar!$A46)*(lentry!$B$3:$B$3999&lt;=mar!L$3)*(lentry!$C$3:$C$3999&gt;=mar!L$3)),lentry!$D$3:$D$3999),IF(WEEKDAY(mar!L$3,1)=1,"WO","P"))</f>
        <v>P</v>
      </c>
      <c r="M46" s="4" t="str">
        <f>IFERROR(LOOKUP(2,1/((#REF!=mar!$A46)*(#REF!&lt;=mar!M$3)*(#REF!&gt;=mar!M$3)),#REF!),IF(WEEKDAY(mar!M$3,1)=1,"WO","P"))</f>
        <v>WO</v>
      </c>
      <c r="N46" s="4" t="str">
        <f>IFERROR(LOOKUP(2,1/((lentry!$A$3:$A$3999=mar!$A46)*(lentry!$B$3:$B$3999&lt;=mar!N$3)*(lentry!$C$3:$C$3999&gt;=mar!N$3)),lentry!$D$3:$D$3999),IF(WEEKDAY(mar!N$3,1)=1,"WO","P"))</f>
        <v>P</v>
      </c>
      <c r="O46" s="4" t="str">
        <f>IFERROR(LOOKUP(2,1/((lentry!$A$3:$A$3999=mar!$A46)*(lentry!$B$3:$B$3999&lt;=mar!O$3)*(lentry!$C$3:$C$3999&gt;=mar!O$3)),lentry!$D$3:$D$3999),IF(WEEKDAY(mar!O$3,1)=1,"WO","P"))</f>
        <v>P</v>
      </c>
      <c r="P46" s="4" t="str">
        <f>IFERROR(LOOKUP(2,1/((lentry!$A$3:$A$3999=mar!$A46)*(lentry!$B$3:$B$3999&lt;=mar!P$3)*(lentry!$C$3:$C$3999&gt;=mar!P$3)),lentry!$D$3:$D$3999),IF(WEEKDAY(mar!P$3,1)=1,"WO","P"))</f>
        <v>P</v>
      </c>
      <c r="Q46" s="4" t="str">
        <f>IFERROR(LOOKUP(2,1/((lentry!$A$3:$A$3999=mar!$A46)*(lentry!$B$3:$B$3999&lt;=mar!Q$3)*(lentry!$C$3:$C$3999&gt;=mar!Q$3)),lentry!$D$3:$D$3999),IF(WEEKDAY(mar!Q$3,1)=1,"WO","P"))</f>
        <v>P</v>
      </c>
      <c r="R46" s="4" t="str">
        <f>IFERROR(LOOKUP(2,1/((lentry!$A$3:$A$3999=mar!$A46)*(lentry!$B$3:$B$3999&lt;=mar!R$3)*(lentry!$C$3:$C$3999&gt;=mar!R$3)),lentry!$D$3:$D$3999),IF(WEEKDAY(mar!R$3,1)=1,"WO","P"))</f>
        <v>P</v>
      </c>
      <c r="S46" s="4" t="str">
        <f>IFERROR(LOOKUP(2,1/((lentry!$A$3:$A$3999=mar!$A46)*(lentry!$B$3:$B$3999&lt;=mar!S$3)*(lentry!$C$3:$C$3999&gt;=mar!S$3)),lentry!$D$3:$D$3999),IF(WEEKDAY(mar!S$3,1)=1,"WO","P"))</f>
        <v>P</v>
      </c>
      <c r="T46" s="4" t="str">
        <f>IFERROR(LOOKUP(2,1/((lentry!$A$3:$A$3999=mar!$A46)*(lentry!$B$3:$B$3999&lt;=mar!T$3)*(lentry!$C$3:$C$3999&gt;=mar!T$3)),lentry!$D$3:$D$3999),IF(WEEKDAY(mar!T$3,1)=1,"WO","P"))</f>
        <v>WO</v>
      </c>
      <c r="U46" s="4" t="str">
        <f>IFERROR(LOOKUP(2,1/((lentry!$A$3:$A$3999=mar!$A46)*(lentry!$B$3:$B$3999&lt;=mar!U$3)*(lentry!$C$3:$C$3999&gt;=mar!U$3)),lentry!$D$3:$D$3999),IF(WEEKDAY(mar!U$3,1)=1,"WO","P"))</f>
        <v>P</v>
      </c>
      <c r="V46" s="4" t="str">
        <f>IFERROR(LOOKUP(2,1/((lentry!$A$3:$A$3999=mar!$A46)*(lentry!$B$3:$B$3999&lt;=mar!V$3)*(lentry!$C$3:$C$3999&gt;=mar!V$3)),lentry!$D$3:$D$3999),IF(WEEKDAY(mar!V$3,1)=1,"WO","P"))</f>
        <v>P</v>
      </c>
      <c r="W46" s="4" t="str">
        <f>IFERROR(LOOKUP(2,1/((lentry!$A$3:$A$3999=mar!$A46)*(lentry!$B$3:$B$3999&lt;=mar!W$3)*(lentry!$C$3:$C$3999&gt;=mar!W$3)),lentry!$D$3:$D$3999),IF(WEEKDAY(mar!W$3,1)=1,"WO","P"))</f>
        <v>P</v>
      </c>
      <c r="X46" s="4" t="str">
        <f>IFERROR(LOOKUP(2,1/((lentry!$A$3:$A$3999=mar!$A46)*(lentry!$B$3:$B$3999&lt;=mar!X$3)*(lentry!$C$3:$C$3999&gt;=mar!X$3)),lentry!$D$3:$D$3999),IF(WEEKDAY(mar!X$3,1)=1,"WO","P"))</f>
        <v>P</v>
      </c>
      <c r="Y46" s="4" t="str">
        <f>IFERROR(LOOKUP(2,1/((lentry!$A$3:$A$3999=mar!$A46)*(lentry!$B$3:$B$3999&lt;=mar!Y$3)*(lentry!$C$3:$C$3999&gt;=mar!Y$3)),lentry!$D$3:$D$3999),IF(WEEKDAY(mar!Y$3,1)=1,"WO","P"))</f>
        <v>P</v>
      </c>
      <c r="Z46" s="4" t="s">
        <v>350</v>
      </c>
      <c r="AA46" s="4" t="str">
        <f>IFERROR(LOOKUP(2,1/((lentry!$A$3:$A$3999=mar!$A46)*(lentry!$B$3:$B$3999&lt;=mar!AA$3)*(lentry!$C$3:$C$3999&gt;=mar!AA$3)),lentry!$D$3:$D$3999),IF(WEEKDAY(mar!AA$3,1)=1,"WO","P"))</f>
        <v>WO</v>
      </c>
      <c r="AB46" s="4" t="str">
        <f>IFERROR(LOOKUP(2,1/((lentry!$A$3:$A$3999=mar!$A46)*(lentry!$B$3:$B$3999&lt;=mar!AB$3)*(lentry!$C$3:$C$3999&gt;=mar!AB$3)),lentry!$D$3:$D$3999),IF(WEEKDAY(mar!AB$3,1)=1,"WO","P"))</f>
        <v>P</v>
      </c>
      <c r="AC46" s="4" t="str">
        <f>IFERROR(LOOKUP(2,1/((lentry!$A$3:$A$3999=mar!$A46)*(lentry!$B$3:$B$3999&lt;=mar!AC$3)*(lentry!$C$3:$C$3999&gt;=mar!AC$3)),lentry!$D$3:$D$3999),IF(WEEKDAY(mar!AC$3,1)=1,"WO","P"))</f>
        <v>P</v>
      </c>
      <c r="AD46" s="4" t="str">
        <f>IFERROR(LOOKUP(2,1/((lentry!$A$3:$A$3999=mar!$A46)*(lentry!$B$3:$B$3999&lt;=mar!AD$3)*(lentry!$C$3:$C$3999&gt;=mar!AD$3)),lentry!$D$3:$D$3999),IF(WEEKDAY(mar!AD$3,1)=1,"WO","P"))</f>
        <v>P</v>
      </c>
      <c r="AE46" s="4" t="str">
        <f>IFERROR(LOOKUP(2,1/((lentry!$A$3:$A$3999=mar!$A46)*(lentry!$B$3:$B$3999&lt;=mar!AE$3)*(lentry!$C$3:$C$3999&gt;=mar!AE$3)),lentry!$D$3:$D$3999),IF(WEEKDAY(mar!AE$3,1)=1,"WO","P"))</f>
        <v>P</v>
      </c>
      <c r="AF46" s="4" t="str">
        <f>IFERROR(LOOKUP(2,1/((lentry!$A$3:$A$3999=mar!$A46)*(lentry!$B$3:$B$3999&lt;=mar!AF$3)*(lentry!$C$3:$C$3999&gt;=mar!AF$3)),lentry!$D$3:$D$3999),IF(WEEKDAY(mar!AF$3,1)=1,"WO","P"))</f>
        <v>P</v>
      </c>
      <c r="AG46" s="4" t="s">
        <v>539</v>
      </c>
      <c r="AH46" s="4" t="str">
        <f>IFERROR(LOOKUP(2,1/((lentry!$A$3:$A$3999=mar!$A46)*(lentry!$B$3:$B$3999&lt;=mar!AH$3)*(lentry!$C$3:$C$3999&gt;=mar!AH$3)),lentry!$D$3:$D$3999),IF(WEEKDAY(mar!AH$3,1)=1,"WO","P"))</f>
        <v>WO</v>
      </c>
      <c r="AI46" s="4" t="str">
        <f>IFERROR(LOOKUP(2,1/((lentry!$A$3:$A$3999=mar!$A46)*(lentry!$B$3:$B$3999&lt;=mar!AI$3)*(lentry!$C$3:$C$3999&gt;=mar!AI$3)),lentry!$D$3:$D$3999),IF(WEEKDAY(mar!AI$3,1)=1,"WO","P"))</f>
        <v>P</v>
      </c>
      <c r="AJ46" s="4" t="str">
        <f>IFERROR(LOOKUP(2,1/((lentry!$A$3:$A$3999=mar!$A46)*(lentry!$B$3:$B$3999&lt;=mar!AJ$3)*(lentry!$C$3:$C$3999&gt;=mar!AJ$3)),lentry!$D$3:$D$3999),IF(WEEKDAY(mar!AJ$3,1)=1,"WO","P"))</f>
        <v>P</v>
      </c>
      <c r="AK46" s="4">
        <f>COUNTIF(mar!$F46:$AJ46,"WO")</f>
        <v>5</v>
      </c>
      <c r="AL46" s="4">
        <f>COUNTIF(mar!$F46:$AJ46,"H")</f>
        <v>2</v>
      </c>
      <c r="AM46" s="4">
        <f>COUNTIF(mar!$F46:$AJ46,"pl")</f>
        <v>0</v>
      </c>
      <c r="AN46" s="4">
        <f>COUNTIF(mar!$F46:$AJ46,"LWP")</f>
        <v>0</v>
      </c>
      <c r="AO46" s="4">
        <f>COUNTIF(mar!$F46:$AJ46,"HD")</f>
        <v>0</v>
      </c>
      <c r="AP46" s="4">
        <f>COUNTIF(mar!$F46:$AJ46,"SL")</f>
        <v>0</v>
      </c>
      <c r="AQ46" s="4">
        <f>COUNTIF(mar!$F46:$AJ46,"CL")</f>
        <v>0</v>
      </c>
      <c r="AR46" s="4">
        <f>COUNTIF(mar!$F46:$AJ46,"A")</f>
        <v>1</v>
      </c>
      <c r="AS46" s="4">
        <f>COUNTIF(mar!$F46:$AJ46,"P")</f>
        <v>23</v>
      </c>
      <c r="AT46" s="4">
        <f t="shared" si="2"/>
        <v>31</v>
      </c>
      <c r="AU46" s="4">
        <f t="shared" si="3"/>
        <v>30</v>
      </c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</row>
    <row r="47" spans="1:78" ht="18.75" x14ac:dyDescent="0.3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IFERROR(LOOKUP(2,1/((#REF!=mar!$A47)*(#REF!&lt;=mar!F$3)*(#REF!&gt;=mar!F$3)),#REF!),IF(WEEKDAY(mar!F$3,1)=1,"WO","P"))</f>
        <v>WO</v>
      </c>
      <c r="G47" s="4" t="str">
        <f>IFERROR(LOOKUP(2,1/((lentry!$A$3:$A$3999=mar!$A47)*(lentry!$B$3:$B$3999&lt;=mar!G$3)*(lentry!$C$3:$C$3999&gt;=mar!G$3)),lentry!$D$3:$D$3999),IF(WEEKDAY(mar!G$3,1)=1,"WO","P"))</f>
        <v>P</v>
      </c>
      <c r="H47" s="4" t="str">
        <f>IFERROR(LOOKUP(2,1/((lentry!$A$3:$A$3999=mar!$A47)*(lentry!$B$3:$B$3999&lt;=mar!H$3)*(lentry!$C$3:$C$3999&gt;=mar!H$3)),lentry!$D$3:$D$3999),IF(WEEKDAY(mar!H$3,1)=1,"WO","P"))</f>
        <v>P</v>
      </c>
      <c r="I47" s="4" t="s">
        <v>350</v>
      </c>
      <c r="J47" s="4" t="str">
        <f>IFERROR(LOOKUP(2,1/((lentry!$A$3:$A$3999=mar!$A47)*(lentry!$B$3:$B$3999&lt;=mar!J$3)*(lentry!$C$3:$C$3999&gt;=mar!J$3)),lentry!$D$3:$D$3999),IF(WEEKDAY(mar!J$3,1)=1,"WO","P"))</f>
        <v>P</v>
      </c>
      <c r="K47" s="4" t="str">
        <f>IFERROR(LOOKUP(2,1/((lentry!$A$3:$A$3999=mar!$A47)*(lentry!$B$3:$B$3999&lt;=mar!K$3)*(lentry!$C$3:$C$3999&gt;=mar!K$3)),lentry!$D$3:$D$3999),IF(WEEKDAY(mar!K$3,1)=1,"WO","P"))</f>
        <v>P</v>
      </c>
      <c r="L47" s="4" t="str">
        <f>IFERROR(LOOKUP(2,1/((lentry!$A$3:$A$3999=mar!$A47)*(lentry!$B$3:$B$3999&lt;=mar!L$3)*(lentry!$C$3:$C$3999&gt;=mar!L$3)),lentry!$D$3:$D$3999),IF(WEEKDAY(mar!L$3,1)=1,"WO","P"))</f>
        <v>P</v>
      </c>
      <c r="M47" s="4" t="str">
        <f>IFERROR(LOOKUP(2,1/((#REF!=mar!$A47)*(#REF!&lt;=mar!M$3)*(#REF!&gt;=mar!M$3)),#REF!),IF(WEEKDAY(mar!M$3,1)=1,"WO","P"))</f>
        <v>WO</v>
      </c>
      <c r="N47" s="4" t="str">
        <f>IFERROR(LOOKUP(2,1/((lentry!$A$3:$A$3999=mar!$A47)*(lentry!$B$3:$B$3999&lt;=mar!N$3)*(lentry!$C$3:$C$3999&gt;=mar!N$3)),lentry!$D$3:$D$3999),IF(WEEKDAY(mar!N$3,1)=1,"WO","P"))</f>
        <v>P</v>
      </c>
      <c r="O47" s="4" t="str">
        <f>IFERROR(LOOKUP(2,1/((lentry!$A$3:$A$3999=mar!$A47)*(lentry!$B$3:$B$3999&lt;=mar!O$3)*(lentry!$C$3:$C$3999&gt;=mar!O$3)),lentry!$D$3:$D$3999),IF(WEEKDAY(mar!O$3,1)=1,"WO","P"))</f>
        <v>P</v>
      </c>
      <c r="P47" s="4" t="str">
        <f>IFERROR(LOOKUP(2,1/((lentry!$A$3:$A$3999=mar!$A47)*(lentry!$B$3:$B$3999&lt;=mar!P$3)*(lentry!$C$3:$C$3999&gt;=mar!P$3)),lentry!$D$3:$D$3999),IF(WEEKDAY(mar!P$3,1)=1,"WO","P"))</f>
        <v>P</v>
      </c>
      <c r="Q47" s="4" t="str">
        <f>IFERROR(LOOKUP(2,1/((lentry!$A$3:$A$3999=mar!$A47)*(lentry!$B$3:$B$3999&lt;=mar!Q$3)*(lentry!$C$3:$C$3999&gt;=mar!Q$3)),lentry!$D$3:$D$3999),IF(WEEKDAY(mar!Q$3,1)=1,"WO","P"))</f>
        <v>P</v>
      </c>
      <c r="R47" s="4" t="str">
        <f>IFERROR(LOOKUP(2,1/((lentry!$A$3:$A$3999=mar!$A47)*(lentry!$B$3:$B$3999&lt;=mar!R$3)*(lentry!$C$3:$C$3999&gt;=mar!R$3)),lentry!$D$3:$D$3999),IF(WEEKDAY(mar!R$3,1)=1,"WO","P"))</f>
        <v>P</v>
      </c>
      <c r="S47" s="4" t="str">
        <f>IFERROR(LOOKUP(2,1/((lentry!$A$3:$A$3999=mar!$A47)*(lentry!$B$3:$B$3999&lt;=mar!S$3)*(lentry!$C$3:$C$3999&gt;=mar!S$3)),lentry!$D$3:$D$3999),IF(WEEKDAY(mar!S$3,1)=1,"WO","P"))</f>
        <v>P</v>
      </c>
      <c r="T47" s="4" t="str">
        <f>IFERROR(LOOKUP(2,1/((lentry!$A$3:$A$3999=mar!$A47)*(lentry!$B$3:$B$3999&lt;=mar!T$3)*(lentry!$C$3:$C$3999&gt;=mar!T$3)),lentry!$D$3:$D$3999),IF(WEEKDAY(mar!T$3,1)=1,"WO","P"))</f>
        <v>WO</v>
      </c>
      <c r="U47" s="4" t="str">
        <f>IFERROR(LOOKUP(2,1/((lentry!$A$3:$A$3999=mar!$A47)*(lentry!$B$3:$B$3999&lt;=mar!U$3)*(lentry!$C$3:$C$3999&gt;=mar!U$3)),lentry!$D$3:$D$3999),IF(WEEKDAY(mar!U$3,1)=1,"WO","P"))</f>
        <v>P</v>
      </c>
      <c r="V47" s="4" t="str">
        <f>IFERROR(LOOKUP(2,1/((lentry!$A$3:$A$3999=mar!$A47)*(lentry!$B$3:$B$3999&lt;=mar!V$3)*(lentry!$C$3:$C$3999&gt;=mar!V$3)),lentry!$D$3:$D$3999),IF(WEEKDAY(mar!V$3,1)=1,"WO","P"))</f>
        <v>P</v>
      </c>
      <c r="W47" s="4" t="str">
        <f>IFERROR(LOOKUP(2,1/((lentry!$A$3:$A$3999=mar!$A47)*(lentry!$B$3:$B$3999&lt;=mar!W$3)*(lentry!$C$3:$C$3999&gt;=mar!W$3)),lentry!$D$3:$D$3999),IF(WEEKDAY(mar!W$3,1)=1,"WO","P"))</f>
        <v>P</v>
      </c>
      <c r="X47" s="4" t="str">
        <f>IFERROR(LOOKUP(2,1/((lentry!$A$3:$A$3999=mar!$A47)*(lentry!$B$3:$B$3999&lt;=mar!X$3)*(lentry!$C$3:$C$3999&gt;=mar!X$3)),lentry!$D$3:$D$3999),IF(WEEKDAY(mar!X$3,1)=1,"WO","P"))</f>
        <v>P</v>
      </c>
      <c r="Y47" s="4" t="str">
        <f>IFERROR(LOOKUP(2,1/((lentry!$A$3:$A$3999=mar!$A47)*(lentry!$B$3:$B$3999&lt;=mar!Y$3)*(lentry!$C$3:$C$3999&gt;=mar!Y$3)),lentry!$D$3:$D$3999),IF(WEEKDAY(mar!Y$3,1)=1,"WO","P"))</f>
        <v>P</v>
      </c>
      <c r="Z47" s="4" t="s">
        <v>350</v>
      </c>
      <c r="AA47" s="4" t="str">
        <f>IFERROR(LOOKUP(2,1/((lentry!$A$3:$A$3999=mar!$A47)*(lentry!$B$3:$B$3999&lt;=mar!AA$3)*(lentry!$C$3:$C$3999&gt;=mar!AA$3)),lentry!$D$3:$D$3999),IF(WEEKDAY(mar!AA$3,1)=1,"WO","P"))</f>
        <v>WO</v>
      </c>
      <c r="AB47" s="4" t="str">
        <f>IFERROR(LOOKUP(2,1/((lentry!$A$3:$A$3999=mar!$A47)*(lentry!$B$3:$B$3999&lt;=mar!AB$3)*(lentry!$C$3:$C$3999&gt;=mar!AB$3)),lentry!$D$3:$D$3999),IF(WEEKDAY(mar!AB$3,1)=1,"WO","P"))</f>
        <v>P</v>
      </c>
      <c r="AC47" s="4" t="str">
        <f>IFERROR(LOOKUP(2,1/((lentry!$A$3:$A$3999=mar!$A47)*(lentry!$B$3:$B$3999&lt;=mar!AC$3)*(lentry!$C$3:$C$3999&gt;=mar!AC$3)),lentry!$D$3:$D$3999),IF(WEEKDAY(mar!AC$3,1)=1,"WO","P"))</f>
        <v>P</v>
      </c>
      <c r="AD47" s="4" t="str">
        <f>IFERROR(LOOKUP(2,1/((lentry!$A$3:$A$3999=mar!$A47)*(lentry!$B$3:$B$3999&lt;=mar!AD$3)*(lentry!$C$3:$C$3999&gt;=mar!AD$3)),lentry!$D$3:$D$3999),IF(WEEKDAY(mar!AD$3,1)=1,"WO","P"))</f>
        <v>P</v>
      </c>
      <c r="AE47" s="4" t="str">
        <f>IFERROR(LOOKUP(2,1/((lentry!$A$3:$A$3999=mar!$A47)*(lentry!$B$3:$B$3999&lt;=mar!AE$3)*(lentry!$C$3:$C$3999&gt;=mar!AE$3)),lentry!$D$3:$D$3999),IF(WEEKDAY(mar!AE$3,1)=1,"WO","P"))</f>
        <v>P</v>
      </c>
      <c r="AF47" s="4" t="str">
        <f>IFERROR(LOOKUP(2,1/((lentry!$A$3:$A$3999=mar!$A47)*(lentry!$B$3:$B$3999&lt;=mar!AF$3)*(lentry!$C$3:$C$3999&gt;=mar!AF$3)),lentry!$D$3:$D$3999),IF(WEEKDAY(mar!AF$3,1)=1,"WO","P"))</f>
        <v>P</v>
      </c>
      <c r="AG47" s="4" t="str">
        <f>IFERROR(LOOKUP(2,1/((lentry!$A$3:$A$3999=mar!$A47)*(lentry!$B$3:$B$3999&lt;=mar!AG$3)*(lentry!$C$3:$C$3999&gt;=mar!AG$3)),lentry!$D$3:$D$3999),IF(WEEKDAY(mar!AG$3,1)=1,"WO","P"))</f>
        <v>P</v>
      </c>
      <c r="AH47" s="4" t="str">
        <f>IFERROR(LOOKUP(2,1/((lentry!$A$3:$A$3999=mar!$A47)*(lentry!$B$3:$B$3999&lt;=mar!AH$3)*(lentry!$C$3:$C$3999&gt;=mar!AH$3)),lentry!$D$3:$D$3999),IF(WEEKDAY(mar!AH$3,1)=1,"WO","P"))</f>
        <v>WO</v>
      </c>
      <c r="AI47" s="4" t="str">
        <f>IFERROR(LOOKUP(2,1/((lentry!$A$3:$A$3999=mar!$A47)*(lentry!$B$3:$B$3999&lt;=mar!AI$3)*(lentry!$C$3:$C$3999&gt;=mar!AI$3)),lentry!$D$3:$D$3999),IF(WEEKDAY(mar!AI$3,1)=1,"WO","P"))</f>
        <v>P</v>
      </c>
      <c r="AJ47" s="4" t="str">
        <f>IFERROR(LOOKUP(2,1/((lentry!$A$3:$A$3999=mar!$A47)*(lentry!$B$3:$B$3999&lt;=mar!AJ$3)*(lentry!$C$3:$C$3999&gt;=mar!AJ$3)),lentry!$D$3:$D$3999),IF(WEEKDAY(mar!AJ$3,1)=1,"WO","P"))</f>
        <v>P</v>
      </c>
      <c r="AK47" s="4">
        <f>COUNTIF(mar!$F47:$AJ47,"WO")</f>
        <v>5</v>
      </c>
      <c r="AL47" s="4">
        <f>COUNTIF(mar!$F47:$AJ47,"H")</f>
        <v>2</v>
      </c>
      <c r="AM47" s="4">
        <f>COUNTIF(mar!$F47:$AJ47,"pl")</f>
        <v>0</v>
      </c>
      <c r="AN47" s="4">
        <f>COUNTIF(mar!$F47:$AJ47,"LWP")</f>
        <v>0</v>
      </c>
      <c r="AO47" s="4">
        <f>COUNTIF(mar!$F47:$AJ47,"HD")</f>
        <v>0</v>
      </c>
      <c r="AP47" s="4">
        <f>COUNTIF(mar!$F47:$AJ47,"SL")</f>
        <v>0</v>
      </c>
      <c r="AQ47" s="4">
        <f>COUNTIF(mar!$F47:$AJ47,"CL")</f>
        <v>0</v>
      </c>
      <c r="AR47" s="4">
        <f>COUNTIF(mar!$F47:$AJ47,"A")</f>
        <v>0</v>
      </c>
      <c r="AS47" s="4">
        <f>COUNTIF(mar!$F47:$AJ47,"P")</f>
        <v>24</v>
      </c>
      <c r="AT47" s="4">
        <f t="shared" si="2"/>
        <v>31</v>
      </c>
      <c r="AU47" s="4">
        <f t="shared" si="3"/>
        <v>31</v>
      </c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</row>
    <row r="48" spans="1:78" ht="18.75" x14ac:dyDescent="0.3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IFERROR(LOOKUP(2,1/((#REF!=mar!$A48)*(#REF!&lt;=mar!F$3)*(#REF!&gt;=mar!F$3)),#REF!),IF(WEEKDAY(mar!F$3,1)=1,"WO","P"))</f>
        <v>WO</v>
      </c>
      <c r="G48" s="4" t="str">
        <f>IFERROR(LOOKUP(2,1/((lentry!$A$3:$A$3999=mar!$A48)*(lentry!$B$3:$B$3999&lt;=mar!G$3)*(lentry!$C$3:$C$3999&gt;=mar!G$3)),lentry!$D$3:$D$3999),IF(WEEKDAY(mar!G$3,1)=1,"WO","P"))</f>
        <v>P</v>
      </c>
      <c r="H48" s="4" t="str">
        <f>IFERROR(LOOKUP(2,1/((lentry!$A$3:$A$3999=mar!$A48)*(lentry!$B$3:$B$3999&lt;=mar!H$3)*(lentry!$C$3:$C$3999&gt;=mar!H$3)),lentry!$D$3:$D$3999),IF(WEEKDAY(mar!H$3,1)=1,"WO","P"))</f>
        <v>P</v>
      </c>
      <c r="I48" s="4" t="s">
        <v>350</v>
      </c>
      <c r="J48" s="4" t="str">
        <f>IFERROR(LOOKUP(2,1/((lentry!$A$3:$A$3999=mar!$A48)*(lentry!$B$3:$B$3999&lt;=mar!J$3)*(lentry!$C$3:$C$3999&gt;=mar!J$3)),lentry!$D$3:$D$3999),IF(WEEKDAY(mar!J$3,1)=1,"WO","P"))</f>
        <v>P</v>
      </c>
      <c r="K48" s="4" t="str">
        <f>IFERROR(LOOKUP(2,1/((lentry!$A$3:$A$3999=mar!$A48)*(lentry!$B$3:$B$3999&lt;=mar!K$3)*(lentry!$C$3:$C$3999&gt;=mar!K$3)),lentry!$D$3:$D$3999),IF(WEEKDAY(mar!K$3,1)=1,"WO","P"))</f>
        <v>P</v>
      </c>
      <c r="L48" s="4" t="str">
        <f>IFERROR(LOOKUP(2,1/((lentry!$A$3:$A$3999=mar!$A48)*(lentry!$B$3:$B$3999&lt;=mar!L$3)*(lentry!$C$3:$C$3999&gt;=mar!L$3)),lentry!$D$3:$D$3999),IF(WEEKDAY(mar!L$3,1)=1,"WO","P"))</f>
        <v>P</v>
      </c>
      <c r="M48" s="4" t="str">
        <f>IFERROR(LOOKUP(2,1/((#REF!=mar!$A48)*(#REF!&lt;=mar!M$3)*(#REF!&gt;=mar!M$3)),#REF!),IF(WEEKDAY(mar!M$3,1)=1,"WO","P"))</f>
        <v>WO</v>
      </c>
      <c r="N48" s="4" t="s">
        <v>539</v>
      </c>
      <c r="O48" s="4" t="str">
        <f>IFERROR(LOOKUP(2,1/((lentry!$A$3:$A$3999=mar!$A48)*(lentry!$B$3:$B$3999&lt;=mar!O$3)*(lentry!$C$3:$C$3999&gt;=mar!O$3)),lentry!$D$3:$D$3999),IF(WEEKDAY(mar!O$3,1)=1,"WO","P"))</f>
        <v>P</v>
      </c>
      <c r="P48" s="4" t="str">
        <f>IFERROR(LOOKUP(2,1/((lentry!$A$3:$A$3999=mar!$A48)*(lentry!$B$3:$B$3999&lt;=mar!P$3)*(lentry!$C$3:$C$3999&gt;=mar!P$3)),lentry!$D$3:$D$3999),IF(WEEKDAY(mar!P$3,1)=1,"WO","P"))</f>
        <v>P</v>
      </c>
      <c r="Q48" s="4" t="str">
        <f>IFERROR(LOOKUP(2,1/((lentry!$A$3:$A$3999=mar!$A48)*(lentry!$B$3:$B$3999&lt;=mar!Q$3)*(lentry!$C$3:$C$3999&gt;=mar!Q$3)),lentry!$D$3:$D$3999),IF(WEEKDAY(mar!Q$3,1)=1,"WO","P"))</f>
        <v>P</v>
      </c>
      <c r="R48" s="4" t="str">
        <f>IFERROR(LOOKUP(2,1/((lentry!$A$3:$A$3999=mar!$A48)*(lentry!$B$3:$B$3999&lt;=mar!R$3)*(lentry!$C$3:$C$3999&gt;=mar!R$3)),lentry!$D$3:$D$3999),IF(WEEKDAY(mar!R$3,1)=1,"WO","P"))</f>
        <v>P</v>
      </c>
      <c r="S48" s="4" t="str">
        <f>IFERROR(LOOKUP(2,1/((lentry!$A$3:$A$3999=mar!$A48)*(lentry!$B$3:$B$3999&lt;=mar!S$3)*(lentry!$C$3:$C$3999&gt;=mar!S$3)),lentry!$D$3:$D$3999),IF(WEEKDAY(mar!S$3,1)=1,"WO","P"))</f>
        <v>P</v>
      </c>
      <c r="T48" s="4" t="str">
        <f>IFERROR(LOOKUP(2,1/((lentry!$A$3:$A$3999=mar!$A48)*(lentry!$B$3:$B$3999&lt;=mar!T$3)*(lentry!$C$3:$C$3999&gt;=mar!T$3)),lentry!$D$3:$D$3999),IF(WEEKDAY(mar!T$3,1)=1,"WO","P"))</f>
        <v>WO</v>
      </c>
      <c r="U48" s="4" t="str">
        <f>IFERROR(LOOKUP(2,1/((lentry!$A$3:$A$3999=mar!$A48)*(lentry!$B$3:$B$3999&lt;=mar!U$3)*(lentry!$C$3:$C$3999&gt;=mar!U$3)),lentry!$D$3:$D$3999),IF(WEEKDAY(mar!U$3,1)=1,"WO","P"))</f>
        <v>P</v>
      </c>
      <c r="V48" s="4" t="str">
        <f>IFERROR(LOOKUP(2,1/((lentry!$A$3:$A$3999=mar!$A48)*(lentry!$B$3:$B$3999&lt;=mar!V$3)*(lentry!$C$3:$C$3999&gt;=mar!V$3)),lentry!$D$3:$D$3999),IF(WEEKDAY(mar!V$3,1)=1,"WO","P"))</f>
        <v>P</v>
      </c>
      <c r="W48" s="4" t="str">
        <f>IFERROR(LOOKUP(2,1/((lentry!$A$3:$A$3999=mar!$A48)*(lentry!$B$3:$B$3999&lt;=mar!W$3)*(lentry!$C$3:$C$3999&gt;=mar!W$3)),lentry!$D$3:$D$3999),IF(WEEKDAY(mar!W$3,1)=1,"WO","P"))</f>
        <v>P</v>
      </c>
      <c r="X48" s="4" t="s">
        <v>539</v>
      </c>
      <c r="Y48" s="4" t="str">
        <f>IFERROR(LOOKUP(2,1/((lentry!$A$3:$A$3999=mar!$A48)*(lentry!$B$3:$B$3999&lt;=mar!Y$3)*(lentry!$C$3:$C$3999&gt;=mar!Y$3)),lentry!$D$3:$D$3999),IF(WEEKDAY(mar!Y$3,1)=1,"WO","P"))</f>
        <v>P</v>
      </c>
      <c r="Z48" s="4" t="s">
        <v>350</v>
      </c>
      <c r="AA48" s="4" t="str">
        <f>IFERROR(LOOKUP(2,1/((lentry!$A$3:$A$3999=mar!$A48)*(lentry!$B$3:$B$3999&lt;=mar!AA$3)*(lentry!$C$3:$C$3999&gt;=mar!AA$3)),lentry!$D$3:$D$3999),IF(WEEKDAY(mar!AA$3,1)=1,"WO","P"))</f>
        <v>WO</v>
      </c>
      <c r="AB48" s="4" t="str">
        <f>IFERROR(LOOKUP(2,1/((lentry!$A$3:$A$3999=mar!$A48)*(lentry!$B$3:$B$3999&lt;=mar!AB$3)*(lentry!$C$3:$C$3999&gt;=mar!AB$3)),lentry!$D$3:$D$3999),IF(WEEKDAY(mar!AB$3,1)=1,"WO","P"))</f>
        <v>P</v>
      </c>
      <c r="AC48" s="4" t="str">
        <f>IFERROR(LOOKUP(2,1/((lentry!$A$3:$A$3999=mar!$A48)*(lentry!$B$3:$B$3999&lt;=mar!AC$3)*(lentry!$C$3:$C$3999&gt;=mar!AC$3)),lentry!$D$3:$D$3999),IF(WEEKDAY(mar!AC$3,1)=1,"WO","P"))</f>
        <v>P</v>
      </c>
      <c r="AD48" s="4" t="str">
        <f>IFERROR(LOOKUP(2,1/((lentry!$A$3:$A$3999=mar!$A48)*(lentry!$B$3:$B$3999&lt;=mar!AD$3)*(lentry!$C$3:$C$3999&gt;=mar!AD$3)),lentry!$D$3:$D$3999),IF(WEEKDAY(mar!AD$3,1)=1,"WO","P"))</f>
        <v>P</v>
      </c>
      <c r="AE48" s="4" t="str">
        <f>IFERROR(LOOKUP(2,1/((lentry!$A$3:$A$3999=mar!$A48)*(lentry!$B$3:$B$3999&lt;=mar!AE$3)*(lentry!$C$3:$C$3999&gt;=mar!AE$3)),lentry!$D$3:$D$3999),IF(WEEKDAY(mar!AE$3,1)=1,"WO","P"))</f>
        <v>P</v>
      </c>
      <c r="AF48" s="4" t="str">
        <f>IFERROR(LOOKUP(2,1/((lentry!$A$3:$A$3999=mar!$A48)*(lentry!$B$3:$B$3999&lt;=mar!AF$3)*(lentry!$C$3:$C$3999&gt;=mar!AF$3)),lentry!$D$3:$D$3999),IF(WEEKDAY(mar!AF$3,1)=1,"WO","P"))</f>
        <v>P</v>
      </c>
      <c r="AG48" s="4" t="str">
        <f>IFERROR(LOOKUP(2,1/((lentry!$A$3:$A$3999=mar!$A48)*(lentry!$B$3:$B$3999&lt;=mar!AG$3)*(lentry!$C$3:$C$3999&gt;=mar!AG$3)),lentry!$D$3:$D$3999),IF(WEEKDAY(mar!AG$3,1)=1,"WO","P"))</f>
        <v>P</v>
      </c>
      <c r="AH48" s="4" t="str">
        <f>IFERROR(LOOKUP(2,1/((lentry!$A$3:$A$3999=mar!$A48)*(lentry!$B$3:$B$3999&lt;=mar!AH$3)*(lentry!$C$3:$C$3999&gt;=mar!AH$3)),lentry!$D$3:$D$3999),IF(WEEKDAY(mar!AH$3,1)=1,"WO","P"))</f>
        <v>WO</v>
      </c>
      <c r="AI48" s="4" t="str">
        <f>IFERROR(LOOKUP(2,1/((lentry!$A$3:$A$3999=mar!$A48)*(lentry!$B$3:$B$3999&lt;=mar!AI$3)*(lentry!$C$3:$C$3999&gt;=mar!AI$3)),lentry!$D$3:$D$3999),IF(WEEKDAY(mar!AI$3,1)=1,"WO","P"))</f>
        <v>P</v>
      </c>
      <c r="AJ48" s="4" t="str">
        <f>IFERROR(LOOKUP(2,1/((lentry!$A$3:$A$3999=mar!$A48)*(lentry!$B$3:$B$3999&lt;=mar!AJ$3)*(lentry!$C$3:$C$3999&gt;=mar!AJ$3)),lentry!$D$3:$D$3999),IF(WEEKDAY(mar!AJ$3,1)=1,"WO","P"))</f>
        <v>P</v>
      </c>
      <c r="AK48" s="4">
        <f>COUNTIF(mar!$F48:$AJ48,"WO")</f>
        <v>5</v>
      </c>
      <c r="AL48" s="4">
        <f>COUNTIF(mar!$F48:$AJ48,"H")</f>
        <v>2</v>
      </c>
      <c r="AM48" s="4">
        <f>COUNTIF(mar!$F48:$AJ48,"pl")</f>
        <v>0</v>
      </c>
      <c r="AN48" s="4">
        <f>COUNTIF(mar!$F48:$AJ48,"LWP")</f>
        <v>0</v>
      </c>
      <c r="AO48" s="4">
        <f>COUNTIF(mar!$F48:$AJ48,"HD")</f>
        <v>0</v>
      </c>
      <c r="AP48" s="4">
        <f>COUNTIF(mar!$F48:$AJ48,"SL")</f>
        <v>0</v>
      </c>
      <c r="AQ48" s="4">
        <f>COUNTIF(mar!$F48:$AJ48,"CL")</f>
        <v>0</v>
      </c>
      <c r="AR48" s="4">
        <f>COUNTIF(mar!$F48:$AJ48,"A")</f>
        <v>2</v>
      </c>
      <c r="AS48" s="4">
        <f>COUNTIF(mar!$F48:$AJ48,"P")</f>
        <v>22</v>
      </c>
      <c r="AT48" s="4">
        <f t="shared" si="2"/>
        <v>31</v>
      </c>
      <c r="AU48" s="4">
        <f t="shared" si="3"/>
        <v>29</v>
      </c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</row>
    <row r="49" spans="1:78" ht="18.75" x14ac:dyDescent="0.3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IFERROR(LOOKUP(2,1/((#REF!=mar!$A49)*(#REF!&lt;=mar!F$3)*(#REF!&gt;=mar!F$3)),#REF!),IF(WEEKDAY(mar!F$3,1)=1,"WO","P"))</f>
        <v>WO</v>
      </c>
      <c r="G49" s="4" t="str">
        <f>IFERROR(LOOKUP(2,1/((lentry!$A$3:$A$3999=mar!$A49)*(lentry!$B$3:$B$3999&lt;=mar!G$3)*(lentry!$C$3:$C$3999&gt;=mar!G$3)),lentry!$D$3:$D$3999),IF(WEEKDAY(mar!G$3,1)=1,"WO","P"))</f>
        <v>P</v>
      </c>
      <c r="H49" s="4" t="str">
        <f>IFERROR(LOOKUP(2,1/((lentry!$A$3:$A$3999=mar!$A49)*(lentry!$B$3:$B$3999&lt;=mar!H$3)*(lentry!$C$3:$C$3999&gt;=mar!H$3)),lentry!$D$3:$D$3999),IF(WEEKDAY(mar!H$3,1)=1,"WO","P"))</f>
        <v>P</v>
      </c>
      <c r="I49" s="4" t="s">
        <v>350</v>
      </c>
      <c r="J49" s="4" t="str">
        <f>IFERROR(LOOKUP(2,1/((lentry!$A$3:$A$3999=mar!$A49)*(lentry!$B$3:$B$3999&lt;=mar!J$3)*(lentry!$C$3:$C$3999&gt;=mar!J$3)),lentry!$D$3:$D$3999),IF(WEEKDAY(mar!J$3,1)=1,"WO","P"))</f>
        <v>P</v>
      </c>
      <c r="K49" s="4" t="str">
        <f>IFERROR(LOOKUP(2,1/((lentry!$A$3:$A$3999=mar!$A49)*(lentry!$B$3:$B$3999&lt;=mar!K$3)*(lentry!$C$3:$C$3999&gt;=mar!K$3)),lentry!$D$3:$D$3999),IF(WEEKDAY(mar!K$3,1)=1,"WO","P"))</f>
        <v>P</v>
      </c>
      <c r="L49" s="4" t="str">
        <f>IFERROR(LOOKUP(2,1/((lentry!$A$3:$A$3999=mar!$A49)*(lentry!$B$3:$B$3999&lt;=mar!L$3)*(lentry!$C$3:$C$3999&gt;=mar!L$3)),lentry!$D$3:$D$3999),IF(WEEKDAY(mar!L$3,1)=1,"WO","P"))</f>
        <v>P</v>
      </c>
      <c r="M49" s="4" t="str">
        <f>IFERROR(LOOKUP(2,1/((#REF!=mar!$A49)*(#REF!&lt;=mar!M$3)*(#REF!&gt;=mar!M$3)),#REF!),IF(WEEKDAY(mar!M$3,1)=1,"WO","P"))</f>
        <v>WO</v>
      </c>
      <c r="N49" s="4" t="str">
        <f>IFERROR(LOOKUP(2,1/((lentry!$A$3:$A$3999=mar!$A49)*(lentry!$B$3:$B$3999&lt;=mar!N$3)*(lentry!$C$3:$C$3999&gt;=mar!N$3)),lentry!$D$3:$D$3999),IF(WEEKDAY(mar!N$3,1)=1,"WO","P"))</f>
        <v>P</v>
      </c>
      <c r="O49" s="4" t="str">
        <f>IFERROR(LOOKUP(2,1/((lentry!$A$3:$A$3999=mar!$A49)*(lentry!$B$3:$B$3999&lt;=mar!O$3)*(lentry!$C$3:$C$3999&gt;=mar!O$3)),lentry!$D$3:$D$3999),IF(WEEKDAY(mar!O$3,1)=1,"WO","P"))</f>
        <v>P</v>
      </c>
      <c r="P49" s="4" t="str">
        <f>IFERROR(LOOKUP(2,1/((lentry!$A$3:$A$3999=mar!$A49)*(lentry!$B$3:$B$3999&lt;=mar!P$3)*(lentry!$C$3:$C$3999&gt;=mar!P$3)),lentry!$D$3:$D$3999),IF(WEEKDAY(mar!P$3,1)=1,"WO","P"))</f>
        <v>P</v>
      </c>
      <c r="Q49" s="4" t="str">
        <f>IFERROR(LOOKUP(2,1/((lentry!$A$3:$A$3999=mar!$A49)*(lentry!$B$3:$B$3999&lt;=mar!Q$3)*(lentry!$C$3:$C$3999&gt;=mar!Q$3)),lentry!$D$3:$D$3999),IF(WEEKDAY(mar!Q$3,1)=1,"WO","P"))</f>
        <v>P</v>
      </c>
      <c r="R49" s="4" t="str">
        <f>IFERROR(LOOKUP(2,1/((lentry!$A$3:$A$3999=mar!$A49)*(lentry!$B$3:$B$3999&lt;=mar!R$3)*(lentry!$C$3:$C$3999&gt;=mar!R$3)),lentry!$D$3:$D$3999),IF(WEEKDAY(mar!R$3,1)=1,"WO","P"))</f>
        <v>P</v>
      </c>
      <c r="S49" s="4" t="str">
        <f>IFERROR(LOOKUP(2,1/((lentry!$A$3:$A$3999=mar!$A49)*(lentry!$B$3:$B$3999&lt;=mar!S$3)*(lentry!$C$3:$C$3999&gt;=mar!S$3)),lentry!$D$3:$D$3999),IF(WEEKDAY(mar!S$3,1)=1,"WO","P"))</f>
        <v>P</v>
      </c>
      <c r="T49" s="4" t="str">
        <f>IFERROR(LOOKUP(2,1/((lentry!$A$3:$A$3999=mar!$A49)*(lentry!$B$3:$B$3999&lt;=mar!T$3)*(lentry!$C$3:$C$3999&gt;=mar!T$3)),lentry!$D$3:$D$3999),IF(WEEKDAY(mar!T$3,1)=1,"WO","P"))</f>
        <v>WO</v>
      </c>
      <c r="U49" s="4" t="str">
        <f>IFERROR(LOOKUP(2,1/((lentry!$A$3:$A$3999=mar!$A49)*(lentry!$B$3:$B$3999&lt;=mar!U$3)*(lentry!$C$3:$C$3999&gt;=mar!U$3)),lentry!$D$3:$D$3999),IF(WEEKDAY(mar!U$3,1)=1,"WO","P"))</f>
        <v>P</v>
      </c>
      <c r="V49" s="4" t="str">
        <f>IFERROR(LOOKUP(2,1/((lentry!$A$3:$A$3999=mar!$A49)*(lentry!$B$3:$B$3999&lt;=mar!V$3)*(lentry!$C$3:$C$3999&gt;=mar!V$3)),lentry!$D$3:$D$3999),IF(WEEKDAY(mar!V$3,1)=1,"WO","P"))</f>
        <v>P</v>
      </c>
      <c r="W49" s="4" t="str">
        <f>IFERROR(LOOKUP(2,1/((lentry!$A$3:$A$3999=mar!$A49)*(lentry!$B$3:$B$3999&lt;=mar!W$3)*(lentry!$C$3:$C$3999&gt;=mar!W$3)),lentry!$D$3:$D$3999),IF(WEEKDAY(mar!W$3,1)=1,"WO","P"))</f>
        <v>P</v>
      </c>
      <c r="X49" s="4" t="str">
        <f>IFERROR(LOOKUP(2,1/((lentry!$A$3:$A$3999=mar!$A49)*(lentry!$B$3:$B$3999&lt;=mar!X$3)*(lentry!$C$3:$C$3999&gt;=mar!X$3)),lentry!$D$3:$D$3999),IF(WEEKDAY(mar!X$3,1)=1,"WO","P"))</f>
        <v>P</v>
      </c>
      <c r="Y49" s="4" t="str">
        <f>IFERROR(LOOKUP(2,1/((lentry!$A$3:$A$3999=mar!$A49)*(lentry!$B$3:$B$3999&lt;=mar!Y$3)*(lentry!$C$3:$C$3999&gt;=mar!Y$3)),lentry!$D$3:$D$3999),IF(WEEKDAY(mar!Y$3,1)=1,"WO","P"))</f>
        <v>P</v>
      </c>
      <c r="Z49" s="4" t="s">
        <v>350</v>
      </c>
      <c r="AA49" s="4" t="str">
        <f>IFERROR(LOOKUP(2,1/((lentry!$A$3:$A$3999=mar!$A49)*(lentry!$B$3:$B$3999&lt;=mar!AA$3)*(lentry!$C$3:$C$3999&gt;=mar!AA$3)),lentry!$D$3:$D$3999),IF(WEEKDAY(mar!AA$3,1)=1,"WO","P"))</f>
        <v>WO</v>
      </c>
      <c r="AB49" s="4" t="str">
        <f>IFERROR(LOOKUP(2,1/((lentry!$A$3:$A$3999=mar!$A49)*(lentry!$B$3:$B$3999&lt;=mar!AB$3)*(lentry!$C$3:$C$3999&gt;=mar!AB$3)),lentry!$D$3:$D$3999),IF(WEEKDAY(mar!AB$3,1)=1,"WO","P"))</f>
        <v>P</v>
      </c>
      <c r="AC49" s="4" t="str">
        <f>IFERROR(LOOKUP(2,1/((lentry!$A$3:$A$3999=mar!$A49)*(lentry!$B$3:$B$3999&lt;=mar!AC$3)*(lentry!$C$3:$C$3999&gt;=mar!AC$3)),lentry!$D$3:$D$3999),IF(WEEKDAY(mar!AC$3,1)=1,"WO","P"))</f>
        <v>P</v>
      </c>
      <c r="AD49" s="4" t="str">
        <f>IFERROR(LOOKUP(2,1/((lentry!$A$3:$A$3999=mar!$A49)*(lentry!$B$3:$B$3999&lt;=mar!AD$3)*(lentry!$C$3:$C$3999&gt;=mar!AD$3)),lentry!$D$3:$D$3999),IF(WEEKDAY(mar!AD$3,1)=1,"WO","P"))</f>
        <v>P</v>
      </c>
      <c r="AE49" s="4" t="str">
        <f>IFERROR(LOOKUP(2,1/((lentry!$A$3:$A$3999=mar!$A49)*(lentry!$B$3:$B$3999&lt;=mar!AE$3)*(lentry!$C$3:$C$3999&gt;=mar!AE$3)),lentry!$D$3:$D$3999),IF(WEEKDAY(mar!AE$3,1)=1,"WO","P"))</f>
        <v>P</v>
      </c>
      <c r="AF49" s="4" t="str">
        <f>IFERROR(LOOKUP(2,1/((lentry!$A$3:$A$3999=mar!$A49)*(lentry!$B$3:$B$3999&lt;=mar!AF$3)*(lentry!$C$3:$C$3999&gt;=mar!AF$3)),lentry!$D$3:$D$3999),IF(WEEKDAY(mar!AF$3,1)=1,"WO","P"))</f>
        <v>P</v>
      </c>
      <c r="AG49" s="4" t="str">
        <f>IFERROR(LOOKUP(2,1/((lentry!$A$3:$A$3999=mar!$A49)*(lentry!$B$3:$B$3999&lt;=mar!AG$3)*(lentry!$C$3:$C$3999&gt;=mar!AG$3)),lentry!$D$3:$D$3999),IF(WEEKDAY(mar!AG$3,1)=1,"WO","P"))</f>
        <v>P</v>
      </c>
      <c r="AH49" s="4" t="str">
        <f>IFERROR(LOOKUP(2,1/((lentry!$A$3:$A$3999=mar!$A49)*(lentry!$B$3:$B$3999&lt;=mar!AH$3)*(lentry!$C$3:$C$3999&gt;=mar!AH$3)),lentry!$D$3:$D$3999),IF(WEEKDAY(mar!AH$3,1)=1,"WO","P"))</f>
        <v>WO</v>
      </c>
      <c r="AI49" s="4" t="str">
        <f>IFERROR(LOOKUP(2,1/((lentry!$A$3:$A$3999=mar!$A49)*(lentry!$B$3:$B$3999&lt;=mar!AI$3)*(lentry!$C$3:$C$3999&gt;=mar!AI$3)),lentry!$D$3:$D$3999),IF(WEEKDAY(mar!AI$3,1)=1,"WO","P"))</f>
        <v>P</v>
      </c>
      <c r="AJ49" s="4" t="str">
        <f>IFERROR(LOOKUP(2,1/((lentry!$A$3:$A$3999=mar!$A49)*(lentry!$B$3:$B$3999&lt;=mar!AJ$3)*(lentry!$C$3:$C$3999&gt;=mar!AJ$3)),lentry!$D$3:$D$3999),IF(WEEKDAY(mar!AJ$3,1)=1,"WO","P"))</f>
        <v>P</v>
      </c>
      <c r="AK49" s="4">
        <f>COUNTIF(mar!$F49:$AJ49,"WO")</f>
        <v>5</v>
      </c>
      <c r="AL49" s="4">
        <f>COUNTIF(mar!$F49:$AJ49,"H")</f>
        <v>2</v>
      </c>
      <c r="AM49" s="4">
        <f>COUNTIF(mar!$F49:$AJ49,"pl")</f>
        <v>0</v>
      </c>
      <c r="AN49" s="4">
        <f>COUNTIF(mar!$F49:$AJ49,"LWP")</f>
        <v>0</v>
      </c>
      <c r="AO49" s="4">
        <f>COUNTIF(mar!$F49:$AJ49,"HD")</f>
        <v>0</v>
      </c>
      <c r="AP49" s="4">
        <f>COUNTIF(mar!$F49:$AJ49,"SL")</f>
        <v>0</v>
      </c>
      <c r="AQ49" s="4">
        <f>COUNTIF(mar!$F49:$AJ49,"CL")</f>
        <v>0</v>
      </c>
      <c r="AR49" s="4">
        <f>COUNTIF(mar!$F49:$AJ49,"A")</f>
        <v>0</v>
      </c>
      <c r="AS49" s="4">
        <f>COUNTIF(mar!$F49:$AJ49,"P")</f>
        <v>24</v>
      </c>
      <c r="AT49" s="4">
        <f t="shared" si="2"/>
        <v>31</v>
      </c>
      <c r="AU49" s="4">
        <f t="shared" si="3"/>
        <v>31</v>
      </c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</row>
    <row r="50" spans="1:78" ht="18.75" x14ac:dyDescent="0.3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IFERROR(LOOKUP(2,1/((#REF!=mar!$A50)*(#REF!&lt;=mar!F$3)*(#REF!&gt;=mar!F$3)),#REF!),IF(WEEKDAY(mar!F$3,1)=1,"WO","P"))</f>
        <v>WO</v>
      </c>
      <c r="G50" s="4" t="str">
        <f>IFERROR(LOOKUP(2,1/((lentry!$A$3:$A$3999=mar!$A50)*(lentry!$B$3:$B$3999&lt;=mar!G$3)*(lentry!$C$3:$C$3999&gt;=mar!G$3)),lentry!$D$3:$D$3999),IF(WEEKDAY(mar!G$3,1)=1,"WO","P"))</f>
        <v>P</v>
      </c>
      <c r="H50" s="4" t="str">
        <f>IFERROR(LOOKUP(2,1/((lentry!$A$3:$A$3999=mar!$A50)*(lentry!$B$3:$B$3999&lt;=mar!H$3)*(lentry!$C$3:$C$3999&gt;=mar!H$3)),lentry!$D$3:$D$3999),IF(WEEKDAY(mar!H$3,1)=1,"WO","P"))</f>
        <v>P</v>
      </c>
      <c r="I50" s="4" t="s">
        <v>350</v>
      </c>
      <c r="J50" s="4" t="s">
        <v>539</v>
      </c>
      <c r="K50" s="4" t="str">
        <f>IFERROR(LOOKUP(2,1/((lentry!$A$3:$A$3999=mar!$A50)*(lentry!$B$3:$B$3999&lt;=mar!K$3)*(lentry!$C$3:$C$3999&gt;=mar!K$3)),lentry!$D$3:$D$3999),IF(WEEKDAY(mar!K$3,1)=1,"WO","P"))</f>
        <v>P</v>
      </c>
      <c r="L50" s="4" t="str">
        <f>IFERROR(LOOKUP(2,1/((lentry!$A$3:$A$3999=mar!$A50)*(lentry!$B$3:$B$3999&lt;=mar!L$3)*(lentry!$C$3:$C$3999&gt;=mar!L$3)),lentry!$D$3:$D$3999),IF(WEEKDAY(mar!L$3,1)=1,"WO","P"))</f>
        <v>P</v>
      </c>
      <c r="M50" s="4" t="str">
        <f>IFERROR(LOOKUP(2,1/((#REF!=mar!$A50)*(#REF!&lt;=mar!M$3)*(#REF!&gt;=mar!M$3)),#REF!),IF(WEEKDAY(mar!M$3,1)=1,"WO","P"))</f>
        <v>WO</v>
      </c>
      <c r="N50" s="4" t="str">
        <f>IFERROR(LOOKUP(2,1/((lentry!$A$3:$A$3999=mar!$A50)*(lentry!$B$3:$B$3999&lt;=mar!N$3)*(lentry!$C$3:$C$3999&gt;=mar!N$3)),lentry!$D$3:$D$3999),IF(WEEKDAY(mar!N$3,1)=1,"WO","P"))</f>
        <v>P</v>
      </c>
      <c r="O50" s="4" t="str">
        <f>IFERROR(LOOKUP(2,1/((lentry!$A$3:$A$3999=mar!$A50)*(lentry!$B$3:$B$3999&lt;=mar!O$3)*(lentry!$C$3:$C$3999&gt;=mar!O$3)),lentry!$D$3:$D$3999),IF(WEEKDAY(mar!O$3,1)=1,"WO","P"))</f>
        <v>P</v>
      </c>
      <c r="P50" s="4" t="str">
        <f>IFERROR(LOOKUP(2,1/((lentry!$A$3:$A$3999=mar!$A50)*(lentry!$B$3:$B$3999&lt;=mar!P$3)*(lentry!$C$3:$C$3999&gt;=mar!P$3)),lentry!$D$3:$D$3999),IF(WEEKDAY(mar!P$3,1)=1,"WO","P"))</f>
        <v>P</v>
      </c>
      <c r="Q50" s="4" t="str">
        <f>IFERROR(LOOKUP(2,1/((lentry!$A$3:$A$3999=mar!$A50)*(lentry!$B$3:$B$3999&lt;=mar!Q$3)*(lentry!$C$3:$C$3999&gt;=mar!Q$3)),lentry!$D$3:$D$3999),IF(WEEKDAY(mar!Q$3,1)=1,"WO","P"))</f>
        <v>P</v>
      </c>
      <c r="R50" s="4" t="str">
        <f>IFERROR(LOOKUP(2,1/((lentry!$A$3:$A$3999=mar!$A50)*(lentry!$B$3:$B$3999&lt;=mar!R$3)*(lentry!$C$3:$C$3999&gt;=mar!R$3)),lentry!$D$3:$D$3999),IF(WEEKDAY(mar!R$3,1)=1,"WO","P"))</f>
        <v>P</v>
      </c>
      <c r="S50" s="4" t="str">
        <f>IFERROR(LOOKUP(2,1/((lentry!$A$3:$A$3999=mar!$A50)*(lentry!$B$3:$B$3999&lt;=mar!S$3)*(lentry!$C$3:$C$3999&gt;=mar!S$3)),lentry!$D$3:$D$3999),IF(WEEKDAY(mar!S$3,1)=1,"WO","P"))</f>
        <v>P</v>
      </c>
      <c r="T50" s="4" t="str">
        <f>IFERROR(LOOKUP(2,1/((lentry!$A$3:$A$3999=mar!$A50)*(lentry!$B$3:$B$3999&lt;=mar!T$3)*(lentry!$C$3:$C$3999&gt;=mar!T$3)),lentry!$D$3:$D$3999),IF(WEEKDAY(mar!T$3,1)=1,"WO","P"))</f>
        <v>WO</v>
      </c>
      <c r="U50" s="4" t="str">
        <f>IFERROR(LOOKUP(2,1/((lentry!$A$3:$A$3999=mar!$A50)*(lentry!$B$3:$B$3999&lt;=mar!U$3)*(lentry!$C$3:$C$3999&gt;=mar!U$3)),lentry!$D$3:$D$3999),IF(WEEKDAY(mar!U$3,1)=1,"WO","P"))</f>
        <v>P</v>
      </c>
      <c r="V50" s="4" t="str">
        <f>IFERROR(LOOKUP(2,1/((lentry!$A$3:$A$3999=mar!$A50)*(lentry!$B$3:$B$3999&lt;=mar!V$3)*(lentry!$C$3:$C$3999&gt;=mar!V$3)),lentry!$D$3:$D$3999),IF(WEEKDAY(mar!V$3,1)=1,"WO","P"))</f>
        <v>P</v>
      </c>
      <c r="W50" s="4" t="str">
        <f>IFERROR(LOOKUP(2,1/((lentry!$A$3:$A$3999=mar!$A50)*(lentry!$B$3:$B$3999&lt;=mar!W$3)*(lentry!$C$3:$C$3999&gt;=mar!W$3)),lentry!$D$3:$D$3999),IF(WEEKDAY(mar!W$3,1)=1,"WO","P"))</f>
        <v>P</v>
      </c>
      <c r="X50" s="4" t="str">
        <f>IFERROR(LOOKUP(2,1/((lentry!$A$3:$A$3999=mar!$A50)*(lentry!$B$3:$B$3999&lt;=mar!X$3)*(lentry!$C$3:$C$3999&gt;=mar!X$3)),lentry!$D$3:$D$3999),IF(WEEKDAY(mar!X$3,1)=1,"WO","P"))</f>
        <v>P</v>
      </c>
      <c r="Y50" s="4" t="str">
        <f>IFERROR(LOOKUP(2,1/((lentry!$A$3:$A$3999=mar!$A50)*(lentry!$B$3:$B$3999&lt;=mar!Y$3)*(lentry!$C$3:$C$3999&gt;=mar!Y$3)),lentry!$D$3:$D$3999),IF(WEEKDAY(mar!Y$3,1)=1,"WO","P"))</f>
        <v>P</v>
      </c>
      <c r="Z50" s="4" t="s">
        <v>350</v>
      </c>
      <c r="AA50" s="4" t="str">
        <f>IFERROR(LOOKUP(2,1/((lentry!$A$3:$A$3999=mar!$A50)*(lentry!$B$3:$B$3999&lt;=mar!AA$3)*(lentry!$C$3:$C$3999&gt;=mar!AA$3)),lentry!$D$3:$D$3999),IF(WEEKDAY(mar!AA$3,1)=1,"WO","P"))</f>
        <v>WO</v>
      </c>
      <c r="AB50" s="4" t="str">
        <f>IFERROR(LOOKUP(2,1/((lentry!$A$3:$A$3999=mar!$A50)*(lentry!$B$3:$B$3999&lt;=mar!AB$3)*(lentry!$C$3:$C$3999&gt;=mar!AB$3)),lentry!$D$3:$D$3999),IF(WEEKDAY(mar!AB$3,1)=1,"WO","P"))</f>
        <v>P</v>
      </c>
      <c r="AC50" s="4" t="str">
        <f>IFERROR(LOOKUP(2,1/((lentry!$A$3:$A$3999=mar!$A50)*(lentry!$B$3:$B$3999&lt;=mar!AC$3)*(lentry!$C$3:$C$3999&gt;=mar!AC$3)),lentry!$D$3:$D$3999),IF(WEEKDAY(mar!AC$3,1)=1,"WO","P"))</f>
        <v>P</v>
      </c>
      <c r="AD50" s="4" t="str">
        <f>IFERROR(LOOKUP(2,1/((lentry!$A$3:$A$3999=mar!$A50)*(lentry!$B$3:$B$3999&lt;=mar!AD$3)*(lentry!$C$3:$C$3999&gt;=mar!AD$3)),lentry!$D$3:$D$3999),IF(WEEKDAY(mar!AD$3,1)=1,"WO","P"))</f>
        <v>P</v>
      </c>
      <c r="AE50" s="4" t="str">
        <f>IFERROR(LOOKUP(2,1/((lentry!$A$3:$A$3999=mar!$A50)*(lentry!$B$3:$B$3999&lt;=mar!AE$3)*(lentry!$C$3:$C$3999&gt;=mar!AE$3)),lentry!$D$3:$D$3999),IF(WEEKDAY(mar!AE$3,1)=1,"WO","P"))</f>
        <v>P</v>
      </c>
      <c r="AF50" s="4" t="str">
        <f>IFERROR(LOOKUP(2,1/((lentry!$A$3:$A$3999=mar!$A50)*(lentry!$B$3:$B$3999&lt;=mar!AF$3)*(lentry!$C$3:$C$3999&gt;=mar!AF$3)),lentry!$D$3:$D$3999),IF(WEEKDAY(mar!AF$3,1)=1,"WO","P"))</f>
        <v>P</v>
      </c>
      <c r="AG50" s="4" t="str">
        <f>IFERROR(LOOKUP(2,1/((lentry!$A$3:$A$3999=mar!$A50)*(lentry!$B$3:$B$3999&lt;=mar!AG$3)*(lentry!$C$3:$C$3999&gt;=mar!AG$3)),lentry!$D$3:$D$3999),IF(WEEKDAY(mar!AG$3,1)=1,"WO","P"))</f>
        <v>P</v>
      </c>
      <c r="AH50" s="4" t="str">
        <f>IFERROR(LOOKUP(2,1/((lentry!$A$3:$A$3999=mar!$A50)*(lentry!$B$3:$B$3999&lt;=mar!AH$3)*(lentry!$C$3:$C$3999&gt;=mar!AH$3)),lentry!$D$3:$D$3999),IF(WEEKDAY(mar!AH$3,1)=1,"WO","P"))</f>
        <v>WO</v>
      </c>
      <c r="AI50" s="4" t="str">
        <f>IFERROR(LOOKUP(2,1/((lentry!$A$3:$A$3999=mar!$A50)*(lentry!$B$3:$B$3999&lt;=mar!AI$3)*(lentry!$C$3:$C$3999&gt;=mar!AI$3)),lentry!$D$3:$D$3999),IF(WEEKDAY(mar!AI$3,1)=1,"WO","P"))</f>
        <v>P</v>
      </c>
      <c r="AJ50" s="4" t="str">
        <f>IFERROR(LOOKUP(2,1/((lentry!$A$3:$A$3999=mar!$A50)*(lentry!$B$3:$B$3999&lt;=mar!AJ$3)*(lentry!$C$3:$C$3999&gt;=mar!AJ$3)),lentry!$D$3:$D$3999),IF(WEEKDAY(mar!AJ$3,1)=1,"WO","P"))</f>
        <v>P</v>
      </c>
      <c r="AK50" s="4">
        <f>COUNTIF(mar!$F50:$AJ50,"WO")</f>
        <v>5</v>
      </c>
      <c r="AL50" s="4">
        <f>COUNTIF(mar!$F50:$AJ50,"H")</f>
        <v>2</v>
      </c>
      <c r="AM50" s="4">
        <f>COUNTIF(mar!$F50:$AJ50,"pl")</f>
        <v>0</v>
      </c>
      <c r="AN50" s="4">
        <f>COUNTIF(mar!$F50:$AJ50,"LWP")</f>
        <v>0</v>
      </c>
      <c r="AO50" s="4">
        <f>COUNTIF(mar!$F50:$AJ50,"HD")</f>
        <v>0</v>
      </c>
      <c r="AP50" s="4">
        <f>COUNTIF(mar!$F50:$AJ50,"SL")</f>
        <v>0</v>
      </c>
      <c r="AQ50" s="4">
        <f>COUNTIF(mar!$F50:$AJ50,"CL")</f>
        <v>0</v>
      </c>
      <c r="AR50" s="4">
        <f>COUNTIF(mar!$F50:$AJ50,"A")</f>
        <v>1</v>
      </c>
      <c r="AS50" s="4">
        <f>COUNTIF(mar!$F50:$AJ50,"P")</f>
        <v>23</v>
      </c>
      <c r="AT50" s="4">
        <f t="shared" si="2"/>
        <v>31</v>
      </c>
      <c r="AU50" s="4">
        <f t="shared" si="3"/>
        <v>30</v>
      </c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</row>
    <row r="51" spans="1:78" ht="18.75" x14ac:dyDescent="0.3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IFERROR(LOOKUP(2,1/((#REF!=mar!$A51)*(#REF!&lt;=mar!F$3)*(#REF!&gt;=mar!F$3)),#REF!),IF(WEEKDAY(mar!F$3,1)=1,"WO","P"))</f>
        <v>WO</v>
      </c>
      <c r="G51" s="4" t="str">
        <f>IFERROR(LOOKUP(2,1/((lentry!$A$3:$A$3999=mar!$A51)*(lentry!$B$3:$B$3999&lt;=mar!G$3)*(lentry!$C$3:$C$3999&gt;=mar!G$3)),lentry!$D$3:$D$3999),IF(WEEKDAY(mar!G$3,1)=1,"WO","P"))</f>
        <v>P</v>
      </c>
      <c r="H51" s="4" t="str">
        <f>IFERROR(LOOKUP(2,1/((lentry!$A$3:$A$3999=mar!$A51)*(lentry!$B$3:$B$3999&lt;=mar!H$3)*(lentry!$C$3:$C$3999&gt;=mar!H$3)),lentry!$D$3:$D$3999),IF(WEEKDAY(mar!H$3,1)=1,"WO","P"))</f>
        <v>P</v>
      </c>
      <c r="I51" s="4" t="s">
        <v>350</v>
      </c>
      <c r="J51" s="4" t="str">
        <f>IFERROR(LOOKUP(2,1/((lentry!$A$3:$A$3999=mar!$A51)*(lentry!$B$3:$B$3999&lt;=mar!J$3)*(lentry!$C$3:$C$3999&gt;=mar!J$3)),lentry!$D$3:$D$3999),IF(WEEKDAY(mar!J$3,1)=1,"WO","P"))</f>
        <v>P</v>
      </c>
      <c r="K51" s="4" t="str">
        <f>IFERROR(LOOKUP(2,1/((lentry!$A$3:$A$3999=mar!$A51)*(lentry!$B$3:$B$3999&lt;=mar!K$3)*(lentry!$C$3:$C$3999&gt;=mar!K$3)),lentry!$D$3:$D$3999),IF(WEEKDAY(mar!K$3,1)=1,"WO","P"))</f>
        <v>P</v>
      </c>
      <c r="L51" s="4" t="str">
        <f>IFERROR(LOOKUP(2,1/((lentry!$A$3:$A$3999=mar!$A51)*(lentry!$B$3:$B$3999&lt;=mar!L$3)*(lentry!$C$3:$C$3999&gt;=mar!L$3)),lentry!$D$3:$D$3999),IF(WEEKDAY(mar!L$3,1)=1,"WO","P"))</f>
        <v>P</v>
      </c>
      <c r="M51" s="4" t="str">
        <f>IFERROR(LOOKUP(2,1/((#REF!=mar!$A51)*(#REF!&lt;=mar!M$3)*(#REF!&gt;=mar!M$3)),#REF!),IF(WEEKDAY(mar!M$3,1)=1,"WO","P"))</f>
        <v>WO</v>
      </c>
      <c r="N51" s="4" t="str">
        <f>IFERROR(LOOKUP(2,1/((lentry!$A$3:$A$3999=mar!$A51)*(lentry!$B$3:$B$3999&lt;=mar!N$3)*(lentry!$C$3:$C$3999&gt;=mar!N$3)),lentry!$D$3:$D$3999),IF(WEEKDAY(mar!N$3,1)=1,"WO","P"))</f>
        <v>P</v>
      </c>
      <c r="O51" s="4" t="str">
        <f>IFERROR(LOOKUP(2,1/((lentry!$A$3:$A$3999=mar!$A51)*(lentry!$B$3:$B$3999&lt;=mar!O$3)*(lentry!$C$3:$C$3999&gt;=mar!O$3)),lentry!$D$3:$D$3999),IF(WEEKDAY(mar!O$3,1)=1,"WO","P"))</f>
        <v>P</v>
      </c>
      <c r="P51" s="4" t="str">
        <f>IFERROR(LOOKUP(2,1/((lentry!$A$3:$A$3999=mar!$A51)*(lentry!$B$3:$B$3999&lt;=mar!P$3)*(lentry!$C$3:$C$3999&gt;=mar!P$3)),lentry!$D$3:$D$3999),IF(WEEKDAY(mar!P$3,1)=1,"WO","P"))</f>
        <v>P</v>
      </c>
      <c r="Q51" s="4" t="str">
        <f>IFERROR(LOOKUP(2,1/((lentry!$A$3:$A$3999=mar!$A51)*(lentry!$B$3:$B$3999&lt;=mar!Q$3)*(lentry!$C$3:$C$3999&gt;=mar!Q$3)),lentry!$D$3:$D$3999),IF(WEEKDAY(mar!Q$3,1)=1,"WO","P"))</f>
        <v>P</v>
      </c>
      <c r="R51" s="4" t="str">
        <f>IFERROR(LOOKUP(2,1/((lentry!$A$3:$A$3999=mar!$A51)*(lentry!$B$3:$B$3999&lt;=mar!R$3)*(lentry!$C$3:$C$3999&gt;=mar!R$3)),lentry!$D$3:$D$3999),IF(WEEKDAY(mar!R$3,1)=1,"WO","P"))</f>
        <v>P</v>
      </c>
      <c r="S51" s="4" t="str">
        <f>IFERROR(LOOKUP(2,1/((lentry!$A$3:$A$3999=mar!$A51)*(lentry!$B$3:$B$3999&lt;=mar!S$3)*(lentry!$C$3:$C$3999&gt;=mar!S$3)),lentry!$D$3:$D$3999),IF(WEEKDAY(mar!S$3,1)=1,"WO","P"))</f>
        <v>P</v>
      </c>
      <c r="T51" s="4" t="str">
        <f>IFERROR(LOOKUP(2,1/((lentry!$A$3:$A$3999=mar!$A51)*(lentry!$B$3:$B$3999&lt;=mar!T$3)*(lentry!$C$3:$C$3999&gt;=mar!T$3)),lentry!$D$3:$D$3999),IF(WEEKDAY(mar!T$3,1)=1,"WO","P"))</f>
        <v>WO</v>
      </c>
      <c r="U51" s="4" t="str">
        <f>IFERROR(LOOKUP(2,1/((lentry!$A$3:$A$3999=mar!$A51)*(lentry!$B$3:$B$3999&lt;=mar!U$3)*(lentry!$C$3:$C$3999&gt;=mar!U$3)),lentry!$D$3:$D$3999),IF(WEEKDAY(mar!U$3,1)=1,"WO","P"))</f>
        <v>P</v>
      </c>
      <c r="V51" s="4" t="str">
        <f>IFERROR(LOOKUP(2,1/((lentry!$A$3:$A$3999=mar!$A51)*(lentry!$B$3:$B$3999&lt;=mar!V$3)*(lentry!$C$3:$C$3999&gt;=mar!V$3)),lentry!$D$3:$D$3999),IF(WEEKDAY(mar!V$3,1)=1,"WO","P"))</f>
        <v>P</v>
      </c>
      <c r="W51" s="4" t="str">
        <f>IFERROR(LOOKUP(2,1/((lentry!$A$3:$A$3999=mar!$A51)*(lentry!$B$3:$B$3999&lt;=mar!W$3)*(lentry!$C$3:$C$3999&gt;=mar!W$3)),lentry!$D$3:$D$3999),IF(WEEKDAY(mar!W$3,1)=1,"WO","P"))</f>
        <v>P</v>
      </c>
      <c r="X51" s="4" t="str">
        <f>IFERROR(LOOKUP(2,1/((lentry!$A$3:$A$3999=mar!$A51)*(lentry!$B$3:$B$3999&lt;=mar!X$3)*(lentry!$C$3:$C$3999&gt;=mar!X$3)),lentry!$D$3:$D$3999),IF(WEEKDAY(mar!X$3,1)=1,"WO","P"))</f>
        <v>P</v>
      </c>
      <c r="Y51" s="4" t="str">
        <f>IFERROR(LOOKUP(2,1/((lentry!$A$3:$A$3999=mar!$A51)*(lentry!$B$3:$B$3999&lt;=mar!Y$3)*(lentry!$C$3:$C$3999&gt;=mar!Y$3)),lentry!$D$3:$D$3999),IF(WEEKDAY(mar!Y$3,1)=1,"WO","P"))</f>
        <v>P</v>
      </c>
      <c r="Z51" s="4" t="s">
        <v>350</v>
      </c>
      <c r="AA51" s="4" t="str">
        <f>IFERROR(LOOKUP(2,1/((lentry!$A$3:$A$3999=mar!$A51)*(lentry!$B$3:$B$3999&lt;=mar!AA$3)*(lentry!$C$3:$C$3999&gt;=mar!AA$3)),lentry!$D$3:$D$3999),IF(WEEKDAY(mar!AA$3,1)=1,"WO","P"))</f>
        <v>WO</v>
      </c>
      <c r="AB51" s="4" t="str">
        <f>IFERROR(LOOKUP(2,1/((lentry!$A$3:$A$3999=mar!$A51)*(lentry!$B$3:$B$3999&lt;=mar!AB$3)*(lentry!$C$3:$C$3999&gt;=mar!AB$3)),lentry!$D$3:$D$3999),IF(WEEKDAY(mar!AB$3,1)=1,"WO","P"))</f>
        <v>P</v>
      </c>
      <c r="AC51" s="4" t="str">
        <f>IFERROR(LOOKUP(2,1/((lentry!$A$3:$A$3999=mar!$A51)*(lentry!$B$3:$B$3999&lt;=mar!AC$3)*(lentry!$C$3:$C$3999&gt;=mar!AC$3)),lentry!$D$3:$D$3999),IF(WEEKDAY(mar!AC$3,1)=1,"WO","P"))</f>
        <v>P</v>
      </c>
      <c r="AD51" s="4" t="str">
        <f>IFERROR(LOOKUP(2,1/((lentry!$A$3:$A$3999=mar!$A51)*(lentry!$B$3:$B$3999&lt;=mar!AD$3)*(lentry!$C$3:$C$3999&gt;=mar!AD$3)),lentry!$D$3:$D$3999),IF(WEEKDAY(mar!AD$3,1)=1,"WO","P"))</f>
        <v>P</v>
      </c>
      <c r="AE51" s="4" t="str">
        <f>IFERROR(LOOKUP(2,1/((lentry!$A$3:$A$3999=mar!$A51)*(lentry!$B$3:$B$3999&lt;=mar!AE$3)*(lentry!$C$3:$C$3999&gt;=mar!AE$3)),lentry!$D$3:$D$3999),IF(WEEKDAY(mar!AE$3,1)=1,"WO","P"))</f>
        <v>P</v>
      </c>
      <c r="AF51" s="4" t="str">
        <f>IFERROR(LOOKUP(2,1/((lentry!$A$3:$A$3999=mar!$A51)*(lentry!$B$3:$B$3999&lt;=mar!AF$3)*(lentry!$C$3:$C$3999&gt;=mar!AF$3)),lentry!$D$3:$D$3999),IF(WEEKDAY(mar!AF$3,1)=1,"WO","P"))</f>
        <v>P</v>
      </c>
      <c r="AG51" s="4" t="str">
        <f>IFERROR(LOOKUP(2,1/((lentry!$A$3:$A$3999=mar!$A51)*(lentry!$B$3:$B$3999&lt;=mar!AG$3)*(lentry!$C$3:$C$3999&gt;=mar!AG$3)),lentry!$D$3:$D$3999),IF(WEEKDAY(mar!AG$3,1)=1,"WO","P"))</f>
        <v>P</v>
      </c>
      <c r="AH51" s="4" t="str">
        <f>IFERROR(LOOKUP(2,1/((lentry!$A$3:$A$3999=mar!$A51)*(lentry!$B$3:$B$3999&lt;=mar!AH$3)*(lentry!$C$3:$C$3999&gt;=mar!AH$3)),lentry!$D$3:$D$3999),IF(WEEKDAY(mar!AH$3,1)=1,"WO","P"))</f>
        <v>WO</v>
      </c>
      <c r="AI51" s="4" t="str">
        <f>IFERROR(LOOKUP(2,1/((lentry!$A$3:$A$3999=mar!$A51)*(lentry!$B$3:$B$3999&lt;=mar!AI$3)*(lentry!$C$3:$C$3999&gt;=mar!AI$3)),lentry!$D$3:$D$3999),IF(WEEKDAY(mar!AI$3,1)=1,"WO","P"))</f>
        <v>P</v>
      </c>
      <c r="AJ51" s="4" t="str">
        <f>IFERROR(LOOKUP(2,1/((lentry!$A$3:$A$3999=mar!$A51)*(lentry!$B$3:$B$3999&lt;=mar!AJ$3)*(lentry!$C$3:$C$3999&gt;=mar!AJ$3)),lentry!$D$3:$D$3999),IF(WEEKDAY(mar!AJ$3,1)=1,"WO","P"))</f>
        <v>P</v>
      </c>
      <c r="AK51" s="4">
        <f>COUNTIF(mar!$F51:$AJ51,"WO")</f>
        <v>5</v>
      </c>
      <c r="AL51" s="4">
        <f>COUNTIF(mar!$F51:$AJ51,"H")</f>
        <v>2</v>
      </c>
      <c r="AM51" s="4">
        <f>COUNTIF(mar!$F51:$AJ51,"pl")</f>
        <v>0</v>
      </c>
      <c r="AN51" s="4">
        <f>COUNTIF(mar!$F51:$AJ51,"LWP")</f>
        <v>0</v>
      </c>
      <c r="AO51" s="4">
        <f>COUNTIF(mar!$F51:$AJ51,"HD")</f>
        <v>0</v>
      </c>
      <c r="AP51" s="4">
        <f>COUNTIF(mar!$F51:$AJ51,"SL")</f>
        <v>0</v>
      </c>
      <c r="AQ51" s="4">
        <f>COUNTIF(mar!$F51:$AJ51,"CL")</f>
        <v>0</v>
      </c>
      <c r="AR51" s="4">
        <f>COUNTIF(mar!$F51:$AJ51,"A")</f>
        <v>0</v>
      </c>
      <c r="AS51" s="4">
        <f>COUNTIF(mar!$F51:$AJ51,"P")</f>
        <v>24</v>
      </c>
      <c r="AT51" s="4">
        <f t="shared" si="2"/>
        <v>31</v>
      </c>
      <c r="AU51" s="4">
        <f t="shared" si="3"/>
        <v>31</v>
      </c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</row>
    <row r="52" spans="1:78" ht="18.75" x14ac:dyDescent="0.3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IFERROR(LOOKUP(2,1/((#REF!=mar!$A52)*(#REF!&lt;=mar!F$3)*(#REF!&gt;=mar!F$3)),#REF!),IF(WEEKDAY(mar!F$3,1)=1,"WO","P"))</f>
        <v>WO</v>
      </c>
      <c r="G52" s="4" t="str">
        <f>IFERROR(LOOKUP(2,1/((lentry!$A$3:$A$3999=mar!$A52)*(lentry!$B$3:$B$3999&lt;=mar!G$3)*(lentry!$C$3:$C$3999&gt;=mar!G$3)),lentry!$D$3:$D$3999),IF(WEEKDAY(mar!G$3,1)=1,"WO","P"))</f>
        <v>P</v>
      </c>
      <c r="H52" s="4" t="str">
        <f>IFERROR(LOOKUP(2,1/((lentry!$A$3:$A$3999=mar!$A52)*(lentry!$B$3:$B$3999&lt;=mar!H$3)*(lentry!$C$3:$C$3999&gt;=mar!H$3)),lentry!$D$3:$D$3999),IF(WEEKDAY(mar!H$3,1)=1,"WO","P"))</f>
        <v>P</v>
      </c>
      <c r="I52" s="4" t="s">
        <v>350</v>
      </c>
      <c r="J52" s="4" t="str">
        <f>IFERROR(LOOKUP(2,1/((lentry!$A$3:$A$3999=mar!$A52)*(lentry!$B$3:$B$3999&lt;=mar!J$3)*(lentry!$C$3:$C$3999&gt;=mar!J$3)),lentry!$D$3:$D$3999),IF(WEEKDAY(mar!J$3,1)=1,"WO","P"))</f>
        <v>P</v>
      </c>
      <c r="K52" s="4" t="str">
        <f>IFERROR(LOOKUP(2,1/((lentry!$A$3:$A$3999=mar!$A52)*(lentry!$B$3:$B$3999&lt;=mar!K$3)*(lentry!$C$3:$C$3999&gt;=mar!K$3)),lentry!$D$3:$D$3999),IF(WEEKDAY(mar!K$3,1)=1,"WO","P"))</f>
        <v>P</v>
      </c>
      <c r="L52" s="4" t="str">
        <f>IFERROR(LOOKUP(2,1/((lentry!$A$3:$A$3999=mar!$A52)*(lentry!$B$3:$B$3999&lt;=mar!L$3)*(lentry!$C$3:$C$3999&gt;=mar!L$3)),lentry!$D$3:$D$3999),IF(WEEKDAY(mar!L$3,1)=1,"WO","P"))</f>
        <v>P</v>
      </c>
      <c r="M52" s="4" t="str">
        <f>IFERROR(LOOKUP(2,1/((#REF!=mar!$A52)*(#REF!&lt;=mar!M$3)*(#REF!&gt;=mar!M$3)),#REF!),IF(WEEKDAY(mar!M$3,1)=1,"WO","P"))</f>
        <v>WO</v>
      </c>
      <c r="N52" s="4" t="str">
        <f>IFERROR(LOOKUP(2,1/((lentry!$A$3:$A$3999=mar!$A52)*(lentry!$B$3:$B$3999&lt;=mar!N$3)*(lentry!$C$3:$C$3999&gt;=mar!N$3)),lentry!$D$3:$D$3999),IF(WEEKDAY(mar!N$3,1)=1,"WO","P"))</f>
        <v>P</v>
      </c>
      <c r="O52" s="4" t="str">
        <f>IFERROR(LOOKUP(2,1/((lentry!$A$3:$A$3999=mar!$A52)*(lentry!$B$3:$B$3999&lt;=mar!O$3)*(lentry!$C$3:$C$3999&gt;=mar!O$3)),lentry!$D$3:$D$3999),IF(WEEKDAY(mar!O$3,1)=1,"WO","P"))</f>
        <v>P</v>
      </c>
      <c r="P52" s="4" t="str">
        <f>IFERROR(LOOKUP(2,1/((lentry!$A$3:$A$3999=mar!$A52)*(lentry!$B$3:$B$3999&lt;=mar!P$3)*(lentry!$C$3:$C$3999&gt;=mar!P$3)),lentry!$D$3:$D$3999),IF(WEEKDAY(mar!P$3,1)=1,"WO","P"))</f>
        <v>P</v>
      </c>
      <c r="Q52" s="4" t="str">
        <f>IFERROR(LOOKUP(2,1/((lentry!$A$3:$A$3999=mar!$A52)*(lentry!$B$3:$B$3999&lt;=mar!Q$3)*(lentry!$C$3:$C$3999&gt;=mar!Q$3)),lentry!$D$3:$D$3999),IF(WEEKDAY(mar!Q$3,1)=1,"WO","P"))</f>
        <v>P</v>
      </c>
      <c r="R52" s="4" t="str">
        <f>IFERROR(LOOKUP(2,1/((lentry!$A$3:$A$3999=mar!$A52)*(lentry!$B$3:$B$3999&lt;=mar!R$3)*(lentry!$C$3:$C$3999&gt;=mar!R$3)),lentry!$D$3:$D$3999),IF(WEEKDAY(mar!R$3,1)=1,"WO","P"))</f>
        <v>P</v>
      </c>
      <c r="S52" s="4" t="str">
        <f>IFERROR(LOOKUP(2,1/((lentry!$A$3:$A$3999=mar!$A52)*(lentry!$B$3:$B$3999&lt;=mar!S$3)*(lentry!$C$3:$C$3999&gt;=mar!S$3)),lentry!$D$3:$D$3999),IF(WEEKDAY(mar!S$3,1)=1,"WO","P"))</f>
        <v>P</v>
      </c>
      <c r="T52" s="4" t="str">
        <f>IFERROR(LOOKUP(2,1/((lentry!$A$3:$A$3999=mar!$A52)*(lentry!$B$3:$B$3999&lt;=mar!T$3)*(lentry!$C$3:$C$3999&gt;=mar!T$3)),lentry!$D$3:$D$3999),IF(WEEKDAY(mar!T$3,1)=1,"WO","P"))</f>
        <v>WO</v>
      </c>
      <c r="U52" s="4" t="str">
        <f>IFERROR(LOOKUP(2,1/((lentry!$A$3:$A$3999=mar!$A52)*(lentry!$B$3:$B$3999&lt;=mar!U$3)*(lentry!$C$3:$C$3999&gt;=mar!U$3)),lentry!$D$3:$D$3999),IF(WEEKDAY(mar!U$3,1)=1,"WO","P"))</f>
        <v>P</v>
      </c>
      <c r="V52" s="4" t="str">
        <f>IFERROR(LOOKUP(2,1/((lentry!$A$3:$A$3999=mar!$A52)*(lentry!$B$3:$B$3999&lt;=mar!V$3)*(lentry!$C$3:$C$3999&gt;=mar!V$3)),lentry!$D$3:$D$3999),IF(WEEKDAY(mar!V$3,1)=1,"WO","P"))</f>
        <v>P</v>
      </c>
      <c r="W52" s="4" t="str">
        <f>IFERROR(LOOKUP(2,1/((lentry!$A$3:$A$3999=mar!$A52)*(lentry!$B$3:$B$3999&lt;=mar!W$3)*(lentry!$C$3:$C$3999&gt;=mar!W$3)),lentry!$D$3:$D$3999),IF(WEEKDAY(mar!W$3,1)=1,"WO","P"))</f>
        <v>P</v>
      </c>
      <c r="X52" s="4" t="str">
        <f>IFERROR(LOOKUP(2,1/((lentry!$A$3:$A$3999=mar!$A52)*(lentry!$B$3:$B$3999&lt;=mar!X$3)*(lentry!$C$3:$C$3999&gt;=mar!X$3)),lentry!$D$3:$D$3999),IF(WEEKDAY(mar!X$3,1)=1,"WO","P"))</f>
        <v>P</v>
      </c>
      <c r="Y52" s="4" t="str">
        <f>IFERROR(LOOKUP(2,1/((lentry!$A$3:$A$3999=mar!$A52)*(lentry!$B$3:$B$3999&lt;=mar!Y$3)*(lentry!$C$3:$C$3999&gt;=mar!Y$3)),lentry!$D$3:$D$3999),IF(WEEKDAY(mar!Y$3,1)=1,"WO","P"))</f>
        <v>P</v>
      </c>
      <c r="Z52" s="4" t="s">
        <v>350</v>
      </c>
      <c r="AA52" s="4" t="str">
        <f>IFERROR(LOOKUP(2,1/((lentry!$A$3:$A$3999=mar!$A52)*(lentry!$B$3:$B$3999&lt;=mar!AA$3)*(lentry!$C$3:$C$3999&gt;=mar!AA$3)),lentry!$D$3:$D$3999),IF(WEEKDAY(mar!AA$3,1)=1,"WO","P"))</f>
        <v>WO</v>
      </c>
      <c r="AB52" s="4" t="str">
        <f>IFERROR(LOOKUP(2,1/((lentry!$A$3:$A$3999=mar!$A52)*(lentry!$B$3:$B$3999&lt;=mar!AB$3)*(lentry!$C$3:$C$3999&gt;=mar!AB$3)),lentry!$D$3:$D$3999),IF(WEEKDAY(mar!AB$3,1)=1,"WO","P"))</f>
        <v>P</v>
      </c>
      <c r="AC52" s="4" t="str">
        <f>IFERROR(LOOKUP(2,1/((lentry!$A$3:$A$3999=mar!$A52)*(lentry!$B$3:$B$3999&lt;=mar!AC$3)*(lentry!$C$3:$C$3999&gt;=mar!AC$3)),lentry!$D$3:$D$3999),IF(WEEKDAY(mar!AC$3,1)=1,"WO","P"))</f>
        <v>P</v>
      </c>
      <c r="AD52" s="4" t="str">
        <f>IFERROR(LOOKUP(2,1/((lentry!$A$3:$A$3999=mar!$A52)*(lentry!$B$3:$B$3999&lt;=mar!AD$3)*(lentry!$C$3:$C$3999&gt;=mar!AD$3)),lentry!$D$3:$D$3999),IF(WEEKDAY(mar!AD$3,1)=1,"WO","P"))</f>
        <v>P</v>
      </c>
      <c r="AE52" s="4" t="str">
        <f>IFERROR(LOOKUP(2,1/((lentry!$A$3:$A$3999=mar!$A52)*(lentry!$B$3:$B$3999&lt;=mar!AE$3)*(lentry!$C$3:$C$3999&gt;=mar!AE$3)),lentry!$D$3:$D$3999),IF(WEEKDAY(mar!AE$3,1)=1,"WO","P"))</f>
        <v>P</v>
      </c>
      <c r="AF52" s="4" t="str">
        <f>IFERROR(LOOKUP(2,1/((lentry!$A$3:$A$3999=mar!$A52)*(lentry!$B$3:$B$3999&lt;=mar!AF$3)*(lentry!$C$3:$C$3999&gt;=mar!AF$3)),lentry!$D$3:$D$3999),IF(WEEKDAY(mar!AF$3,1)=1,"WO","P"))</f>
        <v>P</v>
      </c>
      <c r="AG52" s="4" t="str">
        <f>IFERROR(LOOKUP(2,1/((lentry!$A$3:$A$3999=mar!$A52)*(lentry!$B$3:$B$3999&lt;=mar!AG$3)*(lentry!$C$3:$C$3999&gt;=mar!AG$3)),lentry!$D$3:$D$3999),IF(WEEKDAY(mar!AG$3,1)=1,"WO","P"))</f>
        <v>P</v>
      </c>
      <c r="AH52" s="4" t="str">
        <f>IFERROR(LOOKUP(2,1/((lentry!$A$3:$A$3999=mar!$A52)*(lentry!$B$3:$B$3999&lt;=mar!AH$3)*(lentry!$C$3:$C$3999&gt;=mar!AH$3)),lentry!$D$3:$D$3999),IF(WEEKDAY(mar!AH$3,1)=1,"WO","P"))</f>
        <v>WO</v>
      </c>
      <c r="AI52" s="4" t="str">
        <f>IFERROR(LOOKUP(2,1/((lentry!$A$3:$A$3999=mar!$A52)*(lentry!$B$3:$B$3999&lt;=mar!AI$3)*(lentry!$C$3:$C$3999&gt;=mar!AI$3)),lentry!$D$3:$D$3999),IF(WEEKDAY(mar!AI$3,1)=1,"WO","P"))</f>
        <v>P</v>
      </c>
      <c r="AJ52" s="4" t="str">
        <f>IFERROR(LOOKUP(2,1/((lentry!$A$3:$A$3999=mar!$A52)*(lentry!$B$3:$B$3999&lt;=mar!AJ$3)*(lentry!$C$3:$C$3999&gt;=mar!AJ$3)),lentry!$D$3:$D$3999),IF(WEEKDAY(mar!AJ$3,1)=1,"WO","P"))</f>
        <v>P</v>
      </c>
      <c r="AK52" s="4">
        <f>COUNTIF(mar!$F52:$AJ52,"WO")</f>
        <v>5</v>
      </c>
      <c r="AL52" s="4">
        <f>COUNTIF(mar!$F52:$AJ52,"H")</f>
        <v>2</v>
      </c>
      <c r="AM52" s="4">
        <f>COUNTIF(mar!$F52:$AJ52,"pl")</f>
        <v>0</v>
      </c>
      <c r="AN52" s="4">
        <f>COUNTIF(mar!$F52:$AJ52,"LWP")</f>
        <v>0</v>
      </c>
      <c r="AO52" s="4">
        <f>COUNTIF(mar!$F52:$AJ52,"HD")</f>
        <v>0</v>
      </c>
      <c r="AP52" s="4">
        <f>COUNTIF(mar!$F52:$AJ52,"SL")</f>
        <v>0</v>
      </c>
      <c r="AQ52" s="4">
        <f>COUNTIF(mar!$F52:$AJ52,"CL")</f>
        <v>0</v>
      </c>
      <c r="AR52" s="4">
        <f>COUNTIF(mar!$F52:$AJ52,"A")</f>
        <v>0</v>
      </c>
      <c r="AS52" s="4">
        <f>COUNTIF(mar!$F52:$AJ52,"P")</f>
        <v>24</v>
      </c>
      <c r="AT52" s="4">
        <f t="shared" si="2"/>
        <v>31</v>
      </c>
      <c r="AU52" s="4">
        <f t="shared" si="3"/>
        <v>31</v>
      </c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</row>
    <row r="53" spans="1:78" ht="18.75" x14ac:dyDescent="0.3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IFERROR(LOOKUP(2,1/((#REF!=mar!$A53)*(#REF!&lt;=mar!F$3)*(#REF!&gt;=mar!F$3)),#REF!),IF(WEEKDAY(mar!F$3,1)=1,"WO","P"))</f>
        <v>WO</v>
      </c>
      <c r="G53" s="4" t="str">
        <f>IFERROR(LOOKUP(2,1/((lentry!$A$3:$A$3999=mar!$A53)*(lentry!$B$3:$B$3999&lt;=mar!G$3)*(lentry!$C$3:$C$3999&gt;=mar!G$3)),lentry!$D$3:$D$3999),IF(WEEKDAY(mar!G$3,1)=1,"WO","P"))</f>
        <v>P</v>
      </c>
      <c r="H53" s="4" t="str">
        <f>IFERROR(LOOKUP(2,1/((lentry!$A$3:$A$3999=mar!$A53)*(lentry!$B$3:$B$3999&lt;=mar!H$3)*(lentry!$C$3:$C$3999&gt;=mar!H$3)),lentry!$D$3:$D$3999),IF(WEEKDAY(mar!H$3,1)=1,"WO","P"))</f>
        <v>P</v>
      </c>
      <c r="I53" s="4" t="s">
        <v>350</v>
      </c>
      <c r="J53" s="4" t="str">
        <f>IFERROR(LOOKUP(2,1/((lentry!$A$3:$A$3999=mar!$A53)*(lentry!$B$3:$B$3999&lt;=mar!J$3)*(lentry!$C$3:$C$3999&gt;=mar!J$3)),lentry!$D$3:$D$3999),IF(WEEKDAY(mar!J$3,1)=1,"WO","P"))</f>
        <v>P</v>
      </c>
      <c r="K53" s="4" t="str">
        <f>IFERROR(LOOKUP(2,1/((lentry!$A$3:$A$3999=mar!$A53)*(lentry!$B$3:$B$3999&lt;=mar!K$3)*(lentry!$C$3:$C$3999&gt;=mar!K$3)),lentry!$D$3:$D$3999),IF(WEEKDAY(mar!K$3,1)=1,"WO","P"))</f>
        <v>P</v>
      </c>
      <c r="L53" s="4" t="str">
        <f>IFERROR(LOOKUP(2,1/((lentry!$A$3:$A$3999=mar!$A53)*(lentry!$B$3:$B$3999&lt;=mar!L$3)*(lentry!$C$3:$C$3999&gt;=mar!L$3)),lentry!$D$3:$D$3999),IF(WEEKDAY(mar!L$3,1)=1,"WO","P"))</f>
        <v>P</v>
      </c>
      <c r="M53" s="4" t="str">
        <f>IFERROR(LOOKUP(2,1/((#REF!=mar!$A53)*(#REF!&lt;=mar!M$3)*(#REF!&gt;=mar!M$3)),#REF!),IF(WEEKDAY(mar!M$3,1)=1,"WO","P"))</f>
        <v>WO</v>
      </c>
      <c r="N53" s="4" t="str">
        <f>IFERROR(LOOKUP(2,1/((lentry!$A$3:$A$3999=mar!$A53)*(lentry!$B$3:$B$3999&lt;=mar!N$3)*(lentry!$C$3:$C$3999&gt;=mar!N$3)),lentry!$D$3:$D$3999),IF(WEEKDAY(mar!N$3,1)=1,"WO","P"))</f>
        <v>P</v>
      </c>
      <c r="O53" s="4" t="str">
        <f>IFERROR(LOOKUP(2,1/((lentry!$A$3:$A$3999=mar!$A53)*(lentry!$B$3:$B$3999&lt;=mar!O$3)*(lentry!$C$3:$C$3999&gt;=mar!O$3)),lentry!$D$3:$D$3999),IF(WEEKDAY(mar!O$3,1)=1,"WO","P"))</f>
        <v>P</v>
      </c>
      <c r="P53" s="4" t="s">
        <v>539</v>
      </c>
      <c r="Q53" s="4" t="str">
        <f>IFERROR(LOOKUP(2,1/((lentry!$A$3:$A$3999=mar!$A53)*(lentry!$B$3:$B$3999&lt;=mar!Q$3)*(lentry!$C$3:$C$3999&gt;=mar!Q$3)),lentry!$D$3:$D$3999),IF(WEEKDAY(mar!Q$3,1)=1,"WO","P"))</f>
        <v>P</v>
      </c>
      <c r="R53" s="4" t="str">
        <f>IFERROR(LOOKUP(2,1/((lentry!$A$3:$A$3999=mar!$A53)*(lentry!$B$3:$B$3999&lt;=mar!R$3)*(lentry!$C$3:$C$3999&gt;=mar!R$3)),lentry!$D$3:$D$3999),IF(WEEKDAY(mar!R$3,1)=1,"WO","P"))</f>
        <v>P</v>
      </c>
      <c r="S53" s="4" t="str">
        <f>IFERROR(LOOKUP(2,1/((lentry!$A$3:$A$3999=mar!$A53)*(lentry!$B$3:$B$3999&lt;=mar!S$3)*(lentry!$C$3:$C$3999&gt;=mar!S$3)),lentry!$D$3:$D$3999),IF(WEEKDAY(mar!S$3,1)=1,"WO","P"))</f>
        <v>P</v>
      </c>
      <c r="T53" s="4" t="str">
        <f>IFERROR(LOOKUP(2,1/((lentry!$A$3:$A$3999=mar!$A53)*(lentry!$B$3:$B$3999&lt;=mar!T$3)*(lentry!$C$3:$C$3999&gt;=mar!T$3)),lentry!$D$3:$D$3999),IF(WEEKDAY(mar!T$3,1)=1,"WO","P"))</f>
        <v>WO</v>
      </c>
      <c r="U53" s="4" t="str">
        <f>IFERROR(LOOKUP(2,1/((lentry!$A$3:$A$3999=mar!$A53)*(lentry!$B$3:$B$3999&lt;=mar!U$3)*(lentry!$C$3:$C$3999&gt;=mar!U$3)),lentry!$D$3:$D$3999),IF(WEEKDAY(mar!U$3,1)=1,"WO","P"))</f>
        <v>P</v>
      </c>
      <c r="V53" s="4" t="str">
        <f>IFERROR(LOOKUP(2,1/((lentry!$A$3:$A$3999=mar!$A53)*(lentry!$B$3:$B$3999&lt;=mar!V$3)*(lentry!$C$3:$C$3999&gt;=mar!V$3)),lentry!$D$3:$D$3999),IF(WEEKDAY(mar!V$3,1)=1,"WO","P"))</f>
        <v>P</v>
      </c>
      <c r="W53" s="4" t="str">
        <f>IFERROR(LOOKUP(2,1/((lentry!$A$3:$A$3999=mar!$A53)*(lentry!$B$3:$B$3999&lt;=mar!W$3)*(lentry!$C$3:$C$3999&gt;=mar!W$3)),lentry!$D$3:$D$3999),IF(WEEKDAY(mar!W$3,1)=1,"WO","P"))</f>
        <v>P</v>
      </c>
      <c r="X53" s="4" t="str">
        <f>IFERROR(LOOKUP(2,1/((lentry!$A$3:$A$3999=mar!$A53)*(lentry!$B$3:$B$3999&lt;=mar!X$3)*(lentry!$C$3:$C$3999&gt;=mar!X$3)),lentry!$D$3:$D$3999),IF(WEEKDAY(mar!X$3,1)=1,"WO","P"))</f>
        <v>P</v>
      </c>
      <c r="Y53" s="4" t="str">
        <f>IFERROR(LOOKUP(2,1/((lentry!$A$3:$A$3999=mar!$A53)*(lentry!$B$3:$B$3999&lt;=mar!Y$3)*(lentry!$C$3:$C$3999&gt;=mar!Y$3)),lentry!$D$3:$D$3999),IF(WEEKDAY(mar!Y$3,1)=1,"WO","P"))</f>
        <v>P</v>
      </c>
      <c r="Z53" s="4" t="s">
        <v>350</v>
      </c>
      <c r="AA53" s="4" t="str">
        <f>IFERROR(LOOKUP(2,1/((lentry!$A$3:$A$3999=mar!$A53)*(lentry!$B$3:$B$3999&lt;=mar!AA$3)*(lentry!$C$3:$C$3999&gt;=mar!AA$3)),lentry!$D$3:$D$3999),IF(WEEKDAY(mar!AA$3,1)=1,"WO","P"))</f>
        <v>WO</v>
      </c>
      <c r="AB53" s="4" t="str">
        <f>IFERROR(LOOKUP(2,1/((lentry!$A$3:$A$3999=mar!$A53)*(lentry!$B$3:$B$3999&lt;=mar!AB$3)*(lentry!$C$3:$C$3999&gt;=mar!AB$3)),lentry!$D$3:$D$3999),IF(WEEKDAY(mar!AB$3,1)=1,"WO","P"))</f>
        <v>P</v>
      </c>
      <c r="AC53" s="4" t="str">
        <f>IFERROR(LOOKUP(2,1/((lentry!$A$3:$A$3999=mar!$A53)*(lentry!$B$3:$B$3999&lt;=mar!AC$3)*(lentry!$C$3:$C$3999&gt;=mar!AC$3)),lentry!$D$3:$D$3999),IF(WEEKDAY(mar!AC$3,1)=1,"WO","P"))</f>
        <v>P</v>
      </c>
      <c r="AD53" s="4" t="str">
        <f>IFERROR(LOOKUP(2,1/((lentry!$A$3:$A$3999=mar!$A53)*(lentry!$B$3:$B$3999&lt;=mar!AD$3)*(lentry!$C$3:$C$3999&gt;=mar!AD$3)),lentry!$D$3:$D$3999),IF(WEEKDAY(mar!AD$3,1)=1,"WO","P"))</f>
        <v>P</v>
      </c>
      <c r="AE53" s="4" t="str">
        <f>IFERROR(LOOKUP(2,1/((lentry!$A$3:$A$3999=mar!$A53)*(lentry!$B$3:$B$3999&lt;=mar!AE$3)*(lentry!$C$3:$C$3999&gt;=mar!AE$3)),lentry!$D$3:$D$3999),IF(WEEKDAY(mar!AE$3,1)=1,"WO","P"))</f>
        <v>P</v>
      </c>
      <c r="AF53" s="4" t="str">
        <f>IFERROR(LOOKUP(2,1/((lentry!$A$3:$A$3999=mar!$A53)*(lentry!$B$3:$B$3999&lt;=mar!AF$3)*(lentry!$C$3:$C$3999&gt;=mar!AF$3)),lentry!$D$3:$D$3999),IF(WEEKDAY(mar!AF$3,1)=1,"WO","P"))</f>
        <v>P</v>
      </c>
      <c r="AG53" s="4" t="str">
        <f>IFERROR(LOOKUP(2,1/((lentry!$A$3:$A$3999=mar!$A53)*(lentry!$B$3:$B$3999&lt;=mar!AG$3)*(lentry!$C$3:$C$3999&gt;=mar!AG$3)),lentry!$D$3:$D$3999),IF(WEEKDAY(mar!AG$3,1)=1,"WO","P"))</f>
        <v>P</v>
      </c>
      <c r="AH53" s="4" t="str">
        <f>IFERROR(LOOKUP(2,1/((lentry!$A$3:$A$3999=mar!$A53)*(lentry!$B$3:$B$3999&lt;=mar!AH$3)*(lentry!$C$3:$C$3999&gt;=mar!AH$3)),lentry!$D$3:$D$3999),IF(WEEKDAY(mar!AH$3,1)=1,"WO","P"))</f>
        <v>WO</v>
      </c>
      <c r="AI53" s="4" t="str">
        <f>IFERROR(LOOKUP(2,1/((lentry!$A$3:$A$3999=mar!$A53)*(lentry!$B$3:$B$3999&lt;=mar!AI$3)*(lentry!$C$3:$C$3999&gt;=mar!AI$3)),lentry!$D$3:$D$3999),IF(WEEKDAY(mar!AI$3,1)=1,"WO","P"))</f>
        <v>P</v>
      </c>
      <c r="AJ53" s="4" t="str">
        <f>IFERROR(LOOKUP(2,1/((lentry!$A$3:$A$3999=mar!$A53)*(lentry!$B$3:$B$3999&lt;=mar!AJ$3)*(lentry!$C$3:$C$3999&gt;=mar!AJ$3)),lentry!$D$3:$D$3999),IF(WEEKDAY(mar!AJ$3,1)=1,"WO","P"))</f>
        <v>P</v>
      </c>
      <c r="AK53" s="4">
        <f>COUNTIF(mar!$F53:$AJ53,"WO")</f>
        <v>5</v>
      </c>
      <c r="AL53" s="4">
        <f>COUNTIF(mar!$F53:$AJ53,"H")</f>
        <v>2</v>
      </c>
      <c r="AM53" s="4">
        <f>COUNTIF(mar!$F53:$AJ53,"pl")</f>
        <v>0</v>
      </c>
      <c r="AN53" s="4">
        <f>COUNTIF(mar!$F53:$AJ53,"LWP")</f>
        <v>0</v>
      </c>
      <c r="AO53" s="4">
        <f>COUNTIF(mar!$F53:$AJ53,"HD")</f>
        <v>0</v>
      </c>
      <c r="AP53" s="4">
        <f>COUNTIF(mar!$F53:$AJ53,"SL")</f>
        <v>0</v>
      </c>
      <c r="AQ53" s="4">
        <f>COUNTIF(mar!$F53:$AJ53,"CL")</f>
        <v>0</v>
      </c>
      <c r="AR53" s="4">
        <f>COUNTIF(mar!$F53:$AJ53,"A")</f>
        <v>1</v>
      </c>
      <c r="AS53" s="4">
        <f>COUNTIF(mar!$F53:$AJ53,"P")</f>
        <v>23</v>
      </c>
      <c r="AT53" s="4">
        <f t="shared" si="2"/>
        <v>31</v>
      </c>
      <c r="AU53" s="4">
        <f t="shared" si="3"/>
        <v>30</v>
      </c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</row>
    <row r="54" spans="1:78" ht="18.75" x14ac:dyDescent="0.3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IFERROR(LOOKUP(2,1/((#REF!=mar!$A54)*(#REF!&lt;=mar!F$3)*(#REF!&gt;=mar!F$3)),#REF!),IF(WEEKDAY(mar!F$3,1)=1,"WO","P"))</f>
        <v>WO</v>
      </c>
      <c r="G54" s="4" t="str">
        <f>IFERROR(LOOKUP(2,1/((lentry!$A$3:$A$3999=mar!$A54)*(lentry!$B$3:$B$3999&lt;=mar!G$3)*(lentry!$C$3:$C$3999&gt;=mar!G$3)),lentry!$D$3:$D$3999),IF(WEEKDAY(mar!G$3,1)=1,"WO","P"))</f>
        <v>P</v>
      </c>
      <c r="H54" s="4" t="str">
        <f>IFERROR(LOOKUP(2,1/((lentry!$A$3:$A$3999=mar!$A54)*(lentry!$B$3:$B$3999&lt;=mar!H$3)*(lentry!$C$3:$C$3999&gt;=mar!H$3)),lentry!$D$3:$D$3999),IF(WEEKDAY(mar!H$3,1)=1,"WO","P"))</f>
        <v>P</v>
      </c>
      <c r="I54" s="4" t="s">
        <v>350</v>
      </c>
      <c r="J54" s="4" t="str">
        <f>IFERROR(LOOKUP(2,1/((lentry!$A$3:$A$3999=mar!$A54)*(lentry!$B$3:$B$3999&lt;=mar!J$3)*(lentry!$C$3:$C$3999&gt;=mar!J$3)),lentry!$D$3:$D$3999),IF(WEEKDAY(mar!J$3,1)=1,"WO","P"))</f>
        <v>P</v>
      </c>
      <c r="K54" s="4" t="str">
        <f>IFERROR(LOOKUP(2,1/((lentry!$A$3:$A$3999=mar!$A54)*(lentry!$B$3:$B$3999&lt;=mar!K$3)*(lentry!$C$3:$C$3999&gt;=mar!K$3)),lentry!$D$3:$D$3999),IF(WEEKDAY(mar!K$3,1)=1,"WO","P"))</f>
        <v>P</v>
      </c>
      <c r="L54" s="4" t="str">
        <f>IFERROR(LOOKUP(2,1/((lentry!$A$3:$A$3999=mar!$A54)*(lentry!$B$3:$B$3999&lt;=mar!L$3)*(lentry!$C$3:$C$3999&gt;=mar!L$3)),lentry!$D$3:$D$3999),IF(WEEKDAY(mar!L$3,1)=1,"WO","P"))</f>
        <v>P</v>
      </c>
      <c r="M54" s="4" t="str">
        <f>IFERROR(LOOKUP(2,1/((#REF!=mar!$A54)*(#REF!&lt;=mar!M$3)*(#REF!&gt;=mar!M$3)),#REF!),IF(WEEKDAY(mar!M$3,1)=1,"WO","P"))</f>
        <v>WO</v>
      </c>
      <c r="N54" s="4" t="str">
        <f>IFERROR(LOOKUP(2,1/((lentry!$A$3:$A$3999=mar!$A54)*(lentry!$B$3:$B$3999&lt;=mar!N$3)*(lentry!$C$3:$C$3999&gt;=mar!N$3)),lentry!$D$3:$D$3999),IF(WEEKDAY(mar!N$3,1)=1,"WO","P"))</f>
        <v>P</v>
      </c>
      <c r="O54" s="4" t="str">
        <f>IFERROR(LOOKUP(2,1/((lentry!$A$3:$A$3999=mar!$A54)*(lentry!$B$3:$B$3999&lt;=mar!O$3)*(lentry!$C$3:$C$3999&gt;=mar!O$3)),lentry!$D$3:$D$3999),IF(WEEKDAY(mar!O$3,1)=1,"WO","P"))</f>
        <v>P</v>
      </c>
      <c r="P54" s="4" t="str">
        <f>IFERROR(LOOKUP(2,1/((lentry!$A$3:$A$3999=mar!$A54)*(lentry!$B$3:$B$3999&lt;=mar!P$3)*(lentry!$C$3:$C$3999&gt;=mar!P$3)),lentry!$D$3:$D$3999),IF(WEEKDAY(mar!P$3,1)=1,"WO","P"))</f>
        <v>P</v>
      </c>
      <c r="Q54" s="4" t="str">
        <f>IFERROR(LOOKUP(2,1/((lentry!$A$3:$A$3999=mar!$A54)*(lentry!$B$3:$B$3999&lt;=mar!Q$3)*(lentry!$C$3:$C$3999&gt;=mar!Q$3)),lentry!$D$3:$D$3999),IF(WEEKDAY(mar!Q$3,1)=1,"WO","P"))</f>
        <v>P</v>
      </c>
      <c r="R54" s="4" t="str">
        <f>IFERROR(LOOKUP(2,1/((lentry!$A$3:$A$3999=mar!$A54)*(lentry!$B$3:$B$3999&lt;=mar!R$3)*(lentry!$C$3:$C$3999&gt;=mar!R$3)),lentry!$D$3:$D$3999),IF(WEEKDAY(mar!R$3,1)=1,"WO","P"))</f>
        <v>P</v>
      </c>
      <c r="S54" s="4" t="str">
        <f>IFERROR(LOOKUP(2,1/((lentry!$A$3:$A$3999=mar!$A54)*(lentry!$B$3:$B$3999&lt;=mar!S$3)*(lentry!$C$3:$C$3999&gt;=mar!S$3)),lentry!$D$3:$D$3999),IF(WEEKDAY(mar!S$3,1)=1,"WO","P"))</f>
        <v>P</v>
      </c>
      <c r="T54" s="4" t="str">
        <f>IFERROR(LOOKUP(2,1/((lentry!$A$3:$A$3999=mar!$A54)*(lentry!$B$3:$B$3999&lt;=mar!T$3)*(lentry!$C$3:$C$3999&gt;=mar!T$3)),lentry!$D$3:$D$3999),IF(WEEKDAY(mar!T$3,1)=1,"WO","P"))</f>
        <v>WO</v>
      </c>
      <c r="U54" s="4" t="str">
        <f>IFERROR(LOOKUP(2,1/((lentry!$A$3:$A$3999=mar!$A54)*(lentry!$B$3:$B$3999&lt;=mar!U$3)*(lentry!$C$3:$C$3999&gt;=mar!U$3)),lentry!$D$3:$D$3999),IF(WEEKDAY(mar!U$3,1)=1,"WO","P"))</f>
        <v>P</v>
      </c>
      <c r="V54" s="4" t="str">
        <f>IFERROR(LOOKUP(2,1/((lentry!$A$3:$A$3999=mar!$A54)*(lentry!$B$3:$B$3999&lt;=mar!V$3)*(lentry!$C$3:$C$3999&gt;=mar!V$3)),lentry!$D$3:$D$3999),IF(WEEKDAY(mar!V$3,1)=1,"WO","P"))</f>
        <v>P</v>
      </c>
      <c r="W54" s="4" t="str">
        <f>IFERROR(LOOKUP(2,1/((lentry!$A$3:$A$3999=mar!$A54)*(lentry!$B$3:$B$3999&lt;=mar!W$3)*(lentry!$C$3:$C$3999&gt;=mar!W$3)),lentry!$D$3:$D$3999),IF(WEEKDAY(mar!W$3,1)=1,"WO","P"))</f>
        <v>P</v>
      </c>
      <c r="X54" s="4" t="str">
        <f>IFERROR(LOOKUP(2,1/((lentry!$A$3:$A$3999=mar!$A54)*(lentry!$B$3:$B$3999&lt;=mar!X$3)*(lentry!$C$3:$C$3999&gt;=mar!X$3)),lentry!$D$3:$D$3999),IF(WEEKDAY(mar!X$3,1)=1,"WO","P"))</f>
        <v>P</v>
      </c>
      <c r="Y54" s="4" t="str">
        <f>IFERROR(LOOKUP(2,1/((lentry!$A$3:$A$3999=mar!$A54)*(lentry!$B$3:$B$3999&lt;=mar!Y$3)*(lentry!$C$3:$C$3999&gt;=mar!Y$3)),lentry!$D$3:$D$3999),IF(WEEKDAY(mar!Y$3,1)=1,"WO","P"))</f>
        <v>P</v>
      </c>
      <c r="Z54" s="4" t="s">
        <v>350</v>
      </c>
      <c r="AA54" s="4" t="str">
        <f>IFERROR(LOOKUP(2,1/((lentry!$A$3:$A$3999=mar!$A54)*(lentry!$B$3:$B$3999&lt;=mar!AA$3)*(lentry!$C$3:$C$3999&gt;=mar!AA$3)),lentry!$D$3:$D$3999),IF(WEEKDAY(mar!AA$3,1)=1,"WO","P"))</f>
        <v>WO</v>
      </c>
      <c r="AB54" s="4" t="str">
        <f>IFERROR(LOOKUP(2,1/((lentry!$A$3:$A$3999=mar!$A54)*(lentry!$B$3:$B$3999&lt;=mar!AB$3)*(lentry!$C$3:$C$3999&gt;=mar!AB$3)),lentry!$D$3:$D$3999),IF(WEEKDAY(mar!AB$3,1)=1,"WO","P"))</f>
        <v>P</v>
      </c>
      <c r="AC54" s="4" t="str">
        <f>IFERROR(LOOKUP(2,1/((lentry!$A$3:$A$3999=mar!$A54)*(lentry!$B$3:$B$3999&lt;=mar!AC$3)*(lentry!$C$3:$C$3999&gt;=mar!AC$3)),lentry!$D$3:$D$3999),IF(WEEKDAY(mar!AC$3,1)=1,"WO","P"))</f>
        <v>P</v>
      </c>
      <c r="AD54" s="4" t="str">
        <f>IFERROR(LOOKUP(2,1/((lentry!$A$3:$A$3999=mar!$A54)*(lentry!$B$3:$B$3999&lt;=mar!AD$3)*(lentry!$C$3:$C$3999&gt;=mar!AD$3)),lentry!$D$3:$D$3999),IF(WEEKDAY(mar!AD$3,1)=1,"WO","P"))</f>
        <v>P</v>
      </c>
      <c r="AE54" s="4" t="str">
        <f>IFERROR(LOOKUP(2,1/((lentry!$A$3:$A$3999=mar!$A54)*(lentry!$B$3:$B$3999&lt;=mar!AE$3)*(lentry!$C$3:$C$3999&gt;=mar!AE$3)),lentry!$D$3:$D$3999),IF(WEEKDAY(mar!AE$3,1)=1,"WO","P"))</f>
        <v>P</v>
      </c>
      <c r="AF54" s="4" t="str">
        <f>IFERROR(LOOKUP(2,1/((lentry!$A$3:$A$3999=mar!$A54)*(lentry!$B$3:$B$3999&lt;=mar!AF$3)*(lentry!$C$3:$C$3999&gt;=mar!AF$3)),lentry!$D$3:$D$3999),IF(WEEKDAY(mar!AF$3,1)=1,"WO","P"))</f>
        <v>P</v>
      </c>
      <c r="AG54" s="4" t="str">
        <f>IFERROR(LOOKUP(2,1/((lentry!$A$3:$A$3999=mar!$A54)*(lentry!$B$3:$B$3999&lt;=mar!AG$3)*(lentry!$C$3:$C$3999&gt;=mar!AG$3)),lentry!$D$3:$D$3999),IF(WEEKDAY(mar!AG$3,1)=1,"WO","P"))</f>
        <v>P</v>
      </c>
      <c r="AH54" s="4" t="str">
        <f>IFERROR(LOOKUP(2,1/((lentry!$A$3:$A$3999=mar!$A54)*(lentry!$B$3:$B$3999&lt;=mar!AH$3)*(lentry!$C$3:$C$3999&gt;=mar!AH$3)),lentry!$D$3:$D$3999),IF(WEEKDAY(mar!AH$3,1)=1,"WO","P"))</f>
        <v>WO</v>
      </c>
      <c r="AI54" s="4" t="str">
        <f>IFERROR(LOOKUP(2,1/((lentry!$A$3:$A$3999=mar!$A54)*(lentry!$B$3:$B$3999&lt;=mar!AI$3)*(lentry!$C$3:$C$3999&gt;=mar!AI$3)),lentry!$D$3:$D$3999),IF(WEEKDAY(mar!AI$3,1)=1,"WO","P"))</f>
        <v>P</v>
      </c>
      <c r="AJ54" s="4" t="str">
        <f>IFERROR(LOOKUP(2,1/((lentry!$A$3:$A$3999=mar!$A54)*(lentry!$B$3:$B$3999&lt;=mar!AJ$3)*(lentry!$C$3:$C$3999&gt;=mar!AJ$3)),lentry!$D$3:$D$3999),IF(WEEKDAY(mar!AJ$3,1)=1,"WO","P"))</f>
        <v>P</v>
      </c>
      <c r="AK54" s="4">
        <f>COUNTIF(mar!$F54:$AJ54,"WO")</f>
        <v>5</v>
      </c>
      <c r="AL54" s="4">
        <f>COUNTIF(mar!$F54:$AJ54,"H")</f>
        <v>2</v>
      </c>
      <c r="AM54" s="4">
        <f>COUNTIF(mar!$F54:$AJ54,"pl")</f>
        <v>0</v>
      </c>
      <c r="AN54" s="4">
        <f>COUNTIF(mar!$F54:$AJ54,"LWP")</f>
        <v>0</v>
      </c>
      <c r="AO54" s="4">
        <f>COUNTIF(mar!$F54:$AJ54,"HD")</f>
        <v>0</v>
      </c>
      <c r="AP54" s="4">
        <f>COUNTIF(mar!$F54:$AJ54,"SL")</f>
        <v>0</v>
      </c>
      <c r="AQ54" s="4">
        <f>COUNTIF(mar!$F54:$AJ54,"CL")</f>
        <v>0</v>
      </c>
      <c r="AR54" s="4">
        <f>COUNTIF(mar!$F54:$AJ54,"A")</f>
        <v>0</v>
      </c>
      <c r="AS54" s="4">
        <f>COUNTIF(mar!$F54:$AJ54,"P")</f>
        <v>24</v>
      </c>
      <c r="AT54" s="4">
        <f t="shared" si="2"/>
        <v>31</v>
      </c>
      <c r="AU54" s="4">
        <f t="shared" si="3"/>
        <v>31</v>
      </c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</row>
    <row r="55" spans="1:78" ht="18.75" x14ac:dyDescent="0.3"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</row>
  </sheetData>
  <mergeCells count="22">
    <mergeCell ref="AP3:AP4"/>
    <mergeCell ref="AK3:AK4"/>
    <mergeCell ref="AL3:AL4"/>
    <mergeCell ref="AM3:AM4"/>
    <mergeCell ref="AN3:AN4"/>
    <mergeCell ref="AO3:AO4"/>
    <mergeCell ref="A3:A4"/>
    <mergeCell ref="B3:B4"/>
    <mergeCell ref="C3:C4"/>
    <mergeCell ref="D3:D4"/>
    <mergeCell ref="A1:AU1"/>
    <mergeCell ref="A2:K2"/>
    <mergeCell ref="L2:O2"/>
    <mergeCell ref="P2:AA2"/>
    <mergeCell ref="AB2:AE2"/>
    <mergeCell ref="AF2:AU2"/>
    <mergeCell ref="E3:E4"/>
    <mergeCell ref="AR3:AR4"/>
    <mergeCell ref="AS3:AS4"/>
    <mergeCell ref="AT3:AT4"/>
    <mergeCell ref="AU3:AU4"/>
    <mergeCell ref="AQ3:AQ4"/>
  </mergeCells>
  <conditionalFormatting sqref="F5:AJ54">
    <cfRule type="cellIs" dxfId="94" priority="1" operator="equal">
      <formula>"SL"</formula>
    </cfRule>
    <cfRule type="cellIs" dxfId="93" priority="2" operator="equal">
      <formula>"CL"</formula>
    </cfRule>
    <cfRule type="cellIs" dxfId="92" priority="5" operator="equal">
      <formula>"HD"</formula>
    </cfRule>
    <cfRule type="cellIs" dxfId="91" priority="6" operator="equal">
      <formula>"LWP"</formula>
    </cfRule>
    <cfRule type="cellIs" dxfId="90" priority="7" operator="equal">
      <formula>"PL"</formula>
    </cfRule>
    <cfRule type="cellIs" dxfId="89" priority="8" operator="equal">
      <formula>"H"</formula>
    </cfRule>
    <cfRule type="cellIs" dxfId="88" priority="9" operator="equal">
      <formula>"A"</formula>
    </cfRule>
    <cfRule type="cellIs" dxfId="87" priority="10" operator="equal">
      <formula>"P"</formula>
    </cfRule>
    <cfRule type="expression" dxfId="86" priority="11">
      <formula>F$4="Sun"</formula>
    </cfRule>
  </conditionalFormatting>
  <conditionalFormatting sqref="AV5:BZ55">
    <cfRule type="cellIs" dxfId="85" priority="3" operator="equal">
      <formula>"A"</formula>
    </cfRule>
  </conditionalFormatting>
  <dataValidations count="1">
    <dataValidation type="list" allowBlank="1" showInputMessage="1" showErrorMessage="1" sqref="F5:AJ54" xr:uid="{23FBA8E3-496D-43AD-9636-637A531CE3BA}">
      <formula1>"A,P,WO,H,PL,LWP,HD"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2C4AD-4DEC-4A72-AE57-182C885638CC}">
  <sheetPr codeName="Sheet9"/>
  <dimension ref="A1:BY54"/>
  <sheetViews>
    <sheetView zoomScale="130" zoomScaleNormal="130" workbookViewId="0">
      <pane xSplit="1" topLeftCell="B1" activePane="topRight" state="frozen"/>
      <selection pane="topRight" activeCell="F5" sqref="F5"/>
    </sheetView>
  </sheetViews>
  <sheetFormatPr defaultRowHeight="15" x14ac:dyDescent="0.25"/>
  <cols>
    <col min="1" max="1" width="10.140625" bestFit="1" customWidth="1"/>
    <col min="2" max="2" width="17.28515625" customWidth="1"/>
    <col min="3" max="3" width="10.42578125" customWidth="1"/>
    <col min="4" max="4" width="13.28515625" customWidth="1"/>
    <col min="5" max="5" width="21.42578125" customWidth="1"/>
    <col min="6" max="19" width="4.7109375" bestFit="1" customWidth="1"/>
    <col min="20" max="20" width="4.85546875" bestFit="1" customWidth="1"/>
    <col min="21" max="33" width="4.7109375" bestFit="1" customWidth="1"/>
    <col min="34" max="34" width="4.85546875" bestFit="1" customWidth="1"/>
    <col min="35" max="35" width="4.7109375" bestFit="1" customWidth="1"/>
    <col min="36" max="38" width="5.140625" bestFit="1" customWidth="1"/>
    <col min="39" max="39" width="5.5703125" customWidth="1"/>
    <col min="40" max="42" width="5.140625" bestFit="1" customWidth="1"/>
    <col min="43" max="43" width="5.28515625" customWidth="1"/>
    <col min="44" max="44" width="5.140625" customWidth="1"/>
    <col min="45" max="45" width="6.28515625" customWidth="1"/>
    <col min="46" max="46" width="4.5703125" customWidth="1"/>
    <col min="47" max="48" width="5.5703125" customWidth="1"/>
    <col min="49" max="52" width="2.7109375" bestFit="1" customWidth="1"/>
    <col min="53" max="53" width="3.42578125" customWidth="1"/>
    <col min="54" max="56" width="2.7109375" bestFit="1" customWidth="1"/>
    <col min="57" max="57" width="3.28515625" bestFit="1" customWidth="1"/>
    <col min="58" max="59" width="4.140625" bestFit="1" customWidth="1"/>
    <col min="60" max="60" width="3.42578125" customWidth="1"/>
    <col min="61" max="61" width="5.140625" bestFit="1" customWidth="1"/>
    <col min="62" max="66" width="4.140625" bestFit="1" customWidth="1"/>
    <col min="67" max="67" width="3.140625" customWidth="1"/>
    <col min="68" max="73" width="4.140625" bestFit="1" customWidth="1"/>
    <col min="74" max="74" width="3.140625" customWidth="1"/>
    <col min="75" max="77" width="4.140625" bestFit="1" customWidth="1"/>
  </cols>
  <sheetData>
    <row r="1" spans="1:77" ht="51" x14ac:dyDescent="0.25">
      <c r="A1" s="65" t="s">
        <v>336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</row>
    <row r="2" spans="1:77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Apr</v>
      </c>
      <c r="M2" s="67"/>
      <c r="N2" s="67"/>
      <c r="O2" s="67"/>
      <c r="P2" s="68">
        <f>DATE(2026,4,1)</f>
        <v>46113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70"/>
      <c r="AB2" s="71" t="s">
        <v>337</v>
      </c>
      <c r="AC2" s="71"/>
      <c r="AD2" s="71"/>
      <c r="AE2" s="71"/>
      <c r="AF2" s="72">
        <f>EOMONTH(P2,0)</f>
        <v>46142</v>
      </c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</row>
    <row r="3" spans="1:77" ht="18.75" x14ac:dyDescent="0.25">
      <c r="A3" s="74" t="s">
        <v>338</v>
      </c>
      <c r="B3" s="74" t="s">
        <v>339</v>
      </c>
      <c r="C3" s="74" t="s">
        <v>1</v>
      </c>
      <c r="D3" s="74" t="s">
        <v>340</v>
      </c>
      <c r="E3" s="74" t="s">
        <v>341</v>
      </c>
      <c r="F3" s="1">
        <f>P2</f>
        <v>46113</v>
      </c>
      <c r="G3" s="1">
        <f>IF(F3&lt;$AF$2,F3+1,"")</f>
        <v>46114</v>
      </c>
      <c r="H3" s="1">
        <f t="shared" ref="H3:AI3" si="0">IF(G3&lt;$AF$2,G3+1,"")</f>
        <v>46115</v>
      </c>
      <c r="I3" s="1">
        <f t="shared" si="0"/>
        <v>46116</v>
      </c>
      <c r="J3" s="1">
        <f t="shared" si="0"/>
        <v>46117</v>
      </c>
      <c r="K3" s="1">
        <f t="shared" si="0"/>
        <v>46118</v>
      </c>
      <c r="L3" s="1">
        <f t="shared" si="0"/>
        <v>46119</v>
      </c>
      <c r="M3" s="1">
        <f t="shared" si="0"/>
        <v>46120</v>
      </c>
      <c r="N3" s="1">
        <f t="shared" si="0"/>
        <v>46121</v>
      </c>
      <c r="O3" s="1">
        <f t="shared" si="0"/>
        <v>46122</v>
      </c>
      <c r="P3" s="1">
        <f t="shared" si="0"/>
        <v>46123</v>
      </c>
      <c r="Q3" s="1">
        <f t="shared" si="0"/>
        <v>46124</v>
      </c>
      <c r="R3" s="1">
        <f t="shared" si="0"/>
        <v>46125</v>
      </c>
      <c r="S3" s="1">
        <f t="shared" si="0"/>
        <v>46126</v>
      </c>
      <c r="T3" s="1">
        <f t="shared" si="0"/>
        <v>46127</v>
      </c>
      <c r="U3" s="1">
        <f t="shared" si="0"/>
        <v>46128</v>
      </c>
      <c r="V3" s="1">
        <f t="shared" si="0"/>
        <v>46129</v>
      </c>
      <c r="W3" s="1">
        <f t="shared" si="0"/>
        <v>46130</v>
      </c>
      <c r="X3" s="1">
        <f t="shared" si="0"/>
        <v>46131</v>
      </c>
      <c r="Y3" s="1">
        <f t="shared" si="0"/>
        <v>46132</v>
      </c>
      <c r="Z3" s="1">
        <f t="shared" si="0"/>
        <v>46133</v>
      </c>
      <c r="AA3" s="1">
        <f t="shared" si="0"/>
        <v>46134</v>
      </c>
      <c r="AB3" s="1">
        <f t="shared" si="0"/>
        <v>46135</v>
      </c>
      <c r="AC3" s="1">
        <f t="shared" si="0"/>
        <v>46136</v>
      </c>
      <c r="AD3" s="1">
        <f t="shared" si="0"/>
        <v>46137</v>
      </c>
      <c r="AE3" s="1">
        <f t="shared" si="0"/>
        <v>46138</v>
      </c>
      <c r="AF3" s="1">
        <f t="shared" si="0"/>
        <v>46139</v>
      </c>
      <c r="AG3" s="1">
        <f t="shared" si="0"/>
        <v>46140</v>
      </c>
      <c r="AH3" s="1">
        <f t="shared" si="0"/>
        <v>46141</v>
      </c>
      <c r="AI3" s="1">
        <f t="shared" si="0"/>
        <v>46142</v>
      </c>
      <c r="AJ3" s="60" t="s">
        <v>342</v>
      </c>
      <c r="AK3" s="60" t="s">
        <v>343</v>
      </c>
      <c r="AL3" s="60" t="s">
        <v>344</v>
      </c>
      <c r="AM3" s="62" t="s">
        <v>84</v>
      </c>
      <c r="AN3" s="60" t="s">
        <v>345</v>
      </c>
      <c r="AO3" s="60" t="s">
        <v>351</v>
      </c>
      <c r="AP3" s="60" t="s">
        <v>352</v>
      </c>
      <c r="AQ3" s="60" t="s">
        <v>346</v>
      </c>
      <c r="AR3" s="60" t="s">
        <v>347</v>
      </c>
      <c r="AS3" s="60" t="s">
        <v>348</v>
      </c>
      <c r="AT3" s="60" t="s">
        <v>349</v>
      </c>
      <c r="AU3" s="60" t="s">
        <v>353</v>
      </c>
    </row>
    <row r="4" spans="1:77" ht="82.5" customHeight="1" x14ac:dyDescent="0.25">
      <c r="A4" s="75"/>
      <c r="B4" s="75"/>
      <c r="C4" s="75"/>
      <c r="D4" s="75"/>
      <c r="E4" s="75"/>
      <c r="F4" s="2" t="str">
        <f>TEXT(F3,"ddd")</f>
        <v>Wed</v>
      </c>
      <c r="G4" s="2" t="str">
        <f t="shared" ref="G4:AI4" si="1">TEXT(G3,"ddd")</f>
        <v>Thu</v>
      </c>
      <c r="H4" s="2" t="str">
        <f t="shared" si="1"/>
        <v>Fri</v>
      </c>
      <c r="I4" s="2" t="str">
        <f t="shared" si="1"/>
        <v>Sat</v>
      </c>
      <c r="J4" s="2" t="str">
        <f t="shared" si="1"/>
        <v>Sun</v>
      </c>
      <c r="K4" s="2" t="str">
        <f t="shared" si="1"/>
        <v>Mon</v>
      </c>
      <c r="L4" s="2" t="str">
        <f t="shared" si="1"/>
        <v>Tue</v>
      </c>
      <c r="M4" s="2" t="str">
        <f t="shared" si="1"/>
        <v>Wed</v>
      </c>
      <c r="N4" s="2" t="str">
        <f t="shared" si="1"/>
        <v>Thu</v>
      </c>
      <c r="O4" s="2" t="str">
        <f t="shared" si="1"/>
        <v>Fri</v>
      </c>
      <c r="P4" s="2" t="str">
        <f t="shared" si="1"/>
        <v>Sat</v>
      </c>
      <c r="Q4" s="2" t="str">
        <f t="shared" si="1"/>
        <v>Sun</v>
      </c>
      <c r="R4" s="2" t="str">
        <f t="shared" si="1"/>
        <v>Mon</v>
      </c>
      <c r="S4" s="2" t="str">
        <f t="shared" si="1"/>
        <v>Tue</v>
      </c>
      <c r="T4" s="2" t="str">
        <f t="shared" si="1"/>
        <v>Wed</v>
      </c>
      <c r="U4" s="2" t="str">
        <f t="shared" si="1"/>
        <v>Thu</v>
      </c>
      <c r="V4" s="2" t="str">
        <f t="shared" si="1"/>
        <v>Fri</v>
      </c>
      <c r="W4" s="2" t="str">
        <f t="shared" si="1"/>
        <v>Sat</v>
      </c>
      <c r="X4" s="2" t="str">
        <f t="shared" si="1"/>
        <v>Sun</v>
      </c>
      <c r="Y4" s="2" t="str">
        <f t="shared" si="1"/>
        <v>Mon</v>
      </c>
      <c r="Z4" s="2" t="str">
        <f t="shared" si="1"/>
        <v>Tue</v>
      </c>
      <c r="AA4" s="2" t="str">
        <f t="shared" si="1"/>
        <v>Wed</v>
      </c>
      <c r="AB4" s="2" t="str">
        <f t="shared" si="1"/>
        <v>Thu</v>
      </c>
      <c r="AC4" s="2" t="str">
        <f t="shared" si="1"/>
        <v>Fri</v>
      </c>
      <c r="AD4" s="2" t="str">
        <f t="shared" si="1"/>
        <v>Sat</v>
      </c>
      <c r="AE4" s="2" t="str">
        <f t="shared" si="1"/>
        <v>Sun</v>
      </c>
      <c r="AF4" s="2" t="str">
        <f t="shared" si="1"/>
        <v>Mon</v>
      </c>
      <c r="AG4" s="2" t="str">
        <f t="shared" si="1"/>
        <v>Tue</v>
      </c>
      <c r="AH4" s="2" t="str">
        <f t="shared" si="1"/>
        <v>Wed</v>
      </c>
      <c r="AI4" s="2" t="str">
        <f t="shared" si="1"/>
        <v>Thu</v>
      </c>
      <c r="AJ4" s="61"/>
      <c r="AK4" s="61"/>
      <c r="AL4" s="61"/>
      <c r="AM4" s="63"/>
      <c r="AN4" s="61"/>
      <c r="AO4" s="64"/>
      <c r="AP4" s="64"/>
      <c r="AQ4" s="61"/>
      <c r="AR4" s="61"/>
      <c r="AS4" s="61"/>
      <c r="AT4" s="61"/>
      <c r="AU4" s="6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</row>
    <row r="5" spans="1:77" ht="18.75" x14ac:dyDescent="0.3">
      <c r="A5" s="3" t="s">
        <v>6</v>
      </c>
      <c r="B5" s="3" t="str">
        <f>VLOOKUP($A5,Master!$A$2:$K$52,2,0)</f>
        <v>Employee1</v>
      </c>
      <c r="C5" s="3" t="str">
        <f>VLOOKUP($A5,Master!$A$2:$K$52,3,0)</f>
        <v>Male</v>
      </c>
      <c r="D5" s="3" t="str">
        <f>VLOOKUP($A5,Master!$A$2:$K$52,5,0)</f>
        <v>Warehouse</v>
      </c>
      <c r="E5" s="3" t="str">
        <f>VLOOKUP($A5,Master!$A$2:$K$52,6,0)</f>
        <v>Store Assistant</v>
      </c>
      <c r="F5" s="4" t="str">
        <f>IFERROR(LOOKUP(2,1/((lentry!$A$3:$A$3999=apr!$A5)*(lentry!$B$3:$B$3999&lt;=apr!F$3)*(lentry!$C$3:$C$3999&gt;=apr!F$3)),lentry!$D$3:$D$3999),IF(WEEKDAY(apr!F$3,1)=1,"WO","P"))</f>
        <v>P</v>
      </c>
      <c r="G5" s="4" t="str">
        <f>IFERROR(LOOKUP(2,1/((lentry!$A$3:$A$3999=apr!$A5)*(lentry!$B$3:$B$3999&lt;=apr!G$3)*(lentry!$C$3:$C$3999&gt;=apr!G$3)),lentry!$D$3:$D$3999),IF(WEEKDAY(apr!G$3,1)=1,"WO","P"))</f>
        <v>P</v>
      </c>
      <c r="H5" s="4" t="s">
        <v>350</v>
      </c>
      <c r="I5" s="4" t="str">
        <f>IFERROR(LOOKUP(2,1/((lentry!$A$3:$A$3999=apr!$A5)*(lentry!$B$3:$B$3999&lt;=apr!I$3)*(lentry!$C$3:$C$3999&gt;=apr!I$3)),lentry!$D$3:$D$3999),IF(WEEKDAY(apr!I$3,1)=1,"WO","P"))</f>
        <v>P</v>
      </c>
      <c r="J5" s="4" t="str">
        <f>IFERROR(LOOKUP(2,1/((lentry!$A$3:$A$3999=apr!$A5)*(lentry!$B$3:$B$3999&lt;=apr!J$3)*(lentry!$C$3:$C$3999&gt;=apr!J$3)),lentry!$D$3:$D$3999),IF(WEEKDAY(apr!J$3,1)=1,"WO","P"))</f>
        <v>WO</v>
      </c>
      <c r="K5" s="4" t="str">
        <f>IFERROR(LOOKUP(2,1/((lentry!$A$3:$A$3999=apr!$A5)*(lentry!$B$3:$B$3999&lt;=apr!K$3)*(lentry!$C$3:$C$3999&gt;=apr!K$3)),lentry!$D$3:$D$3999),IF(WEEKDAY(apr!K$3,1)=1,"WO","P"))</f>
        <v>P</v>
      </c>
      <c r="L5" s="4" t="str">
        <f>IFERROR(LOOKUP(2,1/((lentry!$A$3:$A$3999=apr!$A5)*(lentry!$B$3:$B$3999&lt;=apr!L$3)*(lentry!$C$3:$C$3999&gt;=apr!L$3)),lentry!$D$3:$D$3999),IF(WEEKDAY(apr!L$3,1)=1,"WO","P"))</f>
        <v>P</v>
      </c>
      <c r="M5" s="4" t="str">
        <f>IFERROR(LOOKUP(2,1/((lentry!$A$3:$A$3999=apr!$A5)*(lentry!$B$3:$B$3999&lt;=apr!M$3)*(lentry!$C$3:$C$3999&gt;=apr!M$3)),lentry!$D$3:$D$3999),IF(WEEKDAY(apr!M$3,1)=1,"WO","P"))</f>
        <v>P</v>
      </c>
      <c r="N5" s="4" t="str">
        <f>IFERROR(LOOKUP(2,1/((lentry!$A$3:$A$3999=apr!$A5)*(lentry!$B$3:$B$3999&lt;=apr!N$3)*(lentry!$C$3:$C$3999&gt;=apr!N$3)),lentry!$D$3:$D$3999),IF(WEEKDAY(apr!N$3,1)=1,"WO","P"))</f>
        <v>P</v>
      </c>
      <c r="O5" s="4" t="str">
        <f>IFERROR(LOOKUP(2,1/((lentry!$A$3:$A$3999=apr!$A5)*(lentry!$B$3:$B$3999&lt;=apr!O$3)*(lentry!$C$3:$C$3999&gt;=apr!O$3)),lentry!$D$3:$D$3999),IF(WEEKDAY(apr!O$3,1)=1,"WO","P"))</f>
        <v>P</v>
      </c>
      <c r="P5" s="4" t="str">
        <f>IFERROR(LOOKUP(2,1/((lentry!$A$3:$A$3999=apr!$A5)*(lentry!$B$3:$B$3999&lt;=apr!P$3)*(lentry!$C$3:$C$3999&gt;=apr!P$3)),lentry!$D$3:$D$3999),IF(WEEKDAY(apr!P$3,1)=1,"WO","P"))</f>
        <v>P</v>
      </c>
      <c r="Q5" s="4" t="str">
        <f>IFERROR(LOOKUP(2,1/((lentry!$A$3:$A$3999=apr!$A5)*(lentry!$B$3:$B$3999&lt;=apr!Q$3)*(lentry!$C$3:$C$3999&gt;=apr!Q$3)),lentry!$D$3:$D$3999),IF(WEEKDAY(apr!Q$3,1)=1,"WO","P"))</f>
        <v>WO</v>
      </c>
      <c r="R5" s="4" t="str">
        <f>IFERROR(LOOKUP(2,1/((lentry!$A$3:$A$3999=apr!$A5)*(lentry!$B$3:$B$3999&lt;=apr!R$3)*(lentry!$C$3:$C$3999&gt;=apr!R$3)),lentry!$D$3:$D$3999),IF(WEEKDAY(apr!R$3,1)=1,"WO","P"))</f>
        <v>P</v>
      </c>
      <c r="S5" s="4" t="s">
        <v>350</v>
      </c>
      <c r="T5" s="4" t="str">
        <f>IFERROR(LOOKUP(2,1/((lentry!$A$3:$A$3999=apr!$A5)*(lentry!$B$3:$B$3999&lt;=apr!T$3)*(lentry!$C$3:$C$3999&gt;=apr!T$3)),lentry!$D$3:$D$3999),IF(WEEKDAY(apr!T$3,1)=1,"WO","P"))</f>
        <v>P</v>
      </c>
      <c r="U5" s="4" t="str">
        <f>IFERROR(LOOKUP(2,1/((lentry!$A$3:$A$3999=apr!$A5)*(lentry!$B$3:$B$3999&lt;=apr!U$3)*(lentry!$C$3:$C$3999&gt;=apr!U$3)),lentry!$D$3:$D$3999),IF(WEEKDAY(apr!U$3,1)=1,"WO","P"))</f>
        <v>P</v>
      </c>
      <c r="V5" s="4" t="str">
        <f>IFERROR(LOOKUP(2,1/((lentry!$A$3:$A$3999=apr!$A5)*(lentry!$B$3:$B$3999&lt;=apr!V$3)*(lentry!$C$3:$C$3999&gt;=apr!V$3)),lentry!$D$3:$D$3999),IF(WEEKDAY(apr!V$3,1)=1,"WO","P"))</f>
        <v>P</v>
      </c>
      <c r="W5" s="4" t="str">
        <f>IFERROR(LOOKUP(2,1/((lentry!$A$3:$A$3999=apr!$A5)*(lentry!$B$3:$B$3999&lt;=apr!W$3)*(lentry!$C$3:$C$3999&gt;=apr!W$3)),lentry!$D$3:$D$3999),IF(WEEKDAY(apr!W$3,1)=1,"WO","P"))</f>
        <v>P</v>
      </c>
      <c r="X5" s="4" t="str">
        <f>IFERROR(LOOKUP(2,1/((lentry!$A$3:$A$3999=apr!$A5)*(lentry!$B$3:$B$3999&lt;=apr!X$3)*(lentry!$C$3:$C$3999&gt;=apr!X$3)),lentry!$D$3:$D$3999),IF(WEEKDAY(apr!X$3,1)=1,"WO","P"))</f>
        <v>WO</v>
      </c>
      <c r="Y5" s="4" t="str">
        <f>IFERROR(LOOKUP(2,1/((lentry!$A$3:$A$3999=apr!$A5)*(lentry!$B$3:$B$3999&lt;=apr!Y$3)*(lentry!$C$3:$C$3999&gt;=apr!Y$3)),lentry!$D$3:$D$3999),IF(WEEKDAY(apr!Y$3,1)=1,"WO","P"))</f>
        <v>P</v>
      </c>
      <c r="Z5" s="4" t="str">
        <f>IFERROR(LOOKUP(2,1/((lentry!$A$3:$A$3999=apr!$A5)*(lentry!$B$3:$B$3999&lt;=apr!Z$3)*(lentry!$C$3:$C$3999&gt;=apr!Z$3)),lentry!$D$3:$D$3999),IF(WEEKDAY(apr!Z$3,1)=1,"WO","P"))</f>
        <v>P</v>
      </c>
      <c r="AA5" s="4" t="str">
        <f>IFERROR(LOOKUP(2,1/((lentry!$A$3:$A$3999=apr!$A5)*(lentry!$B$3:$B$3999&lt;=apr!AA$3)*(lentry!$C$3:$C$3999&gt;=apr!AA$3)),lentry!$D$3:$D$3999),IF(WEEKDAY(apr!AA$3,1)=1,"WO","P"))</f>
        <v>P</v>
      </c>
      <c r="AB5" s="4" t="str">
        <f>IFERROR(LOOKUP(2,1/((lentry!$A$3:$A$3999=apr!$A5)*(lentry!$B$3:$B$3999&lt;=apr!AB$3)*(lentry!$C$3:$C$3999&gt;=apr!AB$3)),lentry!$D$3:$D$3999),IF(WEEKDAY(apr!AB$3,1)=1,"WO","P"))</f>
        <v>P</v>
      </c>
      <c r="AC5" s="4" t="str">
        <f>IFERROR(LOOKUP(2,1/((lentry!$A$3:$A$3999=apr!$A5)*(lentry!$B$3:$B$3999&lt;=apr!AC$3)*(lentry!$C$3:$C$3999&gt;=apr!AC$3)),lentry!$D$3:$D$3999),IF(WEEKDAY(apr!AC$3,1)=1,"WO","P"))</f>
        <v>P</v>
      </c>
      <c r="AD5" s="4" t="str">
        <f>IFERROR(LOOKUP(2,1/((lentry!$A$3:$A$3999=apr!$A5)*(lentry!$B$3:$B$3999&lt;=apr!AD$3)*(lentry!$C$3:$C$3999&gt;=apr!AD$3)),lentry!$D$3:$D$3999),IF(WEEKDAY(apr!AD$3,1)=1,"WO","P"))</f>
        <v>P</v>
      </c>
      <c r="AE5" s="4" t="str">
        <f>IFERROR(LOOKUP(2,1/((lentry!$A$3:$A$3999=apr!$A5)*(lentry!$B$3:$B$3999&lt;=apr!AE$3)*(lentry!$C$3:$C$3999&gt;=apr!AE$3)),lentry!$D$3:$D$3999),IF(WEEKDAY(apr!AE$3,1)=1,"WO","P"))</f>
        <v>WO</v>
      </c>
      <c r="AF5" s="4" t="str">
        <f>IFERROR(LOOKUP(2,1/((lentry!$A$3:$A$3999=apr!$A5)*(lentry!$B$3:$B$3999&lt;=apr!AF$3)*(lentry!$C$3:$C$3999&gt;=apr!AF$3)),lentry!$D$3:$D$3999),IF(WEEKDAY(apr!AF$3,1)=1,"WO","P"))</f>
        <v>P</v>
      </c>
      <c r="AG5" s="4" t="str">
        <f>IFERROR(LOOKUP(2,1/((lentry!$A$3:$A$3999=apr!$A5)*(lentry!$B$3:$B$3999&lt;=apr!AG$3)*(lentry!$C$3:$C$3999&gt;=apr!AG$3)),lentry!$D$3:$D$3999),IF(WEEKDAY(apr!AG$3,1)=1,"WO","P"))</f>
        <v>P</v>
      </c>
      <c r="AH5" s="4" t="str">
        <f>IFERROR(LOOKUP(2,1/((lentry!$A$3:$A$3999=apr!$A5)*(lentry!$B$3:$B$3999&lt;=apr!AH$3)*(lentry!$C$3:$C$3999&gt;=apr!AH$3)),lentry!$D$3:$D$3999),IF(WEEKDAY(apr!AH$3,1)=1,"WO","P"))</f>
        <v>P</v>
      </c>
      <c r="AI5" s="4" t="str">
        <f>IFERROR(LOOKUP(2,1/((lentry!$A$3:$A$3999=apr!$A5)*(lentry!$B$3:$B$3999&lt;=apr!AI$3)*(lentry!$C$3:$C$3999&gt;=apr!AI$3)),lentry!$D$3:$D$3999),IF(WEEKDAY(apr!AI$3,1)=1,"WO","P"))</f>
        <v>P</v>
      </c>
      <c r="AJ5" s="5">
        <f>COUNTIF(apr!$F5:$AI5,"WO")</f>
        <v>4</v>
      </c>
      <c r="AK5" s="5">
        <f>COUNTIF(apr!$F5:$AI5,"H")</f>
        <v>2</v>
      </c>
      <c r="AL5" s="5">
        <f>COUNTIF(apr!$F5:$AI5,"PL")</f>
        <v>0</v>
      </c>
      <c r="AM5" s="5">
        <f>COUNTIF(apr!$F5:$AI5,"LWP")</f>
        <v>0</v>
      </c>
      <c r="AN5" s="5">
        <f>COUNTIF(apr!$F5:$AI5,"HD")</f>
        <v>0</v>
      </c>
      <c r="AO5" s="5">
        <f>COUNTIF(apr!$F5:$AI5,"SL")</f>
        <v>0</v>
      </c>
      <c r="AP5" s="5">
        <f>COUNTIF(apr!$F5:$AI5,"CL")</f>
        <v>0</v>
      </c>
      <c r="AQ5" s="5">
        <f>COUNTIF(apr!$F5:$AI5,"A")</f>
        <v>0</v>
      </c>
      <c r="AR5" s="5">
        <f>COUNTIF(apr!$F5:$AI5,"P")</f>
        <v>24</v>
      </c>
      <c r="AS5" s="5">
        <f t="shared" ref="AS5:AS36" si="2">COUNTA($F5:$AI5)</f>
        <v>30</v>
      </c>
      <c r="AT5" s="5">
        <f>AJ5+AK5+AL5+AO5+AP5+AR5+(AN5/2)</f>
        <v>30</v>
      </c>
      <c r="AU5" s="4">
        <f>SUMIFS(holly!$L$2:$L$122,holly!$I$2:$I$122,mar!$A5,holly!$K$2:$K$122,"Mar")</f>
        <v>0</v>
      </c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</row>
    <row r="6" spans="1:77" ht="18.75" x14ac:dyDescent="0.3">
      <c r="A6" s="3" t="s">
        <v>10</v>
      </c>
      <c r="B6" s="3" t="str">
        <f>VLOOKUP($A6,Master!$A$2:$K$52,2,0)</f>
        <v>Employee2</v>
      </c>
      <c r="C6" s="3" t="str">
        <f>VLOOKUP($A6,Master!$A$2:$K$52,3,0)</f>
        <v>Male</v>
      </c>
      <c r="D6" s="3" t="str">
        <f>VLOOKUP($A6,Master!$A$2:$K$52,5,0)</f>
        <v>Production</v>
      </c>
      <c r="E6" s="3" t="str">
        <f>VLOOKUP($A6,Master!$A$2:$K$52,6,0)</f>
        <v>Supervisor</v>
      </c>
      <c r="F6" s="4" t="str">
        <f>IFERROR(LOOKUP(2,1/((lentry!$A$3:$A$3999=apr!$A6)*(lentry!$B$3:$B$3999&lt;=apr!F$3)*(lentry!$C$3:$C$3999&gt;=apr!F$3)),lentry!$D$3:$D$3999),IF(WEEKDAY(apr!F$3,1)=1,"WO","P"))</f>
        <v>P</v>
      </c>
      <c r="G6" s="4" t="str">
        <f>IFERROR(LOOKUP(2,1/((lentry!$A$3:$A$3999=apr!$A6)*(lentry!$B$3:$B$3999&lt;=apr!G$3)*(lentry!$C$3:$C$3999&gt;=apr!G$3)),lentry!$D$3:$D$3999),IF(WEEKDAY(apr!G$3,1)=1,"WO","P"))</f>
        <v>P</v>
      </c>
      <c r="H6" s="4" t="s">
        <v>350</v>
      </c>
      <c r="I6" s="4" t="str">
        <f>IFERROR(LOOKUP(2,1/((lentry!$A$3:$A$3999=apr!$A6)*(lentry!$B$3:$B$3999&lt;=apr!I$3)*(lentry!$C$3:$C$3999&gt;=apr!I$3)),lentry!$D$3:$D$3999),IF(WEEKDAY(apr!I$3,1)=1,"WO","P"))</f>
        <v>P</v>
      </c>
      <c r="J6" s="4" t="str">
        <f>IFERROR(LOOKUP(2,1/((lentry!$A$3:$A$3999=apr!$A6)*(lentry!$B$3:$B$3999&lt;=apr!J$3)*(lentry!$C$3:$C$3999&gt;=apr!J$3)),lentry!$D$3:$D$3999),IF(WEEKDAY(apr!J$3,1)=1,"WO","P"))</f>
        <v>WO</v>
      </c>
      <c r="K6" s="4" t="str">
        <f>IFERROR(LOOKUP(2,1/((lentry!$A$3:$A$3999=apr!$A6)*(lentry!$B$3:$B$3999&lt;=apr!K$3)*(lentry!$C$3:$C$3999&gt;=apr!K$3)),lentry!$D$3:$D$3999),IF(WEEKDAY(apr!K$3,1)=1,"WO","P"))</f>
        <v>P</v>
      </c>
      <c r="L6" s="4" t="str">
        <f>IFERROR(LOOKUP(2,1/((lentry!$A$3:$A$3999=apr!$A6)*(lentry!$B$3:$B$3999&lt;=apr!L$3)*(lentry!$C$3:$C$3999&gt;=apr!L$3)),lentry!$D$3:$D$3999),IF(WEEKDAY(apr!L$3,1)=1,"WO","P"))</f>
        <v>P</v>
      </c>
      <c r="M6" s="4" t="str">
        <f>IFERROR(LOOKUP(2,1/((lentry!$A$3:$A$3999=apr!$A6)*(lentry!$B$3:$B$3999&lt;=apr!M$3)*(lentry!$C$3:$C$3999&gt;=apr!M$3)),lentry!$D$3:$D$3999),IF(WEEKDAY(apr!M$3,1)=1,"WO","P"))</f>
        <v>P</v>
      </c>
      <c r="N6" s="4" t="str">
        <f>IFERROR(LOOKUP(2,1/((lentry!$A$3:$A$3999=apr!$A6)*(lentry!$B$3:$B$3999&lt;=apr!N$3)*(lentry!$C$3:$C$3999&gt;=apr!N$3)),lentry!$D$3:$D$3999),IF(WEEKDAY(apr!N$3,1)=1,"WO","P"))</f>
        <v>P</v>
      </c>
      <c r="O6" s="4" t="str">
        <f>IFERROR(LOOKUP(2,1/((lentry!$A$3:$A$3999=apr!$A6)*(lentry!$B$3:$B$3999&lt;=apr!O$3)*(lentry!$C$3:$C$3999&gt;=apr!O$3)),lentry!$D$3:$D$3999),IF(WEEKDAY(apr!O$3,1)=1,"WO","P"))</f>
        <v>P</v>
      </c>
      <c r="P6" s="4" t="str">
        <f>IFERROR(LOOKUP(2,1/((lentry!$A$3:$A$3999=apr!$A6)*(lentry!$B$3:$B$3999&lt;=apr!P$3)*(lentry!$C$3:$C$3999&gt;=apr!P$3)),lentry!$D$3:$D$3999),IF(WEEKDAY(apr!P$3,1)=1,"WO","P"))</f>
        <v>P</v>
      </c>
      <c r="Q6" s="4" t="str">
        <f>IFERROR(LOOKUP(2,1/((lentry!$A$3:$A$3999=apr!$A6)*(lentry!$B$3:$B$3999&lt;=apr!Q$3)*(lentry!$C$3:$C$3999&gt;=apr!Q$3)),lentry!$D$3:$D$3999),IF(WEEKDAY(apr!Q$3,1)=1,"WO","P"))</f>
        <v>WO</v>
      </c>
      <c r="R6" s="4" t="str">
        <f>IFERROR(LOOKUP(2,1/((lentry!$A$3:$A$3999=apr!$A6)*(lentry!$B$3:$B$3999&lt;=apr!R$3)*(lentry!$C$3:$C$3999&gt;=apr!R$3)),lentry!$D$3:$D$3999),IF(WEEKDAY(apr!R$3,1)=1,"WO","P"))</f>
        <v>P</v>
      </c>
      <c r="S6" s="4" t="s">
        <v>350</v>
      </c>
      <c r="T6" s="4" t="str">
        <f>IFERROR(LOOKUP(2,1/((lentry!$A$3:$A$3999=apr!$A6)*(lentry!$B$3:$B$3999&lt;=apr!T$3)*(lentry!$C$3:$C$3999&gt;=apr!T$3)),lentry!$D$3:$D$3999),IF(WEEKDAY(apr!T$3,1)=1,"WO","P"))</f>
        <v>P</v>
      </c>
      <c r="U6" s="4" t="str">
        <f>IFERROR(LOOKUP(2,1/((lentry!$A$3:$A$3999=apr!$A6)*(lentry!$B$3:$B$3999&lt;=apr!U$3)*(lentry!$C$3:$C$3999&gt;=apr!U$3)),lentry!$D$3:$D$3999),IF(WEEKDAY(apr!U$3,1)=1,"WO","P"))</f>
        <v>P</v>
      </c>
      <c r="V6" s="4" t="str">
        <f>IFERROR(LOOKUP(2,1/((lentry!$A$3:$A$3999=apr!$A6)*(lentry!$B$3:$B$3999&lt;=apr!V$3)*(lentry!$C$3:$C$3999&gt;=apr!V$3)),lentry!$D$3:$D$3999),IF(WEEKDAY(apr!V$3,1)=1,"WO","P"))</f>
        <v>P</v>
      </c>
      <c r="W6" s="4" t="str">
        <f>IFERROR(LOOKUP(2,1/((lentry!$A$3:$A$3999=apr!$A6)*(lentry!$B$3:$B$3999&lt;=apr!W$3)*(lentry!$C$3:$C$3999&gt;=apr!W$3)),lentry!$D$3:$D$3999),IF(WEEKDAY(apr!W$3,1)=1,"WO","P"))</f>
        <v>P</v>
      </c>
      <c r="X6" s="4" t="str">
        <f>IFERROR(LOOKUP(2,1/((lentry!$A$3:$A$3999=apr!$A6)*(lentry!$B$3:$B$3999&lt;=apr!X$3)*(lentry!$C$3:$C$3999&gt;=apr!X$3)),lentry!$D$3:$D$3999),IF(WEEKDAY(apr!X$3,1)=1,"WO","P"))</f>
        <v>WO</v>
      </c>
      <c r="Y6" s="4" t="str">
        <f>IFERROR(LOOKUP(2,1/((lentry!$A$3:$A$3999=apr!$A6)*(lentry!$B$3:$B$3999&lt;=apr!Y$3)*(lentry!$C$3:$C$3999&gt;=apr!Y$3)),lentry!$D$3:$D$3999),IF(WEEKDAY(apr!Y$3,1)=1,"WO","P"))</f>
        <v>P</v>
      </c>
      <c r="Z6" s="4" t="str">
        <f>IFERROR(LOOKUP(2,1/((lentry!$A$3:$A$3999=apr!$A6)*(lentry!$B$3:$B$3999&lt;=apr!Z$3)*(lentry!$C$3:$C$3999&gt;=apr!Z$3)),lentry!$D$3:$D$3999),IF(WEEKDAY(apr!Z$3,1)=1,"WO","P"))</f>
        <v>P</v>
      </c>
      <c r="AA6" s="4" t="str">
        <f>IFERROR(LOOKUP(2,1/((lentry!$A$3:$A$3999=apr!$A6)*(lentry!$B$3:$B$3999&lt;=apr!AA$3)*(lentry!$C$3:$C$3999&gt;=apr!AA$3)),lentry!$D$3:$D$3999),IF(WEEKDAY(apr!AA$3,1)=1,"WO","P"))</f>
        <v>P</v>
      </c>
      <c r="AB6" s="4" t="str">
        <f>IFERROR(LOOKUP(2,1/((lentry!$A$3:$A$3999=apr!$A6)*(lentry!$B$3:$B$3999&lt;=apr!AB$3)*(lentry!$C$3:$C$3999&gt;=apr!AB$3)),lentry!$D$3:$D$3999),IF(WEEKDAY(apr!AB$3,1)=1,"WO","P"))</f>
        <v>P</v>
      </c>
      <c r="AC6" s="4" t="str">
        <f>IFERROR(LOOKUP(2,1/((lentry!$A$3:$A$3999=apr!$A6)*(lentry!$B$3:$B$3999&lt;=apr!AC$3)*(lentry!$C$3:$C$3999&gt;=apr!AC$3)),lentry!$D$3:$D$3999),IF(WEEKDAY(apr!AC$3,1)=1,"WO","P"))</f>
        <v>P</v>
      </c>
      <c r="AD6" s="4" t="str">
        <f>IFERROR(LOOKUP(2,1/((lentry!$A$3:$A$3999=apr!$A6)*(lentry!$B$3:$B$3999&lt;=apr!AD$3)*(lentry!$C$3:$C$3999&gt;=apr!AD$3)),lentry!$D$3:$D$3999),IF(WEEKDAY(apr!AD$3,1)=1,"WO","P"))</f>
        <v>P</v>
      </c>
      <c r="AE6" s="4" t="str">
        <f>IFERROR(LOOKUP(2,1/((lentry!$A$3:$A$3999=apr!$A6)*(lentry!$B$3:$B$3999&lt;=apr!AE$3)*(lentry!$C$3:$C$3999&gt;=apr!AE$3)),lentry!$D$3:$D$3999),IF(WEEKDAY(apr!AE$3,1)=1,"WO","P"))</f>
        <v>WO</v>
      </c>
      <c r="AF6" s="4" t="str">
        <f>IFERROR(LOOKUP(2,1/((lentry!$A$3:$A$3999=apr!$A6)*(lentry!$B$3:$B$3999&lt;=apr!AF$3)*(lentry!$C$3:$C$3999&gt;=apr!AF$3)),lentry!$D$3:$D$3999),IF(WEEKDAY(apr!AF$3,1)=1,"WO","P"))</f>
        <v>P</v>
      </c>
      <c r="AG6" s="4" t="str">
        <f>IFERROR(LOOKUP(2,1/((lentry!$A$3:$A$3999=apr!$A6)*(lentry!$B$3:$B$3999&lt;=apr!AG$3)*(lentry!$C$3:$C$3999&gt;=apr!AG$3)),lentry!$D$3:$D$3999),IF(WEEKDAY(apr!AG$3,1)=1,"WO","P"))</f>
        <v>P</v>
      </c>
      <c r="AH6" s="4" t="str">
        <f>IFERROR(LOOKUP(2,1/((lentry!$A$3:$A$3999=apr!$A6)*(lentry!$B$3:$B$3999&lt;=apr!AH$3)*(lentry!$C$3:$C$3999&gt;=apr!AH$3)),lentry!$D$3:$D$3999),IF(WEEKDAY(apr!AH$3,1)=1,"WO","P"))</f>
        <v>P</v>
      </c>
      <c r="AI6" s="4" t="str">
        <f>IFERROR(LOOKUP(2,1/((lentry!$A$3:$A$3999=apr!$A6)*(lentry!$B$3:$B$3999&lt;=apr!AI$3)*(lentry!$C$3:$C$3999&gt;=apr!AI$3)),lentry!$D$3:$D$3999),IF(WEEKDAY(apr!AI$3,1)=1,"WO","P"))</f>
        <v>P</v>
      </c>
      <c r="AJ6" s="5">
        <f>COUNTIF(apr!$F6:$AI6,"WO")</f>
        <v>4</v>
      </c>
      <c r="AK6" s="5">
        <f>COUNTIF(jan!$F6:$AJ6,"H")</f>
        <v>1</v>
      </c>
      <c r="AL6" s="5">
        <f>COUNTIF(jan!$F6:$AJ6,"PL")</f>
        <v>0</v>
      </c>
      <c r="AM6" s="5">
        <f>COUNTIF(jan!$F6:$AJ6,"LWP")</f>
        <v>0</v>
      </c>
      <c r="AN6" s="5">
        <f>COUNTIF(jan!$F6:$AJ6,"HD")</f>
        <v>0</v>
      </c>
      <c r="AO6" s="5">
        <f>COUNTIF(jan!$F6:$AJ6,"SL")</f>
        <v>0</v>
      </c>
      <c r="AP6" s="5">
        <f>COUNTIF(jan!$F6:$AJ6,"CL")</f>
        <v>0</v>
      </c>
      <c r="AQ6" s="5">
        <f>COUNTIF(jan!$F6:$AJ6,"A")</f>
        <v>1</v>
      </c>
      <c r="AR6" s="5">
        <f>COUNTIF(jan!$F6:$AJ6,"P")</f>
        <v>25</v>
      </c>
      <c r="AS6" s="5">
        <f t="shared" si="2"/>
        <v>30</v>
      </c>
      <c r="AT6" s="5">
        <f t="shared" ref="AT6:AT54" si="3">AJ6+AK6+AL6+AO6+AP6+AR6+(AN6/2)</f>
        <v>30</v>
      </c>
      <c r="AU6" s="4">
        <f>SUMIFS(holly!$L$2:$L$122,holly!$I$2:$I$122,mar!$A6,holly!$K$2:$K$122,"Mar")</f>
        <v>0</v>
      </c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</row>
    <row r="7" spans="1:77" ht="18.75" x14ac:dyDescent="0.3">
      <c r="A7" s="3" t="s">
        <v>13</v>
      </c>
      <c r="B7" s="3" t="str">
        <f>VLOOKUP($A7,Master!$A$2:$K$52,2,0)</f>
        <v>Employee3</v>
      </c>
      <c r="C7" s="3" t="str">
        <f>VLOOKUP($A7,Master!$A$2:$K$52,3,0)</f>
        <v>Female</v>
      </c>
      <c r="D7" s="3" t="str">
        <f>VLOOKUP($A7,Master!$A$2:$K$52,5,0)</f>
        <v>Production</v>
      </c>
      <c r="E7" s="3" t="str">
        <f>VLOOKUP($A7,Master!$A$2:$K$52,6,0)</f>
        <v>Operator</v>
      </c>
      <c r="F7" s="4" t="str">
        <f>IFERROR(LOOKUP(2,1/((lentry!$A$3:$A$3999=apr!$A7)*(lentry!$B$3:$B$3999&lt;=apr!F$3)*(lentry!$C$3:$C$3999&gt;=apr!F$3)),lentry!$D$3:$D$3999),IF(WEEKDAY(apr!F$3,1)=1,"WO","P"))</f>
        <v>P</v>
      </c>
      <c r="G7" s="4" t="str">
        <f>IFERROR(LOOKUP(2,1/((lentry!$A$3:$A$3999=apr!$A7)*(lentry!$B$3:$B$3999&lt;=apr!G$3)*(lentry!$C$3:$C$3999&gt;=apr!G$3)),lentry!$D$3:$D$3999),IF(WEEKDAY(apr!G$3,1)=1,"WO","P"))</f>
        <v>P</v>
      </c>
      <c r="H7" s="4" t="s">
        <v>350</v>
      </c>
      <c r="I7" s="4" t="str">
        <f>IFERROR(LOOKUP(2,1/((lentry!$A$3:$A$3999=apr!$A7)*(lentry!$B$3:$B$3999&lt;=apr!I$3)*(lentry!$C$3:$C$3999&gt;=apr!I$3)),lentry!$D$3:$D$3999),IF(WEEKDAY(apr!I$3,1)=1,"WO","P"))</f>
        <v>P</v>
      </c>
      <c r="J7" s="4" t="str">
        <f>IFERROR(LOOKUP(2,1/((lentry!$A$3:$A$3999=apr!$A7)*(lentry!$B$3:$B$3999&lt;=apr!J$3)*(lentry!$C$3:$C$3999&gt;=apr!J$3)),lentry!$D$3:$D$3999),IF(WEEKDAY(apr!J$3,1)=1,"WO","P"))</f>
        <v>WO</v>
      </c>
      <c r="K7" s="4" t="str">
        <f>IFERROR(LOOKUP(2,1/((lentry!$A$3:$A$3999=apr!$A7)*(lentry!$B$3:$B$3999&lt;=apr!K$3)*(lentry!$C$3:$C$3999&gt;=apr!K$3)),lentry!$D$3:$D$3999),IF(WEEKDAY(apr!K$3,1)=1,"WO","P"))</f>
        <v>P</v>
      </c>
      <c r="L7" s="4" t="str">
        <f>IFERROR(LOOKUP(2,1/((lentry!$A$3:$A$3999=apr!$A7)*(lentry!$B$3:$B$3999&lt;=apr!L$3)*(lentry!$C$3:$C$3999&gt;=apr!L$3)),lentry!$D$3:$D$3999),IF(WEEKDAY(apr!L$3,1)=1,"WO","P"))</f>
        <v>P</v>
      </c>
      <c r="M7" s="4" t="str">
        <f>IFERROR(LOOKUP(2,1/((lentry!$A$3:$A$3999=apr!$A7)*(lentry!$B$3:$B$3999&lt;=apr!M$3)*(lentry!$C$3:$C$3999&gt;=apr!M$3)),lentry!$D$3:$D$3999),IF(WEEKDAY(apr!M$3,1)=1,"WO","P"))</f>
        <v>P</v>
      </c>
      <c r="N7" s="4" t="str">
        <f>IFERROR(LOOKUP(2,1/((lentry!$A$3:$A$3999=apr!$A7)*(lentry!$B$3:$B$3999&lt;=apr!N$3)*(lentry!$C$3:$C$3999&gt;=apr!N$3)),lentry!$D$3:$D$3999),IF(WEEKDAY(apr!N$3,1)=1,"WO","P"))</f>
        <v>P</v>
      </c>
      <c r="O7" s="4" t="str">
        <f>IFERROR(LOOKUP(2,1/((lentry!$A$3:$A$3999=apr!$A7)*(lentry!$B$3:$B$3999&lt;=apr!O$3)*(lentry!$C$3:$C$3999&gt;=apr!O$3)),lentry!$D$3:$D$3999),IF(WEEKDAY(apr!O$3,1)=1,"WO","P"))</f>
        <v>P</v>
      </c>
      <c r="P7" s="4" t="str">
        <f>IFERROR(LOOKUP(2,1/((lentry!$A$3:$A$3999=apr!$A7)*(lentry!$B$3:$B$3999&lt;=apr!P$3)*(lentry!$C$3:$C$3999&gt;=apr!P$3)),lentry!$D$3:$D$3999),IF(WEEKDAY(apr!P$3,1)=1,"WO","P"))</f>
        <v>P</v>
      </c>
      <c r="Q7" s="4" t="str">
        <f>IFERROR(LOOKUP(2,1/((lentry!$A$3:$A$3999=apr!$A7)*(lentry!$B$3:$B$3999&lt;=apr!Q$3)*(lentry!$C$3:$C$3999&gt;=apr!Q$3)),lentry!$D$3:$D$3999),IF(WEEKDAY(apr!Q$3,1)=1,"WO","P"))</f>
        <v>WO</v>
      </c>
      <c r="R7" s="4" t="str">
        <f>IFERROR(LOOKUP(2,1/((lentry!$A$3:$A$3999=apr!$A7)*(lentry!$B$3:$B$3999&lt;=apr!R$3)*(lentry!$C$3:$C$3999&gt;=apr!R$3)),lentry!$D$3:$D$3999),IF(WEEKDAY(apr!R$3,1)=1,"WO","P"))</f>
        <v>P</v>
      </c>
      <c r="S7" s="4" t="s">
        <v>350</v>
      </c>
      <c r="T7" s="4" t="str">
        <f>IFERROR(LOOKUP(2,1/((lentry!$A$3:$A$3999=apr!$A7)*(lentry!$B$3:$B$3999&lt;=apr!T$3)*(lentry!$C$3:$C$3999&gt;=apr!T$3)),lentry!$D$3:$D$3999),IF(WEEKDAY(apr!T$3,1)=1,"WO","P"))</f>
        <v>P</v>
      </c>
      <c r="U7" s="4" t="str">
        <f>IFERROR(LOOKUP(2,1/((lentry!$A$3:$A$3999=apr!$A7)*(lentry!$B$3:$B$3999&lt;=apr!U$3)*(lentry!$C$3:$C$3999&gt;=apr!U$3)),lentry!$D$3:$D$3999),IF(WEEKDAY(apr!U$3,1)=1,"WO","P"))</f>
        <v>P</v>
      </c>
      <c r="V7" s="4" t="str">
        <f>IFERROR(LOOKUP(2,1/((lentry!$A$3:$A$3999=apr!$A7)*(lentry!$B$3:$B$3999&lt;=apr!V$3)*(lentry!$C$3:$C$3999&gt;=apr!V$3)),lentry!$D$3:$D$3999),IF(WEEKDAY(apr!V$3,1)=1,"WO","P"))</f>
        <v>P</v>
      </c>
      <c r="W7" s="4" t="str">
        <f>IFERROR(LOOKUP(2,1/((lentry!$A$3:$A$3999=apr!$A7)*(lentry!$B$3:$B$3999&lt;=apr!W$3)*(lentry!$C$3:$C$3999&gt;=apr!W$3)),lentry!$D$3:$D$3999),IF(WEEKDAY(apr!W$3,1)=1,"WO","P"))</f>
        <v>P</v>
      </c>
      <c r="X7" s="4" t="str">
        <f>IFERROR(LOOKUP(2,1/((lentry!$A$3:$A$3999=apr!$A7)*(lentry!$B$3:$B$3999&lt;=apr!X$3)*(lentry!$C$3:$C$3999&gt;=apr!X$3)),lentry!$D$3:$D$3999),IF(WEEKDAY(apr!X$3,1)=1,"WO","P"))</f>
        <v>WO</v>
      </c>
      <c r="Y7" s="4" t="str">
        <f>IFERROR(LOOKUP(2,1/((lentry!$A$3:$A$3999=apr!$A7)*(lentry!$B$3:$B$3999&lt;=apr!Y$3)*(lentry!$C$3:$C$3999&gt;=apr!Y$3)),lentry!$D$3:$D$3999),IF(WEEKDAY(apr!Y$3,1)=1,"WO","P"))</f>
        <v>P</v>
      </c>
      <c r="Z7" s="4" t="str">
        <f>IFERROR(LOOKUP(2,1/((lentry!$A$3:$A$3999=apr!$A7)*(lentry!$B$3:$B$3999&lt;=apr!Z$3)*(lentry!$C$3:$C$3999&gt;=apr!Z$3)),lentry!$D$3:$D$3999),IF(WEEKDAY(apr!Z$3,1)=1,"WO","P"))</f>
        <v>P</v>
      </c>
      <c r="AA7" s="4" t="str">
        <f>IFERROR(LOOKUP(2,1/((lentry!$A$3:$A$3999=apr!$A7)*(lentry!$B$3:$B$3999&lt;=apr!AA$3)*(lentry!$C$3:$C$3999&gt;=apr!AA$3)),lentry!$D$3:$D$3999),IF(WEEKDAY(apr!AA$3,1)=1,"WO","P"))</f>
        <v>P</v>
      </c>
      <c r="AB7" s="4" t="str">
        <f>IFERROR(LOOKUP(2,1/((lentry!$A$3:$A$3999=apr!$A7)*(lentry!$B$3:$B$3999&lt;=apr!AB$3)*(lentry!$C$3:$C$3999&gt;=apr!AB$3)),lentry!$D$3:$D$3999),IF(WEEKDAY(apr!AB$3,1)=1,"WO","P"))</f>
        <v>P</v>
      </c>
      <c r="AC7" s="4" t="str">
        <f>IFERROR(LOOKUP(2,1/((lentry!$A$3:$A$3999=apr!$A7)*(lentry!$B$3:$B$3999&lt;=apr!AC$3)*(lentry!$C$3:$C$3999&gt;=apr!AC$3)),lentry!$D$3:$D$3999),IF(WEEKDAY(apr!AC$3,1)=1,"WO","P"))</f>
        <v>P</v>
      </c>
      <c r="AD7" s="4" t="str">
        <f>IFERROR(LOOKUP(2,1/((lentry!$A$3:$A$3999=apr!$A7)*(lentry!$B$3:$B$3999&lt;=apr!AD$3)*(lentry!$C$3:$C$3999&gt;=apr!AD$3)),lentry!$D$3:$D$3999),IF(WEEKDAY(apr!AD$3,1)=1,"WO","P"))</f>
        <v>P</v>
      </c>
      <c r="AE7" s="4" t="str">
        <f>IFERROR(LOOKUP(2,1/((lentry!$A$3:$A$3999=apr!$A7)*(lentry!$B$3:$B$3999&lt;=apr!AE$3)*(lentry!$C$3:$C$3999&gt;=apr!AE$3)),lentry!$D$3:$D$3999),IF(WEEKDAY(apr!AE$3,1)=1,"WO","P"))</f>
        <v>WO</v>
      </c>
      <c r="AF7" s="4" t="str">
        <f>IFERROR(LOOKUP(2,1/((lentry!$A$3:$A$3999=apr!$A7)*(lentry!$B$3:$B$3999&lt;=apr!AF$3)*(lentry!$C$3:$C$3999&gt;=apr!AF$3)),lentry!$D$3:$D$3999),IF(WEEKDAY(apr!AF$3,1)=1,"WO","P"))</f>
        <v>P</v>
      </c>
      <c r="AG7" s="4" t="str">
        <f>IFERROR(LOOKUP(2,1/((lentry!$A$3:$A$3999=apr!$A7)*(lentry!$B$3:$B$3999&lt;=apr!AG$3)*(lentry!$C$3:$C$3999&gt;=apr!AG$3)),lentry!$D$3:$D$3999),IF(WEEKDAY(apr!AG$3,1)=1,"WO","P"))</f>
        <v>P</v>
      </c>
      <c r="AH7" s="4" t="str">
        <f>IFERROR(LOOKUP(2,1/((lentry!$A$3:$A$3999=apr!$A7)*(lentry!$B$3:$B$3999&lt;=apr!AH$3)*(lentry!$C$3:$C$3999&gt;=apr!AH$3)),lentry!$D$3:$D$3999),IF(WEEKDAY(apr!AH$3,1)=1,"WO","P"))</f>
        <v>P</v>
      </c>
      <c r="AI7" s="4" t="str">
        <f>IFERROR(LOOKUP(2,1/((lentry!$A$3:$A$3999=apr!$A7)*(lentry!$B$3:$B$3999&lt;=apr!AI$3)*(lentry!$C$3:$C$3999&gt;=apr!AI$3)),lentry!$D$3:$D$3999),IF(WEEKDAY(apr!AI$3,1)=1,"WO","P"))</f>
        <v>P</v>
      </c>
      <c r="AJ7" s="5">
        <f>COUNTIF(apr!$F7:$AI7,"WO")</f>
        <v>4</v>
      </c>
      <c r="AK7" s="5">
        <f>COUNTIF(jan!$F7:$AJ7,"H")</f>
        <v>1</v>
      </c>
      <c r="AL7" s="5">
        <f>COUNTIF(jan!$F7:$AJ7,"PL")</f>
        <v>0</v>
      </c>
      <c r="AM7" s="5">
        <f>COUNTIF(jan!$F7:$AJ7,"LWP")</f>
        <v>0</v>
      </c>
      <c r="AN7" s="5">
        <f>COUNTIF(jan!$F7:$AJ7,"HD")</f>
        <v>0</v>
      </c>
      <c r="AO7" s="5">
        <f>COUNTIF(jan!$F7:$AJ7,"SL")</f>
        <v>0</v>
      </c>
      <c r="AP7" s="5">
        <f>COUNTIF(jan!$F7:$AJ7,"CL")</f>
        <v>0</v>
      </c>
      <c r="AQ7" s="5">
        <f>COUNTIF(jan!$F7:$AJ7,"A")</f>
        <v>1</v>
      </c>
      <c r="AR7" s="5">
        <f>COUNTIF(jan!$F7:$AJ7,"P")</f>
        <v>25</v>
      </c>
      <c r="AS7" s="5">
        <f t="shared" si="2"/>
        <v>30</v>
      </c>
      <c r="AT7" s="5">
        <f t="shared" si="3"/>
        <v>30</v>
      </c>
      <c r="AU7" s="4">
        <f>SUMIFS(holly!$L$2:$L$122,holly!$I$2:$I$122,mar!$A7,holly!$K$2:$K$122,"Mar")</f>
        <v>0</v>
      </c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</row>
    <row r="8" spans="1:77" ht="18.75" x14ac:dyDescent="0.3">
      <c r="A8" s="3" t="s">
        <v>17</v>
      </c>
      <c r="B8" s="3" t="str">
        <f>VLOOKUP($A8,Master!$A$2:$K$52,2,0)</f>
        <v>Employee4</v>
      </c>
      <c r="C8" s="3" t="str">
        <f>VLOOKUP($A8,Master!$A$2:$K$52,3,0)</f>
        <v>Male</v>
      </c>
      <c r="D8" s="3" t="str">
        <f>VLOOKUP($A8,Master!$A$2:$K$52,5,0)</f>
        <v>Production</v>
      </c>
      <c r="E8" s="3" t="str">
        <f>VLOOKUP($A8,Master!$A$2:$K$52,6,0)</f>
        <v>Operator</v>
      </c>
      <c r="F8" s="4" t="str">
        <f>IFERROR(LOOKUP(2,1/((lentry!$A$3:$A$3999=apr!$A8)*(lentry!$B$3:$B$3999&lt;=apr!F$3)*(lentry!$C$3:$C$3999&gt;=apr!F$3)),lentry!$D$3:$D$3999),IF(WEEKDAY(apr!F$3,1)=1,"WO","P"))</f>
        <v>P</v>
      </c>
      <c r="G8" s="4" t="str">
        <f>IFERROR(LOOKUP(2,1/((lentry!$A$3:$A$3999=apr!$A8)*(lentry!$B$3:$B$3999&lt;=apr!G$3)*(lentry!$C$3:$C$3999&gt;=apr!G$3)),lentry!$D$3:$D$3999),IF(WEEKDAY(apr!G$3,1)=1,"WO","P"))</f>
        <v>P</v>
      </c>
      <c r="H8" s="4" t="s">
        <v>350</v>
      </c>
      <c r="I8" s="4" t="str">
        <f>IFERROR(LOOKUP(2,1/((lentry!$A$3:$A$3999=apr!$A8)*(lentry!$B$3:$B$3999&lt;=apr!I$3)*(lentry!$C$3:$C$3999&gt;=apr!I$3)),lentry!$D$3:$D$3999),IF(WEEKDAY(apr!I$3,1)=1,"WO","P"))</f>
        <v>P</v>
      </c>
      <c r="J8" s="4" t="str">
        <f>IFERROR(LOOKUP(2,1/((lentry!$A$3:$A$3999=apr!$A8)*(lentry!$B$3:$B$3999&lt;=apr!J$3)*(lentry!$C$3:$C$3999&gt;=apr!J$3)),lentry!$D$3:$D$3999),IF(WEEKDAY(apr!J$3,1)=1,"WO","P"))</f>
        <v>WO</v>
      </c>
      <c r="K8" s="4" t="str">
        <f>IFERROR(LOOKUP(2,1/((lentry!$A$3:$A$3999=apr!$A8)*(lentry!$B$3:$B$3999&lt;=apr!K$3)*(lentry!$C$3:$C$3999&gt;=apr!K$3)),lentry!$D$3:$D$3999),IF(WEEKDAY(apr!K$3,1)=1,"WO","P"))</f>
        <v>P</v>
      </c>
      <c r="L8" s="4" t="str">
        <f>IFERROR(LOOKUP(2,1/((lentry!$A$3:$A$3999=apr!$A8)*(lentry!$B$3:$B$3999&lt;=apr!L$3)*(lentry!$C$3:$C$3999&gt;=apr!L$3)),lentry!$D$3:$D$3999),IF(WEEKDAY(apr!L$3,1)=1,"WO","P"))</f>
        <v>P</v>
      </c>
      <c r="M8" s="4" t="str">
        <f>IFERROR(LOOKUP(2,1/((lentry!$A$3:$A$3999=apr!$A8)*(lentry!$B$3:$B$3999&lt;=apr!M$3)*(lentry!$C$3:$C$3999&gt;=apr!M$3)),lentry!$D$3:$D$3999),IF(WEEKDAY(apr!M$3,1)=1,"WO","P"))</f>
        <v>P</v>
      </c>
      <c r="N8" s="4" t="s">
        <v>539</v>
      </c>
      <c r="O8" s="4" t="str">
        <f>IFERROR(LOOKUP(2,1/((lentry!$A$3:$A$3999=apr!$A8)*(lentry!$B$3:$B$3999&lt;=apr!O$3)*(lentry!$C$3:$C$3999&gt;=apr!O$3)),lentry!$D$3:$D$3999),IF(WEEKDAY(apr!O$3,1)=1,"WO","P"))</f>
        <v>P</v>
      </c>
      <c r="P8" s="4" t="str">
        <f>IFERROR(LOOKUP(2,1/((lentry!$A$3:$A$3999=apr!$A8)*(lentry!$B$3:$B$3999&lt;=apr!P$3)*(lentry!$C$3:$C$3999&gt;=apr!P$3)),lentry!$D$3:$D$3999),IF(WEEKDAY(apr!P$3,1)=1,"WO","P"))</f>
        <v>P</v>
      </c>
      <c r="Q8" s="4" t="str">
        <f>IFERROR(LOOKUP(2,1/((lentry!$A$3:$A$3999=apr!$A8)*(lentry!$B$3:$B$3999&lt;=apr!Q$3)*(lentry!$C$3:$C$3999&gt;=apr!Q$3)),lentry!$D$3:$D$3999),IF(WEEKDAY(apr!Q$3,1)=1,"WO","P"))</f>
        <v>WO</v>
      </c>
      <c r="R8" s="4" t="str">
        <f>IFERROR(LOOKUP(2,1/((lentry!$A$3:$A$3999=apr!$A8)*(lentry!$B$3:$B$3999&lt;=apr!R$3)*(lentry!$C$3:$C$3999&gt;=apr!R$3)),lentry!$D$3:$D$3999),IF(WEEKDAY(apr!R$3,1)=1,"WO","P"))</f>
        <v>P</v>
      </c>
      <c r="S8" s="4" t="s">
        <v>350</v>
      </c>
      <c r="T8" s="4" t="str">
        <f>IFERROR(LOOKUP(2,1/((lentry!$A$3:$A$3999=apr!$A8)*(lentry!$B$3:$B$3999&lt;=apr!T$3)*(lentry!$C$3:$C$3999&gt;=apr!T$3)),lentry!$D$3:$D$3999),IF(WEEKDAY(apr!T$3,1)=1,"WO","P"))</f>
        <v>P</v>
      </c>
      <c r="U8" s="4" t="str">
        <f>IFERROR(LOOKUP(2,1/((lentry!$A$3:$A$3999=apr!$A8)*(lentry!$B$3:$B$3999&lt;=apr!U$3)*(lentry!$C$3:$C$3999&gt;=apr!U$3)),lentry!$D$3:$D$3999),IF(WEEKDAY(apr!U$3,1)=1,"WO","P"))</f>
        <v>LWP</v>
      </c>
      <c r="V8" s="4" t="str">
        <f>IFERROR(LOOKUP(2,1/((lentry!$A$3:$A$3999=apr!$A8)*(lentry!$B$3:$B$3999&lt;=apr!V$3)*(lentry!$C$3:$C$3999&gt;=apr!V$3)),lentry!$D$3:$D$3999),IF(WEEKDAY(apr!V$3,1)=1,"WO","P"))</f>
        <v>LWP</v>
      </c>
      <c r="W8" s="4" t="str">
        <f>IFERROR(LOOKUP(2,1/((lentry!$A$3:$A$3999=apr!$A8)*(lentry!$B$3:$B$3999&lt;=apr!W$3)*(lentry!$C$3:$C$3999&gt;=apr!W$3)),lentry!$D$3:$D$3999),IF(WEEKDAY(apr!W$3,1)=1,"WO","P"))</f>
        <v>P</v>
      </c>
      <c r="X8" s="4" t="str">
        <f>IFERROR(LOOKUP(2,1/((lentry!$A$3:$A$3999=apr!$A8)*(lentry!$B$3:$B$3999&lt;=apr!X$3)*(lentry!$C$3:$C$3999&gt;=apr!X$3)),lentry!$D$3:$D$3999),IF(WEEKDAY(apr!X$3,1)=1,"WO","P"))</f>
        <v>WO</v>
      </c>
      <c r="Y8" s="4" t="str">
        <f>IFERROR(LOOKUP(2,1/((lentry!$A$3:$A$3999=apr!$A8)*(lentry!$B$3:$B$3999&lt;=apr!Y$3)*(lentry!$C$3:$C$3999&gt;=apr!Y$3)),lentry!$D$3:$D$3999),IF(WEEKDAY(apr!Y$3,1)=1,"WO","P"))</f>
        <v>P</v>
      </c>
      <c r="Z8" s="4" t="str">
        <f>IFERROR(LOOKUP(2,1/((lentry!$A$3:$A$3999=apr!$A8)*(lentry!$B$3:$B$3999&lt;=apr!Z$3)*(lentry!$C$3:$C$3999&gt;=apr!Z$3)),lentry!$D$3:$D$3999),IF(WEEKDAY(apr!Z$3,1)=1,"WO","P"))</f>
        <v>P</v>
      </c>
      <c r="AA8" s="4" t="str">
        <f>IFERROR(LOOKUP(2,1/((lentry!$A$3:$A$3999=apr!$A8)*(lentry!$B$3:$B$3999&lt;=apr!AA$3)*(lentry!$C$3:$C$3999&gt;=apr!AA$3)),lentry!$D$3:$D$3999),IF(WEEKDAY(apr!AA$3,1)=1,"WO","P"))</f>
        <v>P</v>
      </c>
      <c r="AB8" s="4" t="str">
        <f>IFERROR(LOOKUP(2,1/((lentry!$A$3:$A$3999=apr!$A8)*(lentry!$B$3:$B$3999&lt;=apr!AB$3)*(lentry!$C$3:$C$3999&gt;=apr!AB$3)),lentry!$D$3:$D$3999),IF(WEEKDAY(apr!AB$3,1)=1,"WO","P"))</f>
        <v>P</v>
      </c>
      <c r="AC8" s="4" t="str">
        <f>IFERROR(LOOKUP(2,1/((lentry!$A$3:$A$3999=apr!$A8)*(lentry!$B$3:$B$3999&lt;=apr!AC$3)*(lentry!$C$3:$C$3999&gt;=apr!AC$3)),lentry!$D$3:$D$3999),IF(WEEKDAY(apr!AC$3,1)=1,"WO","P"))</f>
        <v>P</v>
      </c>
      <c r="AD8" s="4" t="str">
        <f>IFERROR(LOOKUP(2,1/((lentry!$A$3:$A$3999=apr!$A8)*(lentry!$B$3:$B$3999&lt;=apr!AD$3)*(lentry!$C$3:$C$3999&gt;=apr!AD$3)),lentry!$D$3:$D$3999),IF(WEEKDAY(apr!AD$3,1)=1,"WO","P"))</f>
        <v>P</v>
      </c>
      <c r="AE8" s="4" t="str">
        <f>IFERROR(LOOKUP(2,1/((lentry!$A$3:$A$3999=apr!$A8)*(lentry!$B$3:$B$3999&lt;=apr!AE$3)*(lentry!$C$3:$C$3999&gt;=apr!AE$3)),lentry!$D$3:$D$3999),IF(WEEKDAY(apr!AE$3,1)=1,"WO","P"))</f>
        <v>WO</v>
      </c>
      <c r="AF8" s="4" t="str">
        <f>IFERROR(LOOKUP(2,1/((lentry!$A$3:$A$3999=apr!$A8)*(lentry!$B$3:$B$3999&lt;=apr!AF$3)*(lentry!$C$3:$C$3999&gt;=apr!AF$3)),lentry!$D$3:$D$3999),IF(WEEKDAY(apr!AF$3,1)=1,"WO","P"))</f>
        <v>P</v>
      </c>
      <c r="AG8" s="4" t="str">
        <f>IFERROR(LOOKUP(2,1/((lentry!$A$3:$A$3999=apr!$A8)*(lentry!$B$3:$B$3999&lt;=apr!AG$3)*(lentry!$C$3:$C$3999&gt;=apr!AG$3)),lentry!$D$3:$D$3999),IF(WEEKDAY(apr!AG$3,1)=1,"WO","P"))</f>
        <v>P</v>
      </c>
      <c r="AH8" s="4" t="str">
        <f>IFERROR(LOOKUP(2,1/((lentry!$A$3:$A$3999=apr!$A8)*(lentry!$B$3:$B$3999&lt;=apr!AH$3)*(lentry!$C$3:$C$3999&gt;=apr!AH$3)),lentry!$D$3:$D$3999),IF(WEEKDAY(apr!AH$3,1)=1,"WO","P"))</f>
        <v>P</v>
      </c>
      <c r="AI8" s="4" t="str">
        <f>IFERROR(LOOKUP(2,1/((lentry!$A$3:$A$3999=apr!$A8)*(lentry!$B$3:$B$3999&lt;=apr!AI$3)*(lentry!$C$3:$C$3999&gt;=apr!AI$3)),lentry!$D$3:$D$3999),IF(WEEKDAY(apr!AI$3,1)=1,"WO","P"))</f>
        <v>P</v>
      </c>
      <c r="AJ8" s="5">
        <f>COUNTIF(apr!$F8:$AI8,"WO")</f>
        <v>4</v>
      </c>
      <c r="AK8" s="5">
        <f>COUNTIF(jan!$F8:$AJ8,"H")</f>
        <v>1</v>
      </c>
      <c r="AL8" s="5">
        <f>COUNTIF(jan!$F8:$AJ8,"PL")</f>
        <v>0</v>
      </c>
      <c r="AM8" s="5">
        <f>COUNTIF(jan!$F8:$AJ8,"LWP")</f>
        <v>0</v>
      </c>
      <c r="AN8" s="5">
        <f>COUNTIF(jan!$F8:$AJ8,"HD")</f>
        <v>0</v>
      </c>
      <c r="AO8" s="5">
        <f>COUNTIF(jan!$F8:$AJ8,"SL")</f>
        <v>0</v>
      </c>
      <c r="AP8" s="5">
        <f>COUNTIF(jan!$F8:$AJ8,"CL")</f>
        <v>0</v>
      </c>
      <c r="AQ8" s="5">
        <f>COUNTIF(jan!$F8:$AJ8,"A")</f>
        <v>1</v>
      </c>
      <c r="AR8" s="5">
        <f>COUNTIF(jan!$F8:$AJ8,"P")</f>
        <v>25</v>
      </c>
      <c r="AS8" s="5">
        <f t="shared" si="2"/>
        <v>30</v>
      </c>
      <c r="AT8" s="5">
        <f t="shared" si="3"/>
        <v>30</v>
      </c>
      <c r="AU8" s="4">
        <f>SUMIFS(holly!$L$2:$L$122,holly!$I$2:$I$122,mar!$A8,holly!$K$2:$K$122,"Mar")</f>
        <v>2</v>
      </c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</row>
    <row r="9" spans="1:77" ht="18.75" x14ac:dyDescent="0.3">
      <c r="A9" s="3" t="s">
        <v>18</v>
      </c>
      <c r="B9" s="3" t="str">
        <f>VLOOKUP($A9,Master!$A$2:$K$52,2,0)</f>
        <v>Employee5</v>
      </c>
      <c r="C9" s="3" t="str">
        <f>VLOOKUP($A9,Master!$A$2:$K$52,3,0)</f>
        <v>Female</v>
      </c>
      <c r="D9" s="3" t="str">
        <f>VLOOKUP($A9,Master!$A$2:$K$52,5,0)</f>
        <v>Production</v>
      </c>
      <c r="E9" s="3" t="str">
        <f>VLOOKUP($A9,Master!$A$2:$K$52,6,0)</f>
        <v>Senior Operator</v>
      </c>
      <c r="F9" s="4" t="s">
        <v>539</v>
      </c>
      <c r="G9" s="4" t="str">
        <f>IFERROR(LOOKUP(2,1/((lentry!$A$3:$A$3999=apr!$A9)*(lentry!$B$3:$B$3999&lt;=apr!G$3)*(lentry!$C$3:$C$3999&gt;=apr!G$3)),lentry!$D$3:$D$3999),IF(WEEKDAY(apr!G$3,1)=1,"WO","P"))</f>
        <v>P</v>
      </c>
      <c r="H9" s="4" t="s">
        <v>350</v>
      </c>
      <c r="I9" s="4" t="str">
        <f>IFERROR(LOOKUP(2,1/((lentry!$A$3:$A$3999=apr!$A9)*(lentry!$B$3:$B$3999&lt;=apr!I$3)*(lentry!$C$3:$C$3999&gt;=apr!I$3)),lentry!$D$3:$D$3999),IF(WEEKDAY(apr!I$3,1)=1,"WO","P"))</f>
        <v>P</v>
      </c>
      <c r="J9" s="4" t="str">
        <f>IFERROR(LOOKUP(2,1/((lentry!$A$3:$A$3999=apr!$A9)*(lentry!$B$3:$B$3999&lt;=apr!J$3)*(lentry!$C$3:$C$3999&gt;=apr!J$3)),lentry!$D$3:$D$3999),IF(WEEKDAY(apr!J$3,1)=1,"WO","P"))</f>
        <v>WO</v>
      </c>
      <c r="K9" s="4" t="str">
        <f>IFERROR(LOOKUP(2,1/((lentry!$A$3:$A$3999=apr!$A9)*(lentry!$B$3:$B$3999&lt;=apr!K$3)*(lentry!$C$3:$C$3999&gt;=apr!K$3)),lentry!$D$3:$D$3999),IF(WEEKDAY(apr!K$3,1)=1,"WO","P"))</f>
        <v>P</v>
      </c>
      <c r="L9" s="4" t="str">
        <f>IFERROR(LOOKUP(2,1/((lentry!$A$3:$A$3999=apr!$A9)*(lentry!$B$3:$B$3999&lt;=apr!L$3)*(lentry!$C$3:$C$3999&gt;=apr!L$3)),lentry!$D$3:$D$3999),IF(WEEKDAY(apr!L$3,1)=1,"WO","P"))</f>
        <v>P</v>
      </c>
      <c r="M9" s="4" t="str">
        <f>IFERROR(LOOKUP(2,1/((lentry!$A$3:$A$3999=apr!$A9)*(lentry!$B$3:$B$3999&lt;=apr!M$3)*(lentry!$C$3:$C$3999&gt;=apr!M$3)),lentry!$D$3:$D$3999),IF(WEEKDAY(apr!M$3,1)=1,"WO","P"))</f>
        <v>P</v>
      </c>
      <c r="N9" s="4" t="str">
        <f>IFERROR(LOOKUP(2,1/((lentry!$A$3:$A$3999=apr!$A9)*(lentry!$B$3:$B$3999&lt;=apr!N$3)*(lentry!$C$3:$C$3999&gt;=apr!N$3)),lentry!$D$3:$D$3999),IF(WEEKDAY(apr!N$3,1)=1,"WO","P"))</f>
        <v>P</v>
      </c>
      <c r="O9" s="4" t="str">
        <f>IFERROR(LOOKUP(2,1/((lentry!$A$3:$A$3999=apr!$A9)*(lentry!$B$3:$B$3999&lt;=apr!O$3)*(lentry!$C$3:$C$3999&gt;=apr!O$3)),lentry!$D$3:$D$3999),IF(WEEKDAY(apr!O$3,1)=1,"WO","P"))</f>
        <v>P</v>
      </c>
      <c r="P9" s="4" t="str">
        <f>IFERROR(LOOKUP(2,1/((lentry!$A$3:$A$3999=apr!$A9)*(lentry!$B$3:$B$3999&lt;=apr!P$3)*(lentry!$C$3:$C$3999&gt;=apr!P$3)),lentry!$D$3:$D$3999),IF(WEEKDAY(apr!P$3,1)=1,"WO","P"))</f>
        <v>P</v>
      </c>
      <c r="Q9" s="4" t="str">
        <f>IFERROR(LOOKUP(2,1/((lentry!$A$3:$A$3999=apr!$A9)*(lentry!$B$3:$B$3999&lt;=apr!Q$3)*(lentry!$C$3:$C$3999&gt;=apr!Q$3)),lentry!$D$3:$D$3999),IF(WEEKDAY(apr!Q$3,1)=1,"WO","P"))</f>
        <v>WO</v>
      </c>
      <c r="R9" s="4" t="str">
        <f>IFERROR(LOOKUP(2,1/((lentry!$A$3:$A$3999=apr!$A9)*(lentry!$B$3:$B$3999&lt;=apr!R$3)*(lentry!$C$3:$C$3999&gt;=apr!R$3)),lentry!$D$3:$D$3999),IF(WEEKDAY(apr!R$3,1)=1,"WO","P"))</f>
        <v>P</v>
      </c>
      <c r="S9" s="4" t="s">
        <v>350</v>
      </c>
      <c r="T9" s="4" t="str">
        <f>IFERROR(LOOKUP(2,1/((lentry!$A$3:$A$3999=apr!$A9)*(lentry!$B$3:$B$3999&lt;=apr!T$3)*(lentry!$C$3:$C$3999&gt;=apr!T$3)),lentry!$D$3:$D$3999),IF(WEEKDAY(apr!T$3,1)=1,"WO","P"))</f>
        <v>P</v>
      </c>
      <c r="U9" s="4" t="str">
        <f>IFERROR(LOOKUP(2,1/((lentry!$A$3:$A$3999=apr!$A9)*(lentry!$B$3:$B$3999&lt;=apr!U$3)*(lentry!$C$3:$C$3999&gt;=apr!U$3)),lentry!$D$3:$D$3999),IF(WEEKDAY(apr!U$3,1)=1,"WO","P"))</f>
        <v>P</v>
      </c>
      <c r="V9" s="4" t="str">
        <f>IFERROR(LOOKUP(2,1/((lentry!$A$3:$A$3999=apr!$A9)*(lentry!$B$3:$B$3999&lt;=apr!V$3)*(lentry!$C$3:$C$3999&gt;=apr!V$3)),lentry!$D$3:$D$3999),IF(WEEKDAY(apr!V$3,1)=1,"WO","P"))</f>
        <v>P</v>
      </c>
      <c r="W9" s="4" t="str">
        <f>IFERROR(LOOKUP(2,1/((lentry!$A$3:$A$3999=apr!$A9)*(lentry!$B$3:$B$3999&lt;=apr!W$3)*(lentry!$C$3:$C$3999&gt;=apr!W$3)),lentry!$D$3:$D$3999),IF(WEEKDAY(apr!W$3,1)=1,"WO","P"))</f>
        <v>P</v>
      </c>
      <c r="X9" s="4" t="str">
        <f>IFERROR(LOOKUP(2,1/((lentry!$A$3:$A$3999=apr!$A9)*(lentry!$B$3:$B$3999&lt;=apr!X$3)*(lentry!$C$3:$C$3999&gt;=apr!X$3)),lentry!$D$3:$D$3999),IF(WEEKDAY(apr!X$3,1)=1,"WO","P"))</f>
        <v>WO</v>
      </c>
      <c r="Y9" s="4" t="str">
        <f>IFERROR(LOOKUP(2,1/((lentry!$A$3:$A$3999=apr!$A9)*(lentry!$B$3:$B$3999&lt;=apr!Y$3)*(lentry!$C$3:$C$3999&gt;=apr!Y$3)),lentry!$D$3:$D$3999),IF(WEEKDAY(apr!Y$3,1)=1,"WO","P"))</f>
        <v>P</v>
      </c>
      <c r="Z9" s="4" t="str">
        <f>IFERROR(LOOKUP(2,1/((lentry!$A$3:$A$3999=apr!$A9)*(lentry!$B$3:$B$3999&lt;=apr!Z$3)*(lentry!$C$3:$C$3999&gt;=apr!Z$3)),lentry!$D$3:$D$3999),IF(WEEKDAY(apr!Z$3,1)=1,"WO","P"))</f>
        <v>P</v>
      </c>
      <c r="AA9" s="4" t="str">
        <f>IFERROR(LOOKUP(2,1/((lentry!$A$3:$A$3999=apr!$A9)*(lentry!$B$3:$B$3999&lt;=apr!AA$3)*(lentry!$C$3:$C$3999&gt;=apr!AA$3)),lentry!$D$3:$D$3999),IF(WEEKDAY(apr!AA$3,1)=1,"WO","P"))</f>
        <v>P</v>
      </c>
      <c r="AB9" s="4" t="str">
        <f>IFERROR(LOOKUP(2,1/((lentry!$A$3:$A$3999=apr!$A9)*(lentry!$B$3:$B$3999&lt;=apr!AB$3)*(lentry!$C$3:$C$3999&gt;=apr!AB$3)),lentry!$D$3:$D$3999),IF(WEEKDAY(apr!AB$3,1)=1,"WO","P"))</f>
        <v>P</v>
      </c>
      <c r="AC9" s="4" t="str">
        <f>IFERROR(LOOKUP(2,1/((lentry!$A$3:$A$3999=apr!$A9)*(lentry!$B$3:$B$3999&lt;=apr!AC$3)*(lentry!$C$3:$C$3999&gt;=apr!AC$3)),lentry!$D$3:$D$3999),IF(WEEKDAY(apr!AC$3,1)=1,"WO","P"))</f>
        <v>P</v>
      </c>
      <c r="AD9" s="4" t="str">
        <f>IFERROR(LOOKUP(2,1/((lentry!$A$3:$A$3999=apr!$A9)*(lentry!$B$3:$B$3999&lt;=apr!AD$3)*(lentry!$C$3:$C$3999&gt;=apr!AD$3)),lentry!$D$3:$D$3999),IF(WEEKDAY(apr!AD$3,1)=1,"WO","P"))</f>
        <v>P</v>
      </c>
      <c r="AE9" s="4" t="str">
        <f>IFERROR(LOOKUP(2,1/((lentry!$A$3:$A$3999=apr!$A9)*(lentry!$B$3:$B$3999&lt;=apr!AE$3)*(lentry!$C$3:$C$3999&gt;=apr!AE$3)),lentry!$D$3:$D$3999),IF(WEEKDAY(apr!AE$3,1)=1,"WO","P"))</f>
        <v>WO</v>
      </c>
      <c r="AF9" s="4" t="str">
        <f>IFERROR(LOOKUP(2,1/((lentry!$A$3:$A$3999=apr!$A9)*(lentry!$B$3:$B$3999&lt;=apr!AF$3)*(lentry!$C$3:$C$3999&gt;=apr!AF$3)),lentry!$D$3:$D$3999),IF(WEEKDAY(apr!AF$3,1)=1,"WO","P"))</f>
        <v>P</v>
      </c>
      <c r="AG9" s="4" t="str">
        <f>IFERROR(LOOKUP(2,1/((lentry!$A$3:$A$3999=apr!$A9)*(lentry!$B$3:$B$3999&lt;=apr!AG$3)*(lentry!$C$3:$C$3999&gt;=apr!AG$3)),lentry!$D$3:$D$3999),IF(WEEKDAY(apr!AG$3,1)=1,"WO","P"))</f>
        <v>P</v>
      </c>
      <c r="AH9" s="4" t="str">
        <f>IFERROR(LOOKUP(2,1/((lentry!$A$3:$A$3999=apr!$A9)*(lentry!$B$3:$B$3999&lt;=apr!AH$3)*(lentry!$C$3:$C$3999&gt;=apr!AH$3)),lentry!$D$3:$D$3999),IF(WEEKDAY(apr!AH$3,1)=1,"WO","P"))</f>
        <v>P</v>
      </c>
      <c r="AI9" s="4" t="str">
        <f>IFERROR(LOOKUP(2,1/((lentry!$A$3:$A$3999=apr!$A9)*(lentry!$B$3:$B$3999&lt;=apr!AI$3)*(lentry!$C$3:$C$3999&gt;=apr!AI$3)),lentry!$D$3:$D$3999),IF(WEEKDAY(apr!AI$3,1)=1,"WO","P"))</f>
        <v>P</v>
      </c>
      <c r="AJ9" s="5">
        <f>COUNTIF(apr!$F9:$AI9,"WO")</f>
        <v>4</v>
      </c>
      <c r="AK9" s="5">
        <f>COUNTIF(jan!$F9:$AJ9,"H")</f>
        <v>1</v>
      </c>
      <c r="AL9" s="5">
        <f>COUNTIF(jan!$F9:$AJ9,"PL")</f>
        <v>0</v>
      </c>
      <c r="AM9" s="5">
        <f>COUNTIF(jan!$F9:$AJ9,"LWP")</f>
        <v>0</v>
      </c>
      <c r="AN9" s="5">
        <f>COUNTIF(jan!$F9:$AJ9,"HD")</f>
        <v>0</v>
      </c>
      <c r="AO9" s="5">
        <f>COUNTIF(jan!$F9:$AJ9,"SL")</f>
        <v>0</v>
      </c>
      <c r="AP9" s="5">
        <f>COUNTIF(jan!$F9:$AJ9,"CL")</f>
        <v>0</v>
      </c>
      <c r="AQ9" s="5">
        <f>COUNTIF(jan!$F9:$AJ9,"A")</f>
        <v>1</v>
      </c>
      <c r="AR9" s="5">
        <f>COUNTIF(jan!$F9:$AJ9,"P")</f>
        <v>25</v>
      </c>
      <c r="AS9" s="5">
        <f t="shared" si="2"/>
        <v>30</v>
      </c>
      <c r="AT9" s="5">
        <f t="shared" si="3"/>
        <v>30</v>
      </c>
      <c r="AU9" s="4">
        <f>SUMIFS(holly!$L$2:$L$122,holly!$I$2:$I$122,mar!$A9,holly!$K$2:$K$122,"Mar")</f>
        <v>1</v>
      </c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</row>
    <row r="10" spans="1:77" ht="18.75" x14ac:dyDescent="0.3">
      <c r="A10" s="3" t="s">
        <v>20</v>
      </c>
      <c r="B10" s="3" t="str">
        <f>VLOOKUP($A10,Master!$A$2:$K$52,2,0)</f>
        <v>Employee6</v>
      </c>
      <c r="C10" s="3" t="str">
        <f>VLOOKUP($A10,Master!$A$2:$K$52,3,0)</f>
        <v>Female</v>
      </c>
      <c r="D10" s="3" t="str">
        <f>VLOOKUP($A10,Master!$A$2:$K$52,5,0)</f>
        <v>Sales</v>
      </c>
      <c r="E10" s="3" t="str">
        <f>VLOOKUP($A10,Master!$A$2:$K$52,6,0)</f>
        <v>Sales Officer</v>
      </c>
      <c r="F10" s="4" t="str">
        <f>IFERROR(LOOKUP(2,1/((lentry!$A$3:$A$3999=apr!$A10)*(lentry!$B$3:$B$3999&lt;=apr!F$3)*(lentry!$C$3:$C$3999&gt;=apr!F$3)),lentry!$D$3:$D$3999),IF(WEEKDAY(apr!F$3,1)=1,"WO","P"))</f>
        <v>P</v>
      </c>
      <c r="G10" s="4" t="str">
        <f>IFERROR(LOOKUP(2,1/((lentry!$A$3:$A$3999=apr!$A10)*(lentry!$B$3:$B$3999&lt;=apr!G$3)*(lentry!$C$3:$C$3999&gt;=apr!G$3)),lentry!$D$3:$D$3999),IF(WEEKDAY(apr!G$3,1)=1,"WO","P"))</f>
        <v>P</v>
      </c>
      <c r="H10" s="4" t="s">
        <v>350</v>
      </c>
      <c r="I10" s="4" t="str">
        <f>IFERROR(LOOKUP(2,1/((lentry!$A$3:$A$3999=apr!$A10)*(lentry!$B$3:$B$3999&lt;=apr!I$3)*(lentry!$C$3:$C$3999&gt;=apr!I$3)),lentry!$D$3:$D$3999),IF(WEEKDAY(apr!I$3,1)=1,"WO","P"))</f>
        <v>P</v>
      </c>
      <c r="J10" s="4" t="str">
        <f>IFERROR(LOOKUP(2,1/((lentry!$A$3:$A$3999=apr!$A10)*(lentry!$B$3:$B$3999&lt;=apr!J$3)*(lentry!$C$3:$C$3999&gt;=apr!J$3)),lentry!$D$3:$D$3999),IF(WEEKDAY(apr!J$3,1)=1,"WO","P"))</f>
        <v>WO</v>
      </c>
      <c r="K10" s="4" t="str">
        <f>IFERROR(LOOKUP(2,1/((lentry!$A$3:$A$3999=apr!$A10)*(lentry!$B$3:$B$3999&lt;=apr!K$3)*(lentry!$C$3:$C$3999&gt;=apr!K$3)),lentry!$D$3:$D$3999),IF(WEEKDAY(apr!K$3,1)=1,"WO","P"))</f>
        <v>P</v>
      </c>
      <c r="L10" s="4" t="str">
        <f>IFERROR(LOOKUP(2,1/((lentry!$A$3:$A$3999=apr!$A10)*(lentry!$B$3:$B$3999&lt;=apr!L$3)*(lentry!$C$3:$C$3999&gt;=apr!L$3)),lentry!$D$3:$D$3999),IF(WEEKDAY(apr!L$3,1)=1,"WO","P"))</f>
        <v>P</v>
      </c>
      <c r="M10" s="4" t="str">
        <f>IFERROR(LOOKUP(2,1/((lentry!$A$3:$A$3999=apr!$A10)*(lentry!$B$3:$B$3999&lt;=apr!M$3)*(lentry!$C$3:$C$3999&gt;=apr!M$3)),lentry!$D$3:$D$3999),IF(WEEKDAY(apr!M$3,1)=1,"WO","P"))</f>
        <v>P</v>
      </c>
      <c r="N10" s="4" t="str">
        <f>IFERROR(LOOKUP(2,1/((lentry!$A$3:$A$3999=apr!$A10)*(lentry!$B$3:$B$3999&lt;=apr!N$3)*(lentry!$C$3:$C$3999&gt;=apr!N$3)),lentry!$D$3:$D$3999),IF(WEEKDAY(apr!N$3,1)=1,"WO","P"))</f>
        <v>P</v>
      </c>
      <c r="O10" s="4" t="str">
        <f>IFERROR(LOOKUP(2,1/((lentry!$A$3:$A$3999=apr!$A10)*(lentry!$B$3:$B$3999&lt;=apr!O$3)*(lentry!$C$3:$C$3999&gt;=apr!O$3)),lentry!$D$3:$D$3999),IF(WEEKDAY(apr!O$3,1)=1,"WO","P"))</f>
        <v>P</v>
      </c>
      <c r="P10" s="4" t="str">
        <f>IFERROR(LOOKUP(2,1/((lentry!$A$3:$A$3999=apr!$A10)*(lentry!$B$3:$B$3999&lt;=apr!P$3)*(lentry!$C$3:$C$3999&gt;=apr!P$3)),lentry!$D$3:$D$3999),IF(WEEKDAY(apr!P$3,1)=1,"WO","P"))</f>
        <v>P</v>
      </c>
      <c r="Q10" s="4" t="str">
        <f>IFERROR(LOOKUP(2,1/((lentry!$A$3:$A$3999=apr!$A10)*(lentry!$B$3:$B$3999&lt;=apr!Q$3)*(lentry!$C$3:$C$3999&gt;=apr!Q$3)),lentry!$D$3:$D$3999),IF(WEEKDAY(apr!Q$3,1)=1,"WO","P"))</f>
        <v>WO</v>
      </c>
      <c r="R10" s="4" t="str">
        <f>IFERROR(LOOKUP(2,1/((lentry!$A$3:$A$3999=apr!$A10)*(lentry!$B$3:$B$3999&lt;=apr!R$3)*(lentry!$C$3:$C$3999&gt;=apr!R$3)),lentry!$D$3:$D$3999),IF(WEEKDAY(apr!R$3,1)=1,"WO","P"))</f>
        <v>P</v>
      </c>
      <c r="S10" s="4" t="s">
        <v>350</v>
      </c>
      <c r="T10" s="4" t="str">
        <f>IFERROR(LOOKUP(2,1/((lentry!$A$3:$A$3999=apr!$A10)*(lentry!$B$3:$B$3999&lt;=apr!T$3)*(lentry!$C$3:$C$3999&gt;=apr!T$3)),lentry!$D$3:$D$3999),IF(WEEKDAY(apr!T$3,1)=1,"WO","P"))</f>
        <v>P</v>
      </c>
      <c r="U10" s="4" t="str">
        <f>IFERROR(LOOKUP(2,1/((lentry!$A$3:$A$3999=apr!$A10)*(lentry!$B$3:$B$3999&lt;=apr!U$3)*(lentry!$C$3:$C$3999&gt;=apr!U$3)),lentry!$D$3:$D$3999),IF(WEEKDAY(apr!U$3,1)=1,"WO","P"))</f>
        <v>P</v>
      </c>
      <c r="V10" s="4" t="str">
        <f>IFERROR(LOOKUP(2,1/((lentry!$A$3:$A$3999=apr!$A10)*(lentry!$B$3:$B$3999&lt;=apr!V$3)*(lentry!$C$3:$C$3999&gt;=apr!V$3)),lentry!$D$3:$D$3999),IF(WEEKDAY(apr!V$3,1)=1,"WO","P"))</f>
        <v>P</v>
      </c>
      <c r="W10" s="4" t="str">
        <f>IFERROR(LOOKUP(2,1/((lentry!$A$3:$A$3999=apr!$A10)*(lentry!$B$3:$B$3999&lt;=apr!W$3)*(lentry!$C$3:$C$3999&gt;=apr!W$3)),lentry!$D$3:$D$3999),IF(WEEKDAY(apr!W$3,1)=1,"WO","P"))</f>
        <v>P</v>
      </c>
      <c r="X10" s="4" t="str">
        <f>IFERROR(LOOKUP(2,1/((lentry!$A$3:$A$3999=apr!$A10)*(lentry!$B$3:$B$3999&lt;=apr!X$3)*(lentry!$C$3:$C$3999&gt;=apr!X$3)),lentry!$D$3:$D$3999),IF(WEEKDAY(apr!X$3,1)=1,"WO","P"))</f>
        <v>WO</v>
      </c>
      <c r="Y10" s="4" t="str">
        <f>IFERROR(LOOKUP(2,1/((lentry!$A$3:$A$3999=apr!$A10)*(lentry!$B$3:$B$3999&lt;=apr!Y$3)*(lentry!$C$3:$C$3999&gt;=apr!Y$3)),lentry!$D$3:$D$3999),IF(WEEKDAY(apr!Y$3,1)=1,"WO","P"))</f>
        <v>P</v>
      </c>
      <c r="Z10" s="4" t="str">
        <f>IFERROR(LOOKUP(2,1/((lentry!$A$3:$A$3999=apr!$A10)*(lentry!$B$3:$B$3999&lt;=apr!Z$3)*(lentry!$C$3:$C$3999&gt;=apr!Z$3)),lentry!$D$3:$D$3999),IF(WEEKDAY(apr!Z$3,1)=1,"WO","P"))</f>
        <v>P</v>
      </c>
      <c r="AA10" s="4" t="str">
        <f>IFERROR(LOOKUP(2,1/((lentry!$A$3:$A$3999=apr!$A10)*(lentry!$B$3:$B$3999&lt;=apr!AA$3)*(lentry!$C$3:$C$3999&gt;=apr!AA$3)),lentry!$D$3:$D$3999),IF(WEEKDAY(apr!AA$3,1)=1,"WO","P"))</f>
        <v>P</v>
      </c>
      <c r="AB10" s="4" t="str">
        <f>IFERROR(LOOKUP(2,1/((lentry!$A$3:$A$3999=apr!$A10)*(lentry!$B$3:$B$3999&lt;=apr!AB$3)*(lentry!$C$3:$C$3999&gt;=apr!AB$3)),lentry!$D$3:$D$3999),IF(WEEKDAY(apr!AB$3,1)=1,"WO","P"))</f>
        <v>P</v>
      </c>
      <c r="AC10" s="4" t="str">
        <f>IFERROR(LOOKUP(2,1/((lentry!$A$3:$A$3999=apr!$A10)*(lentry!$B$3:$B$3999&lt;=apr!AC$3)*(lentry!$C$3:$C$3999&gt;=apr!AC$3)),lentry!$D$3:$D$3999),IF(WEEKDAY(apr!AC$3,1)=1,"WO","P"))</f>
        <v>P</v>
      </c>
      <c r="AD10" s="4" t="str">
        <f>IFERROR(LOOKUP(2,1/((lentry!$A$3:$A$3999=apr!$A10)*(lentry!$B$3:$B$3999&lt;=apr!AD$3)*(lentry!$C$3:$C$3999&gt;=apr!AD$3)),lentry!$D$3:$D$3999),IF(WEEKDAY(apr!AD$3,1)=1,"WO","P"))</f>
        <v>P</v>
      </c>
      <c r="AE10" s="4" t="str">
        <f>IFERROR(LOOKUP(2,1/((lentry!$A$3:$A$3999=apr!$A10)*(lentry!$B$3:$B$3999&lt;=apr!AE$3)*(lentry!$C$3:$C$3999&gt;=apr!AE$3)),lentry!$D$3:$D$3999),IF(WEEKDAY(apr!AE$3,1)=1,"WO","P"))</f>
        <v>WO</v>
      </c>
      <c r="AF10" s="4" t="str">
        <f>IFERROR(LOOKUP(2,1/((lentry!$A$3:$A$3999=apr!$A10)*(lentry!$B$3:$B$3999&lt;=apr!AF$3)*(lentry!$C$3:$C$3999&gt;=apr!AF$3)),lentry!$D$3:$D$3999),IF(WEEKDAY(apr!AF$3,1)=1,"WO","P"))</f>
        <v>P</v>
      </c>
      <c r="AG10" s="4" t="s">
        <v>539</v>
      </c>
      <c r="AH10" s="4" t="str">
        <f>IFERROR(LOOKUP(2,1/((lentry!$A$3:$A$3999=apr!$A10)*(lentry!$B$3:$B$3999&lt;=apr!AH$3)*(lentry!$C$3:$C$3999&gt;=apr!AH$3)),lentry!$D$3:$D$3999),IF(WEEKDAY(apr!AH$3,1)=1,"WO","P"))</f>
        <v>P</v>
      </c>
      <c r="AI10" s="4" t="str">
        <f>IFERROR(LOOKUP(2,1/((lentry!$A$3:$A$3999=apr!$A10)*(lentry!$B$3:$B$3999&lt;=apr!AI$3)*(lentry!$C$3:$C$3999&gt;=apr!AI$3)),lentry!$D$3:$D$3999),IF(WEEKDAY(apr!AI$3,1)=1,"WO","P"))</f>
        <v>P</v>
      </c>
      <c r="AJ10" s="5">
        <f>COUNTIF(apr!$F10:$AI10,"WO")</f>
        <v>4</v>
      </c>
      <c r="AK10" s="5">
        <f>COUNTIF(jan!$F10:$AJ10,"H")</f>
        <v>1</v>
      </c>
      <c r="AL10" s="5">
        <f>COUNTIF(jan!$F10:$AJ10,"PL")</f>
        <v>0</v>
      </c>
      <c r="AM10" s="5">
        <f>COUNTIF(jan!$F10:$AJ10,"LWP")</f>
        <v>0</v>
      </c>
      <c r="AN10" s="5">
        <f>COUNTIF(jan!$F10:$AJ10,"HD")</f>
        <v>0</v>
      </c>
      <c r="AO10" s="5">
        <f>COUNTIF(jan!$F10:$AJ10,"SL")</f>
        <v>0</v>
      </c>
      <c r="AP10" s="5">
        <f>COUNTIF(jan!$F10:$AJ10,"CL")</f>
        <v>0</v>
      </c>
      <c r="AQ10" s="5">
        <f>COUNTIF(jan!$F10:$AJ10,"A")</f>
        <v>0</v>
      </c>
      <c r="AR10" s="5">
        <f>COUNTIF(jan!$F10:$AJ10,"P")</f>
        <v>26</v>
      </c>
      <c r="AS10" s="5">
        <f t="shared" si="2"/>
        <v>30</v>
      </c>
      <c r="AT10" s="5">
        <f t="shared" si="3"/>
        <v>31</v>
      </c>
      <c r="AU10" s="4">
        <f>SUMIFS(holly!$L$2:$L$122,holly!$I$2:$I$122,mar!$A10,holly!$K$2:$K$122,"Mar")</f>
        <v>0</v>
      </c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</row>
    <row r="11" spans="1:77" ht="18.75" x14ac:dyDescent="0.3">
      <c r="A11" s="3" t="s">
        <v>23</v>
      </c>
      <c r="B11" s="3" t="str">
        <f>VLOOKUP($A11,Master!$A$2:$K$52,2,0)</f>
        <v>Employee7</v>
      </c>
      <c r="C11" s="3" t="str">
        <f>VLOOKUP($A11,Master!$A$2:$K$52,3,0)</f>
        <v>Male</v>
      </c>
      <c r="D11" s="3" t="str">
        <f>VLOOKUP($A11,Master!$A$2:$K$52,5,0)</f>
        <v>Production</v>
      </c>
      <c r="E11" s="3" t="str">
        <f>VLOOKUP($A11,Master!$A$2:$K$52,6,0)</f>
        <v>Senior Operator</v>
      </c>
      <c r="F11" s="4" t="str">
        <f>IFERROR(LOOKUP(2,1/((lentry!$A$3:$A$3999=apr!$A11)*(lentry!$B$3:$B$3999&lt;=apr!F$3)*(lentry!$C$3:$C$3999&gt;=apr!F$3)),lentry!$D$3:$D$3999),IF(WEEKDAY(apr!F$3,1)=1,"WO","P"))</f>
        <v>P</v>
      </c>
      <c r="G11" s="4" t="str">
        <f>IFERROR(LOOKUP(2,1/((lentry!$A$3:$A$3999=apr!$A11)*(lentry!$B$3:$B$3999&lt;=apr!G$3)*(lentry!$C$3:$C$3999&gt;=apr!G$3)),lentry!$D$3:$D$3999),IF(WEEKDAY(apr!G$3,1)=1,"WO","P"))</f>
        <v>P</v>
      </c>
      <c r="H11" s="4" t="s">
        <v>350</v>
      </c>
      <c r="I11" s="4" t="str">
        <f>IFERROR(LOOKUP(2,1/((lentry!$A$3:$A$3999=apr!$A11)*(lentry!$B$3:$B$3999&lt;=apr!I$3)*(lentry!$C$3:$C$3999&gt;=apr!I$3)),lentry!$D$3:$D$3999),IF(WEEKDAY(apr!I$3,1)=1,"WO","P"))</f>
        <v>P</v>
      </c>
      <c r="J11" s="4" t="str">
        <f>IFERROR(LOOKUP(2,1/((lentry!$A$3:$A$3999=apr!$A11)*(lentry!$B$3:$B$3999&lt;=apr!J$3)*(lentry!$C$3:$C$3999&gt;=apr!J$3)),lentry!$D$3:$D$3999),IF(WEEKDAY(apr!J$3,1)=1,"WO","P"))</f>
        <v>WO</v>
      </c>
      <c r="K11" s="4" t="str">
        <f>IFERROR(LOOKUP(2,1/((lentry!$A$3:$A$3999=apr!$A11)*(lentry!$B$3:$B$3999&lt;=apr!K$3)*(lentry!$C$3:$C$3999&gt;=apr!K$3)),lentry!$D$3:$D$3999),IF(WEEKDAY(apr!K$3,1)=1,"WO","P"))</f>
        <v>P</v>
      </c>
      <c r="L11" s="4" t="str">
        <f>IFERROR(LOOKUP(2,1/((lentry!$A$3:$A$3999=apr!$A11)*(lentry!$B$3:$B$3999&lt;=apr!L$3)*(lentry!$C$3:$C$3999&gt;=apr!L$3)),lentry!$D$3:$D$3999),IF(WEEKDAY(apr!L$3,1)=1,"WO","P"))</f>
        <v>P</v>
      </c>
      <c r="M11" s="4" t="str">
        <f>IFERROR(LOOKUP(2,1/((lentry!$A$3:$A$3999=apr!$A11)*(lentry!$B$3:$B$3999&lt;=apr!M$3)*(lentry!$C$3:$C$3999&gt;=apr!M$3)),lentry!$D$3:$D$3999),IF(WEEKDAY(apr!M$3,1)=1,"WO","P"))</f>
        <v>P</v>
      </c>
      <c r="N11" s="4" t="str">
        <f>IFERROR(LOOKUP(2,1/((lentry!$A$3:$A$3999=apr!$A11)*(lentry!$B$3:$B$3999&lt;=apr!N$3)*(lentry!$C$3:$C$3999&gt;=apr!N$3)),lentry!$D$3:$D$3999),IF(WEEKDAY(apr!N$3,1)=1,"WO","P"))</f>
        <v>P</v>
      </c>
      <c r="O11" s="4" t="str">
        <f>IFERROR(LOOKUP(2,1/((lentry!$A$3:$A$3999=apr!$A11)*(lentry!$B$3:$B$3999&lt;=apr!O$3)*(lentry!$C$3:$C$3999&gt;=apr!O$3)),lentry!$D$3:$D$3999),IF(WEEKDAY(apr!O$3,1)=1,"WO","P"))</f>
        <v>P</v>
      </c>
      <c r="P11" s="4" t="str">
        <f>IFERROR(LOOKUP(2,1/((lentry!$A$3:$A$3999=apr!$A11)*(lentry!$B$3:$B$3999&lt;=apr!P$3)*(lentry!$C$3:$C$3999&gt;=apr!P$3)),lentry!$D$3:$D$3999),IF(WEEKDAY(apr!P$3,1)=1,"WO","P"))</f>
        <v>P</v>
      </c>
      <c r="Q11" s="4" t="str">
        <f>IFERROR(LOOKUP(2,1/((lentry!$A$3:$A$3999=apr!$A11)*(lentry!$B$3:$B$3999&lt;=apr!Q$3)*(lentry!$C$3:$C$3999&gt;=apr!Q$3)),lentry!$D$3:$D$3999),IF(WEEKDAY(apr!Q$3,1)=1,"WO","P"))</f>
        <v>WO</v>
      </c>
      <c r="R11" s="4" t="str">
        <f>IFERROR(LOOKUP(2,1/((lentry!$A$3:$A$3999=apr!$A11)*(lentry!$B$3:$B$3999&lt;=apr!R$3)*(lentry!$C$3:$C$3999&gt;=apr!R$3)),lentry!$D$3:$D$3999),IF(WEEKDAY(apr!R$3,1)=1,"WO","P"))</f>
        <v>P</v>
      </c>
      <c r="S11" s="4" t="s">
        <v>350</v>
      </c>
      <c r="T11" s="4" t="str">
        <f>IFERROR(LOOKUP(2,1/((lentry!$A$3:$A$3999=apr!$A11)*(lentry!$B$3:$B$3999&lt;=apr!T$3)*(lentry!$C$3:$C$3999&gt;=apr!T$3)),lentry!$D$3:$D$3999),IF(WEEKDAY(apr!T$3,1)=1,"WO","P"))</f>
        <v>P</v>
      </c>
      <c r="U11" s="4" t="str">
        <f>IFERROR(LOOKUP(2,1/((lentry!$A$3:$A$3999=apr!$A11)*(lentry!$B$3:$B$3999&lt;=apr!U$3)*(lentry!$C$3:$C$3999&gt;=apr!U$3)),lentry!$D$3:$D$3999),IF(WEEKDAY(apr!U$3,1)=1,"WO","P"))</f>
        <v>P</v>
      </c>
      <c r="V11" s="4" t="str">
        <f>IFERROR(LOOKUP(2,1/((lentry!$A$3:$A$3999=apr!$A11)*(lentry!$B$3:$B$3999&lt;=apr!V$3)*(lentry!$C$3:$C$3999&gt;=apr!V$3)),lentry!$D$3:$D$3999),IF(WEEKDAY(apr!V$3,1)=1,"WO","P"))</f>
        <v>P</v>
      </c>
      <c r="W11" s="4" t="str">
        <f>IFERROR(LOOKUP(2,1/((lentry!$A$3:$A$3999=apr!$A11)*(lentry!$B$3:$B$3999&lt;=apr!W$3)*(lentry!$C$3:$C$3999&gt;=apr!W$3)),lentry!$D$3:$D$3999),IF(WEEKDAY(apr!W$3,1)=1,"WO","P"))</f>
        <v>P</v>
      </c>
      <c r="X11" s="4" t="str">
        <f>IFERROR(LOOKUP(2,1/((lentry!$A$3:$A$3999=apr!$A11)*(lentry!$B$3:$B$3999&lt;=apr!X$3)*(lentry!$C$3:$C$3999&gt;=apr!X$3)),lentry!$D$3:$D$3999),IF(WEEKDAY(apr!X$3,1)=1,"WO","P"))</f>
        <v>WO</v>
      </c>
      <c r="Y11" s="4" t="str">
        <f>IFERROR(LOOKUP(2,1/((lentry!$A$3:$A$3999=apr!$A11)*(lentry!$B$3:$B$3999&lt;=apr!Y$3)*(lentry!$C$3:$C$3999&gt;=apr!Y$3)),lentry!$D$3:$D$3999),IF(WEEKDAY(apr!Y$3,1)=1,"WO","P"))</f>
        <v>P</v>
      </c>
      <c r="Z11" s="4" t="str">
        <f>IFERROR(LOOKUP(2,1/((lentry!$A$3:$A$3999=apr!$A11)*(lentry!$B$3:$B$3999&lt;=apr!Z$3)*(lentry!$C$3:$C$3999&gt;=apr!Z$3)),lentry!$D$3:$D$3999),IF(WEEKDAY(apr!Z$3,1)=1,"WO","P"))</f>
        <v>P</v>
      </c>
      <c r="AA11" s="4" t="str">
        <f>IFERROR(LOOKUP(2,1/((lentry!$A$3:$A$3999=apr!$A11)*(lentry!$B$3:$B$3999&lt;=apr!AA$3)*(lentry!$C$3:$C$3999&gt;=apr!AA$3)),lentry!$D$3:$D$3999),IF(WEEKDAY(apr!AA$3,1)=1,"WO","P"))</f>
        <v>P</v>
      </c>
      <c r="AB11" s="4" t="str">
        <f>IFERROR(LOOKUP(2,1/((lentry!$A$3:$A$3999=apr!$A11)*(lentry!$B$3:$B$3999&lt;=apr!AB$3)*(lentry!$C$3:$C$3999&gt;=apr!AB$3)),lentry!$D$3:$D$3999),IF(WEEKDAY(apr!AB$3,1)=1,"WO","P"))</f>
        <v>P</v>
      </c>
      <c r="AC11" s="4" t="str">
        <f>IFERROR(LOOKUP(2,1/((lentry!$A$3:$A$3999=apr!$A11)*(lentry!$B$3:$B$3999&lt;=apr!AC$3)*(lentry!$C$3:$C$3999&gt;=apr!AC$3)),lentry!$D$3:$D$3999),IF(WEEKDAY(apr!AC$3,1)=1,"WO","P"))</f>
        <v>P</v>
      </c>
      <c r="AD11" s="4" t="str">
        <f>IFERROR(LOOKUP(2,1/((lentry!$A$3:$A$3999=apr!$A11)*(lentry!$B$3:$B$3999&lt;=apr!AD$3)*(lentry!$C$3:$C$3999&gt;=apr!AD$3)),lentry!$D$3:$D$3999),IF(WEEKDAY(apr!AD$3,1)=1,"WO","P"))</f>
        <v>P</v>
      </c>
      <c r="AE11" s="4" t="str">
        <f>IFERROR(LOOKUP(2,1/((lentry!$A$3:$A$3999=apr!$A11)*(lentry!$B$3:$B$3999&lt;=apr!AE$3)*(lentry!$C$3:$C$3999&gt;=apr!AE$3)),lentry!$D$3:$D$3999),IF(WEEKDAY(apr!AE$3,1)=1,"WO","P"))</f>
        <v>WO</v>
      </c>
      <c r="AF11" s="4" t="str">
        <f>IFERROR(LOOKUP(2,1/((lentry!$A$3:$A$3999=apr!$A11)*(lentry!$B$3:$B$3999&lt;=apr!AF$3)*(lentry!$C$3:$C$3999&gt;=apr!AF$3)),lentry!$D$3:$D$3999),IF(WEEKDAY(apr!AF$3,1)=1,"WO","P"))</f>
        <v>P</v>
      </c>
      <c r="AG11" s="4" t="str">
        <f>IFERROR(LOOKUP(2,1/((lentry!$A$3:$A$3999=apr!$A11)*(lentry!$B$3:$B$3999&lt;=apr!AG$3)*(lentry!$C$3:$C$3999&gt;=apr!AG$3)),lentry!$D$3:$D$3999),IF(WEEKDAY(apr!AG$3,1)=1,"WO","P"))</f>
        <v>P</v>
      </c>
      <c r="AH11" s="4" t="str">
        <f>IFERROR(LOOKUP(2,1/((lentry!$A$3:$A$3999=apr!$A11)*(lentry!$B$3:$B$3999&lt;=apr!AH$3)*(lentry!$C$3:$C$3999&gt;=apr!AH$3)),lentry!$D$3:$D$3999),IF(WEEKDAY(apr!AH$3,1)=1,"WO","P"))</f>
        <v>P</v>
      </c>
      <c r="AI11" s="4" t="str">
        <f>IFERROR(LOOKUP(2,1/((lentry!$A$3:$A$3999=apr!$A11)*(lentry!$B$3:$B$3999&lt;=apr!AI$3)*(lentry!$C$3:$C$3999&gt;=apr!AI$3)),lentry!$D$3:$D$3999),IF(WEEKDAY(apr!AI$3,1)=1,"WO","P"))</f>
        <v>P</v>
      </c>
      <c r="AJ11" s="5">
        <f>COUNTIF(apr!$F11:$AI11,"WO")</f>
        <v>4</v>
      </c>
      <c r="AK11" s="5">
        <f>COUNTIF(jan!$F11:$AJ11,"H")</f>
        <v>1</v>
      </c>
      <c r="AL11" s="5">
        <f>COUNTIF(jan!$F11:$AJ11,"PL")</f>
        <v>0</v>
      </c>
      <c r="AM11" s="5">
        <f>COUNTIF(jan!$F11:$AJ11,"LWP")</f>
        <v>0</v>
      </c>
      <c r="AN11" s="5">
        <f>COUNTIF(jan!$F11:$AJ11,"HD")</f>
        <v>0</v>
      </c>
      <c r="AO11" s="5">
        <f>COUNTIF(jan!$F11:$AJ11,"SL")</f>
        <v>0</v>
      </c>
      <c r="AP11" s="5">
        <f>COUNTIF(jan!$F11:$AJ11,"CL")</f>
        <v>2</v>
      </c>
      <c r="AQ11" s="5">
        <f>COUNTIF(jan!$F11:$AJ11,"A")</f>
        <v>0</v>
      </c>
      <c r="AR11" s="5">
        <f>COUNTIF(jan!$F11:$AJ11,"P")</f>
        <v>24</v>
      </c>
      <c r="AS11" s="5">
        <f t="shared" si="2"/>
        <v>30</v>
      </c>
      <c r="AT11" s="5">
        <f t="shared" si="3"/>
        <v>31</v>
      </c>
      <c r="AU11" s="4">
        <f>SUMIFS(holly!$L$2:$L$122,holly!$I$2:$I$122,mar!$A11,holly!$K$2:$K$122,"Mar")</f>
        <v>0</v>
      </c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</row>
    <row r="12" spans="1:77" ht="18.75" x14ac:dyDescent="0.3">
      <c r="A12" s="3" t="s">
        <v>24</v>
      </c>
      <c r="B12" s="3" t="str">
        <f>VLOOKUP($A12,Master!$A$2:$K$52,2,0)</f>
        <v>Employee8</v>
      </c>
      <c r="C12" s="3" t="str">
        <f>VLOOKUP($A12,Master!$A$2:$K$52,3,0)</f>
        <v>Male</v>
      </c>
      <c r="D12" s="3" t="str">
        <f>VLOOKUP($A12,Master!$A$2:$K$52,5,0)</f>
        <v>Production</v>
      </c>
      <c r="E12" s="3" t="str">
        <f>VLOOKUP($A12,Master!$A$2:$K$52,6,0)</f>
        <v>Supervisor</v>
      </c>
      <c r="F12" s="4" t="str">
        <f>IFERROR(LOOKUP(2,1/((lentry!$A$3:$A$3999=apr!$A12)*(lentry!$B$3:$B$3999&lt;=apr!F$3)*(lentry!$C$3:$C$3999&gt;=apr!F$3)),lentry!$D$3:$D$3999),IF(WEEKDAY(apr!F$3,1)=1,"WO","P"))</f>
        <v>P</v>
      </c>
      <c r="G12" s="4" t="str">
        <f>IFERROR(LOOKUP(2,1/((lentry!$A$3:$A$3999=apr!$A12)*(lentry!$B$3:$B$3999&lt;=apr!G$3)*(lentry!$C$3:$C$3999&gt;=apr!G$3)),lentry!$D$3:$D$3999),IF(WEEKDAY(apr!G$3,1)=1,"WO","P"))</f>
        <v>P</v>
      </c>
      <c r="H12" s="4" t="s">
        <v>350</v>
      </c>
      <c r="I12" s="4" t="str">
        <f>IFERROR(LOOKUP(2,1/((lentry!$A$3:$A$3999=apr!$A12)*(lentry!$B$3:$B$3999&lt;=apr!I$3)*(lentry!$C$3:$C$3999&gt;=apr!I$3)),lentry!$D$3:$D$3999),IF(WEEKDAY(apr!I$3,1)=1,"WO","P"))</f>
        <v>P</v>
      </c>
      <c r="J12" s="4" t="str">
        <f>IFERROR(LOOKUP(2,1/((lentry!$A$3:$A$3999=apr!$A12)*(lentry!$B$3:$B$3999&lt;=apr!J$3)*(lentry!$C$3:$C$3999&gt;=apr!J$3)),lentry!$D$3:$D$3999),IF(WEEKDAY(apr!J$3,1)=1,"WO","P"))</f>
        <v>WO</v>
      </c>
      <c r="K12" s="4" t="str">
        <f>IFERROR(LOOKUP(2,1/((lentry!$A$3:$A$3999=apr!$A12)*(lentry!$B$3:$B$3999&lt;=apr!K$3)*(lentry!$C$3:$C$3999&gt;=apr!K$3)),lentry!$D$3:$D$3999),IF(WEEKDAY(apr!K$3,1)=1,"WO","P"))</f>
        <v>P</v>
      </c>
      <c r="L12" s="4" t="str">
        <f>IFERROR(LOOKUP(2,1/((lentry!$A$3:$A$3999=apr!$A12)*(lentry!$B$3:$B$3999&lt;=apr!L$3)*(lentry!$C$3:$C$3999&gt;=apr!L$3)),lentry!$D$3:$D$3999),IF(WEEKDAY(apr!L$3,1)=1,"WO","P"))</f>
        <v>P</v>
      </c>
      <c r="M12" s="4" t="str">
        <f>IFERROR(LOOKUP(2,1/((lentry!$A$3:$A$3999=apr!$A12)*(lentry!$B$3:$B$3999&lt;=apr!M$3)*(lentry!$C$3:$C$3999&gt;=apr!M$3)),lentry!$D$3:$D$3999),IF(WEEKDAY(apr!M$3,1)=1,"WO","P"))</f>
        <v>P</v>
      </c>
      <c r="N12" s="4" t="str">
        <f>IFERROR(LOOKUP(2,1/((lentry!$A$3:$A$3999=apr!$A12)*(lentry!$B$3:$B$3999&lt;=apr!N$3)*(lentry!$C$3:$C$3999&gt;=apr!N$3)),lentry!$D$3:$D$3999),IF(WEEKDAY(apr!N$3,1)=1,"WO","P"))</f>
        <v>PL</v>
      </c>
      <c r="O12" s="4" t="str">
        <f>IFERROR(LOOKUP(2,1/((lentry!$A$3:$A$3999=apr!$A12)*(lentry!$B$3:$B$3999&lt;=apr!O$3)*(lentry!$C$3:$C$3999&gt;=apr!O$3)),lentry!$D$3:$D$3999),IF(WEEKDAY(apr!O$3,1)=1,"WO","P"))</f>
        <v>P</v>
      </c>
      <c r="P12" s="4" t="str">
        <f>IFERROR(LOOKUP(2,1/((lentry!$A$3:$A$3999=apr!$A12)*(lentry!$B$3:$B$3999&lt;=apr!P$3)*(lentry!$C$3:$C$3999&gt;=apr!P$3)),lentry!$D$3:$D$3999),IF(WEEKDAY(apr!P$3,1)=1,"WO","P"))</f>
        <v>P</v>
      </c>
      <c r="Q12" s="4" t="str">
        <f>IFERROR(LOOKUP(2,1/((lentry!$A$3:$A$3999=apr!$A12)*(lentry!$B$3:$B$3999&lt;=apr!Q$3)*(lentry!$C$3:$C$3999&gt;=apr!Q$3)),lentry!$D$3:$D$3999),IF(WEEKDAY(apr!Q$3,1)=1,"WO","P"))</f>
        <v>WO</v>
      </c>
      <c r="R12" s="4" t="str">
        <f>IFERROR(LOOKUP(2,1/((lentry!$A$3:$A$3999=apr!$A12)*(lentry!$B$3:$B$3999&lt;=apr!R$3)*(lentry!$C$3:$C$3999&gt;=apr!R$3)),lentry!$D$3:$D$3999),IF(WEEKDAY(apr!R$3,1)=1,"WO","P"))</f>
        <v>P</v>
      </c>
      <c r="S12" s="4" t="s">
        <v>350</v>
      </c>
      <c r="T12" s="4" t="str">
        <f>IFERROR(LOOKUP(2,1/((lentry!$A$3:$A$3999=apr!$A12)*(lentry!$B$3:$B$3999&lt;=apr!T$3)*(lentry!$C$3:$C$3999&gt;=apr!T$3)),lentry!$D$3:$D$3999),IF(WEEKDAY(apr!T$3,1)=1,"WO","P"))</f>
        <v>P</v>
      </c>
      <c r="U12" s="4" t="s">
        <v>539</v>
      </c>
      <c r="V12" s="4" t="str">
        <f>IFERROR(LOOKUP(2,1/((lentry!$A$3:$A$3999=apr!$A12)*(lentry!$B$3:$B$3999&lt;=apr!V$3)*(lentry!$C$3:$C$3999&gt;=apr!V$3)),lentry!$D$3:$D$3999),IF(WEEKDAY(apr!V$3,1)=1,"WO","P"))</f>
        <v>P</v>
      </c>
      <c r="W12" s="4" t="str">
        <f>IFERROR(LOOKUP(2,1/((lentry!$A$3:$A$3999=apr!$A12)*(lentry!$B$3:$B$3999&lt;=apr!W$3)*(lentry!$C$3:$C$3999&gt;=apr!W$3)),lentry!$D$3:$D$3999),IF(WEEKDAY(apr!W$3,1)=1,"WO","P"))</f>
        <v>P</v>
      </c>
      <c r="X12" s="4" t="str">
        <f>IFERROR(LOOKUP(2,1/((lentry!$A$3:$A$3999=apr!$A12)*(lentry!$B$3:$B$3999&lt;=apr!X$3)*(lentry!$C$3:$C$3999&gt;=apr!X$3)),lentry!$D$3:$D$3999),IF(WEEKDAY(apr!X$3,1)=1,"WO","P"))</f>
        <v>WO</v>
      </c>
      <c r="Y12" s="4" t="str">
        <f>IFERROR(LOOKUP(2,1/((lentry!$A$3:$A$3999=apr!$A12)*(lentry!$B$3:$B$3999&lt;=apr!Y$3)*(lentry!$C$3:$C$3999&gt;=apr!Y$3)),lentry!$D$3:$D$3999),IF(WEEKDAY(apr!Y$3,1)=1,"WO","P"))</f>
        <v>P</v>
      </c>
      <c r="Z12" s="4" t="s">
        <v>539</v>
      </c>
      <c r="AA12" s="4" t="str">
        <f>IFERROR(LOOKUP(2,1/((lentry!$A$3:$A$3999=apr!$A12)*(lentry!$B$3:$B$3999&lt;=apr!AA$3)*(lentry!$C$3:$C$3999&gt;=apr!AA$3)),lentry!$D$3:$D$3999),IF(WEEKDAY(apr!AA$3,1)=1,"WO","P"))</f>
        <v>P</v>
      </c>
      <c r="AB12" s="4" t="str">
        <f>IFERROR(LOOKUP(2,1/((lentry!$A$3:$A$3999=apr!$A12)*(lentry!$B$3:$B$3999&lt;=apr!AB$3)*(lentry!$C$3:$C$3999&gt;=apr!AB$3)),lentry!$D$3:$D$3999),IF(WEEKDAY(apr!AB$3,1)=1,"WO","P"))</f>
        <v>P</v>
      </c>
      <c r="AC12" s="4" t="str">
        <f>IFERROR(LOOKUP(2,1/((lentry!$A$3:$A$3999=apr!$A12)*(lentry!$B$3:$B$3999&lt;=apr!AC$3)*(lentry!$C$3:$C$3999&gt;=apr!AC$3)),lentry!$D$3:$D$3999),IF(WEEKDAY(apr!AC$3,1)=1,"WO","P"))</f>
        <v>P</v>
      </c>
      <c r="AD12" s="4" t="str">
        <f>IFERROR(LOOKUP(2,1/((lentry!$A$3:$A$3999=apr!$A12)*(lentry!$B$3:$B$3999&lt;=apr!AD$3)*(lentry!$C$3:$C$3999&gt;=apr!AD$3)),lentry!$D$3:$D$3999),IF(WEEKDAY(apr!AD$3,1)=1,"WO","P"))</f>
        <v>P</v>
      </c>
      <c r="AE12" s="4" t="str">
        <f>IFERROR(LOOKUP(2,1/((lentry!$A$3:$A$3999=apr!$A12)*(lentry!$B$3:$B$3999&lt;=apr!AE$3)*(lentry!$C$3:$C$3999&gt;=apr!AE$3)),lentry!$D$3:$D$3999),IF(WEEKDAY(apr!AE$3,1)=1,"WO","P"))</f>
        <v>WO</v>
      </c>
      <c r="AF12" s="4" t="str">
        <f>IFERROR(LOOKUP(2,1/((lentry!$A$3:$A$3999=apr!$A12)*(lentry!$B$3:$B$3999&lt;=apr!AF$3)*(lentry!$C$3:$C$3999&gt;=apr!AF$3)),lentry!$D$3:$D$3999),IF(WEEKDAY(apr!AF$3,1)=1,"WO","P"))</f>
        <v>P</v>
      </c>
      <c r="AG12" s="4" t="str">
        <f>IFERROR(LOOKUP(2,1/((lentry!$A$3:$A$3999=apr!$A12)*(lentry!$B$3:$B$3999&lt;=apr!AG$3)*(lentry!$C$3:$C$3999&gt;=apr!AG$3)),lentry!$D$3:$D$3999),IF(WEEKDAY(apr!AG$3,1)=1,"WO","P"))</f>
        <v>P</v>
      </c>
      <c r="AH12" s="4" t="str">
        <f>IFERROR(LOOKUP(2,1/((lentry!$A$3:$A$3999=apr!$A12)*(lentry!$B$3:$B$3999&lt;=apr!AH$3)*(lentry!$C$3:$C$3999&gt;=apr!AH$3)),lentry!$D$3:$D$3999),IF(WEEKDAY(apr!AH$3,1)=1,"WO","P"))</f>
        <v>P</v>
      </c>
      <c r="AI12" s="4" t="str">
        <f>IFERROR(LOOKUP(2,1/((lentry!$A$3:$A$3999=apr!$A12)*(lentry!$B$3:$B$3999&lt;=apr!AI$3)*(lentry!$C$3:$C$3999&gt;=apr!AI$3)),lentry!$D$3:$D$3999),IF(WEEKDAY(apr!AI$3,1)=1,"WO","P"))</f>
        <v>P</v>
      </c>
      <c r="AJ12" s="5">
        <f>COUNTIF(apr!$F12:$AI12,"WO")</f>
        <v>4</v>
      </c>
      <c r="AK12" s="5">
        <f>COUNTIF(jan!$F12:$AJ12,"H")</f>
        <v>1</v>
      </c>
      <c r="AL12" s="5">
        <f>COUNTIF(jan!$F12:$AJ12,"PL")</f>
        <v>0</v>
      </c>
      <c r="AM12" s="5">
        <f>COUNTIF(jan!$F12:$AJ12,"LWP")</f>
        <v>0</v>
      </c>
      <c r="AN12" s="5">
        <f>COUNTIF(jan!$F12:$AJ12,"HD")</f>
        <v>0</v>
      </c>
      <c r="AO12" s="5">
        <f>COUNTIF(jan!$F12:$AJ12,"SL")</f>
        <v>0</v>
      </c>
      <c r="AP12" s="5">
        <f>COUNTIF(jan!$F12:$AJ12,"CL")</f>
        <v>0</v>
      </c>
      <c r="AQ12" s="5">
        <f>COUNTIF(jan!$F12:$AJ12,"A")</f>
        <v>2</v>
      </c>
      <c r="AR12" s="5">
        <f>COUNTIF(jan!$F12:$AJ12,"P")</f>
        <v>24</v>
      </c>
      <c r="AS12" s="5">
        <f t="shared" si="2"/>
        <v>30</v>
      </c>
      <c r="AT12" s="5">
        <f t="shared" si="3"/>
        <v>29</v>
      </c>
      <c r="AU12" s="4">
        <f>SUMIFS(holly!$L$2:$L$122,holly!$I$2:$I$122,mar!$A12,holly!$K$2:$K$122,"Mar")</f>
        <v>0</v>
      </c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</row>
    <row r="13" spans="1:77" ht="18.75" x14ac:dyDescent="0.3">
      <c r="A13" s="3" t="s">
        <v>26</v>
      </c>
      <c r="B13" s="3" t="str">
        <f>VLOOKUP($A13,Master!$A$2:$K$52,2,0)</f>
        <v>Employee9</v>
      </c>
      <c r="C13" s="3" t="str">
        <f>VLOOKUP($A13,Master!$A$2:$K$52,3,0)</f>
        <v>Female</v>
      </c>
      <c r="D13" s="3" t="str">
        <f>VLOOKUP($A13,Master!$A$2:$K$52,5,0)</f>
        <v>Maintenance</v>
      </c>
      <c r="E13" s="3" t="str">
        <f>VLOOKUP($A13,Master!$A$2:$K$52,6,0)</f>
        <v>Technician</v>
      </c>
      <c r="F13" s="4" t="str">
        <f>IFERROR(LOOKUP(2,1/((lentry!$A$3:$A$3999=apr!$A13)*(lentry!$B$3:$B$3999&lt;=apr!F$3)*(lentry!$C$3:$C$3999&gt;=apr!F$3)),lentry!$D$3:$D$3999),IF(WEEKDAY(apr!F$3,1)=1,"WO","P"))</f>
        <v>P</v>
      </c>
      <c r="G13" s="4" t="str">
        <f>IFERROR(LOOKUP(2,1/((lentry!$A$3:$A$3999=apr!$A13)*(lentry!$B$3:$B$3999&lt;=apr!G$3)*(lentry!$C$3:$C$3999&gt;=apr!G$3)),lentry!$D$3:$D$3999),IF(WEEKDAY(apr!G$3,1)=1,"WO","P"))</f>
        <v>P</v>
      </c>
      <c r="H13" s="4" t="s">
        <v>350</v>
      </c>
      <c r="I13" s="4" t="str">
        <f>IFERROR(LOOKUP(2,1/((lentry!$A$3:$A$3999=apr!$A13)*(lentry!$B$3:$B$3999&lt;=apr!I$3)*(lentry!$C$3:$C$3999&gt;=apr!I$3)),lentry!$D$3:$D$3999),IF(WEEKDAY(apr!I$3,1)=1,"WO","P"))</f>
        <v>P</v>
      </c>
      <c r="J13" s="4" t="str">
        <f>IFERROR(LOOKUP(2,1/((lentry!$A$3:$A$3999=apr!$A13)*(lentry!$B$3:$B$3999&lt;=apr!J$3)*(lentry!$C$3:$C$3999&gt;=apr!J$3)),lentry!$D$3:$D$3999),IF(WEEKDAY(apr!J$3,1)=1,"WO","P"))</f>
        <v>WO</v>
      </c>
      <c r="K13" s="4" t="str">
        <f>IFERROR(LOOKUP(2,1/((lentry!$A$3:$A$3999=apr!$A13)*(lentry!$B$3:$B$3999&lt;=apr!K$3)*(lentry!$C$3:$C$3999&gt;=apr!K$3)),lentry!$D$3:$D$3999),IF(WEEKDAY(apr!K$3,1)=1,"WO","P"))</f>
        <v>P</v>
      </c>
      <c r="L13" s="4" t="str">
        <f>IFERROR(LOOKUP(2,1/((lentry!$A$3:$A$3999=apr!$A13)*(lentry!$B$3:$B$3999&lt;=apr!L$3)*(lentry!$C$3:$C$3999&gt;=apr!L$3)),lentry!$D$3:$D$3999),IF(WEEKDAY(apr!L$3,1)=1,"WO","P"))</f>
        <v>P</v>
      </c>
      <c r="M13" s="4" t="str">
        <f>IFERROR(LOOKUP(2,1/((lentry!$A$3:$A$3999=apr!$A13)*(lentry!$B$3:$B$3999&lt;=apr!M$3)*(lentry!$C$3:$C$3999&gt;=apr!M$3)),lentry!$D$3:$D$3999),IF(WEEKDAY(apr!M$3,1)=1,"WO","P"))</f>
        <v>P</v>
      </c>
      <c r="N13" s="4" t="str">
        <f>IFERROR(LOOKUP(2,1/((lentry!$A$3:$A$3999=apr!$A13)*(lentry!$B$3:$B$3999&lt;=apr!N$3)*(lentry!$C$3:$C$3999&gt;=apr!N$3)),lentry!$D$3:$D$3999),IF(WEEKDAY(apr!N$3,1)=1,"WO","P"))</f>
        <v>P</v>
      </c>
      <c r="O13" s="4" t="str">
        <f>IFERROR(LOOKUP(2,1/((lentry!$A$3:$A$3999=apr!$A13)*(lentry!$B$3:$B$3999&lt;=apr!O$3)*(lentry!$C$3:$C$3999&gt;=apr!O$3)),lentry!$D$3:$D$3999),IF(WEEKDAY(apr!O$3,1)=1,"WO","P"))</f>
        <v>P</v>
      </c>
      <c r="P13" s="4" t="str">
        <f>IFERROR(LOOKUP(2,1/((lentry!$A$3:$A$3999=apr!$A13)*(lentry!$B$3:$B$3999&lt;=apr!P$3)*(lentry!$C$3:$C$3999&gt;=apr!P$3)),lentry!$D$3:$D$3999),IF(WEEKDAY(apr!P$3,1)=1,"WO","P"))</f>
        <v>P</v>
      </c>
      <c r="Q13" s="4" t="str">
        <f>IFERROR(LOOKUP(2,1/((lentry!$A$3:$A$3999=apr!$A13)*(lentry!$B$3:$B$3999&lt;=apr!Q$3)*(lentry!$C$3:$C$3999&gt;=apr!Q$3)),lentry!$D$3:$D$3999),IF(WEEKDAY(apr!Q$3,1)=1,"WO","P"))</f>
        <v>WO</v>
      </c>
      <c r="R13" s="4" t="str">
        <f>IFERROR(LOOKUP(2,1/((lentry!$A$3:$A$3999=apr!$A13)*(lentry!$B$3:$B$3999&lt;=apr!R$3)*(lentry!$C$3:$C$3999&gt;=apr!R$3)),lentry!$D$3:$D$3999),IF(WEEKDAY(apr!R$3,1)=1,"WO","P"))</f>
        <v>P</v>
      </c>
      <c r="S13" s="4" t="s">
        <v>350</v>
      </c>
      <c r="T13" s="4" t="str">
        <f>IFERROR(LOOKUP(2,1/((lentry!$A$3:$A$3999=apr!$A13)*(lentry!$B$3:$B$3999&lt;=apr!T$3)*(lentry!$C$3:$C$3999&gt;=apr!T$3)),lentry!$D$3:$D$3999),IF(WEEKDAY(apr!T$3,1)=1,"WO","P"))</f>
        <v>P</v>
      </c>
      <c r="U13" s="4" t="str">
        <f>IFERROR(LOOKUP(2,1/((lentry!$A$3:$A$3999=apr!$A13)*(lentry!$B$3:$B$3999&lt;=apr!U$3)*(lentry!$C$3:$C$3999&gt;=apr!U$3)),lentry!$D$3:$D$3999),IF(WEEKDAY(apr!U$3,1)=1,"WO","P"))</f>
        <v>P</v>
      </c>
      <c r="V13" s="4" t="str">
        <f>IFERROR(LOOKUP(2,1/((lentry!$A$3:$A$3999=apr!$A13)*(lentry!$B$3:$B$3999&lt;=apr!V$3)*(lentry!$C$3:$C$3999&gt;=apr!V$3)),lentry!$D$3:$D$3999),IF(WEEKDAY(apr!V$3,1)=1,"WO","P"))</f>
        <v>P</v>
      </c>
      <c r="W13" s="4" t="str">
        <f>IFERROR(LOOKUP(2,1/((lentry!$A$3:$A$3999=apr!$A13)*(lentry!$B$3:$B$3999&lt;=apr!W$3)*(lentry!$C$3:$C$3999&gt;=apr!W$3)),lentry!$D$3:$D$3999),IF(WEEKDAY(apr!W$3,1)=1,"WO","P"))</f>
        <v>P</v>
      </c>
      <c r="X13" s="4" t="str">
        <f>IFERROR(LOOKUP(2,1/((lentry!$A$3:$A$3999=apr!$A13)*(lentry!$B$3:$B$3999&lt;=apr!X$3)*(lentry!$C$3:$C$3999&gt;=apr!X$3)),lentry!$D$3:$D$3999),IF(WEEKDAY(apr!X$3,1)=1,"WO","P"))</f>
        <v>WO</v>
      </c>
      <c r="Y13" s="4" t="str">
        <f>IFERROR(LOOKUP(2,1/((lentry!$A$3:$A$3999=apr!$A13)*(lentry!$B$3:$B$3999&lt;=apr!Y$3)*(lentry!$C$3:$C$3999&gt;=apr!Y$3)),lentry!$D$3:$D$3999),IF(WEEKDAY(apr!Y$3,1)=1,"WO","P"))</f>
        <v>P</v>
      </c>
      <c r="Z13" s="4" t="str">
        <f>IFERROR(LOOKUP(2,1/((lentry!$A$3:$A$3999=apr!$A13)*(lentry!$B$3:$B$3999&lt;=apr!Z$3)*(lentry!$C$3:$C$3999&gt;=apr!Z$3)),lentry!$D$3:$D$3999),IF(WEEKDAY(apr!Z$3,1)=1,"WO","P"))</f>
        <v>P</v>
      </c>
      <c r="AA13" s="4" t="str">
        <f>IFERROR(LOOKUP(2,1/((lentry!$A$3:$A$3999=apr!$A13)*(lentry!$B$3:$B$3999&lt;=apr!AA$3)*(lentry!$C$3:$C$3999&gt;=apr!AA$3)),lentry!$D$3:$D$3999),IF(WEEKDAY(apr!AA$3,1)=1,"WO","P"))</f>
        <v>P</v>
      </c>
      <c r="AB13" s="4" t="str">
        <f>IFERROR(LOOKUP(2,1/((lentry!$A$3:$A$3999=apr!$A13)*(lentry!$B$3:$B$3999&lt;=apr!AB$3)*(lentry!$C$3:$C$3999&gt;=apr!AB$3)),lentry!$D$3:$D$3999),IF(WEEKDAY(apr!AB$3,1)=1,"WO","P"))</f>
        <v>P</v>
      </c>
      <c r="AC13" s="4" t="str">
        <f>IFERROR(LOOKUP(2,1/((lentry!$A$3:$A$3999=apr!$A13)*(lentry!$B$3:$B$3999&lt;=apr!AC$3)*(lentry!$C$3:$C$3999&gt;=apr!AC$3)),lentry!$D$3:$D$3999),IF(WEEKDAY(apr!AC$3,1)=1,"WO","P"))</f>
        <v>P</v>
      </c>
      <c r="AD13" s="4" t="str">
        <f>IFERROR(LOOKUP(2,1/((lentry!$A$3:$A$3999=apr!$A13)*(lentry!$B$3:$B$3999&lt;=apr!AD$3)*(lentry!$C$3:$C$3999&gt;=apr!AD$3)),lentry!$D$3:$D$3999),IF(WEEKDAY(apr!AD$3,1)=1,"WO","P"))</f>
        <v>P</v>
      </c>
      <c r="AE13" s="4" t="str">
        <f>IFERROR(LOOKUP(2,1/((lentry!$A$3:$A$3999=apr!$A13)*(lentry!$B$3:$B$3999&lt;=apr!AE$3)*(lentry!$C$3:$C$3999&gt;=apr!AE$3)),lentry!$D$3:$D$3999),IF(WEEKDAY(apr!AE$3,1)=1,"WO","P"))</f>
        <v>WO</v>
      </c>
      <c r="AF13" s="4" t="str">
        <f>IFERROR(LOOKUP(2,1/((lentry!$A$3:$A$3999=apr!$A13)*(lentry!$B$3:$B$3999&lt;=apr!AF$3)*(lentry!$C$3:$C$3999&gt;=apr!AF$3)),lentry!$D$3:$D$3999),IF(WEEKDAY(apr!AF$3,1)=1,"WO","P"))</f>
        <v>P</v>
      </c>
      <c r="AG13" s="4" t="str">
        <f>IFERROR(LOOKUP(2,1/((lentry!$A$3:$A$3999=apr!$A13)*(lentry!$B$3:$B$3999&lt;=apr!AG$3)*(lentry!$C$3:$C$3999&gt;=apr!AG$3)),lentry!$D$3:$D$3999),IF(WEEKDAY(apr!AG$3,1)=1,"WO","P"))</f>
        <v>P</v>
      </c>
      <c r="AH13" s="4" t="str">
        <f>IFERROR(LOOKUP(2,1/((lentry!$A$3:$A$3999=apr!$A13)*(lentry!$B$3:$B$3999&lt;=apr!AH$3)*(lentry!$C$3:$C$3999&gt;=apr!AH$3)),lentry!$D$3:$D$3999),IF(WEEKDAY(apr!AH$3,1)=1,"WO","P"))</f>
        <v>P</v>
      </c>
      <c r="AI13" s="4" t="str">
        <f>IFERROR(LOOKUP(2,1/((lentry!$A$3:$A$3999=apr!$A13)*(lentry!$B$3:$B$3999&lt;=apr!AI$3)*(lentry!$C$3:$C$3999&gt;=apr!AI$3)),lentry!$D$3:$D$3999),IF(WEEKDAY(apr!AI$3,1)=1,"WO","P"))</f>
        <v>P</v>
      </c>
      <c r="AJ13" s="5">
        <f>COUNTIF(apr!$F13:$AI13,"WO")</f>
        <v>4</v>
      </c>
      <c r="AK13" s="5">
        <f>COUNTIF(jan!$F13:$AJ13,"H")</f>
        <v>1</v>
      </c>
      <c r="AL13" s="5">
        <f>COUNTIF(jan!$F13:$AJ13,"PL")</f>
        <v>1</v>
      </c>
      <c r="AM13" s="5">
        <f>COUNTIF(jan!$F13:$AJ13,"LWP")</f>
        <v>0</v>
      </c>
      <c r="AN13" s="5">
        <f>COUNTIF(jan!$F13:$AJ13,"HD")</f>
        <v>0</v>
      </c>
      <c r="AO13" s="5">
        <f>COUNTIF(jan!$F13:$AJ13,"SL")</f>
        <v>0</v>
      </c>
      <c r="AP13" s="5">
        <f>COUNTIF(jan!$F13:$AJ13,"CL")</f>
        <v>0</v>
      </c>
      <c r="AQ13" s="5">
        <f>COUNTIF(jan!$F13:$AJ13,"A")</f>
        <v>0</v>
      </c>
      <c r="AR13" s="5">
        <f>COUNTIF(jan!$F13:$AJ13,"P")</f>
        <v>25</v>
      </c>
      <c r="AS13" s="5">
        <f t="shared" si="2"/>
        <v>30</v>
      </c>
      <c r="AT13" s="5">
        <f t="shared" si="3"/>
        <v>31</v>
      </c>
      <c r="AU13" s="4">
        <f>SUMIFS(holly!$L$2:$L$122,holly!$I$2:$I$122,mar!$A13,holly!$K$2:$K$122,"Mar")</f>
        <v>0</v>
      </c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</row>
    <row r="14" spans="1:77" ht="18.75" x14ac:dyDescent="0.3">
      <c r="A14" s="3" t="s">
        <v>30</v>
      </c>
      <c r="B14" s="3" t="str">
        <f>VLOOKUP($A14,Master!$A$2:$K$52,2,0)</f>
        <v>Employee10</v>
      </c>
      <c r="C14" s="3" t="str">
        <f>VLOOKUP($A14,Master!$A$2:$K$52,3,0)</f>
        <v>Male</v>
      </c>
      <c r="D14" s="3" t="str">
        <f>VLOOKUP($A14,Master!$A$2:$K$52,5,0)</f>
        <v>Warehouse</v>
      </c>
      <c r="E14" s="3" t="str">
        <f>VLOOKUP($A14,Master!$A$2:$K$52,6,0)</f>
        <v>Store Assistant</v>
      </c>
      <c r="F14" s="4" t="str">
        <f>IFERROR(LOOKUP(2,1/((lentry!$A$3:$A$3999=apr!$A14)*(lentry!$B$3:$B$3999&lt;=apr!F$3)*(lentry!$C$3:$C$3999&gt;=apr!F$3)),lentry!$D$3:$D$3999),IF(WEEKDAY(apr!F$3,1)=1,"WO","P"))</f>
        <v>P</v>
      </c>
      <c r="G14" s="4" t="str">
        <f>IFERROR(LOOKUP(2,1/((lentry!$A$3:$A$3999=apr!$A14)*(lentry!$B$3:$B$3999&lt;=apr!G$3)*(lentry!$C$3:$C$3999&gt;=apr!G$3)),lentry!$D$3:$D$3999),IF(WEEKDAY(apr!G$3,1)=1,"WO","P"))</f>
        <v>P</v>
      </c>
      <c r="H14" s="4" t="s">
        <v>350</v>
      </c>
      <c r="I14" s="4" t="str">
        <f>IFERROR(LOOKUP(2,1/((lentry!$A$3:$A$3999=apr!$A14)*(lentry!$B$3:$B$3999&lt;=apr!I$3)*(lentry!$C$3:$C$3999&gt;=apr!I$3)),lentry!$D$3:$D$3999),IF(WEEKDAY(apr!I$3,1)=1,"WO","P"))</f>
        <v>P</v>
      </c>
      <c r="J14" s="4" t="str">
        <f>IFERROR(LOOKUP(2,1/((lentry!$A$3:$A$3999=apr!$A14)*(lentry!$B$3:$B$3999&lt;=apr!J$3)*(lentry!$C$3:$C$3999&gt;=apr!J$3)),lentry!$D$3:$D$3999),IF(WEEKDAY(apr!J$3,1)=1,"WO","P"))</f>
        <v>WO</v>
      </c>
      <c r="K14" s="4" t="str">
        <f>IFERROR(LOOKUP(2,1/((lentry!$A$3:$A$3999=apr!$A14)*(lentry!$B$3:$B$3999&lt;=apr!K$3)*(lentry!$C$3:$C$3999&gt;=apr!K$3)),lentry!$D$3:$D$3999),IF(WEEKDAY(apr!K$3,1)=1,"WO","P"))</f>
        <v>P</v>
      </c>
      <c r="L14" s="4" t="str">
        <f>IFERROR(LOOKUP(2,1/((lentry!$A$3:$A$3999=apr!$A14)*(lentry!$B$3:$B$3999&lt;=apr!L$3)*(lentry!$C$3:$C$3999&gt;=apr!L$3)),lentry!$D$3:$D$3999),IF(WEEKDAY(apr!L$3,1)=1,"WO","P"))</f>
        <v>P</v>
      </c>
      <c r="M14" s="4" t="str">
        <f>IFERROR(LOOKUP(2,1/((lentry!$A$3:$A$3999=apr!$A14)*(lentry!$B$3:$B$3999&lt;=apr!M$3)*(lentry!$C$3:$C$3999&gt;=apr!M$3)),lentry!$D$3:$D$3999),IF(WEEKDAY(apr!M$3,1)=1,"WO","P"))</f>
        <v>P</v>
      </c>
      <c r="N14" s="4" t="str">
        <f>IFERROR(LOOKUP(2,1/((lentry!$A$3:$A$3999=apr!$A14)*(lentry!$B$3:$B$3999&lt;=apr!N$3)*(lentry!$C$3:$C$3999&gt;=apr!N$3)),lentry!$D$3:$D$3999),IF(WEEKDAY(apr!N$3,1)=1,"WO","P"))</f>
        <v>P</v>
      </c>
      <c r="O14" s="4" t="str">
        <f>IFERROR(LOOKUP(2,1/((lentry!$A$3:$A$3999=apr!$A14)*(lentry!$B$3:$B$3999&lt;=apr!O$3)*(lentry!$C$3:$C$3999&gt;=apr!O$3)),lentry!$D$3:$D$3999),IF(WEEKDAY(apr!O$3,1)=1,"WO","P"))</f>
        <v>P</v>
      </c>
      <c r="P14" s="4" t="str">
        <f>IFERROR(LOOKUP(2,1/((lentry!$A$3:$A$3999=apr!$A14)*(lentry!$B$3:$B$3999&lt;=apr!P$3)*(lentry!$C$3:$C$3999&gt;=apr!P$3)),lentry!$D$3:$D$3999),IF(WEEKDAY(apr!P$3,1)=1,"WO","P"))</f>
        <v>P</v>
      </c>
      <c r="Q14" s="4" t="str">
        <f>IFERROR(LOOKUP(2,1/((lentry!$A$3:$A$3999=apr!$A14)*(lentry!$B$3:$B$3999&lt;=apr!Q$3)*(lentry!$C$3:$C$3999&gt;=apr!Q$3)),lentry!$D$3:$D$3999),IF(WEEKDAY(apr!Q$3,1)=1,"WO","P"))</f>
        <v>WO</v>
      </c>
      <c r="R14" s="4" t="str">
        <f>IFERROR(LOOKUP(2,1/((lentry!$A$3:$A$3999=apr!$A14)*(lentry!$B$3:$B$3999&lt;=apr!R$3)*(lentry!$C$3:$C$3999&gt;=apr!R$3)),lentry!$D$3:$D$3999),IF(WEEKDAY(apr!R$3,1)=1,"WO","P"))</f>
        <v>P</v>
      </c>
      <c r="S14" s="4" t="s">
        <v>350</v>
      </c>
      <c r="T14" s="4" t="str">
        <f>IFERROR(LOOKUP(2,1/((lentry!$A$3:$A$3999=apr!$A14)*(lentry!$B$3:$B$3999&lt;=apr!T$3)*(lentry!$C$3:$C$3999&gt;=apr!T$3)),lentry!$D$3:$D$3999),IF(WEEKDAY(apr!T$3,1)=1,"WO","P"))</f>
        <v>P</v>
      </c>
      <c r="U14" s="4" t="str">
        <f>IFERROR(LOOKUP(2,1/((lentry!$A$3:$A$3999=apr!$A14)*(lentry!$B$3:$B$3999&lt;=apr!U$3)*(lentry!$C$3:$C$3999&gt;=apr!U$3)),lentry!$D$3:$D$3999),IF(WEEKDAY(apr!U$3,1)=1,"WO","P"))</f>
        <v>P</v>
      </c>
      <c r="V14" s="4" t="str">
        <f>IFERROR(LOOKUP(2,1/((lentry!$A$3:$A$3999=apr!$A14)*(lentry!$B$3:$B$3999&lt;=apr!V$3)*(lentry!$C$3:$C$3999&gt;=apr!V$3)),lentry!$D$3:$D$3999),IF(WEEKDAY(apr!V$3,1)=1,"WO","P"))</f>
        <v>P</v>
      </c>
      <c r="W14" s="4" t="str">
        <f>IFERROR(LOOKUP(2,1/((lentry!$A$3:$A$3999=apr!$A14)*(lentry!$B$3:$B$3999&lt;=apr!W$3)*(lentry!$C$3:$C$3999&gt;=apr!W$3)),lentry!$D$3:$D$3999),IF(WEEKDAY(apr!W$3,1)=1,"WO","P"))</f>
        <v>P</v>
      </c>
      <c r="X14" s="4" t="str">
        <f>IFERROR(LOOKUP(2,1/((lentry!$A$3:$A$3999=apr!$A14)*(lentry!$B$3:$B$3999&lt;=apr!X$3)*(lentry!$C$3:$C$3999&gt;=apr!X$3)),lentry!$D$3:$D$3999),IF(WEEKDAY(apr!X$3,1)=1,"WO","P"))</f>
        <v>WO</v>
      </c>
      <c r="Y14" s="4" t="str">
        <f>IFERROR(LOOKUP(2,1/((lentry!$A$3:$A$3999=apr!$A14)*(lentry!$B$3:$B$3999&lt;=apr!Y$3)*(lentry!$C$3:$C$3999&gt;=apr!Y$3)),lentry!$D$3:$D$3999),IF(WEEKDAY(apr!Y$3,1)=1,"WO","P"))</f>
        <v>P</v>
      </c>
      <c r="Z14" s="4" t="str">
        <f>IFERROR(LOOKUP(2,1/((lentry!$A$3:$A$3999=apr!$A14)*(lentry!$B$3:$B$3999&lt;=apr!Z$3)*(lentry!$C$3:$C$3999&gt;=apr!Z$3)),lentry!$D$3:$D$3999),IF(WEEKDAY(apr!Z$3,1)=1,"WO","P"))</f>
        <v>P</v>
      </c>
      <c r="AA14" s="4" t="str">
        <f>IFERROR(LOOKUP(2,1/((lentry!$A$3:$A$3999=apr!$A14)*(lentry!$B$3:$B$3999&lt;=apr!AA$3)*(lentry!$C$3:$C$3999&gt;=apr!AA$3)),lentry!$D$3:$D$3999),IF(WEEKDAY(apr!AA$3,1)=1,"WO","P"))</f>
        <v>P</v>
      </c>
      <c r="AB14" s="4" t="str">
        <f>IFERROR(LOOKUP(2,1/((lentry!$A$3:$A$3999=apr!$A14)*(lentry!$B$3:$B$3999&lt;=apr!AB$3)*(lentry!$C$3:$C$3999&gt;=apr!AB$3)),lentry!$D$3:$D$3999),IF(WEEKDAY(apr!AB$3,1)=1,"WO","P"))</f>
        <v>P</v>
      </c>
      <c r="AC14" s="4" t="str">
        <f>IFERROR(LOOKUP(2,1/((lentry!$A$3:$A$3999=apr!$A14)*(lentry!$B$3:$B$3999&lt;=apr!AC$3)*(lentry!$C$3:$C$3999&gt;=apr!AC$3)),lentry!$D$3:$D$3999),IF(WEEKDAY(apr!AC$3,1)=1,"WO","P"))</f>
        <v>P</v>
      </c>
      <c r="AD14" s="4" t="str">
        <f>IFERROR(LOOKUP(2,1/((lentry!$A$3:$A$3999=apr!$A14)*(lentry!$B$3:$B$3999&lt;=apr!AD$3)*(lentry!$C$3:$C$3999&gt;=apr!AD$3)),lentry!$D$3:$D$3999),IF(WEEKDAY(apr!AD$3,1)=1,"WO","P"))</f>
        <v>P</v>
      </c>
      <c r="AE14" s="4" t="str">
        <f>IFERROR(LOOKUP(2,1/((lentry!$A$3:$A$3999=apr!$A14)*(lentry!$B$3:$B$3999&lt;=apr!AE$3)*(lentry!$C$3:$C$3999&gt;=apr!AE$3)),lentry!$D$3:$D$3999),IF(WEEKDAY(apr!AE$3,1)=1,"WO","P"))</f>
        <v>WO</v>
      </c>
      <c r="AF14" s="4" t="str">
        <f>IFERROR(LOOKUP(2,1/((lentry!$A$3:$A$3999=apr!$A14)*(lentry!$B$3:$B$3999&lt;=apr!AF$3)*(lentry!$C$3:$C$3999&gt;=apr!AF$3)),lentry!$D$3:$D$3999),IF(WEEKDAY(apr!AF$3,1)=1,"WO","P"))</f>
        <v>P</v>
      </c>
      <c r="AG14" s="4" t="str">
        <f>IFERROR(LOOKUP(2,1/((lentry!$A$3:$A$3999=apr!$A14)*(lentry!$B$3:$B$3999&lt;=apr!AG$3)*(lentry!$C$3:$C$3999&gt;=apr!AG$3)),lentry!$D$3:$D$3999),IF(WEEKDAY(apr!AG$3,1)=1,"WO","P"))</f>
        <v>P</v>
      </c>
      <c r="AH14" s="4" t="str">
        <f>IFERROR(LOOKUP(2,1/((lentry!$A$3:$A$3999=apr!$A14)*(lentry!$B$3:$B$3999&lt;=apr!AH$3)*(lentry!$C$3:$C$3999&gt;=apr!AH$3)),lentry!$D$3:$D$3999),IF(WEEKDAY(apr!AH$3,1)=1,"WO","P"))</f>
        <v>CL</v>
      </c>
      <c r="AI14" s="4" t="str">
        <f>IFERROR(LOOKUP(2,1/((lentry!$A$3:$A$3999=apr!$A14)*(lentry!$B$3:$B$3999&lt;=apr!AI$3)*(lentry!$C$3:$C$3999&gt;=apr!AI$3)),lentry!$D$3:$D$3999),IF(WEEKDAY(apr!AI$3,1)=1,"WO","P"))</f>
        <v>P</v>
      </c>
      <c r="AJ14" s="5">
        <f>COUNTIF(apr!$F14:$AI14,"WO")</f>
        <v>4</v>
      </c>
      <c r="AK14" s="5">
        <f>COUNTIF(jan!$F14:$AJ14,"H")</f>
        <v>1</v>
      </c>
      <c r="AL14" s="5">
        <f>COUNTIF(jan!$F14:$AJ14,"PL")</f>
        <v>2</v>
      </c>
      <c r="AM14" s="5">
        <f>COUNTIF(jan!$F14:$AJ14,"LWP")</f>
        <v>0</v>
      </c>
      <c r="AN14" s="5">
        <f>COUNTIF(jan!$F14:$AJ14,"HD")</f>
        <v>0</v>
      </c>
      <c r="AO14" s="5">
        <f>COUNTIF(jan!$F14:$AJ14,"SL")</f>
        <v>0</v>
      </c>
      <c r="AP14" s="5">
        <f>COUNTIF(jan!$F14:$AJ14,"CL")</f>
        <v>0</v>
      </c>
      <c r="AQ14" s="5">
        <f>COUNTIF(jan!$F14:$AJ14,"A")</f>
        <v>0</v>
      </c>
      <c r="AR14" s="5">
        <f>COUNTIF(jan!$F14:$AJ14,"P")</f>
        <v>24</v>
      </c>
      <c r="AS14" s="5">
        <f t="shared" si="2"/>
        <v>30</v>
      </c>
      <c r="AT14" s="5">
        <f t="shared" si="3"/>
        <v>31</v>
      </c>
      <c r="AU14" s="4">
        <f>SUMIFS(holly!$L$2:$L$122,holly!$I$2:$I$122,mar!$A14,holly!$K$2:$K$122,"Mar")</f>
        <v>4</v>
      </c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</row>
    <row r="15" spans="1:77" ht="18.75" x14ac:dyDescent="0.3">
      <c r="A15" s="3" t="s">
        <v>31</v>
      </c>
      <c r="B15" s="3" t="str">
        <f>VLOOKUP($A15,Master!$A$2:$K$52,2,0)</f>
        <v>Employee11</v>
      </c>
      <c r="C15" s="3" t="str">
        <f>VLOOKUP($A15,Master!$A$2:$K$52,3,0)</f>
        <v>Male</v>
      </c>
      <c r="D15" s="3" t="str">
        <f>VLOOKUP($A15,Master!$A$2:$K$52,5,0)</f>
        <v>Production</v>
      </c>
      <c r="E15" s="3" t="str">
        <f>VLOOKUP($A15,Master!$A$2:$K$52,6,0)</f>
        <v>Operator</v>
      </c>
      <c r="F15" s="4" t="str">
        <f>IFERROR(LOOKUP(2,1/((lentry!$A$3:$A$3999=apr!$A15)*(lentry!$B$3:$B$3999&lt;=apr!F$3)*(lentry!$C$3:$C$3999&gt;=apr!F$3)),lentry!$D$3:$D$3999),IF(WEEKDAY(apr!F$3,1)=1,"WO","P"))</f>
        <v>P</v>
      </c>
      <c r="G15" s="4" t="str">
        <f>IFERROR(LOOKUP(2,1/((lentry!$A$3:$A$3999=apr!$A15)*(lentry!$B$3:$B$3999&lt;=apr!G$3)*(lentry!$C$3:$C$3999&gt;=apr!G$3)),lentry!$D$3:$D$3999),IF(WEEKDAY(apr!G$3,1)=1,"WO","P"))</f>
        <v>P</v>
      </c>
      <c r="H15" s="4" t="s">
        <v>350</v>
      </c>
      <c r="I15" s="4" t="str">
        <f>IFERROR(LOOKUP(2,1/((lentry!$A$3:$A$3999=apr!$A15)*(lentry!$B$3:$B$3999&lt;=apr!I$3)*(lentry!$C$3:$C$3999&gt;=apr!I$3)),lentry!$D$3:$D$3999),IF(WEEKDAY(apr!I$3,1)=1,"WO","P"))</f>
        <v>P</v>
      </c>
      <c r="J15" s="4" t="str">
        <f>IFERROR(LOOKUP(2,1/((lentry!$A$3:$A$3999=apr!$A15)*(lentry!$B$3:$B$3999&lt;=apr!J$3)*(lentry!$C$3:$C$3999&gt;=apr!J$3)),lentry!$D$3:$D$3999),IF(WEEKDAY(apr!J$3,1)=1,"WO","P"))</f>
        <v>WO</v>
      </c>
      <c r="K15" s="4" t="s">
        <v>539</v>
      </c>
      <c r="L15" s="4" t="str">
        <f>IFERROR(LOOKUP(2,1/((lentry!$A$3:$A$3999=apr!$A15)*(lentry!$B$3:$B$3999&lt;=apr!L$3)*(lentry!$C$3:$C$3999&gt;=apr!L$3)),lentry!$D$3:$D$3999),IF(WEEKDAY(apr!L$3,1)=1,"WO","P"))</f>
        <v>P</v>
      </c>
      <c r="M15" s="4" t="str">
        <f>IFERROR(LOOKUP(2,1/((lentry!$A$3:$A$3999=apr!$A15)*(lentry!$B$3:$B$3999&lt;=apr!M$3)*(lentry!$C$3:$C$3999&gt;=apr!M$3)),lentry!$D$3:$D$3999),IF(WEEKDAY(apr!M$3,1)=1,"WO","P"))</f>
        <v>P</v>
      </c>
      <c r="N15" s="4" t="str">
        <f>IFERROR(LOOKUP(2,1/((lentry!$A$3:$A$3999=apr!$A15)*(lentry!$B$3:$B$3999&lt;=apr!N$3)*(lentry!$C$3:$C$3999&gt;=apr!N$3)),lentry!$D$3:$D$3999),IF(WEEKDAY(apr!N$3,1)=1,"WO","P"))</f>
        <v>P</v>
      </c>
      <c r="O15" s="4" t="str">
        <f>IFERROR(LOOKUP(2,1/((lentry!$A$3:$A$3999=apr!$A15)*(lentry!$B$3:$B$3999&lt;=apr!O$3)*(lentry!$C$3:$C$3999&gt;=apr!O$3)),lentry!$D$3:$D$3999),IF(WEEKDAY(apr!O$3,1)=1,"WO","P"))</f>
        <v>P</v>
      </c>
      <c r="P15" s="4" t="str">
        <f>IFERROR(LOOKUP(2,1/((lentry!$A$3:$A$3999=apr!$A15)*(lentry!$B$3:$B$3999&lt;=apr!P$3)*(lentry!$C$3:$C$3999&gt;=apr!P$3)),lentry!$D$3:$D$3999),IF(WEEKDAY(apr!P$3,1)=1,"WO","P"))</f>
        <v>P</v>
      </c>
      <c r="Q15" s="4" t="str">
        <f>IFERROR(LOOKUP(2,1/((lentry!$A$3:$A$3999=apr!$A15)*(lentry!$B$3:$B$3999&lt;=apr!Q$3)*(lentry!$C$3:$C$3999&gt;=apr!Q$3)),lentry!$D$3:$D$3999),IF(WEEKDAY(apr!Q$3,1)=1,"WO","P"))</f>
        <v>WO</v>
      </c>
      <c r="R15" s="4" t="str">
        <f>IFERROR(LOOKUP(2,1/((lentry!$A$3:$A$3999=apr!$A15)*(lentry!$B$3:$B$3999&lt;=apr!R$3)*(lentry!$C$3:$C$3999&gt;=apr!R$3)),lentry!$D$3:$D$3999),IF(WEEKDAY(apr!R$3,1)=1,"WO","P"))</f>
        <v>P</v>
      </c>
      <c r="S15" s="4" t="s">
        <v>350</v>
      </c>
      <c r="T15" s="4" t="str">
        <f>IFERROR(LOOKUP(2,1/((lentry!$A$3:$A$3999=apr!$A15)*(lentry!$B$3:$B$3999&lt;=apr!T$3)*(lentry!$C$3:$C$3999&gt;=apr!T$3)),lentry!$D$3:$D$3999),IF(WEEKDAY(apr!T$3,1)=1,"WO","P"))</f>
        <v>P</v>
      </c>
      <c r="U15" s="4" t="str">
        <f>IFERROR(LOOKUP(2,1/((lentry!$A$3:$A$3999=apr!$A15)*(lentry!$B$3:$B$3999&lt;=apr!U$3)*(lentry!$C$3:$C$3999&gt;=apr!U$3)),lentry!$D$3:$D$3999),IF(WEEKDAY(apr!U$3,1)=1,"WO","P"))</f>
        <v>P</v>
      </c>
      <c r="V15" s="4" t="str">
        <f>IFERROR(LOOKUP(2,1/((lentry!$A$3:$A$3999=apr!$A15)*(lentry!$B$3:$B$3999&lt;=apr!V$3)*(lentry!$C$3:$C$3999&gt;=apr!V$3)),lentry!$D$3:$D$3999),IF(WEEKDAY(apr!V$3,1)=1,"WO","P"))</f>
        <v>P</v>
      </c>
      <c r="W15" s="4" t="str">
        <f>IFERROR(LOOKUP(2,1/((lentry!$A$3:$A$3999=apr!$A15)*(lentry!$B$3:$B$3999&lt;=apr!W$3)*(lentry!$C$3:$C$3999&gt;=apr!W$3)),lentry!$D$3:$D$3999),IF(WEEKDAY(apr!W$3,1)=1,"WO","P"))</f>
        <v>P</v>
      </c>
      <c r="X15" s="4" t="str">
        <f>IFERROR(LOOKUP(2,1/((lentry!$A$3:$A$3999=apr!$A15)*(lentry!$B$3:$B$3999&lt;=apr!X$3)*(lentry!$C$3:$C$3999&gt;=apr!X$3)),lentry!$D$3:$D$3999),IF(WEEKDAY(apr!X$3,1)=1,"WO","P"))</f>
        <v>WO</v>
      </c>
      <c r="Y15" s="4" t="str">
        <f>IFERROR(LOOKUP(2,1/((lentry!$A$3:$A$3999=apr!$A15)*(lentry!$B$3:$B$3999&lt;=apr!Y$3)*(lentry!$C$3:$C$3999&gt;=apr!Y$3)),lentry!$D$3:$D$3999),IF(WEEKDAY(apr!Y$3,1)=1,"WO","P"))</f>
        <v>P</v>
      </c>
      <c r="Z15" s="4" t="str">
        <f>IFERROR(LOOKUP(2,1/((lentry!$A$3:$A$3999=apr!$A15)*(lentry!$B$3:$B$3999&lt;=apr!Z$3)*(lentry!$C$3:$C$3999&gt;=apr!Z$3)),lentry!$D$3:$D$3999),IF(WEEKDAY(apr!Z$3,1)=1,"WO","P"))</f>
        <v>P</v>
      </c>
      <c r="AA15" s="4" t="str">
        <f>IFERROR(LOOKUP(2,1/((lentry!$A$3:$A$3999=apr!$A15)*(lentry!$B$3:$B$3999&lt;=apr!AA$3)*(lentry!$C$3:$C$3999&gt;=apr!AA$3)),lentry!$D$3:$D$3999),IF(WEEKDAY(apr!AA$3,1)=1,"WO","P"))</f>
        <v>P</v>
      </c>
      <c r="AB15" s="4" t="str">
        <f>IFERROR(LOOKUP(2,1/((lentry!$A$3:$A$3999=apr!$A15)*(lentry!$B$3:$B$3999&lt;=apr!AB$3)*(lentry!$C$3:$C$3999&gt;=apr!AB$3)),lentry!$D$3:$D$3999),IF(WEEKDAY(apr!AB$3,1)=1,"WO","P"))</f>
        <v>P</v>
      </c>
      <c r="AC15" s="4" t="str">
        <f>IFERROR(LOOKUP(2,1/((lentry!$A$3:$A$3999=apr!$A15)*(lentry!$B$3:$B$3999&lt;=apr!AC$3)*(lentry!$C$3:$C$3999&gt;=apr!AC$3)),lentry!$D$3:$D$3999),IF(WEEKDAY(apr!AC$3,1)=1,"WO","P"))</f>
        <v>P</v>
      </c>
      <c r="AD15" s="4" t="str">
        <f>IFERROR(LOOKUP(2,1/((lentry!$A$3:$A$3999=apr!$A15)*(lentry!$B$3:$B$3999&lt;=apr!AD$3)*(lentry!$C$3:$C$3999&gt;=apr!AD$3)),lentry!$D$3:$D$3999),IF(WEEKDAY(apr!AD$3,1)=1,"WO","P"))</f>
        <v>P</v>
      </c>
      <c r="AE15" s="4" t="str">
        <f>IFERROR(LOOKUP(2,1/((lentry!$A$3:$A$3999=apr!$A15)*(lentry!$B$3:$B$3999&lt;=apr!AE$3)*(lentry!$C$3:$C$3999&gt;=apr!AE$3)),lentry!$D$3:$D$3999),IF(WEEKDAY(apr!AE$3,1)=1,"WO","P"))</f>
        <v>WO</v>
      </c>
      <c r="AF15" s="4" t="str">
        <f>IFERROR(LOOKUP(2,1/((lentry!$A$3:$A$3999=apr!$A15)*(lentry!$B$3:$B$3999&lt;=apr!AF$3)*(lentry!$C$3:$C$3999&gt;=apr!AF$3)),lentry!$D$3:$D$3999),IF(WEEKDAY(apr!AF$3,1)=1,"WO","P"))</f>
        <v>P</v>
      </c>
      <c r="AG15" s="4" t="str">
        <f>IFERROR(LOOKUP(2,1/((lentry!$A$3:$A$3999=apr!$A15)*(lentry!$B$3:$B$3999&lt;=apr!AG$3)*(lentry!$C$3:$C$3999&gt;=apr!AG$3)),lentry!$D$3:$D$3999),IF(WEEKDAY(apr!AG$3,1)=1,"WO","P"))</f>
        <v>P</v>
      </c>
      <c r="AH15" s="4" t="str">
        <f>IFERROR(LOOKUP(2,1/((lentry!$A$3:$A$3999=apr!$A15)*(lentry!$B$3:$B$3999&lt;=apr!AH$3)*(lentry!$C$3:$C$3999&gt;=apr!AH$3)),lentry!$D$3:$D$3999),IF(WEEKDAY(apr!AH$3,1)=1,"WO","P"))</f>
        <v>P</v>
      </c>
      <c r="AI15" s="4" t="str">
        <f>IFERROR(LOOKUP(2,1/((lentry!$A$3:$A$3999=apr!$A15)*(lentry!$B$3:$B$3999&lt;=apr!AI$3)*(lentry!$C$3:$C$3999&gt;=apr!AI$3)),lentry!$D$3:$D$3999),IF(WEEKDAY(apr!AI$3,1)=1,"WO","P"))</f>
        <v>P</v>
      </c>
      <c r="AJ15" s="5">
        <f>COUNTIF(apr!$F15:$AI15,"WO")</f>
        <v>4</v>
      </c>
      <c r="AK15" s="5">
        <f>COUNTIF(jan!$F15:$AJ15,"H")</f>
        <v>1</v>
      </c>
      <c r="AL15" s="5">
        <f>COUNTIF(jan!$F15:$AJ15,"PL")</f>
        <v>0</v>
      </c>
      <c r="AM15" s="5">
        <f>COUNTIF(jan!$F15:$AJ15,"LWP")</f>
        <v>0</v>
      </c>
      <c r="AN15" s="5">
        <f>COUNTIF(jan!$F15:$AJ15,"HD")</f>
        <v>0</v>
      </c>
      <c r="AO15" s="5">
        <f>COUNTIF(jan!$F15:$AJ15,"SL")</f>
        <v>0</v>
      </c>
      <c r="AP15" s="5">
        <f>COUNTIF(jan!$F15:$AJ15,"CL")</f>
        <v>0</v>
      </c>
      <c r="AQ15" s="5">
        <f>COUNTIF(jan!$F15:$AJ15,"A")</f>
        <v>0</v>
      </c>
      <c r="AR15" s="5">
        <f>COUNTIF(jan!$F15:$AJ15,"P")</f>
        <v>26</v>
      </c>
      <c r="AS15" s="5">
        <f t="shared" si="2"/>
        <v>30</v>
      </c>
      <c r="AT15" s="5">
        <f t="shared" si="3"/>
        <v>31</v>
      </c>
      <c r="AU15" s="4">
        <f>SUMIFS(holly!$L$2:$L$122,holly!$I$2:$I$122,mar!$A15,holly!$K$2:$K$122,"Mar")</f>
        <v>1</v>
      </c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</row>
    <row r="16" spans="1:77" ht="18.75" x14ac:dyDescent="0.3">
      <c r="A16" s="3" t="s">
        <v>32</v>
      </c>
      <c r="B16" s="3" t="str">
        <f>VLOOKUP($A16,Master!$A$2:$K$52,2,0)</f>
        <v>Employee12</v>
      </c>
      <c r="C16" s="3" t="str">
        <f>VLOOKUP($A16,Master!$A$2:$K$52,3,0)</f>
        <v>Male</v>
      </c>
      <c r="D16" s="3" t="str">
        <f>VLOOKUP($A16,Master!$A$2:$K$52,5,0)</f>
        <v>Production</v>
      </c>
      <c r="E16" s="3" t="str">
        <f>VLOOKUP($A16,Master!$A$2:$K$52,6,0)</f>
        <v>Supervisor</v>
      </c>
      <c r="F16" s="4" t="str">
        <f>IFERROR(LOOKUP(2,1/((lentry!$A$3:$A$3999=apr!$A16)*(lentry!$B$3:$B$3999&lt;=apr!F$3)*(lentry!$C$3:$C$3999&gt;=apr!F$3)),lentry!$D$3:$D$3999),IF(WEEKDAY(apr!F$3,1)=1,"WO","P"))</f>
        <v>P</v>
      </c>
      <c r="G16" s="4" t="str">
        <f>IFERROR(LOOKUP(2,1/((lentry!$A$3:$A$3999=apr!$A16)*(lentry!$B$3:$B$3999&lt;=apr!G$3)*(lentry!$C$3:$C$3999&gt;=apr!G$3)),lentry!$D$3:$D$3999),IF(WEEKDAY(apr!G$3,1)=1,"WO","P"))</f>
        <v>P</v>
      </c>
      <c r="H16" s="4" t="s">
        <v>350</v>
      </c>
      <c r="I16" s="4" t="str">
        <f>IFERROR(LOOKUP(2,1/((lentry!$A$3:$A$3999=apr!$A16)*(lentry!$B$3:$B$3999&lt;=apr!I$3)*(lentry!$C$3:$C$3999&gt;=apr!I$3)),lentry!$D$3:$D$3999),IF(WEEKDAY(apr!I$3,1)=1,"WO","P"))</f>
        <v>P</v>
      </c>
      <c r="J16" s="4" t="str">
        <f>IFERROR(LOOKUP(2,1/((lentry!$A$3:$A$3999=apr!$A16)*(lentry!$B$3:$B$3999&lt;=apr!J$3)*(lentry!$C$3:$C$3999&gt;=apr!J$3)),lentry!$D$3:$D$3999),IF(WEEKDAY(apr!J$3,1)=1,"WO","P"))</f>
        <v>WO</v>
      </c>
      <c r="K16" s="4" t="str">
        <f>IFERROR(LOOKUP(2,1/((lentry!$A$3:$A$3999=apr!$A16)*(lentry!$B$3:$B$3999&lt;=apr!K$3)*(lentry!$C$3:$C$3999&gt;=apr!K$3)),lentry!$D$3:$D$3999),IF(WEEKDAY(apr!K$3,1)=1,"WO","P"))</f>
        <v>P</v>
      </c>
      <c r="L16" s="4" t="str">
        <f>IFERROR(LOOKUP(2,1/((lentry!$A$3:$A$3999=apr!$A16)*(lentry!$B$3:$B$3999&lt;=apr!L$3)*(lentry!$C$3:$C$3999&gt;=apr!L$3)),lentry!$D$3:$D$3999),IF(WEEKDAY(apr!L$3,1)=1,"WO","P"))</f>
        <v>P</v>
      </c>
      <c r="M16" s="4" t="str">
        <f>IFERROR(LOOKUP(2,1/((lentry!$A$3:$A$3999=apr!$A16)*(lentry!$B$3:$B$3999&lt;=apr!M$3)*(lentry!$C$3:$C$3999&gt;=apr!M$3)),lentry!$D$3:$D$3999),IF(WEEKDAY(apr!M$3,1)=1,"WO","P"))</f>
        <v>P</v>
      </c>
      <c r="N16" s="4" t="str">
        <f>IFERROR(LOOKUP(2,1/((lentry!$A$3:$A$3999=apr!$A16)*(lentry!$B$3:$B$3999&lt;=apr!N$3)*(lentry!$C$3:$C$3999&gt;=apr!N$3)),lentry!$D$3:$D$3999),IF(WEEKDAY(apr!N$3,1)=1,"WO","P"))</f>
        <v>P</v>
      </c>
      <c r="O16" s="4" t="str">
        <f>IFERROR(LOOKUP(2,1/((lentry!$A$3:$A$3999=apr!$A16)*(lentry!$B$3:$B$3999&lt;=apr!O$3)*(lentry!$C$3:$C$3999&gt;=apr!O$3)),lentry!$D$3:$D$3999),IF(WEEKDAY(apr!O$3,1)=1,"WO","P"))</f>
        <v>P</v>
      </c>
      <c r="P16" s="4" t="str">
        <f>IFERROR(LOOKUP(2,1/((lentry!$A$3:$A$3999=apr!$A16)*(lentry!$B$3:$B$3999&lt;=apr!P$3)*(lentry!$C$3:$C$3999&gt;=apr!P$3)),lentry!$D$3:$D$3999),IF(WEEKDAY(apr!P$3,1)=1,"WO","P"))</f>
        <v>P</v>
      </c>
      <c r="Q16" s="4" t="str">
        <f>IFERROR(LOOKUP(2,1/((lentry!$A$3:$A$3999=apr!$A16)*(lentry!$B$3:$B$3999&lt;=apr!Q$3)*(lentry!$C$3:$C$3999&gt;=apr!Q$3)),lentry!$D$3:$D$3999),IF(WEEKDAY(apr!Q$3,1)=1,"WO","P"))</f>
        <v>WO</v>
      </c>
      <c r="R16" s="4" t="str">
        <f>IFERROR(LOOKUP(2,1/((lentry!$A$3:$A$3999=apr!$A16)*(lentry!$B$3:$B$3999&lt;=apr!R$3)*(lentry!$C$3:$C$3999&gt;=apr!R$3)),lentry!$D$3:$D$3999),IF(WEEKDAY(apr!R$3,1)=1,"WO","P"))</f>
        <v>P</v>
      </c>
      <c r="S16" s="4" t="s">
        <v>350</v>
      </c>
      <c r="T16" s="4" t="str">
        <f>IFERROR(LOOKUP(2,1/((lentry!$A$3:$A$3999=apr!$A16)*(lentry!$B$3:$B$3999&lt;=apr!T$3)*(lentry!$C$3:$C$3999&gt;=apr!T$3)),lentry!$D$3:$D$3999),IF(WEEKDAY(apr!T$3,1)=1,"WO","P"))</f>
        <v>P</v>
      </c>
      <c r="U16" s="4" t="str">
        <f>IFERROR(LOOKUP(2,1/((lentry!$A$3:$A$3999=apr!$A16)*(lentry!$B$3:$B$3999&lt;=apr!U$3)*(lentry!$C$3:$C$3999&gt;=apr!U$3)),lentry!$D$3:$D$3999),IF(WEEKDAY(apr!U$3,1)=1,"WO","P"))</f>
        <v>P</v>
      </c>
      <c r="V16" s="4" t="str">
        <f>IFERROR(LOOKUP(2,1/((lentry!$A$3:$A$3999=apr!$A16)*(lentry!$B$3:$B$3999&lt;=apr!V$3)*(lentry!$C$3:$C$3999&gt;=apr!V$3)),lentry!$D$3:$D$3999),IF(WEEKDAY(apr!V$3,1)=1,"WO","P"))</f>
        <v>P</v>
      </c>
      <c r="W16" s="4" t="str">
        <f>IFERROR(LOOKUP(2,1/((lentry!$A$3:$A$3999=apr!$A16)*(lentry!$B$3:$B$3999&lt;=apr!W$3)*(lentry!$C$3:$C$3999&gt;=apr!W$3)),lentry!$D$3:$D$3999),IF(WEEKDAY(apr!W$3,1)=1,"WO","P"))</f>
        <v>P</v>
      </c>
      <c r="X16" s="4" t="str">
        <f>IFERROR(LOOKUP(2,1/((lentry!$A$3:$A$3999=apr!$A16)*(lentry!$B$3:$B$3999&lt;=apr!X$3)*(lentry!$C$3:$C$3999&gt;=apr!X$3)),lentry!$D$3:$D$3999),IF(WEEKDAY(apr!X$3,1)=1,"WO","P"))</f>
        <v>WO</v>
      </c>
      <c r="Y16" s="4" t="str">
        <f>IFERROR(LOOKUP(2,1/((lentry!$A$3:$A$3999=apr!$A16)*(lentry!$B$3:$B$3999&lt;=apr!Y$3)*(lentry!$C$3:$C$3999&gt;=apr!Y$3)),lentry!$D$3:$D$3999),IF(WEEKDAY(apr!Y$3,1)=1,"WO","P"))</f>
        <v>P</v>
      </c>
      <c r="Z16" s="4" t="str">
        <f>IFERROR(LOOKUP(2,1/((lentry!$A$3:$A$3999=apr!$A16)*(lentry!$B$3:$B$3999&lt;=apr!Z$3)*(lentry!$C$3:$C$3999&gt;=apr!Z$3)),lentry!$D$3:$D$3999),IF(WEEKDAY(apr!Z$3,1)=1,"WO","P"))</f>
        <v>P</v>
      </c>
      <c r="AA16" s="4" t="str">
        <f>IFERROR(LOOKUP(2,1/((lentry!$A$3:$A$3999=apr!$A16)*(lentry!$B$3:$B$3999&lt;=apr!AA$3)*(lentry!$C$3:$C$3999&gt;=apr!AA$3)),lentry!$D$3:$D$3999),IF(WEEKDAY(apr!AA$3,1)=1,"WO","P"))</f>
        <v>P</v>
      </c>
      <c r="AB16" s="4" t="str">
        <f>IFERROR(LOOKUP(2,1/((lentry!$A$3:$A$3999=apr!$A16)*(lentry!$B$3:$B$3999&lt;=apr!AB$3)*(lentry!$C$3:$C$3999&gt;=apr!AB$3)),lentry!$D$3:$D$3999),IF(WEEKDAY(apr!AB$3,1)=1,"WO","P"))</f>
        <v>P</v>
      </c>
      <c r="AC16" s="4" t="s">
        <v>539</v>
      </c>
      <c r="AD16" s="4" t="str">
        <f>IFERROR(LOOKUP(2,1/((lentry!$A$3:$A$3999=apr!$A16)*(lentry!$B$3:$B$3999&lt;=apr!AD$3)*(lentry!$C$3:$C$3999&gt;=apr!AD$3)),lentry!$D$3:$D$3999),IF(WEEKDAY(apr!AD$3,1)=1,"WO","P"))</f>
        <v>P</v>
      </c>
      <c r="AE16" s="4" t="str">
        <f>IFERROR(LOOKUP(2,1/((lentry!$A$3:$A$3999=apr!$A16)*(lentry!$B$3:$B$3999&lt;=apr!AE$3)*(lentry!$C$3:$C$3999&gt;=apr!AE$3)),lentry!$D$3:$D$3999),IF(WEEKDAY(apr!AE$3,1)=1,"WO","P"))</f>
        <v>WO</v>
      </c>
      <c r="AF16" s="4" t="str">
        <f>IFERROR(LOOKUP(2,1/((lentry!$A$3:$A$3999=apr!$A16)*(lentry!$B$3:$B$3999&lt;=apr!AF$3)*(lentry!$C$3:$C$3999&gt;=apr!AF$3)),lentry!$D$3:$D$3999),IF(WEEKDAY(apr!AF$3,1)=1,"WO","P"))</f>
        <v>P</v>
      </c>
      <c r="AG16" s="4" t="str">
        <f>IFERROR(LOOKUP(2,1/((lentry!$A$3:$A$3999=apr!$A16)*(lentry!$B$3:$B$3999&lt;=apr!AG$3)*(lentry!$C$3:$C$3999&gt;=apr!AG$3)),lentry!$D$3:$D$3999),IF(WEEKDAY(apr!AG$3,1)=1,"WO","P"))</f>
        <v>P</v>
      </c>
      <c r="AH16" s="4" t="str">
        <f>IFERROR(LOOKUP(2,1/((lentry!$A$3:$A$3999=apr!$A16)*(lentry!$B$3:$B$3999&lt;=apr!AH$3)*(lentry!$C$3:$C$3999&gt;=apr!AH$3)),lentry!$D$3:$D$3999),IF(WEEKDAY(apr!AH$3,1)=1,"WO","P"))</f>
        <v>P</v>
      </c>
      <c r="AI16" s="4" t="str">
        <f>IFERROR(LOOKUP(2,1/((lentry!$A$3:$A$3999=apr!$A16)*(lentry!$B$3:$B$3999&lt;=apr!AI$3)*(lentry!$C$3:$C$3999&gt;=apr!AI$3)),lentry!$D$3:$D$3999),IF(WEEKDAY(apr!AI$3,1)=1,"WO","P"))</f>
        <v>P</v>
      </c>
      <c r="AJ16" s="5">
        <f>COUNTIF(apr!$F16:$AI16,"WO")</f>
        <v>4</v>
      </c>
      <c r="AK16" s="5">
        <f>COUNTIF(jan!$F16:$AJ16,"H")</f>
        <v>1</v>
      </c>
      <c r="AL16" s="5">
        <f>COUNTIF(jan!$F16:$AJ16,"PL")</f>
        <v>0</v>
      </c>
      <c r="AM16" s="5">
        <f>COUNTIF(jan!$F16:$AJ16,"LWP")</f>
        <v>0</v>
      </c>
      <c r="AN16" s="5">
        <f>COUNTIF(jan!$F16:$AJ16,"HD")</f>
        <v>0</v>
      </c>
      <c r="AO16" s="5">
        <f>COUNTIF(jan!$F16:$AJ16,"SL")</f>
        <v>0</v>
      </c>
      <c r="AP16" s="5">
        <f>COUNTIF(jan!$F16:$AJ16,"CL")</f>
        <v>0</v>
      </c>
      <c r="AQ16" s="5">
        <f>COUNTIF(jan!$F16:$AJ16,"A")</f>
        <v>2</v>
      </c>
      <c r="AR16" s="5">
        <f>COUNTIF(jan!$F16:$AJ16,"P")</f>
        <v>24</v>
      </c>
      <c r="AS16" s="5">
        <f t="shared" si="2"/>
        <v>30</v>
      </c>
      <c r="AT16" s="5">
        <f t="shared" si="3"/>
        <v>29</v>
      </c>
      <c r="AU16" s="4">
        <f>SUMIFS(holly!$L$2:$L$122,holly!$I$2:$I$122,mar!$A16,holly!$K$2:$K$122,"Mar")</f>
        <v>0</v>
      </c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</row>
    <row r="17" spans="1:77" ht="18.75" x14ac:dyDescent="0.3">
      <c r="A17" s="3" t="s">
        <v>33</v>
      </c>
      <c r="B17" s="3" t="str">
        <f>VLOOKUP($A17,Master!$A$2:$K$52,2,0)</f>
        <v>Employee13</v>
      </c>
      <c r="C17" s="3" t="str">
        <f>VLOOKUP($A17,Master!$A$2:$K$52,3,0)</f>
        <v>Male</v>
      </c>
      <c r="D17" s="3" t="str">
        <f>VLOOKUP($A17,Master!$A$2:$K$52,5,0)</f>
        <v>Production</v>
      </c>
      <c r="E17" s="3" t="str">
        <f>VLOOKUP($A17,Master!$A$2:$K$52,6,0)</f>
        <v>Supervisor</v>
      </c>
      <c r="F17" s="4" t="str">
        <f>IFERROR(LOOKUP(2,1/((lentry!$A$3:$A$3999=apr!$A17)*(lentry!$B$3:$B$3999&lt;=apr!F$3)*(lentry!$C$3:$C$3999&gt;=apr!F$3)),lentry!$D$3:$D$3999),IF(WEEKDAY(apr!F$3,1)=1,"WO","P"))</f>
        <v>P</v>
      </c>
      <c r="G17" s="4" t="str">
        <f>IFERROR(LOOKUP(2,1/((lentry!$A$3:$A$3999=apr!$A17)*(lentry!$B$3:$B$3999&lt;=apr!G$3)*(lentry!$C$3:$C$3999&gt;=apr!G$3)),lentry!$D$3:$D$3999),IF(WEEKDAY(apr!G$3,1)=1,"WO","P"))</f>
        <v>P</v>
      </c>
      <c r="H17" s="4" t="s">
        <v>350</v>
      </c>
      <c r="I17" s="4" t="str">
        <f>IFERROR(LOOKUP(2,1/((lentry!$A$3:$A$3999=apr!$A17)*(lentry!$B$3:$B$3999&lt;=apr!I$3)*(lentry!$C$3:$C$3999&gt;=apr!I$3)),lentry!$D$3:$D$3999),IF(WEEKDAY(apr!I$3,1)=1,"WO","P"))</f>
        <v>P</v>
      </c>
      <c r="J17" s="4" t="str">
        <f>IFERROR(LOOKUP(2,1/((lentry!$A$3:$A$3999=apr!$A17)*(lentry!$B$3:$B$3999&lt;=apr!J$3)*(lentry!$C$3:$C$3999&gt;=apr!J$3)),lentry!$D$3:$D$3999),IF(WEEKDAY(apr!J$3,1)=1,"WO","P"))</f>
        <v>WO</v>
      </c>
      <c r="K17" s="4" t="str">
        <f>IFERROR(LOOKUP(2,1/((lentry!$A$3:$A$3999=apr!$A17)*(lentry!$B$3:$B$3999&lt;=apr!K$3)*(lentry!$C$3:$C$3999&gt;=apr!K$3)),lentry!$D$3:$D$3999),IF(WEEKDAY(apr!K$3,1)=1,"WO","P"))</f>
        <v>P</v>
      </c>
      <c r="L17" s="4" t="str">
        <f>IFERROR(LOOKUP(2,1/((lentry!$A$3:$A$3999=apr!$A17)*(lentry!$B$3:$B$3999&lt;=apr!L$3)*(lentry!$C$3:$C$3999&gt;=apr!L$3)),lentry!$D$3:$D$3999),IF(WEEKDAY(apr!L$3,1)=1,"WO","P"))</f>
        <v>P</v>
      </c>
      <c r="M17" s="4" t="str">
        <f>IFERROR(LOOKUP(2,1/((lentry!$A$3:$A$3999=apr!$A17)*(lentry!$B$3:$B$3999&lt;=apr!M$3)*(lentry!$C$3:$C$3999&gt;=apr!M$3)),lentry!$D$3:$D$3999),IF(WEEKDAY(apr!M$3,1)=1,"WO","P"))</f>
        <v>P</v>
      </c>
      <c r="N17" s="4" t="str">
        <f>IFERROR(LOOKUP(2,1/((lentry!$A$3:$A$3999=apr!$A17)*(lentry!$B$3:$B$3999&lt;=apr!N$3)*(lentry!$C$3:$C$3999&gt;=apr!N$3)),lentry!$D$3:$D$3999),IF(WEEKDAY(apr!N$3,1)=1,"WO","P"))</f>
        <v>P</v>
      </c>
      <c r="O17" s="4" t="str">
        <f>IFERROR(LOOKUP(2,1/((lentry!$A$3:$A$3999=apr!$A17)*(lentry!$B$3:$B$3999&lt;=apr!O$3)*(lentry!$C$3:$C$3999&gt;=apr!O$3)),lentry!$D$3:$D$3999),IF(WEEKDAY(apr!O$3,1)=1,"WO","P"))</f>
        <v>P</v>
      </c>
      <c r="P17" s="4" t="str">
        <f>IFERROR(LOOKUP(2,1/((lentry!$A$3:$A$3999=apr!$A17)*(lentry!$B$3:$B$3999&lt;=apr!P$3)*(lentry!$C$3:$C$3999&gt;=apr!P$3)),lentry!$D$3:$D$3999),IF(WEEKDAY(apr!P$3,1)=1,"WO","P"))</f>
        <v>P</v>
      </c>
      <c r="Q17" s="4" t="str">
        <f>IFERROR(LOOKUP(2,1/((lentry!$A$3:$A$3999=apr!$A17)*(lentry!$B$3:$B$3999&lt;=apr!Q$3)*(lentry!$C$3:$C$3999&gt;=apr!Q$3)),lentry!$D$3:$D$3999),IF(WEEKDAY(apr!Q$3,1)=1,"WO","P"))</f>
        <v>WO</v>
      </c>
      <c r="R17" s="4" t="str">
        <f>IFERROR(LOOKUP(2,1/((lentry!$A$3:$A$3999=apr!$A17)*(lentry!$B$3:$B$3999&lt;=apr!R$3)*(lentry!$C$3:$C$3999&gt;=apr!R$3)),lentry!$D$3:$D$3999),IF(WEEKDAY(apr!R$3,1)=1,"WO","P"))</f>
        <v>P</v>
      </c>
      <c r="S17" s="4" t="s">
        <v>350</v>
      </c>
      <c r="T17" s="4" t="str">
        <f>IFERROR(LOOKUP(2,1/((lentry!$A$3:$A$3999=apr!$A17)*(lentry!$B$3:$B$3999&lt;=apr!T$3)*(lentry!$C$3:$C$3999&gt;=apr!T$3)),lentry!$D$3:$D$3999),IF(WEEKDAY(apr!T$3,1)=1,"WO","P"))</f>
        <v>P</v>
      </c>
      <c r="U17" s="4" t="str">
        <f>IFERROR(LOOKUP(2,1/((lentry!$A$3:$A$3999=apr!$A17)*(lentry!$B$3:$B$3999&lt;=apr!U$3)*(lentry!$C$3:$C$3999&gt;=apr!U$3)),lentry!$D$3:$D$3999),IF(WEEKDAY(apr!U$3,1)=1,"WO","P"))</f>
        <v>P</v>
      </c>
      <c r="V17" s="4" t="str">
        <f>IFERROR(LOOKUP(2,1/((lentry!$A$3:$A$3999=apr!$A17)*(lentry!$B$3:$B$3999&lt;=apr!V$3)*(lentry!$C$3:$C$3999&gt;=apr!V$3)),lentry!$D$3:$D$3999),IF(WEEKDAY(apr!V$3,1)=1,"WO","P"))</f>
        <v>P</v>
      </c>
      <c r="W17" s="4" t="str">
        <f>IFERROR(LOOKUP(2,1/((lentry!$A$3:$A$3999=apr!$A17)*(lentry!$B$3:$B$3999&lt;=apr!W$3)*(lentry!$C$3:$C$3999&gt;=apr!W$3)),lentry!$D$3:$D$3999),IF(WEEKDAY(apr!W$3,1)=1,"WO","P"))</f>
        <v>P</v>
      </c>
      <c r="X17" s="4" t="str">
        <f>IFERROR(LOOKUP(2,1/((lentry!$A$3:$A$3999=apr!$A17)*(lentry!$B$3:$B$3999&lt;=apr!X$3)*(lentry!$C$3:$C$3999&gt;=apr!X$3)),lentry!$D$3:$D$3999),IF(WEEKDAY(apr!X$3,1)=1,"WO","P"))</f>
        <v>WO</v>
      </c>
      <c r="Y17" s="4" t="str">
        <f>IFERROR(LOOKUP(2,1/((lentry!$A$3:$A$3999=apr!$A17)*(lentry!$B$3:$B$3999&lt;=apr!Y$3)*(lentry!$C$3:$C$3999&gt;=apr!Y$3)),lentry!$D$3:$D$3999),IF(WEEKDAY(apr!Y$3,1)=1,"WO","P"))</f>
        <v>P</v>
      </c>
      <c r="Z17" s="4" t="str">
        <f>IFERROR(LOOKUP(2,1/((lentry!$A$3:$A$3999=apr!$A17)*(lentry!$B$3:$B$3999&lt;=apr!Z$3)*(lentry!$C$3:$C$3999&gt;=apr!Z$3)),lentry!$D$3:$D$3999),IF(WEEKDAY(apr!Z$3,1)=1,"WO","P"))</f>
        <v>P</v>
      </c>
      <c r="AA17" s="4" t="str">
        <f>IFERROR(LOOKUP(2,1/((lentry!$A$3:$A$3999=apr!$A17)*(lentry!$B$3:$B$3999&lt;=apr!AA$3)*(lentry!$C$3:$C$3999&gt;=apr!AA$3)),lentry!$D$3:$D$3999),IF(WEEKDAY(apr!AA$3,1)=1,"WO","P"))</f>
        <v>P</v>
      </c>
      <c r="AB17" s="4" t="str">
        <f>IFERROR(LOOKUP(2,1/((lentry!$A$3:$A$3999=apr!$A17)*(lentry!$B$3:$B$3999&lt;=apr!AB$3)*(lentry!$C$3:$C$3999&gt;=apr!AB$3)),lentry!$D$3:$D$3999),IF(WEEKDAY(apr!AB$3,1)=1,"WO","P"))</f>
        <v>P</v>
      </c>
      <c r="AC17" s="4" t="str">
        <f>IFERROR(LOOKUP(2,1/((lentry!$A$3:$A$3999=apr!$A17)*(lentry!$B$3:$B$3999&lt;=apr!AC$3)*(lentry!$C$3:$C$3999&gt;=apr!AC$3)),lentry!$D$3:$D$3999),IF(WEEKDAY(apr!AC$3,1)=1,"WO","P"))</f>
        <v>P</v>
      </c>
      <c r="AD17" s="4" t="str">
        <f>IFERROR(LOOKUP(2,1/((lentry!$A$3:$A$3999=apr!$A17)*(lentry!$B$3:$B$3999&lt;=apr!AD$3)*(lentry!$C$3:$C$3999&gt;=apr!AD$3)),lentry!$D$3:$D$3999),IF(WEEKDAY(apr!AD$3,1)=1,"WO","P"))</f>
        <v>P</v>
      </c>
      <c r="AE17" s="4" t="str">
        <f>IFERROR(LOOKUP(2,1/((lentry!$A$3:$A$3999=apr!$A17)*(lentry!$B$3:$B$3999&lt;=apr!AE$3)*(lentry!$C$3:$C$3999&gt;=apr!AE$3)),lentry!$D$3:$D$3999),IF(WEEKDAY(apr!AE$3,1)=1,"WO","P"))</f>
        <v>WO</v>
      </c>
      <c r="AF17" s="4" t="str">
        <f>IFERROR(LOOKUP(2,1/((lentry!$A$3:$A$3999=apr!$A17)*(lentry!$B$3:$B$3999&lt;=apr!AF$3)*(lentry!$C$3:$C$3999&gt;=apr!AF$3)),lentry!$D$3:$D$3999),IF(WEEKDAY(apr!AF$3,1)=1,"WO","P"))</f>
        <v>P</v>
      </c>
      <c r="AG17" s="4" t="str">
        <f>IFERROR(LOOKUP(2,1/((lentry!$A$3:$A$3999=apr!$A17)*(lentry!$B$3:$B$3999&lt;=apr!AG$3)*(lentry!$C$3:$C$3999&gt;=apr!AG$3)),lentry!$D$3:$D$3999),IF(WEEKDAY(apr!AG$3,1)=1,"WO","P"))</f>
        <v>P</v>
      </c>
      <c r="AH17" s="4" t="str">
        <f>IFERROR(LOOKUP(2,1/((lentry!$A$3:$A$3999=apr!$A17)*(lentry!$B$3:$B$3999&lt;=apr!AH$3)*(lentry!$C$3:$C$3999&gt;=apr!AH$3)),lentry!$D$3:$D$3999),IF(WEEKDAY(apr!AH$3,1)=1,"WO","P"))</f>
        <v>P</v>
      </c>
      <c r="AI17" s="4" t="str">
        <f>IFERROR(LOOKUP(2,1/((lentry!$A$3:$A$3999=apr!$A17)*(lentry!$B$3:$B$3999&lt;=apr!AI$3)*(lentry!$C$3:$C$3999&gt;=apr!AI$3)),lentry!$D$3:$D$3999),IF(WEEKDAY(apr!AI$3,1)=1,"WO","P"))</f>
        <v>P</v>
      </c>
      <c r="AJ17" s="5">
        <f>COUNTIF(apr!$F17:$AI17,"WO")</f>
        <v>4</v>
      </c>
      <c r="AK17" s="5">
        <f>COUNTIF(jan!$F17:$AJ17,"H")</f>
        <v>1</v>
      </c>
      <c r="AL17" s="5">
        <f>COUNTIF(jan!$F17:$AJ17,"PL")</f>
        <v>0</v>
      </c>
      <c r="AM17" s="5">
        <f>COUNTIF(jan!$F17:$AJ17,"LWP")</f>
        <v>0</v>
      </c>
      <c r="AN17" s="5">
        <f>COUNTIF(jan!$F17:$AJ17,"HD")</f>
        <v>0</v>
      </c>
      <c r="AO17" s="5">
        <f>COUNTIF(jan!$F17:$AJ17,"SL")</f>
        <v>0</v>
      </c>
      <c r="AP17" s="5">
        <f>COUNTIF(jan!$F17:$AJ17,"CL")</f>
        <v>0</v>
      </c>
      <c r="AQ17" s="5">
        <f>COUNTIF(jan!$F17:$AJ17,"A")</f>
        <v>0</v>
      </c>
      <c r="AR17" s="5">
        <f>COUNTIF(jan!$F17:$AJ17,"P")</f>
        <v>26</v>
      </c>
      <c r="AS17" s="5">
        <f t="shared" si="2"/>
        <v>30</v>
      </c>
      <c r="AT17" s="5">
        <f t="shared" si="3"/>
        <v>31</v>
      </c>
      <c r="AU17" s="4">
        <f>SUMIFS(holly!$L$2:$L$122,holly!$I$2:$I$122,mar!$A17,holly!$K$2:$K$122,"Mar")</f>
        <v>0</v>
      </c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</row>
    <row r="18" spans="1:77" ht="18.75" x14ac:dyDescent="0.3">
      <c r="A18" s="3" t="s">
        <v>34</v>
      </c>
      <c r="B18" s="3" t="str">
        <f>VLOOKUP($A18,Master!$A$2:$K$52,2,0)</f>
        <v>Employee14</v>
      </c>
      <c r="C18" s="3" t="str">
        <f>VLOOKUP($A18,Master!$A$2:$K$52,3,0)</f>
        <v>Male</v>
      </c>
      <c r="D18" s="3" t="str">
        <f>VLOOKUP($A18,Master!$A$2:$K$52,5,0)</f>
        <v>Accounts</v>
      </c>
      <c r="E18" s="3" t="str">
        <f>VLOOKUP($A18,Master!$A$2:$K$52,6,0)</f>
        <v>Accounts Assistant</v>
      </c>
      <c r="F18" s="4" t="str">
        <f>IFERROR(LOOKUP(2,1/((lentry!$A$3:$A$3999=apr!$A18)*(lentry!$B$3:$B$3999&lt;=apr!F$3)*(lentry!$C$3:$C$3999&gt;=apr!F$3)),lentry!$D$3:$D$3999),IF(WEEKDAY(apr!F$3,1)=1,"WO","P"))</f>
        <v>P</v>
      </c>
      <c r="G18" s="4" t="str">
        <f>IFERROR(LOOKUP(2,1/((lentry!$A$3:$A$3999=apr!$A18)*(lentry!$B$3:$B$3999&lt;=apr!G$3)*(lentry!$C$3:$C$3999&gt;=apr!G$3)),lentry!$D$3:$D$3999),IF(WEEKDAY(apr!G$3,1)=1,"WO","P"))</f>
        <v>P</v>
      </c>
      <c r="H18" s="4" t="s">
        <v>350</v>
      </c>
      <c r="I18" s="4" t="str">
        <f>IFERROR(LOOKUP(2,1/((lentry!$A$3:$A$3999=apr!$A18)*(lentry!$B$3:$B$3999&lt;=apr!I$3)*(lentry!$C$3:$C$3999&gt;=apr!I$3)),lentry!$D$3:$D$3999),IF(WEEKDAY(apr!I$3,1)=1,"WO","P"))</f>
        <v>P</v>
      </c>
      <c r="J18" s="4" t="str">
        <f>IFERROR(LOOKUP(2,1/((lentry!$A$3:$A$3999=apr!$A18)*(lentry!$B$3:$B$3999&lt;=apr!J$3)*(lentry!$C$3:$C$3999&gt;=apr!J$3)),lentry!$D$3:$D$3999),IF(WEEKDAY(apr!J$3,1)=1,"WO","P"))</f>
        <v>WO</v>
      </c>
      <c r="K18" s="4" t="str">
        <f>IFERROR(LOOKUP(2,1/((lentry!$A$3:$A$3999=apr!$A18)*(lentry!$B$3:$B$3999&lt;=apr!K$3)*(lentry!$C$3:$C$3999&gt;=apr!K$3)),lentry!$D$3:$D$3999),IF(WEEKDAY(apr!K$3,1)=1,"WO","P"))</f>
        <v>P</v>
      </c>
      <c r="L18" s="4" t="str">
        <f>IFERROR(LOOKUP(2,1/((lentry!$A$3:$A$3999=apr!$A18)*(lentry!$B$3:$B$3999&lt;=apr!L$3)*(lentry!$C$3:$C$3999&gt;=apr!L$3)),lentry!$D$3:$D$3999),IF(WEEKDAY(apr!L$3,1)=1,"WO","P"))</f>
        <v>P</v>
      </c>
      <c r="M18" s="4" t="str">
        <f>IFERROR(LOOKUP(2,1/((lentry!$A$3:$A$3999=apr!$A18)*(lentry!$B$3:$B$3999&lt;=apr!M$3)*(lentry!$C$3:$C$3999&gt;=apr!M$3)),lentry!$D$3:$D$3999),IF(WEEKDAY(apr!M$3,1)=1,"WO","P"))</f>
        <v>P</v>
      </c>
      <c r="N18" s="4" t="str">
        <f>IFERROR(LOOKUP(2,1/((lentry!$A$3:$A$3999=apr!$A18)*(lentry!$B$3:$B$3999&lt;=apr!N$3)*(lentry!$C$3:$C$3999&gt;=apr!N$3)),lentry!$D$3:$D$3999),IF(WEEKDAY(apr!N$3,1)=1,"WO","P"))</f>
        <v>P</v>
      </c>
      <c r="O18" s="4" t="str">
        <f>IFERROR(LOOKUP(2,1/((lentry!$A$3:$A$3999=apr!$A18)*(lentry!$B$3:$B$3999&lt;=apr!O$3)*(lentry!$C$3:$C$3999&gt;=apr!O$3)),lentry!$D$3:$D$3999),IF(WEEKDAY(apr!O$3,1)=1,"WO","P"))</f>
        <v>P</v>
      </c>
      <c r="P18" s="4" t="str">
        <f>IFERROR(LOOKUP(2,1/((lentry!$A$3:$A$3999=apr!$A18)*(lentry!$B$3:$B$3999&lt;=apr!P$3)*(lentry!$C$3:$C$3999&gt;=apr!P$3)),lentry!$D$3:$D$3999),IF(WEEKDAY(apr!P$3,1)=1,"WO","P"))</f>
        <v>P</v>
      </c>
      <c r="Q18" s="4" t="str">
        <f>IFERROR(LOOKUP(2,1/((lentry!$A$3:$A$3999=apr!$A18)*(lentry!$B$3:$B$3999&lt;=apr!Q$3)*(lentry!$C$3:$C$3999&gt;=apr!Q$3)),lentry!$D$3:$D$3999),IF(WEEKDAY(apr!Q$3,1)=1,"WO","P"))</f>
        <v>WO</v>
      </c>
      <c r="R18" s="4" t="str">
        <f>IFERROR(LOOKUP(2,1/((lentry!$A$3:$A$3999=apr!$A18)*(lentry!$B$3:$B$3999&lt;=apr!R$3)*(lentry!$C$3:$C$3999&gt;=apr!R$3)),lentry!$D$3:$D$3999),IF(WEEKDAY(apr!R$3,1)=1,"WO","P"))</f>
        <v>P</v>
      </c>
      <c r="S18" s="4" t="s">
        <v>350</v>
      </c>
      <c r="T18" s="4" t="str">
        <f>IFERROR(LOOKUP(2,1/((lentry!$A$3:$A$3999=apr!$A18)*(lentry!$B$3:$B$3999&lt;=apr!T$3)*(lentry!$C$3:$C$3999&gt;=apr!T$3)),lentry!$D$3:$D$3999),IF(WEEKDAY(apr!T$3,1)=1,"WO","P"))</f>
        <v>P</v>
      </c>
      <c r="U18" s="4" t="str">
        <f>IFERROR(LOOKUP(2,1/((lentry!$A$3:$A$3999=apr!$A18)*(lentry!$B$3:$B$3999&lt;=apr!U$3)*(lentry!$C$3:$C$3999&gt;=apr!U$3)),lentry!$D$3:$D$3999),IF(WEEKDAY(apr!U$3,1)=1,"WO","P"))</f>
        <v>P</v>
      </c>
      <c r="V18" s="4" t="s">
        <v>539</v>
      </c>
      <c r="W18" s="4" t="str">
        <f>IFERROR(LOOKUP(2,1/((lentry!$A$3:$A$3999=apr!$A18)*(lentry!$B$3:$B$3999&lt;=apr!W$3)*(lentry!$C$3:$C$3999&gt;=apr!W$3)),lentry!$D$3:$D$3999),IF(WEEKDAY(apr!W$3,1)=1,"WO","P"))</f>
        <v>P</v>
      </c>
      <c r="X18" s="4" t="str">
        <f>IFERROR(LOOKUP(2,1/((lentry!$A$3:$A$3999=apr!$A18)*(lentry!$B$3:$B$3999&lt;=apr!X$3)*(lentry!$C$3:$C$3999&gt;=apr!X$3)),lentry!$D$3:$D$3999),IF(WEEKDAY(apr!X$3,1)=1,"WO","P"))</f>
        <v>WO</v>
      </c>
      <c r="Y18" s="4" t="str">
        <f>IFERROR(LOOKUP(2,1/((lentry!$A$3:$A$3999=apr!$A18)*(lentry!$B$3:$B$3999&lt;=apr!Y$3)*(lentry!$C$3:$C$3999&gt;=apr!Y$3)),lentry!$D$3:$D$3999),IF(WEEKDAY(apr!Y$3,1)=1,"WO","P"))</f>
        <v>P</v>
      </c>
      <c r="Z18" s="4" t="str">
        <f>IFERROR(LOOKUP(2,1/((lentry!$A$3:$A$3999=apr!$A18)*(lentry!$B$3:$B$3999&lt;=apr!Z$3)*(lentry!$C$3:$C$3999&gt;=apr!Z$3)),lentry!$D$3:$D$3999),IF(WEEKDAY(apr!Z$3,1)=1,"WO","P"))</f>
        <v>P</v>
      </c>
      <c r="AA18" s="4" t="str">
        <f>IFERROR(LOOKUP(2,1/((lentry!$A$3:$A$3999=apr!$A18)*(lentry!$B$3:$B$3999&lt;=apr!AA$3)*(lentry!$C$3:$C$3999&gt;=apr!AA$3)),lentry!$D$3:$D$3999),IF(WEEKDAY(apr!AA$3,1)=1,"WO","P"))</f>
        <v>P</v>
      </c>
      <c r="AB18" s="4" t="s">
        <v>539</v>
      </c>
      <c r="AC18" s="4" t="str">
        <f>IFERROR(LOOKUP(2,1/((lentry!$A$3:$A$3999=apr!$A18)*(lentry!$B$3:$B$3999&lt;=apr!AC$3)*(lentry!$C$3:$C$3999&gt;=apr!AC$3)),lentry!$D$3:$D$3999),IF(WEEKDAY(apr!AC$3,1)=1,"WO","P"))</f>
        <v>P</v>
      </c>
      <c r="AD18" s="4" t="str">
        <f>IFERROR(LOOKUP(2,1/((lentry!$A$3:$A$3999=apr!$A18)*(lentry!$B$3:$B$3999&lt;=apr!AD$3)*(lentry!$C$3:$C$3999&gt;=apr!AD$3)),lentry!$D$3:$D$3999),IF(WEEKDAY(apr!AD$3,1)=1,"WO","P"))</f>
        <v>P</v>
      </c>
      <c r="AE18" s="4" t="str">
        <f>IFERROR(LOOKUP(2,1/((lentry!$A$3:$A$3999=apr!$A18)*(lentry!$B$3:$B$3999&lt;=apr!AE$3)*(lentry!$C$3:$C$3999&gt;=apr!AE$3)),lentry!$D$3:$D$3999),IF(WEEKDAY(apr!AE$3,1)=1,"WO","P"))</f>
        <v>WO</v>
      </c>
      <c r="AF18" s="4" t="str">
        <f>IFERROR(LOOKUP(2,1/((lentry!$A$3:$A$3999=apr!$A18)*(lentry!$B$3:$B$3999&lt;=apr!AF$3)*(lentry!$C$3:$C$3999&gt;=apr!AF$3)),lentry!$D$3:$D$3999),IF(WEEKDAY(apr!AF$3,1)=1,"WO","P"))</f>
        <v>P</v>
      </c>
      <c r="AG18" s="4" t="str">
        <f>IFERROR(LOOKUP(2,1/((lentry!$A$3:$A$3999=apr!$A18)*(lentry!$B$3:$B$3999&lt;=apr!AG$3)*(lentry!$C$3:$C$3999&gt;=apr!AG$3)),lentry!$D$3:$D$3999),IF(WEEKDAY(apr!AG$3,1)=1,"WO","P"))</f>
        <v>P</v>
      </c>
      <c r="AH18" s="4" t="str">
        <f>IFERROR(LOOKUP(2,1/((lentry!$A$3:$A$3999=apr!$A18)*(lentry!$B$3:$B$3999&lt;=apr!AH$3)*(lentry!$C$3:$C$3999&gt;=apr!AH$3)),lentry!$D$3:$D$3999),IF(WEEKDAY(apr!AH$3,1)=1,"WO","P"))</f>
        <v>P</v>
      </c>
      <c r="AI18" s="4" t="str">
        <f>IFERROR(LOOKUP(2,1/((lentry!$A$3:$A$3999=apr!$A18)*(lentry!$B$3:$B$3999&lt;=apr!AI$3)*(lentry!$C$3:$C$3999&gt;=apr!AI$3)),lentry!$D$3:$D$3999),IF(WEEKDAY(apr!AI$3,1)=1,"WO","P"))</f>
        <v>P</v>
      </c>
      <c r="AJ18" s="5">
        <f>COUNTIF(apr!$F18:$AI18,"WO")</f>
        <v>4</v>
      </c>
      <c r="AK18" s="5">
        <f>COUNTIF(jan!$F18:$AJ18,"H")</f>
        <v>1</v>
      </c>
      <c r="AL18" s="5">
        <f>COUNTIF(jan!$F18:$AJ18,"PL")</f>
        <v>0</v>
      </c>
      <c r="AM18" s="5">
        <f>COUNTIF(jan!$F18:$AJ18,"LWP")</f>
        <v>0</v>
      </c>
      <c r="AN18" s="5">
        <f>COUNTIF(jan!$F18:$AJ18,"HD")</f>
        <v>0</v>
      </c>
      <c r="AO18" s="5">
        <f>COUNTIF(jan!$F18:$AJ18,"SL")</f>
        <v>0</v>
      </c>
      <c r="AP18" s="5">
        <f>COUNTIF(jan!$F18:$AJ18,"CL")</f>
        <v>0</v>
      </c>
      <c r="AQ18" s="5">
        <f>COUNTIF(jan!$F18:$AJ18,"A")</f>
        <v>1</v>
      </c>
      <c r="AR18" s="5">
        <f>COUNTIF(jan!$F18:$AJ18,"P")</f>
        <v>25</v>
      </c>
      <c r="AS18" s="5">
        <f t="shared" si="2"/>
        <v>30</v>
      </c>
      <c r="AT18" s="5">
        <f t="shared" si="3"/>
        <v>30</v>
      </c>
      <c r="AU18" s="4">
        <f>SUMIFS(holly!$L$2:$L$122,holly!$I$2:$I$122,mar!$A18,holly!$K$2:$K$122,"Mar")</f>
        <v>0</v>
      </c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</row>
    <row r="19" spans="1:77" ht="18.75" x14ac:dyDescent="0.3">
      <c r="A19" s="3" t="s">
        <v>37</v>
      </c>
      <c r="B19" s="3" t="str">
        <f>VLOOKUP($A19,Master!$A$2:$K$52,2,0)</f>
        <v>Employee15</v>
      </c>
      <c r="C19" s="3" t="str">
        <f>VLOOKUP($A19,Master!$A$2:$K$52,3,0)</f>
        <v>Male</v>
      </c>
      <c r="D19" s="3" t="str">
        <f>VLOOKUP($A19,Master!$A$2:$K$52,5,0)</f>
        <v>HR</v>
      </c>
      <c r="E19" s="3" t="str">
        <f>VLOOKUP($A19,Master!$A$2:$K$52,6,0)</f>
        <v>HR Executive</v>
      </c>
      <c r="F19" s="4" t="str">
        <f>IFERROR(LOOKUP(2,1/((lentry!$A$3:$A$3999=apr!$A19)*(lentry!$B$3:$B$3999&lt;=apr!F$3)*(lentry!$C$3:$C$3999&gt;=apr!F$3)),lentry!$D$3:$D$3999),IF(WEEKDAY(apr!F$3,1)=1,"WO","P"))</f>
        <v>P</v>
      </c>
      <c r="G19" s="4" t="str">
        <f>IFERROR(LOOKUP(2,1/((lentry!$A$3:$A$3999=apr!$A19)*(lentry!$B$3:$B$3999&lt;=apr!G$3)*(lentry!$C$3:$C$3999&gt;=apr!G$3)),lentry!$D$3:$D$3999),IF(WEEKDAY(apr!G$3,1)=1,"WO","P"))</f>
        <v>P</v>
      </c>
      <c r="H19" s="4" t="s">
        <v>350</v>
      </c>
      <c r="I19" s="4" t="str">
        <f>IFERROR(LOOKUP(2,1/((lentry!$A$3:$A$3999=apr!$A19)*(lentry!$B$3:$B$3999&lt;=apr!I$3)*(lentry!$C$3:$C$3999&gt;=apr!I$3)),lentry!$D$3:$D$3999),IF(WEEKDAY(apr!I$3,1)=1,"WO","P"))</f>
        <v>P</v>
      </c>
      <c r="J19" s="4" t="str">
        <f>IFERROR(LOOKUP(2,1/((lentry!$A$3:$A$3999=apr!$A19)*(lentry!$B$3:$B$3999&lt;=apr!J$3)*(lentry!$C$3:$C$3999&gt;=apr!J$3)),lentry!$D$3:$D$3999),IF(WEEKDAY(apr!J$3,1)=1,"WO","P"))</f>
        <v>WO</v>
      </c>
      <c r="K19" s="4" t="str">
        <f>IFERROR(LOOKUP(2,1/((lentry!$A$3:$A$3999=apr!$A19)*(lentry!$B$3:$B$3999&lt;=apr!K$3)*(lentry!$C$3:$C$3999&gt;=apr!K$3)),lentry!$D$3:$D$3999),IF(WEEKDAY(apr!K$3,1)=1,"WO","P"))</f>
        <v>P</v>
      </c>
      <c r="L19" s="4" t="str">
        <f>IFERROR(LOOKUP(2,1/((lentry!$A$3:$A$3999=apr!$A19)*(lentry!$B$3:$B$3999&lt;=apr!L$3)*(lentry!$C$3:$C$3999&gt;=apr!L$3)),lentry!$D$3:$D$3999),IF(WEEKDAY(apr!L$3,1)=1,"WO","P"))</f>
        <v>P</v>
      </c>
      <c r="M19" s="4" t="str">
        <f>IFERROR(LOOKUP(2,1/((lentry!$A$3:$A$3999=apr!$A19)*(lentry!$B$3:$B$3999&lt;=apr!M$3)*(lentry!$C$3:$C$3999&gt;=apr!M$3)),lentry!$D$3:$D$3999),IF(WEEKDAY(apr!M$3,1)=1,"WO","P"))</f>
        <v>P</v>
      </c>
      <c r="N19" s="4" t="s">
        <v>539</v>
      </c>
      <c r="O19" s="4" t="str">
        <f>IFERROR(LOOKUP(2,1/((lentry!$A$3:$A$3999=apr!$A19)*(lentry!$B$3:$B$3999&lt;=apr!O$3)*(lentry!$C$3:$C$3999&gt;=apr!O$3)),lentry!$D$3:$D$3999),IF(WEEKDAY(apr!O$3,1)=1,"WO","P"))</f>
        <v>P</v>
      </c>
      <c r="P19" s="4" t="str">
        <f>IFERROR(LOOKUP(2,1/((lentry!$A$3:$A$3999=apr!$A19)*(lentry!$B$3:$B$3999&lt;=apr!P$3)*(lentry!$C$3:$C$3999&gt;=apr!P$3)),lentry!$D$3:$D$3999),IF(WEEKDAY(apr!P$3,1)=1,"WO","P"))</f>
        <v>P</v>
      </c>
      <c r="Q19" s="4" t="str">
        <f>IFERROR(LOOKUP(2,1/((lentry!$A$3:$A$3999=apr!$A19)*(lentry!$B$3:$B$3999&lt;=apr!Q$3)*(lentry!$C$3:$C$3999&gt;=apr!Q$3)),lentry!$D$3:$D$3999),IF(WEEKDAY(apr!Q$3,1)=1,"WO","P"))</f>
        <v>WO</v>
      </c>
      <c r="R19" s="4" t="str">
        <f>IFERROR(LOOKUP(2,1/((lentry!$A$3:$A$3999=apr!$A19)*(lentry!$B$3:$B$3999&lt;=apr!R$3)*(lentry!$C$3:$C$3999&gt;=apr!R$3)),lentry!$D$3:$D$3999),IF(WEEKDAY(apr!R$3,1)=1,"WO","P"))</f>
        <v>P</v>
      </c>
      <c r="S19" s="4" t="s">
        <v>350</v>
      </c>
      <c r="T19" s="4" t="str">
        <f>IFERROR(LOOKUP(2,1/((lentry!$A$3:$A$3999=apr!$A19)*(lentry!$B$3:$B$3999&lt;=apr!T$3)*(lentry!$C$3:$C$3999&gt;=apr!T$3)),lentry!$D$3:$D$3999),IF(WEEKDAY(apr!T$3,1)=1,"WO","P"))</f>
        <v>P</v>
      </c>
      <c r="U19" s="4" t="str">
        <f>IFERROR(LOOKUP(2,1/((lentry!$A$3:$A$3999=apr!$A19)*(lentry!$B$3:$B$3999&lt;=apr!U$3)*(lentry!$C$3:$C$3999&gt;=apr!U$3)),lentry!$D$3:$D$3999),IF(WEEKDAY(apr!U$3,1)=1,"WO","P"))</f>
        <v>P</v>
      </c>
      <c r="V19" s="4" t="str">
        <f>IFERROR(LOOKUP(2,1/((lentry!$A$3:$A$3999=apr!$A19)*(lentry!$B$3:$B$3999&lt;=apr!V$3)*(lentry!$C$3:$C$3999&gt;=apr!V$3)),lentry!$D$3:$D$3999),IF(WEEKDAY(apr!V$3,1)=1,"WO","P"))</f>
        <v>P</v>
      </c>
      <c r="W19" s="4" t="str">
        <f>IFERROR(LOOKUP(2,1/((lentry!$A$3:$A$3999=apr!$A19)*(lentry!$B$3:$B$3999&lt;=apr!W$3)*(lentry!$C$3:$C$3999&gt;=apr!W$3)),lentry!$D$3:$D$3999),IF(WEEKDAY(apr!W$3,1)=1,"WO","P"))</f>
        <v>P</v>
      </c>
      <c r="X19" s="4" t="str">
        <f>IFERROR(LOOKUP(2,1/((lentry!$A$3:$A$3999=apr!$A19)*(lentry!$B$3:$B$3999&lt;=apr!X$3)*(lentry!$C$3:$C$3999&gt;=apr!X$3)),lentry!$D$3:$D$3999),IF(WEEKDAY(apr!X$3,1)=1,"WO","P"))</f>
        <v>WO</v>
      </c>
      <c r="Y19" s="4" t="str">
        <f>IFERROR(LOOKUP(2,1/((lentry!$A$3:$A$3999=apr!$A19)*(lentry!$B$3:$B$3999&lt;=apr!Y$3)*(lentry!$C$3:$C$3999&gt;=apr!Y$3)),lentry!$D$3:$D$3999),IF(WEEKDAY(apr!Y$3,1)=1,"WO","P"))</f>
        <v>P</v>
      </c>
      <c r="Z19" s="4" t="str">
        <f>IFERROR(LOOKUP(2,1/((lentry!$A$3:$A$3999=apr!$A19)*(lentry!$B$3:$B$3999&lt;=apr!Z$3)*(lentry!$C$3:$C$3999&gt;=apr!Z$3)),lentry!$D$3:$D$3999),IF(WEEKDAY(apr!Z$3,1)=1,"WO","P"))</f>
        <v>P</v>
      </c>
      <c r="AA19" s="4" t="str">
        <f>IFERROR(LOOKUP(2,1/((lentry!$A$3:$A$3999=apr!$A19)*(lentry!$B$3:$B$3999&lt;=apr!AA$3)*(lentry!$C$3:$C$3999&gt;=apr!AA$3)),lentry!$D$3:$D$3999),IF(WEEKDAY(apr!AA$3,1)=1,"WO","P"))</f>
        <v>P</v>
      </c>
      <c r="AB19" s="4" t="str">
        <f>IFERROR(LOOKUP(2,1/((lentry!$A$3:$A$3999=apr!$A19)*(lentry!$B$3:$B$3999&lt;=apr!AB$3)*(lentry!$C$3:$C$3999&gt;=apr!AB$3)),lentry!$D$3:$D$3999),IF(WEEKDAY(apr!AB$3,1)=1,"WO","P"))</f>
        <v>P</v>
      </c>
      <c r="AC19" s="4" t="str">
        <f>IFERROR(LOOKUP(2,1/((lentry!$A$3:$A$3999=apr!$A19)*(lentry!$B$3:$B$3999&lt;=apr!AC$3)*(lentry!$C$3:$C$3999&gt;=apr!AC$3)),lentry!$D$3:$D$3999),IF(WEEKDAY(apr!AC$3,1)=1,"WO","P"))</f>
        <v>P</v>
      </c>
      <c r="AD19" s="4" t="str">
        <f>IFERROR(LOOKUP(2,1/((lentry!$A$3:$A$3999=apr!$A19)*(lentry!$B$3:$B$3999&lt;=apr!AD$3)*(lentry!$C$3:$C$3999&gt;=apr!AD$3)),lentry!$D$3:$D$3999),IF(WEEKDAY(apr!AD$3,1)=1,"WO","P"))</f>
        <v>P</v>
      </c>
      <c r="AE19" s="4" t="str">
        <f>IFERROR(LOOKUP(2,1/((lentry!$A$3:$A$3999=apr!$A19)*(lentry!$B$3:$B$3999&lt;=apr!AE$3)*(lentry!$C$3:$C$3999&gt;=apr!AE$3)),lentry!$D$3:$D$3999),IF(WEEKDAY(apr!AE$3,1)=1,"WO","P"))</f>
        <v>WO</v>
      </c>
      <c r="AF19" s="4" t="str">
        <f>IFERROR(LOOKUP(2,1/((lentry!$A$3:$A$3999=apr!$A19)*(lentry!$B$3:$B$3999&lt;=apr!AF$3)*(lentry!$C$3:$C$3999&gt;=apr!AF$3)),lentry!$D$3:$D$3999),IF(WEEKDAY(apr!AF$3,1)=1,"WO","P"))</f>
        <v>P</v>
      </c>
      <c r="AG19" s="4" t="str">
        <f>IFERROR(LOOKUP(2,1/((lentry!$A$3:$A$3999=apr!$A19)*(lentry!$B$3:$B$3999&lt;=apr!AG$3)*(lentry!$C$3:$C$3999&gt;=apr!AG$3)),lentry!$D$3:$D$3999),IF(WEEKDAY(apr!AG$3,1)=1,"WO","P"))</f>
        <v>P</v>
      </c>
      <c r="AH19" s="4" t="str">
        <f>IFERROR(LOOKUP(2,1/((lentry!$A$3:$A$3999=apr!$A19)*(lentry!$B$3:$B$3999&lt;=apr!AH$3)*(lentry!$C$3:$C$3999&gt;=apr!AH$3)),lentry!$D$3:$D$3999),IF(WEEKDAY(apr!AH$3,1)=1,"WO","P"))</f>
        <v>P</v>
      </c>
      <c r="AI19" s="4" t="str">
        <f>IFERROR(LOOKUP(2,1/((lentry!$A$3:$A$3999=apr!$A19)*(lentry!$B$3:$B$3999&lt;=apr!AI$3)*(lentry!$C$3:$C$3999&gt;=apr!AI$3)),lentry!$D$3:$D$3999),IF(WEEKDAY(apr!AI$3,1)=1,"WO","P"))</f>
        <v>P</v>
      </c>
      <c r="AJ19" s="5">
        <f>COUNTIF(apr!$F19:$AI19,"WO")</f>
        <v>4</v>
      </c>
      <c r="AK19" s="5">
        <f>COUNTIF(jan!$F19:$AJ19,"H")</f>
        <v>1</v>
      </c>
      <c r="AL19" s="5">
        <f>COUNTIF(jan!$F19:$AJ19,"PL")</f>
        <v>0</v>
      </c>
      <c r="AM19" s="5">
        <f>COUNTIF(jan!$F19:$AJ19,"LWP")</f>
        <v>0</v>
      </c>
      <c r="AN19" s="5">
        <f>COUNTIF(jan!$F19:$AJ19,"HD")</f>
        <v>0</v>
      </c>
      <c r="AO19" s="5">
        <f>COUNTIF(jan!$F19:$AJ19,"SL")</f>
        <v>0</v>
      </c>
      <c r="AP19" s="5">
        <f>COUNTIF(jan!$F19:$AJ19,"CL")</f>
        <v>0</v>
      </c>
      <c r="AQ19" s="5">
        <f>COUNTIF(jan!$F19:$AJ19,"A")</f>
        <v>1</v>
      </c>
      <c r="AR19" s="5">
        <f>COUNTIF(jan!$F19:$AJ19,"P")</f>
        <v>25</v>
      </c>
      <c r="AS19" s="5">
        <f t="shared" si="2"/>
        <v>30</v>
      </c>
      <c r="AT19" s="5">
        <f t="shared" si="3"/>
        <v>30</v>
      </c>
      <c r="AU19" s="4">
        <f>SUMIFS(holly!$L$2:$L$122,holly!$I$2:$I$122,mar!$A19,holly!$K$2:$K$122,"Mar")</f>
        <v>0</v>
      </c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</row>
    <row r="20" spans="1:77" ht="18.75" x14ac:dyDescent="0.3">
      <c r="A20" s="3" t="s">
        <v>40</v>
      </c>
      <c r="B20" s="3" t="str">
        <f>VLOOKUP($A20,Master!$A$2:$K$52,2,0)</f>
        <v>Employee16</v>
      </c>
      <c r="C20" s="3" t="str">
        <f>VLOOKUP($A20,Master!$A$2:$K$52,3,0)</f>
        <v>Male</v>
      </c>
      <c r="D20" s="3" t="str">
        <f>VLOOKUP($A20,Master!$A$2:$K$52,5,0)</f>
        <v>Warehouse</v>
      </c>
      <c r="E20" s="3" t="str">
        <f>VLOOKUP($A20,Master!$A$2:$K$52,6,0)</f>
        <v>Warehouse Executive</v>
      </c>
      <c r="F20" s="4" t="str">
        <f>IFERROR(LOOKUP(2,1/((lentry!$A$3:$A$3999=apr!$A20)*(lentry!$B$3:$B$3999&lt;=apr!F$3)*(lentry!$C$3:$C$3999&gt;=apr!F$3)),lentry!$D$3:$D$3999),IF(WEEKDAY(apr!F$3,1)=1,"WO","P"))</f>
        <v>P</v>
      </c>
      <c r="G20" s="4" t="str">
        <f>IFERROR(LOOKUP(2,1/((lentry!$A$3:$A$3999=apr!$A20)*(lentry!$B$3:$B$3999&lt;=apr!G$3)*(lentry!$C$3:$C$3999&gt;=apr!G$3)),lentry!$D$3:$D$3999),IF(WEEKDAY(apr!G$3,1)=1,"WO","P"))</f>
        <v>P</v>
      </c>
      <c r="H20" s="4" t="s">
        <v>350</v>
      </c>
      <c r="I20" s="4" t="str">
        <f>IFERROR(LOOKUP(2,1/((lentry!$A$3:$A$3999=apr!$A20)*(lentry!$B$3:$B$3999&lt;=apr!I$3)*(lentry!$C$3:$C$3999&gt;=apr!I$3)),lentry!$D$3:$D$3999),IF(WEEKDAY(apr!I$3,1)=1,"WO","P"))</f>
        <v>P</v>
      </c>
      <c r="J20" s="4" t="str">
        <f>IFERROR(LOOKUP(2,1/((lentry!$A$3:$A$3999=apr!$A20)*(lentry!$B$3:$B$3999&lt;=apr!J$3)*(lentry!$C$3:$C$3999&gt;=apr!J$3)),lentry!$D$3:$D$3999),IF(WEEKDAY(apr!J$3,1)=1,"WO","P"))</f>
        <v>WO</v>
      </c>
      <c r="K20" s="4" t="str">
        <f>IFERROR(LOOKUP(2,1/((lentry!$A$3:$A$3999=apr!$A20)*(lentry!$B$3:$B$3999&lt;=apr!K$3)*(lentry!$C$3:$C$3999&gt;=apr!K$3)),lentry!$D$3:$D$3999),IF(WEEKDAY(apr!K$3,1)=1,"WO","P"))</f>
        <v>P</v>
      </c>
      <c r="L20" s="4" t="str">
        <f>IFERROR(LOOKUP(2,1/((lentry!$A$3:$A$3999=apr!$A20)*(lentry!$B$3:$B$3999&lt;=apr!L$3)*(lentry!$C$3:$C$3999&gt;=apr!L$3)),lentry!$D$3:$D$3999),IF(WEEKDAY(apr!L$3,1)=1,"WO","P"))</f>
        <v>P</v>
      </c>
      <c r="M20" s="4" t="str">
        <f>IFERROR(LOOKUP(2,1/((lentry!$A$3:$A$3999=apr!$A20)*(lentry!$B$3:$B$3999&lt;=apr!M$3)*(lentry!$C$3:$C$3999&gt;=apr!M$3)),lentry!$D$3:$D$3999),IF(WEEKDAY(apr!M$3,1)=1,"WO","P"))</f>
        <v>P</v>
      </c>
      <c r="N20" s="4" t="str">
        <f>IFERROR(LOOKUP(2,1/((lentry!$A$3:$A$3999=apr!$A20)*(lentry!$B$3:$B$3999&lt;=apr!N$3)*(lentry!$C$3:$C$3999&gt;=apr!N$3)),lentry!$D$3:$D$3999),IF(WEEKDAY(apr!N$3,1)=1,"WO","P"))</f>
        <v>P</v>
      </c>
      <c r="O20" s="4" t="str">
        <f>IFERROR(LOOKUP(2,1/((lentry!$A$3:$A$3999=apr!$A20)*(lentry!$B$3:$B$3999&lt;=apr!O$3)*(lentry!$C$3:$C$3999&gt;=apr!O$3)),lentry!$D$3:$D$3999),IF(WEEKDAY(apr!O$3,1)=1,"WO","P"))</f>
        <v>P</v>
      </c>
      <c r="P20" s="4" t="str">
        <f>IFERROR(LOOKUP(2,1/((lentry!$A$3:$A$3999=apr!$A20)*(lentry!$B$3:$B$3999&lt;=apr!P$3)*(lentry!$C$3:$C$3999&gt;=apr!P$3)),lentry!$D$3:$D$3999),IF(WEEKDAY(apr!P$3,1)=1,"WO","P"))</f>
        <v>P</v>
      </c>
      <c r="Q20" s="4" t="str">
        <f>IFERROR(LOOKUP(2,1/((lentry!$A$3:$A$3999=apr!$A20)*(lentry!$B$3:$B$3999&lt;=apr!Q$3)*(lentry!$C$3:$C$3999&gt;=apr!Q$3)),lentry!$D$3:$D$3999),IF(WEEKDAY(apr!Q$3,1)=1,"WO","P"))</f>
        <v>WO</v>
      </c>
      <c r="R20" s="4" t="str">
        <f>IFERROR(LOOKUP(2,1/((lentry!$A$3:$A$3999=apr!$A20)*(lentry!$B$3:$B$3999&lt;=apr!R$3)*(lentry!$C$3:$C$3999&gt;=apr!R$3)),lentry!$D$3:$D$3999),IF(WEEKDAY(apr!R$3,1)=1,"WO","P"))</f>
        <v>LWP</v>
      </c>
      <c r="S20" s="4" t="s">
        <v>350</v>
      </c>
      <c r="T20" s="4" t="str">
        <f>IFERROR(LOOKUP(2,1/((lentry!$A$3:$A$3999=apr!$A20)*(lentry!$B$3:$B$3999&lt;=apr!T$3)*(lentry!$C$3:$C$3999&gt;=apr!T$3)),lentry!$D$3:$D$3999),IF(WEEKDAY(apr!T$3,1)=1,"WO","P"))</f>
        <v>P</v>
      </c>
      <c r="U20" s="4" t="str">
        <f>IFERROR(LOOKUP(2,1/((lentry!$A$3:$A$3999=apr!$A20)*(lentry!$B$3:$B$3999&lt;=apr!U$3)*(lentry!$C$3:$C$3999&gt;=apr!U$3)),lentry!$D$3:$D$3999),IF(WEEKDAY(apr!U$3,1)=1,"WO","P"))</f>
        <v>P</v>
      </c>
      <c r="V20" s="4" t="str">
        <f>IFERROR(LOOKUP(2,1/((lentry!$A$3:$A$3999=apr!$A20)*(lentry!$B$3:$B$3999&lt;=apr!V$3)*(lentry!$C$3:$C$3999&gt;=apr!V$3)),lentry!$D$3:$D$3999),IF(WEEKDAY(apr!V$3,1)=1,"WO","P"))</f>
        <v>P</v>
      </c>
      <c r="W20" s="4" t="str">
        <f>IFERROR(LOOKUP(2,1/((lentry!$A$3:$A$3999=apr!$A20)*(lentry!$B$3:$B$3999&lt;=apr!W$3)*(lentry!$C$3:$C$3999&gt;=apr!W$3)),lentry!$D$3:$D$3999),IF(WEEKDAY(apr!W$3,1)=1,"WO","P"))</f>
        <v>P</v>
      </c>
      <c r="X20" s="4" t="str">
        <f>IFERROR(LOOKUP(2,1/((lentry!$A$3:$A$3999=apr!$A20)*(lentry!$B$3:$B$3999&lt;=apr!X$3)*(lentry!$C$3:$C$3999&gt;=apr!X$3)),lentry!$D$3:$D$3999),IF(WEEKDAY(apr!X$3,1)=1,"WO","P"))</f>
        <v>WO</v>
      </c>
      <c r="Y20" s="4" t="str">
        <f>IFERROR(LOOKUP(2,1/((lentry!$A$3:$A$3999=apr!$A20)*(lentry!$B$3:$B$3999&lt;=apr!Y$3)*(lentry!$C$3:$C$3999&gt;=apr!Y$3)),lentry!$D$3:$D$3999),IF(WEEKDAY(apr!Y$3,1)=1,"WO","P"))</f>
        <v>P</v>
      </c>
      <c r="Z20" s="4" t="str">
        <f>IFERROR(LOOKUP(2,1/((lentry!$A$3:$A$3999=apr!$A20)*(lentry!$B$3:$B$3999&lt;=apr!Z$3)*(lentry!$C$3:$C$3999&gt;=apr!Z$3)),lentry!$D$3:$D$3999),IF(WEEKDAY(apr!Z$3,1)=1,"WO","P"))</f>
        <v>P</v>
      </c>
      <c r="AA20" s="4" t="str">
        <f>IFERROR(LOOKUP(2,1/((lentry!$A$3:$A$3999=apr!$A20)*(lentry!$B$3:$B$3999&lt;=apr!AA$3)*(lentry!$C$3:$C$3999&gt;=apr!AA$3)),lentry!$D$3:$D$3999),IF(WEEKDAY(apr!AA$3,1)=1,"WO","P"))</f>
        <v>P</v>
      </c>
      <c r="AB20" s="4" t="str">
        <f>IFERROR(LOOKUP(2,1/((lentry!$A$3:$A$3999=apr!$A20)*(lentry!$B$3:$B$3999&lt;=apr!AB$3)*(lentry!$C$3:$C$3999&gt;=apr!AB$3)),lentry!$D$3:$D$3999),IF(WEEKDAY(apr!AB$3,1)=1,"WO","P"))</f>
        <v>P</v>
      </c>
      <c r="AC20" s="4" t="str">
        <f>IFERROR(LOOKUP(2,1/((lentry!$A$3:$A$3999=apr!$A20)*(lentry!$B$3:$B$3999&lt;=apr!AC$3)*(lentry!$C$3:$C$3999&gt;=apr!AC$3)),lentry!$D$3:$D$3999),IF(WEEKDAY(apr!AC$3,1)=1,"WO","P"))</f>
        <v>P</v>
      </c>
      <c r="AD20" s="4" t="str">
        <f>IFERROR(LOOKUP(2,1/((lentry!$A$3:$A$3999=apr!$A20)*(lentry!$B$3:$B$3999&lt;=apr!AD$3)*(lentry!$C$3:$C$3999&gt;=apr!AD$3)),lentry!$D$3:$D$3999),IF(WEEKDAY(apr!AD$3,1)=1,"WO","P"))</f>
        <v>P</v>
      </c>
      <c r="AE20" s="4" t="str">
        <f>IFERROR(LOOKUP(2,1/((lentry!$A$3:$A$3999=apr!$A20)*(lentry!$B$3:$B$3999&lt;=apr!AE$3)*(lentry!$C$3:$C$3999&gt;=apr!AE$3)),lentry!$D$3:$D$3999),IF(WEEKDAY(apr!AE$3,1)=1,"WO","P"))</f>
        <v>WO</v>
      </c>
      <c r="AF20" s="4" t="str">
        <f>IFERROR(LOOKUP(2,1/((lentry!$A$3:$A$3999=apr!$A20)*(lentry!$B$3:$B$3999&lt;=apr!AF$3)*(lentry!$C$3:$C$3999&gt;=apr!AF$3)),lentry!$D$3:$D$3999),IF(WEEKDAY(apr!AF$3,1)=1,"WO","P"))</f>
        <v>P</v>
      </c>
      <c r="AG20" s="4" t="str">
        <f>IFERROR(LOOKUP(2,1/((lentry!$A$3:$A$3999=apr!$A20)*(lentry!$B$3:$B$3999&lt;=apr!AG$3)*(lentry!$C$3:$C$3999&gt;=apr!AG$3)),lentry!$D$3:$D$3999),IF(WEEKDAY(apr!AG$3,1)=1,"WO","P"))</f>
        <v>P</v>
      </c>
      <c r="AH20" s="4" t="str">
        <f>IFERROR(LOOKUP(2,1/((lentry!$A$3:$A$3999=apr!$A20)*(lentry!$B$3:$B$3999&lt;=apr!AH$3)*(lentry!$C$3:$C$3999&gt;=apr!AH$3)),lentry!$D$3:$D$3999),IF(WEEKDAY(apr!AH$3,1)=1,"WO","P"))</f>
        <v>P</v>
      </c>
      <c r="AI20" s="4" t="str">
        <f>IFERROR(LOOKUP(2,1/((lentry!$A$3:$A$3999=apr!$A20)*(lentry!$B$3:$B$3999&lt;=apr!AI$3)*(lentry!$C$3:$C$3999&gt;=apr!AI$3)),lentry!$D$3:$D$3999),IF(WEEKDAY(apr!AI$3,1)=1,"WO","P"))</f>
        <v>P</v>
      </c>
      <c r="AJ20" s="5">
        <f>COUNTIF(apr!$F20:$AI20,"WO")</f>
        <v>4</v>
      </c>
      <c r="AK20" s="5">
        <f>COUNTIF(jan!$F20:$AJ20,"H")</f>
        <v>1</v>
      </c>
      <c r="AL20" s="5">
        <f>COUNTIF(jan!$F20:$AJ20,"PL")</f>
        <v>0</v>
      </c>
      <c r="AM20" s="5">
        <f>COUNTIF(jan!$F20:$AJ20,"LWP")</f>
        <v>0</v>
      </c>
      <c r="AN20" s="5">
        <f>COUNTIF(jan!$F20:$AJ20,"HD")</f>
        <v>0</v>
      </c>
      <c r="AO20" s="5">
        <f>COUNTIF(jan!$F20:$AJ20,"SL")</f>
        <v>0</v>
      </c>
      <c r="AP20" s="5">
        <f>COUNTIF(jan!$F20:$AJ20,"CL")</f>
        <v>0</v>
      </c>
      <c r="AQ20" s="5">
        <f>COUNTIF(jan!$F20:$AJ20,"A")</f>
        <v>0</v>
      </c>
      <c r="AR20" s="5">
        <f>COUNTIF(jan!$F20:$AJ20,"P")</f>
        <v>26</v>
      </c>
      <c r="AS20" s="5">
        <f t="shared" si="2"/>
        <v>30</v>
      </c>
      <c r="AT20" s="5">
        <f t="shared" si="3"/>
        <v>31</v>
      </c>
      <c r="AU20" s="4">
        <f>SUMIFS(holly!$L$2:$L$122,holly!$I$2:$I$122,mar!$A20,holly!$K$2:$K$122,"Mar")</f>
        <v>4</v>
      </c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</row>
    <row r="21" spans="1:77" ht="18.75" x14ac:dyDescent="0.3">
      <c r="A21" s="3" t="s">
        <v>42</v>
      </c>
      <c r="B21" s="3" t="str">
        <f>VLOOKUP($A21,Master!$A$2:$K$52,2,0)</f>
        <v>Employee17</v>
      </c>
      <c r="C21" s="3" t="str">
        <f>VLOOKUP($A21,Master!$A$2:$K$52,3,0)</f>
        <v>Male</v>
      </c>
      <c r="D21" s="3" t="str">
        <f>VLOOKUP($A21,Master!$A$2:$K$52,5,0)</f>
        <v>Production</v>
      </c>
      <c r="E21" s="3" t="str">
        <f>VLOOKUP($A21,Master!$A$2:$K$52,6,0)</f>
        <v>Senior Operator</v>
      </c>
      <c r="F21" s="4" t="str">
        <f>IFERROR(LOOKUP(2,1/((lentry!$A$3:$A$3999=apr!$A21)*(lentry!$B$3:$B$3999&lt;=apr!F$3)*(lentry!$C$3:$C$3999&gt;=apr!F$3)),lentry!$D$3:$D$3999),IF(WEEKDAY(apr!F$3,1)=1,"WO","P"))</f>
        <v>P</v>
      </c>
      <c r="G21" s="4" t="str">
        <f>IFERROR(LOOKUP(2,1/((lentry!$A$3:$A$3999=apr!$A21)*(lentry!$B$3:$B$3999&lt;=apr!G$3)*(lentry!$C$3:$C$3999&gt;=apr!G$3)),lentry!$D$3:$D$3999),IF(WEEKDAY(apr!G$3,1)=1,"WO","P"))</f>
        <v>P</v>
      </c>
      <c r="H21" s="4" t="s">
        <v>350</v>
      </c>
      <c r="I21" s="4" t="str">
        <f>IFERROR(LOOKUP(2,1/((lentry!$A$3:$A$3999=apr!$A21)*(lentry!$B$3:$B$3999&lt;=apr!I$3)*(lentry!$C$3:$C$3999&gt;=apr!I$3)),lentry!$D$3:$D$3999),IF(WEEKDAY(apr!I$3,1)=1,"WO","P"))</f>
        <v>P</v>
      </c>
      <c r="J21" s="4" t="str">
        <f>IFERROR(LOOKUP(2,1/((lentry!$A$3:$A$3999=apr!$A21)*(lentry!$B$3:$B$3999&lt;=apr!J$3)*(lentry!$C$3:$C$3999&gt;=apr!J$3)),lentry!$D$3:$D$3999),IF(WEEKDAY(apr!J$3,1)=1,"WO","P"))</f>
        <v>WO</v>
      </c>
      <c r="K21" s="4" t="str">
        <f>IFERROR(LOOKUP(2,1/((lentry!$A$3:$A$3999=apr!$A21)*(lentry!$B$3:$B$3999&lt;=apr!K$3)*(lentry!$C$3:$C$3999&gt;=apr!K$3)),lentry!$D$3:$D$3999),IF(WEEKDAY(apr!K$3,1)=1,"WO","P"))</f>
        <v>P</v>
      </c>
      <c r="L21" s="4" t="str">
        <f>IFERROR(LOOKUP(2,1/((lentry!$A$3:$A$3999=apr!$A21)*(lentry!$B$3:$B$3999&lt;=apr!L$3)*(lentry!$C$3:$C$3999&gt;=apr!L$3)),lentry!$D$3:$D$3999),IF(WEEKDAY(apr!L$3,1)=1,"WO","P"))</f>
        <v>P</v>
      </c>
      <c r="M21" s="4" t="str">
        <f>IFERROR(LOOKUP(2,1/((lentry!$A$3:$A$3999=apr!$A21)*(lentry!$B$3:$B$3999&lt;=apr!M$3)*(lentry!$C$3:$C$3999&gt;=apr!M$3)),lentry!$D$3:$D$3999),IF(WEEKDAY(apr!M$3,1)=1,"WO","P"))</f>
        <v>P</v>
      </c>
      <c r="N21" s="4" t="str">
        <f>IFERROR(LOOKUP(2,1/((lentry!$A$3:$A$3999=apr!$A21)*(lentry!$B$3:$B$3999&lt;=apr!N$3)*(lentry!$C$3:$C$3999&gt;=apr!N$3)),lentry!$D$3:$D$3999),IF(WEEKDAY(apr!N$3,1)=1,"WO","P"))</f>
        <v>P</v>
      </c>
      <c r="O21" s="4" t="str">
        <f>IFERROR(LOOKUP(2,1/((lentry!$A$3:$A$3999=apr!$A21)*(lentry!$B$3:$B$3999&lt;=apr!O$3)*(lentry!$C$3:$C$3999&gt;=apr!O$3)),lentry!$D$3:$D$3999),IF(WEEKDAY(apr!O$3,1)=1,"WO","P"))</f>
        <v>P</v>
      </c>
      <c r="P21" s="4" t="str">
        <f>IFERROR(LOOKUP(2,1/((lentry!$A$3:$A$3999=apr!$A21)*(lentry!$B$3:$B$3999&lt;=apr!P$3)*(lentry!$C$3:$C$3999&gt;=apr!P$3)),lentry!$D$3:$D$3999),IF(WEEKDAY(apr!P$3,1)=1,"WO","P"))</f>
        <v>P</v>
      </c>
      <c r="Q21" s="4" t="str">
        <f>IFERROR(LOOKUP(2,1/((lentry!$A$3:$A$3999=apr!$A21)*(lentry!$B$3:$B$3999&lt;=apr!Q$3)*(lentry!$C$3:$C$3999&gt;=apr!Q$3)),lentry!$D$3:$D$3999),IF(WEEKDAY(apr!Q$3,1)=1,"WO","P"))</f>
        <v>WO</v>
      </c>
      <c r="R21" s="4" t="str">
        <f>IFERROR(LOOKUP(2,1/((lentry!$A$3:$A$3999=apr!$A21)*(lentry!$B$3:$B$3999&lt;=apr!R$3)*(lentry!$C$3:$C$3999&gt;=apr!R$3)),lentry!$D$3:$D$3999),IF(WEEKDAY(apr!R$3,1)=1,"WO","P"))</f>
        <v>P</v>
      </c>
      <c r="S21" s="4" t="s">
        <v>350</v>
      </c>
      <c r="T21" s="4" t="str">
        <f>IFERROR(LOOKUP(2,1/((lentry!$A$3:$A$3999=apr!$A21)*(lentry!$B$3:$B$3999&lt;=apr!T$3)*(lentry!$C$3:$C$3999&gt;=apr!T$3)),lentry!$D$3:$D$3999),IF(WEEKDAY(apr!T$3,1)=1,"WO","P"))</f>
        <v>P</v>
      </c>
      <c r="U21" s="4" t="str">
        <f>IFERROR(LOOKUP(2,1/((lentry!$A$3:$A$3999=apr!$A21)*(lentry!$B$3:$B$3999&lt;=apr!U$3)*(lentry!$C$3:$C$3999&gt;=apr!U$3)),lentry!$D$3:$D$3999),IF(WEEKDAY(apr!U$3,1)=1,"WO","P"))</f>
        <v>P</v>
      </c>
      <c r="V21" s="4" t="str">
        <f>IFERROR(LOOKUP(2,1/((lentry!$A$3:$A$3999=apr!$A21)*(lentry!$B$3:$B$3999&lt;=apr!V$3)*(lentry!$C$3:$C$3999&gt;=apr!V$3)),lentry!$D$3:$D$3999),IF(WEEKDAY(apr!V$3,1)=1,"WO","P"))</f>
        <v>P</v>
      </c>
      <c r="W21" s="4" t="str">
        <f>IFERROR(LOOKUP(2,1/((lentry!$A$3:$A$3999=apr!$A21)*(lentry!$B$3:$B$3999&lt;=apr!W$3)*(lentry!$C$3:$C$3999&gt;=apr!W$3)),lentry!$D$3:$D$3999),IF(WEEKDAY(apr!W$3,1)=1,"WO","P"))</f>
        <v>P</v>
      </c>
      <c r="X21" s="4" t="str">
        <f>IFERROR(LOOKUP(2,1/((lentry!$A$3:$A$3999=apr!$A21)*(lentry!$B$3:$B$3999&lt;=apr!X$3)*(lentry!$C$3:$C$3999&gt;=apr!X$3)),lentry!$D$3:$D$3999),IF(WEEKDAY(apr!X$3,1)=1,"WO","P"))</f>
        <v>WO</v>
      </c>
      <c r="Y21" s="4" t="str">
        <f>IFERROR(LOOKUP(2,1/((lentry!$A$3:$A$3999=apr!$A21)*(lentry!$B$3:$B$3999&lt;=apr!Y$3)*(lentry!$C$3:$C$3999&gt;=apr!Y$3)),lentry!$D$3:$D$3999),IF(WEEKDAY(apr!Y$3,1)=1,"WO","P"))</f>
        <v>P</v>
      </c>
      <c r="Z21" s="4" t="str">
        <f>IFERROR(LOOKUP(2,1/((lentry!$A$3:$A$3999=apr!$A21)*(lentry!$B$3:$B$3999&lt;=apr!Z$3)*(lentry!$C$3:$C$3999&gt;=apr!Z$3)),lentry!$D$3:$D$3999),IF(WEEKDAY(apr!Z$3,1)=1,"WO","P"))</f>
        <v>P</v>
      </c>
      <c r="AA21" s="4" t="str">
        <f>IFERROR(LOOKUP(2,1/((lentry!$A$3:$A$3999=apr!$A21)*(lentry!$B$3:$B$3999&lt;=apr!AA$3)*(lentry!$C$3:$C$3999&gt;=apr!AA$3)),lentry!$D$3:$D$3999),IF(WEEKDAY(apr!AA$3,1)=1,"WO","P"))</f>
        <v>P</v>
      </c>
      <c r="AB21" s="4" t="str">
        <f>IFERROR(LOOKUP(2,1/((lentry!$A$3:$A$3999=apr!$A21)*(lentry!$B$3:$B$3999&lt;=apr!AB$3)*(lentry!$C$3:$C$3999&gt;=apr!AB$3)),lentry!$D$3:$D$3999),IF(WEEKDAY(apr!AB$3,1)=1,"WO","P"))</f>
        <v>P</v>
      </c>
      <c r="AC21" s="4" t="str">
        <f>IFERROR(LOOKUP(2,1/((lentry!$A$3:$A$3999=apr!$A21)*(lentry!$B$3:$B$3999&lt;=apr!AC$3)*(lentry!$C$3:$C$3999&gt;=apr!AC$3)),lentry!$D$3:$D$3999),IF(WEEKDAY(apr!AC$3,1)=1,"WO","P"))</f>
        <v>P</v>
      </c>
      <c r="AD21" s="4" t="str">
        <f>IFERROR(LOOKUP(2,1/((lentry!$A$3:$A$3999=apr!$A21)*(lentry!$B$3:$B$3999&lt;=apr!AD$3)*(lentry!$C$3:$C$3999&gt;=apr!AD$3)),lentry!$D$3:$D$3999),IF(WEEKDAY(apr!AD$3,1)=1,"WO","P"))</f>
        <v>P</v>
      </c>
      <c r="AE21" s="4" t="str">
        <f>IFERROR(LOOKUP(2,1/((lentry!$A$3:$A$3999=apr!$A21)*(lentry!$B$3:$B$3999&lt;=apr!AE$3)*(lentry!$C$3:$C$3999&gt;=apr!AE$3)),lentry!$D$3:$D$3999),IF(WEEKDAY(apr!AE$3,1)=1,"WO","P"))</f>
        <v>WO</v>
      </c>
      <c r="AF21" s="4" t="str">
        <f>IFERROR(LOOKUP(2,1/((lentry!$A$3:$A$3999=apr!$A21)*(lentry!$B$3:$B$3999&lt;=apr!AF$3)*(lentry!$C$3:$C$3999&gt;=apr!AF$3)),lentry!$D$3:$D$3999),IF(WEEKDAY(apr!AF$3,1)=1,"WO","P"))</f>
        <v>P</v>
      </c>
      <c r="AG21" s="4" t="str">
        <f>IFERROR(LOOKUP(2,1/((lentry!$A$3:$A$3999=apr!$A21)*(lentry!$B$3:$B$3999&lt;=apr!AG$3)*(lentry!$C$3:$C$3999&gt;=apr!AG$3)),lentry!$D$3:$D$3999),IF(WEEKDAY(apr!AG$3,1)=1,"WO","P"))</f>
        <v>P</v>
      </c>
      <c r="AH21" s="4" t="str">
        <f>IFERROR(LOOKUP(2,1/((lentry!$A$3:$A$3999=apr!$A21)*(lentry!$B$3:$B$3999&lt;=apr!AH$3)*(lentry!$C$3:$C$3999&gt;=apr!AH$3)),lentry!$D$3:$D$3999),IF(WEEKDAY(apr!AH$3,1)=1,"WO","P"))</f>
        <v>P</v>
      </c>
      <c r="AI21" s="4" t="str">
        <f>IFERROR(LOOKUP(2,1/((lentry!$A$3:$A$3999=apr!$A21)*(lentry!$B$3:$B$3999&lt;=apr!AI$3)*(lentry!$C$3:$C$3999&gt;=apr!AI$3)),lentry!$D$3:$D$3999),IF(WEEKDAY(apr!AI$3,1)=1,"WO","P"))</f>
        <v>P</v>
      </c>
      <c r="AJ21" s="5">
        <f>COUNTIF(apr!$F21:$AI21,"WO")</f>
        <v>4</v>
      </c>
      <c r="AK21" s="5">
        <f>COUNTIF(jan!$F21:$AJ21,"H")</f>
        <v>1</v>
      </c>
      <c r="AL21" s="5">
        <f>COUNTIF(jan!$F21:$AJ21,"PL")</f>
        <v>0</v>
      </c>
      <c r="AM21" s="5">
        <f>COUNTIF(jan!$F21:$AJ21,"LWP")</f>
        <v>0</v>
      </c>
      <c r="AN21" s="5">
        <f>COUNTIF(jan!$F21:$AJ21,"HD")</f>
        <v>0</v>
      </c>
      <c r="AO21" s="5">
        <f>COUNTIF(jan!$F21:$AJ21,"SL")</f>
        <v>0</v>
      </c>
      <c r="AP21" s="5">
        <f>COUNTIF(jan!$F21:$AJ21,"CL")</f>
        <v>0</v>
      </c>
      <c r="AQ21" s="5">
        <f>COUNTIF(jan!$F21:$AJ21,"A")</f>
        <v>0</v>
      </c>
      <c r="AR21" s="5">
        <f>COUNTIF(jan!$F21:$AJ21,"P")</f>
        <v>26</v>
      </c>
      <c r="AS21" s="5">
        <f t="shared" si="2"/>
        <v>30</v>
      </c>
      <c r="AT21" s="5">
        <f t="shared" si="3"/>
        <v>31</v>
      </c>
      <c r="AU21" s="4">
        <f>SUMIFS(holly!$L$2:$L$122,holly!$I$2:$I$122,mar!$A21,holly!$K$2:$K$122,"Mar")</f>
        <v>0</v>
      </c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</row>
    <row r="22" spans="1:77" ht="18.75" x14ac:dyDescent="0.3">
      <c r="A22" s="3" t="s">
        <v>43</v>
      </c>
      <c r="B22" s="3" t="str">
        <f>VLOOKUP($A22,Master!$A$2:$K$52,2,0)</f>
        <v>Employee18</v>
      </c>
      <c r="C22" s="3" t="str">
        <f>VLOOKUP($A22,Master!$A$2:$K$52,3,0)</f>
        <v>Male</v>
      </c>
      <c r="D22" s="3" t="str">
        <f>VLOOKUP($A22,Master!$A$2:$K$52,5,0)</f>
        <v>Production</v>
      </c>
      <c r="E22" s="3" t="str">
        <f>VLOOKUP($A22,Master!$A$2:$K$52,6,0)</f>
        <v>Supervisor</v>
      </c>
      <c r="F22" s="4" t="str">
        <f>IFERROR(LOOKUP(2,1/((lentry!$A$3:$A$3999=apr!$A22)*(lentry!$B$3:$B$3999&lt;=apr!F$3)*(lentry!$C$3:$C$3999&gt;=apr!F$3)),lentry!$D$3:$D$3999),IF(WEEKDAY(apr!F$3,1)=1,"WO","P"))</f>
        <v>P</v>
      </c>
      <c r="G22" s="4" t="str">
        <f>IFERROR(LOOKUP(2,1/((lentry!$A$3:$A$3999=apr!$A22)*(lentry!$B$3:$B$3999&lt;=apr!G$3)*(lentry!$C$3:$C$3999&gt;=apr!G$3)),lentry!$D$3:$D$3999),IF(WEEKDAY(apr!G$3,1)=1,"WO","P"))</f>
        <v>P</v>
      </c>
      <c r="H22" s="4" t="s">
        <v>350</v>
      </c>
      <c r="I22" s="4" t="str">
        <f>IFERROR(LOOKUP(2,1/((lentry!$A$3:$A$3999=apr!$A22)*(lentry!$B$3:$B$3999&lt;=apr!I$3)*(lentry!$C$3:$C$3999&gt;=apr!I$3)),lentry!$D$3:$D$3999),IF(WEEKDAY(apr!I$3,1)=1,"WO","P"))</f>
        <v>P</v>
      </c>
      <c r="J22" s="4" t="str">
        <f>IFERROR(LOOKUP(2,1/((lentry!$A$3:$A$3999=apr!$A22)*(lentry!$B$3:$B$3999&lt;=apr!J$3)*(lentry!$C$3:$C$3999&gt;=apr!J$3)),lentry!$D$3:$D$3999),IF(WEEKDAY(apr!J$3,1)=1,"WO","P"))</f>
        <v>WO</v>
      </c>
      <c r="K22" s="4" t="str">
        <f>IFERROR(LOOKUP(2,1/((lentry!$A$3:$A$3999=apr!$A22)*(lentry!$B$3:$B$3999&lt;=apr!K$3)*(lentry!$C$3:$C$3999&gt;=apr!K$3)),lentry!$D$3:$D$3999),IF(WEEKDAY(apr!K$3,1)=1,"WO","P"))</f>
        <v>P</v>
      </c>
      <c r="L22" s="4" t="str">
        <f>IFERROR(LOOKUP(2,1/((lentry!$A$3:$A$3999=apr!$A22)*(lentry!$B$3:$B$3999&lt;=apr!L$3)*(lentry!$C$3:$C$3999&gt;=apr!L$3)),lentry!$D$3:$D$3999),IF(WEEKDAY(apr!L$3,1)=1,"WO","P"))</f>
        <v>P</v>
      </c>
      <c r="M22" s="4" t="str">
        <f>IFERROR(LOOKUP(2,1/((lentry!$A$3:$A$3999=apr!$A22)*(lentry!$B$3:$B$3999&lt;=apr!M$3)*(lentry!$C$3:$C$3999&gt;=apr!M$3)),lentry!$D$3:$D$3999),IF(WEEKDAY(apr!M$3,1)=1,"WO","P"))</f>
        <v>P</v>
      </c>
      <c r="N22" s="4" t="str">
        <f>IFERROR(LOOKUP(2,1/((lentry!$A$3:$A$3999=apr!$A22)*(lentry!$B$3:$B$3999&lt;=apr!N$3)*(lentry!$C$3:$C$3999&gt;=apr!N$3)),lentry!$D$3:$D$3999),IF(WEEKDAY(apr!N$3,1)=1,"WO","P"))</f>
        <v>P</v>
      </c>
      <c r="O22" s="4" t="str">
        <f>IFERROR(LOOKUP(2,1/((lentry!$A$3:$A$3999=apr!$A22)*(lentry!$B$3:$B$3999&lt;=apr!O$3)*(lentry!$C$3:$C$3999&gt;=apr!O$3)),lentry!$D$3:$D$3999),IF(WEEKDAY(apr!O$3,1)=1,"WO","P"))</f>
        <v>P</v>
      </c>
      <c r="P22" s="4" t="str">
        <f>IFERROR(LOOKUP(2,1/((lentry!$A$3:$A$3999=apr!$A22)*(lentry!$B$3:$B$3999&lt;=apr!P$3)*(lentry!$C$3:$C$3999&gt;=apr!P$3)),lentry!$D$3:$D$3999),IF(WEEKDAY(apr!P$3,1)=1,"WO","P"))</f>
        <v>P</v>
      </c>
      <c r="Q22" s="4" t="str">
        <f>IFERROR(LOOKUP(2,1/((lentry!$A$3:$A$3999=apr!$A22)*(lentry!$B$3:$B$3999&lt;=apr!Q$3)*(lentry!$C$3:$C$3999&gt;=apr!Q$3)),lentry!$D$3:$D$3999),IF(WEEKDAY(apr!Q$3,1)=1,"WO","P"))</f>
        <v>WO</v>
      </c>
      <c r="R22" s="4" t="str">
        <f>IFERROR(LOOKUP(2,1/((lentry!$A$3:$A$3999=apr!$A22)*(lentry!$B$3:$B$3999&lt;=apr!R$3)*(lentry!$C$3:$C$3999&gt;=apr!R$3)),lentry!$D$3:$D$3999),IF(WEEKDAY(apr!R$3,1)=1,"WO","P"))</f>
        <v>P</v>
      </c>
      <c r="S22" s="4" t="s">
        <v>350</v>
      </c>
      <c r="T22" s="4" t="str">
        <f>IFERROR(LOOKUP(2,1/((lentry!$A$3:$A$3999=apr!$A22)*(lentry!$B$3:$B$3999&lt;=apr!T$3)*(lentry!$C$3:$C$3999&gt;=apr!T$3)),lentry!$D$3:$D$3999),IF(WEEKDAY(apr!T$3,1)=1,"WO","P"))</f>
        <v>P</v>
      </c>
      <c r="U22" s="4" t="str">
        <f>IFERROR(LOOKUP(2,1/((lentry!$A$3:$A$3999=apr!$A22)*(lentry!$B$3:$B$3999&lt;=apr!U$3)*(lentry!$C$3:$C$3999&gt;=apr!U$3)),lentry!$D$3:$D$3999),IF(WEEKDAY(apr!U$3,1)=1,"WO","P"))</f>
        <v>P</v>
      </c>
      <c r="V22" s="4" t="str">
        <f>IFERROR(LOOKUP(2,1/((lentry!$A$3:$A$3999=apr!$A22)*(lentry!$B$3:$B$3999&lt;=apr!V$3)*(lentry!$C$3:$C$3999&gt;=apr!V$3)),lentry!$D$3:$D$3999),IF(WEEKDAY(apr!V$3,1)=1,"WO","P"))</f>
        <v>P</v>
      </c>
      <c r="W22" s="4" t="str">
        <f>IFERROR(LOOKUP(2,1/((lentry!$A$3:$A$3999=apr!$A22)*(lentry!$B$3:$B$3999&lt;=apr!W$3)*(lentry!$C$3:$C$3999&gt;=apr!W$3)),lentry!$D$3:$D$3999),IF(WEEKDAY(apr!W$3,1)=1,"WO","P"))</f>
        <v>P</v>
      </c>
      <c r="X22" s="4" t="str">
        <f>IFERROR(LOOKUP(2,1/((lentry!$A$3:$A$3999=apr!$A22)*(lentry!$B$3:$B$3999&lt;=apr!X$3)*(lentry!$C$3:$C$3999&gt;=apr!X$3)),lentry!$D$3:$D$3999),IF(WEEKDAY(apr!X$3,1)=1,"WO","P"))</f>
        <v>WO</v>
      </c>
      <c r="Y22" s="4" t="str">
        <f>IFERROR(LOOKUP(2,1/((lentry!$A$3:$A$3999=apr!$A22)*(lentry!$B$3:$B$3999&lt;=apr!Y$3)*(lentry!$C$3:$C$3999&gt;=apr!Y$3)),lentry!$D$3:$D$3999),IF(WEEKDAY(apr!Y$3,1)=1,"WO","P"))</f>
        <v>P</v>
      </c>
      <c r="Z22" s="4" t="str">
        <f>IFERROR(LOOKUP(2,1/((lentry!$A$3:$A$3999=apr!$A22)*(lentry!$B$3:$B$3999&lt;=apr!Z$3)*(lentry!$C$3:$C$3999&gt;=apr!Z$3)),lentry!$D$3:$D$3999),IF(WEEKDAY(apr!Z$3,1)=1,"WO","P"))</f>
        <v>P</v>
      </c>
      <c r="AA22" s="4" t="str">
        <f>IFERROR(LOOKUP(2,1/((lentry!$A$3:$A$3999=apr!$A22)*(lentry!$B$3:$B$3999&lt;=apr!AA$3)*(lentry!$C$3:$C$3999&gt;=apr!AA$3)),lentry!$D$3:$D$3999),IF(WEEKDAY(apr!AA$3,1)=1,"WO","P"))</f>
        <v>P</v>
      </c>
      <c r="AB22" s="4" t="str">
        <f>IFERROR(LOOKUP(2,1/((lentry!$A$3:$A$3999=apr!$A22)*(lentry!$B$3:$B$3999&lt;=apr!AB$3)*(lentry!$C$3:$C$3999&gt;=apr!AB$3)),lentry!$D$3:$D$3999),IF(WEEKDAY(apr!AB$3,1)=1,"WO","P"))</f>
        <v>P</v>
      </c>
      <c r="AC22" s="4" t="str">
        <f>IFERROR(LOOKUP(2,1/((lentry!$A$3:$A$3999=apr!$A22)*(lentry!$B$3:$B$3999&lt;=apr!AC$3)*(lentry!$C$3:$C$3999&gt;=apr!AC$3)),lentry!$D$3:$D$3999),IF(WEEKDAY(apr!AC$3,1)=1,"WO","P"))</f>
        <v>P</v>
      </c>
      <c r="AD22" s="4" t="str">
        <f>IFERROR(LOOKUP(2,1/((lentry!$A$3:$A$3999=apr!$A22)*(lentry!$B$3:$B$3999&lt;=apr!AD$3)*(lentry!$C$3:$C$3999&gt;=apr!AD$3)),lentry!$D$3:$D$3999),IF(WEEKDAY(apr!AD$3,1)=1,"WO","P"))</f>
        <v>P</v>
      </c>
      <c r="AE22" s="4" t="str">
        <f>IFERROR(LOOKUP(2,1/((lentry!$A$3:$A$3999=apr!$A22)*(lentry!$B$3:$B$3999&lt;=apr!AE$3)*(lentry!$C$3:$C$3999&gt;=apr!AE$3)),lentry!$D$3:$D$3999),IF(WEEKDAY(apr!AE$3,1)=1,"WO","P"))</f>
        <v>WO</v>
      </c>
      <c r="AF22" s="4" t="str">
        <f>IFERROR(LOOKUP(2,1/((lentry!$A$3:$A$3999=apr!$A22)*(lentry!$B$3:$B$3999&lt;=apr!AF$3)*(lentry!$C$3:$C$3999&gt;=apr!AF$3)),lentry!$D$3:$D$3999),IF(WEEKDAY(apr!AF$3,1)=1,"WO","P"))</f>
        <v>P</v>
      </c>
      <c r="AG22" s="4" t="str">
        <f>IFERROR(LOOKUP(2,1/((lentry!$A$3:$A$3999=apr!$A22)*(lentry!$B$3:$B$3999&lt;=apr!AG$3)*(lentry!$C$3:$C$3999&gt;=apr!AG$3)),lentry!$D$3:$D$3999),IF(WEEKDAY(apr!AG$3,1)=1,"WO","P"))</f>
        <v>P</v>
      </c>
      <c r="AH22" s="4" t="str">
        <f>IFERROR(LOOKUP(2,1/((lentry!$A$3:$A$3999=apr!$A22)*(lentry!$B$3:$B$3999&lt;=apr!AH$3)*(lentry!$C$3:$C$3999&gt;=apr!AH$3)),lentry!$D$3:$D$3999),IF(WEEKDAY(apr!AH$3,1)=1,"WO","P"))</f>
        <v>P</v>
      </c>
      <c r="AI22" s="4" t="str">
        <f>IFERROR(LOOKUP(2,1/((lentry!$A$3:$A$3999=apr!$A22)*(lentry!$B$3:$B$3999&lt;=apr!AI$3)*(lentry!$C$3:$C$3999&gt;=apr!AI$3)),lentry!$D$3:$D$3999),IF(WEEKDAY(apr!AI$3,1)=1,"WO","P"))</f>
        <v>P</v>
      </c>
      <c r="AJ22" s="5">
        <f>COUNTIF(apr!$F22:$AI22,"WO")</f>
        <v>4</v>
      </c>
      <c r="AK22" s="5">
        <f>COUNTIF(jan!$F22:$AJ22,"H")</f>
        <v>1</v>
      </c>
      <c r="AL22" s="5">
        <f>COUNTIF(jan!$F22:$AJ22,"PL")</f>
        <v>0</v>
      </c>
      <c r="AM22" s="5">
        <f>COUNTIF(jan!$F22:$AJ22,"LWP")</f>
        <v>0</v>
      </c>
      <c r="AN22" s="5">
        <f>COUNTIF(jan!$F22:$AJ22,"HD")</f>
        <v>0</v>
      </c>
      <c r="AO22" s="5">
        <f>COUNTIF(jan!$F22:$AJ22,"SL")</f>
        <v>0</v>
      </c>
      <c r="AP22" s="5">
        <f>COUNTIF(jan!$F22:$AJ22,"CL")</f>
        <v>0</v>
      </c>
      <c r="AQ22" s="5">
        <f>COUNTIF(jan!$F22:$AJ22,"A")</f>
        <v>1</v>
      </c>
      <c r="AR22" s="5">
        <f>COUNTIF(jan!$F22:$AJ22,"P")</f>
        <v>25</v>
      </c>
      <c r="AS22" s="5">
        <f t="shared" si="2"/>
        <v>30</v>
      </c>
      <c r="AT22" s="5">
        <f t="shared" si="3"/>
        <v>30</v>
      </c>
      <c r="AU22" s="4">
        <f>SUMIFS(holly!$L$2:$L$122,holly!$I$2:$I$122,mar!$A22,holly!$K$2:$K$122,"Mar")</f>
        <v>1</v>
      </c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</row>
    <row r="23" spans="1:77" ht="18.75" x14ac:dyDescent="0.3">
      <c r="A23" s="3" t="s">
        <v>44</v>
      </c>
      <c r="B23" s="3" t="str">
        <f>VLOOKUP($A23,Master!$A$2:$K$52,2,0)</f>
        <v>Employee19</v>
      </c>
      <c r="C23" s="3" t="str">
        <f>VLOOKUP($A23,Master!$A$2:$K$52,3,0)</f>
        <v>Female</v>
      </c>
      <c r="D23" s="3" t="str">
        <f>VLOOKUP($A23,Master!$A$2:$K$52,5,0)</f>
        <v>Production</v>
      </c>
      <c r="E23" s="3" t="str">
        <f>VLOOKUP($A23,Master!$A$2:$K$52,6,0)</f>
        <v>Senior Operator</v>
      </c>
      <c r="F23" s="4" t="str">
        <f>IFERROR(LOOKUP(2,1/((lentry!$A$3:$A$3999=apr!$A23)*(lentry!$B$3:$B$3999&lt;=apr!F$3)*(lentry!$C$3:$C$3999&gt;=apr!F$3)),lentry!$D$3:$D$3999),IF(WEEKDAY(apr!F$3,1)=1,"WO","P"))</f>
        <v>P</v>
      </c>
      <c r="G23" s="4" t="str">
        <f>IFERROR(LOOKUP(2,1/((lentry!$A$3:$A$3999=apr!$A23)*(lentry!$B$3:$B$3999&lt;=apr!G$3)*(lentry!$C$3:$C$3999&gt;=apr!G$3)),lentry!$D$3:$D$3999),IF(WEEKDAY(apr!G$3,1)=1,"WO","P"))</f>
        <v>P</v>
      </c>
      <c r="H23" s="4" t="s">
        <v>350</v>
      </c>
      <c r="I23" s="4" t="str">
        <f>IFERROR(LOOKUP(2,1/((lentry!$A$3:$A$3999=apr!$A23)*(lentry!$B$3:$B$3999&lt;=apr!I$3)*(lentry!$C$3:$C$3999&gt;=apr!I$3)),lentry!$D$3:$D$3999),IF(WEEKDAY(apr!I$3,1)=1,"WO","P"))</f>
        <v>P</v>
      </c>
      <c r="J23" s="4" t="str">
        <f>IFERROR(LOOKUP(2,1/((lentry!$A$3:$A$3999=apr!$A23)*(lentry!$B$3:$B$3999&lt;=apr!J$3)*(lentry!$C$3:$C$3999&gt;=apr!J$3)),lentry!$D$3:$D$3999),IF(WEEKDAY(apr!J$3,1)=1,"WO","P"))</f>
        <v>WO</v>
      </c>
      <c r="K23" s="4" t="str">
        <f>IFERROR(LOOKUP(2,1/((lentry!$A$3:$A$3999=apr!$A23)*(lentry!$B$3:$B$3999&lt;=apr!K$3)*(lentry!$C$3:$C$3999&gt;=apr!K$3)),lentry!$D$3:$D$3999),IF(WEEKDAY(apr!K$3,1)=1,"WO","P"))</f>
        <v>P</v>
      </c>
      <c r="L23" s="4" t="str">
        <f>IFERROR(LOOKUP(2,1/((lentry!$A$3:$A$3999=apr!$A23)*(lentry!$B$3:$B$3999&lt;=apr!L$3)*(lentry!$C$3:$C$3999&gt;=apr!L$3)),lentry!$D$3:$D$3999),IF(WEEKDAY(apr!L$3,1)=1,"WO","P"))</f>
        <v>P</v>
      </c>
      <c r="M23" s="4" t="str">
        <f>IFERROR(LOOKUP(2,1/((lentry!$A$3:$A$3999=apr!$A23)*(lentry!$B$3:$B$3999&lt;=apr!M$3)*(lentry!$C$3:$C$3999&gt;=apr!M$3)),lentry!$D$3:$D$3999),IF(WEEKDAY(apr!M$3,1)=1,"WO","P"))</f>
        <v>P</v>
      </c>
      <c r="N23" s="4" t="str">
        <f>IFERROR(LOOKUP(2,1/((lentry!$A$3:$A$3999=apr!$A23)*(lentry!$B$3:$B$3999&lt;=apr!N$3)*(lentry!$C$3:$C$3999&gt;=apr!N$3)),lentry!$D$3:$D$3999),IF(WEEKDAY(apr!N$3,1)=1,"WO","P"))</f>
        <v>P</v>
      </c>
      <c r="O23" s="4" t="str">
        <f>IFERROR(LOOKUP(2,1/((lentry!$A$3:$A$3999=apr!$A23)*(lentry!$B$3:$B$3999&lt;=apr!O$3)*(lentry!$C$3:$C$3999&gt;=apr!O$3)),lentry!$D$3:$D$3999),IF(WEEKDAY(apr!O$3,1)=1,"WO","P"))</f>
        <v>P</v>
      </c>
      <c r="P23" s="4" t="str">
        <f>IFERROR(LOOKUP(2,1/((lentry!$A$3:$A$3999=apr!$A23)*(lentry!$B$3:$B$3999&lt;=apr!P$3)*(lentry!$C$3:$C$3999&gt;=apr!P$3)),lentry!$D$3:$D$3999),IF(WEEKDAY(apr!P$3,1)=1,"WO","P"))</f>
        <v>P</v>
      </c>
      <c r="Q23" s="4" t="str">
        <f>IFERROR(LOOKUP(2,1/((lentry!$A$3:$A$3999=apr!$A23)*(lentry!$B$3:$B$3999&lt;=apr!Q$3)*(lentry!$C$3:$C$3999&gt;=apr!Q$3)),lentry!$D$3:$D$3999),IF(WEEKDAY(apr!Q$3,1)=1,"WO","P"))</f>
        <v>WO</v>
      </c>
      <c r="R23" s="4" t="str">
        <f>IFERROR(LOOKUP(2,1/((lentry!$A$3:$A$3999=apr!$A23)*(lentry!$B$3:$B$3999&lt;=apr!R$3)*(lentry!$C$3:$C$3999&gt;=apr!R$3)),lentry!$D$3:$D$3999),IF(WEEKDAY(apr!R$3,1)=1,"WO","P"))</f>
        <v>P</v>
      </c>
      <c r="S23" s="4" t="s">
        <v>350</v>
      </c>
      <c r="T23" s="4" t="str">
        <f>IFERROR(LOOKUP(2,1/((lentry!$A$3:$A$3999=apr!$A23)*(lentry!$B$3:$B$3999&lt;=apr!T$3)*(lentry!$C$3:$C$3999&gt;=apr!T$3)),lentry!$D$3:$D$3999),IF(WEEKDAY(apr!T$3,1)=1,"WO","P"))</f>
        <v>P</v>
      </c>
      <c r="U23" s="4" t="str">
        <f>IFERROR(LOOKUP(2,1/((lentry!$A$3:$A$3999=apr!$A23)*(lentry!$B$3:$B$3999&lt;=apr!U$3)*(lentry!$C$3:$C$3999&gt;=apr!U$3)),lentry!$D$3:$D$3999),IF(WEEKDAY(apr!U$3,1)=1,"WO","P"))</f>
        <v>P</v>
      </c>
      <c r="V23" s="4" t="str">
        <f>IFERROR(LOOKUP(2,1/((lentry!$A$3:$A$3999=apr!$A23)*(lentry!$B$3:$B$3999&lt;=apr!V$3)*(lentry!$C$3:$C$3999&gt;=apr!V$3)),lentry!$D$3:$D$3999),IF(WEEKDAY(apr!V$3,1)=1,"WO","P"))</f>
        <v>P</v>
      </c>
      <c r="W23" s="4" t="str">
        <f>IFERROR(LOOKUP(2,1/((lentry!$A$3:$A$3999=apr!$A23)*(lentry!$B$3:$B$3999&lt;=apr!W$3)*(lentry!$C$3:$C$3999&gt;=apr!W$3)),lentry!$D$3:$D$3999),IF(WEEKDAY(apr!W$3,1)=1,"WO","P"))</f>
        <v>CL</v>
      </c>
      <c r="X23" s="4" t="str">
        <f>IFERROR(LOOKUP(2,1/((lentry!$A$3:$A$3999=apr!$A23)*(lentry!$B$3:$B$3999&lt;=apr!X$3)*(lentry!$C$3:$C$3999&gt;=apr!X$3)),lentry!$D$3:$D$3999),IF(WEEKDAY(apr!X$3,1)=1,"WO","P"))</f>
        <v>WO</v>
      </c>
      <c r="Y23" s="4" t="str">
        <f>IFERROR(LOOKUP(2,1/((lentry!$A$3:$A$3999=apr!$A23)*(lentry!$B$3:$B$3999&lt;=apr!Y$3)*(lentry!$C$3:$C$3999&gt;=apr!Y$3)),lentry!$D$3:$D$3999),IF(WEEKDAY(apr!Y$3,1)=1,"WO","P"))</f>
        <v>P</v>
      </c>
      <c r="Z23" s="4" t="str">
        <f>IFERROR(LOOKUP(2,1/((lentry!$A$3:$A$3999=apr!$A23)*(lentry!$B$3:$B$3999&lt;=apr!Z$3)*(lentry!$C$3:$C$3999&gt;=apr!Z$3)),lentry!$D$3:$D$3999),IF(WEEKDAY(apr!Z$3,1)=1,"WO","P"))</f>
        <v>P</v>
      </c>
      <c r="AA23" s="4" t="str">
        <f>IFERROR(LOOKUP(2,1/((lentry!$A$3:$A$3999=apr!$A23)*(lentry!$B$3:$B$3999&lt;=apr!AA$3)*(lentry!$C$3:$C$3999&gt;=apr!AA$3)),lentry!$D$3:$D$3999),IF(WEEKDAY(apr!AA$3,1)=1,"WO","P"))</f>
        <v>P</v>
      </c>
      <c r="AB23" s="4" t="str">
        <f>IFERROR(LOOKUP(2,1/((lentry!$A$3:$A$3999=apr!$A23)*(lentry!$B$3:$B$3999&lt;=apr!AB$3)*(lentry!$C$3:$C$3999&gt;=apr!AB$3)),lentry!$D$3:$D$3999),IF(WEEKDAY(apr!AB$3,1)=1,"WO","P"))</f>
        <v>P</v>
      </c>
      <c r="AC23" s="4" t="str">
        <f>IFERROR(LOOKUP(2,1/((lentry!$A$3:$A$3999=apr!$A23)*(lentry!$B$3:$B$3999&lt;=apr!AC$3)*(lentry!$C$3:$C$3999&gt;=apr!AC$3)),lentry!$D$3:$D$3999),IF(WEEKDAY(apr!AC$3,1)=1,"WO","P"))</f>
        <v>P</v>
      </c>
      <c r="AD23" s="4" t="str">
        <f>IFERROR(LOOKUP(2,1/((lentry!$A$3:$A$3999=apr!$A23)*(lentry!$B$3:$B$3999&lt;=apr!AD$3)*(lentry!$C$3:$C$3999&gt;=apr!AD$3)),lentry!$D$3:$D$3999),IF(WEEKDAY(apr!AD$3,1)=1,"WO","P"))</f>
        <v>P</v>
      </c>
      <c r="AE23" s="4" t="str">
        <f>IFERROR(LOOKUP(2,1/((lentry!$A$3:$A$3999=apr!$A23)*(lentry!$B$3:$B$3999&lt;=apr!AE$3)*(lentry!$C$3:$C$3999&gt;=apr!AE$3)),lentry!$D$3:$D$3999),IF(WEEKDAY(apr!AE$3,1)=1,"WO","P"))</f>
        <v>WO</v>
      </c>
      <c r="AF23" s="4" t="str">
        <f>IFERROR(LOOKUP(2,1/((lentry!$A$3:$A$3999=apr!$A23)*(lentry!$B$3:$B$3999&lt;=apr!AF$3)*(lentry!$C$3:$C$3999&gt;=apr!AF$3)),lentry!$D$3:$D$3999),IF(WEEKDAY(apr!AF$3,1)=1,"WO","P"))</f>
        <v>P</v>
      </c>
      <c r="AG23" s="4" t="str">
        <f>IFERROR(LOOKUP(2,1/((lentry!$A$3:$A$3999=apr!$A23)*(lentry!$B$3:$B$3999&lt;=apr!AG$3)*(lentry!$C$3:$C$3999&gt;=apr!AG$3)),lentry!$D$3:$D$3999),IF(WEEKDAY(apr!AG$3,1)=1,"WO","P"))</f>
        <v>P</v>
      </c>
      <c r="AH23" s="4" t="str">
        <f>IFERROR(LOOKUP(2,1/((lentry!$A$3:$A$3999=apr!$A23)*(lentry!$B$3:$B$3999&lt;=apr!AH$3)*(lentry!$C$3:$C$3999&gt;=apr!AH$3)),lentry!$D$3:$D$3999),IF(WEEKDAY(apr!AH$3,1)=1,"WO","P"))</f>
        <v>P</v>
      </c>
      <c r="AI23" s="4" t="str">
        <f>IFERROR(LOOKUP(2,1/((lentry!$A$3:$A$3999=apr!$A23)*(lentry!$B$3:$B$3999&lt;=apr!AI$3)*(lentry!$C$3:$C$3999&gt;=apr!AI$3)),lentry!$D$3:$D$3999),IF(WEEKDAY(apr!AI$3,1)=1,"WO","P"))</f>
        <v>P</v>
      </c>
      <c r="AJ23" s="5">
        <f>COUNTIF(apr!$F23:$AI23,"WO")</f>
        <v>4</v>
      </c>
      <c r="AK23" s="5">
        <f>COUNTIF(jan!$F23:$AJ23,"H")</f>
        <v>1</v>
      </c>
      <c r="AL23" s="5">
        <f>COUNTIF(jan!$F23:$AJ23,"PL")</f>
        <v>0</v>
      </c>
      <c r="AM23" s="5">
        <f>COUNTIF(jan!$F23:$AJ23,"LWP")</f>
        <v>0</v>
      </c>
      <c r="AN23" s="5">
        <f>COUNTIF(jan!$F23:$AJ23,"HD")</f>
        <v>0</v>
      </c>
      <c r="AO23" s="5">
        <f>COUNTIF(jan!$F23:$AJ23,"SL")</f>
        <v>0</v>
      </c>
      <c r="AP23" s="5">
        <f>COUNTIF(jan!$F23:$AJ23,"CL")</f>
        <v>0</v>
      </c>
      <c r="AQ23" s="5">
        <f>COUNTIF(jan!$F23:$AJ23,"A")</f>
        <v>1</v>
      </c>
      <c r="AR23" s="5">
        <f>COUNTIF(jan!$F23:$AJ23,"P")</f>
        <v>25</v>
      </c>
      <c r="AS23" s="5">
        <f t="shared" si="2"/>
        <v>30</v>
      </c>
      <c r="AT23" s="5">
        <f t="shared" si="3"/>
        <v>30</v>
      </c>
      <c r="AU23" s="4">
        <f>SUMIFS(holly!$L$2:$L$122,holly!$I$2:$I$122,mar!$A23,holly!$K$2:$K$122,"Mar")</f>
        <v>0</v>
      </c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</row>
    <row r="24" spans="1:77" ht="18.75" x14ac:dyDescent="0.3">
      <c r="A24" s="3" t="s">
        <v>45</v>
      </c>
      <c r="B24" s="3" t="str">
        <f>VLOOKUP($A24,Master!$A$2:$K$52,2,0)</f>
        <v>Employee20</v>
      </c>
      <c r="C24" s="3" t="str">
        <f>VLOOKUP($A24,Master!$A$2:$K$52,3,0)</f>
        <v>Male</v>
      </c>
      <c r="D24" s="3" t="str">
        <f>VLOOKUP($A24,Master!$A$2:$K$52,5,0)</f>
        <v>Production</v>
      </c>
      <c r="E24" s="3" t="str">
        <f>VLOOKUP($A24,Master!$A$2:$K$52,6,0)</f>
        <v>Senior Operator</v>
      </c>
      <c r="F24" s="4" t="str">
        <f>IFERROR(LOOKUP(2,1/((lentry!$A$3:$A$3999=apr!$A24)*(lentry!$B$3:$B$3999&lt;=apr!F$3)*(lentry!$C$3:$C$3999&gt;=apr!F$3)),lentry!$D$3:$D$3999),IF(WEEKDAY(apr!F$3,1)=1,"WO","P"))</f>
        <v>P</v>
      </c>
      <c r="G24" s="4" t="str">
        <f>IFERROR(LOOKUP(2,1/((lentry!$A$3:$A$3999=apr!$A24)*(lentry!$B$3:$B$3999&lt;=apr!G$3)*(lentry!$C$3:$C$3999&gt;=apr!G$3)),lentry!$D$3:$D$3999),IF(WEEKDAY(apr!G$3,1)=1,"WO","P"))</f>
        <v>P</v>
      </c>
      <c r="H24" s="4" t="s">
        <v>350</v>
      </c>
      <c r="I24" s="4" t="str">
        <f>IFERROR(LOOKUP(2,1/((lentry!$A$3:$A$3999=apr!$A24)*(lentry!$B$3:$B$3999&lt;=apr!I$3)*(lentry!$C$3:$C$3999&gt;=apr!I$3)),lentry!$D$3:$D$3999),IF(WEEKDAY(apr!I$3,1)=1,"WO","P"))</f>
        <v>P</v>
      </c>
      <c r="J24" s="4" t="str">
        <f>IFERROR(LOOKUP(2,1/((lentry!$A$3:$A$3999=apr!$A24)*(lentry!$B$3:$B$3999&lt;=apr!J$3)*(lentry!$C$3:$C$3999&gt;=apr!J$3)),lentry!$D$3:$D$3999),IF(WEEKDAY(apr!J$3,1)=1,"WO","P"))</f>
        <v>WO</v>
      </c>
      <c r="K24" s="4" t="str">
        <f>IFERROR(LOOKUP(2,1/((lentry!$A$3:$A$3999=apr!$A24)*(lentry!$B$3:$B$3999&lt;=apr!K$3)*(lentry!$C$3:$C$3999&gt;=apr!K$3)),lentry!$D$3:$D$3999),IF(WEEKDAY(apr!K$3,1)=1,"WO","P"))</f>
        <v>P</v>
      </c>
      <c r="L24" s="4" t="str">
        <f>IFERROR(LOOKUP(2,1/((lentry!$A$3:$A$3999=apr!$A24)*(lentry!$B$3:$B$3999&lt;=apr!L$3)*(lentry!$C$3:$C$3999&gt;=apr!L$3)),lentry!$D$3:$D$3999),IF(WEEKDAY(apr!L$3,1)=1,"WO","P"))</f>
        <v>P</v>
      </c>
      <c r="M24" s="4" t="str">
        <f>IFERROR(LOOKUP(2,1/((lentry!$A$3:$A$3999=apr!$A24)*(lentry!$B$3:$B$3999&lt;=apr!M$3)*(lentry!$C$3:$C$3999&gt;=apr!M$3)),lentry!$D$3:$D$3999),IF(WEEKDAY(apr!M$3,1)=1,"WO","P"))</f>
        <v>P</v>
      </c>
      <c r="N24" s="4" t="str">
        <f>IFERROR(LOOKUP(2,1/((lentry!$A$3:$A$3999=apr!$A24)*(lentry!$B$3:$B$3999&lt;=apr!N$3)*(lentry!$C$3:$C$3999&gt;=apr!N$3)),lentry!$D$3:$D$3999),IF(WEEKDAY(apr!N$3,1)=1,"WO","P"))</f>
        <v>P</v>
      </c>
      <c r="O24" s="4" t="str">
        <f>IFERROR(LOOKUP(2,1/((lentry!$A$3:$A$3999=apr!$A24)*(lentry!$B$3:$B$3999&lt;=apr!O$3)*(lentry!$C$3:$C$3999&gt;=apr!O$3)),lentry!$D$3:$D$3999),IF(WEEKDAY(apr!O$3,1)=1,"WO","P"))</f>
        <v>P</v>
      </c>
      <c r="P24" s="4" t="str">
        <f>IFERROR(LOOKUP(2,1/((lentry!$A$3:$A$3999=apr!$A24)*(lentry!$B$3:$B$3999&lt;=apr!P$3)*(lentry!$C$3:$C$3999&gt;=apr!P$3)),lentry!$D$3:$D$3999),IF(WEEKDAY(apr!P$3,1)=1,"WO","P"))</f>
        <v>P</v>
      </c>
      <c r="Q24" s="4" t="str">
        <f>IFERROR(LOOKUP(2,1/((lentry!$A$3:$A$3999=apr!$A24)*(lentry!$B$3:$B$3999&lt;=apr!Q$3)*(lentry!$C$3:$C$3999&gt;=apr!Q$3)),lentry!$D$3:$D$3999),IF(WEEKDAY(apr!Q$3,1)=1,"WO","P"))</f>
        <v>WO</v>
      </c>
      <c r="R24" s="4" t="str">
        <f>IFERROR(LOOKUP(2,1/((lentry!$A$3:$A$3999=apr!$A24)*(lentry!$B$3:$B$3999&lt;=apr!R$3)*(lentry!$C$3:$C$3999&gt;=apr!R$3)),lentry!$D$3:$D$3999),IF(WEEKDAY(apr!R$3,1)=1,"WO","P"))</f>
        <v>P</v>
      </c>
      <c r="S24" s="4" t="s">
        <v>350</v>
      </c>
      <c r="T24" s="4" t="str">
        <f>IFERROR(LOOKUP(2,1/((lentry!$A$3:$A$3999=apr!$A24)*(lentry!$B$3:$B$3999&lt;=apr!T$3)*(lentry!$C$3:$C$3999&gt;=apr!T$3)),lentry!$D$3:$D$3999),IF(WEEKDAY(apr!T$3,1)=1,"WO","P"))</f>
        <v>P</v>
      </c>
      <c r="U24" s="4" t="str">
        <f>IFERROR(LOOKUP(2,1/((lentry!$A$3:$A$3999=apr!$A24)*(lentry!$B$3:$B$3999&lt;=apr!U$3)*(lentry!$C$3:$C$3999&gt;=apr!U$3)),lentry!$D$3:$D$3999),IF(WEEKDAY(apr!U$3,1)=1,"WO","P"))</f>
        <v>P</v>
      </c>
      <c r="V24" s="4" t="str">
        <f>IFERROR(LOOKUP(2,1/((lentry!$A$3:$A$3999=apr!$A24)*(lentry!$B$3:$B$3999&lt;=apr!V$3)*(lentry!$C$3:$C$3999&gt;=apr!V$3)),lentry!$D$3:$D$3999),IF(WEEKDAY(apr!V$3,1)=1,"WO","P"))</f>
        <v>P</v>
      </c>
      <c r="W24" s="4" t="str">
        <f>IFERROR(LOOKUP(2,1/((lentry!$A$3:$A$3999=apr!$A24)*(lentry!$B$3:$B$3999&lt;=apr!W$3)*(lentry!$C$3:$C$3999&gt;=apr!W$3)),lentry!$D$3:$D$3999),IF(WEEKDAY(apr!W$3,1)=1,"WO","P"))</f>
        <v>P</v>
      </c>
      <c r="X24" s="4" t="str">
        <f>IFERROR(LOOKUP(2,1/((lentry!$A$3:$A$3999=apr!$A24)*(lentry!$B$3:$B$3999&lt;=apr!X$3)*(lentry!$C$3:$C$3999&gt;=apr!X$3)),lentry!$D$3:$D$3999),IF(WEEKDAY(apr!X$3,1)=1,"WO","P"))</f>
        <v>WO</v>
      </c>
      <c r="Y24" s="4" t="str">
        <f>IFERROR(LOOKUP(2,1/((lentry!$A$3:$A$3999=apr!$A24)*(lentry!$B$3:$B$3999&lt;=apr!Y$3)*(lentry!$C$3:$C$3999&gt;=apr!Y$3)),lentry!$D$3:$D$3999),IF(WEEKDAY(apr!Y$3,1)=1,"WO","P"))</f>
        <v>P</v>
      </c>
      <c r="Z24" s="4" t="s">
        <v>539</v>
      </c>
      <c r="AA24" s="4" t="str">
        <f>IFERROR(LOOKUP(2,1/((lentry!$A$3:$A$3999=apr!$A24)*(lentry!$B$3:$B$3999&lt;=apr!AA$3)*(lentry!$C$3:$C$3999&gt;=apr!AA$3)),lentry!$D$3:$D$3999),IF(WEEKDAY(apr!AA$3,1)=1,"WO","P"))</f>
        <v>P</v>
      </c>
      <c r="AB24" s="4" t="str">
        <f>IFERROR(LOOKUP(2,1/((lentry!$A$3:$A$3999=apr!$A24)*(lentry!$B$3:$B$3999&lt;=apr!AB$3)*(lentry!$C$3:$C$3999&gt;=apr!AB$3)),lentry!$D$3:$D$3999),IF(WEEKDAY(apr!AB$3,1)=1,"WO","P"))</f>
        <v>P</v>
      </c>
      <c r="AC24" s="4" t="str">
        <f>IFERROR(LOOKUP(2,1/((lentry!$A$3:$A$3999=apr!$A24)*(lentry!$B$3:$B$3999&lt;=apr!AC$3)*(lentry!$C$3:$C$3999&gt;=apr!AC$3)),lentry!$D$3:$D$3999),IF(WEEKDAY(apr!AC$3,1)=1,"WO","P"))</f>
        <v>P</v>
      </c>
      <c r="AD24" s="4" t="str">
        <f>IFERROR(LOOKUP(2,1/((lentry!$A$3:$A$3999=apr!$A24)*(lentry!$B$3:$B$3999&lt;=apr!AD$3)*(lentry!$C$3:$C$3999&gt;=apr!AD$3)),lentry!$D$3:$D$3999),IF(WEEKDAY(apr!AD$3,1)=1,"WO","P"))</f>
        <v>P</v>
      </c>
      <c r="AE24" s="4" t="str">
        <f>IFERROR(LOOKUP(2,1/((lentry!$A$3:$A$3999=apr!$A24)*(lentry!$B$3:$B$3999&lt;=apr!AE$3)*(lentry!$C$3:$C$3999&gt;=apr!AE$3)),lentry!$D$3:$D$3999),IF(WEEKDAY(apr!AE$3,1)=1,"WO","P"))</f>
        <v>WO</v>
      </c>
      <c r="AF24" s="4" t="str">
        <f>IFERROR(LOOKUP(2,1/((lentry!$A$3:$A$3999=apr!$A24)*(lentry!$B$3:$B$3999&lt;=apr!AF$3)*(lentry!$C$3:$C$3999&gt;=apr!AF$3)),lentry!$D$3:$D$3999),IF(WEEKDAY(apr!AF$3,1)=1,"WO","P"))</f>
        <v>PL</v>
      </c>
      <c r="AG24" s="4" t="str">
        <f>IFERROR(LOOKUP(2,1/((lentry!$A$3:$A$3999=apr!$A24)*(lentry!$B$3:$B$3999&lt;=apr!AG$3)*(lentry!$C$3:$C$3999&gt;=apr!AG$3)),lentry!$D$3:$D$3999),IF(WEEKDAY(apr!AG$3,1)=1,"WO","P"))</f>
        <v>P</v>
      </c>
      <c r="AH24" s="4" t="str">
        <f>IFERROR(LOOKUP(2,1/((lentry!$A$3:$A$3999=apr!$A24)*(lentry!$B$3:$B$3999&lt;=apr!AH$3)*(lentry!$C$3:$C$3999&gt;=apr!AH$3)),lentry!$D$3:$D$3999),IF(WEEKDAY(apr!AH$3,1)=1,"WO","P"))</f>
        <v>P</v>
      </c>
      <c r="AI24" s="4" t="str">
        <f>IFERROR(LOOKUP(2,1/((lentry!$A$3:$A$3999=apr!$A24)*(lentry!$B$3:$B$3999&lt;=apr!AI$3)*(lentry!$C$3:$C$3999&gt;=apr!AI$3)),lentry!$D$3:$D$3999),IF(WEEKDAY(apr!AI$3,1)=1,"WO","P"))</f>
        <v>P</v>
      </c>
      <c r="AJ24" s="5">
        <f>COUNTIF(apr!$F24:$AI24,"WO")</f>
        <v>4</v>
      </c>
      <c r="AK24" s="5">
        <f>COUNTIF(jan!$F24:$AJ24,"H")</f>
        <v>1</v>
      </c>
      <c r="AL24" s="5">
        <f>COUNTIF(jan!$F24:$AJ24,"PL")</f>
        <v>0</v>
      </c>
      <c r="AM24" s="5">
        <f>COUNTIF(jan!$F24:$AJ24,"LWP")</f>
        <v>0</v>
      </c>
      <c r="AN24" s="5">
        <f>COUNTIF(jan!$F24:$AJ24,"HD")</f>
        <v>0</v>
      </c>
      <c r="AO24" s="5">
        <f>COUNTIF(jan!$F24:$AJ24,"SL")</f>
        <v>0</v>
      </c>
      <c r="AP24" s="5">
        <f>COUNTIF(jan!$F24:$AJ24,"CL")</f>
        <v>0</v>
      </c>
      <c r="AQ24" s="5">
        <f>COUNTIF(jan!$F24:$AJ24,"A")</f>
        <v>0</v>
      </c>
      <c r="AR24" s="5">
        <f>COUNTIF(jan!$F24:$AJ24,"P")</f>
        <v>26</v>
      </c>
      <c r="AS24" s="5">
        <f t="shared" si="2"/>
        <v>30</v>
      </c>
      <c r="AT24" s="5">
        <f t="shared" si="3"/>
        <v>31</v>
      </c>
      <c r="AU24" s="4">
        <f>SUMIFS(holly!$L$2:$L$122,holly!$I$2:$I$122,mar!$A24,holly!$K$2:$K$122,"Mar")</f>
        <v>0</v>
      </c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</row>
    <row r="25" spans="1:77" ht="18.75" x14ac:dyDescent="0.3">
      <c r="A25" s="3" t="s">
        <v>46</v>
      </c>
      <c r="B25" s="3" t="str">
        <f>VLOOKUP($A25,Master!$A$2:$K$52,2,0)</f>
        <v>Employee21</v>
      </c>
      <c r="C25" s="3" t="str">
        <f>VLOOKUP($A25,Master!$A$2:$K$52,3,0)</f>
        <v>Male</v>
      </c>
      <c r="D25" s="3" t="str">
        <f>VLOOKUP($A25,Master!$A$2:$K$52,5,0)</f>
        <v>Production</v>
      </c>
      <c r="E25" s="3" t="str">
        <f>VLOOKUP($A25,Master!$A$2:$K$52,6,0)</f>
        <v>Supervisor</v>
      </c>
      <c r="F25" s="4" t="str">
        <f>IFERROR(LOOKUP(2,1/((lentry!$A$3:$A$3999=apr!$A25)*(lentry!$B$3:$B$3999&lt;=apr!F$3)*(lentry!$C$3:$C$3999&gt;=apr!F$3)),lentry!$D$3:$D$3999),IF(WEEKDAY(apr!F$3,1)=1,"WO","P"))</f>
        <v>P</v>
      </c>
      <c r="G25" s="4" t="str">
        <f>IFERROR(LOOKUP(2,1/((lentry!$A$3:$A$3999=apr!$A25)*(lentry!$B$3:$B$3999&lt;=apr!G$3)*(lentry!$C$3:$C$3999&gt;=apr!G$3)),lentry!$D$3:$D$3999),IF(WEEKDAY(apr!G$3,1)=1,"WO","P"))</f>
        <v>P</v>
      </c>
      <c r="H25" s="4" t="s">
        <v>350</v>
      </c>
      <c r="I25" s="4" t="str">
        <f>IFERROR(LOOKUP(2,1/((lentry!$A$3:$A$3999=apr!$A25)*(lentry!$B$3:$B$3999&lt;=apr!I$3)*(lentry!$C$3:$C$3999&gt;=apr!I$3)),lentry!$D$3:$D$3999),IF(WEEKDAY(apr!I$3,1)=1,"WO","P"))</f>
        <v>P</v>
      </c>
      <c r="J25" s="4" t="str">
        <f>IFERROR(LOOKUP(2,1/((lentry!$A$3:$A$3999=apr!$A25)*(lentry!$B$3:$B$3999&lt;=apr!J$3)*(lentry!$C$3:$C$3999&gt;=apr!J$3)),lentry!$D$3:$D$3999),IF(WEEKDAY(apr!J$3,1)=1,"WO","P"))</f>
        <v>WO</v>
      </c>
      <c r="K25" s="4" t="s">
        <v>539</v>
      </c>
      <c r="L25" s="4" t="str">
        <f>IFERROR(LOOKUP(2,1/((lentry!$A$3:$A$3999=apr!$A25)*(lentry!$B$3:$B$3999&lt;=apr!L$3)*(lentry!$C$3:$C$3999&gt;=apr!L$3)),lentry!$D$3:$D$3999),IF(WEEKDAY(apr!L$3,1)=1,"WO","P"))</f>
        <v>P</v>
      </c>
      <c r="M25" s="4" t="str">
        <f>IFERROR(LOOKUP(2,1/((lentry!$A$3:$A$3999=apr!$A25)*(lentry!$B$3:$B$3999&lt;=apr!M$3)*(lentry!$C$3:$C$3999&gt;=apr!M$3)),lentry!$D$3:$D$3999),IF(WEEKDAY(apr!M$3,1)=1,"WO","P"))</f>
        <v>P</v>
      </c>
      <c r="N25" s="4" t="str">
        <f>IFERROR(LOOKUP(2,1/((lentry!$A$3:$A$3999=apr!$A25)*(lentry!$B$3:$B$3999&lt;=apr!N$3)*(lentry!$C$3:$C$3999&gt;=apr!N$3)),lentry!$D$3:$D$3999),IF(WEEKDAY(apr!N$3,1)=1,"WO","P"))</f>
        <v>P</v>
      </c>
      <c r="O25" s="4" t="str">
        <f>IFERROR(LOOKUP(2,1/((lentry!$A$3:$A$3999=apr!$A25)*(lentry!$B$3:$B$3999&lt;=apr!O$3)*(lentry!$C$3:$C$3999&gt;=apr!O$3)),lentry!$D$3:$D$3999),IF(WEEKDAY(apr!O$3,1)=1,"WO","P"))</f>
        <v>P</v>
      </c>
      <c r="P25" s="4" t="str">
        <f>IFERROR(LOOKUP(2,1/((lentry!$A$3:$A$3999=apr!$A25)*(lentry!$B$3:$B$3999&lt;=apr!P$3)*(lentry!$C$3:$C$3999&gt;=apr!P$3)),lentry!$D$3:$D$3999),IF(WEEKDAY(apr!P$3,1)=1,"WO","P"))</f>
        <v>P</v>
      </c>
      <c r="Q25" s="4" t="str">
        <f>IFERROR(LOOKUP(2,1/((lentry!$A$3:$A$3999=apr!$A25)*(lentry!$B$3:$B$3999&lt;=apr!Q$3)*(lentry!$C$3:$C$3999&gt;=apr!Q$3)),lentry!$D$3:$D$3999),IF(WEEKDAY(apr!Q$3,1)=1,"WO","P"))</f>
        <v>WO</v>
      </c>
      <c r="R25" s="4" t="str">
        <f>IFERROR(LOOKUP(2,1/((lentry!$A$3:$A$3999=apr!$A25)*(lentry!$B$3:$B$3999&lt;=apr!R$3)*(lentry!$C$3:$C$3999&gt;=apr!R$3)),lentry!$D$3:$D$3999),IF(WEEKDAY(apr!R$3,1)=1,"WO","P"))</f>
        <v>P</v>
      </c>
      <c r="S25" s="4" t="s">
        <v>350</v>
      </c>
      <c r="T25" s="4" t="str">
        <f>IFERROR(LOOKUP(2,1/((lentry!$A$3:$A$3999=apr!$A25)*(lentry!$B$3:$B$3999&lt;=apr!T$3)*(lentry!$C$3:$C$3999&gt;=apr!T$3)),lentry!$D$3:$D$3999),IF(WEEKDAY(apr!T$3,1)=1,"WO","P"))</f>
        <v>P</v>
      </c>
      <c r="U25" s="4" t="str">
        <f>IFERROR(LOOKUP(2,1/((lentry!$A$3:$A$3999=apr!$A25)*(lentry!$B$3:$B$3999&lt;=apr!U$3)*(lentry!$C$3:$C$3999&gt;=apr!U$3)),lentry!$D$3:$D$3999),IF(WEEKDAY(apr!U$3,1)=1,"WO","P"))</f>
        <v>P</v>
      </c>
      <c r="V25" s="4" t="str">
        <f>IFERROR(LOOKUP(2,1/((lentry!$A$3:$A$3999=apr!$A25)*(lentry!$B$3:$B$3999&lt;=apr!V$3)*(lentry!$C$3:$C$3999&gt;=apr!V$3)),lentry!$D$3:$D$3999),IF(WEEKDAY(apr!V$3,1)=1,"WO","P"))</f>
        <v>P</v>
      </c>
      <c r="W25" s="4" t="str">
        <f>IFERROR(LOOKUP(2,1/((lentry!$A$3:$A$3999=apr!$A25)*(lentry!$B$3:$B$3999&lt;=apr!W$3)*(lentry!$C$3:$C$3999&gt;=apr!W$3)),lentry!$D$3:$D$3999),IF(WEEKDAY(apr!W$3,1)=1,"WO","P"))</f>
        <v>P</v>
      </c>
      <c r="X25" s="4" t="str">
        <f>IFERROR(LOOKUP(2,1/((lentry!$A$3:$A$3999=apr!$A25)*(lentry!$B$3:$B$3999&lt;=apr!X$3)*(lentry!$C$3:$C$3999&gt;=apr!X$3)),lentry!$D$3:$D$3999),IF(WEEKDAY(apr!X$3,1)=1,"WO","P"))</f>
        <v>CL</v>
      </c>
      <c r="Y25" s="4" t="str">
        <f>IFERROR(LOOKUP(2,1/((lentry!$A$3:$A$3999=apr!$A25)*(lentry!$B$3:$B$3999&lt;=apr!Y$3)*(lentry!$C$3:$C$3999&gt;=apr!Y$3)),lentry!$D$3:$D$3999),IF(WEEKDAY(apr!Y$3,1)=1,"WO","P"))</f>
        <v>P</v>
      </c>
      <c r="Z25" s="4" t="str">
        <f>IFERROR(LOOKUP(2,1/((lentry!$A$3:$A$3999=apr!$A25)*(lentry!$B$3:$B$3999&lt;=apr!Z$3)*(lentry!$C$3:$C$3999&gt;=apr!Z$3)),lentry!$D$3:$D$3999),IF(WEEKDAY(apr!Z$3,1)=1,"WO","P"))</f>
        <v>P</v>
      </c>
      <c r="AA25" s="4" t="str">
        <f>IFERROR(LOOKUP(2,1/((lentry!$A$3:$A$3999=apr!$A25)*(lentry!$B$3:$B$3999&lt;=apr!AA$3)*(lentry!$C$3:$C$3999&gt;=apr!AA$3)),lentry!$D$3:$D$3999),IF(WEEKDAY(apr!AA$3,1)=1,"WO","P"))</f>
        <v>P</v>
      </c>
      <c r="AB25" s="4" t="str">
        <f>IFERROR(LOOKUP(2,1/((lentry!$A$3:$A$3999=apr!$A25)*(lentry!$B$3:$B$3999&lt;=apr!AB$3)*(lentry!$C$3:$C$3999&gt;=apr!AB$3)),lentry!$D$3:$D$3999),IF(WEEKDAY(apr!AB$3,1)=1,"WO","P"))</f>
        <v>P</v>
      </c>
      <c r="AC25" s="4" t="str">
        <f>IFERROR(LOOKUP(2,1/((lentry!$A$3:$A$3999=apr!$A25)*(lentry!$B$3:$B$3999&lt;=apr!AC$3)*(lentry!$C$3:$C$3999&gt;=apr!AC$3)),lentry!$D$3:$D$3999),IF(WEEKDAY(apr!AC$3,1)=1,"WO","P"))</f>
        <v>P</v>
      </c>
      <c r="AD25" s="4" t="str">
        <f>IFERROR(LOOKUP(2,1/((lentry!$A$3:$A$3999=apr!$A25)*(lentry!$B$3:$B$3999&lt;=apr!AD$3)*(lentry!$C$3:$C$3999&gt;=apr!AD$3)),lentry!$D$3:$D$3999),IF(WEEKDAY(apr!AD$3,1)=1,"WO","P"))</f>
        <v>P</v>
      </c>
      <c r="AE25" s="4" t="str">
        <f>IFERROR(LOOKUP(2,1/((lentry!$A$3:$A$3999=apr!$A25)*(lentry!$B$3:$B$3999&lt;=apr!AE$3)*(lentry!$C$3:$C$3999&gt;=apr!AE$3)),lentry!$D$3:$D$3999),IF(WEEKDAY(apr!AE$3,1)=1,"WO","P"))</f>
        <v>WO</v>
      </c>
      <c r="AF25" s="4" t="str">
        <f>IFERROR(LOOKUP(2,1/((lentry!$A$3:$A$3999=apr!$A25)*(lentry!$B$3:$B$3999&lt;=apr!AF$3)*(lentry!$C$3:$C$3999&gt;=apr!AF$3)),lentry!$D$3:$D$3999),IF(WEEKDAY(apr!AF$3,1)=1,"WO","P"))</f>
        <v>P</v>
      </c>
      <c r="AG25" s="4" t="str">
        <f>IFERROR(LOOKUP(2,1/((lentry!$A$3:$A$3999=apr!$A25)*(lentry!$B$3:$B$3999&lt;=apr!AG$3)*(lentry!$C$3:$C$3999&gt;=apr!AG$3)),lentry!$D$3:$D$3999),IF(WEEKDAY(apr!AG$3,1)=1,"WO","P"))</f>
        <v>P</v>
      </c>
      <c r="AH25" s="4" t="str">
        <f>IFERROR(LOOKUP(2,1/((lentry!$A$3:$A$3999=apr!$A25)*(lentry!$B$3:$B$3999&lt;=apr!AH$3)*(lentry!$C$3:$C$3999&gt;=apr!AH$3)),lentry!$D$3:$D$3999),IF(WEEKDAY(apr!AH$3,1)=1,"WO","P"))</f>
        <v>P</v>
      </c>
      <c r="AI25" s="4" t="str">
        <f>IFERROR(LOOKUP(2,1/((lentry!$A$3:$A$3999=apr!$A25)*(lentry!$B$3:$B$3999&lt;=apr!AI$3)*(lentry!$C$3:$C$3999&gt;=apr!AI$3)),lentry!$D$3:$D$3999),IF(WEEKDAY(apr!AI$3,1)=1,"WO","P"))</f>
        <v>P</v>
      </c>
      <c r="AJ25" s="5">
        <f>COUNTIF(apr!$F25:$AI25,"WO")</f>
        <v>3</v>
      </c>
      <c r="AK25" s="5">
        <f>COUNTIF(jan!$F25:$AJ25,"H")</f>
        <v>1</v>
      </c>
      <c r="AL25" s="5">
        <f>COUNTIF(jan!$F25:$AJ25,"PL")</f>
        <v>0</v>
      </c>
      <c r="AM25" s="5">
        <f>COUNTIF(jan!$F25:$AJ25,"LWP")</f>
        <v>0</v>
      </c>
      <c r="AN25" s="5">
        <f>COUNTIF(jan!$F25:$AJ25,"HD")</f>
        <v>0</v>
      </c>
      <c r="AO25" s="5">
        <f>COUNTIF(jan!$F25:$AJ25,"SL")</f>
        <v>0</v>
      </c>
      <c r="AP25" s="5">
        <f>COUNTIF(jan!$F25:$AJ25,"CL")</f>
        <v>0</v>
      </c>
      <c r="AQ25" s="5">
        <f>COUNTIF(jan!$F25:$AJ25,"A")</f>
        <v>1</v>
      </c>
      <c r="AR25" s="5">
        <f>COUNTIF(jan!$F25:$AJ25,"P")</f>
        <v>25</v>
      </c>
      <c r="AS25" s="5">
        <f t="shared" si="2"/>
        <v>30</v>
      </c>
      <c r="AT25" s="5">
        <f t="shared" si="3"/>
        <v>29</v>
      </c>
      <c r="AU25" s="4">
        <f>SUMIFS(holly!$L$2:$L$122,holly!$I$2:$I$122,mar!$A25,holly!$K$2:$K$122,"Mar")</f>
        <v>0</v>
      </c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</row>
    <row r="26" spans="1:77" ht="18.75" x14ac:dyDescent="0.3">
      <c r="A26" s="3" t="s">
        <v>47</v>
      </c>
      <c r="B26" s="3" t="str">
        <f>VLOOKUP($A26,Master!$A$2:$K$52,2,0)</f>
        <v>Employee22</v>
      </c>
      <c r="C26" s="3" t="str">
        <f>VLOOKUP($A26,Master!$A$2:$K$52,3,0)</f>
        <v>Male</v>
      </c>
      <c r="D26" s="3" t="str">
        <f>VLOOKUP($A26,Master!$A$2:$K$52,5,0)</f>
        <v>Production</v>
      </c>
      <c r="E26" s="3" t="str">
        <f>VLOOKUP($A26,Master!$A$2:$K$52,6,0)</f>
        <v>Supervisor</v>
      </c>
      <c r="F26" s="4" t="str">
        <f>IFERROR(LOOKUP(2,1/((lentry!$A$3:$A$3999=apr!$A26)*(lentry!$B$3:$B$3999&lt;=apr!F$3)*(lentry!$C$3:$C$3999&gt;=apr!F$3)),lentry!$D$3:$D$3999),IF(WEEKDAY(apr!F$3,1)=1,"WO","P"))</f>
        <v>P</v>
      </c>
      <c r="G26" s="4" t="str">
        <f>IFERROR(LOOKUP(2,1/((lentry!$A$3:$A$3999=apr!$A26)*(lentry!$B$3:$B$3999&lt;=apr!G$3)*(lentry!$C$3:$C$3999&gt;=apr!G$3)),lentry!$D$3:$D$3999),IF(WEEKDAY(apr!G$3,1)=1,"WO","P"))</f>
        <v>P</v>
      </c>
      <c r="H26" s="4" t="s">
        <v>350</v>
      </c>
      <c r="I26" s="4" t="str">
        <f>IFERROR(LOOKUP(2,1/((lentry!$A$3:$A$3999=apr!$A26)*(lentry!$B$3:$B$3999&lt;=apr!I$3)*(lentry!$C$3:$C$3999&gt;=apr!I$3)),lentry!$D$3:$D$3999),IF(WEEKDAY(apr!I$3,1)=1,"WO","P"))</f>
        <v>P</v>
      </c>
      <c r="J26" s="4" t="str">
        <f>IFERROR(LOOKUP(2,1/((lentry!$A$3:$A$3999=apr!$A26)*(lentry!$B$3:$B$3999&lt;=apr!J$3)*(lentry!$C$3:$C$3999&gt;=apr!J$3)),lentry!$D$3:$D$3999),IF(WEEKDAY(apr!J$3,1)=1,"WO","P"))</f>
        <v>WO</v>
      </c>
      <c r="K26" s="4" t="str">
        <f>IFERROR(LOOKUP(2,1/((lentry!$A$3:$A$3999=apr!$A26)*(lentry!$B$3:$B$3999&lt;=apr!K$3)*(lentry!$C$3:$C$3999&gt;=apr!K$3)),lentry!$D$3:$D$3999),IF(WEEKDAY(apr!K$3,1)=1,"WO","P"))</f>
        <v>P</v>
      </c>
      <c r="L26" s="4" t="str">
        <f>IFERROR(LOOKUP(2,1/((lentry!$A$3:$A$3999=apr!$A26)*(lentry!$B$3:$B$3999&lt;=apr!L$3)*(lentry!$C$3:$C$3999&gt;=apr!L$3)),lentry!$D$3:$D$3999),IF(WEEKDAY(apr!L$3,1)=1,"WO","P"))</f>
        <v>P</v>
      </c>
      <c r="M26" s="4" t="str">
        <f>IFERROR(LOOKUP(2,1/((lentry!$A$3:$A$3999=apr!$A26)*(lentry!$B$3:$B$3999&lt;=apr!M$3)*(lentry!$C$3:$C$3999&gt;=apr!M$3)),lentry!$D$3:$D$3999),IF(WEEKDAY(apr!M$3,1)=1,"WO","P"))</f>
        <v>P</v>
      </c>
      <c r="N26" s="4" t="str">
        <f>IFERROR(LOOKUP(2,1/((lentry!$A$3:$A$3999=apr!$A26)*(lentry!$B$3:$B$3999&lt;=apr!N$3)*(lentry!$C$3:$C$3999&gt;=apr!N$3)),lentry!$D$3:$D$3999),IF(WEEKDAY(apr!N$3,1)=1,"WO","P"))</f>
        <v>P</v>
      </c>
      <c r="O26" s="4" t="str">
        <f>IFERROR(LOOKUP(2,1/((lentry!$A$3:$A$3999=apr!$A26)*(lentry!$B$3:$B$3999&lt;=apr!O$3)*(lentry!$C$3:$C$3999&gt;=apr!O$3)),lentry!$D$3:$D$3999),IF(WEEKDAY(apr!O$3,1)=1,"WO","P"))</f>
        <v>P</v>
      </c>
      <c r="P26" s="4" t="str">
        <f>IFERROR(LOOKUP(2,1/((lentry!$A$3:$A$3999=apr!$A26)*(lentry!$B$3:$B$3999&lt;=apr!P$3)*(lentry!$C$3:$C$3999&gt;=apr!P$3)),lentry!$D$3:$D$3999),IF(WEEKDAY(apr!P$3,1)=1,"WO","P"))</f>
        <v>P</v>
      </c>
      <c r="Q26" s="4" t="str">
        <f>IFERROR(LOOKUP(2,1/((lentry!$A$3:$A$3999=apr!$A26)*(lentry!$B$3:$B$3999&lt;=apr!Q$3)*(lentry!$C$3:$C$3999&gt;=apr!Q$3)),lentry!$D$3:$D$3999),IF(WEEKDAY(apr!Q$3,1)=1,"WO","P"))</f>
        <v>WO</v>
      </c>
      <c r="R26" s="4" t="str">
        <f>IFERROR(LOOKUP(2,1/((lentry!$A$3:$A$3999=apr!$A26)*(lentry!$B$3:$B$3999&lt;=apr!R$3)*(lentry!$C$3:$C$3999&gt;=apr!R$3)),lentry!$D$3:$D$3999),IF(WEEKDAY(apr!R$3,1)=1,"WO","P"))</f>
        <v>P</v>
      </c>
      <c r="S26" s="4" t="s">
        <v>350</v>
      </c>
      <c r="T26" s="4" t="str">
        <f>IFERROR(LOOKUP(2,1/((lentry!$A$3:$A$3999=apr!$A26)*(lentry!$B$3:$B$3999&lt;=apr!T$3)*(lentry!$C$3:$C$3999&gt;=apr!T$3)),lentry!$D$3:$D$3999),IF(WEEKDAY(apr!T$3,1)=1,"WO","P"))</f>
        <v>P</v>
      </c>
      <c r="U26" s="4" t="s">
        <v>539</v>
      </c>
      <c r="V26" s="4" t="str">
        <f>IFERROR(LOOKUP(2,1/((lentry!$A$3:$A$3999=apr!$A26)*(lentry!$B$3:$B$3999&lt;=apr!V$3)*(lentry!$C$3:$C$3999&gt;=apr!V$3)),lentry!$D$3:$D$3999),IF(WEEKDAY(apr!V$3,1)=1,"WO","P"))</f>
        <v>P</v>
      </c>
      <c r="W26" s="4" t="str">
        <f>IFERROR(LOOKUP(2,1/((lentry!$A$3:$A$3999=apr!$A26)*(lentry!$B$3:$B$3999&lt;=apr!W$3)*(lentry!$C$3:$C$3999&gt;=apr!W$3)),lentry!$D$3:$D$3999),IF(WEEKDAY(apr!W$3,1)=1,"WO","P"))</f>
        <v>P</v>
      </c>
      <c r="X26" s="4" t="str">
        <f>IFERROR(LOOKUP(2,1/((lentry!$A$3:$A$3999=apr!$A26)*(lentry!$B$3:$B$3999&lt;=apr!X$3)*(lentry!$C$3:$C$3999&gt;=apr!X$3)),lentry!$D$3:$D$3999),IF(WEEKDAY(apr!X$3,1)=1,"WO","P"))</f>
        <v>WO</v>
      </c>
      <c r="Y26" s="4" t="str">
        <f>IFERROR(LOOKUP(2,1/((lentry!$A$3:$A$3999=apr!$A26)*(lentry!$B$3:$B$3999&lt;=apr!Y$3)*(lentry!$C$3:$C$3999&gt;=apr!Y$3)),lentry!$D$3:$D$3999),IF(WEEKDAY(apr!Y$3,1)=1,"WO","P"))</f>
        <v>P</v>
      </c>
      <c r="Z26" s="4" t="str">
        <f>IFERROR(LOOKUP(2,1/((lentry!$A$3:$A$3999=apr!$A26)*(lentry!$B$3:$B$3999&lt;=apr!Z$3)*(lentry!$C$3:$C$3999&gt;=apr!Z$3)),lentry!$D$3:$D$3999),IF(WEEKDAY(apr!Z$3,1)=1,"WO","P"))</f>
        <v>P</v>
      </c>
      <c r="AA26" s="4" t="str">
        <f>IFERROR(LOOKUP(2,1/((lentry!$A$3:$A$3999=apr!$A26)*(lentry!$B$3:$B$3999&lt;=apr!AA$3)*(lentry!$C$3:$C$3999&gt;=apr!AA$3)),lentry!$D$3:$D$3999),IF(WEEKDAY(apr!AA$3,1)=1,"WO","P"))</f>
        <v>P</v>
      </c>
      <c r="AB26" s="4" t="str">
        <f>IFERROR(LOOKUP(2,1/((lentry!$A$3:$A$3999=apr!$A26)*(lentry!$B$3:$B$3999&lt;=apr!AB$3)*(lentry!$C$3:$C$3999&gt;=apr!AB$3)),lentry!$D$3:$D$3999),IF(WEEKDAY(apr!AB$3,1)=1,"WO","P"))</f>
        <v>P</v>
      </c>
      <c r="AC26" s="4" t="str">
        <f>IFERROR(LOOKUP(2,1/((lentry!$A$3:$A$3999=apr!$A26)*(lentry!$B$3:$B$3999&lt;=apr!AC$3)*(lentry!$C$3:$C$3999&gt;=apr!AC$3)),lentry!$D$3:$D$3999),IF(WEEKDAY(apr!AC$3,1)=1,"WO","P"))</f>
        <v>P</v>
      </c>
      <c r="AD26" s="4" t="str">
        <f>IFERROR(LOOKUP(2,1/((lentry!$A$3:$A$3999=apr!$A26)*(lentry!$B$3:$B$3999&lt;=apr!AD$3)*(lentry!$C$3:$C$3999&gt;=apr!AD$3)),lentry!$D$3:$D$3999),IF(WEEKDAY(apr!AD$3,1)=1,"WO","P"))</f>
        <v>P</v>
      </c>
      <c r="AE26" s="4" t="str">
        <f>IFERROR(LOOKUP(2,1/((lentry!$A$3:$A$3999=apr!$A26)*(lentry!$B$3:$B$3999&lt;=apr!AE$3)*(lentry!$C$3:$C$3999&gt;=apr!AE$3)),lentry!$D$3:$D$3999),IF(WEEKDAY(apr!AE$3,1)=1,"WO","P"))</f>
        <v>WO</v>
      </c>
      <c r="AF26" s="4" t="str">
        <f>IFERROR(LOOKUP(2,1/((lentry!$A$3:$A$3999=apr!$A26)*(lentry!$B$3:$B$3999&lt;=apr!AF$3)*(lentry!$C$3:$C$3999&gt;=apr!AF$3)),lentry!$D$3:$D$3999),IF(WEEKDAY(apr!AF$3,1)=1,"WO","P"))</f>
        <v>P</v>
      </c>
      <c r="AG26" s="4" t="str">
        <f>IFERROR(LOOKUP(2,1/((lentry!$A$3:$A$3999=apr!$A26)*(lentry!$B$3:$B$3999&lt;=apr!AG$3)*(lentry!$C$3:$C$3999&gt;=apr!AG$3)),lentry!$D$3:$D$3999),IF(WEEKDAY(apr!AG$3,1)=1,"WO","P"))</f>
        <v>P</v>
      </c>
      <c r="AH26" s="4" t="str">
        <f>IFERROR(LOOKUP(2,1/((lentry!$A$3:$A$3999=apr!$A26)*(lentry!$B$3:$B$3999&lt;=apr!AH$3)*(lentry!$C$3:$C$3999&gt;=apr!AH$3)),lentry!$D$3:$D$3999),IF(WEEKDAY(apr!AH$3,1)=1,"WO","P"))</f>
        <v>P</v>
      </c>
      <c r="AI26" s="4" t="str">
        <f>IFERROR(LOOKUP(2,1/((lentry!$A$3:$A$3999=apr!$A26)*(lentry!$B$3:$B$3999&lt;=apr!AI$3)*(lentry!$C$3:$C$3999&gt;=apr!AI$3)),lentry!$D$3:$D$3999),IF(WEEKDAY(apr!AI$3,1)=1,"WO","P"))</f>
        <v>P</v>
      </c>
      <c r="AJ26" s="5">
        <f>COUNTIF(apr!$F26:$AI26,"WO")</f>
        <v>4</v>
      </c>
      <c r="AK26" s="5">
        <f>COUNTIF(jan!$F26:$AJ26,"H")</f>
        <v>1</v>
      </c>
      <c r="AL26" s="5">
        <f>COUNTIF(jan!$F26:$AJ26,"PL")</f>
        <v>0</v>
      </c>
      <c r="AM26" s="5">
        <f>COUNTIF(jan!$F26:$AJ26,"LWP")</f>
        <v>0</v>
      </c>
      <c r="AN26" s="5">
        <f>COUNTIF(jan!$F26:$AJ26,"HD")</f>
        <v>0</v>
      </c>
      <c r="AO26" s="5">
        <f>COUNTIF(jan!$F26:$AJ26,"SL")</f>
        <v>0</v>
      </c>
      <c r="AP26" s="5">
        <f>COUNTIF(jan!$F26:$AJ26,"CL")</f>
        <v>0</v>
      </c>
      <c r="AQ26" s="5">
        <f>COUNTIF(jan!$F26:$AJ26,"A")</f>
        <v>1</v>
      </c>
      <c r="AR26" s="5">
        <f>COUNTIF(jan!$F26:$AJ26,"P")</f>
        <v>25</v>
      </c>
      <c r="AS26" s="5">
        <f t="shared" si="2"/>
        <v>30</v>
      </c>
      <c r="AT26" s="5">
        <f t="shared" si="3"/>
        <v>30</v>
      </c>
      <c r="AU26" s="4">
        <f>SUMIFS(holly!$L$2:$L$122,holly!$I$2:$I$122,mar!$A26,holly!$K$2:$K$122,"Mar")</f>
        <v>0</v>
      </c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</row>
    <row r="27" spans="1:77" ht="18.75" x14ac:dyDescent="0.3">
      <c r="A27" s="3" t="s">
        <v>48</v>
      </c>
      <c r="B27" s="3" t="str">
        <f>VLOOKUP($A27,Master!$A$2:$K$52,2,0)</f>
        <v>Employee23</v>
      </c>
      <c r="C27" s="3" t="str">
        <f>VLOOKUP($A27,Master!$A$2:$K$52,3,0)</f>
        <v>Male</v>
      </c>
      <c r="D27" s="3" t="str">
        <f>VLOOKUP($A27,Master!$A$2:$K$52,5,0)</f>
        <v>Accounts</v>
      </c>
      <c r="E27" s="3" t="str">
        <f>VLOOKUP($A27,Master!$A$2:$K$52,6,0)</f>
        <v>Accountant</v>
      </c>
      <c r="F27" s="4" t="str">
        <f>IFERROR(LOOKUP(2,1/((lentry!$A$3:$A$3999=apr!$A27)*(lentry!$B$3:$B$3999&lt;=apr!F$3)*(lentry!$C$3:$C$3999&gt;=apr!F$3)),lentry!$D$3:$D$3999),IF(WEEKDAY(apr!F$3,1)=1,"WO","P"))</f>
        <v>P</v>
      </c>
      <c r="G27" s="4" t="str">
        <f>IFERROR(LOOKUP(2,1/((lentry!$A$3:$A$3999=apr!$A27)*(lentry!$B$3:$B$3999&lt;=apr!G$3)*(lentry!$C$3:$C$3999&gt;=apr!G$3)),lentry!$D$3:$D$3999),IF(WEEKDAY(apr!G$3,1)=1,"WO","P"))</f>
        <v>P</v>
      </c>
      <c r="H27" s="4" t="s">
        <v>350</v>
      </c>
      <c r="I27" s="4" t="str">
        <f>IFERROR(LOOKUP(2,1/((lentry!$A$3:$A$3999=apr!$A27)*(lentry!$B$3:$B$3999&lt;=apr!I$3)*(lentry!$C$3:$C$3999&gt;=apr!I$3)),lentry!$D$3:$D$3999),IF(WEEKDAY(apr!I$3,1)=1,"WO","P"))</f>
        <v>P</v>
      </c>
      <c r="J27" s="4" t="str">
        <f>IFERROR(LOOKUP(2,1/((lentry!$A$3:$A$3999=apr!$A27)*(lentry!$B$3:$B$3999&lt;=apr!J$3)*(lentry!$C$3:$C$3999&gt;=apr!J$3)),lentry!$D$3:$D$3999),IF(WEEKDAY(apr!J$3,1)=1,"WO","P"))</f>
        <v>WO</v>
      </c>
      <c r="K27" s="4" t="str">
        <f>IFERROR(LOOKUP(2,1/((lentry!$A$3:$A$3999=apr!$A27)*(lentry!$B$3:$B$3999&lt;=apr!K$3)*(lentry!$C$3:$C$3999&gt;=apr!K$3)),lentry!$D$3:$D$3999),IF(WEEKDAY(apr!K$3,1)=1,"WO","P"))</f>
        <v>P</v>
      </c>
      <c r="L27" s="4" t="str">
        <f>IFERROR(LOOKUP(2,1/((lentry!$A$3:$A$3999=apr!$A27)*(lentry!$B$3:$B$3999&lt;=apr!L$3)*(lentry!$C$3:$C$3999&gt;=apr!L$3)),lentry!$D$3:$D$3999),IF(WEEKDAY(apr!L$3,1)=1,"WO","P"))</f>
        <v>P</v>
      </c>
      <c r="M27" s="4" t="str">
        <f>IFERROR(LOOKUP(2,1/((lentry!$A$3:$A$3999=apr!$A27)*(lentry!$B$3:$B$3999&lt;=apr!M$3)*(lentry!$C$3:$C$3999&gt;=apr!M$3)),lentry!$D$3:$D$3999),IF(WEEKDAY(apr!M$3,1)=1,"WO","P"))</f>
        <v>P</v>
      </c>
      <c r="N27" s="4" t="str">
        <f>IFERROR(LOOKUP(2,1/((lentry!$A$3:$A$3999=apr!$A27)*(lentry!$B$3:$B$3999&lt;=apr!N$3)*(lentry!$C$3:$C$3999&gt;=apr!N$3)),lentry!$D$3:$D$3999),IF(WEEKDAY(apr!N$3,1)=1,"WO","P"))</f>
        <v>P</v>
      </c>
      <c r="O27" s="4" t="str">
        <f>IFERROR(LOOKUP(2,1/((lentry!$A$3:$A$3999=apr!$A27)*(lentry!$B$3:$B$3999&lt;=apr!O$3)*(lentry!$C$3:$C$3999&gt;=apr!O$3)),lentry!$D$3:$D$3999),IF(WEEKDAY(apr!O$3,1)=1,"WO","P"))</f>
        <v>P</v>
      </c>
      <c r="P27" s="4" t="str">
        <f>IFERROR(LOOKUP(2,1/((lentry!$A$3:$A$3999=apr!$A27)*(lentry!$B$3:$B$3999&lt;=apr!P$3)*(lentry!$C$3:$C$3999&gt;=apr!P$3)),lentry!$D$3:$D$3999),IF(WEEKDAY(apr!P$3,1)=1,"WO","P"))</f>
        <v>P</v>
      </c>
      <c r="Q27" s="4" t="str">
        <f>IFERROR(LOOKUP(2,1/((lentry!$A$3:$A$3999=apr!$A27)*(lentry!$B$3:$B$3999&lt;=apr!Q$3)*(lentry!$C$3:$C$3999&gt;=apr!Q$3)),lentry!$D$3:$D$3999),IF(WEEKDAY(apr!Q$3,1)=1,"WO","P"))</f>
        <v>WO</v>
      </c>
      <c r="R27" s="4" t="str">
        <f>IFERROR(LOOKUP(2,1/((lentry!$A$3:$A$3999=apr!$A27)*(lentry!$B$3:$B$3999&lt;=apr!R$3)*(lentry!$C$3:$C$3999&gt;=apr!R$3)),lentry!$D$3:$D$3999),IF(WEEKDAY(apr!R$3,1)=1,"WO","P"))</f>
        <v>P</v>
      </c>
      <c r="S27" s="4" t="s">
        <v>350</v>
      </c>
      <c r="T27" s="4" t="str">
        <f>IFERROR(LOOKUP(2,1/((lentry!$A$3:$A$3999=apr!$A27)*(lentry!$B$3:$B$3999&lt;=apr!T$3)*(lentry!$C$3:$C$3999&gt;=apr!T$3)),lentry!$D$3:$D$3999),IF(WEEKDAY(apr!T$3,1)=1,"WO","P"))</f>
        <v>P</v>
      </c>
      <c r="U27" s="4" t="str">
        <f>IFERROR(LOOKUP(2,1/((lentry!$A$3:$A$3999=apr!$A27)*(lentry!$B$3:$B$3999&lt;=apr!U$3)*(lentry!$C$3:$C$3999&gt;=apr!U$3)),lentry!$D$3:$D$3999),IF(WEEKDAY(apr!U$3,1)=1,"WO","P"))</f>
        <v>P</v>
      </c>
      <c r="V27" s="4" t="str">
        <f>IFERROR(LOOKUP(2,1/((lentry!$A$3:$A$3999=apr!$A27)*(lentry!$B$3:$B$3999&lt;=apr!V$3)*(lentry!$C$3:$C$3999&gt;=apr!V$3)),lentry!$D$3:$D$3999),IF(WEEKDAY(apr!V$3,1)=1,"WO","P"))</f>
        <v>P</v>
      </c>
      <c r="W27" s="4" t="str">
        <f>IFERROR(LOOKUP(2,1/((lentry!$A$3:$A$3999=apr!$A27)*(lentry!$B$3:$B$3999&lt;=apr!W$3)*(lentry!$C$3:$C$3999&gt;=apr!W$3)),lentry!$D$3:$D$3999),IF(WEEKDAY(apr!W$3,1)=1,"WO","P"))</f>
        <v>P</v>
      </c>
      <c r="X27" s="4" t="str">
        <f>IFERROR(LOOKUP(2,1/((lentry!$A$3:$A$3999=apr!$A27)*(lentry!$B$3:$B$3999&lt;=apr!X$3)*(lentry!$C$3:$C$3999&gt;=apr!X$3)),lentry!$D$3:$D$3999),IF(WEEKDAY(apr!X$3,1)=1,"WO","P"))</f>
        <v>WO</v>
      </c>
      <c r="Y27" s="4" t="str">
        <f>IFERROR(LOOKUP(2,1/((lentry!$A$3:$A$3999=apr!$A27)*(lentry!$B$3:$B$3999&lt;=apr!Y$3)*(lentry!$C$3:$C$3999&gt;=apr!Y$3)),lentry!$D$3:$D$3999),IF(WEEKDAY(apr!Y$3,1)=1,"WO","P"))</f>
        <v>P</v>
      </c>
      <c r="Z27" s="4" t="str">
        <f>IFERROR(LOOKUP(2,1/((lentry!$A$3:$A$3999=apr!$A27)*(lentry!$B$3:$B$3999&lt;=apr!Z$3)*(lentry!$C$3:$C$3999&gt;=apr!Z$3)),lentry!$D$3:$D$3999),IF(WEEKDAY(apr!Z$3,1)=1,"WO","P"))</f>
        <v>P</v>
      </c>
      <c r="AA27" s="4" t="str">
        <f>IFERROR(LOOKUP(2,1/((lentry!$A$3:$A$3999=apr!$A27)*(lentry!$B$3:$B$3999&lt;=apr!AA$3)*(lentry!$C$3:$C$3999&gt;=apr!AA$3)),lentry!$D$3:$D$3999),IF(WEEKDAY(apr!AA$3,1)=1,"WO","P"))</f>
        <v>P</v>
      </c>
      <c r="AB27" s="4" t="str">
        <f>IFERROR(LOOKUP(2,1/((lentry!$A$3:$A$3999=apr!$A27)*(lentry!$B$3:$B$3999&lt;=apr!AB$3)*(lentry!$C$3:$C$3999&gt;=apr!AB$3)),lentry!$D$3:$D$3999),IF(WEEKDAY(apr!AB$3,1)=1,"WO","P"))</f>
        <v>P</v>
      </c>
      <c r="AC27" s="4" t="str">
        <f>IFERROR(LOOKUP(2,1/((lentry!$A$3:$A$3999=apr!$A27)*(lentry!$B$3:$B$3999&lt;=apr!AC$3)*(lentry!$C$3:$C$3999&gt;=apr!AC$3)),lentry!$D$3:$D$3999),IF(WEEKDAY(apr!AC$3,1)=1,"WO","P"))</f>
        <v>P</v>
      </c>
      <c r="AD27" s="4" t="str">
        <f>IFERROR(LOOKUP(2,1/((lentry!$A$3:$A$3999=apr!$A27)*(lentry!$B$3:$B$3999&lt;=apr!AD$3)*(lentry!$C$3:$C$3999&gt;=apr!AD$3)),lentry!$D$3:$D$3999),IF(WEEKDAY(apr!AD$3,1)=1,"WO","P"))</f>
        <v>P</v>
      </c>
      <c r="AE27" s="4" t="str">
        <f>IFERROR(LOOKUP(2,1/((lentry!$A$3:$A$3999=apr!$A27)*(lentry!$B$3:$B$3999&lt;=apr!AE$3)*(lentry!$C$3:$C$3999&gt;=apr!AE$3)),lentry!$D$3:$D$3999),IF(WEEKDAY(apr!AE$3,1)=1,"WO","P"))</f>
        <v>WO</v>
      </c>
      <c r="AF27" s="4" t="str">
        <f>IFERROR(LOOKUP(2,1/((lentry!$A$3:$A$3999=apr!$A27)*(lentry!$B$3:$B$3999&lt;=apr!AF$3)*(lentry!$C$3:$C$3999&gt;=apr!AF$3)),lentry!$D$3:$D$3999),IF(WEEKDAY(apr!AF$3,1)=1,"WO","P"))</f>
        <v>P</v>
      </c>
      <c r="AG27" s="4" t="str">
        <f>IFERROR(LOOKUP(2,1/((lentry!$A$3:$A$3999=apr!$A27)*(lentry!$B$3:$B$3999&lt;=apr!AG$3)*(lentry!$C$3:$C$3999&gt;=apr!AG$3)),lentry!$D$3:$D$3999),IF(WEEKDAY(apr!AG$3,1)=1,"WO","P"))</f>
        <v>P</v>
      </c>
      <c r="AH27" s="4" t="str">
        <f>IFERROR(LOOKUP(2,1/((lentry!$A$3:$A$3999=apr!$A27)*(lentry!$B$3:$B$3999&lt;=apr!AH$3)*(lentry!$C$3:$C$3999&gt;=apr!AH$3)),lentry!$D$3:$D$3999),IF(WEEKDAY(apr!AH$3,1)=1,"WO","P"))</f>
        <v>P</v>
      </c>
      <c r="AI27" s="4" t="str">
        <f>IFERROR(LOOKUP(2,1/((lentry!$A$3:$A$3999=apr!$A27)*(lentry!$B$3:$B$3999&lt;=apr!AI$3)*(lentry!$C$3:$C$3999&gt;=apr!AI$3)),lentry!$D$3:$D$3999),IF(WEEKDAY(apr!AI$3,1)=1,"WO","P"))</f>
        <v>P</v>
      </c>
      <c r="AJ27" s="5">
        <f>COUNTIF(apr!$F27:$AI27,"WO")</f>
        <v>4</v>
      </c>
      <c r="AK27" s="5">
        <f>COUNTIF(jan!$F27:$AJ27,"H")</f>
        <v>1</v>
      </c>
      <c r="AL27" s="5">
        <f>COUNTIF(jan!$F27:$AJ27,"PL")</f>
        <v>0</v>
      </c>
      <c r="AM27" s="5">
        <f>COUNTIF(jan!$F27:$AJ27,"LWP")</f>
        <v>0</v>
      </c>
      <c r="AN27" s="5">
        <f>COUNTIF(jan!$F27:$AJ27,"HD")</f>
        <v>0</v>
      </c>
      <c r="AO27" s="5">
        <f>COUNTIF(jan!$F27:$AJ27,"SL")</f>
        <v>0</v>
      </c>
      <c r="AP27" s="5">
        <f>COUNTIF(jan!$F27:$AJ27,"CL")</f>
        <v>0</v>
      </c>
      <c r="AQ27" s="5">
        <f>COUNTIF(jan!$F27:$AJ27,"A")</f>
        <v>1</v>
      </c>
      <c r="AR27" s="5">
        <f>COUNTIF(jan!$F27:$AJ27,"P")</f>
        <v>25</v>
      </c>
      <c r="AS27" s="5">
        <f t="shared" si="2"/>
        <v>30</v>
      </c>
      <c r="AT27" s="5">
        <f t="shared" si="3"/>
        <v>30</v>
      </c>
      <c r="AU27" s="4">
        <f>SUMIFS(holly!$L$2:$L$122,holly!$I$2:$I$122,mar!$A27,holly!$K$2:$K$122,"Mar")</f>
        <v>0</v>
      </c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</row>
    <row r="28" spans="1:77" ht="18.75" x14ac:dyDescent="0.3">
      <c r="A28" s="3" t="s">
        <v>50</v>
      </c>
      <c r="B28" s="3" t="str">
        <f>VLOOKUP($A28,Master!$A$2:$K$52,2,0)</f>
        <v>Employee24</v>
      </c>
      <c r="C28" s="3" t="str">
        <f>VLOOKUP($A28,Master!$A$2:$K$52,3,0)</f>
        <v>Male</v>
      </c>
      <c r="D28" s="3" t="str">
        <f>VLOOKUP($A28,Master!$A$2:$K$52,5,0)</f>
        <v>Production</v>
      </c>
      <c r="E28" s="3" t="str">
        <f>VLOOKUP($A28,Master!$A$2:$K$52,6,0)</f>
        <v>Operator</v>
      </c>
      <c r="F28" s="4" t="str">
        <f>IFERROR(LOOKUP(2,1/((lentry!$A$3:$A$3999=apr!$A28)*(lentry!$B$3:$B$3999&lt;=apr!F$3)*(lentry!$C$3:$C$3999&gt;=apr!F$3)),lentry!$D$3:$D$3999),IF(WEEKDAY(apr!F$3,1)=1,"WO","P"))</f>
        <v>P</v>
      </c>
      <c r="G28" s="4" t="str">
        <f>IFERROR(LOOKUP(2,1/((lentry!$A$3:$A$3999=apr!$A28)*(lentry!$B$3:$B$3999&lt;=apr!G$3)*(lentry!$C$3:$C$3999&gt;=apr!G$3)),lentry!$D$3:$D$3999),IF(WEEKDAY(apr!G$3,1)=1,"WO","P"))</f>
        <v>P</v>
      </c>
      <c r="H28" s="4" t="s">
        <v>350</v>
      </c>
      <c r="I28" s="4" t="str">
        <f>IFERROR(LOOKUP(2,1/((lentry!$A$3:$A$3999=apr!$A28)*(lentry!$B$3:$B$3999&lt;=apr!I$3)*(lentry!$C$3:$C$3999&gt;=apr!I$3)),lentry!$D$3:$D$3999),IF(WEEKDAY(apr!I$3,1)=1,"WO","P"))</f>
        <v>P</v>
      </c>
      <c r="J28" s="4" t="str">
        <f>IFERROR(LOOKUP(2,1/((lentry!$A$3:$A$3999=apr!$A28)*(lentry!$B$3:$B$3999&lt;=apr!J$3)*(lentry!$C$3:$C$3999&gt;=apr!J$3)),lentry!$D$3:$D$3999),IF(WEEKDAY(apr!J$3,1)=1,"WO","P"))</f>
        <v>WO</v>
      </c>
      <c r="K28" s="4" t="str">
        <f>IFERROR(LOOKUP(2,1/((lentry!$A$3:$A$3999=apr!$A28)*(lentry!$B$3:$B$3999&lt;=apr!K$3)*(lentry!$C$3:$C$3999&gt;=apr!K$3)),lentry!$D$3:$D$3999),IF(WEEKDAY(apr!K$3,1)=1,"WO","P"))</f>
        <v>P</v>
      </c>
      <c r="L28" s="4" t="str">
        <f>IFERROR(LOOKUP(2,1/((lentry!$A$3:$A$3999=apr!$A28)*(lentry!$B$3:$B$3999&lt;=apr!L$3)*(lentry!$C$3:$C$3999&gt;=apr!L$3)),lentry!$D$3:$D$3999),IF(WEEKDAY(apr!L$3,1)=1,"WO","P"))</f>
        <v>P</v>
      </c>
      <c r="M28" s="4" t="str">
        <f>IFERROR(LOOKUP(2,1/((lentry!$A$3:$A$3999=apr!$A28)*(lentry!$B$3:$B$3999&lt;=apr!M$3)*(lentry!$C$3:$C$3999&gt;=apr!M$3)),lentry!$D$3:$D$3999),IF(WEEKDAY(apr!M$3,1)=1,"WO","P"))</f>
        <v>P</v>
      </c>
      <c r="N28" s="4" t="str">
        <f>IFERROR(LOOKUP(2,1/((lentry!$A$3:$A$3999=apr!$A28)*(lentry!$B$3:$B$3999&lt;=apr!N$3)*(lentry!$C$3:$C$3999&gt;=apr!N$3)),lentry!$D$3:$D$3999),IF(WEEKDAY(apr!N$3,1)=1,"WO","P"))</f>
        <v>P</v>
      </c>
      <c r="O28" s="4" t="str">
        <f>IFERROR(LOOKUP(2,1/((lentry!$A$3:$A$3999=apr!$A28)*(lentry!$B$3:$B$3999&lt;=apr!O$3)*(lentry!$C$3:$C$3999&gt;=apr!O$3)),lentry!$D$3:$D$3999),IF(WEEKDAY(apr!O$3,1)=1,"WO","P"))</f>
        <v>P</v>
      </c>
      <c r="P28" s="4" t="str">
        <f>IFERROR(LOOKUP(2,1/((lentry!$A$3:$A$3999=apr!$A28)*(lentry!$B$3:$B$3999&lt;=apr!P$3)*(lentry!$C$3:$C$3999&gt;=apr!P$3)),lentry!$D$3:$D$3999),IF(WEEKDAY(apr!P$3,1)=1,"WO","P"))</f>
        <v>P</v>
      </c>
      <c r="Q28" s="4" t="str">
        <f>IFERROR(LOOKUP(2,1/((lentry!$A$3:$A$3999=apr!$A28)*(lentry!$B$3:$B$3999&lt;=apr!Q$3)*(lentry!$C$3:$C$3999&gt;=apr!Q$3)),lentry!$D$3:$D$3999),IF(WEEKDAY(apr!Q$3,1)=1,"WO","P"))</f>
        <v>WO</v>
      </c>
      <c r="R28" s="4" t="str">
        <f>IFERROR(LOOKUP(2,1/((lentry!$A$3:$A$3999=apr!$A28)*(lentry!$B$3:$B$3999&lt;=apr!R$3)*(lentry!$C$3:$C$3999&gt;=apr!R$3)),lentry!$D$3:$D$3999),IF(WEEKDAY(apr!R$3,1)=1,"WO","P"))</f>
        <v>P</v>
      </c>
      <c r="S28" s="4" t="s">
        <v>350</v>
      </c>
      <c r="T28" s="4" t="str">
        <f>IFERROR(LOOKUP(2,1/((lentry!$A$3:$A$3999=apr!$A28)*(lentry!$B$3:$B$3999&lt;=apr!T$3)*(lentry!$C$3:$C$3999&gt;=apr!T$3)),lentry!$D$3:$D$3999),IF(WEEKDAY(apr!T$3,1)=1,"WO","P"))</f>
        <v>P</v>
      </c>
      <c r="U28" s="4" t="str">
        <f>IFERROR(LOOKUP(2,1/((lentry!$A$3:$A$3999=apr!$A28)*(lentry!$B$3:$B$3999&lt;=apr!U$3)*(lentry!$C$3:$C$3999&gt;=apr!U$3)),lentry!$D$3:$D$3999),IF(WEEKDAY(apr!U$3,1)=1,"WO","P"))</f>
        <v>P</v>
      </c>
      <c r="V28" s="4" t="str">
        <f>IFERROR(LOOKUP(2,1/((lentry!$A$3:$A$3999=apr!$A28)*(lentry!$B$3:$B$3999&lt;=apr!V$3)*(lentry!$C$3:$C$3999&gt;=apr!V$3)),lentry!$D$3:$D$3999),IF(WEEKDAY(apr!V$3,1)=1,"WO","P"))</f>
        <v>P</v>
      </c>
      <c r="W28" s="4" t="str">
        <f>IFERROR(LOOKUP(2,1/((lentry!$A$3:$A$3999=apr!$A28)*(lentry!$B$3:$B$3999&lt;=apr!W$3)*(lentry!$C$3:$C$3999&gt;=apr!W$3)),lentry!$D$3:$D$3999),IF(WEEKDAY(apr!W$3,1)=1,"WO","P"))</f>
        <v>P</v>
      </c>
      <c r="X28" s="4" t="str">
        <f>IFERROR(LOOKUP(2,1/((lentry!$A$3:$A$3999=apr!$A28)*(lentry!$B$3:$B$3999&lt;=apr!X$3)*(lentry!$C$3:$C$3999&gt;=apr!X$3)),lentry!$D$3:$D$3999),IF(WEEKDAY(apr!X$3,1)=1,"WO","P"))</f>
        <v>WO</v>
      </c>
      <c r="Y28" s="4" t="str">
        <f>IFERROR(LOOKUP(2,1/((lentry!$A$3:$A$3999=apr!$A28)*(lentry!$B$3:$B$3999&lt;=apr!Y$3)*(lentry!$C$3:$C$3999&gt;=apr!Y$3)),lentry!$D$3:$D$3999),IF(WEEKDAY(apr!Y$3,1)=1,"WO","P"))</f>
        <v>P</v>
      </c>
      <c r="Z28" s="4" t="str">
        <f>IFERROR(LOOKUP(2,1/((lentry!$A$3:$A$3999=apr!$A28)*(lentry!$B$3:$B$3999&lt;=apr!Z$3)*(lentry!$C$3:$C$3999&gt;=apr!Z$3)),lentry!$D$3:$D$3999),IF(WEEKDAY(apr!Z$3,1)=1,"WO","P"))</f>
        <v>P</v>
      </c>
      <c r="AA28" s="4" t="str">
        <f>IFERROR(LOOKUP(2,1/((lentry!$A$3:$A$3999=apr!$A28)*(lentry!$B$3:$B$3999&lt;=apr!AA$3)*(lentry!$C$3:$C$3999&gt;=apr!AA$3)),lentry!$D$3:$D$3999),IF(WEEKDAY(apr!AA$3,1)=1,"WO","P"))</f>
        <v>P</v>
      </c>
      <c r="AB28" s="4" t="str">
        <f>IFERROR(LOOKUP(2,1/((lentry!$A$3:$A$3999=apr!$A28)*(lentry!$B$3:$B$3999&lt;=apr!AB$3)*(lentry!$C$3:$C$3999&gt;=apr!AB$3)),lentry!$D$3:$D$3999),IF(WEEKDAY(apr!AB$3,1)=1,"WO","P"))</f>
        <v>P</v>
      </c>
      <c r="AC28" s="4" t="str">
        <f>IFERROR(LOOKUP(2,1/((lentry!$A$3:$A$3999=apr!$A28)*(lentry!$B$3:$B$3999&lt;=apr!AC$3)*(lentry!$C$3:$C$3999&gt;=apr!AC$3)),lentry!$D$3:$D$3999),IF(WEEKDAY(apr!AC$3,1)=1,"WO","P"))</f>
        <v>P</v>
      </c>
      <c r="AD28" s="4" t="str">
        <f>IFERROR(LOOKUP(2,1/((lentry!$A$3:$A$3999=apr!$A28)*(lentry!$B$3:$B$3999&lt;=apr!AD$3)*(lentry!$C$3:$C$3999&gt;=apr!AD$3)),lentry!$D$3:$D$3999),IF(WEEKDAY(apr!AD$3,1)=1,"WO","P"))</f>
        <v>P</v>
      </c>
      <c r="AE28" s="4" t="str">
        <f>IFERROR(LOOKUP(2,1/((lentry!$A$3:$A$3999=apr!$A28)*(lentry!$B$3:$B$3999&lt;=apr!AE$3)*(lentry!$C$3:$C$3999&gt;=apr!AE$3)),lentry!$D$3:$D$3999),IF(WEEKDAY(apr!AE$3,1)=1,"WO","P"))</f>
        <v>WO</v>
      </c>
      <c r="AF28" s="4" t="str">
        <f>IFERROR(LOOKUP(2,1/((lentry!$A$3:$A$3999=apr!$A28)*(lentry!$B$3:$B$3999&lt;=apr!AF$3)*(lentry!$C$3:$C$3999&gt;=apr!AF$3)),lentry!$D$3:$D$3999),IF(WEEKDAY(apr!AF$3,1)=1,"WO","P"))</f>
        <v>P</v>
      </c>
      <c r="AG28" s="4" t="str">
        <f>IFERROR(LOOKUP(2,1/((lentry!$A$3:$A$3999=apr!$A28)*(lentry!$B$3:$B$3999&lt;=apr!AG$3)*(lentry!$C$3:$C$3999&gt;=apr!AG$3)),lentry!$D$3:$D$3999),IF(WEEKDAY(apr!AG$3,1)=1,"WO","P"))</f>
        <v>P</v>
      </c>
      <c r="AH28" s="4" t="str">
        <f>IFERROR(LOOKUP(2,1/((lentry!$A$3:$A$3999=apr!$A28)*(lentry!$B$3:$B$3999&lt;=apr!AH$3)*(lentry!$C$3:$C$3999&gt;=apr!AH$3)),lentry!$D$3:$D$3999),IF(WEEKDAY(apr!AH$3,1)=1,"WO","P"))</f>
        <v>P</v>
      </c>
      <c r="AI28" s="4" t="str">
        <f>IFERROR(LOOKUP(2,1/((lentry!$A$3:$A$3999=apr!$A28)*(lentry!$B$3:$B$3999&lt;=apr!AI$3)*(lentry!$C$3:$C$3999&gt;=apr!AI$3)),lentry!$D$3:$D$3999),IF(WEEKDAY(apr!AI$3,1)=1,"WO","P"))</f>
        <v>P</v>
      </c>
      <c r="AJ28" s="5">
        <f>COUNTIF(apr!$F28:$AI28,"WO")</f>
        <v>4</v>
      </c>
      <c r="AK28" s="5">
        <f>COUNTIF(jan!$F28:$AJ28,"H")</f>
        <v>1</v>
      </c>
      <c r="AL28" s="5">
        <f>COUNTIF(jan!$F28:$AJ28,"PL")</f>
        <v>0</v>
      </c>
      <c r="AM28" s="5">
        <f>COUNTIF(jan!$F28:$AJ28,"LWP")</f>
        <v>0</v>
      </c>
      <c r="AN28" s="5">
        <f>COUNTIF(jan!$F28:$AJ28,"HD")</f>
        <v>0</v>
      </c>
      <c r="AO28" s="5">
        <f>COUNTIF(jan!$F28:$AJ28,"SL")</f>
        <v>0</v>
      </c>
      <c r="AP28" s="5">
        <f>COUNTIF(jan!$F28:$AJ28,"CL")</f>
        <v>0</v>
      </c>
      <c r="AQ28" s="5">
        <f>COUNTIF(jan!$F28:$AJ28,"A")</f>
        <v>0</v>
      </c>
      <c r="AR28" s="5">
        <f>COUNTIF(jan!$F28:$AJ28,"P")</f>
        <v>26</v>
      </c>
      <c r="AS28" s="5">
        <f t="shared" si="2"/>
        <v>30</v>
      </c>
      <c r="AT28" s="5">
        <f t="shared" si="3"/>
        <v>31</v>
      </c>
      <c r="AU28" s="4">
        <f>SUMIFS(holly!$L$2:$L$122,holly!$I$2:$I$122,mar!$A28,holly!$K$2:$K$122,"Mar")</f>
        <v>0</v>
      </c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</row>
    <row r="29" spans="1:77" ht="18.75" x14ac:dyDescent="0.3">
      <c r="A29" s="3" t="s">
        <v>51</v>
      </c>
      <c r="B29" s="3" t="str">
        <f>VLOOKUP($A29,Master!$A$2:$K$52,2,0)</f>
        <v>Employee25</v>
      </c>
      <c r="C29" s="3" t="str">
        <f>VLOOKUP($A29,Master!$A$2:$K$52,3,0)</f>
        <v>Male</v>
      </c>
      <c r="D29" s="3" t="str">
        <f>VLOOKUP($A29,Master!$A$2:$K$52,5,0)</f>
        <v>Accounts</v>
      </c>
      <c r="E29" s="3" t="str">
        <f>VLOOKUP($A29,Master!$A$2:$K$52,6,0)</f>
        <v>Accountant</v>
      </c>
      <c r="F29" s="4" t="str">
        <f>IFERROR(LOOKUP(2,1/((lentry!$A$3:$A$3999=apr!$A29)*(lentry!$B$3:$B$3999&lt;=apr!F$3)*(lentry!$C$3:$C$3999&gt;=apr!F$3)),lentry!$D$3:$D$3999),IF(WEEKDAY(apr!F$3,1)=1,"WO","P"))</f>
        <v>P</v>
      </c>
      <c r="G29" s="4" t="str">
        <f>IFERROR(LOOKUP(2,1/((lentry!$A$3:$A$3999=apr!$A29)*(lentry!$B$3:$B$3999&lt;=apr!G$3)*(lentry!$C$3:$C$3999&gt;=apr!G$3)),lentry!$D$3:$D$3999),IF(WEEKDAY(apr!G$3,1)=1,"WO","P"))</f>
        <v>P</v>
      </c>
      <c r="H29" s="4" t="s">
        <v>350</v>
      </c>
      <c r="I29" s="4" t="str">
        <f>IFERROR(LOOKUP(2,1/((lentry!$A$3:$A$3999=apr!$A29)*(lentry!$B$3:$B$3999&lt;=apr!I$3)*(lentry!$C$3:$C$3999&gt;=apr!I$3)),lentry!$D$3:$D$3999),IF(WEEKDAY(apr!I$3,1)=1,"WO","P"))</f>
        <v>P</v>
      </c>
      <c r="J29" s="4" t="str">
        <f>IFERROR(LOOKUP(2,1/((lentry!$A$3:$A$3999=apr!$A29)*(lentry!$B$3:$B$3999&lt;=apr!J$3)*(lentry!$C$3:$C$3999&gt;=apr!J$3)),lentry!$D$3:$D$3999),IF(WEEKDAY(apr!J$3,1)=1,"WO","P"))</f>
        <v>WO</v>
      </c>
      <c r="K29" s="4" t="str">
        <f>IFERROR(LOOKUP(2,1/((lentry!$A$3:$A$3999=apr!$A29)*(lentry!$B$3:$B$3999&lt;=apr!K$3)*(lentry!$C$3:$C$3999&gt;=apr!K$3)),lentry!$D$3:$D$3999),IF(WEEKDAY(apr!K$3,1)=1,"WO","P"))</f>
        <v>P</v>
      </c>
      <c r="L29" s="4" t="str">
        <f>IFERROR(LOOKUP(2,1/((lentry!$A$3:$A$3999=apr!$A29)*(lentry!$B$3:$B$3999&lt;=apr!L$3)*(lentry!$C$3:$C$3999&gt;=apr!L$3)),lentry!$D$3:$D$3999),IF(WEEKDAY(apr!L$3,1)=1,"WO","P"))</f>
        <v>P</v>
      </c>
      <c r="M29" s="4" t="str">
        <f>IFERROR(LOOKUP(2,1/((lentry!$A$3:$A$3999=apr!$A29)*(lentry!$B$3:$B$3999&lt;=apr!M$3)*(lentry!$C$3:$C$3999&gt;=apr!M$3)),lentry!$D$3:$D$3999),IF(WEEKDAY(apr!M$3,1)=1,"WO","P"))</f>
        <v>P</v>
      </c>
      <c r="N29" s="4" t="str">
        <f>IFERROR(LOOKUP(2,1/((lentry!$A$3:$A$3999=apr!$A29)*(lentry!$B$3:$B$3999&lt;=apr!N$3)*(lentry!$C$3:$C$3999&gt;=apr!N$3)),lentry!$D$3:$D$3999),IF(WEEKDAY(apr!N$3,1)=1,"WO","P"))</f>
        <v>P</v>
      </c>
      <c r="O29" s="4" t="str">
        <f>IFERROR(LOOKUP(2,1/((lentry!$A$3:$A$3999=apr!$A29)*(lentry!$B$3:$B$3999&lt;=apr!O$3)*(lentry!$C$3:$C$3999&gt;=apr!O$3)),lentry!$D$3:$D$3999),IF(WEEKDAY(apr!O$3,1)=1,"WO","P"))</f>
        <v>P</v>
      </c>
      <c r="P29" s="4" t="str">
        <f>IFERROR(LOOKUP(2,1/((lentry!$A$3:$A$3999=apr!$A29)*(lentry!$B$3:$B$3999&lt;=apr!P$3)*(lentry!$C$3:$C$3999&gt;=apr!P$3)),lentry!$D$3:$D$3999),IF(WEEKDAY(apr!P$3,1)=1,"WO","P"))</f>
        <v>P</v>
      </c>
      <c r="Q29" s="4" t="str">
        <f>IFERROR(LOOKUP(2,1/((lentry!$A$3:$A$3999=apr!$A29)*(lentry!$B$3:$B$3999&lt;=apr!Q$3)*(lentry!$C$3:$C$3999&gt;=apr!Q$3)),lentry!$D$3:$D$3999),IF(WEEKDAY(apr!Q$3,1)=1,"WO","P"))</f>
        <v>WO</v>
      </c>
      <c r="R29" s="4" t="str">
        <f>IFERROR(LOOKUP(2,1/((lentry!$A$3:$A$3999=apr!$A29)*(lentry!$B$3:$B$3999&lt;=apr!R$3)*(lentry!$C$3:$C$3999&gt;=apr!R$3)),lentry!$D$3:$D$3999),IF(WEEKDAY(apr!R$3,1)=1,"WO","P"))</f>
        <v>P</v>
      </c>
      <c r="S29" s="4" t="s">
        <v>350</v>
      </c>
      <c r="T29" s="4" t="str">
        <f>IFERROR(LOOKUP(2,1/((lentry!$A$3:$A$3999=apr!$A29)*(lentry!$B$3:$B$3999&lt;=apr!T$3)*(lentry!$C$3:$C$3999&gt;=apr!T$3)),lentry!$D$3:$D$3999),IF(WEEKDAY(apr!T$3,1)=1,"WO","P"))</f>
        <v>P</v>
      </c>
      <c r="U29" s="4" t="str">
        <f>IFERROR(LOOKUP(2,1/((lentry!$A$3:$A$3999=apr!$A29)*(lentry!$B$3:$B$3999&lt;=apr!U$3)*(lentry!$C$3:$C$3999&gt;=apr!U$3)),lentry!$D$3:$D$3999),IF(WEEKDAY(apr!U$3,1)=1,"WO","P"))</f>
        <v>P</v>
      </c>
      <c r="V29" s="4" t="str">
        <f>IFERROR(LOOKUP(2,1/((lentry!$A$3:$A$3999=apr!$A29)*(lentry!$B$3:$B$3999&lt;=apr!V$3)*(lentry!$C$3:$C$3999&gt;=apr!V$3)),lentry!$D$3:$D$3999),IF(WEEKDAY(apr!V$3,1)=1,"WO","P"))</f>
        <v>P</v>
      </c>
      <c r="W29" s="4" t="str">
        <f>IFERROR(LOOKUP(2,1/((lentry!$A$3:$A$3999=apr!$A29)*(lentry!$B$3:$B$3999&lt;=apr!W$3)*(lentry!$C$3:$C$3999&gt;=apr!W$3)),lentry!$D$3:$D$3999),IF(WEEKDAY(apr!W$3,1)=1,"WO","P"))</f>
        <v>P</v>
      </c>
      <c r="X29" s="4" t="str">
        <f>IFERROR(LOOKUP(2,1/((lentry!$A$3:$A$3999=apr!$A29)*(lentry!$B$3:$B$3999&lt;=apr!X$3)*(lentry!$C$3:$C$3999&gt;=apr!X$3)),lentry!$D$3:$D$3999),IF(WEEKDAY(apr!X$3,1)=1,"WO","P"))</f>
        <v>WO</v>
      </c>
      <c r="Y29" s="4" t="str">
        <f>IFERROR(LOOKUP(2,1/((lentry!$A$3:$A$3999=apr!$A29)*(lentry!$B$3:$B$3999&lt;=apr!Y$3)*(lentry!$C$3:$C$3999&gt;=apr!Y$3)),lentry!$D$3:$D$3999),IF(WEEKDAY(apr!Y$3,1)=1,"WO","P"))</f>
        <v>P</v>
      </c>
      <c r="Z29" s="4" t="str">
        <f>IFERROR(LOOKUP(2,1/((lentry!$A$3:$A$3999=apr!$A29)*(lentry!$B$3:$B$3999&lt;=apr!Z$3)*(lentry!$C$3:$C$3999&gt;=apr!Z$3)),lentry!$D$3:$D$3999),IF(WEEKDAY(apr!Z$3,1)=1,"WO","P"))</f>
        <v>P</v>
      </c>
      <c r="AA29" s="4" t="str">
        <f>IFERROR(LOOKUP(2,1/((lentry!$A$3:$A$3999=apr!$A29)*(lentry!$B$3:$B$3999&lt;=apr!AA$3)*(lentry!$C$3:$C$3999&gt;=apr!AA$3)),lentry!$D$3:$D$3999),IF(WEEKDAY(apr!AA$3,1)=1,"WO","P"))</f>
        <v>P</v>
      </c>
      <c r="AB29" s="4" t="str">
        <f>IFERROR(LOOKUP(2,1/((lentry!$A$3:$A$3999=apr!$A29)*(lentry!$B$3:$B$3999&lt;=apr!AB$3)*(lentry!$C$3:$C$3999&gt;=apr!AB$3)),lentry!$D$3:$D$3999),IF(WEEKDAY(apr!AB$3,1)=1,"WO","P"))</f>
        <v>P</v>
      </c>
      <c r="AC29" s="4" t="str">
        <f>IFERROR(LOOKUP(2,1/((lentry!$A$3:$A$3999=apr!$A29)*(lentry!$B$3:$B$3999&lt;=apr!AC$3)*(lentry!$C$3:$C$3999&gt;=apr!AC$3)),lentry!$D$3:$D$3999),IF(WEEKDAY(apr!AC$3,1)=1,"WO","P"))</f>
        <v>P</v>
      </c>
      <c r="AD29" s="4" t="str">
        <f>IFERROR(LOOKUP(2,1/((lentry!$A$3:$A$3999=apr!$A29)*(lentry!$B$3:$B$3999&lt;=apr!AD$3)*(lentry!$C$3:$C$3999&gt;=apr!AD$3)),lentry!$D$3:$D$3999),IF(WEEKDAY(apr!AD$3,1)=1,"WO","P"))</f>
        <v>P</v>
      </c>
      <c r="AE29" s="4" t="str">
        <f>IFERROR(LOOKUP(2,1/((lentry!$A$3:$A$3999=apr!$A29)*(lentry!$B$3:$B$3999&lt;=apr!AE$3)*(lentry!$C$3:$C$3999&gt;=apr!AE$3)),lentry!$D$3:$D$3999),IF(WEEKDAY(apr!AE$3,1)=1,"WO","P"))</f>
        <v>WO</v>
      </c>
      <c r="AF29" s="4" t="str">
        <f>IFERROR(LOOKUP(2,1/((lentry!$A$3:$A$3999=apr!$A29)*(lentry!$B$3:$B$3999&lt;=apr!AF$3)*(lentry!$C$3:$C$3999&gt;=apr!AF$3)),lentry!$D$3:$D$3999),IF(WEEKDAY(apr!AF$3,1)=1,"WO","P"))</f>
        <v>P</v>
      </c>
      <c r="AG29" s="4" t="s">
        <v>539</v>
      </c>
      <c r="AH29" s="4" t="str">
        <f>IFERROR(LOOKUP(2,1/((lentry!$A$3:$A$3999=apr!$A29)*(lentry!$B$3:$B$3999&lt;=apr!AH$3)*(lentry!$C$3:$C$3999&gt;=apr!AH$3)),lentry!$D$3:$D$3999),IF(WEEKDAY(apr!AH$3,1)=1,"WO","P"))</f>
        <v>P</v>
      </c>
      <c r="AI29" s="4" t="str">
        <f>IFERROR(LOOKUP(2,1/((lentry!$A$3:$A$3999=apr!$A29)*(lentry!$B$3:$B$3999&lt;=apr!AI$3)*(lentry!$C$3:$C$3999&gt;=apr!AI$3)),lentry!$D$3:$D$3999),IF(WEEKDAY(apr!AI$3,1)=1,"WO","P"))</f>
        <v>P</v>
      </c>
      <c r="AJ29" s="5">
        <f>COUNTIF(apr!$F29:$AI29,"WO")</f>
        <v>4</v>
      </c>
      <c r="AK29" s="5">
        <f>COUNTIF(jan!$F29:$AJ29,"H")</f>
        <v>1</v>
      </c>
      <c r="AL29" s="5">
        <f>COUNTIF(jan!$F29:$AJ29,"PL")</f>
        <v>0</v>
      </c>
      <c r="AM29" s="5">
        <f>COUNTIF(jan!$F29:$AJ29,"LWP")</f>
        <v>0</v>
      </c>
      <c r="AN29" s="5">
        <f>COUNTIF(jan!$F29:$AJ29,"HD")</f>
        <v>0</v>
      </c>
      <c r="AO29" s="5">
        <f>COUNTIF(jan!$F29:$AJ29,"SL")</f>
        <v>0</v>
      </c>
      <c r="AP29" s="5">
        <f>COUNTIF(jan!$F29:$AJ29,"CL")</f>
        <v>0</v>
      </c>
      <c r="AQ29" s="5">
        <f>COUNTIF(jan!$F29:$AJ29,"A")</f>
        <v>0</v>
      </c>
      <c r="AR29" s="5">
        <f>COUNTIF(jan!$F29:$AJ29,"P")</f>
        <v>26</v>
      </c>
      <c r="AS29" s="5">
        <f t="shared" si="2"/>
        <v>30</v>
      </c>
      <c r="AT29" s="5">
        <f t="shared" si="3"/>
        <v>31</v>
      </c>
      <c r="AU29" s="4">
        <f>SUMIFS(holly!$L$2:$L$122,holly!$I$2:$I$122,mar!$A29,holly!$K$2:$K$122,"Mar")</f>
        <v>0</v>
      </c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</row>
    <row r="30" spans="1:77" ht="18.75" x14ac:dyDescent="0.3">
      <c r="A30" s="3" t="s">
        <v>52</v>
      </c>
      <c r="B30" s="3" t="str">
        <f>VLOOKUP($A30,Master!$A$2:$K$52,2,0)</f>
        <v>Employee26</v>
      </c>
      <c r="C30" s="3" t="str">
        <f>VLOOKUP($A30,Master!$A$2:$K$52,3,0)</f>
        <v>Female</v>
      </c>
      <c r="D30" s="3" t="str">
        <f>VLOOKUP($A30,Master!$A$2:$K$52,5,0)</f>
        <v>Production</v>
      </c>
      <c r="E30" s="3" t="str">
        <f>VLOOKUP($A30,Master!$A$2:$K$52,6,0)</f>
        <v>Operator</v>
      </c>
      <c r="F30" s="4" t="str">
        <f>IFERROR(LOOKUP(2,1/((lentry!$A$3:$A$3999=apr!$A30)*(lentry!$B$3:$B$3999&lt;=apr!F$3)*(lentry!$C$3:$C$3999&gt;=apr!F$3)),lentry!$D$3:$D$3999),IF(WEEKDAY(apr!F$3,1)=1,"WO","P"))</f>
        <v>P</v>
      </c>
      <c r="G30" s="4" t="str">
        <f>IFERROR(LOOKUP(2,1/((lentry!$A$3:$A$3999=apr!$A30)*(lentry!$B$3:$B$3999&lt;=apr!G$3)*(lentry!$C$3:$C$3999&gt;=apr!G$3)),lentry!$D$3:$D$3999),IF(WEEKDAY(apr!G$3,1)=1,"WO","P"))</f>
        <v>P</v>
      </c>
      <c r="H30" s="4" t="s">
        <v>350</v>
      </c>
      <c r="I30" s="4" t="str">
        <f>IFERROR(LOOKUP(2,1/((lentry!$A$3:$A$3999=apr!$A30)*(lentry!$B$3:$B$3999&lt;=apr!I$3)*(lentry!$C$3:$C$3999&gt;=apr!I$3)),lentry!$D$3:$D$3999),IF(WEEKDAY(apr!I$3,1)=1,"WO","P"))</f>
        <v>P</v>
      </c>
      <c r="J30" s="4" t="str">
        <f>IFERROR(LOOKUP(2,1/((lentry!$A$3:$A$3999=apr!$A30)*(lentry!$B$3:$B$3999&lt;=apr!J$3)*(lentry!$C$3:$C$3999&gt;=apr!J$3)),lentry!$D$3:$D$3999),IF(WEEKDAY(apr!J$3,1)=1,"WO","P"))</f>
        <v>WO</v>
      </c>
      <c r="K30" s="4" t="str">
        <f>IFERROR(LOOKUP(2,1/((lentry!$A$3:$A$3999=apr!$A30)*(lentry!$B$3:$B$3999&lt;=apr!K$3)*(lentry!$C$3:$C$3999&gt;=apr!K$3)),lentry!$D$3:$D$3999),IF(WEEKDAY(apr!K$3,1)=1,"WO","P"))</f>
        <v>P</v>
      </c>
      <c r="L30" s="4" t="str">
        <f>IFERROR(LOOKUP(2,1/((lentry!$A$3:$A$3999=apr!$A30)*(lentry!$B$3:$B$3999&lt;=apr!L$3)*(lentry!$C$3:$C$3999&gt;=apr!L$3)),lentry!$D$3:$D$3999),IF(WEEKDAY(apr!L$3,1)=1,"WO","P"))</f>
        <v>P</v>
      </c>
      <c r="M30" s="4" t="str">
        <f>IFERROR(LOOKUP(2,1/((lentry!$A$3:$A$3999=apr!$A30)*(lentry!$B$3:$B$3999&lt;=apr!M$3)*(lentry!$C$3:$C$3999&gt;=apr!M$3)),lentry!$D$3:$D$3999),IF(WEEKDAY(apr!M$3,1)=1,"WO","P"))</f>
        <v>P</v>
      </c>
      <c r="N30" s="4" t="s">
        <v>539</v>
      </c>
      <c r="O30" s="4" t="str">
        <f>IFERROR(LOOKUP(2,1/((lentry!$A$3:$A$3999=apr!$A30)*(lentry!$B$3:$B$3999&lt;=apr!O$3)*(lentry!$C$3:$C$3999&gt;=apr!O$3)),lentry!$D$3:$D$3999),IF(WEEKDAY(apr!O$3,1)=1,"WO","P"))</f>
        <v>P</v>
      </c>
      <c r="P30" s="4" t="str">
        <f>IFERROR(LOOKUP(2,1/((lentry!$A$3:$A$3999=apr!$A30)*(lentry!$B$3:$B$3999&lt;=apr!P$3)*(lentry!$C$3:$C$3999&gt;=apr!P$3)),lentry!$D$3:$D$3999),IF(WEEKDAY(apr!P$3,1)=1,"WO","P"))</f>
        <v>P</v>
      </c>
      <c r="Q30" s="4" t="str">
        <f>IFERROR(LOOKUP(2,1/((lentry!$A$3:$A$3999=apr!$A30)*(lentry!$B$3:$B$3999&lt;=apr!Q$3)*(lentry!$C$3:$C$3999&gt;=apr!Q$3)),lentry!$D$3:$D$3999),IF(WEEKDAY(apr!Q$3,1)=1,"WO","P"))</f>
        <v>WO</v>
      </c>
      <c r="R30" s="4" t="str">
        <f>IFERROR(LOOKUP(2,1/((lentry!$A$3:$A$3999=apr!$A30)*(lentry!$B$3:$B$3999&lt;=apr!R$3)*(lentry!$C$3:$C$3999&gt;=apr!R$3)),lentry!$D$3:$D$3999),IF(WEEKDAY(apr!R$3,1)=1,"WO","P"))</f>
        <v>P</v>
      </c>
      <c r="S30" s="4" t="s">
        <v>350</v>
      </c>
      <c r="T30" s="4" t="str">
        <f>IFERROR(LOOKUP(2,1/((lentry!$A$3:$A$3999=apr!$A30)*(lentry!$B$3:$B$3999&lt;=apr!T$3)*(lentry!$C$3:$C$3999&gt;=apr!T$3)),lentry!$D$3:$D$3999),IF(WEEKDAY(apr!T$3,1)=1,"WO","P"))</f>
        <v>P</v>
      </c>
      <c r="U30" s="4" t="str">
        <f>IFERROR(LOOKUP(2,1/((lentry!$A$3:$A$3999=apr!$A30)*(lentry!$B$3:$B$3999&lt;=apr!U$3)*(lentry!$C$3:$C$3999&gt;=apr!U$3)),lentry!$D$3:$D$3999),IF(WEEKDAY(apr!U$3,1)=1,"WO","P"))</f>
        <v>P</v>
      </c>
      <c r="V30" s="4" t="str">
        <f>IFERROR(LOOKUP(2,1/((lentry!$A$3:$A$3999=apr!$A30)*(lentry!$B$3:$B$3999&lt;=apr!V$3)*(lentry!$C$3:$C$3999&gt;=apr!V$3)),lentry!$D$3:$D$3999),IF(WEEKDAY(apr!V$3,1)=1,"WO","P"))</f>
        <v>P</v>
      </c>
      <c r="W30" s="4" t="str">
        <f>IFERROR(LOOKUP(2,1/((lentry!$A$3:$A$3999=apr!$A30)*(lentry!$B$3:$B$3999&lt;=apr!W$3)*(lentry!$C$3:$C$3999&gt;=apr!W$3)),lentry!$D$3:$D$3999),IF(WEEKDAY(apr!W$3,1)=1,"WO","P"))</f>
        <v>P</v>
      </c>
      <c r="X30" s="4" t="str">
        <f>IFERROR(LOOKUP(2,1/((lentry!$A$3:$A$3999=apr!$A30)*(lentry!$B$3:$B$3999&lt;=apr!X$3)*(lentry!$C$3:$C$3999&gt;=apr!X$3)),lentry!$D$3:$D$3999),IF(WEEKDAY(apr!X$3,1)=1,"WO","P"))</f>
        <v>WO</v>
      </c>
      <c r="Y30" s="4" t="str">
        <f>IFERROR(LOOKUP(2,1/((lentry!$A$3:$A$3999=apr!$A30)*(lentry!$B$3:$B$3999&lt;=apr!Y$3)*(lentry!$C$3:$C$3999&gt;=apr!Y$3)),lentry!$D$3:$D$3999),IF(WEEKDAY(apr!Y$3,1)=1,"WO","P"))</f>
        <v>P</v>
      </c>
      <c r="Z30" s="4" t="str">
        <f>IFERROR(LOOKUP(2,1/((lentry!$A$3:$A$3999=apr!$A30)*(lentry!$B$3:$B$3999&lt;=apr!Z$3)*(lentry!$C$3:$C$3999&gt;=apr!Z$3)),lentry!$D$3:$D$3999),IF(WEEKDAY(apr!Z$3,1)=1,"WO","P"))</f>
        <v>P</v>
      </c>
      <c r="AA30" s="4" t="str">
        <f>IFERROR(LOOKUP(2,1/((lentry!$A$3:$A$3999=apr!$A30)*(lentry!$B$3:$B$3999&lt;=apr!AA$3)*(lentry!$C$3:$C$3999&gt;=apr!AA$3)),lentry!$D$3:$D$3999),IF(WEEKDAY(apr!AA$3,1)=1,"WO","P"))</f>
        <v>P</v>
      </c>
      <c r="AB30" s="4" t="str">
        <f>IFERROR(LOOKUP(2,1/((lentry!$A$3:$A$3999=apr!$A30)*(lentry!$B$3:$B$3999&lt;=apr!AB$3)*(lentry!$C$3:$C$3999&gt;=apr!AB$3)),lentry!$D$3:$D$3999),IF(WEEKDAY(apr!AB$3,1)=1,"WO","P"))</f>
        <v>P</v>
      </c>
      <c r="AC30" s="4" t="str">
        <f>IFERROR(LOOKUP(2,1/((lentry!$A$3:$A$3999=apr!$A30)*(lentry!$B$3:$B$3999&lt;=apr!AC$3)*(lentry!$C$3:$C$3999&gt;=apr!AC$3)),lentry!$D$3:$D$3999),IF(WEEKDAY(apr!AC$3,1)=1,"WO","P"))</f>
        <v>P</v>
      </c>
      <c r="AD30" s="4" t="str">
        <f>IFERROR(LOOKUP(2,1/((lentry!$A$3:$A$3999=apr!$A30)*(lentry!$B$3:$B$3999&lt;=apr!AD$3)*(lentry!$C$3:$C$3999&gt;=apr!AD$3)),lentry!$D$3:$D$3999),IF(WEEKDAY(apr!AD$3,1)=1,"WO","P"))</f>
        <v>P</v>
      </c>
      <c r="AE30" s="4" t="str">
        <f>IFERROR(LOOKUP(2,1/((lentry!$A$3:$A$3999=apr!$A30)*(lentry!$B$3:$B$3999&lt;=apr!AE$3)*(lentry!$C$3:$C$3999&gt;=apr!AE$3)),lentry!$D$3:$D$3999),IF(WEEKDAY(apr!AE$3,1)=1,"WO","P"))</f>
        <v>WO</v>
      </c>
      <c r="AF30" s="4" t="str">
        <f>IFERROR(LOOKUP(2,1/((lentry!$A$3:$A$3999=apr!$A30)*(lentry!$B$3:$B$3999&lt;=apr!AF$3)*(lentry!$C$3:$C$3999&gt;=apr!AF$3)),lentry!$D$3:$D$3999),IF(WEEKDAY(apr!AF$3,1)=1,"WO","P"))</f>
        <v>P</v>
      </c>
      <c r="AG30" s="4" t="str">
        <f>IFERROR(LOOKUP(2,1/((lentry!$A$3:$A$3999=apr!$A30)*(lentry!$B$3:$B$3999&lt;=apr!AG$3)*(lentry!$C$3:$C$3999&gt;=apr!AG$3)),lentry!$D$3:$D$3999),IF(WEEKDAY(apr!AG$3,1)=1,"WO","P"))</f>
        <v>P</v>
      </c>
      <c r="AH30" s="4" t="str">
        <f>IFERROR(LOOKUP(2,1/((lentry!$A$3:$A$3999=apr!$A30)*(lentry!$B$3:$B$3999&lt;=apr!AH$3)*(lentry!$C$3:$C$3999&gt;=apr!AH$3)),lentry!$D$3:$D$3999),IF(WEEKDAY(apr!AH$3,1)=1,"WO","P"))</f>
        <v>P</v>
      </c>
      <c r="AI30" s="4" t="str">
        <f>IFERROR(LOOKUP(2,1/((lentry!$A$3:$A$3999=apr!$A30)*(lentry!$B$3:$B$3999&lt;=apr!AI$3)*(lentry!$C$3:$C$3999&gt;=apr!AI$3)),lentry!$D$3:$D$3999),IF(WEEKDAY(apr!AI$3,1)=1,"WO","P"))</f>
        <v>P</v>
      </c>
      <c r="AJ30" s="5">
        <f>COUNTIF(apr!$F30:$AI30,"WO")</f>
        <v>4</v>
      </c>
      <c r="AK30" s="5">
        <f>COUNTIF(jan!$F30:$AJ30,"H")</f>
        <v>1</v>
      </c>
      <c r="AL30" s="5">
        <f>COUNTIF(jan!$F30:$AJ30,"PL")</f>
        <v>0</v>
      </c>
      <c r="AM30" s="5">
        <f>COUNTIF(jan!$F30:$AJ30,"LWP")</f>
        <v>0</v>
      </c>
      <c r="AN30" s="5">
        <f>COUNTIF(jan!$F30:$AJ30,"HD")</f>
        <v>0</v>
      </c>
      <c r="AO30" s="5">
        <f>COUNTIF(jan!$F30:$AJ30,"SL")</f>
        <v>0</v>
      </c>
      <c r="AP30" s="5">
        <f>COUNTIF(jan!$F30:$AJ30,"CL")</f>
        <v>0</v>
      </c>
      <c r="AQ30" s="5">
        <f>COUNTIF(jan!$F30:$AJ30,"A")</f>
        <v>0</v>
      </c>
      <c r="AR30" s="5">
        <f>COUNTIF(jan!$F30:$AJ30,"P")</f>
        <v>26</v>
      </c>
      <c r="AS30" s="5">
        <f t="shared" si="2"/>
        <v>30</v>
      </c>
      <c r="AT30" s="5">
        <f t="shared" si="3"/>
        <v>31</v>
      </c>
      <c r="AU30" s="4">
        <f>SUMIFS(holly!$L$2:$L$122,holly!$I$2:$I$122,mar!$A30,holly!$K$2:$K$122,"Mar")</f>
        <v>0</v>
      </c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</row>
    <row r="31" spans="1:77" ht="18.75" x14ac:dyDescent="0.3">
      <c r="A31" s="3" t="s">
        <v>53</v>
      </c>
      <c r="B31" s="3" t="str">
        <f>VLOOKUP($A31,Master!$A$2:$K$52,2,0)</f>
        <v>Employee27</v>
      </c>
      <c r="C31" s="3" t="str">
        <f>VLOOKUP($A31,Master!$A$2:$K$52,3,0)</f>
        <v>Male</v>
      </c>
      <c r="D31" s="3" t="str">
        <f>VLOOKUP($A31,Master!$A$2:$K$52,5,0)</f>
        <v>Maintenance</v>
      </c>
      <c r="E31" s="3" t="str">
        <f>VLOOKUP($A31,Master!$A$2:$K$52,6,0)</f>
        <v>Fitter</v>
      </c>
      <c r="F31" s="4" t="s">
        <v>539</v>
      </c>
      <c r="G31" s="4" t="str">
        <f>IFERROR(LOOKUP(2,1/((lentry!$A$3:$A$3999=apr!$A31)*(lentry!$B$3:$B$3999&lt;=apr!G$3)*(lentry!$C$3:$C$3999&gt;=apr!G$3)),lentry!$D$3:$D$3999),IF(WEEKDAY(apr!G$3,1)=1,"WO","P"))</f>
        <v>P</v>
      </c>
      <c r="H31" s="4" t="s">
        <v>350</v>
      </c>
      <c r="I31" s="4" t="str">
        <f>IFERROR(LOOKUP(2,1/((lentry!$A$3:$A$3999=apr!$A31)*(lentry!$B$3:$B$3999&lt;=apr!I$3)*(lentry!$C$3:$C$3999&gt;=apr!I$3)),lentry!$D$3:$D$3999),IF(WEEKDAY(apr!I$3,1)=1,"WO","P"))</f>
        <v>P</v>
      </c>
      <c r="J31" s="4" t="str">
        <f>IFERROR(LOOKUP(2,1/((lentry!$A$3:$A$3999=apr!$A31)*(lentry!$B$3:$B$3999&lt;=apr!J$3)*(lentry!$C$3:$C$3999&gt;=apr!J$3)),lentry!$D$3:$D$3999),IF(WEEKDAY(apr!J$3,1)=1,"WO","P"))</f>
        <v>WO</v>
      </c>
      <c r="K31" s="4" t="str">
        <f>IFERROR(LOOKUP(2,1/((lentry!$A$3:$A$3999=apr!$A31)*(lentry!$B$3:$B$3999&lt;=apr!K$3)*(lentry!$C$3:$C$3999&gt;=apr!K$3)),lentry!$D$3:$D$3999),IF(WEEKDAY(apr!K$3,1)=1,"WO","P"))</f>
        <v>P</v>
      </c>
      <c r="L31" s="4" t="str">
        <f>IFERROR(LOOKUP(2,1/((lentry!$A$3:$A$3999=apr!$A31)*(lentry!$B$3:$B$3999&lt;=apr!L$3)*(lentry!$C$3:$C$3999&gt;=apr!L$3)),lentry!$D$3:$D$3999),IF(WEEKDAY(apr!L$3,1)=1,"WO","P"))</f>
        <v>P</v>
      </c>
      <c r="M31" s="4" t="str">
        <f>IFERROR(LOOKUP(2,1/((lentry!$A$3:$A$3999=apr!$A31)*(lentry!$B$3:$B$3999&lt;=apr!M$3)*(lentry!$C$3:$C$3999&gt;=apr!M$3)),lentry!$D$3:$D$3999),IF(WEEKDAY(apr!M$3,1)=1,"WO","P"))</f>
        <v>P</v>
      </c>
      <c r="N31" s="4" t="str">
        <f>IFERROR(LOOKUP(2,1/((lentry!$A$3:$A$3999=apr!$A31)*(lentry!$B$3:$B$3999&lt;=apr!N$3)*(lentry!$C$3:$C$3999&gt;=apr!N$3)),lentry!$D$3:$D$3999),IF(WEEKDAY(apr!N$3,1)=1,"WO","P"))</f>
        <v>P</v>
      </c>
      <c r="O31" s="4" t="str">
        <f>IFERROR(LOOKUP(2,1/((lentry!$A$3:$A$3999=apr!$A31)*(lentry!$B$3:$B$3999&lt;=apr!O$3)*(lentry!$C$3:$C$3999&gt;=apr!O$3)),lentry!$D$3:$D$3999),IF(WEEKDAY(apr!O$3,1)=1,"WO","P"))</f>
        <v>P</v>
      </c>
      <c r="P31" s="4" t="str">
        <f>IFERROR(LOOKUP(2,1/((lentry!$A$3:$A$3999=apr!$A31)*(lentry!$B$3:$B$3999&lt;=apr!P$3)*(lentry!$C$3:$C$3999&gt;=apr!P$3)),lentry!$D$3:$D$3999),IF(WEEKDAY(apr!P$3,1)=1,"WO","P"))</f>
        <v>P</v>
      </c>
      <c r="Q31" s="4" t="str">
        <f>IFERROR(LOOKUP(2,1/((lentry!$A$3:$A$3999=apr!$A31)*(lentry!$B$3:$B$3999&lt;=apr!Q$3)*(lentry!$C$3:$C$3999&gt;=apr!Q$3)),lentry!$D$3:$D$3999),IF(WEEKDAY(apr!Q$3,1)=1,"WO","P"))</f>
        <v>WO</v>
      </c>
      <c r="R31" s="4" t="str">
        <f>IFERROR(LOOKUP(2,1/((lentry!$A$3:$A$3999=apr!$A31)*(lentry!$B$3:$B$3999&lt;=apr!R$3)*(lentry!$C$3:$C$3999&gt;=apr!R$3)),lentry!$D$3:$D$3999),IF(WEEKDAY(apr!R$3,1)=1,"WO","P"))</f>
        <v>P</v>
      </c>
      <c r="S31" s="4" t="s">
        <v>350</v>
      </c>
      <c r="T31" s="4" t="str">
        <f>IFERROR(LOOKUP(2,1/((lentry!$A$3:$A$3999=apr!$A31)*(lentry!$B$3:$B$3999&lt;=apr!T$3)*(lentry!$C$3:$C$3999&gt;=apr!T$3)),lentry!$D$3:$D$3999),IF(WEEKDAY(apr!T$3,1)=1,"WO","P"))</f>
        <v>P</v>
      </c>
      <c r="U31" s="4" t="str">
        <f>IFERROR(LOOKUP(2,1/((lentry!$A$3:$A$3999=apr!$A31)*(lentry!$B$3:$B$3999&lt;=apr!U$3)*(lentry!$C$3:$C$3999&gt;=apr!U$3)),lentry!$D$3:$D$3999),IF(WEEKDAY(apr!U$3,1)=1,"WO","P"))</f>
        <v>P</v>
      </c>
      <c r="V31" s="4" t="str">
        <f>IFERROR(LOOKUP(2,1/((lentry!$A$3:$A$3999=apr!$A31)*(lentry!$B$3:$B$3999&lt;=apr!V$3)*(lentry!$C$3:$C$3999&gt;=apr!V$3)),lentry!$D$3:$D$3999),IF(WEEKDAY(apr!V$3,1)=1,"WO","P"))</f>
        <v>P</v>
      </c>
      <c r="W31" s="4" t="str">
        <f>IFERROR(LOOKUP(2,1/((lentry!$A$3:$A$3999=apr!$A31)*(lentry!$B$3:$B$3999&lt;=apr!W$3)*(lentry!$C$3:$C$3999&gt;=apr!W$3)),lentry!$D$3:$D$3999),IF(WEEKDAY(apr!W$3,1)=1,"WO","P"))</f>
        <v>P</v>
      </c>
      <c r="X31" s="4" t="str">
        <f>IFERROR(LOOKUP(2,1/((lentry!$A$3:$A$3999=apr!$A31)*(lentry!$B$3:$B$3999&lt;=apr!X$3)*(lentry!$C$3:$C$3999&gt;=apr!X$3)),lentry!$D$3:$D$3999),IF(WEEKDAY(apr!X$3,1)=1,"WO","P"))</f>
        <v>WO</v>
      </c>
      <c r="Y31" s="4" t="str">
        <f>IFERROR(LOOKUP(2,1/((lentry!$A$3:$A$3999=apr!$A31)*(lentry!$B$3:$B$3999&lt;=apr!Y$3)*(lentry!$C$3:$C$3999&gt;=apr!Y$3)),lentry!$D$3:$D$3999),IF(WEEKDAY(apr!Y$3,1)=1,"WO","P"))</f>
        <v>P</v>
      </c>
      <c r="Z31" s="4" t="str">
        <f>IFERROR(LOOKUP(2,1/((lentry!$A$3:$A$3999=apr!$A31)*(lentry!$B$3:$B$3999&lt;=apr!Z$3)*(lentry!$C$3:$C$3999&gt;=apr!Z$3)),lentry!$D$3:$D$3999),IF(WEEKDAY(apr!Z$3,1)=1,"WO","P"))</f>
        <v>P</v>
      </c>
      <c r="AA31" s="4" t="str">
        <f>IFERROR(LOOKUP(2,1/((lentry!$A$3:$A$3999=apr!$A31)*(lentry!$B$3:$B$3999&lt;=apr!AA$3)*(lentry!$C$3:$C$3999&gt;=apr!AA$3)),lentry!$D$3:$D$3999),IF(WEEKDAY(apr!AA$3,1)=1,"WO","P"))</f>
        <v>P</v>
      </c>
      <c r="AB31" s="4" t="str">
        <f>IFERROR(LOOKUP(2,1/((lentry!$A$3:$A$3999=apr!$A31)*(lentry!$B$3:$B$3999&lt;=apr!AB$3)*(lentry!$C$3:$C$3999&gt;=apr!AB$3)),lentry!$D$3:$D$3999),IF(WEEKDAY(apr!AB$3,1)=1,"WO","P"))</f>
        <v>P</v>
      </c>
      <c r="AC31" s="4" t="str">
        <f>IFERROR(LOOKUP(2,1/((lentry!$A$3:$A$3999=apr!$A31)*(lentry!$B$3:$B$3999&lt;=apr!AC$3)*(lentry!$C$3:$C$3999&gt;=apr!AC$3)),lentry!$D$3:$D$3999),IF(WEEKDAY(apr!AC$3,1)=1,"WO","P"))</f>
        <v>P</v>
      </c>
      <c r="AD31" s="4" t="str">
        <f>IFERROR(LOOKUP(2,1/((lentry!$A$3:$A$3999=apr!$A31)*(lentry!$B$3:$B$3999&lt;=apr!AD$3)*(lentry!$C$3:$C$3999&gt;=apr!AD$3)),lentry!$D$3:$D$3999),IF(WEEKDAY(apr!AD$3,1)=1,"WO","P"))</f>
        <v>P</v>
      </c>
      <c r="AE31" s="4" t="str">
        <f>IFERROR(LOOKUP(2,1/((lentry!$A$3:$A$3999=apr!$A31)*(lentry!$B$3:$B$3999&lt;=apr!AE$3)*(lentry!$C$3:$C$3999&gt;=apr!AE$3)),lentry!$D$3:$D$3999),IF(WEEKDAY(apr!AE$3,1)=1,"WO","P"))</f>
        <v>WO</v>
      </c>
      <c r="AF31" s="4" t="str">
        <f>IFERROR(LOOKUP(2,1/((lentry!$A$3:$A$3999=apr!$A31)*(lentry!$B$3:$B$3999&lt;=apr!AF$3)*(lentry!$C$3:$C$3999&gt;=apr!AF$3)),lentry!$D$3:$D$3999),IF(WEEKDAY(apr!AF$3,1)=1,"WO","P"))</f>
        <v>P</v>
      </c>
      <c r="AG31" s="4" t="str">
        <f>IFERROR(LOOKUP(2,1/((lentry!$A$3:$A$3999=apr!$A31)*(lentry!$B$3:$B$3999&lt;=apr!AG$3)*(lentry!$C$3:$C$3999&gt;=apr!AG$3)),lentry!$D$3:$D$3999),IF(WEEKDAY(apr!AG$3,1)=1,"WO","P"))</f>
        <v>P</v>
      </c>
      <c r="AH31" s="4" t="str">
        <f>IFERROR(LOOKUP(2,1/((lentry!$A$3:$A$3999=apr!$A31)*(lentry!$B$3:$B$3999&lt;=apr!AH$3)*(lentry!$C$3:$C$3999&gt;=apr!AH$3)),lentry!$D$3:$D$3999),IF(WEEKDAY(apr!AH$3,1)=1,"WO","P"))</f>
        <v>P</v>
      </c>
      <c r="AI31" s="4" t="str">
        <f>IFERROR(LOOKUP(2,1/((lentry!$A$3:$A$3999=apr!$A31)*(lentry!$B$3:$B$3999&lt;=apr!AI$3)*(lentry!$C$3:$C$3999&gt;=apr!AI$3)),lentry!$D$3:$D$3999),IF(WEEKDAY(apr!AI$3,1)=1,"WO","P"))</f>
        <v>P</v>
      </c>
      <c r="AJ31" s="5">
        <f>COUNTIF(apr!$F31:$AI31,"WO")</f>
        <v>4</v>
      </c>
      <c r="AK31" s="5">
        <f>COUNTIF(jan!$F31:$AJ31,"H")</f>
        <v>1</v>
      </c>
      <c r="AL31" s="5">
        <f>COUNTIF(jan!$F31:$AJ31,"PL")</f>
        <v>0</v>
      </c>
      <c r="AM31" s="5">
        <f>COUNTIF(jan!$F31:$AJ31,"LWP")</f>
        <v>0</v>
      </c>
      <c r="AN31" s="5">
        <f>COUNTIF(jan!$F31:$AJ31,"HD")</f>
        <v>0</v>
      </c>
      <c r="AO31" s="5">
        <f>COUNTIF(jan!$F31:$AJ31,"SL")</f>
        <v>0</v>
      </c>
      <c r="AP31" s="5">
        <f>COUNTIF(jan!$F31:$AJ31,"CL")</f>
        <v>0</v>
      </c>
      <c r="AQ31" s="5">
        <f>COUNTIF(jan!$F31:$AJ31,"A")</f>
        <v>0</v>
      </c>
      <c r="AR31" s="5">
        <f>COUNTIF(jan!$F31:$AJ31,"P")</f>
        <v>26</v>
      </c>
      <c r="AS31" s="5">
        <f t="shared" si="2"/>
        <v>30</v>
      </c>
      <c r="AT31" s="5">
        <f t="shared" si="3"/>
        <v>31</v>
      </c>
      <c r="AU31" s="4">
        <f>SUMIFS(holly!$L$2:$L$122,holly!$I$2:$I$122,mar!$A31,holly!$K$2:$K$122,"Mar")</f>
        <v>0</v>
      </c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</row>
    <row r="32" spans="1:77" ht="18.75" x14ac:dyDescent="0.3">
      <c r="A32" s="3" t="s">
        <v>55</v>
      </c>
      <c r="B32" s="3" t="str">
        <f>VLOOKUP($A32,Master!$A$2:$K$52,2,0)</f>
        <v>Employee28</v>
      </c>
      <c r="C32" s="3" t="str">
        <f>VLOOKUP($A32,Master!$A$2:$K$52,3,0)</f>
        <v>Male</v>
      </c>
      <c r="D32" s="3" t="str">
        <f>VLOOKUP($A32,Master!$A$2:$K$52,5,0)</f>
        <v>Warehouse</v>
      </c>
      <c r="E32" s="3" t="str">
        <f>VLOOKUP($A32,Master!$A$2:$K$52,6,0)</f>
        <v>Store Assistant</v>
      </c>
      <c r="F32" s="4" t="str">
        <f>IFERROR(LOOKUP(2,1/((lentry!$A$3:$A$3999=apr!$A32)*(lentry!$B$3:$B$3999&lt;=apr!F$3)*(lentry!$C$3:$C$3999&gt;=apr!F$3)),lentry!$D$3:$D$3999),IF(WEEKDAY(apr!F$3,1)=1,"WO","P"))</f>
        <v>SL</v>
      </c>
      <c r="G32" s="4" t="str">
        <f>IFERROR(LOOKUP(2,1/((lentry!$A$3:$A$3999=apr!$A32)*(lentry!$B$3:$B$3999&lt;=apr!G$3)*(lentry!$C$3:$C$3999&gt;=apr!G$3)),lentry!$D$3:$D$3999),IF(WEEKDAY(apr!G$3,1)=1,"WO","P"))</f>
        <v>P</v>
      </c>
      <c r="H32" s="4" t="s">
        <v>350</v>
      </c>
      <c r="I32" s="4" t="str">
        <f>IFERROR(LOOKUP(2,1/((lentry!$A$3:$A$3999=apr!$A32)*(lentry!$B$3:$B$3999&lt;=apr!I$3)*(lentry!$C$3:$C$3999&gt;=apr!I$3)),lentry!$D$3:$D$3999),IF(WEEKDAY(apr!I$3,1)=1,"WO","P"))</f>
        <v>P</v>
      </c>
      <c r="J32" s="4" t="str">
        <f>IFERROR(LOOKUP(2,1/((lentry!$A$3:$A$3999=apr!$A32)*(lentry!$B$3:$B$3999&lt;=apr!J$3)*(lentry!$C$3:$C$3999&gt;=apr!J$3)),lentry!$D$3:$D$3999),IF(WEEKDAY(apr!J$3,1)=1,"WO","P"))</f>
        <v>WO</v>
      </c>
      <c r="K32" s="4" t="str">
        <f>IFERROR(LOOKUP(2,1/((lentry!$A$3:$A$3999=apr!$A32)*(lentry!$B$3:$B$3999&lt;=apr!K$3)*(lentry!$C$3:$C$3999&gt;=apr!K$3)),lentry!$D$3:$D$3999),IF(WEEKDAY(apr!K$3,1)=1,"WO","P"))</f>
        <v>P</v>
      </c>
      <c r="L32" s="4" t="str">
        <f>IFERROR(LOOKUP(2,1/((lentry!$A$3:$A$3999=apr!$A32)*(lentry!$B$3:$B$3999&lt;=apr!L$3)*(lentry!$C$3:$C$3999&gt;=apr!L$3)),lentry!$D$3:$D$3999),IF(WEEKDAY(apr!L$3,1)=1,"WO","P"))</f>
        <v>P</v>
      </c>
      <c r="M32" s="4" t="str">
        <f>IFERROR(LOOKUP(2,1/((lentry!$A$3:$A$3999=apr!$A32)*(lentry!$B$3:$B$3999&lt;=apr!M$3)*(lentry!$C$3:$C$3999&gt;=apr!M$3)),lentry!$D$3:$D$3999),IF(WEEKDAY(apr!M$3,1)=1,"WO","P"))</f>
        <v>P</v>
      </c>
      <c r="N32" s="4" t="str">
        <f>IFERROR(LOOKUP(2,1/((lentry!$A$3:$A$3999=apr!$A32)*(lentry!$B$3:$B$3999&lt;=apr!N$3)*(lentry!$C$3:$C$3999&gt;=apr!N$3)),lentry!$D$3:$D$3999),IF(WEEKDAY(apr!N$3,1)=1,"WO","P"))</f>
        <v>P</v>
      </c>
      <c r="O32" s="4" t="str">
        <f>IFERROR(LOOKUP(2,1/((lentry!$A$3:$A$3999=apr!$A32)*(lentry!$B$3:$B$3999&lt;=apr!O$3)*(lentry!$C$3:$C$3999&gt;=apr!O$3)),lentry!$D$3:$D$3999),IF(WEEKDAY(apr!O$3,1)=1,"WO","P"))</f>
        <v>P</v>
      </c>
      <c r="P32" s="4" t="str">
        <f>IFERROR(LOOKUP(2,1/((lentry!$A$3:$A$3999=apr!$A32)*(lentry!$B$3:$B$3999&lt;=apr!P$3)*(lentry!$C$3:$C$3999&gt;=apr!P$3)),lentry!$D$3:$D$3999),IF(WEEKDAY(apr!P$3,1)=1,"WO","P"))</f>
        <v>P</v>
      </c>
      <c r="Q32" s="4" t="str">
        <f>IFERROR(LOOKUP(2,1/((lentry!$A$3:$A$3999=apr!$A32)*(lentry!$B$3:$B$3999&lt;=apr!Q$3)*(lentry!$C$3:$C$3999&gt;=apr!Q$3)),lentry!$D$3:$D$3999),IF(WEEKDAY(apr!Q$3,1)=1,"WO","P"))</f>
        <v>WO</v>
      </c>
      <c r="R32" s="4" t="str">
        <f>IFERROR(LOOKUP(2,1/((lentry!$A$3:$A$3999=apr!$A32)*(lentry!$B$3:$B$3999&lt;=apr!R$3)*(lentry!$C$3:$C$3999&gt;=apr!R$3)),lentry!$D$3:$D$3999),IF(WEEKDAY(apr!R$3,1)=1,"WO","P"))</f>
        <v>P</v>
      </c>
      <c r="S32" s="4" t="s">
        <v>350</v>
      </c>
      <c r="T32" s="4" t="str">
        <f>IFERROR(LOOKUP(2,1/((lentry!$A$3:$A$3999=apr!$A32)*(lentry!$B$3:$B$3999&lt;=apr!T$3)*(lentry!$C$3:$C$3999&gt;=apr!T$3)),lentry!$D$3:$D$3999),IF(WEEKDAY(apr!T$3,1)=1,"WO","P"))</f>
        <v>P</v>
      </c>
      <c r="U32" s="4" t="str">
        <f>IFERROR(LOOKUP(2,1/((lentry!$A$3:$A$3999=apr!$A32)*(lentry!$B$3:$B$3999&lt;=apr!U$3)*(lentry!$C$3:$C$3999&gt;=apr!U$3)),lentry!$D$3:$D$3999),IF(WEEKDAY(apr!U$3,1)=1,"WO","P"))</f>
        <v>P</v>
      </c>
      <c r="V32" s="4" t="str">
        <f>IFERROR(LOOKUP(2,1/((lentry!$A$3:$A$3999=apr!$A32)*(lentry!$B$3:$B$3999&lt;=apr!V$3)*(lentry!$C$3:$C$3999&gt;=apr!V$3)),lentry!$D$3:$D$3999),IF(WEEKDAY(apr!V$3,1)=1,"WO","P"))</f>
        <v>P</v>
      </c>
      <c r="W32" s="4" t="str">
        <f>IFERROR(LOOKUP(2,1/((lentry!$A$3:$A$3999=apr!$A32)*(lentry!$B$3:$B$3999&lt;=apr!W$3)*(lentry!$C$3:$C$3999&gt;=apr!W$3)),lentry!$D$3:$D$3999),IF(WEEKDAY(apr!W$3,1)=1,"WO","P"))</f>
        <v>P</v>
      </c>
      <c r="X32" s="4" t="str">
        <f>IFERROR(LOOKUP(2,1/((lentry!$A$3:$A$3999=apr!$A32)*(lentry!$B$3:$B$3999&lt;=apr!X$3)*(lentry!$C$3:$C$3999&gt;=apr!X$3)),lentry!$D$3:$D$3999),IF(WEEKDAY(apr!X$3,1)=1,"WO","P"))</f>
        <v>WO</v>
      </c>
      <c r="Y32" s="4" t="str">
        <f>IFERROR(LOOKUP(2,1/((lentry!$A$3:$A$3999=apr!$A32)*(lentry!$B$3:$B$3999&lt;=apr!Y$3)*(lentry!$C$3:$C$3999&gt;=apr!Y$3)),lentry!$D$3:$D$3999),IF(WEEKDAY(apr!Y$3,1)=1,"WO","P"))</f>
        <v>P</v>
      </c>
      <c r="Z32" s="4" t="str">
        <f>IFERROR(LOOKUP(2,1/((lentry!$A$3:$A$3999=apr!$A32)*(lentry!$B$3:$B$3999&lt;=apr!Z$3)*(lentry!$C$3:$C$3999&gt;=apr!Z$3)),lentry!$D$3:$D$3999),IF(WEEKDAY(apr!Z$3,1)=1,"WO","P"))</f>
        <v>P</v>
      </c>
      <c r="AA32" s="4" t="str">
        <f>IFERROR(LOOKUP(2,1/((lentry!$A$3:$A$3999=apr!$A32)*(lentry!$B$3:$B$3999&lt;=apr!AA$3)*(lentry!$C$3:$C$3999&gt;=apr!AA$3)),lentry!$D$3:$D$3999),IF(WEEKDAY(apr!AA$3,1)=1,"WO","P"))</f>
        <v>P</v>
      </c>
      <c r="AB32" s="4" t="str">
        <f>IFERROR(LOOKUP(2,1/((lentry!$A$3:$A$3999=apr!$A32)*(lentry!$B$3:$B$3999&lt;=apr!AB$3)*(lentry!$C$3:$C$3999&gt;=apr!AB$3)),lentry!$D$3:$D$3999),IF(WEEKDAY(apr!AB$3,1)=1,"WO","P"))</f>
        <v>P</v>
      </c>
      <c r="AC32" s="4" t="str">
        <f>IFERROR(LOOKUP(2,1/((lentry!$A$3:$A$3999=apr!$A32)*(lentry!$B$3:$B$3999&lt;=apr!AC$3)*(lentry!$C$3:$C$3999&gt;=apr!AC$3)),lentry!$D$3:$D$3999),IF(WEEKDAY(apr!AC$3,1)=1,"WO","P"))</f>
        <v>P</v>
      </c>
      <c r="AD32" s="4" t="str">
        <f>IFERROR(LOOKUP(2,1/((lentry!$A$3:$A$3999=apr!$A32)*(lentry!$B$3:$B$3999&lt;=apr!AD$3)*(lentry!$C$3:$C$3999&gt;=apr!AD$3)),lentry!$D$3:$D$3999),IF(WEEKDAY(apr!AD$3,1)=1,"WO","P"))</f>
        <v>P</v>
      </c>
      <c r="AE32" s="4" t="str">
        <f>IFERROR(LOOKUP(2,1/((lentry!$A$3:$A$3999=apr!$A32)*(lentry!$B$3:$B$3999&lt;=apr!AE$3)*(lentry!$C$3:$C$3999&gt;=apr!AE$3)),lentry!$D$3:$D$3999),IF(WEEKDAY(apr!AE$3,1)=1,"WO","P"))</f>
        <v>WO</v>
      </c>
      <c r="AF32" s="4" t="str">
        <f>IFERROR(LOOKUP(2,1/((lentry!$A$3:$A$3999=apr!$A32)*(lentry!$B$3:$B$3999&lt;=apr!AF$3)*(lentry!$C$3:$C$3999&gt;=apr!AF$3)),lentry!$D$3:$D$3999),IF(WEEKDAY(apr!AF$3,1)=1,"WO","P"))</f>
        <v>P</v>
      </c>
      <c r="AG32" s="4" t="str">
        <f>IFERROR(LOOKUP(2,1/((lentry!$A$3:$A$3999=apr!$A32)*(lentry!$B$3:$B$3999&lt;=apr!AG$3)*(lentry!$C$3:$C$3999&gt;=apr!AG$3)),lentry!$D$3:$D$3999),IF(WEEKDAY(apr!AG$3,1)=1,"WO","P"))</f>
        <v>P</v>
      </c>
      <c r="AH32" s="4" t="str">
        <f>IFERROR(LOOKUP(2,1/((lentry!$A$3:$A$3999=apr!$A32)*(lentry!$B$3:$B$3999&lt;=apr!AH$3)*(lentry!$C$3:$C$3999&gt;=apr!AH$3)),lentry!$D$3:$D$3999),IF(WEEKDAY(apr!AH$3,1)=1,"WO","P"))</f>
        <v>P</v>
      </c>
      <c r="AI32" s="4" t="str">
        <f>IFERROR(LOOKUP(2,1/((lentry!$A$3:$A$3999=apr!$A32)*(lentry!$B$3:$B$3999&lt;=apr!AI$3)*(lentry!$C$3:$C$3999&gt;=apr!AI$3)),lentry!$D$3:$D$3999),IF(WEEKDAY(apr!AI$3,1)=1,"WO","P"))</f>
        <v>P</v>
      </c>
      <c r="AJ32" s="5">
        <f>COUNTIF(apr!$F32:$AI32,"WO")</f>
        <v>4</v>
      </c>
      <c r="AK32" s="5">
        <f>COUNTIF(jan!$F32:$AJ32,"H")</f>
        <v>1</v>
      </c>
      <c r="AL32" s="5">
        <f>COUNTIF(jan!$F32:$AJ32,"PL")</f>
        <v>0</v>
      </c>
      <c r="AM32" s="5">
        <f>COUNTIF(jan!$F32:$AJ32,"LWP")</f>
        <v>0</v>
      </c>
      <c r="AN32" s="5">
        <f>COUNTIF(jan!$F32:$AJ32,"HD")</f>
        <v>0</v>
      </c>
      <c r="AO32" s="5">
        <f>COUNTIF(jan!$F32:$AJ32,"SL")</f>
        <v>0</v>
      </c>
      <c r="AP32" s="5">
        <f>COUNTIF(jan!$F32:$AJ32,"CL")</f>
        <v>0</v>
      </c>
      <c r="AQ32" s="5">
        <f>COUNTIF(jan!$F32:$AJ32,"A")</f>
        <v>0</v>
      </c>
      <c r="AR32" s="5">
        <f>COUNTIF(jan!$F32:$AJ32,"P")</f>
        <v>26</v>
      </c>
      <c r="AS32" s="5">
        <f t="shared" si="2"/>
        <v>30</v>
      </c>
      <c r="AT32" s="5">
        <f t="shared" si="3"/>
        <v>31</v>
      </c>
      <c r="AU32" s="4">
        <f>SUMIFS(holly!$L$2:$L$122,holly!$I$2:$I$122,mar!$A32,holly!$K$2:$K$122,"Mar")</f>
        <v>0</v>
      </c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</row>
    <row r="33" spans="1:77" ht="18.75" x14ac:dyDescent="0.3">
      <c r="A33" s="3" t="s">
        <v>56</v>
      </c>
      <c r="B33" s="3" t="str">
        <f>VLOOKUP($A33,Master!$A$2:$K$52,2,0)</f>
        <v>Employee29</v>
      </c>
      <c r="C33" s="3" t="str">
        <f>VLOOKUP($A33,Master!$A$2:$K$52,3,0)</f>
        <v>Male</v>
      </c>
      <c r="D33" s="3" t="str">
        <f>VLOOKUP($A33,Master!$A$2:$K$52,5,0)</f>
        <v>IT</v>
      </c>
      <c r="E33" s="3" t="str">
        <f>VLOOKUP($A33,Master!$A$2:$K$52,6,0)</f>
        <v>IT Support Executive</v>
      </c>
      <c r="F33" s="4" t="str">
        <f>IFERROR(LOOKUP(2,1/((lentry!$A$3:$A$3999=apr!$A33)*(lentry!$B$3:$B$3999&lt;=apr!F$3)*(lentry!$C$3:$C$3999&gt;=apr!F$3)),lentry!$D$3:$D$3999),IF(WEEKDAY(apr!F$3,1)=1,"WO","P"))</f>
        <v>P</v>
      </c>
      <c r="G33" s="4" t="str">
        <f>IFERROR(LOOKUP(2,1/((lentry!$A$3:$A$3999=apr!$A33)*(lentry!$B$3:$B$3999&lt;=apr!G$3)*(lentry!$C$3:$C$3999&gt;=apr!G$3)),lentry!$D$3:$D$3999),IF(WEEKDAY(apr!G$3,1)=1,"WO","P"))</f>
        <v>P</v>
      </c>
      <c r="H33" s="4" t="s">
        <v>350</v>
      </c>
      <c r="I33" s="4" t="str">
        <f>IFERROR(LOOKUP(2,1/((lentry!$A$3:$A$3999=apr!$A33)*(lentry!$B$3:$B$3999&lt;=apr!I$3)*(lentry!$C$3:$C$3999&gt;=apr!I$3)),lentry!$D$3:$D$3999),IF(WEEKDAY(apr!I$3,1)=1,"WO","P"))</f>
        <v>P</v>
      </c>
      <c r="J33" s="4" t="str">
        <f>IFERROR(LOOKUP(2,1/((lentry!$A$3:$A$3999=apr!$A33)*(lentry!$B$3:$B$3999&lt;=apr!J$3)*(lentry!$C$3:$C$3999&gt;=apr!J$3)),lentry!$D$3:$D$3999),IF(WEEKDAY(apr!J$3,1)=1,"WO","P"))</f>
        <v>WO</v>
      </c>
      <c r="K33" s="4" t="str">
        <f>IFERROR(LOOKUP(2,1/((lentry!$A$3:$A$3999=apr!$A33)*(lentry!$B$3:$B$3999&lt;=apr!K$3)*(lentry!$C$3:$C$3999&gt;=apr!K$3)),lentry!$D$3:$D$3999),IF(WEEKDAY(apr!K$3,1)=1,"WO","P"))</f>
        <v>P</v>
      </c>
      <c r="L33" s="4" t="str">
        <f>IFERROR(LOOKUP(2,1/((lentry!$A$3:$A$3999=apr!$A33)*(lentry!$B$3:$B$3999&lt;=apr!L$3)*(lentry!$C$3:$C$3999&gt;=apr!L$3)),lentry!$D$3:$D$3999),IF(WEEKDAY(apr!L$3,1)=1,"WO","P"))</f>
        <v>P</v>
      </c>
      <c r="M33" s="4" t="str">
        <f>IFERROR(LOOKUP(2,1/((lentry!$A$3:$A$3999=apr!$A33)*(lentry!$B$3:$B$3999&lt;=apr!M$3)*(lentry!$C$3:$C$3999&gt;=apr!M$3)),lentry!$D$3:$D$3999),IF(WEEKDAY(apr!M$3,1)=1,"WO","P"))</f>
        <v>P</v>
      </c>
      <c r="N33" s="4" t="str">
        <f>IFERROR(LOOKUP(2,1/((lentry!$A$3:$A$3999=apr!$A33)*(lentry!$B$3:$B$3999&lt;=apr!N$3)*(lentry!$C$3:$C$3999&gt;=apr!N$3)),lentry!$D$3:$D$3999),IF(WEEKDAY(apr!N$3,1)=1,"WO","P"))</f>
        <v>P</v>
      </c>
      <c r="O33" s="4" t="str">
        <f>IFERROR(LOOKUP(2,1/((lentry!$A$3:$A$3999=apr!$A33)*(lentry!$B$3:$B$3999&lt;=apr!O$3)*(lentry!$C$3:$C$3999&gt;=apr!O$3)),lentry!$D$3:$D$3999),IF(WEEKDAY(apr!O$3,1)=1,"WO","P"))</f>
        <v>P</v>
      </c>
      <c r="P33" s="4" t="str">
        <f>IFERROR(LOOKUP(2,1/((lentry!$A$3:$A$3999=apr!$A33)*(lentry!$B$3:$B$3999&lt;=apr!P$3)*(lentry!$C$3:$C$3999&gt;=apr!P$3)),lentry!$D$3:$D$3999),IF(WEEKDAY(apr!P$3,1)=1,"WO","P"))</f>
        <v>P</v>
      </c>
      <c r="Q33" s="4" t="str">
        <f>IFERROR(LOOKUP(2,1/((lentry!$A$3:$A$3999=apr!$A33)*(lentry!$B$3:$B$3999&lt;=apr!Q$3)*(lentry!$C$3:$C$3999&gt;=apr!Q$3)),lentry!$D$3:$D$3999),IF(WEEKDAY(apr!Q$3,1)=1,"WO","P"))</f>
        <v>WO</v>
      </c>
      <c r="R33" s="4" t="str">
        <f>IFERROR(LOOKUP(2,1/((lentry!$A$3:$A$3999=apr!$A33)*(lentry!$B$3:$B$3999&lt;=apr!R$3)*(lentry!$C$3:$C$3999&gt;=apr!R$3)),lentry!$D$3:$D$3999),IF(WEEKDAY(apr!R$3,1)=1,"WO","P"))</f>
        <v>P</v>
      </c>
      <c r="S33" s="4" t="s">
        <v>350</v>
      </c>
      <c r="T33" s="4" t="str">
        <f>IFERROR(LOOKUP(2,1/((lentry!$A$3:$A$3999=apr!$A33)*(lentry!$B$3:$B$3999&lt;=apr!T$3)*(lentry!$C$3:$C$3999&gt;=apr!T$3)),lentry!$D$3:$D$3999),IF(WEEKDAY(apr!T$3,1)=1,"WO","P"))</f>
        <v>P</v>
      </c>
      <c r="U33" s="4" t="str">
        <f>IFERROR(LOOKUP(2,1/((lentry!$A$3:$A$3999=apr!$A33)*(lentry!$B$3:$B$3999&lt;=apr!U$3)*(lentry!$C$3:$C$3999&gt;=apr!U$3)),lentry!$D$3:$D$3999),IF(WEEKDAY(apr!U$3,1)=1,"WO","P"))</f>
        <v>P</v>
      </c>
      <c r="V33" s="4" t="str">
        <f>IFERROR(LOOKUP(2,1/((lentry!$A$3:$A$3999=apr!$A33)*(lentry!$B$3:$B$3999&lt;=apr!V$3)*(lentry!$C$3:$C$3999&gt;=apr!V$3)),lentry!$D$3:$D$3999),IF(WEEKDAY(apr!V$3,1)=1,"WO","P"))</f>
        <v>P</v>
      </c>
      <c r="W33" s="4" t="str">
        <f>IFERROR(LOOKUP(2,1/((lentry!$A$3:$A$3999=apr!$A33)*(lentry!$B$3:$B$3999&lt;=apr!W$3)*(lentry!$C$3:$C$3999&gt;=apr!W$3)),lentry!$D$3:$D$3999),IF(WEEKDAY(apr!W$3,1)=1,"WO","P"))</f>
        <v>P</v>
      </c>
      <c r="X33" s="4" t="str">
        <f>IFERROR(LOOKUP(2,1/((lentry!$A$3:$A$3999=apr!$A33)*(lentry!$B$3:$B$3999&lt;=apr!X$3)*(lentry!$C$3:$C$3999&gt;=apr!X$3)),lentry!$D$3:$D$3999),IF(WEEKDAY(apr!X$3,1)=1,"WO","P"))</f>
        <v>WO</v>
      </c>
      <c r="Y33" s="4" t="str">
        <f>IFERROR(LOOKUP(2,1/((lentry!$A$3:$A$3999=apr!$A33)*(lentry!$B$3:$B$3999&lt;=apr!Y$3)*(lentry!$C$3:$C$3999&gt;=apr!Y$3)),lentry!$D$3:$D$3999),IF(WEEKDAY(apr!Y$3,1)=1,"WO","P"))</f>
        <v>P</v>
      </c>
      <c r="Z33" s="4" t="str">
        <f>IFERROR(LOOKUP(2,1/((lentry!$A$3:$A$3999=apr!$A33)*(lentry!$B$3:$B$3999&lt;=apr!Z$3)*(lentry!$C$3:$C$3999&gt;=apr!Z$3)),lentry!$D$3:$D$3999),IF(WEEKDAY(apr!Z$3,1)=1,"WO","P"))</f>
        <v>P</v>
      </c>
      <c r="AA33" s="4" t="str">
        <f>IFERROR(LOOKUP(2,1/((lentry!$A$3:$A$3999=apr!$A33)*(lentry!$B$3:$B$3999&lt;=apr!AA$3)*(lentry!$C$3:$C$3999&gt;=apr!AA$3)),lentry!$D$3:$D$3999),IF(WEEKDAY(apr!AA$3,1)=1,"WO","P"))</f>
        <v>P</v>
      </c>
      <c r="AB33" s="4" t="str">
        <f>IFERROR(LOOKUP(2,1/((lentry!$A$3:$A$3999=apr!$A33)*(lentry!$B$3:$B$3999&lt;=apr!AB$3)*(lentry!$C$3:$C$3999&gt;=apr!AB$3)),lentry!$D$3:$D$3999),IF(WEEKDAY(apr!AB$3,1)=1,"WO","P"))</f>
        <v>P</v>
      </c>
      <c r="AC33" s="4" t="str">
        <f>IFERROR(LOOKUP(2,1/((lentry!$A$3:$A$3999=apr!$A33)*(lentry!$B$3:$B$3999&lt;=apr!AC$3)*(lentry!$C$3:$C$3999&gt;=apr!AC$3)),lentry!$D$3:$D$3999),IF(WEEKDAY(apr!AC$3,1)=1,"WO","P"))</f>
        <v>P</v>
      </c>
      <c r="AD33" s="4" t="str">
        <f>IFERROR(LOOKUP(2,1/((lentry!$A$3:$A$3999=apr!$A33)*(lentry!$B$3:$B$3999&lt;=apr!AD$3)*(lentry!$C$3:$C$3999&gt;=apr!AD$3)),lentry!$D$3:$D$3999),IF(WEEKDAY(apr!AD$3,1)=1,"WO","P"))</f>
        <v>P</v>
      </c>
      <c r="AE33" s="4" t="str">
        <f>IFERROR(LOOKUP(2,1/((lentry!$A$3:$A$3999=apr!$A33)*(lentry!$B$3:$B$3999&lt;=apr!AE$3)*(lentry!$C$3:$C$3999&gt;=apr!AE$3)),lentry!$D$3:$D$3999),IF(WEEKDAY(apr!AE$3,1)=1,"WO","P"))</f>
        <v>WO</v>
      </c>
      <c r="AF33" s="4" t="str">
        <f>IFERROR(LOOKUP(2,1/((lentry!$A$3:$A$3999=apr!$A33)*(lentry!$B$3:$B$3999&lt;=apr!AF$3)*(lentry!$C$3:$C$3999&gt;=apr!AF$3)),lentry!$D$3:$D$3999),IF(WEEKDAY(apr!AF$3,1)=1,"WO","P"))</f>
        <v>P</v>
      </c>
      <c r="AG33" s="4" t="s">
        <v>539</v>
      </c>
      <c r="AH33" s="4" t="str">
        <f>IFERROR(LOOKUP(2,1/((lentry!$A$3:$A$3999=apr!$A33)*(lentry!$B$3:$B$3999&lt;=apr!AH$3)*(lentry!$C$3:$C$3999&gt;=apr!AH$3)),lentry!$D$3:$D$3999),IF(WEEKDAY(apr!AH$3,1)=1,"WO","P"))</f>
        <v>P</v>
      </c>
      <c r="AI33" s="4" t="str">
        <f>IFERROR(LOOKUP(2,1/((lentry!$A$3:$A$3999=apr!$A33)*(lentry!$B$3:$B$3999&lt;=apr!AI$3)*(lentry!$C$3:$C$3999&gt;=apr!AI$3)),lentry!$D$3:$D$3999),IF(WEEKDAY(apr!AI$3,1)=1,"WO","P"))</f>
        <v>P</v>
      </c>
      <c r="AJ33" s="5">
        <f>COUNTIF(apr!$F33:$AI33,"WO")</f>
        <v>4</v>
      </c>
      <c r="AK33" s="5">
        <f>COUNTIF(jan!$F33:$AJ33,"H")</f>
        <v>1</v>
      </c>
      <c r="AL33" s="5">
        <f>COUNTIF(jan!$F33:$AJ33,"PL")</f>
        <v>0</v>
      </c>
      <c r="AM33" s="5">
        <f>COUNTIF(jan!$F33:$AJ33,"LWP")</f>
        <v>0</v>
      </c>
      <c r="AN33" s="5">
        <f>COUNTIF(jan!$F33:$AJ33,"HD")</f>
        <v>0</v>
      </c>
      <c r="AO33" s="5">
        <f>COUNTIF(jan!$F33:$AJ33,"SL")</f>
        <v>0</v>
      </c>
      <c r="AP33" s="5">
        <f>COUNTIF(jan!$F33:$AJ33,"CL")</f>
        <v>0</v>
      </c>
      <c r="AQ33" s="5">
        <f>COUNTIF(jan!$F33:$AJ33,"A")</f>
        <v>2</v>
      </c>
      <c r="AR33" s="5">
        <f>COUNTIF(jan!$F33:$AJ33,"P")</f>
        <v>24</v>
      </c>
      <c r="AS33" s="5">
        <f t="shared" si="2"/>
        <v>30</v>
      </c>
      <c r="AT33" s="5">
        <f t="shared" si="3"/>
        <v>29</v>
      </c>
      <c r="AU33" s="4">
        <f>SUMIFS(holly!$L$2:$L$122,holly!$I$2:$I$122,mar!$A33,holly!$K$2:$K$122,"Mar")</f>
        <v>5</v>
      </c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</row>
    <row r="34" spans="1:77" ht="18.75" x14ac:dyDescent="0.3">
      <c r="A34" s="3" t="s">
        <v>59</v>
      </c>
      <c r="B34" s="3" t="str">
        <f>VLOOKUP($A34,Master!$A$2:$K$52,2,0)</f>
        <v>Employee30</v>
      </c>
      <c r="C34" s="3" t="str">
        <f>VLOOKUP($A34,Master!$A$2:$K$52,3,0)</f>
        <v>Male</v>
      </c>
      <c r="D34" s="3" t="str">
        <f>VLOOKUP($A34,Master!$A$2:$K$52,5,0)</f>
        <v>Production</v>
      </c>
      <c r="E34" s="3" t="str">
        <f>VLOOKUP($A34,Master!$A$2:$K$52,6,0)</f>
        <v>Operator</v>
      </c>
      <c r="F34" s="4" t="str">
        <f>IFERROR(LOOKUP(2,1/((lentry!$A$3:$A$3999=apr!$A34)*(lentry!$B$3:$B$3999&lt;=apr!F$3)*(lentry!$C$3:$C$3999&gt;=apr!F$3)),lentry!$D$3:$D$3999),IF(WEEKDAY(apr!F$3,1)=1,"WO","P"))</f>
        <v>P</v>
      </c>
      <c r="G34" s="4" t="str">
        <f>IFERROR(LOOKUP(2,1/((lentry!$A$3:$A$3999=apr!$A34)*(lentry!$B$3:$B$3999&lt;=apr!G$3)*(lentry!$C$3:$C$3999&gt;=apr!G$3)),lentry!$D$3:$D$3999),IF(WEEKDAY(apr!G$3,1)=1,"WO","P"))</f>
        <v>P</v>
      </c>
      <c r="H34" s="4" t="s">
        <v>350</v>
      </c>
      <c r="I34" s="4" t="str">
        <f>IFERROR(LOOKUP(2,1/((lentry!$A$3:$A$3999=apr!$A34)*(lentry!$B$3:$B$3999&lt;=apr!I$3)*(lentry!$C$3:$C$3999&gt;=apr!I$3)),lentry!$D$3:$D$3999),IF(WEEKDAY(apr!I$3,1)=1,"WO","P"))</f>
        <v>P</v>
      </c>
      <c r="J34" s="4" t="str">
        <f>IFERROR(LOOKUP(2,1/((lentry!$A$3:$A$3999=apr!$A34)*(lentry!$B$3:$B$3999&lt;=apr!J$3)*(lentry!$C$3:$C$3999&gt;=apr!J$3)),lentry!$D$3:$D$3999),IF(WEEKDAY(apr!J$3,1)=1,"WO","P"))</f>
        <v>WO</v>
      </c>
      <c r="K34" s="4" t="str">
        <f>IFERROR(LOOKUP(2,1/((lentry!$A$3:$A$3999=apr!$A34)*(lentry!$B$3:$B$3999&lt;=apr!K$3)*(lentry!$C$3:$C$3999&gt;=apr!K$3)),lentry!$D$3:$D$3999),IF(WEEKDAY(apr!K$3,1)=1,"WO","P"))</f>
        <v>P</v>
      </c>
      <c r="L34" s="4" t="str">
        <f>IFERROR(LOOKUP(2,1/((lentry!$A$3:$A$3999=apr!$A34)*(lentry!$B$3:$B$3999&lt;=apr!L$3)*(lentry!$C$3:$C$3999&gt;=apr!L$3)),lentry!$D$3:$D$3999),IF(WEEKDAY(apr!L$3,1)=1,"WO","P"))</f>
        <v>P</v>
      </c>
      <c r="M34" s="4" t="str">
        <f>IFERROR(LOOKUP(2,1/((lentry!$A$3:$A$3999=apr!$A34)*(lentry!$B$3:$B$3999&lt;=apr!M$3)*(lentry!$C$3:$C$3999&gt;=apr!M$3)),lentry!$D$3:$D$3999),IF(WEEKDAY(apr!M$3,1)=1,"WO","P"))</f>
        <v>P</v>
      </c>
      <c r="N34" s="4" t="str">
        <f>IFERROR(LOOKUP(2,1/((lentry!$A$3:$A$3999=apr!$A34)*(lentry!$B$3:$B$3999&lt;=apr!N$3)*(lentry!$C$3:$C$3999&gt;=apr!N$3)),lentry!$D$3:$D$3999),IF(WEEKDAY(apr!N$3,1)=1,"WO","P"))</f>
        <v>P</v>
      </c>
      <c r="O34" s="4" t="str">
        <f>IFERROR(LOOKUP(2,1/((lentry!$A$3:$A$3999=apr!$A34)*(lentry!$B$3:$B$3999&lt;=apr!O$3)*(lentry!$C$3:$C$3999&gt;=apr!O$3)),lentry!$D$3:$D$3999),IF(WEEKDAY(apr!O$3,1)=1,"WO","P"))</f>
        <v>P</v>
      </c>
      <c r="P34" s="4" t="str">
        <f>IFERROR(LOOKUP(2,1/((lentry!$A$3:$A$3999=apr!$A34)*(lentry!$B$3:$B$3999&lt;=apr!P$3)*(lentry!$C$3:$C$3999&gt;=apr!P$3)),lentry!$D$3:$D$3999),IF(WEEKDAY(apr!P$3,1)=1,"WO","P"))</f>
        <v>P</v>
      </c>
      <c r="Q34" s="4" t="str">
        <f>IFERROR(LOOKUP(2,1/((lentry!$A$3:$A$3999=apr!$A34)*(lentry!$B$3:$B$3999&lt;=apr!Q$3)*(lentry!$C$3:$C$3999&gt;=apr!Q$3)),lentry!$D$3:$D$3999),IF(WEEKDAY(apr!Q$3,1)=1,"WO","P"))</f>
        <v>WO</v>
      </c>
      <c r="R34" s="4" t="str">
        <f>IFERROR(LOOKUP(2,1/((lentry!$A$3:$A$3999=apr!$A34)*(lentry!$B$3:$B$3999&lt;=apr!R$3)*(lentry!$C$3:$C$3999&gt;=apr!R$3)),lentry!$D$3:$D$3999),IF(WEEKDAY(apr!R$3,1)=1,"WO","P"))</f>
        <v>P</v>
      </c>
      <c r="S34" s="4" t="s">
        <v>350</v>
      </c>
      <c r="T34" s="4" t="str">
        <f>IFERROR(LOOKUP(2,1/((lentry!$A$3:$A$3999=apr!$A34)*(lentry!$B$3:$B$3999&lt;=apr!T$3)*(lentry!$C$3:$C$3999&gt;=apr!T$3)),lentry!$D$3:$D$3999),IF(WEEKDAY(apr!T$3,1)=1,"WO","P"))</f>
        <v>P</v>
      </c>
      <c r="U34" s="4" t="str">
        <f>IFERROR(LOOKUP(2,1/((lentry!$A$3:$A$3999=apr!$A34)*(lentry!$B$3:$B$3999&lt;=apr!U$3)*(lentry!$C$3:$C$3999&gt;=apr!U$3)),lentry!$D$3:$D$3999),IF(WEEKDAY(apr!U$3,1)=1,"WO","P"))</f>
        <v>P</v>
      </c>
      <c r="V34" s="4" t="str">
        <f>IFERROR(LOOKUP(2,1/((lentry!$A$3:$A$3999=apr!$A34)*(lentry!$B$3:$B$3999&lt;=apr!V$3)*(lentry!$C$3:$C$3999&gt;=apr!V$3)),lentry!$D$3:$D$3999),IF(WEEKDAY(apr!V$3,1)=1,"WO","P"))</f>
        <v>P</v>
      </c>
      <c r="W34" s="4" t="str">
        <f>IFERROR(LOOKUP(2,1/((lentry!$A$3:$A$3999=apr!$A34)*(lentry!$B$3:$B$3999&lt;=apr!W$3)*(lentry!$C$3:$C$3999&gt;=apr!W$3)),lentry!$D$3:$D$3999),IF(WEEKDAY(apr!W$3,1)=1,"WO","P"))</f>
        <v>P</v>
      </c>
      <c r="X34" s="4" t="str">
        <f>IFERROR(LOOKUP(2,1/((lentry!$A$3:$A$3999=apr!$A34)*(lentry!$B$3:$B$3999&lt;=apr!X$3)*(lentry!$C$3:$C$3999&gt;=apr!X$3)),lentry!$D$3:$D$3999),IF(WEEKDAY(apr!X$3,1)=1,"WO","P"))</f>
        <v>WO</v>
      </c>
      <c r="Y34" s="4" t="str">
        <f>IFERROR(LOOKUP(2,1/((lentry!$A$3:$A$3999=apr!$A34)*(lentry!$B$3:$B$3999&lt;=apr!Y$3)*(lentry!$C$3:$C$3999&gt;=apr!Y$3)),lentry!$D$3:$D$3999),IF(WEEKDAY(apr!Y$3,1)=1,"WO","P"))</f>
        <v>P</v>
      </c>
      <c r="Z34" s="4" t="str">
        <f>IFERROR(LOOKUP(2,1/((lentry!$A$3:$A$3999=apr!$A34)*(lentry!$B$3:$B$3999&lt;=apr!Z$3)*(lentry!$C$3:$C$3999&gt;=apr!Z$3)),lentry!$D$3:$D$3999),IF(WEEKDAY(apr!Z$3,1)=1,"WO","P"))</f>
        <v>P</v>
      </c>
      <c r="AA34" s="4" t="str">
        <f>IFERROR(LOOKUP(2,1/((lentry!$A$3:$A$3999=apr!$A34)*(lentry!$B$3:$B$3999&lt;=apr!AA$3)*(lentry!$C$3:$C$3999&gt;=apr!AA$3)),lentry!$D$3:$D$3999),IF(WEEKDAY(apr!AA$3,1)=1,"WO","P"))</f>
        <v>P</v>
      </c>
      <c r="AB34" s="4" t="str">
        <f>IFERROR(LOOKUP(2,1/((lentry!$A$3:$A$3999=apr!$A34)*(lentry!$B$3:$B$3999&lt;=apr!AB$3)*(lentry!$C$3:$C$3999&gt;=apr!AB$3)),lentry!$D$3:$D$3999),IF(WEEKDAY(apr!AB$3,1)=1,"WO","P"))</f>
        <v>P</v>
      </c>
      <c r="AC34" s="4" t="str">
        <f>IFERROR(LOOKUP(2,1/((lentry!$A$3:$A$3999=apr!$A34)*(lentry!$B$3:$B$3999&lt;=apr!AC$3)*(lentry!$C$3:$C$3999&gt;=apr!AC$3)),lentry!$D$3:$D$3999),IF(WEEKDAY(apr!AC$3,1)=1,"WO","P"))</f>
        <v>P</v>
      </c>
      <c r="AD34" s="4" t="str">
        <f>IFERROR(LOOKUP(2,1/((lentry!$A$3:$A$3999=apr!$A34)*(lentry!$B$3:$B$3999&lt;=apr!AD$3)*(lentry!$C$3:$C$3999&gt;=apr!AD$3)),lentry!$D$3:$D$3999),IF(WEEKDAY(apr!AD$3,1)=1,"WO","P"))</f>
        <v>P</v>
      </c>
      <c r="AE34" s="4" t="str">
        <f>IFERROR(LOOKUP(2,1/((lentry!$A$3:$A$3999=apr!$A34)*(lentry!$B$3:$B$3999&lt;=apr!AE$3)*(lentry!$C$3:$C$3999&gt;=apr!AE$3)),lentry!$D$3:$D$3999),IF(WEEKDAY(apr!AE$3,1)=1,"WO","P"))</f>
        <v>WO</v>
      </c>
      <c r="AF34" s="4" t="str">
        <f>IFERROR(LOOKUP(2,1/((lentry!$A$3:$A$3999=apr!$A34)*(lentry!$B$3:$B$3999&lt;=apr!AF$3)*(lentry!$C$3:$C$3999&gt;=apr!AF$3)),lentry!$D$3:$D$3999),IF(WEEKDAY(apr!AF$3,1)=1,"WO","P"))</f>
        <v>P</v>
      </c>
      <c r="AG34" s="4" t="str">
        <f>IFERROR(LOOKUP(2,1/((lentry!$A$3:$A$3999=apr!$A34)*(lentry!$B$3:$B$3999&lt;=apr!AG$3)*(lentry!$C$3:$C$3999&gt;=apr!AG$3)),lentry!$D$3:$D$3999),IF(WEEKDAY(apr!AG$3,1)=1,"WO","P"))</f>
        <v>P</v>
      </c>
      <c r="AH34" s="4" t="str">
        <f>IFERROR(LOOKUP(2,1/((lentry!$A$3:$A$3999=apr!$A34)*(lentry!$B$3:$B$3999&lt;=apr!AH$3)*(lentry!$C$3:$C$3999&gt;=apr!AH$3)),lentry!$D$3:$D$3999),IF(WEEKDAY(apr!AH$3,1)=1,"WO","P"))</f>
        <v>P</v>
      </c>
      <c r="AI34" s="4" t="str">
        <f>IFERROR(LOOKUP(2,1/((lentry!$A$3:$A$3999=apr!$A34)*(lentry!$B$3:$B$3999&lt;=apr!AI$3)*(lentry!$C$3:$C$3999&gt;=apr!AI$3)),lentry!$D$3:$D$3999),IF(WEEKDAY(apr!AI$3,1)=1,"WO","P"))</f>
        <v>P</v>
      </c>
      <c r="AJ34" s="5">
        <f>COUNTIF(apr!$F34:$AI34,"WO")</f>
        <v>4</v>
      </c>
      <c r="AK34" s="5">
        <f>COUNTIF(jan!$F34:$AJ34,"H")</f>
        <v>1</v>
      </c>
      <c r="AL34" s="5">
        <f>COUNTIF(jan!$F34:$AJ34,"PL")</f>
        <v>0</v>
      </c>
      <c r="AM34" s="5">
        <f>COUNTIF(jan!$F34:$AJ34,"LWP")</f>
        <v>0</v>
      </c>
      <c r="AN34" s="5">
        <f>COUNTIF(jan!$F34:$AJ34,"HD")</f>
        <v>0</v>
      </c>
      <c r="AO34" s="5">
        <f>COUNTIF(jan!$F34:$AJ34,"SL")</f>
        <v>0</v>
      </c>
      <c r="AP34" s="5">
        <f>COUNTIF(jan!$F34:$AJ34,"CL")</f>
        <v>0</v>
      </c>
      <c r="AQ34" s="5">
        <f>COUNTIF(jan!$F34:$AJ34,"A")</f>
        <v>0</v>
      </c>
      <c r="AR34" s="5">
        <f>COUNTIF(jan!$F34:$AJ34,"P")</f>
        <v>26</v>
      </c>
      <c r="AS34" s="5">
        <f t="shared" si="2"/>
        <v>30</v>
      </c>
      <c r="AT34" s="5">
        <f t="shared" si="3"/>
        <v>31</v>
      </c>
      <c r="AU34" s="4">
        <f>SUMIFS(holly!$L$2:$L$122,holly!$I$2:$I$122,mar!$A34,holly!$K$2:$K$122,"Mar")</f>
        <v>0</v>
      </c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</row>
    <row r="35" spans="1:77" ht="18.75" x14ac:dyDescent="0.3">
      <c r="A35" s="3" t="s">
        <v>60</v>
      </c>
      <c r="B35" s="3" t="str">
        <f>VLOOKUP($A35,Master!$A$2:$K$52,2,0)</f>
        <v>Employee31</v>
      </c>
      <c r="C35" s="3" t="str">
        <f>VLOOKUP($A35,Master!$A$2:$K$52,3,0)</f>
        <v>Male</v>
      </c>
      <c r="D35" s="3" t="str">
        <f>VLOOKUP($A35,Master!$A$2:$K$52,5,0)</f>
        <v>Production</v>
      </c>
      <c r="E35" s="3" t="str">
        <f>VLOOKUP($A35,Master!$A$2:$K$52,6,0)</f>
        <v>Supervisor</v>
      </c>
      <c r="F35" s="4" t="str">
        <f>IFERROR(LOOKUP(2,1/((lentry!$A$3:$A$3999=apr!$A35)*(lentry!$B$3:$B$3999&lt;=apr!F$3)*(lentry!$C$3:$C$3999&gt;=apr!F$3)),lentry!$D$3:$D$3999),IF(WEEKDAY(apr!F$3,1)=1,"WO","P"))</f>
        <v>P</v>
      </c>
      <c r="G35" s="4" t="str">
        <f>IFERROR(LOOKUP(2,1/((lentry!$A$3:$A$3999=apr!$A35)*(lentry!$B$3:$B$3999&lt;=apr!G$3)*(lentry!$C$3:$C$3999&gt;=apr!G$3)),lentry!$D$3:$D$3999),IF(WEEKDAY(apr!G$3,1)=1,"WO","P"))</f>
        <v>P</v>
      </c>
      <c r="H35" s="4" t="s">
        <v>350</v>
      </c>
      <c r="I35" s="4" t="str">
        <f>IFERROR(LOOKUP(2,1/((lentry!$A$3:$A$3999=apr!$A35)*(lentry!$B$3:$B$3999&lt;=apr!I$3)*(lentry!$C$3:$C$3999&gt;=apr!I$3)),lentry!$D$3:$D$3999),IF(WEEKDAY(apr!I$3,1)=1,"WO","P"))</f>
        <v>P</v>
      </c>
      <c r="J35" s="4" t="str">
        <f>IFERROR(LOOKUP(2,1/((lentry!$A$3:$A$3999=apr!$A35)*(lentry!$B$3:$B$3999&lt;=apr!J$3)*(lentry!$C$3:$C$3999&gt;=apr!J$3)),lentry!$D$3:$D$3999),IF(WEEKDAY(apr!J$3,1)=1,"WO","P"))</f>
        <v>WO</v>
      </c>
      <c r="K35" s="4" t="str">
        <f>IFERROR(LOOKUP(2,1/((lentry!$A$3:$A$3999=apr!$A35)*(lentry!$B$3:$B$3999&lt;=apr!K$3)*(lentry!$C$3:$C$3999&gt;=apr!K$3)),lentry!$D$3:$D$3999),IF(WEEKDAY(apr!K$3,1)=1,"WO","P"))</f>
        <v>P</v>
      </c>
      <c r="L35" s="4" t="str">
        <f>IFERROR(LOOKUP(2,1/((lentry!$A$3:$A$3999=apr!$A35)*(lentry!$B$3:$B$3999&lt;=apr!L$3)*(lentry!$C$3:$C$3999&gt;=apr!L$3)),lentry!$D$3:$D$3999),IF(WEEKDAY(apr!L$3,1)=1,"WO","P"))</f>
        <v>P</v>
      </c>
      <c r="M35" s="4" t="str">
        <f>IFERROR(LOOKUP(2,1/((lentry!$A$3:$A$3999=apr!$A35)*(lentry!$B$3:$B$3999&lt;=apr!M$3)*(lentry!$C$3:$C$3999&gt;=apr!M$3)),lentry!$D$3:$D$3999),IF(WEEKDAY(apr!M$3,1)=1,"WO","P"))</f>
        <v>P</v>
      </c>
      <c r="N35" s="4" t="str">
        <f>IFERROR(LOOKUP(2,1/((lentry!$A$3:$A$3999=apr!$A35)*(lentry!$B$3:$B$3999&lt;=apr!N$3)*(lentry!$C$3:$C$3999&gt;=apr!N$3)),lentry!$D$3:$D$3999),IF(WEEKDAY(apr!N$3,1)=1,"WO","P"))</f>
        <v>P</v>
      </c>
      <c r="O35" s="4" t="str">
        <f>IFERROR(LOOKUP(2,1/((lentry!$A$3:$A$3999=apr!$A35)*(lentry!$B$3:$B$3999&lt;=apr!O$3)*(lentry!$C$3:$C$3999&gt;=apr!O$3)),lentry!$D$3:$D$3999),IF(WEEKDAY(apr!O$3,1)=1,"WO","P"))</f>
        <v>P</v>
      </c>
      <c r="P35" s="4" t="str">
        <f>IFERROR(LOOKUP(2,1/((lentry!$A$3:$A$3999=apr!$A35)*(lentry!$B$3:$B$3999&lt;=apr!P$3)*(lentry!$C$3:$C$3999&gt;=apr!P$3)),lentry!$D$3:$D$3999),IF(WEEKDAY(apr!P$3,1)=1,"WO","P"))</f>
        <v>P</v>
      </c>
      <c r="Q35" s="4" t="str">
        <f>IFERROR(LOOKUP(2,1/((lentry!$A$3:$A$3999=apr!$A35)*(lentry!$B$3:$B$3999&lt;=apr!Q$3)*(lentry!$C$3:$C$3999&gt;=apr!Q$3)),lentry!$D$3:$D$3999),IF(WEEKDAY(apr!Q$3,1)=1,"WO","P"))</f>
        <v>WO</v>
      </c>
      <c r="R35" s="4" t="str">
        <f>IFERROR(LOOKUP(2,1/((lentry!$A$3:$A$3999=apr!$A35)*(lentry!$B$3:$B$3999&lt;=apr!R$3)*(lentry!$C$3:$C$3999&gt;=apr!R$3)),lentry!$D$3:$D$3999),IF(WEEKDAY(apr!R$3,1)=1,"WO","P"))</f>
        <v>P</v>
      </c>
      <c r="S35" s="4" t="s">
        <v>350</v>
      </c>
      <c r="T35" s="4" t="str">
        <f>IFERROR(LOOKUP(2,1/((lentry!$A$3:$A$3999=apr!$A35)*(lentry!$B$3:$B$3999&lt;=apr!T$3)*(lentry!$C$3:$C$3999&gt;=apr!T$3)),lentry!$D$3:$D$3999),IF(WEEKDAY(apr!T$3,1)=1,"WO","P"))</f>
        <v>P</v>
      </c>
      <c r="U35" s="4" t="str">
        <f>IFERROR(LOOKUP(2,1/((lentry!$A$3:$A$3999=apr!$A35)*(lentry!$B$3:$B$3999&lt;=apr!U$3)*(lentry!$C$3:$C$3999&gt;=apr!U$3)),lentry!$D$3:$D$3999),IF(WEEKDAY(apr!U$3,1)=1,"WO","P"))</f>
        <v>P</v>
      </c>
      <c r="V35" s="4" t="str">
        <f>IFERROR(LOOKUP(2,1/((lentry!$A$3:$A$3999=apr!$A35)*(lentry!$B$3:$B$3999&lt;=apr!V$3)*(lentry!$C$3:$C$3999&gt;=apr!V$3)),lentry!$D$3:$D$3999),IF(WEEKDAY(apr!V$3,1)=1,"WO","P"))</f>
        <v>P</v>
      </c>
      <c r="W35" s="4" t="str">
        <f>IFERROR(LOOKUP(2,1/((lentry!$A$3:$A$3999=apr!$A35)*(lentry!$B$3:$B$3999&lt;=apr!W$3)*(lentry!$C$3:$C$3999&gt;=apr!W$3)),lentry!$D$3:$D$3999),IF(WEEKDAY(apr!W$3,1)=1,"WO","P"))</f>
        <v>P</v>
      </c>
      <c r="X35" s="4" t="str">
        <f>IFERROR(LOOKUP(2,1/((lentry!$A$3:$A$3999=apr!$A35)*(lentry!$B$3:$B$3999&lt;=apr!X$3)*(lentry!$C$3:$C$3999&gt;=apr!X$3)),lentry!$D$3:$D$3999),IF(WEEKDAY(apr!X$3,1)=1,"WO","P"))</f>
        <v>WO</v>
      </c>
      <c r="Y35" s="4" t="str">
        <f>IFERROR(LOOKUP(2,1/((lentry!$A$3:$A$3999=apr!$A35)*(lentry!$B$3:$B$3999&lt;=apr!Y$3)*(lentry!$C$3:$C$3999&gt;=apr!Y$3)),lentry!$D$3:$D$3999),IF(WEEKDAY(apr!Y$3,1)=1,"WO","P"))</f>
        <v>P</v>
      </c>
      <c r="Z35" s="4" t="s">
        <v>539</v>
      </c>
      <c r="AA35" s="4" t="str">
        <f>IFERROR(LOOKUP(2,1/((lentry!$A$3:$A$3999=apr!$A35)*(lentry!$B$3:$B$3999&lt;=apr!AA$3)*(lentry!$C$3:$C$3999&gt;=apr!AA$3)),lentry!$D$3:$D$3999),IF(WEEKDAY(apr!AA$3,1)=1,"WO","P"))</f>
        <v>P</v>
      </c>
      <c r="AB35" s="4" t="str">
        <f>IFERROR(LOOKUP(2,1/((lentry!$A$3:$A$3999=apr!$A35)*(lentry!$B$3:$B$3999&lt;=apr!AB$3)*(lentry!$C$3:$C$3999&gt;=apr!AB$3)),lentry!$D$3:$D$3999),IF(WEEKDAY(apr!AB$3,1)=1,"WO","P"))</f>
        <v>P</v>
      </c>
      <c r="AC35" s="4" t="str">
        <f>IFERROR(LOOKUP(2,1/((lentry!$A$3:$A$3999=apr!$A35)*(lentry!$B$3:$B$3999&lt;=apr!AC$3)*(lentry!$C$3:$C$3999&gt;=apr!AC$3)),lentry!$D$3:$D$3999),IF(WEEKDAY(apr!AC$3,1)=1,"WO","P"))</f>
        <v>P</v>
      </c>
      <c r="AD35" s="4" t="str">
        <f>IFERROR(LOOKUP(2,1/((lentry!$A$3:$A$3999=apr!$A35)*(lentry!$B$3:$B$3999&lt;=apr!AD$3)*(lentry!$C$3:$C$3999&gt;=apr!AD$3)),lentry!$D$3:$D$3999),IF(WEEKDAY(apr!AD$3,1)=1,"WO","P"))</f>
        <v>P</v>
      </c>
      <c r="AE35" s="4" t="str">
        <f>IFERROR(LOOKUP(2,1/((lentry!$A$3:$A$3999=apr!$A35)*(lentry!$B$3:$B$3999&lt;=apr!AE$3)*(lentry!$C$3:$C$3999&gt;=apr!AE$3)),lentry!$D$3:$D$3999),IF(WEEKDAY(apr!AE$3,1)=1,"WO","P"))</f>
        <v>WO</v>
      </c>
      <c r="AF35" s="4" t="str">
        <f>IFERROR(LOOKUP(2,1/((lentry!$A$3:$A$3999=apr!$A35)*(lentry!$B$3:$B$3999&lt;=apr!AF$3)*(lentry!$C$3:$C$3999&gt;=apr!AF$3)),lentry!$D$3:$D$3999),IF(WEEKDAY(apr!AF$3,1)=1,"WO","P"))</f>
        <v>P</v>
      </c>
      <c r="AG35" s="4" t="str">
        <f>IFERROR(LOOKUP(2,1/((lentry!$A$3:$A$3999=apr!$A35)*(lentry!$B$3:$B$3999&lt;=apr!AG$3)*(lentry!$C$3:$C$3999&gt;=apr!AG$3)),lentry!$D$3:$D$3999),IF(WEEKDAY(apr!AG$3,1)=1,"WO","P"))</f>
        <v>P</v>
      </c>
      <c r="AH35" s="4" t="str">
        <f>IFERROR(LOOKUP(2,1/((lentry!$A$3:$A$3999=apr!$A35)*(lentry!$B$3:$B$3999&lt;=apr!AH$3)*(lentry!$C$3:$C$3999&gt;=apr!AH$3)),lentry!$D$3:$D$3999),IF(WEEKDAY(apr!AH$3,1)=1,"WO","P"))</f>
        <v>P</v>
      </c>
      <c r="AI35" s="4" t="str">
        <f>IFERROR(LOOKUP(2,1/((lentry!$A$3:$A$3999=apr!$A35)*(lentry!$B$3:$B$3999&lt;=apr!AI$3)*(lentry!$C$3:$C$3999&gt;=apr!AI$3)),lentry!$D$3:$D$3999),IF(WEEKDAY(apr!AI$3,1)=1,"WO","P"))</f>
        <v>P</v>
      </c>
      <c r="AJ35" s="5">
        <f>COUNTIF(apr!$F35:$AI35,"WO")</f>
        <v>4</v>
      </c>
      <c r="AK35" s="5">
        <f>COUNTIF(jan!$F35:$AJ35,"H")</f>
        <v>1</v>
      </c>
      <c r="AL35" s="5">
        <f>COUNTIF(jan!$F35:$AJ35,"PL")</f>
        <v>0</v>
      </c>
      <c r="AM35" s="5">
        <f>COUNTIF(jan!$F35:$AJ35,"LWP")</f>
        <v>0</v>
      </c>
      <c r="AN35" s="5">
        <f>COUNTIF(jan!$F35:$AJ35,"HD")</f>
        <v>0</v>
      </c>
      <c r="AO35" s="5">
        <f>COUNTIF(jan!$F35:$AJ35,"SL")</f>
        <v>0</v>
      </c>
      <c r="AP35" s="5">
        <f>COUNTIF(jan!$F35:$AJ35,"CL")</f>
        <v>0</v>
      </c>
      <c r="AQ35" s="5">
        <f>COUNTIF(jan!$F35:$AJ35,"A")</f>
        <v>0</v>
      </c>
      <c r="AR35" s="5">
        <f>COUNTIF(jan!$F35:$AJ35,"P")</f>
        <v>26</v>
      </c>
      <c r="AS35" s="5">
        <f t="shared" si="2"/>
        <v>30</v>
      </c>
      <c r="AT35" s="5">
        <f t="shared" si="3"/>
        <v>31</v>
      </c>
      <c r="AU35" s="4">
        <f>SUMIFS(holly!$L$2:$L$122,holly!$I$2:$I$122,mar!$A35,holly!$K$2:$K$122,"Mar")</f>
        <v>0</v>
      </c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</row>
    <row r="36" spans="1:77" ht="18.75" x14ac:dyDescent="0.3">
      <c r="A36" s="3" t="s">
        <v>61</v>
      </c>
      <c r="B36" s="3" t="str">
        <f>VLOOKUP($A36,Master!$A$2:$K$52,2,0)</f>
        <v>Employee32</v>
      </c>
      <c r="C36" s="3" t="str">
        <f>VLOOKUP($A36,Master!$A$2:$K$52,3,0)</f>
        <v>Male</v>
      </c>
      <c r="D36" s="3" t="str">
        <f>VLOOKUP($A36,Master!$A$2:$K$52,5,0)</f>
        <v>Production</v>
      </c>
      <c r="E36" s="3" t="str">
        <f>VLOOKUP($A36,Master!$A$2:$K$52,6,0)</f>
        <v>Supervisor</v>
      </c>
      <c r="F36" s="4" t="str">
        <f>IFERROR(LOOKUP(2,1/((lentry!$A$3:$A$3999=apr!$A36)*(lentry!$B$3:$B$3999&lt;=apr!F$3)*(lentry!$C$3:$C$3999&gt;=apr!F$3)),lentry!$D$3:$D$3999),IF(WEEKDAY(apr!F$3,1)=1,"WO","P"))</f>
        <v>P</v>
      </c>
      <c r="G36" s="4" t="str">
        <f>IFERROR(LOOKUP(2,1/((lentry!$A$3:$A$3999=apr!$A36)*(lentry!$B$3:$B$3999&lt;=apr!G$3)*(lentry!$C$3:$C$3999&gt;=apr!G$3)),lentry!$D$3:$D$3999),IF(WEEKDAY(apr!G$3,1)=1,"WO","P"))</f>
        <v>P</v>
      </c>
      <c r="H36" s="4" t="s">
        <v>350</v>
      </c>
      <c r="I36" s="4" t="str">
        <f>IFERROR(LOOKUP(2,1/((lentry!$A$3:$A$3999=apr!$A36)*(lentry!$B$3:$B$3999&lt;=apr!I$3)*(lentry!$C$3:$C$3999&gt;=apr!I$3)),lentry!$D$3:$D$3999),IF(WEEKDAY(apr!I$3,1)=1,"WO","P"))</f>
        <v>P</v>
      </c>
      <c r="J36" s="4" t="str">
        <f>IFERROR(LOOKUP(2,1/((lentry!$A$3:$A$3999=apr!$A36)*(lentry!$B$3:$B$3999&lt;=apr!J$3)*(lentry!$C$3:$C$3999&gt;=apr!J$3)),lentry!$D$3:$D$3999),IF(WEEKDAY(apr!J$3,1)=1,"WO","P"))</f>
        <v>WO</v>
      </c>
      <c r="K36" s="4" t="str">
        <f>IFERROR(LOOKUP(2,1/((lentry!$A$3:$A$3999=apr!$A36)*(lentry!$B$3:$B$3999&lt;=apr!K$3)*(lentry!$C$3:$C$3999&gt;=apr!K$3)),lentry!$D$3:$D$3999),IF(WEEKDAY(apr!K$3,1)=1,"WO","P"))</f>
        <v>P</v>
      </c>
      <c r="L36" s="4" t="str">
        <f>IFERROR(LOOKUP(2,1/((lentry!$A$3:$A$3999=apr!$A36)*(lentry!$B$3:$B$3999&lt;=apr!L$3)*(lentry!$C$3:$C$3999&gt;=apr!L$3)),lentry!$D$3:$D$3999),IF(WEEKDAY(apr!L$3,1)=1,"WO","P"))</f>
        <v>P</v>
      </c>
      <c r="M36" s="4" t="str">
        <f>IFERROR(LOOKUP(2,1/((lentry!$A$3:$A$3999=apr!$A36)*(lentry!$B$3:$B$3999&lt;=apr!M$3)*(lentry!$C$3:$C$3999&gt;=apr!M$3)),lentry!$D$3:$D$3999),IF(WEEKDAY(apr!M$3,1)=1,"WO","P"))</f>
        <v>P</v>
      </c>
      <c r="N36" s="4" t="str">
        <f>IFERROR(LOOKUP(2,1/((lentry!$A$3:$A$3999=apr!$A36)*(lentry!$B$3:$B$3999&lt;=apr!N$3)*(lentry!$C$3:$C$3999&gt;=apr!N$3)),lentry!$D$3:$D$3999),IF(WEEKDAY(apr!N$3,1)=1,"WO","P"))</f>
        <v>P</v>
      </c>
      <c r="O36" s="4" t="str">
        <f>IFERROR(LOOKUP(2,1/((lentry!$A$3:$A$3999=apr!$A36)*(lentry!$B$3:$B$3999&lt;=apr!O$3)*(lentry!$C$3:$C$3999&gt;=apr!O$3)),lentry!$D$3:$D$3999),IF(WEEKDAY(apr!O$3,1)=1,"WO","P"))</f>
        <v>P</v>
      </c>
      <c r="P36" s="4" t="str">
        <f>IFERROR(LOOKUP(2,1/((lentry!$A$3:$A$3999=apr!$A36)*(lentry!$B$3:$B$3999&lt;=apr!P$3)*(lentry!$C$3:$C$3999&gt;=apr!P$3)),lentry!$D$3:$D$3999),IF(WEEKDAY(apr!P$3,1)=1,"WO","P"))</f>
        <v>P</v>
      </c>
      <c r="Q36" s="4" t="str">
        <f>IFERROR(LOOKUP(2,1/((lentry!$A$3:$A$3999=apr!$A36)*(lentry!$B$3:$B$3999&lt;=apr!Q$3)*(lentry!$C$3:$C$3999&gt;=apr!Q$3)),lentry!$D$3:$D$3999),IF(WEEKDAY(apr!Q$3,1)=1,"WO","P"))</f>
        <v>WO</v>
      </c>
      <c r="R36" s="4" t="str">
        <f>IFERROR(LOOKUP(2,1/((lentry!$A$3:$A$3999=apr!$A36)*(lentry!$B$3:$B$3999&lt;=apr!R$3)*(lentry!$C$3:$C$3999&gt;=apr!R$3)),lentry!$D$3:$D$3999),IF(WEEKDAY(apr!R$3,1)=1,"WO","P"))</f>
        <v>P</v>
      </c>
      <c r="S36" s="4" t="s">
        <v>350</v>
      </c>
      <c r="T36" s="4" t="str">
        <f>IFERROR(LOOKUP(2,1/((lentry!$A$3:$A$3999=apr!$A36)*(lentry!$B$3:$B$3999&lt;=apr!T$3)*(lentry!$C$3:$C$3999&gt;=apr!T$3)),lentry!$D$3:$D$3999),IF(WEEKDAY(apr!T$3,1)=1,"WO","P"))</f>
        <v>P</v>
      </c>
      <c r="U36" s="4" t="str">
        <f>IFERROR(LOOKUP(2,1/((lentry!$A$3:$A$3999=apr!$A36)*(lentry!$B$3:$B$3999&lt;=apr!U$3)*(lentry!$C$3:$C$3999&gt;=apr!U$3)),lentry!$D$3:$D$3999),IF(WEEKDAY(apr!U$3,1)=1,"WO","P"))</f>
        <v>P</v>
      </c>
      <c r="V36" s="4" t="str">
        <f>IFERROR(LOOKUP(2,1/((lentry!$A$3:$A$3999=apr!$A36)*(lentry!$B$3:$B$3999&lt;=apr!V$3)*(lentry!$C$3:$C$3999&gt;=apr!V$3)),lentry!$D$3:$D$3999),IF(WEEKDAY(apr!V$3,1)=1,"WO","P"))</f>
        <v>P</v>
      </c>
      <c r="W36" s="4" t="str">
        <f>IFERROR(LOOKUP(2,1/((lentry!$A$3:$A$3999=apr!$A36)*(lentry!$B$3:$B$3999&lt;=apr!W$3)*(lentry!$C$3:$C$3999&gt;=apr!W$3)),lentry!$D$3:$D$3999),IF(WEEKDAY(apr!W$3,1)=1,"WO","P"))</f>
        <v>P</v>
      </c>
      <c r="X36" s="4" t="str">
        <f>IFERROR(LOOKUP(2,1/((lentry!$A$3:$A$3999=apr!$A36)*(lentry!$B$3:$B$3999&lt;=apr!X$3)*(lentry!$C$3:$C$3999&gt;=apr!X$3)),lentry!$D$3:$D$3999),IF(WEEKDAY(apr!X$3,1)=1,"WO","P"))</f>
        <v>WO</v>
      </c>
      <c r="Y36" s="4" t="str">
        <f>IFERROR(LOOKUP(2,1/((lentry!$A$3:$A$3999=apr!$A36)*(lentry!$B$3:$B$3999&lt;=apr!Y$3)*(lentry!$C$3:$C$3999&gt;=apr!Y$3)),lentry!$D$3:$D$3999),IF(WEEKDAY(apr!Y$3,1)=1,"WO","P"))</f>
        <v>P</v>
      </c>
      <c r="Z36" s="4" t="str">
        <f>IFERROR(LOOKUP(2,1/((lentry!$A$3:$A$3999=apr!$A36)*(lentry!$B$3:$B$3999&lt;=apr!Z$3)*(lentry!$C$3:$C$3999&gt;=apr!Z$3)),lentry!$D$3:$D$3999),IF(WEEKDAY(apr!Z$3,1)=1,"WO","P"))</f>
        <v>P</v>
      </c>
      <c r="AA36" s="4" t="str">
        <f>IFERROR(LOOKUP(2,1/((lentry!$A$3:$A$3999=apr!$A36)*(lentry!$B$3:$B$3999&lt;=apr!AA$3)*(lentry!$C$3:$C$3999&gt;=apr!AA$3)),lentry!$D$3:$D$3999),IF(WEEKDAY(apr!AA$3,1)=1,"WO","P"))</f>
        <v>P</v>
      </c>
      <c r="AB36" s="4" t="str">
        <f>IFERROR(LOOKUP(2,1/((lentry!$A$3:$A$3999=apr!$A36)*(lentry!$B$3:$B$3999&lt;=apr!AB$3)*(lentry!$C$3:$C$3999&gt;=apr!AB$3)),lentry!$D$3:$D$3999),IF(WEEKDAY(apr!AB$3,1)=1,"WO","P"))</f>
        <v>P</v>
      </c>
      <c r="AC36" s="4" t="str">
        <f>IFERROR(LOOKUP(2,1/((lentry!$A$3:$A$3999=apr!$A36)*(lentry!$B$3:$B$3999&lt;=apr!AC$3)*(lentry!$C$3:$C$3999&gt;=apr!AC$3)),lentry!$D$3:$D$3999),IF(WEEKDAY(apr!AC$3,1)=1,"WO","P"))</f>
        <v>P</v>
      </c>
      <c r="AD36" s="4" t="str">
        <f>IFERROR(LOOKUP(2,1/((lentry!$A$3:$A$3999=apr!$A36)*(lentry!$B$3:$B$3999&lt;=apr!AD$3)*(lentry!$C$3:$C$3999&gt;=apr!AD$3)),lentry!$D$3:$D$3999),IF(WEEKDAY(apr!AD$3,1)=1,"WO","P"))</f>
        <v>P</v>
      </c>
      <c r="AE36" s="4" t="str">
        <f>IFERROR(LOOKUP(2,1/((lentry!$A$3:$A$3999=apr!$A36)*(lentry!$B$3:$B$3999&lt;=apr!AE$3)*(lentry!$C$3:$C$3999&gt;=apr!AE$3)),lentry!$D$3:$D$3999),IF(WEEKDAY(apr!AE$3,1)=1,"WO","P"))</f>
        <v>WO</v>
      </c>
      <c r="AF36" s="4" t="str">
        <f>IFERROR(LOOKUP(2,1/((lentry!$A$3:$A$3999=apr!$A36)*(lentry!$B$3:$B$3999&lt;=apr!AF$3)*(lentry!$C$3:$C$3999&gt;=apr!AF$3)),lentry!$D$3:$D$3999),IF(WEEKDAY(apr!AF$3,1)=1,"WO","P"))</f>
        <v>P</v>
      </c>
      <c r="AG36" s="4" t="str">
        <f>IFERROR(LOOKUP(2,1/((lentry!$A$3:$A$3999=apr!$A36)*(lentry!$B$3:$B$3999&lt;=apr!AG$3)*(lentry!$C$3:$C$3999&gt;=apr!AG$3)),lentry!$D$3:$D$3999),IF(WEEKDAY(apr!AG$3,1)=1,"WO","P"))</f>
        <v>P</v>
      </c>
      <c r="AH36" s="4" t="str">
        <f>IFERROR(LOOKUP(2,1/((lentry!$A$3:$A$3999=apr!$A36)*(lentry!$B$3:$B$3999&lt;=apr!AH$3)*(lentry!$C$3:$C$3999&gt;=apr!AH$3)),lentry!$D$3:$D$3999),IF(WEEKDAY(apr!AH$3,1)=1,"WO","P"))</f>
        <v>P</v>
      </c>
      <c r="AI36" s="4" t="str">
        <f>IFERROR(LOOKUP(2,1/((lentry!$A$3:$A$3999=apr!$A36)*(lentry!$B$3:$B$3999&lt;=apr!AI$3)*(lentry!$C$3:$C$3999&gt;=apr!AI$3)),lentry!$D$3:$D$3999),IF(WEEKDAY(apr!AI$3,1)=1,"WO","P"))</f>
        <v>P</v>
      </c>
      <c r="AJ36" s="5">
        <f>COUNTIF(apr!$F36:$AI36,"WO")</f>
        <v>4</v>
      </c>
      <c r="AK36" s="5">
        <f>COUNTIF(jan!$F36:$AJ36,"H")</f>
        <v>1</v>
      </c>
      <c r="AL36" s="5">
        <f>COUNTIF(jan!$F36:$AJ36,"PL")</f>
        <v>0</v>
      </c>
      <c r="AM36" s="5">
        <f>COUNTIF(jan!$F36:$AJ36,"LWP")</f>
        <v>0</v>
      </c>
      <c r="AN36" s="5">
        <f>COUNTIF(jan!$F36:$AJ36,"HD")</f>
        <v>0</v>
      </c>
      <c r="AO36" s="5">
        <f>COUNTIF(jan!$F36:$AJ36,"SL")</f>
        <v>0</v>
      </c>
      <c r="AP36" s="5">
        <f>COUNTIF(jan!$F36:$AJ36,"CL")</f>
        <v>0</v>
      </c>
      <c r="AQ36" s="5">
        <f>COUNTIF(jan!$F36:$AJ36,"A")</f>
        <v>0</v>
      </c>
      <c r="AR36" s="5">
        <f>COUNTIF(jan!$F36:$AJ36,"P")</f>
        <v>26</v>
      </c>
      <c r="AS36" s="5">
        <f t="shared" si="2"/>
        <v>30</v>
      </c>
      <c r="AT36" s="5">
        <f t="shared" si="3"/>
        <v>31</v>
      </c>
      <c r="AU36" s="4">
        <f>SUMIFS(holly!$L$2:$L$122,holly!$I$2:$I$122,mar!$A36,holly!$K$2:$K$122,"Mar")</f>
        <v>0</v>
      </c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</row>
    <row r="37" spans="1:77" ht="18.75" x14ac:dyDescent="0.3">
      <c r="A37" s="3" t="s">
        <v>62</v>
      </c>
      <c r="B37" s="3" t="str">
        <f>VLOOKUP($A37,Master!$A$2:$K$52,2,0)</f>
        <v>Employee33</v>
      </c>
      <c r="C37" s="3" t="str">
        <f>VLOOKUP($A37,Master!$A$2:$K$52,3,0)</f>
        <v>Male</v>
      </c>
      <c r="D37" s="3" t="str">
        <f>VLOOKUP($A37,Master!$A$2:$K$52,5,0)</f>
        <v>Maintenance</v>
      </c>
      <c r="E37" s="3" t="str">
        <f>VLOOKUP($A37,Master!$A$2:$K$52,6,0)</f>
        <v>Technician</v>
      </c>
      <c r="F37" s="4" t="str">
        <f>IFERROR(LOOKUP(2,1/((lentry!$A$3:$A$3999=apr!$A37)*(lentry!$B$3:$B$3999&lt;=apr!F$3)*(lentry!$C$3:$C$3999&gt;=apr!F$3)),lentry!$D$3:$D$3999),IF(WEEKDAY(apr!F$3,1)=1,"WO","P"))</f>
        <v>P</v>
      </c>
      <c r="G37" s="4" t="str">
        <f>IFERROR(LOOKUP(2,1/((lentry!$A$3:$A$3999=apr!$A37)*(lentry!$B$3:$B$3999&lt;=apr!G$3)*(lentry!$C$3:$C$3999&gt;=apr!G$3)),lentry!$D$3:$D$3999),IF(WEEKDAY(apr!G$3,1)=1,"WO","P"))</f>
        <v>P</v>
      </c>
      <c r="H37" s="4" t="s">
        <v>350</v>
      </c>
      <c r="I37" s="4" t="str">
        <f>IFERROR(LOOKUP(2,1/((lentry!$A$3:$A$3999=apr!$A37)*(lentry!$B$3:$B$3999&lt;=apr!I$3)*(lentry!$C$3:$C$3999&gt;=apr!I$3)),lentry!$D$3:$D$3999),IF(WEEKDAY(apr!I$3,1)=1,"WO","P"))</f>
        <v>P</v>
      </c>
      <c r="J37" s="4" t="str">
        <f>IFERROR(LOOKUP(2,1/((lentry!$A$3:$A$3999=apr!$A37)*(lentry!$B$3:$B$3999&lt;=apr!J$3)*(lentry!$C$3:$C$3999&gt;=apr!J$3)),lentry!$D$3:$D$3999),IF(WEEKDAY(apr!J$3,1)=1,"WO","P"))</f>
        <v>WO</v>
      </c>
      <c r="K37" s="4" t="str">
        <f>IFERROR(LOOKUP(2,1/((lentry!$A$3:$A$3999=apr!$A37)*(lentry!$B$3:$B$3999&lt;=apr!K$3)*(lentry!$C$3:$C$3999&gt;=apr!K$3)),lentry!$D$3:$D$3999),IF(WEEKDAY(apr!K$3,1)=1,"WO","P"))</f>
        <v>P</v>
      </c>
      <c r="L37" s="4" t="str">
        <f>IFERROR(LOOKUP(2,1/((lentry!$A$3:$A$3999=apr!$A37)*(lentry!$B$3:$B$3999&lt;=apr!L$3)*(lentry!$C$3:$C$3999&gt;=apr!L$3)),lentry!$D$3:$D$3999),IF(WEEKDAY(apr!L$3,1)=1,"WO","P"))</f>
        <v>P</v>
      </c>
      <c r="M37" s="4" t="str">
        <f>IFERROR(LOOKUP(2,1/((lentry!$A$3:$A$3999=apr!$A37)*(lentry!$B$3:$B$3999&lt;=apr!M$3)*(lentry!$C$3:$C$3999&gt;=apr!M$3)),lentry!$D$3:$D$3999),IF(WEEKDAY(apr!M$3,1)=1,"WO","P"))</f>
        <v>P</v>
      </c>
      <c r="N37" s="4" t="s">
        <v>539</v>
      </c>
      <c r="O37" s="4" t="str">
        <f>IFERROR(LOOKUP(2,1/((lentry!$A$3:$A$3999=apr!$A37)*(lentry!$B$3:$B$3999&lt;=apr!O$3)*(lentry!$C$3:$C$3999&gt;=apr!O$3)),lentry!$D$3:$D$3999),IF(WEEKDAY(apr!O$3,1)=1,"WO","P"))</f>
        <v>P</v>
      </c>
      <c r="P37" s="4" t="str">
        <f>IFERROR(LOOKUP(2,1/((lentry!$A$3:$A$3999=apr!$A37)*(lentry!$B$3:$B$3999&lt;=apr!P$3)*(lentry!$C$3:$C$3999&gt;=apr!P$3)),lentry!$D$3:$D$3999),IF(WEEKDAY(apr!P$3,1)=1,"WO","P"))</f>
        <v>P</v>
      </c>
      <c r="Q37" s="4" t="str">
        <f>IFERROR(LOOKUP(2,1/((lentry!$A$3:$A$3999=apr!$A37)*(lentry!$B$3:$B$3999&lt;=apr!Q$3)*(lentry!$C$3:$C$3999&gt;=apr!Q$3)),lentry!$D$3:$D$3999),IF(WEEKDAY(apr!Q$3,1)=1,"WO","P"))</f>
        <v>WO</v>
      </c>
      <c r="R37" s="4" t="str">
        <f>IFERROR(LOOKUP(2,1/((lentry!$A$3:$A$3999=apr!$A37)*(lentry!$B$3:$B$3999&lt;=apr!R$3)*(lentry!$C$3:$C$3999&gt;=apr!R$3)),lentry!$D$3:$D$3999),IF(WEEKDAY(apr!R$3,1)=1,"WO","P"))</f>
        <v>P</v>
      </c>
      <c r="S37" s="4" t="s">
        <v>350</v>
      </c>
      <c r="T37" s="4" t="str">
        <f>IFERROR(LOOKUP(2,1/((lentry!$A$3:$A$3999=apr!$A37)*(lentry!$B$3:$B$3999&lt;=apr!T$3)*(lentry!$C$3:$C$3999&gt;=apr!T$3)),lentry!$D$3:$D$3999),IF(WEEKDAY(apr!T$3,1)=1,"WO","P"))</f>
        <v>P</v>
      </c>
      <c r="U37" s="4" t="str">
        <f>IFERROR(LOOKUP(2,1/((lentry!$A$3:$A$3999=apr!$A37)*(lentry!$B$3:$B$3999&lt;=apr!U$3)*(lentry!$C$3:$C$3999&gt;=apr!U$3)),lentry!$D$3:$D$3999),IF(WEEKDAY(apr!U$3,1)=1,"WO","P"))</f>
        <v>P</v>
      </c>
      <c r="V37" s="4" t="str">
        <f>IFERROR(LOOKUP(2,1/((lentry!$A$3:$A$3999=apr!$A37)*(lentry!$B$3:$B$3999&lt;=apr!V$3)*(lentry!$C$3:$C$3999&gt;=apr!V$3)),lentry!$D$3:$D$3999),IF(WEEKDAY(apr!V$3,1)=1,"WO","P"))</f>
        <v>P</v>
      </c>
      <c r="W37" s="4" t="str">
        <f>IFERROR(LOOKUP(2,1/((lentry!$A$3:$A$3999=apr!$A37)*(lentry!$B$3:$B$3999&lt;=apr!W$3)*(lentry!$C$3:$C$3999&gt;=apr!W$3)),lentry!$D$3:$D$3999),IF(WEEKDAY(apr!W$3,1)=1,"WO","P"))</f>
        <v>P</v>
      </c>
      <c r="X37" s="4" t="str">
        <f>IFERROR(LOOKUP(2,1/((lentry!$A$3:$A$3999=apr!$A37)*(lentry!$B$3:$B$3999&lt;=apr!X$3)*(lentry!$C$3:$C$3999&gt;=apr!X$3)),lentry!$D$3:$D$3999),IF(WEEKDAY(apr!X$3,1)=1,"WO","P"))</f>
        <v>WO</v>
      </c>
      <c r="Y37" s="4" t="str">
        <f>IFERROR(LOOKUP(2,1/((lentry!$A$3:$A$3999=apr!$A37)*(lentry!$B$3:$B$3999&lt;=apr!Y$3)*(lentry!$C$3:$C$3999&gt;=apr!Y$3)),lentry!$D$3:$D$3999),IF(WEEKDAY(apr!Y$3,1)=1,"WO","P"))</f>
        <v>P</v>
      </c>
      <c r="Z37" s="4" t="str">
        <f>IFERROR(LOOKUP(2,1/((lentry!$A$3:$A$3999=apr!$A37)*(lentry!$B$3:$B$3999&lt;=apr!Z$3)*(lentry!$C$3:$C$3999&gt;=apr!Z$3)),lentry!$D$3:$D$3999),IF(WEEKDAY(apr!Z$3,1)=1,"WO","P"))</f>
        <v>P</v>
      </c>
      <c r="AA37" s="4" t="str">
        <f>IFERROR(LOOKUP(2,1/((lentry!$A$3:$A$3999=apr!$A37)*(lentry!$B$3:$B$3999&lt;=apr!AA$3)*(lentry!$C$3:$C$3999&gt;=apr!AA$3)),lentry!$D$3:$D$3999),IF(WEEKDAY(apr!AA$3,1)=1,"WO","P"))</f>
        <v>P</v>
      </c>
      <c r="AB37" s="4" t="str">
        <f>IFERROR(LOOKUP(2,1/((lentry!$A$3:$A$3999=apr!$A37)*(lentry!$B$3:$B$3999&lt;=apr!AB$3)*(lentry!$C$3:$C$3999&gt;=apr!AB$3)),lentry!$D$3:$D$3999),IF(WEEKDAY(apr!AB$3,1)=1,"WO","P"))</f>
        <v>P</v>
      </c>
      <c r="AC37" s="4" t="str">
        <f>IFERROR(LOOKUP(2,1/((lentry!$A$3:$A$3999=apr!$A37)*(lentry!$B$3:$B$3999&lt;=apr!AC$3)*(lentry!$C$3:$C$3999&gt;=apr!AC$3)),lentry!$D$3:$D$3999),IF(WEEKDAY(apr!AC$3,1)=1,"WO","P"))</f>
        <v>P</v>
      </c>
      <c r="AD37" s="4" t="str">
        <f>IFERROR(LOOKUP(2,1/((lentry!$A$3:$A$3999=apr!$A37)*(lentry!$B$3:$B$3999&lt;=apr!AD$3)*(lentry!$C$3:$C$3999&gt;=apr!AD$3)),lentry!$D$3:$D$3999),IF(WEEKDAY(apr!AD$3,1)=1,"WO","P"))</f>
        <v>P</v>
      </c>
      <c r="AE37" s="4" t="str">
        <f>IFERROR(LOOKUP(2,1/((lentry!$A$3:$A$3999=apr!$A37)*(lentry!$B$3:$B$3999&lt;=apr!AE$3)*(lentry!$C$3:$C$3999&gt;=apr!AE$3)),lentry!$D$3:$D$3999),IF(WEEKDAY(apr!AE$3,1)=1,"WO","P"))</f>
        <v>WO</v>
      </c>
      <c r="AF37" s="4" t="str">
        <f>IFERROR(LOOKUP(2,1/((lentry!$A$3:$A$3999=apr!$A37)*(lentry!$B$3:$B$3999&lt;=apr!AF$3)*(lentry!$C$3:$C$3999&gt;=apr!AF$3)),lentry!$D$3:$D$3999),IF(WEEKDAY(apr!AF$3,1)=1,"WO","P"))</f>
        <v>P</v>
      </c>
      <c r="AG37" s="4" t="str">
        <f>IFERROR(LOOKUP(2,1/((lentry!$A$3:$A$3999=apr!$A37)*(lentry!$B$3:$B$3999&lt;=apr!AG$3)*(lentry!$C$3:$C$3999&gt;=apr!AG$3)),lentry!$D$3:$D$3999),IF(WEEKDAY(apr!AG$3,1)=1,"WO","P"))</f>
        <v>P</v>
      </c>
      <c r="AH37" s="4" t="str">
        <f>IFERROR(LOOKUP(2,1/((lentry!$A$3:$A$3999=apr!$A37)*(lentry!$B$3:$B$3999&lt;=apr!AH$3)*(lentry!$C$3:$C$3999&gt;=apr!AH$3)),lentry!$D$3:$D$3999),IF(WEEKDAY(apr!AH$3,1)=1,"WO","P"))</f>
        <v>P</v>
      </c>
      <c r="AI37" s="4" t="str">
        <f>IFERROR(LOOKUP(2,1/((lentry!$A$3:$A$3999=apr!$A37)*(lentry!$B$3:$B$3999&lt;=apr!AI$3)*(lentry!$C$3:$C$3999&gt;=apr!AI$3)),lentry!$D$3:$D$3999),IF(WEEKDAY(apr!AI$3,1)=1,"WO","P"))</f>
        <v>P</v>
      </c>
      <c r="AJ37" s="5">
        <f>COUNTIF(apr!$F37:$AI37,"WO")</f>
        <v>4</v>
      </c>
      <c r="AK37" s="5">
        <f>COUNTIF(jan!$F37:$AJ37,"H")</f>
        <v>1</v>
      </c>
      <c r="AL37" s="5">
        <f>COUNTIF(jan!$F37:$AJ37,"PL")</f>
        <v>0</v>
      </c>
      <c r="AM37" s="5">
        <f>COUNTIF(jan!$F37:$AJ37,"LWP")</f>
        <v>0</v>
      </c>
      <c r="AN37" s="5">
        <f>COUNTIF(jan!$F37:$AJ37,"HD")</f>
        <v>0</v>
      </c>
      <c r="AO37" s="5">
        <f>COUNTIF(jan!$F37:$AJ37,"SL")</f>
        <v>0</v>
      </c>
      <c r="AP37" s="5">
        <f>COUNTIF(jan!$F37:$AJ37,"CL")</f>
        <v>0</v>
      </c>
      <c r="AQ37" s="5">
        <f>COUNTIF(jan!$F37:$AJ37,"A")</f>
        <v>2</v>
      </c>
      <c r="AR37" s="5">
        <f>COUNTIF(jan!$F37:$AJ37,"P")</f>
        <v>24</v>
      </c>
      <c r="AS37" s="5">
        <f t="shared" ref="AS37:AS54" si="4">COUNTA($F37:$AI37)</f>
        <v>30</v>
      </c>
      <c r="AT37" s="5">
        <f t="shared" si="3"/>
        <v>29</v>
      </c>
      <c r="AU37" s="4">
        <f>SUMIFS(holly!$L$2:$L$122,holly!$I$2:$I$122,mar!$A37,holly!$K$2:$K$122,"Mar")</f>
        <v>1</v>
      </c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</row>
    <row r="38" spans="1:77" ht="18.75" x14ac:dyDescent="0.3">
      <c r="A38" s="3" t="s">
        <v>63</v>
      </c>
      <c r="B38" s="3" t="str">
        <f>VLOOKUP($A38,Master!$A$2:$K$52,2,0)</f>
        <v>Employee34</v>
      </c>
      <c r="C38" s="3" t="str">
        <f>VLOOKUP($A38,Master!$A$2:$K$52,3,0)</f>
        <v>Male</v>
      </c>
      <c r="D38" s="3" t="str">
        <f>VLOOKUP($A38,Master!$A$2:$K$52,5,0)</f>
        <v>Production</v>
      </c>
      <c r="E38" s="3" t="str">
        <f>VLOOKUP($A38,Master!$A$2:$K$52,6,0)</f>
        <v>Senior Operator</v>
      </c>
      <c r="F38" s="4" t="str">
        <f>IFERROR(LOOKUP(2,1/((lentry!$A$3:$A$3999=apr!$A38)*(lentry!$B$3:$B$3999&lt;=apr!F$3)*(lentry!$C$3:$C$3999&gt;=apr!F$3)),lentry!$D$3:$D$3999),IF(WEEKDAY(apr!F$3,1)=1,"WO","P"))</f>
        <v>P</v>
      </c>
      <c r="G38" s="4" t="str">
        <f>IFERROR(LOOKUP(2,1/((lentry!$A$3:$A$3999=apr!$A38)*(lentry!$B$3:$B$3999&lt;=apr!G$3)*(lentry!$C$3:$C$3999&gt;=apr!G$3)),lentry!$D$3:$D$3999),IF(WEEKDAY(apr!G$3,1)=1,"WO","P"))</f>
        <v>P</v>
      </c>
      <c r="H38" s="4" t="s">
        <v>350</v>
      </c>
      <c r="I38" s="4" t="str">
        <f>IFERROR(LOOKUP(2,1/((lentry!$A$3:$A$3999=apr!$A38)*(lentry!$B$3:$B$3999&lt;=apr!I$3)*(lentry!$C$3:$C$3999&gt;=apr!I$3)),lentry!$D$3:$D$3999),IF(WEEKDAY(apr!I$3,1)=1,"WO","P"))</f>
        <v>P</v>
      </c>
      <c r="J38" s="4" t="str">
        <f>IFERROR(LOOKUP(2,1/((lentry!$A$3:$A$3999=apr!$A38)*(lentry!$B$3:$B$3999&lt;=apr!J$3)*(lentry!$C$3:$C$3999&gt;=apr!J$3)),lentry!$D$3:$D$3999),IF(WEEKDAY(apr!J$3,1)=1,"WO","P"))</f>
        <v>WO</v>
      </c>
      <c r="K38" s="4" t="str">
        <f>IFERROR(LOOKUP(2,1/((lentry!$A$3:$A$3999=apr!$A38)*(lentry!$B$3:$B$3999&lt;=apr!K$3)*(lentry!$C$3:$C$3999&gt;=apr!K$3)),lentry!$D$3:$D$3999),IF(WEEKDAY(apr!K$3,1)=1,"WO","P"))</f>
        <v>P</v>
      </c>
      <c r="L38" s="4" t="str">
        <f>IFERROR(LOOKUP(2,1/((lentry!$A$3:$A$3999=apr!$A38)*(lentry!$B$3:$B$3999&lt;=apr!L$3)*(lentry!$C$3:$C$3999&gt;=apr!L$3)),lentry!$D$3:$D$3999),IF(WEEKDAY(apr!L$3,1)=1,"WO","P"))</f>
        <v>P</v>
      </c>
      <c r="M38" s="4" t="str">
        <f>IFERROR(LOOKUP(2,1/((lentry!$A$3:$A$3999=apr!$A38)*(lentry!$B$3:$B$3999&lt;=apr!M$3)*(lentry!$C$3:$C$3999&gt;=apr!M$3)),lentry!$D$3:$D$3999),IF(WEEKDAY(apr!M$3,1)=1,"WO","P"))</f>
        <v>P</v>
      </c>
      <c r="N38" s="4" t="str">
        <f>IFERROR(LOOKUP(2,1/((lentry!$A$3:$A$3999=apr!$A38)*(lentry!$B$3:$B$3999&lt;=apr!N$3)*(lentry!$C$3:$C$3999&gt;=apr!N$3)),lentry!$D$3:$D$3999),IF(WEEKDAY(apr!N$3,1)=1,"WO","P"))</f>
        <v>P</v>
      </c>
      <c r="O38" s="4" t="str">
        <f>IFERROR(LOOKUP(2,1/((lentry!$A$3:$A$3999=apr!$A38)*(lentry!$B$3:$B$3999&lt;=apr!O$3)*(lentry!$C$3:$C$3999&gt;=apr!O$3)),lentry!$D$3:$D$3999),IF(WEEKDAY(apr!O$3,1)=1,"WO","P"))</f>
        <v>P</v>
      </c>
      <c r="P38" s="4" t="str">
        <f>IFERROR(LOOKUP(2,1/((lentry!$A$3:$A$3999=apr!$A38)*(lentry!$B$3:$B$3999&lt;=apr!P$3)*(lentry!$C$3:$C$3999&gt;=apr!P$3)),lentry!$D$3:$D$3999),IF(WEEKDAY(apr!P$3,1)=1,"WO","P"))</f>
        <v>P</v>
      </c>
      <c r="Q38" s="4" t="str">
        <f>IFERROR(LOOKUP(2,1/((lentry!$A$3:$A$3999=apr!$A38)*(lentry!$B$3:$B$3999&lt;=apr!Q$3)*(lentry!$C$3:$C$3999&gt;=apr!Q$3)),lentry!$D$3:$D$3999),IF(WEEKDAY(apr!Q$3,1)=1,"WO","P"))</f>
        <v>WO</v>
      </c>
      <c r="R38" s="4" t="str">
        <f>IFERROR(LOOKUP(2,1/((lentry!$A$3:$A$3999=apr!$A38)*(lentry!$B$3:$B$3999&lt;=apr!R$3)*(lentry!$C$3:$C$3999&gt;=apr!R$3)),lentry!$D$3:$D$3999),IF(WEEKDAY(apr!R$3,1)=1,"WO","P"))</f>
        <v>P</v>
      </c>
      <c r="S38" s="4" t="s">
        <v>350</v>
      </c>
      <c r="T38" s="4" t="str">
        <f>IFERROR(LOOKUP(2,1/((lentry!$A$3:$A$3999=apr!$A38)*(lentry!$B$3:$B$3999&lt;=apr!T$3)*(lentry!$C$3:$C$3999&gt;=apr!T$3)),lentry!$D$3:$D$3999),IF(WEEKDAY(apr!T$3,1)=1,"WO","P"))</f>
        <v>P</v>
      </c>
      <c r="U38" s="4" t="str">
        <f>IFERROR(LOOKUP(2,1/((lentry!$A$3:$A$3999=apr!$A38)*(lentry!$B$3:$B$3999&lt;=apr!U$3)*(lentry!$C$3:$C$3999&gt;=apr!U$3)),lentry!$D$3:$D$3999),IF(WEEKDAY(apr!U$3,1)=1,"WO","P"))</f>
        <v>P</v>
      </c>
      <c r="V38" s="4" t="str">
        <f>IFERROR(LOOKUP(2,1/((lentry!$A$3:$A$3999=apr!$A38)*(lentry!$B$3:$B$3999&lt;=apr!V$3)*(lentry!$C$3:$C$3999&gt;=apr!V$3)),lentry!$D$3:$D$3999),IF(WEEKDAY(apr!V$3,1)=1,"WO","P"))</f>
        <v>P</v>
      </c>
      <c r="W38" s="4" t="str">
        <f>IFERROR(LOOKUP(2,1/((lentry!$A$3:$A$3999=apr!$A38)*(lentry!$B$3:$B$3999&lt;=apr!W$3)*(lentry!$C$3:$C$3999&gt;=apr!W$3)),lentry!$D$3:$D$3999),IF(WEEKDAY(apr!W$3,1)=1,"WO","P"))</f>
        <v>P</v>
      </c>
      <c r="X38" s="4" t="str">
        <f>IFERROR(LOOKUP(2,1/((lentry!$A$3:$A$3999=apr!$A38)*(lentry!$B$3:$B$3999&lt;=apr!X$3)*(lentry!$C$3:$C$3999&gt;=apr!X$3)),lentry!$D$3:$D$3999),IF(WEEKDAY(apr!X$3,1)=1,"WO","P"))</f>
        <v>WO</v>
      </c>
      <c r="Y38" s="4" t="str">
        <f>IFERROR(LOOKUP(2,1/((lentry!$A$3:$A$3999=apr!$A38)*(lentry!$B$3:$B$3999&lt;=apr!Y$3)*(lentry!$C$3:$C$3999&gt;=apr!Y$3)),lentry!$D$3:$D$3999),IF(WEEKDAY(apr!Y$3,1)=1,"WO","P"))</f>
        <v>P</v>
      </c>
      <c r="Z38" s="4" t="str">
        <f>IFERROR(LOOKUP(2,1/((lentry!$A$3:$A$3999=apr!$A38)*(lentry!$B$3:$B$3999&lt;=apr!Z$3)*(lentry!$C$3:$C$3999&gt;=apr!Z$3)),lentry!$D$3:$D$3999),IF(WEEKDAY(apr!Z$3,1)=1,"WO","P"))</f>
        <v>P</v>
      </c>
      <c r="AA38" s="4" t="str">
        <f>IFERROR(LOOKUP(2,1/((lentry!$A$3:$A$3999=apr!$A38)*(lentry!$B$3:$B$3999&lt;=apr!AA$3)*(lentry!$C$3:$C$3999&gt;=apr!AA$3)),lentry!$D$3:$D$3999),IF(WEEKDAY(apr!AA$3,1)=1,"WO","P"))</f>
        <v>P</v>
      </c>
      <c r="AB38" s="4" t="str">
        <f>IFERROR(LOOKUP(2,1/((lentry!$A$3:$A$3999=apr!$A38)*(lentry!$B$3:$B$3999&lt;=apr!AB$3)*(lentry!$C$3:$C$3999&gt;=apr!AB$3)),lentry!$D$3:$D$3999),IF(WEEKDAY(apr!AB$3,1)=1,"WO","P"))</f>
        <v>P</v>
      </c>
      <c r="AC38" s="4" t="str">
        <f>IFERROR(LOOKUP(2,1/((lentry!$A$3:$A$3999=apr!$A38)*(lentry!$B$3:$B$3999&lt;=apr!AC$3)*(lentry!$C$3:$C$3999&gt;=apr!AC$3)),lentry!$D$3:$D$3999),IF(WEEKDAY(apr!AC$3,1)=1,"WO","P"))</f>
        <v>P</v>
      </c>
      <c r="AD38" s="4" t="str">
        <f>IFERROR(LOOKUP(2,1/((lentry!$A$3:$A$3999=apr!$A38)*(lentry!$B$3:$B$3999&lt;=apr!AD$3)*(lentry!$C$3:$C$3999&gt;=apr!AD$3)),lentry!$D$3:$D$3999),IF(WEEKDAY(apr!AD$3,1)=1,"WO","P"))</f>
        <v>P</v>
      </c>
      <c r="AE38" s="4" t="str">
        <f>IFERROR(LOOKUP(2,1/((lentry!$A$3:$A$3999=apr!$A38)*(lentry!$B$3:$B$3999&lt;=apr!AE$3)*(lentry!$C$3:$C$3999&gt;=apr!AE$3)),lentry!$D$3:$D$3999),IF(WEEKDAY(apr!AE$3,1)=1,"WO","P"))</f>
        <v>WO</v>
      </c>
      <c r="AF38" s="4" t="str">
        <f>IFERROR(LOOKUP(2,1/((lentry!$A$3:$A$3999=apr!$A38)*(lentry!$B$3:$B$3999&lt;=apr!AF$3)*(lentry!$C$3:$C$3999&gt;=apr!AF$3)),lentry!$D$3:$D$3999),IF(WEEKDAY(apr!AF$3,1)=1,"WO","P"))</f>
        <v>P</v>
      </c>
      <c r="AG38" s="4" t="str">
        <f>IFERROR(LOOKUP(2,1/((lentry!$A$3:$A$3999=apr!$A38)*(lentry!$B$3:$B$3999&lt;=apr!AG$3)*(lentry!$C$3:$C$3999&gt;=apr!AG$3)),lentry!$D$3:$D$3999),IF(WEEKDAY(apr!AG$3,1)=1,"WO","P"))</f>
        <v>P</v>
      </c>
      <c r="AH38" s="4" t="str">
        <f>IFERROR(LOOKUP(2,1/((lentry!$A$3:$A$3999=apr!$A38)*(lentry!$B$3:$B$3999&lt;=apr!AH$3)*(lentry!$C$3:$C$3999&gt;=apr!AH$3)),lentry!$D$3:$D$3999),IF(WEEKDAY(apr!AH$3,1)=1,"WO","P"))</f>
        <v>P</v>
      </c>
      <c r="AI38" s="4" t="str">
        <f>IFERROR(LOOKUP(2,1/((lentry!$A$3:$A$3999=apr!$A38)*(lentry!$B$3:$B$3999&lt;=apr!AI$3)*(lentry!$C$3:$C$3999&gt;=apr!AI$3)),lentry!$D$3:$D$3999),IF(WEEKDAY(apr!AI$3,1)=1,"WO","P"))</f>
        <v>P</v>
      </c>
      <c r="AJ38" s="5">
        <f>COUNTIF(apr!$F38:$AI38,"WO")</f>
        <v>4</v>
      </c>
      <c r="AK38" s="5">
        <f>COUNTIF(jan!$F38:$AJ38,"H")</f>
        <v>1</v>
      </c>
      <c r="AL38" s="5">
        <f>COUNTIF(jan!$F38:$AJ38,"PL")</f>
        <v>0</v>
      </c>
      <c r="AM38" s="5">
        <f>COUNTIF(jan!$F38:$AJ38,"LWP")</f>
        <v>0</v>
      </c>
      <c r="AN38" s="5">
        <f>COUNTIF(jan!$F38:$AJ38,"HD")</f>
        <v>0</v>
      </c>
      <c r="AO38" s="5">
        <f>COUNTIF(jan!$F38:$AJ38,"SL")</f>
        <v>0</v>
      </c>
      <c r="AP38" s="5">
        <f>COUNTIF(jan!$F38:$AJ38,"CL")</f>
        <v>0</v>
      </c>
      <c r="AQ38" s="5">
        <f>COUNTIF(jan!$F38:$AJ38,"A")</f>
        <v>0</v>
      </c>
      <c r="AR38" s="5">
        <f>COUNTIF(jan!$F38:$AJ38,"P")</f>
        <v>26</v>
      </c>
      <c r="AS38" s="5">
        <f t="shared" si="4"/>
        <v>30</v>
      </c>
      <c r="AT38" s="5">
        <f t="shared" si="3"/>
        <v>31</v>
      </c>
      <c r="AU38" s="4">
        <f>SUMIFS(holly!$L$2:$L$122,holly!$I$2:$I$122,mar!$A38,holly!$K$2:$K$122,"Mar")</f>
        <v>0</v>
      </c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</row>
    <row r="39" spans="1:77" ht="18.75" x14ac:dyDescent="0.3">
      <c r="A39" s="3" t="s">
        <v>64</v>
      </c>
      <c r="B39" s="3" t="str">
        <f>VLOOKUP($A39,Master!$A$2:$K$52,2,0)</f>
        <v>Employee35</v>
      </c>
      <c r="C39" s="3" t="str">
        <f>VLOOKUP($A39,Master!$A$2:$K$52,3,0)</f>
        <v>Male</v>
      </c>
      <c r="D39" s="3" t="str">
        <f>VLOOKUP($A39,Master!$A$2:$K$52,5,0)</f>
        <v>Accounts</v>
      </c>
      <c r="E39" s="3" t="str">
        <f>VLOOKUP($A39,Master!$A$2:$K$52,6,0)</f>
        <v>Accountant</v>
      </c>
      <c r="F39" s="4" t="str">
        <f>IFERROR(LOOKUP(2,1/((lentry!$A$3:$A$3999=apr!$A39)*(lentry!$B$3:$B$3999&lt;=apr!F$3)*(lentry!$C$3:$C$3999&gt;=apr!F$3)),lentry!$D$3:$D$3999),IF(WEEKDAY(apr!F$3,1)=1,"WO","P"))</f>
        <v>P</v>
      </c>
      <c r="G39" s="4" t="str">
        <f>IFERROR(LOOKUP(2,1/((lentry!$A$3:$A$3999=apr!$A39)*(lentry!$B$3:$B$3999&lt;=apr!G$3)*(lentry!$C$3:$C$3999&gt;=apr!G$3)),lentry!$D$3:$D$3999),IF(WEEKDAY(apr!G$3,1)=1,"WO","P"))</f>
        <v>P</v>
      </c>
      <c r="H39" s="4" t="s">
        <v>350</v>
      </c>
      <c r="I39" s="4" t="str">
        <f>IFERROR(LOOKUP(2,1/((lentry!$A$3:$A$3999=apr!$A39)*(lentry!$B$3:$B$3999&lt;=apr!I$3)*(lentry!$C$3:$C$3999&gt;=apr!I$3)),lentry!$D$3:$D$3999),IF(WEEKDAY(apr!I$3,1)=1,"WO","P"))</f>
        <v>P</v>
      </c>
      <c r="J39" s="4" t="str">
        <f>IFERROR(LOOKUP(2,1/((lentry!$A$3:$A$3999=apr!$A39)*(lentry!$B$3:$B$3999&lt;=apr!J$3)*(lentry!$C$3:$C$3999&gt;=apr!J$3)),lentry!$D$3:$D$3999),IF(WEEKDAY(apr!J$3,1)=1,"WO","P"))</f>
        <v>WO</v>
      </c>
      <c r="K39" s="4" t="str">
        <f>IFERROR(LOOKUP(2,1/((lentry!$A$3:$A$3999=apr!$A39)*(lentry!$B$3:$B$3999&lt;=apr!K$3)*(lentry!$C$3:$C$3999&gt;=apr!K$3)),lentry!$D$3:$D$3999),IF(WEEKDAY(apr!K$3,1)=1,"WO","P"))</f>
        <v>P</v>
      </c>
      <c r="L39" s="4" t="str">
        <f>IFERROR(LOOKUP(2,1/((lentry!$A$3:$A$3999=apr!$A39)*(lentry!$B$3:$B$3999&lt;=apr!L$3)*(lentry!$C$3:$C$3999&gt;=apr!L$3)),lentry!$D$3:$D$3999),IF(WEEKDAY(apr!L$3,1)=1,"WO","P"))</f>
        <v>P</v>
      </c>
      <c r="M39" s="4" t="str">
        <f>IFERROR(LOOKUP(2,1/((lentry!$A$3:$A$3999=apr!$A39)*(lentry!$B$3:$B$3999&lt;=apr!M$3)*(lentry!$C$3:$C$3999&gt;=apr!M$3)),lentry!$D$3:$D$3999),IF(WEEKDAY(apr!M$3,1)=1,"WO","P"))</f>
        <v>P</v>
      </c>
      <c r="N39" s="4" t="str">
        <f>IFERROR(LOOKUP(2,1/((lentry!$A$3:$A$3999=apr!$A39)*(lentry!$B$3:$B$3999&lt;=apr!N$3)*(lentry!$C$3:$C$3999&gt;=apr!N$3)),lentry!$D$3:$D$3999),IF(WEEKDAY(apr!N$3,1)=1,"WO","P"))</f>
        <v>P</v>
      </c>
      <c r="O39" s="4" t="str">
        <f>IFERROR(LOOKUP(2,1/((lentry!$A$3:$A$3999=apr!$A39)*(lentry!$B$3:$B$3999&lt;=apr!O$3)*(lentry!$C$3:$C$3999&gt;=apr!O$3)),lentry!$D$3:$D$3999),IF(WEEKDAY(apr!O$3,1)=1,"WO","P"))</f>
        <v>P</v>
      </c>
      <c r="P39" s="4" t="str">
        <f>IFERROR(LOOKUP(2,1/((lentry!$A$3:$A$3999=apr!$A39)*(lentry!$B$3:$B$3999&lt;=apr!P$3)*(lentry!$C$3:$C$3999&gt;=apr!P$3)),lentry!$D$3:$D$3999),IF(WEEKDAY(apr!P$3,1)=1,"WO","P"))</f>
        <v>P</v>
      </c>
      <c r="Q39" s="4" t="str">
        <f>IFERROR(LOOKUP(2,1/((lentry!$A$3:$A$3999=apr!$A39)*(lentry!$B$3:$B$3999&lt;=apr!Q$3)*(lentry!$C$3:$C$3999&gt;=apr!Q$3)),lentry!$D$3:$D$3999),IF(WEEKDAY(apr!Q$3,1)=1,"WO","P"))</f>
        <v>WO</v>
      </c>
      <c r="R39" s="4" t="str">
        <f>IFERROR(LOOKUP(2,1/((lentry!$A$3:$A$3999=apr!$A39)*(lentry!$B$3:$B$3999&lt;=apr!R$3)*(lentry!$C$3:$C$3999&gt;=apr!R$3)),lentry!$D$3:$D$3999),IF(WEEKDAY(apr!R$3,1)=1,"WO","P"))</f>
        <v>P</v>
      </c>
      <c r="S39" s="4" t="s">
        <v>350</v>
      </c>
      <c r="T39" s="4" t="str">
        <f>IFERROR(LOOKUP(2,1/((lentry!$A$3:$A$3999=apr!$A39)*(lentry!$B$3:$B$3999&lt;=apr!T$3)*(lentry!$C$3:$C$3999&gt;=apr!T$3)),lentry!$D$3:$D$3999),IF(WEEKDAY(apr!T$3,1)=1,"WO","P"))</f>
        <v>P</v>
      </c>
      <c r="U39" s="4" t="str">
        <f>IFERROR(LOOKUP(2,1/((lentry!$A$3:$A$3999=apr!$A39)*(lentry!$B$3:$B$3999&lt;=apr!U$3)*(lentry!$C$3:$C$3999&gt;=apr!U$3)),lentry!$D$3:$D$3999),IF(WEEKDAY(apr!U$3,1)=1,"WO","P"))</f>
        <v>P</v>
      </c>
      <c r="V39" s="4" t="str">
        <f>IFERROR(LOOKUP(2,1/((lentry!$A$3:$A$3999=apr!$A39)*(lentry!$B$3:$B$3999&lt;=apr!V$3)*(lentry!$C$3:$C$3999&gt;=apr!V$3)),lentry!$D$3:$D$3999),IF(WEEKDAY(apr!V$3,1)=1,"WO","P"))</f>
        <v>P</v>
      </c>
      <c r="W39" s="4" t="str">
        <f>IFERROR(LOOKUP(2,1/((lentry!$A$3:$A$3999=apr!$A39)*(lentry!$B$3:$B$3999&lt;=apr!W$3)*(lentry!$C$3:$C$3999&gt;=apr!W$3)),lentry!$D$3:$D$3999),IF(WEEKDAY(apr!W$3,1)=1,"WO","P"))</f>
        <v>P</v>
      </c>
      <c r="X39" s="4" t="str">
        <f>IFERROR(LOOKUP(2,1/((lentry!$A$3:$A$3999=apr!$A39)*(lentry!$B$3:$B$3999&lt;=apr!X$3)*(lentry!$C$3:$C$3999&gt;=apr!X$3)),lentry!$D$3:$D$3999),IF(WEEKDAY(apr!X$3,1)=1,"WO","P"))</f>
        <v>WO</v>
      </c>
      <c r="Y39" s="4" t="str">
        <f>IFERROR(LOOKUP(2,1/((lentry!$A$3:$A$3999=apr!$A39)*(lentry!$B$3:$B$3999&lt;=apr!Y$3)*(lentry!$C$3:$C$3999&gt;=apr!Y$3)),lentry!$D$3:$D$3999),IF(WEEKDAY(apr!Y$3,1)=1,"WO","P"))</f>
        <v>CL</v>
      </c>
      <c r="Z39" s="4" t="str">
        <f>IFERROR(LOOKUP(2,1/((lentry!$A$3:$A$3999=apr!$A39)*(lentry!$B$3:$B$3999&lt;=apr!Z$3)*(lentry!$C$3:$C$3999&gt;=apr!Z$3)),lentry!$D$3:$D$3999),IF(WEEKDAY(apr!Z$3,1)=1,"WO","P"))</f>
        <v>P</v>
      </c>
      <c r="AA39" s="4" t="str">
        <f>IFERROR(LOOKUP(2,1/((lentry!$A$3:$A$3999=apr!$A39)*(lentry!$B$3:$B$3999&lt;=apr!AA$3)*(lentry!$C$3:$C$3999&gt;=apr!AA$3)),lentry!$D$3:$D$3999),IF(WEEKDAY(apr!AA$3,1)=1,"WO","P"))</f>
        <v>P</v>
      </c>
      <c r="AB39" s="4" t="s">
        <v>539</v>
      </c>
      <c r="AC39" s="4" t="str">
        <f>IFERROR(LOOKUP(2,1/((lentry!$A$3:$A$3999=apr!$A39)*(lentry!$B$3:$B$3999&lt;=apr!AC$3)*(lentry!$C$3:$C$3999&gt;=apr!AC$3)),lentry!$D$3:$D$3999),IF(WEEKDAY(apr!AC$3,1)=1,"WO","P"))</f>
        <v>P</v>
      </c>
      <c r="AD39" s="4" t="str">
        <f>IFERROR(LOOKUP(2,1/((lentry!$A$3:$A$3999=apr!$A39)*(lentry!$B$3:$B$3999&lt;=apr!AD$3)*(lentry!$C$3:$C$3999&gt;=apr!AD$3)),lentry!$D$3:$D$3999),IF(WEEKDAY(apr!AD$3,1)=1,"WO","P"))</f>
        <v>P</v>
      </c>
      <c r="AE39" s="4" t="str">
        <f>IFERROR(LOOKUP(2,1/((lentry!$A$3:$A$3999=apr!$A39)*(lentry!$B$3:$B$3999&lt;=apr!AE$3)*(lentry!$C$3:$C$3999&gt;=apr!AE$3)),lentry!$D$3:$D$3999),IF(WEEKDAY(apr!AE$3,1)=1,"WO","P"))</f>
        <v>WO</v>
      </c>
      <c r="AF39" s="4" t="str">
        <f>IFERROR(LOOKUP(2,1/((lentry!$A$3:$A$3999=apr!$A39)*(lentry!$B$3:$B$3999&lt;=apr!AF$3)*(lentry!$C$3:$C$3999&gt;=apr!AF$3)),lentry!$D$3:$D$3999),IF(WEEKDAY(apr!AF$3,1)=1,"WO","P"))</f>
        <v>P</v>
      </c>
      <c r="AG39" s="4" t="str">
        <f>IFERROR(LOOKUP(2,1/((lentry!$A$3:$A$3999=apr!$A39)*(lentry!$B$3:$B$3999&lt;=apr!AG$3)*(lentry!$C$3:$C$3999&gt;=apr!AG$3)),lentry!$D$3:$D$3999),IF(WEEKDAY(apr!AG$3,1)=1,"WO","P"))</f>
        <v>P</v>
      </c>
      <c r="AH39" s="4" t="str">
        <f>IFERROR(LOOKUP(2,1/((lentry!$A$3:$A$3999=apr!$A39)*(lentry!$B$3:$B$3999&lt;=apr!AH$3)*(lentry!$C$3:$C$3999&gt;=apr!AH$3)),lentry!$D$3:$D$3999),IF(WEEKDAY(apr!AH$3,1)=1,"WO","P"))</f>
        <v>P</v>
      </c>
      <c r="AI39" s="4" t="str">
        <f>IFERROR(LOOKUP(2,1/((lentry!$A$3:$A$3999=apr!$A39)*(lentry!$B$3:$B$3999&lt;=apr!AI$3)*(lentry!$C$3:$C$3999&gt;=apr!AI$3)),lentry!$D$3:$D$3999),IF(WEEKDAY(apr!AI$3,1)=1,"WO","P"))</f>
        <v>P</v>
      </c>
      <c r="AJ39" s="5">
        <f>COUNTIF(apr!$F39:$AI39,"WO")</f>
        <v>4</v>
      </c>
      <c r="AK39" s="5">
        <f>COUNTIF(jan!$F39:$AJ39,"H")</f>
        <v>1</v>
      </c>
      <c r="AL39" s="5">
        <f>COUNTIF(jan!$F39:$AJ39,"PL")</f>
        <v>0</v>
      </c>
      <c r="AM39" s="5">
        <f>COUNTIF(jan!$F39:$AJ39,"LWP")</f>
        <v>0</v>
      </c>
      <c r="AN39" s="5">
        <f>COUNTIF(jan!$F39:$AJ39,"HD")</f>
        <v>0</v>
      </c>
      <c r="AO39" s="5">
        <f>COUNTIF(jan!$F39:$AJ39,"SL")</f>
        <v>0</v>
      </c>
      <c r="AP39" s="5">
        <f>COUNTIF(jan!$F39:$AJ39,"CL")</f>
        <v>0</v>
      </c>
      <c r="AQ39" s="5">
        <f>COUNTIF(jan!$F39:$AJ39,"A")</f>
        <v>1</v>
      </c>
      <c r="AR39" s="5">
        <f>COUNTIF(jan!$F39:$AJ39,"P")</f>
        <v>25</v>
      </c>
      <c r="AS39" s="5">
        <f t="shared" si="4"/>
        <v>30</v>
      </c>
      <c r="AT39" s="5">
        <f t="shared" si="3"/>
        <v>30</v>
      </c>
      <c r="AU39" s="4">
        <f>SUMIFS(holly!$L$2:$L$122,holly!$I$2:$I$122,mar!$A39,holly!$K$2:$K$122,"Mar")</f>
        <v>0</v>
      </c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</row>
    <row r="40" spans="1:77" ht="18.75" x14ac:dyDescent="0.3">
      <c r="A40" s="3" t="s">
        <v>65</v>
      </c>
      <c r="B40" s="3" t="str">
        <f>VLOOKUP($A40,Master!$A$2:$K$52,2,0)</f>
        <v>Employee36</v>
      </c>
      <c r="C40" s="3" t="str">
        <f>VLOOKUP($A40,Master!$A$2:$K$52,3,0)</f>
        <v>Male</v>
      </c>
      <c r="D40" s="3" t="str">
        <f>VLOOKUP($A40,Master!$A$2:$K$52,5,0)</f>
        <v>Production</v>
      </c>
      <c r="E40" s="3" t="str">
        <f>VLOOKUP($A40,Master!$A$2:$K$52,6,0)</f>
        <v>Operator</v>
      </c>
      <c r="F40" s="4" t="str">
        <f>IFERROR(LOOKUP(2,1/((lentry!$A$3:$A$3999=apr!$A40)*(lentry!$B$3:$B$3999&lt;=apr!F$3)*(lentry!$C$3:$C$3999&gt;=apr!F$3)),lentry!$D$3:$D$3999),IF(WEEKDAY(apr!F$3,1)=1,"WO","P"))</f>
        <v>P</v>
      </c>
      <c r="G40" s="4" t="str">
        <f>IFERROR(LOOKUP(2,1/((lentry!$A$3:$A$3999=apr!$A40)*(lentry!$B$3:$B$3999&lt;=apr!G$3)*(lentry!$C$3:$C$3999&gt;=apr!G$3)),lentry!$D$3:$D$3999),IF(WEEKDAY(apr!G$3,1)=1,"WO","P"))</f>
        <v>P</v>
      </c>
      <c r="H40" s="4" t="s">
        <v>350</v>
      </c>
      <c r="I40" s="4" t="str">
        <f>IFERROR(LOOKUP(2,1/((lentry!$A$3:$A$3999=apr!$A40)*(lentry!$B$3:$B$3999&lt;=apr!I$3)*(lentry!$C$3:$C$3999&gt;=apr!I$3)),lentry!$D$3:$D$3999),IF(WEEKDAY(apr!I$3,1)=1,"WO","P"))</f>
        <v>P</v>
      </c>
      <c r="J40" s="4" t="str">
        <f>IFERROR(LOOKUP(2,1/((lentry!$A$3:$A$3999=apr!$A40)*(lentry!$B$3:$B$3999&lt;=apr!J$3)*(lentry!$C$3:$C$3999&gt;=apr!J$3)),lentry!$D$3:$D$3999),IF(WEEKDAY(apr!J$3,1)=1,"WO","P"))</f>
        <v>WO</v>
      </c>
      <c r="K40" s="4" t="str">
        <f>IFERROR(LOOKUP(2,1/((lentry!$A$3:$A$3999=apr!$A40)*(lentry!$B$3:$B$3999&lt;=apr!K$3)*(lentry!$C$3:$C$3999&gt;=apr!K$3)),lentry!$D$3:$D$3999),IF(WEEKDAY(apr!K$3,1)=1,"WO","P"))</f>
        <v>P</v>
      </c>
      <c r="L40" s="4" t="str">
        <f>IFERROR(LOOKUP(2,1/((lentry!$A$3:$A$3999=apr!$A40)*(lentry!$B$3:$B$3999&lt;=apr!L$3)*(lentry!$C$3:$C$3999&gt;=apr!L$3)),lentry!$D$3:$D$3999),IF(WEEKDAY(apr!L$3,1)=1,"WO","P"))</f>
        <v>P</v>
      </c>
      <c r="M40" s="4" t="str">
        <f>IFERROR(LOOKUP(2,1/((lentry!$A$3:$A$3999=apr!$A40)*(lentry!$B$3:$B$3999&lt;=apr!M$3)*(lentry!$C$3:$C$3999&gt;=apr!M$3)),lentry!$D$3:$D$3999),IF(WEEKDAY(apr!M$3,1)=1,"WO","P"))</f>
        <v>P</v>
      </c>
      <c r="N40" s="4" t="str">
        <f>IFERROR(LOOKUP(2,1/((lentry!$A$3:$A$3999=apr!$A40)*(lentry!$B$3:$B$3999&lt;=apr!N$3)*(lentry!$C$3:$C$3999&gt;=apr!N$3)),lentry!$D$3:$D$3999),IF(WEEKDAY(apr!N$3,1)=1,"WO","P"))</f>
        <v>P</v>
      </c>
      <c r="O40" s="4" t="str">
        <f>IFERROR(LOOKUP(2,1/((lentry!$A$3:$A$3999=apr!$A40)*(lentry!$B$3:$B$3999&lt;=apr!O$3)*(lentry!$C$3:$C$3999&gt;=apr!O$3)),lentry!$D$3:$D$3999),IF(WEEKDAY(apr!O$3,1)=1,"WO","P"))</f>
        <v>P</v>
      </c>
      <c r="P40" s="4" t="str">
        <f>IFERROR(LOOKUP(2,1/((lentry!$A$3:$A$3999=apr!$A40)*(lentry!$B$3:$B$3999&lt;=apr!P$3)*(lentry!$C$3:$C$3999&gt;=apr!P$3)),lentry!$D$3:$D$3999),IF(WEEKDAY(apr!P$3,1)=1,"WO","P"))</f>
        <v>P</v>
      </c>
      <c r="Q40" s="4" t="str">
        <f>IFERROR(LOOKUP(2,1/((lentry!$A$3:$A$3999=apr!$A40)*(lentry!$B$3:$B$3999&lt;=apr!Q$3)*(lentry!$C$3:$C$3999&gt;=apr!Q$3)),lentry!$D$3:$D$3999),IF(WEEKDAY(apr!Q$3,1)=1,"WO","P"))</f>
        <v>WO</v>
      </c>
      <c r="R40" s="4" t="str">
        <f>IFERROR(LOOKUP(2,1/((lentry!$A$3:$A$3999=apr!$A40)*(lentry!$B$3:$B$3999&lt;=apr!R$3)*(lentry!$C$3:$C$3999&gt;=apr!R$3)),lentry!$D$3:$D$3999),IF(WEEKDAY(apr!R$3,1)=1,"WO","P"))</f>
        <v>P</v>
      </c>
      <c r="S40" s="4" t="s">
        <v>350</v>
      </c>
      <c r="T40" s="4" t="str">
        <f>IFERROR(LOOKUP(2,1/((lentry!$A$3:$A$3999=apr!$A40)*(lentry!$B$3:$B$3999&lt;=apr!T$3)*(lentry!$C$3:$C$3999&gt;=apr!T$3)),lentry!$D$3:$D$3999),IF(WEEKDAY(apr!T$3,1)=1,"WO","P"))</f>
        <v>P</v>
      </c>
      <c r="U40" s="4" t="str">
        <f>IFERROR(LOOKUP(2,1/((lentry!$A$3:$A$3999=apr!$A40)*(lentry!$B$3:$B$3999&lt;=apr!U$3)*(lentry!$C$3:$C$3999&gt;=apr!U$3)),lentry!$D$3:$D$3999),IF(WEEKDAY(apr!U$3,1)=1,"WO","P"))</f>
        <v>P</v>
      </c>
      <c r="V40" s="4" t="str">
        <f>IFERROR(LOOKUP(2,1/((lentry!$A$3:$A$3999=apr!$A40)*(lentry!$B$3:$B$3999&lt;=apr!V$3)*(lentry!$C$3:$C$3999&gt;=apr!V$3)),lentry!$D$3:$D$3999),IF(WEEKDAY(apr!V$3,1)=1,"WO","P"))</f>
        <v>P</v>
      </c>
      <c r="W40" s="4" t="str">
        <f>IFERROR(LOOKUP(2,1/((lentry!$A$3:$A$3999=apr!$A40)*(lentry!$B$3:$B$3999&lt;=apr!W$3)*(lentry!$C$3:$C$3999&gt;=apr!W$3)),lentry!$D$3:$D$3999),IF(WEEKDAY(apr!W$3,1)=1,"WO","P"))</f>
        <v>P</v>
      </c>
      <c r="X40" s="4" t="str">
        <f>IFERROR(LOOKUP(2,1/((lentry!$A$3:$A$3999=apr!$A40)*(lentry!$B$3:$B$3999&lt;=apr!X$3)*(lentry!$C$3:$C$3999&gt;=apr!X$3)),lentry!$D$3:$D$3999),IF(WEEKDAY(apr!X$3,1)=1,"WO","P"))</f>
        <v>WO</v>
      </c>
      <c r="Y40" s="4" t="str">
        <f>IFERROR(LOOKUP(2,1/((lentry!$A$3:$A$3999=apr!$A40)*(lentry!$B$3:$B$3999&lt;=apr!Y$3)*(lentry!$C$3:$C$3999&gt;=apr!Y$3)),lentry!$D$3:$D$3999),IF(WEEKDAY(apr!Y$3,1)=1,"WO","P"))</f>
        <v>P</v>
      </c>
      <c r="Z40" s="4" t="str">
        <f>IFERROR(LOOKUP(2,1/((lentry!$A$3:$A$3999=apr!$A40)*(lentry!$B$3:$B$3999&lt;=apr!Z$3)*(lentry!$C$3:$C$3999&gt;=apr!Z$3)),lentry!$D$3:$D$3999),IF(WEEKDAY(apr!Z$3,1)=1,"WO","P"))</f>
        <v>P</v>
      </c>
      <c r="AA40" s="4" t="str">
        <f>IFERROR(LOOKUP(2,1/((lentry!$A$3:$A$3999=apr!$A40)*(lentry!$B$3:$B$3999&lt;=apr!AA$3)*(lentry!$C$3:$C$3999&gt;=apr!AA$3)),lentry!$D$3:$D$3999),IF(WEEKDAY(apr!AA$3,1)=1,"WO","P"))</f>
        <v>P</v>
      </c>
      <c r="AB40" s="4" t="str">
        <f>IFERROR(LOOKUP(2,1/((lentry!$A$3:$A$3999=apr!$A40)*(lentry!$B$3:$B$3999&lt;=apr!AB$3)*(lentry!$C$3:$C$3999&gt;=apr!AB$3)),lentry!$D$3:$D$3999),IF(WEEKDAY(apr!AB$3,1)=1,"WO","P"))</f>
        <v>P</v>
      </c>
      <c r="AC40" s="4" t="str">
        <f>IFERROR(LOOKUP(2,1/((lentry!$A$3:$A$3999=apr!$A40)*(lentry!$B$3:$B$3999&lt;=apr!AC$3)*(lentry!$C$3:$C$3999&gt;=apr!AC$3)),lentry!$D$3:$D$3999),IF(WEEKDAY(apr!AC$3,1)=1,"WO","P"))</f>
        <v>P</v>
      </c>
      <c r="AD40" s="4" t="str">
        <f>IFERROR(LOOKUP(2,1/((lentry!$A$3:$A$3999=apr!$A40)*(lentry!$B$3:$B$3999&lt;=apr!AD$3)*(lentry!$C$3:$C$3999&gt;=apr!AD$3)),lentry!$D$3:$D$3999),IF(WEEKDAY(apr!AD$3,1)=1,"WO","P"))</f>
        <v>P</v>
      </c>
      <c r="AE40" s="4" t="str">
        <f>IFERROR(LOOKUP(2,1/((lentry!$A$3:$A$3999=apr!$A40)*(lentry!$B$3:$B$3999&lt;=apr!AE$3)*(lentry!$C$3:$C$3999&gt;=apr!AE$3)),lentry!$D$3:$D$3999),IF(WEEKDAY(apr!AE$3,1)=1,"WO","P"))</f>
        <v>WO</v>
      </c>
      <c r="AF40" s="4" t="str">
        <f>IFERROR(LOOKUP(2,1/((lentry!$A$3:$A$3999=apr!$A40)*(lentry!$B$3:$B$3999&lt;=apr!AF$3)*(lentry!$C$3:$C$3999&gt;=apr!AF$3)),lentry!$D$3:$D$3999),IF(WEEKDAY(apr!AF$3,1)=1,"WO","P"))</f>
        <v>P</v>
      </c>
      <c r="AG40" s="4" t="str">
        <f>IFERROR(LOOKUP(2,1/((lentry!$A$3:$A$3999=apr!$A40)*(lentry!$B$3:$B$3999&lt;=apr!AG$3)*(lentry!$C$3:$C$3999&gt;=apr!AG$3)),lentry!$D$3:$D$3999),IF(WEEKDAY(apr!AG$3,1)=1,"WO","P"))</f>
        <v>P</v>
      </c>
      <c r="AH40" s="4" t="str">
        <f>IFERROR(LOOKUP(2,1/((lentry!$A$3:$A$3999=apr!$A40)*(lentry!$B$3:$B$3999&lt;=apr!AH$3)*(lentry!$C$3:$C$3999&gt;=apr!AH$3)),lentry!$D$3:$D$3999),IF(WEEKDAY(apr!AH$3,1)=1,"WO","P"))</f>
        <v>P</v>
      </c>
      <c r="AI40" s="4" t="str">
        <f>IFERROR(LOOKUP(2,1/((lentry!$A$3:$A$3999=apr!$A40)*(lentry!$B$3:$B$3999&lt;=apr!AI$3)*(lentry!$C$3:$C$3999&gt;=apr!AI$3)),lentry!$D$3:$D$3999),IF(WEEKDAY(apr!AI$3,1)=1,"WO","P"))</f>
        <v>P</v>
      </c>
      <c r="AJ40" s="5">
        <f>COUNTIF(apr!$F40:$AI40,"WO")</f>
        <v>4</v>
      </c>
      <c r="AK40" s="5">
        <f>COUNTIF(jan!$F40:$AJ40,"H")</f>
        <v>1</v>
      </c>
      <c r="AL40" s="5">
        <f>COUNTIF(jan!$F40:$AJ40,"PL")</f>
        <v>0</v>
      </c>
      <c r="AM40" s="5">
        <f>COUNTIF(jan!$F40:$AJ40,"LWP")</f>
        <v>0</v>
      </c>
      <c r="AN40" s="5">
        <f>COUNTIF(jan!$F40:$AJ40,"HD")</f>
        <v>0</v>
      </c>
      <c r="AO40" s="5">
        <f>COUNTIF(jan!$F40:$AJ40,"SL")</f>
        <v>0</v>
      </c>
      <c r="AP40" s="5">
        <f>COUNTIF(jan!$F40:$AJ40,"CL")</f>
        <v>0</v>
      </c>
      <c r="AQ40" s="5">
        <f>COUNTIF(jan!$F40:$AJ40,"A")</f>
        <v>1</v>
      </c>
      <c r="AR40" s="5">
        <f>COUNTIF(jan!$F40:$AJ40,"P")</f>
        <v>25</v>
      </c>
      <c r="AS40" s="5">
        <f t="shared" si="4"/>
        <v>30</v>
      </c>
      <c r="AT40" s="5">
        <f t="shared" si="3"/>
        <v>30</v>
      </c>
      <c r="AU40" s="4">
        <f>SUMIFS(holly!$L$2:$L$122,holly!$I$2:$I$122,mar!$A40,holly!$K$2:$K$122,"Mar")</f>
        <v>0</v>
      </c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</row>
    <row r="41" spans="1:77" ht="18.75" x14ac:dyDescent="0.3">
      <c r="A41" s="3" t="s">
        <v>66</v>
      </c>
      <c r="B41" s="3" t="str">
        <f>VLOOKUP($A41,Master!$A$2:$K$52,2,0)</f>
        <v>Employee37</v>
      </c>
      <c r="C41" s="3" t="str">
        <f>VLOOKUP($A41,Master!$A$2:$K$52,3,0)</f>
        <v>Male</v>
      </c>
      <c r="D41" s="3" t="str">
        <f>VLOOKUP($A41,Master!$A$2:$K$52,5,0)</f>
        <v>Maintenance</v>
      </c>
      <c r="E41" s="3" t="str">
        <f>VLOOKUP($A41,Master!$A$2:$K$52,6,0)</f>
        <v>Electrician</v>
      </c>
      <c r="F41" s="4" t="str">
        <f>IFERROR(LOOKUP(2,1/((lentry!$A$3:$A$3999=apr!$A41)*(lentry!$B$3:$B$3999&lt;=apr!F$3)*(lentry!$C$3:$C$3999&gt;=apr!F$3)),lentry!$D$3:$D$3999),IF(WEEKDAY(apr!F$3,1)=1,"WO","P"))</f>
        <v>P</v>
      </c>
      <c r="G41" s="4" t="str">
        <f>IFERROR(LOOKUP(2,1/((lentry!$A$3:$A$3999=apr!$A41)*(lentry!$B$3:$B$3999&lt;=apr!G$3)*(lentry!$C$3:$C$3999&gt;=apr!G$3)),lentry!$D$3:$D$3999),IF(WEEKDAY(apr!G$3,1)=1,"WO","P"))</f>
        <v>P</v>
      </c>
      <c r="H41" s="4" t="s">
        <v>350</v>
      </c>
      <c r="I41" s="4" t="str">
        <f>IFERROR(LOOKUP(2,1/((lentry!$A$3:$A$3999=apr!$A41)*(lentry!$B$3:$B$3999&lt;=apr!I$3)*(lentry!$C$3:$C$3999&gt;=apr!I$3)),lentry!$D$3:$D$3999),IF(WEEKDAY(apr!I$3,1)=1,"WO","P"))</f>
        <v>P</v>
      </c>
      <c r="J41" s="4" t="str">
        <f>IFERROR(LOOKUP(2,1/((lentry!$A$3:$A$3999=apr!$A41)*(lentry!$B$3:$B$3999&lt;=apr!J$3)*(lentry!$C$3:$C$3999&gt;=apr!J$3)),lentry!$D$3:$D$3999),IF(WEEKDAY(apr!J$3,1)=1,"WO","P"))</f>
        <v>WO</v>
      </c>
      <c r="K41" s="4" t="str">
        <f>IFERROR(LOOKUP(2,1/((lentry!$A$3:$A$3999=apr!$A41)*(lentry!$B$3:$B$3999&lt;=apr!K$3)*(lentry!$C$3:$C$3999&gt;=apr!K$3)),lentry!$D$3:$D$3999),IF(WEEKDAY(apr!K$3,1)=1,"WO","P"))</f>
        <v>P</v>
      </c>
      <c r="L41" s="4" t="str">
        <f>IFERROR(LOOKUP(2,1/((lentry!$A$3:$A$3999=apr!$A41)*(lentry!$B$3:$B$3999&lt;=apr!L$3)*(lentry!$C$3:$C$3999&gt;=apr!L$3)),lentry!$D$3:$D$3999),IF(WEEKDAY(apr!L$3,1)=1,"WO","P"))</f>
        <v>P</v>
      </c>
      <c r="M41" s="4" t="str">
        <f>IFERROR(LOOKUP(2,1/((lentry!$A$3:$A$3999=apr!$A41)*(lentry!$B$3:$B$3999&lt;=apr!M$3)*(lentry!$C$3:$C$3999&gt;=apr!M$3)),lentry!$D$3:$D$3999),IF(WEEKDAY(apr!M$3,1)=1,"WO","P"))</f>
        <v>P</v>
      </c>
      <c r="N41" s="4" t="str">
        <f>IFERROR(LOOKUP(2,1/((lentry!$A$3:$A$3999=apr!$A41)*(lentry!$B$3:$B$3999&lt;=apr!N$3)*(lentry!$C$3:$C$3999&gt;=apr!N$3)),lentry!$D$3:$D$3999),IF(WEEKDAY(apr!N$3,1)=1,"WO","P"))</f>
        <v>P</v>
      </c>
      <c r="O41" s="4" t="str">
        <f>IFERROR(LOOKUP(2,1/((lentry!$A$3:$A$3999=apr!$A41)*(lentry!$B$3:$B$3999&lt;=apr!O$3)*(lentry!$C$3:$C$3999&gt;=apr!O$3)),lentry!$D$3:$D$3999),IF(WEEKDAY(apr!O$3,1)=1,"WO","P"))</f>
        <v>P</v>
      </c>
      <c r="P41" s="4" t="str">
        <f>IFERROR(LOOKUP(2,1/((lentry!$A$3:$A$3999=apr!$A41)*(lentry!$B$3:$B$3999&lt;=apr!P$3)*(lentry!$C$3:$C$3999&gt;=apr!P$3)),lentry!$D$3:$D$3999),IF(WEEKDAY(apr!P$3,1)=1,"WO","P"))</f>
        <v>P</v>
      </c>
      <c r="Q41" s="4" t="str">
        <f>IFERROR(LOOKUP(2,1/((lentry!$A$3:$A$3999=apr!$A41)*(lentry!$B$3:$B$3999&lt;=apr!Q$3)*(lentry!$C$3:$C$3999&gt;=apr!Q$3)),lentry!$D$3:$D$3999),IF(WEEKDAY(apr!Q$3,1)=1,"WO","P"))</f>
        <v>WO</v>
      </c>
      <c r="R41" s="4" t="str">
        <f>IFERROR(LOOKUP(2,1/((lentry!$A$3:$A$3999=apr!$A41)*(lentry!$B$3:$B$3999&lt;=apr!R$3)*(lentry!$C$3:$C$3999&gt;=apr!R$3)),lentry!$D$3:$D$3999),IF(WEEKDAY(apr!R$3,1)=1,"WO","P"))</f>
        <v>P</v>
      </c>
      <c r="S41" s="4" t="s">
        <v>350</v>
      </c>
      <c r="T41" s="4" t="str">
        <f>IFERROR(LOOKUP(2,1/((lentry!$A$3:$A$3999=apr!$A41)*(lentry!$B$3:$B$3999&lt;=apr!T$3)*(lentry!$C$3:$C$3999&gt;=apr!T$3)),lentry!$D$3:$D$3999),IF(WEEKDAY(apr!T$3,1)=1,"WO","P"))</f>
        <v>P</v>
      </c>
      <c r="U41" s="4" t="str">
        <f>IFERROR(LOOKUP(2,1/((lentry!$A$3:$A$3999=apr!$A41)*(lentry!$B$3:$B$3999&lt;=apr!U$3)*(lentry!$C$3:$C$3999&gt;=apr!U$3)),lentry!$D$3:$D$3999),IF(WEEKDAY(apr!U$3,1)=1,"WO","P"))</f>
        <v>P</v>
      </c>
      <c r="V41" s="4" t="str">
        <f>IFERROR(LOOKUP(2,1/((lentry!$A$3:$A$3999=apr!$A41)*(lentry!$B$3:$B$3999&lt;=apr!V$3)*(lentry!$C$3:$C$3999&gt;=apr!V$3)),lentry!$D$3:$D$3999),IF(WEEKDAY(apr!V$3,1)=1,"WO","P"))</f>
        <v>P</v>
      </c>
      <c r="W41" s="4" t="str">
        <f>IFERROR(LOOKUP(2,1/((lentry!$A$3:$A$3999=apr!$A41)*(lentry!$B$3:$B$3999&lt;=apr!W$3)*(lentry!$C$3:$C$3999&gt;=apr!W$3)),lentry!$D$3:$D$3999),IF(WEEKDAY(apr!W$3,1)=1,"WO","P"))</f>
        <v>P</v>
      </c>
      <c r="X41" s="4" t="str">
        <f>IFERROR(LOOKUP(2,1/((lentry!$A$3:$A$3999=apr!$A41)*(lentry!$B$3:$B$3999&lt;=apr!X$3)*(lentry!$C$3:$C$3999&gt;=apr!X$3)),lentry!$D$3:$D$3999),IF(WEEKDAY(apr!X$3,1)=1,"WO","P"))</f>
        <v>WO</v>
      </c>
      <c r="Y41" s="4" t="str">
        <f>IFERROR(LOOKUP(2,1/((lentry!$A$3:$A$3999=apr!$A41)*(lentry!$B$3:$B$3999&lt;=apr!Y$3)*(lentry!$C$3:$C$3999&gt;=apr!Y$3)),lentry!$D$3:$D$3999),IF(WEEKDAY(apr!Y$3,1)=1,"WO","P"))</f>
        <v>P</v>
      </c>
      <c r="Z41" s="4" t="str">
        <f>IFERROR(LOOKUP(2,1/((lentry!$A$3:$A$3999=apr!$A41)*(lentry!$B$3:$B$3999&lt;=apr!Z$3)*(lentry!$C$3:$C$3999&gt;=apr!Z$3)),lentry!$D$3:$D$3999),IF(WEEKDAY(apr!Z$3,1)=1,"WO","P"))</f>
        <v>P</v>
      </c>
      <c r="AA41" s="4" t="str">
        <f>IFERROR(LOOKUP(2,1/((lentry!$A$3:$A$3999=apr!$A41)*(lentry!$B$3:$B$3999&lt;=apr!AA$3)*(lentry!$C$3:$C$3999&gt;=apr!AA$3)),lentry!$D$3:$D$3999),IF(WEEKDAY(apr!AA$3,1)=1,"WO","P"))</f>
        <v>P</v>
      </c>
      <c r="AB41" s="4" t="str">
        <f>IFERROR(LOOKUP(2,1/((lentry!$A$3:$A$3999=apr!$A41)*(lentry!$B$3:$B$3999&lt;=apr!AB$3)*(lentry!$C$3:$C$3999&gt;=apr!AB$3)),lentry!$D$3:$D$3999),IF(WEEKDAY(apr!AB$3,1)=1,"WO","P"))</f>
        <v>P</v>
      </c>
      <c r="AC41" s="4" t="str">
        <f>IFERROR(LOOKUP(2,1/((lentry!$A$3:$A$3999=apr!$A41)*(lentry!$B$3:$B$3999&lt;=apr!AC$3)*(lentry!$C$3:$C$3999&gt;=apr!AC$3)),lentry!$D$3:$D$3999),IF(WEEKDAY(apr!AC$3,1)=1,"WO","P"))</f>
        <v>P</v>
      </c>
      <c r="AD41" s="4" t="str">
        <f>IFERROR(LOOKUP(2,1/((lentry!$A$3:$A$3999=apr!$A41)*(lentry!$B$3:$B$3999&lt;=apr!AD$3)*(lentry!$C$3:$C$3999&gt;=apr!AD$3)),lentry!$D$3:$D$3999),IF(WEEKDAY(apr!AD$3,1)=1,"WO","P"))</f>
        <v>P</v>
      </c>
      <c r="AE41" s="4" t="str">
        <f>IFERROR(LOOKUP(2,1/((lentry!$A$3:$A$3999=apr!$A41)*(lentry!$B$3:$B$3999&lt;=apr!AE$3)*(lentry!$C$3:$C$3999&gt;=apr!AE$3)),lentry!$D$3:$D$3999),IF(WEEKDAY(apr!AE$3,1)=1,"WO","P"))</f>
        <v>WO</v>
      </c>
      <c r="AF41" s="4" t="str">
        <f>IFERROR(LOOKUP(2,1/((lentry!$A$3:$A$3999=apr!$A41)*(lentry!$B$3:$B$3999&lt;=apr!AF$3)*(lentry!$C$3:$C$3999&gt;=apr!AF$3)),lentry!$D$3:$D$3999),IF(WEEKDAY(apr!AF$3,1)=1,"WO","P"))</f>
        <v>P</v>
      </c>
      <c r="AG41" s="4" t="str">
        <f>IFERROR(LOOKUP(2,1/((lentry!$A$3:$A$3999=apr!$A41)*(lentry!$B$3:$B$3999&lt;=apr!AG$3)*(lentry!$C$3:$C$3999&gt;=apr!AG$3)),lentry!$D$3:$D$3999),IF(WEEKDAY(apr!AG$3,1)=1,"WO","P"))</f>
        <v>P</v>
      </c>
      <c r="AH41" s="4" t="str">
        <f>IFERROR(LOOKUP(2,1/((lentry!$A$3:$A$3999=apr!$A41)*(lentry!$B$3:$B$3999&lt;=apr!AH$3)*(lentry!$C$3:$C$3999&gt;=apr!AH$3)),lentry!$D$3:$D$3999),IF(WEEKDAY(apr!AH$3,1)=1,"WO","P"))</f>
        <v>P</v>
      </c>
      <c r="AI41" s="4" t="str">
        <f>IFERROR(LOOKUP(2,1/((lentry!$A$3:$A$3999=apr!$A41)*(lentry!$B$3:$B$3999&lt;=apr!AI$3)*(lentry!$C$3:$C$3999&gt;=apr!AI$3)),lentry!$D$3:$D$3999),IF(WEEKDAY(apr!AI$3,1)=1,"WO","P"))</f>
        <v>P</v>
      </c>
      <c r="AJ41" s="5">
        <f>COUNTIF(apr!$F41:$AI41,"WO")</f>
        <v>4</v>
      </c>
      <c r="AK41" s="5">
        <f>COUNTIF(jan!$F41:$AJ41,"H")</f>
        <v>1</v>
      </c>
      <c r="AL41" s="5">
        <f>COUNTIF(jan!$F41:$AJ41,"PL")</f>
        <v>0</v>
      </c>
      <c r="AM41" s="5">
        <f>COUNTIF(jan!$F41:$AJ41,"LWP")</f>
        <v>0</v>
      </c>
      <c r="AN41" s="5">
        <f>COUNTIF(jan!$F41:$AJ41,"HD")</f>
        <v>0</v>
      </c>
      <c r="AO41" s="5">
        <f>COUNTIF(jan!$F41:$AJ41,"SL")</f>
        <v>0</v>
      </c>
      <c r="AP41" s="5">
        <f>COUNTIF(jan!$F41:$AJ41,"CL")</f>
        <v>0</v>
      </c>
      <c r="AQ41" s="5">
        <f>COUNTIF(jan!$F41:$AJ41,"A")</f>
        <v>0</v>
      </c>
      <c r="AR41" s="5">
        <f>COUNTIF(jan!$F41:$AJ41,"P")</f>
        <v>26</v>
      </c>
      <c r="AS41" s="5">
        <f t="shared" si="4"/>
        <v>30</v>
      </c>
      <c r="AT41" s="5">
        <f t="shared" si="3"/>
        <v>31</v>
      </c>
      <c r="AU41" s="4">
        <f>SUMIFS(holly!$L$2:$L$122,holly!$I$2:$I$122,mar!$A41,holly!$K$2:$K$122,"Mar")</f>
        <v>0</v>
      </c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</row>
    <row r="42" spans="1:77" ht="18.75" x14ac:dyDescent="0.3">
      <c r="A42" s="3" t="s">
        <v>68</v>
      </c>
      <c r="B42" s="3" t="str">
        <f>VLOOKUP($A42,Master!$A$2:$K$52,2,0)</f>
        <v>Employee38</v>
      </c>
      <c r="C42" s="3" t="str">
        <f>VLOOKUP($A42,Master!$A$2:$K$52,3,0)</f>
        <v>Male</v>
      </c>
      <c r="D42" s="3" t="str">
        <f>VLOOKUP($A42,Master!$A$2:$K$52,5,0)</f>
        <v>Production</v>
      </c>
      <c r="E42" s="3" t="str">
        <f>VLOOKUP($A42,Master!$A$2:$K$52,6,0)</f>
        <v>Operator</v>
      </c>
      <c r="F42" s="4" t="str">
        <f>IFERROR(LOOKUP(2,1/((lentry!$A$3:$A$3999=apr!$A42)*(lentry!$B$3:$B$3999&lt;=apr!F$3)*(lentry!$C$3:$C$3999&gt;=apr!F$3)),lentry!$D$3:$D$3999),IF(WEEKDAY(apr!F$3,1)=1,"WO","P"))</f>
        <v>P</v>
      </c>
      <c r="G42" s="4" t="str">
        <f>IFERROR(LOOKUP(2,1/((lentry!$A$3:$A$3999=apr!$A42)*(lentry!$B$3:$B$3999&lt;=apr!G$3)*(lentry!$C$3:$C$3999&gt;=apr!G$3)),lentry!$D$3:$D$3999),IF(WEEKDAY(apr!G$3,1)=1,"WO","P"))</f>
        <v>P</v>
      </c>
      <c r="H42" s="4" t="s">
        <v>350</v>
      </c>
      <c r="I42" s="4" t="str">
        <f>IFERROR(LOOKUP(2,1/((lentry!$A$3:$A$3999=apr!$A42)*(lentry!$B$3:$B$3999&lt;=apr!I$3)*(lentry!$C$3:$C$3999&gt;=apr!I$3)),lentry!$D$3:$D$3999),IF(WEEKDAY(apr!I$3,1)=1,"WO","P"))</f>
        <v>P</v>
      </c>
      <c r="J42" s="4" t="str">
        <f>IFERROR(LOOKUP(2,1/((lentry!$A$3:$A$3999=apr!$A42)*(lentry!$B$3:$B$3999&lt;=apr!J$3)*(lentry!$C$3:$C$3999&gt;=apr!J$3)),lentry!$D$3:$D$3999),IF(WEEKDAY(apr!J$3,1)=1,"WO","P"))</f>
        <v>WO</v>
      </c>
      <c r="K42" s="4" t="str">
        <f>IFERROR(LOOKUP(2,1/((lentry!$A$3:$A$3999=apr!$A42)*(lentry!$B$3:$B$3999&lt;=apr!K$3)*(lentry!$C$3:$C$3999&gt;=apr!K$3)),lentry!$D$3:$D$3999),IF(WEEKDAY(apr!K$3,1)=1,"WO","P"))</f>
        <v>P</v>
      </c>
      <c r="L42" s="4" t="str">
        <f>IFERROR(LOOKUP(2,1/((lentry!$A$3:$A$3999=apr!$A42)*(lentry!$B$3:$B$3999&lt;=apr!L$3)*(lentry!$C$3:$C$3999&gt;=apr!L$3)),lentry!$D$3:$D$3999),IF(WEEKDAY(apr!L$3,1)=1,"WO","P"))</f>
        <v>P</v>
      </c>
      <c r="M42" s="4" t="str">
        <f>IFERROR(LOOKUP(2,1/((lentry!$A$3:$A$3999=apr!$A42)*(lentry!$B$3:$B$3999&lt;=apr!M$3)*(lentry!$C$3:$C$3999&gt;=apr!M$3)),lentry!$D$3:$D$3999),IF(WEEKDAY(apr!M$3,1)=1,"WO","P"))</f>
        <v>P</v>
      </c>
      <c r="N42" s="4" t="str">
        <f>IFERROR(LOOKUP(2,1/((lentry!$A$3:$A$3999=apr!$A42)*(lentry!$B$3:$B$3999&lt;=apr!N$3)*(lentry!$C$3:$C$3999&gt;=apr!N$3)),lentry!$D$3:$D$3999),IF(WEEKDAY(apr!N$3,1)=1,"WO","P"))</f>
        <v>P</v>
      </c>
      <c r="O42" s="4" t="str">
        <f>IFERROR(LOOKUP(2,1/((lentry!$A$3:$A$3999=apr!$A42)*(lentry!$B$3:$B$3999&lt;=apr!O$3)*(lentry!$C$3:$C$3999&gt;=apr!O$3)),lentry!$D$3:$D$3999),IF(WEEKDAY(apr!O$3,1)=1,"WO","P"))</f>
        <v>P</v>
      </c>
      <c r="P42" s="4" t="str">
        <f>IFERROR(LOOKUP(2,1/((lentry!$A$3:$A$3999=apr!$A42)*(lentry!$B$3:$B$3999&lt;=apr!P$3)*(lentry!$C$3:$C$3999&gt;=apr!P$3)),lentry!$D$3:$D$3999),IF(WEEKDAY(apr!P$3,1)=1,"WO","P"))</f>
        <v>P</v>
      </c>
      <c r="Q42" s="4" t="str">
        <f>IFERROR(LOOKUP(2,1/((lentry!$A$3:$A$3999=apr!$A42)*(lentry!$B$3:$B$3999&lt;=apr!Q$3)*(lentry!$C$3:$C$3999&gt;=apr!Q$3)),lentry!$D$3:$D$3999),IF(WEEKDAY(apr!Q$3,1)=1,"WO","P"))</f>
        <v>WO</v>
      </c>
      <c r="R42" s="4" t="str">
        <f>IFERROR(LOOKUP(2,1/((lentry!$A$3:$A$3999=apr!$A42)*(lentry!$B$3:$B$3999&lt;=apr!R$3)*(lentry!$C$3:$C$3999&gt;=apr!R$3)),lentry!$D$3:$D$3999),IF(WEEKDAY(apr!R$3,1)=1,"WO","P"))</f>
        <v>P</v>
      </c>
      <c r="S42" s="4" t="s">
        <v>350</v>
      </c>
      <c r="T42" s="4" t="str">
        <f>IFERROR(LOOKUP(2,1/((lentry!$A$3:$A$3999=apr!$A42)*(lentry!$B$3:$B$3999&lt;=apr!T$3)*(lentry!$C$3:$C$3999&gt;=apr!T$3)),lentry!$D$3:$D$3999),IF(WEEKDAY(apr!T$3,1)=1,"WO","P"))</f>
        <v>P</v>
      </c>
      <c r="U42" s="4" t="s">
        <v>539</v>
      </c>
      <c r="V42" s="4" t="str">
        <f>IFERROR(LOOKUP(2,1/((lentry!$A$3:$A$3999=apr!$A42)*(lentry!$B$3:$B$3999&lt;=apr!V$3)*(lentry!$C$3:$C$3999&gt;=apr!V$3)),lentry!$D$3:$D$3999),IF(WEEKDAY(apr!V$3,1)=1,"WO","P"))</f>
        <v>P</v>
      </c>
      <c r="W42" s="4" t="str">
        <f>IFERROR(LOOKUP(2,1/((lentry!$A$3:$A$3999=apr!$A42)*(lentry!$B$3:$B$3999&lt;=apr!W$3)*(lentry!$C$3:$C$3999&gt;=apr!W$3)),lentry!$D$3:$D$3999),IF(WEEKDAY(apr!W$3,1)=1,"WO","P"))</f>
        <v>P</v>
      </c>
      <c r="X42" s="4" t="str">
        <f>IFERROR(LOOKUP(2,1/((lentry!$A$3:$A$3999=apr!$A42)*(lentry!$B$3:$B$3999&lt;=apr!X$3)*(lentry!$C$3:$C$3999&gt;=apr!X$3)),lentry!$D$3:$D$3999),IF(WEEKDAY(apr!X$3,1)=1,"WO","P"))</f>
        <v>WO</v>
      </c>
      <c r="Y42" s="4" t="str">
        <f>IFERROR(LOOKUP(2,1/((lentry!$A$3:$A$3999=apr!$A42)*(lentry!$B$3:$B$3999&lt;=apr!Y$3)*(lentry!$C$3:$C$3999&gt;=apr!Y$3)),lentry!$D$3:$D$3999),IF(WEEKDAY(apr!Y$3,1)=1,"WO","P"))</f>
        <v>P</v>
      </c>
      <c r="Z42" s="4" t="str">
        <f>IFERROR(LOOKUP(2,1/((lentry!$A$3:$A$3999=apr!$A42)*(lentry!$B$3:$B$3999&lt;=apr!Z$3)*(lentry!$C$3:$C$3999&gt;=apr!Z$3)),lentry!$D$3:$D$3999),IF(WEEKDAY(apr!Z$3,1)=1,"WO","P"))</f>
        <v>P</v>
      </c>
      <c r="AA42" s="4" t="str">
        <f>IFERROR(LOOKUP(2,1/((lentry!$A$3:$A$3999=apr!$A42)*(lentry!$B$3:$B$3999&lt;=apr!AA$3)*(lentry!$C$3:$C$3999&gt;=apr!AA$3)),lentry!$D$3:$D$3999),IF(WEEKDAY(apr!AA$3,1)=1,"WO","P"))</f>
        <v>P</v>
      </c>
      <c r="AB42" s="4" t="str">
        <f>IFERROR(LOOKUP(2,1/((lentry!$A$3:$A$3999=apr!$A42)*(lentry!$B$3:$B$3999&lt;=apr!AB$3)*(lentry!$C$3:$C$3999&gt;=apr!AB$3)),lentry!$D$3:$D$3999),IF(WEEKDAY(apr!AB$3,1)=1,"WO","P"))</f>
        <v>P</v>
      </c>
      <c r="AC42" s="4" t="str">
        <f>IFERROR(LOOKUP(2,1/((lentry!$A$3:$A$3999=apr!$A42)*(lentry!$B$3:$B$3999&lt;=apr!AC$3)*(lentry!$C$3:$C$3999&gt;=apr!AC$3)),lentry!$D$3:$D$3999),IF(WEEKDAY(apr!AC$3,1)=1,"WO","P"))</f>
        <v>P</v>
      </c>
      <c r="AD42" s="4" t="str">
        <f>IFERROR(LOOKUP(2,1/((lentry!$A$3:$A$3999=apr!$A42)*(lentry!$B$3:$B$3999&lt;=apr!AD$3)*(lentry!$C$3:$C$3999&gt;=apr!AD$3)),lentry!$D$3:$D$3999),IF(WEEKDAY(apr!AD$3,1)=1,"WO","P"))</f>
        <v>P</v>
      </c>
      <c r="AE42" s="4" t="str">
        <f>IFERROR(LOOKUP(2,1/((lentry!$A$3:$A$3999=apr!$A42)*(lentry!$B$3:$B$3999&lt;=apr!AE$3)*(lentry!$C$3:$C$3999&gt;=apr!AE$3)),lentry!$D$3:$D$3999),IF(WEEKDAY(apr!AE$3,1)=1,"WO","P"))</f>
        <v>WO</v>
      </c>
      <c r="AF42" s="4" t="str">
        <f>IFERROR(LOOKUP(2,1/((lentry!$A$3:$A$3999=apr!$A42)*(lentry!$B$3:$B$3999&lt;=apr!AF$3)*(lentry!$C$3:$C$3999&gt;=apr!AF$3)),lentry!$D$3:$D$3999),IF(WEEKDAY(apr!AF$3,1)=1,"WO","P"))</f>
        <v>P</v>
      </c>
      <c r="AG42" s="4" t="str">
        <f>IFERROR(LOOKUP(2,1/((lentry!$A$3:$A$3999=apr!$A42)*(lentry!$B$3:$B$3999&lt;=apr!AG$3)*(lentry!$C$3:$C$3999&gt;=apr!AG$3)),lentry!$D$3:$D$3999),IF(WEEKDAY(apr!AG$3,1)=1,"WO","P"))</f>
        <v>P</v>
      </c>
      <c r="AH42" s="4" t="str">
        <f>IFERROR(LOOKUP(2,1/((lentry!$A$3:$A$3999=apr!$A42)*(lentry!$B$3:$B$3999&lt;=apr!AH$3)*(lentry!$C$3:$C$3999&gt;=apr!AH$3)),lentry!$D$3:$D$3999),IF(WEEKDAY(apr!AH$3,1)=1,"WO","P"))</f>
        <v>P</v>
      </c>
      <c r="AI42" s="4" t="str">
        <f>IFERROR(LOOKUP(2,1/((lentry!$A$3:$A$3999=apr!$A42)*(lentry!$B$3:$B$3999&lt;=apr!AI$3)*(lentry!$C$3:$C$3999&gt;=apr!AI$3)),lentry!$D$3:$D$3999),IF(WEEKDAY(apr!AI$3,1)=1,"WO","P"))</f>
        <v>P</v>
      </c>
      <c r="AJ42" s="5">
        <f>COUNTIF(apr!$F42:$AI42,"WO")</f>
        <v>4</v>
      </c>
      <c r="AK42" s="5">
        <f>COUNTIF(jan!$F42:$AJ42,"H")</f>
        <v>1</v>
      </c>
      <c r="AL42" s="5">
        <f>COUNTIF(jan!$F42:$AJ42,"PL")</f>
        <v>0</v>
      </c>
      <c r="AM42" s="5">
        <f>COUNTIF(jan!$F42:$AJ42,"LWP")</f>
        <v>0</v>
      </c>
      <c r="AN42" s="5">
        <f>COUNTIF(jan!$F42:$AJ42,"HD")</f>
        <v>0</v>
      </c>
      <c r="AO42" s="5">
        <f>COUNTIF(jan!$F42:$AJ42,"SL")</f>
        <v>0</v>
      </c>
      <c r="AP42" s="5">
        <f>COUNTIF(jan!$F42:$AJ42,"CL")</f>
        <v>0</v>
      </c>
      <c r="AQ42" s="5">
        <f>COUNTIF(jan!$F42:$AJ42,"A")</f>
        <v>0</v>
      </c>
      <c r="AR42" s="5">
        <f>COUNTIF(jan!$F42:$AJ42,"P")</f>
        <v>26</v>
      </c>
      <c r="AS42" s="5">
        <f t="shared" si="4"/>
        <v>30</v>
      </c>
      <c r="AT42" s="5">
        <f t="shared" si="3"/>
        <v>31</v>
      </c>
      <c r="AU42" s="4">
        <f>SUMIFS(holly!$L$2:$L$122,holly!$I$2:$I$122,mar!$A42,holly!$K$2:$K$122,"Mar")</f>
        <v>2</v>
      </c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</row>
    <row r="43" spans="1:77" ht="18.75" x14ac:dyDescent="0.3">
      <c r="A43" s="3" t="s">
        <v>69</v>
      </c>
      <c r="B43" s="3" t="str">
        <f>VLOOKUP($A43,Master!$A$2:$K$52,2,0)</f>
        <v>Employee39</v>
      </c>
      <c r="C43" s="3" t="str">
        <f>VLOOKUP($A43,Master!$A$2:$K$52,3,0)</f>
        <v>Male</v>
      </c>
      <c r="D43" s="3" t="str">
        <f>VLOOKUP($A43,Master!$A$2:$K$52,5,0)</f>
        <v>Production</v>
      </c>
      <c r="E43" s="3" t="str">
        <f>VLOOKUP($A43,Master!$A$2:$K$52,6,0)</f>
        <v>Supervisor</v>
      </c>
      <c r="F43" s="4" t="str">
        <f>IFERROR(LOOKUP(2,1/((lentry!$A$3:$A$3999=apr!$A43)*(lentry!$B$3:$B$3999&lt;=apr!F$3)*(lentry!$C$3:$C$3999&gt;=apr!F$3)),lentry!$D$3:$D$3999),IF(WEEKDAY(apr!F$3,1)=1,"WO","P"))</f>
        <v>P</v>
      </c>
      <c r="G43" s="4" t="str">
        <f>IFERROR(LOOKUP(2,1/((lentry!$A$3:$A$3999=apr!$A43)*(lentry!$B$3:$B$3999&lt;=apr!G$3)*(lentry!$C$3:$C$3999&gt;=apr!G$3)),lentry!$D$3:$D$3999),IF(WEEKDAY(apr!G$3,1)=1,"WO","P"))</f>
        <v>P</v>
      </c>
      <c r="H43" s="4" t="s">
        <v>350</v>
      </c>
      <c r="I43" s="4" t="str">
        <f>IFERROR(LOOKUP(2,1/((lentry!$A$3:$A$3999=apr!$A43)*(lentry!$B$3:$B$3999&lt;=apr!I$3)*(lentry!$C$3:$C$3999&gt;=apr!I$3)),lentry!$D$3:$D$3999),IF(WEEKDAY(apr!I$3,1)=1,"WO","P"))</f>
        <v>P</v>
      </c>
      <c r="J43" s="4" t="str">
        <f>IFERROR(LOOKUP(2,1/((lentry!$A$3:$A$3999=apr!$A43)*(lentry!$B$3:$B$3999&lt;=apr!J$3)*(lentry!$C$3:$C$3999&gt;=apr!J$3)),lentry!$D$3:$D$3999),IF(WEEKDAY(apr!J$3,1)=1,"WO","P"))</f>
        <v>WO</v>
      </c>
      <c r="K43" s="4" t="str">
        <f>IFERROR(LOOKUP(2,1/((lentry!$A$3:$A$3999=apr!$A43)*(lentry!$B$3:$B$3999&lt;=apr!K$3)*(lentry!$C$3:$C$3999&gt;=apr!K$3)),lentry!$D$3:$D$3999),IF(WEEKDAY(apr!K$3,1)=1,"WO","P"))</f>
        <v>P</v>
      </c>
      <c r="L43" s="4" t="str">
        <f>IFERROR(LOOKUP(2,1/((lentry!$A$3:$A$3999=apr!$A43)*(lentry!$B$3:$B$3999&lt;=apr!L$3)*(lentry!$C$3:$C$3999&gt;=apr!L$3)),lentry!$D$3:$D$3999),IF(WEEKDAY(apr!L$3,1)=1,"WO","P"))</f>
        <v>P</v>
      </c>
      <c r="M43" s="4" t="s">
        <v>539</v>
      </c>
      <c r="N43" s="4" t="str">
        <f>IFERROR(LOOKUP(2,1/((lentry!$A$3:$A$3999=apr!$A43)*(lentry!$B$3:$B$3999&lt;=apr!N$3)*(lentry!$C$3:$C$3999&gt;=apr!N$3)),lentry!$D$3:$D$3999),IF(WEEKDAY(apr!N$3,1)=1,"WO","P"))</f>
        <v>P</v>
      </c>
      <c r="O43" s="4" t="str">
        <f>IFERROR(LOOKUP(2,1/((lentry!$A$3:$A$3999=apr!$A43)*(lentry!$B$3:$B$3999&lt;=apr!O$3)*(lentry!$C$3:$C$3999&gt;=apr!O$3)),lentry!$D$3:$D$3999),IF(WEEKDAY(apr!O$3,1)=1,"WO","P"))</f>
        <v>P</v>
      </c>
      <c r="P43" s="4" t="str">
        <f>IFERROR(LOOKUP(2,1/((lentry!$A$3:$A$3999=apr!$A43)*(lentry!$B$3:$B$3999&lt;=apr!P$3)*(lentry!$C$3:$C$3999&gt;=apr!P$3)),lentry!$D$3:$D$3999),IF(WEEKDAY(apr!P$3,1)=1,"WO","P"))</f>
        <v>P</v>
      </c>
      <c r="Q43" s="4" t="str">
        <f>IFERROR(LOOKUP(2,1/((lentry!$A$3:$A$3999=apr!$A43)*(lentry!$B$3:$B$3999&lt;=apr!Q$3)*(lentry!$C$3:$C$3999&gt;=apr!Q$3)),lentry!$D$3:$D$3999),IF(WEEKDAY(apr!Q$3,1)=1,"WO","P"))</f>
        <v>WO</v>
      </c>
      <c r="R43" s="4" t="str">
        <f>IFERROR(LOOKUP(2,1/((lentry!$A$3:$A$3999=apr!$A43)*(lentry!$B$3:$B$3999&lt;=apr!R$3)*(lentry!$C$3:$C$3999&gt;=apr!R$3)),lentry!$D$3:$D$3999),IF(WEEKDAY(apr!R$3,1)=1,"WO","P"))</f>
        <v>P</v>
      </c>
      <c r="S43" s="4" t="s">
        <v>350</v>
      </c>
      <c r="T43" s="4" t="str">
        <f>IFERROR(LOOKUP(2,1/((lentry!$A$3:$A$3999=apr!$A43)*(lentry!$B$3:$B$3999&lt;=apr!T$3)*(lentry!$C$3:$C$3999&gt;=apr!T$3)),lentry!$D$3:$D$3999),IF(WEEKDAY(apr!T$3,1)=1,"WO","P"))</f>
        <v>P</v>
      </c>
      <c r="U43" s="4" t="str">
        <f>IFERROR(LOOKUP(2,1/((lentry!$A$3:$A$3999=apr!$A43)*(lentry!$B$3:$B$3999&lt;=apr!U$3)*(lentry!$C$3:$C$3999&gt;=apr!U$3)),lentry!$D$3:$D$3999),IF(WEEKDAY(apr!U$3,1)=1,"WO","P"))</f>
        <v>P</v>
      </c>
      <c r="V43" s="4" t="str">
        <f>IFERROR(LOOKUP(2,1/((lentry!$A$3:$A$3999=apr!$A43)*(lentry!$B$3:$B$3999&lt;=apr!V$3)*(lentry!$C$3:$C$3999&gt;=apr!V$3)),lentry!$D$3:$D$3999),IF(WEEKDAY(apr!V$3,1)=1,"WO","P"))</f>
        <v>P</v>
      </c>
      <c r="W43" s="4" t="str">
        <f>IFERROR(LOOKUP(2,1/((lentry!$A$3:$A$3999=apr!$A43)*(lentry!$B$3:$B$3999&lt;=apr!W$3)*(lentry!$C$3:$C$3999&gt;=apr!W$3)),lentry!$D$3:$D$3999),IF(WEEKDAY(apr!W$3,1)=1,"WO","P"))</f>
        <v>P</v>
      </c>
      <c r="X43" s="4" t="str">
        <f>IFERROR(LOOKUP(2,1/((lentry!$A$3:$A$3999=apr!$A43)*(lentry!$B$3:$B$3999&lt;=apr!X$3)*(lentry!$C$3:$C$3999&gt;=apr!X$3)),lentry!$D$3:$D$3999),IF(WEEKDAY(apr!X$3,1)=1,"WO","P"))</f>
        <v>WO</v>
      </c>
      <c r="Y43" s="4" t="str">
        <f>IFERROR(LOOKUP(2,1/((lentry!$A$3:$A$3999=apr!$A43)*(lentry!$B$3:$B$3999&lt;=apr!Y$3)*(lentry!$C$3:$C$3999&gt;=apr!Y$3)),lentry!$D$3:$D$3999),IF(WEEKDAY(apr!Y$3,1)=1,"WO","P"))</f>
        <v>P</v>
      </c>
      <c r="Z43" s="4" t="str">
        <f>IFERROR(LOOKUP(2,1/((lentry!$A$3:$A$3999=apr!$A43)*(lentry!$B$3:$B$3999&lt;=apr!Z$3)*(lentry!$C$3:$C$3999&gt;=apr!Z$3)),lentry!$D$3:$D$3999),IF(WEEKDAY(apr!Z$3,1)=1,"WO","P"))</f>
        <v>P</v>
      </c>
      <c r="AA43" s="4" t="str">
        <f>IFERROR(LOOKUP(2,1/((lentry!$A$3:$A$3999=apr!$A43)*(lentry!$B$3:$B$3999&lt;=apr!AA$3)*(lentry!$C$3:$C$3999&gt;=apr!AA$3)),lentry!$D$3:$D$3999),IF(WEEKDAY(apr!AA$3,1)=1,"WO","P"))</f>
        <v>P</v>
      </c>
      <c r="AB43" s="4" t="str">
        <f>IFERROR(LOOKUP(2,1/((lentry!$A$3:$A$3999=apr!$A43)*(lentry!$B$3:$B$3999&lt;=apr!AB$3)*(lentry!$C$3:$C$3999&gt;=apr!AB$3)),lentry!$D$3:$D$3999),IF(WEEKDAY(apr!AB$3,1)=1,"WO","P"))</f>
        <v>P</v>
      </c>
      <c r="AC43" s="4" t="str">
        <f>IFERROR(LOOKUP(2,1/((lentry!$A$3:$A$3999=apr!$A43)*(lentry!$B$3:$B$3999&lt;=apr!AC$3)*(lentry!$C$3:$C$3999&gt;=apr!AC$3)),lentry!$D$3:$D$3999),IF(WEEKDAY(apr!AC$3,1)=1,"WO","P"))</f>
        <v>P</v>
      </c>
      <c r="AD43" s="4" t="str">
        <f>IFERROR(LOOKUP(2,1/((lentry!$A$3:$A$3999=apr!$A43)*(lentry!$B$3:$B$3999&lt;=apr!AD$3)*(lentry!$C$3:$C$3999&gt;=apr!AD$3)),lentry!$D$3:$D$3999),IF(WEEKDAY(apr!AD$3,1)=1,"WO","P"))</f>
        <v>P</v>
      </c>
      <c r="AE43" s="4" t="str">
        <f>IFERROR(LOOKUP(2,1/((lentry!$A$3:$A$3999=apr!$A43)*(lentry!$B$3:$B$3999&lt;=apr!AE$3)*(lentry!$C$3:$C$3999&gt;=apr!AE$3)),lentry!$D$3:$D$3999),IF(WEEKDAY(apr!AE$3,1)=1,"WO","P"))</f>
        <v>WO</v>
      </c>
      <c r="AF43" s="4" t="str">
        <f>IFERROR(LOOKUP(2,1/((lentry!$A$3:$A$3999=apr!$A43)*(lentry!$B$3:$B$3999&lt;=apr!AF$3)*(lentry!$C$3:$C$3999&gt;=apr!AF$3)),lentry!$D$3:$D$3999),IF(WEEKDAY(apr!AF$3,1)=1,"WO","P"))</f>
        <v>P</v>
      </c>
      <c r="AG43" s="4" t="str">
        <f>IFERROR(LOOKUP(2,1/((lentry!$A$3:$A$3999=apr!$A43)*(lentry!$B$3:$B$3999&lt;=apr!AG$3)*(lentry!$C$3:$C$3999&gt;=apr!AG$3)),lentry!$D$3:$D$3999),IF(WEEKDAY(apr!AG$3,1)=1,"WO","P"))</f>
        <v>P</v>
      </c>
      <c r="AH43" s="4" t="str">
        <f>IFERROR(LOOKUP(2,1/((lentry!$A$3:$A$3999=apr!$A43)*(lentry!$B$3:$B$3999&lt;=apr!AH$3)*(lentry!$C$3:$C$3999&gt;=apr!AH$3)),lentry!$D$3:$D$3999),IF(WEEKDAY(apr!AH$3,1)=1,"WO","P"))</f>
        <v>P</v>
      </c>
      <c r="AI43" s="4" t="str">
        <f>IFERROR(LOOKUP(2,1/((lentry!$A$3:$A$3999=apr!$A43)*(lentry!$B$3:$B$3999&lt;=apr!AI$3)*(lentry!$C$3:$C$3999&gt;=apr!AI$3)),lentry!$D$3:$D$3999),IF(WEEKDAY(apr!AI$3,1)=1,"WO","P"))</f>
        <v>P</v>
      </c>
      <c r="AJ43" s="5">
        <f>COUNTIF(apr!$F43:$AI43,"WO")</f>
        <v>4</v>
      </c>
      <c r="AK43" s="5">
        <f>COUNTIF(jan!$F43:$AJ43,"H")</f>
        <v>1</v>
      </c>
      <c r="AL43" s="5">
        <f>COUNTIF(jan!$F43:$AJ43,"PL")</f>
        <v>0</v>
      </c>
      <c r="AM43" s="5">
        <f>COUNTIF(jan!$F43:$AJ43,"LWP")</f>
        <v>0</v>
      </c>
      <c r="AN43" s="5">
        <f>COUNTIF(jan!$F43:$AJ43,"HD")</f>
        <v>0</v>
      </c>
      <c r="AO43" s="5">
        <f>COUNTIF(jan!$F43:$AJ43,"SL")</f>
        <v>0</v>
      </c>
      <c r="AP43" s="5">
        <f>COUNTIF(jan!$F43:$AJ43,"CL")</f>
        <v>0</v>
      </c>
      <c r="AQ43" s="5">
        <f>COUNTIF(jan!$F43:$AJ43,"A")</f>
        <v>0</v>
      </c>
      <c r="AR43" s="5">
        <f>COUNTIF(jan!$F43:$AJ43,"P")</f>
        <v>26</v>
      </c>
      <c r="AS43" s="5">
        <f t="shared" si="4"/>
        <v>30</v>
      </c>
      <c r="AT43" s="5">
        <f t="shared" si="3"/>
        <v>31</v>
      </c>
      <c r="AU43" s="4">
        <f>SUMIFS(holly!$L$2:$L$122,holly!$I$2:$I$122,mar!$A43,holly!$K$2:$K$122,"Mar")</f>
        <v>0</v>
      </c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ht="18.75" x14ac:dyDescent="0.3">
      <c r="A44" s="3" t="s">
        <v>70</v>
      </c>
      <c r="B44" s="3" t="str">
        <f>VLOOKUP($A44,Master!$A$2:$K$52,2,0)</f>
        <v>Employee40</v>
      </c>
      <c r="C44" s="3" t="str">
        <f>VLOOKUP($A44,Master!$A$2:$K$52,3,0)</f>
        <v>Female</v>
      </c>
      <c r="D44" s="3" t="str">
        <f>VLOOKUP($A44,Master!$A$2:$K$52,5,0)</f>
        <v>HR</v>
      </c>
      <c r="E44" s="3" t="str">
        <f>VLOOKUP($A44,Master!$A$2:$K$52,6,0)</f>
        <v>HR Executive</v>
      </c>
      <c r="F44" s="4" t="str">
        <f>IFERROR(LOOKUP(2,1/((lentry!$A$3:$A$3999=apr!$A44)*(lentry!$B$3:$B$3999&lt;=apr!F$3)*(lentry!$C$3:$C$3999&gt;=apr!F$3)),lentry!$D$3:$D$3999),IF(WEEKDAY(apr!F$3,1)=1,"WO","P"))</f>
        <v>P</v>
      </c>
      <c r="G44" s="4" t="str">
        <f>IFERROR(LOOKUP(2,1/((lentry!$A$3:$A$3999=apr!$A44)*(lentry!$B$3:$B$3999&lt;=apr!G$3)*(lentry!$C$3:$C$3999&gt;=apr!G$3)),lentry!$D$3:$D$3999),IF(WEEKDAY(apr!G$3,1)=1,"WO","P"))</f>
        <v>P</v>
      </c>
      <c r="H44" s="4" t="s">
        <v>350</v>
      </c>
      <c r="I44" s="4" t="str">
        <f>IFERROR(LOOKUP(2,1/((lentry!$A$3:$A$3999=apr!$A44)*(lentry!$B$3:$B$3999&lt;=apr!I$3)*(lentry!$C$3:$C$3999&gt;=apr!I$3)),lentry!$D$3:$D$3999),IF(WEEKDAY(apr!I$3,1)=1,"WO","P"))</f>
        <v>P</v>
      </c>
      <c r="J44" s="4" t="str">
        <f>IFERROR(LOOKUP(2,1/((lentry!$A$3:$A$3999=apr!$A44)*(lentry!$B$3:$B$3999&lt;=apr!J$3)*(lentry!$C$3:$C$3999&gt;=apr!J$3)),lentry!$D$3:$D$3999),IF(WEEKDAY(apr!J$3,1)=1,"WO","P"))</f>
        <v>WO</v>
      </c>
      <c r="K44" s="4" t="str">
        <f>IFERROR(LOOKUP(2,1/((lentry!$A$3:$A$3999=apr!$A44)*(lentry!$B$3:$B$3999&lt;=apr!K$3)*(lentry!$C$3:$C$3999&gt;=apr!K$3)),lentry!$D$3:$D$3999),IF(WEEKDAY(apr!K$3,1)=1,"WO","P"))</f>
        <v>P</v>
      </c>
      <c r="L44" s="4" t="str">
        <f>IFERROR(LOOKUP(2,1/((lentry!$A$3:$A$3999=apr!$A44)*(lentry!$B$3:$B$3999&lt;=apr!L$3)*(lentry!$C$3:$C$3999&gt;=apr!L$3)),lentry!$D$3:$D$3999),IF(WEEKDAY(apr!L$3,1)=1,"WO","P"))</f>
        <v>P</v>
      </c>
      <c r="M44" s="4" t="str">
        <f>IFERROR(LOOKUP(2,1/((lentry!$A$3:$A$3999=apr!$A44)*(lentry!$B$3:$B$3999&lt;=apr!M$3)*(lentry!$C$3:$C$3999&gt;=apr!M$3)),lentry!$D$3:$D$3999),IF(WEEKDAY(apr!M$3,1)=1,"WO","P"))</f>
        <v>P</v>
      </c>
      <c r="N44" s="4" t="str">
        <f>IFERROR(LOOKUP(2,1/((lentry!$A$3:$A$3999=apr!$A44)*(lentry!$B$3:$B$3999&lt;=apr!N$3)*(lentry!$C$3:$C$3999&gt;=apr!N$3)),lentry!$D$3:$D$3999),IF(WEEKDAY(apr!N$3,1)=1,"WO","P"))</f>
        <v>P</v>
      </c>
      <c r="O44" s="4" t="str">
        <f>IFERROR(LOOKUP(2,1/((lentry!$A$3:$A$3999=apr!$A44)*(lentry!$B$3:$B$3999&lt;=apr!O$3)*(lentry!$C$3:$C$3999&gt;=apr!O$3)),lentry!$D$3:$D$3999),IF(WEEKDAY(apr!O$3,1)=1,"WO","P"))</f>
        <v>P</v>
      </c>
      <c r="P44" s="4" t="str">
        <f>IFERROR(LOOKUP(2,1/((lentry!$A$3:$A$3999=apr!$A44)*(lentry!$B$3:$B$3999&lt;=apr!P$3)*(lentry!$C$3:$C$3999&gt;=apr!P$3)),lentry!$D$3:$D$3999),IF(WEEKDAY(apr!P$3,1)=1,"WO","P"))</f>
        <v>P</v>
      </c>
      <c r="Q44" s="4" t="str">
        <f>IFERROR(LOOKUP(2,1/((lentry!$A$3:$A$3999=apr!$A44)*(lentry!$B$3:$B$3999&lt;=apr!Q$3)*(lentry!$C$3:$C$3999&gt;=apr!Q$3)),lentry!$D$3:$D$3999),IF(WEEKDAY(apr!Q$3,1)=1,"WO","P"))</f>
        <v>WO</v>
      </c>
      <c r="R44" s="4" t="str">
        <f>IFERROR(LOOKUP(2,1/((lentry!$A$3:$A$3999=apr!$A44)*(lentry!$B$3:$B$3999&lt;=apr!R$3)*(lentry!$C$3:$C$3999&gt;=apr!R$3)),lentry!$D$3:$D$3999),IF(WEEKDAY(apr!R$3,1)=1,"WO","P"))</f>
        <v>P</v>
      </c>
      <c r="S44" s="4" t="s">
        <v>350</v>
      </c>
      <c r="T44" s="4" t="str">
        <f>IFERROR(LOOKUP(2,1/((lentry!$A$3:$A$3999=apr!$A44)*(lentry!$B$3:$B$3999&lt;=apr!T$3)*(lentry!$C$3:$C$3999&gt;=apr!T$3)),lentry!$D$3:$D$3999),IF(WEEKDAY(apr!T$3,1)=1,"WO","P"))</f>
        <v>P</v>
      </c>
      <c r="U44" s="4" t="str">
        <f>IFERROR(LOOKUP(2,1/((lentry!$A$3:$A$3999=apr!$A44)*(lentry!$B$3:$B$3999&lt;=apr!U$3)*(lentry!$C$3:$C$3999&gt;=apr!U$3)),lentry!$D$3:$D$3999),IF(WEEKDAY(apr!U$3,1)=1,"WO","P"))</f>
        <v>P</v>
      </c>
      <c r="V44" s="4" t="str">
        <f>IFERROR(LOOKUP(2,1/((lentry!$A$3:$A$3999=apr!$A44)*(lentry!$B$3:$B$3999&lt;=apr!V$3)*(lentry!$C$3:$C$3999&gt;=apr!V$3)),lentry!$D$3:$D$3999),IF(WEEKDAY(apr!V$3,1)=1,"WO","P"))</f>
        <v>P</v>
      </c>
      <c r="W44" s="4" t="str">
        <f>IFERROR(LOOKUP(2,1/((lentry!$A$3:$A$3999=apr!$A44)*(lentry!$B$3:$B$3999&lt;=apr!W$3)*(lentry!$C$3:$C$3999&gt;=apr!W$3)),lentry!$D$3:$D$3999),IF(WEEKDAY(apr!W$3,1)=1,"WO","P"))</f>
        <v>P</v>
      </c>
      <c r="X44" s="4" t="str">
        <f>IFERROR(LOOKUP(2,1/((lentry!$A$3:$A$3999=apr!$A44)*(lentry!$B$3:$B$3999&lt;=apr!X$3)*(lentry!$C$3:$C$3999&gt;=apr!X$3)),lentry!$D$3:$D$3999),IF(WEEKDAY(apr!X$3,1)=1,"WO","P"))</f>
        <v>WO</v>
      </c>
      <c r="Y44" s="4" t="str">
        <f>IFERROR(LOOKUP(2,1/((lentry!$A$3:$A$3999=apr!$A44)*(lentry!$B$3:$B$3999&lt;=apr!Y$3)*(lentry!$C$3:$C$3999&gt;=apr!Y$3)),lentry!$D$3:$D$3999),IF(WEEKDAY(apr!Y$3,1)=1,"WO","P"))</f>
        <v>P</v>
      </c>
      <c r="Z44" s="4" t="str">
        <f>IFERROR(LOOKUP(2,1/((lentry!$A$3:$A$3999=apr!$A44)*(lentry!$B$3:$B$3999&lt;=apr!Z$3)*(lentry!$C$3:$C$3999&gt;=apr!Z$3)),lentry!$D$3:$D$3999),IF(WEEKDAY(apr!Z$3,1)=1,"WO","P"))</f>
        <v>P</v>
      </c>
      <c r="AA44" s="4" t="str">
        <f>IFERROR(LOOKUP(2,1/((lentry!$A$3:$A$3999=apr!$A44)*(lentry!$B$3:$B$3999&lt;=apr!AA$3)*(lentry!$C$3:$C$3999&gt;=apr!AA$3)),lentry!$D$3:$D$3999),IF(WEEKDAY(apr!AA$3,1)=1,"WO","P"))</f>
        <v>P</v>
      </c>
      <c r="AB44" s="4" t="str">
        <f>IFERROR(LOOKUP(2,1/((lentry!$A$3:$A$3999=apr!$A44)*(lentry!$B$3:$B$3999&lt;=apr!AB$3)*(lentry!$C$3:$C$3999&gt;=apr!AB$3)),lentry!$D$3:$D$3999),IF(WEEKDAY(apr!AB$3,1)=1,"WO","P"))</f>
        <v>P</v>
      </c>
      <c r="AC44" s="4" t="str">
        <f>IFERROR(LOOKUP(2,1/((lentry!$A$3:$A$3999=apr!$A44)*(lentry!$B$3:$B$3999&lt;=apr!AC$3)*(lentry!$C$3:$C$3999&gt;=apr!AC$3)),lentry!$D$3:$D$3999),IF(WEEKDAY(apr!AC$3,1)=1,"WO","P"))</f>
        <v>P</v>
      </c>
      <c r="AD44" s="4" t="str">
        <f>IFERROR(LOOKUP(2,1/((lentry!$A$3:$A$3999=apr!$A44)*(lentry!$B$3:$B$3999&lt;=apr!AD$3)*(lentry!$C$3:$C$3999&gt;=apr!AD$3)),lentry!$D$3:$D$3999),IF(WEEKDAY(apr!AD$3,1)=1,"WO","P"))</f>
        <v>P</v>
      </c>
      <c r="AE44" s="4" t="str">
        <f>IFERROR(LOOKUP(2,1/((lentry!$A$3:$A$3999=apr!$A44)*(lentry!$B$3:$B$3999&lt;=apr!AE$3)*(lentry!$C$3:$C$3999&gt;=apr!AE$3)),lentry!$D$3:$D$3999),IF(WEEKDAY(apr!AE$3,1)=1,"WO","P"))</f>
        <v>WO</v>
      </c>
      <c r="AF44" s="4" t="str">
        <f>IFERROR(LOOKUP(2,1/((lentry!$A$3:$A$3999=apr!$A44)*(lentry!$B$3:$B$3999&lt;=apr!AF$3)*(lentry!$C$3:$C$3999&gt;=apr!AF$3)),lentry!$D$3:$D$3999),IF(WEEKDAY(apr!AF$3,1)=1,"WO","P"))</f>
        <v>P</v>
      </c>
      <c r="AG44" s="4" t="str">
        <f>IFERROR(LOOKUP(2,1/((lentry!$A$3:$A$3999=apr!$A44)*(lentry!$B$3:$B$3999&lt;=apr!AG$3)*(lentry!$C$3:$C$3999&gt;=apr!AG$3)),lentry!$D$3:$D$3999),IF(WEEKDAY(apr!AG$3,1)=1,"WO","P"))</f>
        <v>P</v>
      </c>
      <c r="AH44" s="4" t="str">
        <f>IFERROR(LOOKUP(2,1/((lentry!$A$3:$A$3999=apr!$A44)*(lentry!$B$3:$B$3999&lt;=apr!AH$3)*(lentry!$C$3:$C$3999&gt;=apr!AH$3)),lentry!$D$3:$D$3999),IF(WEEKDAY(apr!AH$3,1)=1,"WO","P"))</f>
        <v>P</v>
      </c>
      <c r="AI44" s="4" t="str">
        <f>IFERROR(LOOKUP(2,1/((lentry!$A$3:$A$3999=apr!$A44)*(lentry!$B$3:$B$3999&lt;=apr!AI$3)*(lentry!$C$3:$C$3999&gt;=apr!AI$3)),lentry!$D$3:$D$3999),IF(WEEKDAY(apr!AI$3,1)=1,"WO","P"))</f>
        <v>P</v>
      </c>
      <c r="AJ44" s="5">
        <f>COUNTIF(apr!$F44:$AI44,"WO")</f>
        <v>4</v>
      </c>
      <c r="AK44" s="5">
        <f>COUNTIF(jan!$F44:$AJ44,"H")</f>
        <v>1</v>
      </c>
      <c r="AL44" s="5">
        <f>COUNTIF(jan!$F44:$AJ44,"PL")</f>
        <v>0</v>
      </c>
      <c r="AM44" s="5">
        <f>COUNTIF(jan!$F44:$AJ44,"LWP")</f>
        <v>0</v>
      </c>
      <c r="AN44" s="5">
        <f>COUNTIF(jan!$F44:$AJ44,"HD")</f>
        <v>0</v>
      </c>
      <c r="AO44" s="5">
        <f>COUNTIF(jan!$F44:$AJ44,"SL")</f>
        <v>0</v>
      </c>
      <c r="AP44" s="5">
        <f>COUNTIF(jan!$F44:$AJ44,"CL")</f>
        <v>0</v>
      </c>
      <c r="AQ44" s="5">
        <f>COUNTIF(jan!$F44:$AJ44,"A")</f>
        <v>0</v>
      </c>
      <c r="AR44" s="5">
        <f>COUNTIF(jan!$F44:$AJ44,"P")</f>
        <v>26</v>
      </c>
      <c r="AS44" s="5">
        <f t="shared" si="4"/>
        <v>30</v>
      </c>
      <c r="AT44" s="5">
        <f t="shared" si="3"/>
        <v>31</v>
      </c>
      <c r="AU44" s="4">
        <f>SUMIFS(holly!$L$2:$L$122,holly!$I$2:$I$122,mar!$A44,holly!$K$2:$K$122,"Mar")</f>
        <v>0</v>
      </c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</row>
    <row r="45" spans="1:77" ht="18.75" x14ac:dyDescent="0.3">
      <c r="A45" s="3" t="s">
        <v>71</v>
      </c>
      <c r="B45" s="3" t="str">
        <f>VLOOKUP($A45,Master!$A$2:$K$52,2,0)</f>
        <v>Employee41</v>
      </c>
      <c r="C45" s="3" t="str">
        <f>VLOOKUP($A45,Master!$A$2:$K$52,3,0)</f>
        <v>Male</v>
      </c>
      <c r="D45" s="3" t="str">
        <f>VLOOKUP($A45,Master!$A$2:$K$52,5,0)</f>
        <v>Production</v>
      </c>
      <c r="E45" s="3" t="str">
        <f>VLOOKUP($A45,Master!$A$2:$K$52,6,0)</f>
        <v>Senior Operator</v>
      </c>
      <c r="F45" s="4" t="str">
        <f>IFERROR(LOOKUP(2,1/((lentry!$A$3:$A$3999=apr!$A45)*(lentry!$B$3:$B$3999&lt;=apr!F$3)*(lentry!$C$3:$C$3999&gt;=apr!F$3)),lentry!$D$3:$D$3999),IF(WEEKDAY(apr!F$3,1)=1,"WO","P"))</f>
        <v>P</v>
      </c>
      <c r="G45" s="4" t="str">
        <f>IFERROR(LOOKUP(2,1/((lentry!$A$3:$A$3999=apr!$A45)*(lentry!$B$3:$B$3999&lt;=apr!G$3)*(lentry!$C$3:$C$3999&gt;=apr!G$3)),lentry!$D$3:$D$3999),IF(WEEKDAY(apr!G$3,1)=1,"WO","P"))</f>
        <v>P</v>
      </c>
      <c r="H45" s="4" t="s">
        <v>350</v>
      </c>
      <c r="I45" s="4" t="str">
        <f>IFERROR(LOOKUP(2,1/((lentry!$A$3:$A$3999=apr!$A45)*(lentry!$B$3:$B$3999&lt;=apr!I$3)*(lentry!$C$3:$C$3999&gt;=apr!I$3)),lentry!$D$3:$D$3999),IF(WEEKDAY(apr!I$3,1)=1,"WO","P"))</f>
        <v>P</v>
      </c>
      <c r="J45" s="4" t="str">
        <f>IFERROR(LOOKUP(2,1/((lentry!$A$3:$A$3999=apr!$A45)*(lentry!$B$3:$B$3999&lt;=apr!J$3)*(lentry!$C$3:$C$3999&gt;=apr!J$3)),lentry!$D$3:$D$3999),IF(WEEKDAY(apr!J$3,1)=1,"WO","P"))</f>
        <v>WO</v>
      </c>
      <c r="K45" s="4" t="str">
        <f>IFERROR(LOOKUP(2,1/((lentry!$A$3:$A$3999=apr!$A45)*(lentry!$B$3:$B$3999&lt;=apr!K$3)*(lentry!$C$3:$C$3999&gt;=apr!K$3)),lentry!$D$3:$D$3999),IF(WEEKDAY(apr!K$3,1)=1,"WO","P"))</f>
        <v>P</v>
      </c>
      <c r="L45" s="4" t="str">
        <f>IFERROR(LOOKUP(2,1/((lentry!$A$3:$A$3999=apr!$A45)*(lentry!$B$3:$B$3999&lt;=apr!L$3)*(lentry!$C$3:$C$3999&gt;=apr!L$3)),lentry!$D$3:$D$3999),IF(WEEKDAY(apr!L$3,1)=1,"WO","P"))</f>
        <v>P</v>
      </c>
      <c r="M45" s="4" t="str">
        <f>IFERROR(LOOKUP(2,1/((lentry!$A$3:$A$3999=apr!$A45)*(lentry!$B$3:$B$3999&lt;=apr!M$3)*(lentry!$C$3:$C$3999&gt;=apr!M$3)),lentry!$D$3:$D$3999),IF(WEEKDAY(apr!M$3,1)=1,"WO","P"))</f>
        <v>P</v>
      </c>
      <c r="N45" s="4" t="str">
        <f>IFERROR(LOOKUP(2,1/((lentry!$A$3:$A$3999=apr!$A45)*(lentry!$B$3:$B$3999&lt;=apr!N$3)*(lentry!$C$3:$C$3999&gt;=apr!N$3)),lentry!$D$3:$D$3999),IF(WEEKDAY(apr!N$3,1)=1,"WO","P"))</f>
        <v>P</v>
      </c>
      <c r="O45" s="4" t="str">
        <f>IFERROR(LOOKUP(2,1/((lentry!$A$3:$A$3999=apr!$A45)*(lentry!$B$3:$B$3999&lt;=apr!O$3)*(lentry!$C$3:$C$3999&gt;=apr!O$3)),lentry!$D$3:$D$3999),IF(WEEKDAY(apr!O$3,1)=1,"WO","P"))</f>
        <v>P</v>
      </c>
      <c r="P45" s="4" t="str">
        <f>IFERROR(LOOKUP(2,1/((lentry!$A$3:$A$3999=apr!$A45)*(lentry!$B$3:$B$3999&lt;=apr!P$3)*(lentry!$C$3:$C$3999&gt;=apr!P$3)),lentry!$D$3:$D$3999),IF(WEEKDAY(apr!P$3,1)=1,"WO","P"))</f>
        <v>P</v>
      </c>
      <c r="Q45" s="4" t="str">
        <f>IFERROR(LOOKUP(2,1/((lentry!$A$3:$A$3999=apr!$A45)*(lentry!$B$3:$B$3999&lt;=apr!Q$3)*(lentry!$C$3:$C$3999&gt;=apr!Q$3)),lentry!$D$3:$D$3999),IF(WEEKDAY(apr!Q$3,1)=1,"WO","P"))</f>
        <v>WO</v>
      </c>
      <c r="R45" s="4" t="str">
        <f>IFERROR(LOOKUP(2,1/((lentry!$A$3:$A$3999=apr!$A45)*(lentry!$B$3:$B$3999&lt;=apr!R$3)*(lentry!$C$3:$C$3999&gt;=apr!R$3)),lentry!$D$3:$D$3999),IF(WEEKDAY(apr!R$3,1)=1,"WO","P"))</f>
        <v>P</v>
      </c>
      <c r="S45" s="4" t="s">
        <v>350</v>
      </c>
      <c r="T45" s="4" t="str">
        <f>IFERROR(LOOKUP(2,1/((lentry!$A$3:$A$3999=apr!$A45)*(lentry!$B$3:$B$3999&lt;=apr!T$3)*(lentry!$C$3:$C$3999&gt;=apr!T$3)),lentry!$D$3:$D$3999),IF(WEEKDAY(apr!T$3,1)=1,"WO","P"))</f>
        <v>P</v>
      </c>
      <c r="U45" s="4" t="str">
        <f>IFERROR(LOOKUP(2,1/((lentry!$A$3:$A$3999=apr!$A45)*(lentry!$B$3:$B$3999&lt;=apr!U$3)*(lentry!$C$3:$C$3999&gt;=apr!U$3)),lentry!$D$3:$D$3999),IF(WEEKDAY(apr!U$3,1)=1,"WO","P"))</f>
        <v>P</v>
      </c>
      <c r="V45" s="4" t="str">
        <f>IFERROR(LOOKUP(2,1/((lentry!$A$3:$A$3999=apr!$A45)*(lentry!$B$3:$B$3999&lt;=apr!V$3)*(lentry!$C$3:$C$3999&gt;=apr!V$3)),lentry!$D$3:$D$3999),IF(WEEKDAY(apr!V$3,1)=1,"WO","P"))</f>
        <v>P</v>
      </c>
      <c r="W45" s="4" t="str">
        <f>IFERROR(LOOKUP(2,1/((lentry!$A$3:$A$3999=apr!$A45)*(lentry!$B$3:$B$3999&lt;=apr!W$3)*(lentry!$C$3:$C$3999&gt;=apr!W$3)),lentry!$D$3:$D$3999),IF(WEEKDAY(apr!W$3,1)=1,"WO","P"))</f>
        <v>P</v>
      </c>
      <c r="X45" s="4" t="str">
        <f>IFERROR(LOOKUP(2,1/((lentry!$A$3:$A$3999=apr!$A45)*(lentry!$B$3:$B$3999&lt;=apr!X$3)*(lentry!$C$3:$C$3999&gt;=apr!X$3)),lentry!$D$3:$D$3999),IF(WEEKDAY(apr!X$3,1)=1,"WO","P"))</f>
        <v>WO</v>
      </c>
      <c r="Y45" s="4" t="str">
        <f>IFERROR(LOOKUP(2,1/((lentry!$A$3:$A$3999=apr!$A45)*(lentry!$B$3:$B$3999&lt;=apr!Y$3)*(lentry!$C$3:$C$3999&gt;=apr!Y$3)),lentry!$D$3:$D$3999),IF(WEEKDAY(apr!Y$3,1)=1,"WO","P"))</f>
        <v>P</v>
      </c>
      <c r="Z45" s="4" t="str">
        <f>IFERROR(LOOKUP(2,1/((lentry!$A$3:$A$3999=apr!$A45)*(lentry!$B$3:$B$3999&lt;=apr!Z$3)*(lentry!$C$3:$C$3999&gt;=apr!Z$3)),lentry!$D$3:$D$3999),IF(WEEKDAY(apr!Z$3,1)=1,"WO","P"))</f>
        <v>P</v>
      </c>
      <c r="AA45" s="4" t="str">
        <f>IFERROR(LOOKUP(2,1/((lentry!$A$3:$A$3999=apr!$A45)*(lentry!$B$3:$B$3999&lt;=apr!AA$3)*(lentry!$C$3:$C$3999&gt;=apr!AA$3)),lentry!$D$3:$D$3999),IF(WEEKDAY(apr!AA$3,1)=1,"WO","P"))</f>
        <v>P</v>
      </c>
      <c r="AB45" s="4" t="str">
        <f>IFERROR(LOOKUP(2,1/((lentry!$A$3:$A$3999=apr!$A45)*(lentry!$B$3:$B$3999&lt;=apr!AB$3)*(lentry!$C$3:$C$3999&gt;=apr!AB$3)),lentry!$D$3:$D$3999),IF(WEEKDAY(apr!AB$3,1)=1,"WO","P"))</f>
        <v>P</v>
      </c>
      <c r="AC45" s="4" t="str">
        <f>IFERROR(LOOKUP(2,1/((lentry!$A$3:$A$3999=apr!$A45)*(lentry!$B$3:$B$3999&lt;=apr!AC$3)*(lentry!$C$3:$C$3999&gt;=apr!AC$3)),lentry!$D$3:$D$3999),IF(WEEKDAY(apr!AC$3,1)=1,"WO","P"))</f>
        <v>P</v>
      </c>
      <c r="AD45" s="4" t="str">
        <f>IFERROR(LOOKUP(2,1/((lentry!$A$3:$A$3999=apr!$A45)*(lentry!$B$3:$B$3999&lt;=apr!AD$3)*(lentry!$C$3:$C$3999&gt;=apr!AD$3)),lentry!$D$3:$D$3999),IF(WEEKDAY(apr!AD$3,1)=1,"WO","P"))</f>
        <v>P</v>
      </c>
      <c r="AE45" s="4" t="str">
        <f>IFERROR(LOOKUP(2,1/((lentry!$A$3:$A$3999=apr!$A45)*(lentry!$B$3:$B$3999&lt;=apr!AE$3)*(lentry!$C$3:$C$3999&gt;=apr!AE$3)),lentry!$D$3:$D$3999),IF(WEEKDAY(apr!AE$3,1)=1,"WO","P"))</f>
        <v>WO</v>
      </c>
      <c r="AF45" s="4" t="str">
        <f>IFERROR(LOOKUP(2,1/((lentry!$A$3:$A$3999=apr!$A45)*(lentry!$B$3:$B$3999&lt;=apr!AF$3)*(lentry!$C$3:$C$3999&gt;=apr!AF$3)),lentry!$D$3:$D$3999),IF(WEEKDAY(apr!AF$3,1)=1,"WO","P"))</f>
        <v>P</v>
      </c>
      <c r="AG45" s="4" t="str">
        <f>IFERROR(LOOKUP(2,1/((lentry!$A$3:$A$3999=apr!$A45)*(lentry!$B$3:$B$3999&lt;=apr!AG$3)*(lentry!$C$3:$C$3999&gt;=apr!AG$3)),lentry!$D$3:$D$3999),IF(WEEKDAY(apr!AG$3,1)=1,"WO","P"))</f>
        <v>P</v>
      </c>
      <c r="AH45" s="4" t="str">
        <f>IFERROR(LOOKUP(2,1/((lentry!$A$3:$A$3999=apr!$A45)*(lentry!$B$3:$B$3999&lt;=apr!AH$3)*(lentry!$C$3:$C$3999&gt;=apr!AH$3)),lentry!$D$3:$D$3999),IF(WEEKDAY(apr!AH$3,1)=1,"WO","P"))</f>
        <v>P</v>
      </c>
      <c r="AI45" s="4" t="str">
        <f>IFERROR(LOOKUP(2,1/((lentry!$A$3:$A$3999=apr!$A45)*(lentry!$B$3:$B$3999&lt;=apr!AI$3)*(lentry!$C$3:$C$3999&gt;=apr!AI$3)),lentry!$D$3:$D$3999),IF(WEEKDAY(apr!AI$3,1)=1,"WO","P"))</f>
        <v>P</v>
      </c>
      <c r="AJ45" s="5">
        <f>COUNTIF(apr!$F45:$AI45,"WO")</f>
        <v>4</v>
      </c>
      <c r="AK45" s="5">
        <f>COUNTIF(jan!$F45:$AJ45,"H")</f>
        <v>1</v>
      </c>
      <c r="AL45" s="5">
        <f>COUNTIF(jan!$F45:$AJ45,"PL")</f>
        <v>0</v>
      </c>
      <c r="AM45" s="5">
        <f>COUNTIF(jan!$F45:$AJ45,"LWP")</f>
        <v>0</v>
      </c>
      <c r="AN45" s="5">
        <f>COUNTIF(jan!$F45:$AJ45,"HD")</f>
        <v>0</v>
      </c>
      <c r="AO45" s="5">
        <f>COUNTIF(jan!$F45:$AJ45,"SL")</f>
        <v>0</v>
      </c>
      <c r="AP45" s="5">
        <f>COUNTIF(jan!$F45:$AJ45,"CL")</f>
        <v>0</v>
      </c>
      <c r="AQ45" s="5">
        <f>COUNTIF(jan!$F45:$AJ45,"A")</f>
        <v>0</v>
      </c>
      <c r="AR45" s="5">
        <f>COUNTIF(jan!$F45:$AJ45,"P")</f>
        <v>26</v>
      </c>
      <c r="AS45" s="5">
        <f t="shared" si="4"/>
        <v>30</v>
      </c>
      <c r="AT45" s="5">
        <f t="shared" si="3"/>
        <v>31</v>
      </c>
      <c r="AU45" s="4">
        <f>SUMIFS(holly!$L$2:$L$122,holly!$I$2:$I$122,mar!$A45,holly!$K$2:$K$122,"Mar")</f>
        <v>0</v>
      </c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</row>
    <row r="46" spans="1:77" ht="18.75" x14ac:dyDescent="0.3">
      <c r="A46" s="3" t="s">
        <v>72</v>
      </c>
      <c r="B46" s="3" t="str">
        <f>VLOOKUP($A46,Master!$A$2:$K$52,2,0)</f>
        <v>Employee42</v>
      </c>
      <c r="C46" s="3" t="str">
        <f>VLOOKUP($A46,Master!$A$2:$K$52,3,0)</f>
        <v>Female</v>
      </c>
      <c r="D46" s="3" t="str">
        <f>VLOOKUP($A46,Master!$A$2:$K$52,5,0)</f>
        <v>Production</v>
      </c>
      <c r="E46" s="3" t="str">
        <f>VLOOKUP($A46,Master!$A$2:$K$52,6,0)</f>
        <v>Operator</v>
      </c>
      <c r="F46" s="4" t="str">
        <f>IFERROR(LOOKUP(2,1/((lentry!$A$3:$A$3999=apr!$A46)*(lentry!$B$3:$B$3999&lt;=apr!F$3)*(lentry!$C$3:$C$3999&gt;=apr!F$3)),lentry!$D$3:$D$3999),IF(WEEKDAY(apr!F$3,1)=1,"WO","P"))</f>
        <v>P</v>
      </c>
      <c r="G46" s="4" t="str">
        <f>IFERROR(LOOKUP(2,1/((lentry!$A$3:$A$3999=apr!$A46)*(lentry!$B$3:$B$3999&lt;=apr!G$3)*(lentry!$C$3:$C$3999&gt;=apr!G$3)),lentry!$D$3:$D$3999),IF(WEEKDAY(apr!G$3,1)=1,"WO","P"))</f>
        <v>P</v>
      </c>
      <c r="H46" s="4" t="s">
        <v>350</v>
      </c>
      <c r="I46" s="4" t="str">
        <f>IFERROR(LOOKUP(2,1/((lentry!$A$3:$A$3999=apr!$A46)*(lentry!$B$3:$B$3999&lt;=apr!I$3)*(lentry!$C$3:$C$3999&gt;=apr!I$3)),lentry!$D$3:$D$3999),IF(WEEKDAY(apr!I$3,1)=1,"WO","P"))</f>
        <v>P</v>
      </c>
      <c r="J46" s="4" t="str">
        <f>IFERROR(LOOKUP(2,1/((lentry!$A$3:$A$3999=apr!$A46)*(lentry!$B$3:$B$3999&lt;=apr!J$3)*(lentry!$C$3:$C$3999&gt;=apr!J$3)),lentry!$D$3:$D$3999),IF(WEEKDAY(apr!J$3,1)=1,"WO","P"))</f>
        <v>WO</v>
      </c>
      <c r="K46" s="4" t="str">
        <f>IFERROR(LOOKUP(2,1/((lentry!$A$3:$A$3999=apr!$A46)*(lentry!$B$3:$B$3999&lt;=apr!K$3)*(lentry!$C$3:$C$3999&gt;=apr!K$3)),lentry!$D$3:$D$3999),IF(WEEKDAY(apr!K$3,1)=1,"WO","P"))</f>
        <v>P</v>
      </c>
      <c r="L46" s="4" t="str">
        <f>IFERROR(LOOKUP(2,1/((lentry!$A$3:$A$3999=apr!$A46)*(lentry!$B$3:$B$3999&lt;=apr!L$3)*(lentry!$C$3:$C$3999&gt;=apr!L$3)),lentry!$D$3:$D$3999),IF(WEEKDAY(apr!L$3,1)=1,"WO","P"))</f>
        <v>P</v>
      </c>
      <c r="M46" s="4" t="str">
        <f>IFERROR(LOOKUP(2,1/((lentry!$A$3:$A$3999=apr!$A46)*(lentry!$B$3:$B$3999&lt;=apr!M$3)*(lentry!$C$3:$C$3999&gt;=apr!M$3)),lentry!$D$3:$D$3999),IF(WEEKDAY(apr!M$3,1)=1,"WO","P"))</f>
        <v>P</v>
      </c>
      <c r="N46" s="4" t="str">
        <f>IFERROR(LOOKUP(2,1/((lentry!$A$3:$A$3999=apr!$A46)*(lentry!$B$3:$B$3999&lt;=apr!N$3)*(lentry!$C$3:$C$3999&gt;=apr!N$3)),lentry!$D$3:$D$3999),IF(WEEKDAY(apr!N$3,1)=1,"WO","P"))</f>
        <v>P</v>
      </c>
      <c r="O46" s="4" t="str">
        <f>IFERROR(LOOKUP(2,1/((lentry!$A$3:$A$3999=apr!$A46)*(lentry!$B$3:$B$3999&lt;=apr!O$3)*(lentry!$C$3:$C$3999&gt;=apr!O$3)),lentry!$D$3:$D$3999),IF(WEEKDAY(apr!O$3,1)=1,"WO","P"))</f>
        <v>P</v>
      </c>
      <c r="P46" s="4" t="str">
        <f>IFERROR(LOOKUP(2,1/((lentry!$A$3:$A$3999=apr!$A46)*(lentry!$B$3:$B$3999&lt;=apr!P$3)*(lentry!$C$3:$C$3999&gt;=apr!P$3)),lentry!$D$3:$D$3999),IF(WEEKDAY(apr!P$3,1)=1,"WO","P"))</f>
        <v>P</v>
      </c>
      <c r="Q46" s="4" t="str">
        <f>IFERROR(LOOKUP(2,1/((lentry!$A$3:$A$3999=apr!$A46)*(lentry!$B$3:$B$3999&lt;=apr!Q$3)*(lentry!$C$3:$C$3999&gt;=apr!Q$3)),lentry!$D$3:$D$3999),IF(WEEKDAY(apr!Q$3,1)=1,"WO","P"))</f>
        <v>WO</v>
      </c>
      <c r="R46" s="4" t="str">
        <f>IFERROR(LOOKUP(2,1/((lentry!$A$3:$A$3999=apr!$A46)*(lentry!$B$3:$B$3999&lt;=apr!R$3)*(lentry!$C$3:$C$3999&gt;=apr!R$3)),lentry!$D$3:$D$3999),IF(WEEKDAY(apr!R$3,1)=1,"WO","P"))</f>
        <v>P</v>
      </c>
      <c r="S46" s="4" t="s">
        <v>350</v>
      </c>
      <c r="T46" s="4" t="str">
        <f>IFERROR(LOOKUP(2,1/((lentry!$A$3:$A$3999=apr!$A46)*(lentry!$B$3:$B$3999&lt;=apr!T$3)*(lentry!$C$3:$C$3999&gt;=apr!T$3)),lentry!$D$3:$D$3999),IF(WEEKDAY(apr!T$3,1)=1,"WO","P"))</f>
        <v>P</v>
      </c>
      <c r="U46" s="4" t="str">
        <f>IFERROR(LOOKUP(2,1/((lentry!$A$3:$A$3999=apr!$A46)*(lentry!$B$3:$B$3999&lt;=apr!U$3)*(lentry!$C$3:$C$3999&gt;=apr!U$3)),lentry!$D$3:$D$3999),IF(WEEKDAY(apr!U$3,1)=1,"WO","P"))</f>
        <v>P</v>
      </c>
      <c r="V46" s="4" t="str">
        <f>IFERROR(LOOKUP(2,1/((lentry!$A$3:$A$3999=apr!$A46)*(lentry!$B$3:$B$3999&lt;=apr!V$3)*(lentry!$C$3:$C$3999&gt;=apr!V$3)),lentry!$D$3:$D$3999),IF(WEEKDAY(apr!V$3,1)=1,"WO","P"))</f>
        <v>P</v>
      </c>
      <c r="W46" s="4" t="str">
        <f>IFERROR(LOOKUP(2,1/((lentry!$A$3:$A$3999=apr!$A46)*(lentry!$B$3:$B$3999&lt;=apr!W$3)*(lentry!$C$3:$C$3999&gt;=apr!W$3)),lentry!$D$3:$D$3999),IF(WEEKDAY(apr!W$3,1)=1,"WO","P"))</f>
        <v>P</v>
      </c>
      <c r="X46" s="4" t="str">
        <f>IFERROR(LOOKUP(2,1/((lentry!$A$3:$A$3999=apr!$A46)*(lentry!$B$3:$B$3999&lt;=apr!X$3)*(lentry!$C$3:$C$3999&gt;=apr!X$3)),lentry!$D$3:$D$3999),IF(WEEKDAY(apr!X$3,1)=1,"WO","P"))</f>
        <v>WO</v>
      </c>
      <c r="Y46" s="4" t="str">
        <f>IFERROR(LOOKUP(2,1/((lentry!$A$3:$A$3999=apr!$A46)*(lentry!$B$3:$B$3999&lt;=apr!Y$3)*(lentry!$C$3:$C$3999&gt;=apr!Y$3)),lentry!$D$3:$D$3999),IF(WEEKDAY(apr!Y$3,1)=1,"WO","P"))</f>
        <v>P</v>
      </c>
      <c r="Z46" s="4" t="str">
        <f>IFERROR(LOOKUP(2,1/((lentry!$A$3:$A$3999=apr!$A46)*(lentry!$B$3:$B$3999&lt;=apr!Z$3)*(lentry!$C$3:$C$3999&gt;=apr!Z$3)),lentry!$D$3:$D$3999),IF(WEEKDAY(apr!Z$3,1)=1,"WO","P"))</f>
        <v>P</v>
      </c>
      <c r="AA46" s="4" t="str">
        <f>IFERROR(LOOKUP(2,1/((lentry!$A$3:$A$3999=apr!$A46)*(lentry!$B$3:$B$3999&lt;=apr!AA$3)*(lentry!$C$3:$C$3999&gt;=apr!AA$3)),lentry!$D$3:$D$3999),IF(WEEKDAY(apr!AA$3,1)=1,"WO","P"))</f>
        <v>P</v>
      </c>
      <c r="AB46" s="4" t="s">
        <v>539</v>
      </c>
      <c r="AC46" s="4" t="str">
        <f>IFERROR(LOOKUP(2,1/((lentry!$A$3:$A$3999=apr!$A46)*(lentry!$B$3:$B$3999&lt;=apr!AC$3)*(lentry!$C$3:$C$3999&gt;=apr!AC$3)),lentry!$D$3:$D$3999),IF(WEEKDAY(apr!AC$3,1)=1,"WO","P"))</f>
        <v>P</v>
      </c>
      <c r="AD46" s="4" t="str">
        <f>IFERROR(LOOKUP(2,1/((lentry!$A$3:$A$3999=apr!$A46)*(lentry!$B$3:$B$3999&lt;=apr!AD$3)*(lentry!$C$3:$C$3999&gt;=apr!AD$3)),lentry!$D$3:$D$3999),IF(WEEKDAY(apr!AD$3,1)=1,"WO","P"))</f>
        <v>P</v>
      </c>
      <c r="AE46" s="4" t="str">
        <f>IFERROR(LOOKUP(2,1/((lentry!$A$3:$A$3999=apr!$A46)*(lentry!$B$3:$B$3999&lt;=apr!AE$3)*(lentry!$C$3:$C$3999&gt;=apr!AE$3)),lentry!$D$3:$D$3999),IF(WEEKDAY(apr!AE$3,1)=1,"WO","P"))</f>
        <v>WO</v>
      </c>
      <c r="AF46" s="4" t="str">
        <f>IFERROR(LOOKUP(2,1/((lentry!$A$3:$A$3999=apr!$A46)*(lentry!$B$3:$B$3999&lt;=apr!AF$3)*(lentry!$C$3:$C$3999&gt;=apr!AF$3)),lentry!$D$3:$D$3999),IF(WEEKDAY(apr!AF$3,1)=1,"WO","P"))</f>
        <v>P</v>
      </c>
      <c r="AG46" s="4" t="str">
        <f>IFERROR(LOOKUP(2,1/((lentry!$A$3:$A$3999=apr!$A46)*(lentry!$B$3:$B$3999&lt;=apr!AG$3)*(lentry!$C$3:$C$3999&gt;=apr!AG$3)),lentry!$D$3:$D$3999),IF(WEEKDAY(apr!AG$3,1)=1,"WO","P"))</f>
        <v>P</v>
      </c>
      <c r="AH46" s="4" t="str">
        <f>IFERROR(LOOKUP(2,1/((lentry!$A$3:$A$3999=apr!$A46)*(lentry!$B$3:$B$3999&lt;=apr!AH$3)*(lentry!$C$3:$C$3999&gt;=apr!AH$3)),lentry!$D$3:$D$3999),IF(WEEKDAY(apr!AH$3,1)=1,"WO","P"))</f>
        <v>P</v>
      </c>
      <c r="AI46" s="4" t="str">
        <f>IFERROR(LOOKUP(2,1/((lentry!$A$3:$A$3999=apr!$A46)*(lentry!$B$3:$B$3999&lt;=apr!AI$3)*(lentry!$C$3:$C$3999&gt;=apr!AI$3)),lentry!$D$3:$D$3999),IF(WEEKDAY(apr!AI$3,1)=1,"WO","P"))</f>
        <v>P</v>
      </c>
      <c r="AJ46" s="5">
        <f>COUNTIF(apr!$F46:$AI46,"WO")</f>
        <v>4</v>
      </c>
      <c r="AK46" s="5">
        <f>COUNTIF(jan!$F46:$AJ46,"H")</f>
        <v>1</v>
      </c>
      <c r="AL46" s="5">
        <f>COUNTIF(jan!$F46:$AJ46,"PL")</f>
        <v>0</v>
      </c>
      <c r="AM46" s="5">
        <f>COUNTIF(jan!$F46:$AJ46,"LWP")</f>
        <v>0</v>
      </c>
      <c r="AN46" s="5">
        <f>COUNTIF(jan!$F46:$AJ46,"HD")</f>
        <v>0</v>
      </c>
      <c r="AO46" s="5">
        <f>COUNTIF(jan!$F46:$AJ46,"SL")</f>
        <v>0</v>
      </c>
      <c r="AP46" s="5">
        <f>COUNTIF(jan!$F46:$AJ46,"CL")</f>
        <v>0</v>
      </c>
      <c r="AQ46" s="5">
        <f>COUNTIF(jan!$F46:$AJ46,"A")</f>
        <v>0</v>
      </c>
      <c r="AR46" s="5">
        <f>COUNTIF(jan!$F46:$AJ46,"P")</f>
        <v>26</v>
      </c>
      <c r="AS46" s="5">
        <f t="shared" si="4"/>
        <v>30</v>
      </c>
      <c r="AT46" s="5">
        <f t="shared" si="3"/>
        <v>31</v>
      </c>
      <c r="AU46" s="4">
        <f>SUMIFS(holly!$L$2:$L$122,holly!$I$2:$I$122,mar!$A46,holly!$K$2:$K$122,"Mar")</f>
        <v>1</v>
      </c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</row>
    <row r="47" spans="1:77" ht="18.75" x14ac:dyDescent="0.3">
      <c r="A47" s="3" t="s">
        <v>73</v>
      </c>
      <c r="B47" s="3" t="str">
        <f>VLOOKUP($A47,Master!$A$2:$K$52,2,0)</f>
        <v>Employee43</v>
      </c>
      <c r="C47" s="3" t="str">
        <f>VLOOKUP($A47,Master!$A$2:$K$52,3,0)</f>
        <v>Female</v>
      </c>
      <c r="D47" s="3" t="str">
        <f>VLOOKUP($A47,Master!$A$2:$K$52,5,0)</f>
        <v>Production</v>
      </c>
      <c r="E47" s="3" t="str">
        <f>VLOOKUP($A47,Master!$A$2:$K$52,6,0)</f>
        <v>Operator</v>
      </c>
      <c r="F47" s="4" t="str">
        <f>IFERROR(LOOKUP(2,1/((lentry!$A$3:$A$3999=apr!$A47)*(lentry!$B$3:$B$3999&lt;=apr!F$3)*(lentry!$C$3:$C$3999&gt;=apr!F$3)),lentry!$D$3:$D$3999),IF(WEEKDAY(apr!F$3,1)=1,"WO","P"))</f>
        <v>P</v>
      </c>
      <c r="G47" s="4" t="str">
        <f>IFERROR(LOOKUP(2,1/((lentry!$A$3:$A$3999=apr!$A47)*(lentry!$B$3:$B$3999&lt;=apr!G$3)*(lentry!$C$3:$C$3999&gt;=apr!G$3)),lentry!$D$3:$D$3999),IF(WEEKDAY(apr!G$3,1)=1,"WO","P"))</f>
        <v>P</v>
      </c>
      <c r="H47" s="4" t="s">
        <v>350</v>
      </c>
      <c r="I47" s="4" t="str">
        <f>IFERROR(LOOKUP(2,1/((lentry!$A$3:$A$3999=apr!$A47)*(lentry!$B$3:$B$3999&lt;=apr!I$3)*(lentry!$C$3:$C$3999&gt;=apr!I$3)),lentry!$D$3:$D$3999),IF(WEEKDAY(apr!I$3,1)=1,"WO","P"))</f>
        <v>P</v>
      </c>
      <c r="J47" s="4" t="str">
        <f>IFERROR(LOOKUP(2,1/((lentry!$A$3:$A$3999=apr!$A47)*(lentry!$B$3:$B$3999&lt;=apr!J$3)*(lentry!$C$3:$C$3999&gt;=apr!J$3)),lentry!$D$3:$D$3999),IF(WEEKDAY(apr!J$3,1)=1,"WO","P"))</f>
        <v>WO</v>
      </c>
      <c r="K47" s="4" t="str">
        <f>IFERROR(LOOKUP(2,1/((lentry!$A$3:$A$3999=apr!$A47)*(lentry!$B$3:$B$3999&lt;=apr!K$3)*(lentry!$C$3:$C$3999&gt;=apr!K$3)),lentry!$D$3:$D$3999),IF(WEEKDAY(apr!K$3,1)=1,"WO","P"))</f>
        <v>P</v>
      </c>
      <c r="L47" s="4" t="str">
        <f>IFERROR(LOOKUP(2,1/((lentry!$A$3:$A$3999=apr!$A47)*(lentry!$B$3:$B$3999&lt;=apr!L$3)*(lentry!$C$3:$C$3999&gt;=apr!L$3)),lentry!$D$3:$D$3999),IF(WEEKDAY(apr!L$3,1)=1,"WO","P"))</f>
        <v>P</v>
      </c>
      <c r="M47" s="4" t="str">
        <f>IFERROR(LOOKUP(2,1/((lentry!$A$3:$A$3999=apr!$A47)*(lentry!$B$3:$B$3999&lt;=apr!M$3)*(lentry!$C$3:$C$3999&gt;=apr!M$3)),lentry!$D$3:$D$3999),IF(WEEKDAY(apr!M$3,1)=1,"WO","P"))</f>
        <v>P</v>
      </c>
      <c r="N47" s="4" t="str">
        <f>IFERROR(LOOKUP(2,1/((lentry!$A$3:$A$3999=apr!$A47)*(lentry!$B$3:$B$3999&lt;=apr!N$3)*(lentry!$C$3:$C$3999&gt;=apr!N$3)),lentry!$D$3:$D$3999),IF(WEEKDAY(apr!N$3,1)=1,"WO","P"))</f>
        <v>P</v>
      </c>
      <c r="O47" s="4" t="str">
        <f>IFERROR(LOOKUP(2,1/((lentry!$A$3:$A$3999=apr!$A47)*(lentry!$B$3:$B$3999&lt;=apr!O$3)*(lentry!$C$3:$C$3999&gt;=apr!O$3)),lentry!$D$3:$D$3999),IF(WEEKDAY(apr!O$3,1)=1,"WO","P"))</f>
        <v>P</v>
      </c>
      <c r="P47" s="4" t="str">
        <f>IFERROR(LOOKUP(2,1/((lentry!$A$3:$A$3999=apr!$A47)*(lentry!$B$3:$B$3999&lt;=apr!P$3)*(lentry!$C$3:$C$3999&gt;=apr!P$3)),lentry!$D$3:$D$3999),IF(WEEKDAY(apr!P$3,1)=1,"WO","P"))</f>
        <v>P</v>
      </c>
      <c r="Q47" s="4" t="str">
        <f>IFERROR(LOOKUP(2,1/((lentry!$A$3:$A$3999=apr!$A47)*(lentry!$B$3:$B$3999&lt;=apr!Q$3)*(lentry!$C$3:$C$3999&gt;=apr!Q$3)),lentry!$D$3:$D$3999),IF(WEEKDAY(apr!Q$3,1)=1,"WO","P"))</f>
        <v>WO</v>
      </c>
      <c r="R47" s="4" t="str">
        <f>IFERROR(LOOKUP(2,1/((lentry!$A$3:$A$3999=apr!$A47)*(lentry!$B$3:$B$3999&lt;=apr!R$3)*(lentry!$C$3:$C$3999&gt;=apr!R$3)),lentry!$D$3:$D$3999),IF(WEEKDAY(apr!R$3,1)=1,"WO","P"))</f>
        <v>P</v>
      </c>
      <c r="S47" s="4" t="s">
        <v>350</v>
      </c>
      <c r="T47" s="4" t="str">
        <f>IFERROR(LOOKUP(2,1/((lentry!$A$3:$A$3999=apr!$A47)*(lentry!$B$3:$B$3999&lt;=apr!T$3)*(lentry!$C$3:$C$3999&gt;=apr!T$3)),lentry!$D$3:$D$3999),IF(WEEKDAY(apr!T$3,1)=1,"WO","P"))</f>
        <v>P</v>
      </c>
      <c r="U47" s="4" t="str">
        <f>IFERROR(LOOKUP(2,1/((lentry!$A$3:$A$3999=apr!$A47)*(lentry!$B$3:$B$3999&lt;=apr!U$3)*(lentry!$C$3:$C$3999&gt;=apr!U$3)),lentry!$D$3:$D$3999),IF(WEEKDAY(apr!U$3,1)=1,"WO","P"))</f>
        <v>P</v>
      </c>
      <c r="V47" s="4" t="str">
        <f>IFERROR(LOOKUP(2,1/((lentry!$A$3:$A$3999=apr!$A47)*(lentry!$B$3:$B$3999&lt;=apr!V$3)*(lentry!$C$3:$C$3999&gt;=apr!V$3)),lentry!$D$3:$D$3999),IF(WEEKDAY(apr!V$3,1)=1,"WO","P"))</f>
        <v>P</v>
      </c>
      <c r="W47" s="4" t="str">
        <f>IFERROR(LOOKUP(2,1/((lentry!$A$3:$A$3999=apr!$A47)*(lentry!$B$3:$B$3999&lt;=apr!W$3)*(lentry!$C$3:$C$3999&gt;=apr!W$3)),lentry!$D$3:$D$3999),IF(WEEKDAY(apr!W$3,1)=1,"WO","P"))</f>
        <v>P</v>
      </c>
      <c r="X47" s="4" t="str">
        <f>IFERROR(LOOKUP(2,1/((lentry!$A$3:$A$3999=apr!$A47)*(lentry!$B$3:$B$3999&lt;=apr!X$3)*(lentry!$C$3:$C$3999&gt;=apr!X$3)),lentry!$D$3:$D$3999),IF(WEEKDAY(apr!X$3,1)=1,"WO","P"))</f>
        <v>WO</v>
      </c>
      <c r="Y47" s="4" t="str">
        <f>IFERROR(LOOKUP(2,1/((lentry!$A$3:$A$3999=apr!$A47)*(lentry!$B$3:$B$3999&lt;=apr!Y$3)*(lentry!$C$3:$C$3999&gt;=apr!Y$3)),lentry!$D$3:$D$3999),IF(WEEKDAY(apr!Y$3,1)=1,"WO","P"))</f>
        <v>P</v>
      </c>
      <c r="Z47" s="4" t="str">
        <f>IFERROR(LOOKUP(2,1/((lentry!$A$3:$A$3999=apr!$A47)*(lentry!$B$3:$B$3999&lt;=apr!Z$3)*(lentry!$C$3:$C$3999&gt;=apr!Z$3)),lentry!$D$3:$D$3999),IF(WEEKDAY(apr!Z$3,1)=1,"WO","P"))</f>
        <v>P</v>
      </c>
      <c r="AA47" s="4" t="str">
        <f>IFERROR(LOOKUP(2,1/((lentry!$A$3:$A$3999=apr!$A47)*(lentry!$B$3:$B$3999&lt;=apr!AA$3)*(lentry!$C$3:$C$3999&gt;=apr!AA$3)),lentry!$D$3:$D$3999),IF(WEEKDAY(apr!AA$3,1)=1,"WO","P"))</f>
        <v>P</v>
      </c>
      <c r="AB47" s="4" t="str">
        <f>IFERROR(LOOKUP(2,1/((lentry!$A$3:$A$3999=apr!$A47)*(lentry!$B$3:$B$3999&lt;=apr!AB$3)*(lentry!$C$3:$C$3999&gt;=apr!AB$3)),lentry!$D$3:$D$3999),IF(WEEKDAY(apr!AB$3,1)=1,"WO","P"))</f>
        <v>P</v>
      </c>
      <c r="AC47" s="4" t="str">
        <f>IFERROR(LOOKUP(2,1/((lentry!$A$3:$A$3999=apr!$A47)*(lentry!$B$3:$B$3999&lt;=apr!AC$3)*(lentry!$C$3:$C$3999&gt;=apr!AC$3)),lentry!$D$3:$D$3999),IF(WEEKDAY(apr!AC$3,1)=1,"WO","P"))</f>
        <v>P</v>
      </c>
      <c r="AD47" s="4" t="str">
        <f>IFERROR(LOOKUP(2,1/((lentry!$A$3:$A$3999=apr!$A47)*(lentry!$B$3:$B$3999&lt;=apr!AD$3)*(lentry!$C$3:$C$3999&gt;=apr!AD$3)),lentry!$D$3:$D$3999),IF(WEEKDAY(apr!AD$3,1)=1,"WO","P"))</f>
        <v>P</v>
      </c>
      <c r="AE47" s="4" t="str">
        <f>IFERROR(LOOKUP(2,1/((lentry!$A$3:$A$3999=apr!$A47)*(lentry!$B$3:$B$3999&lt;=apr!AE$3)*(lentry!$C$3:$C$3999&gt;=apr!AE$3)),lentry!$D$3:$D$3999),IF(WEEKDAY(apr!AE$3,1)=1,"WO","P"))</f>
        <v>WO</v>
      </c>
      <c r="AF47" s="4" t="str">
        <f>IFERROR(LOOKUP(2,1/((lentry!$A$3:$A$3999=apr!$A47)*(lentry!$B$3:$B$3999&lt;=apr!AF$3)*(lentry!$C$3:$C$3999&gt;=apr!AF$3)),lentry!$D$3:$D$3999),IF(WEEKDAY(apr!AF$3,1)=1,"WO","P"))</f>
        <v>P</v>
      </c>
      <c r="AG47" s="4" t="str">
        <f>IFERROR(LOOKUP(2,1/((lentry!$A$3:$A$3999=apr!$A47)*(lentry!$B$3:$B$3999&lt;=apr!AG$3)*(lentry!$C$3:$C$3999&gt;=apr!AG$3)),lentry!$D$3:$D$3999),IF(WEEKDAY(apr!AG$3,1)=1,"WO","P"))</f>
        <v>P</v>
      </c>
      <c r="AH47" s="4" t="str">
        <f>IFERROR(LOOKUP(2,1/((lentry!$A$3:$A$3999=apr!$A47)*(lentry!$B$3:$B$3999&lt;=apr!AH$3)*(lentry!$C$3:$C$3999&gt;=apr!AH$3)),lentry!$D$3:$D$3999),IF(WEEKDAY(apr!AH$3,1)=1,"WO","P"))</f>
        <v>P</v>
      </c>
      <c r="AI47" s="4" t="str">
        <f>IFERROR(LOOKUP(2,1/((lentry!$A$3:$A$3999=apr!$A47)*(lentry!$B$3:$B$3999&lt;=apr!AI$3)*(lentry!$C$3:$C$3999&gt;=apr!AI$3)),lentry!$D$3:$D$3999),IF(WEEKDAY(apr!AI$3,1)=1,"WO","P"))</f>
        <v>P</v>
      </c>
      <c r="AJ47" s="5">
        <f>COUNTIF(apr!$F47:$AI47,"WO")</f>
        <v>4</v>
      </c>
      <c r="AK47" s="5">
        <f>COUNTIF(jan!$F47:$AJ47,"H")</f>
        <v>1</v>
      </c>
      <c r="AL47" s="5">
        <f>COUNTIF(jan!$F47:$AJ47,"PL")</f>
        <v>0</v>
      </c>
      <c r="AM47" s="5">
        <f>COUNTIF(jan!$F47:$AJ47,"LWP")</f>
        <v>0</v>
      </c>
      <c r="AN47" s="5">
        <f>COUNTIF(jan!$F47:$AJ47,"HD")</f>
        <v>0</v>
      </c>
      <c r="AO47" s="5">
        <f>COUNTIF(jan!$F47:$AJ47,"SL")</f>
        <v>0</v>
      </c>
      <c r="AP47" s="5">
        <f>COUNTIF(jan!$F47:$AJ47,"CL")</f>
        <v>0</v>
      </c>
      <c r="AQ47" s="5">
        <f>COUNTIF(jan!$F47:$AJ47,"A")</f>
        <v>0</v>
      </c>
      <c r="AR47" s="5">
        <f>COUNTIF(jan!$F47:$AJ47,"P")</f>
        <v>26</v>
      </c>
      <c r="AS47" s="5">
        <f t="shared" si="4"/>
        <v>30</v>
      </c>
      <c r="AT47" s="5">
        <f t="shared" si="3"/>
        <v>31</v>
      </c>
      <c r="AU47" s="4">
        <f>SUMIFS(holly!$L$2:$L$122,holly!$I$2:$I$122,mar!$A47,holly!$K$2:$K$122,"Mar")</f>
        <v>0</v>
      </c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</row>
    <row r="48" spans="1:77" ht="18.75" x14ac:dyDescent="0.3">
      <c r="A48" s="3" t="s">
        <v>74</v>
      </c>
      <c r="B48" s="3" t="str">
        <f>VLOOKUP($A48,Master!$A$2:$K$52,2,0)</f>
        <v>Employee44</v>
      </c>
      <c r="C48" s="3" t="str">
        <f>VLOOKUP($A48,Master!$A$2:$K$52,3,0)</f>
        <v>Female</v>
      </c>
      <c r="D48" s="3" t="str">
        <f>VLOOKUP($A48,Master!$A$2:$K$52,5,0)</f>
        <v>Production</v>
      </c>
      <c r="E48" s="3" t="str">
        <f>VLOOKUP($A48,Master!$A$2:$K$52,6,0)</f>
        <v>Senior Operator</v>
      </c>
      <c r="F48" s="4" t="str">
        <f>IFERROR(LOOKUP(2,1/((lentry!$A$3:$A$3999=apr!$A48)*(lentry!$B$3:$B$3999&lt;=apr!F$3)*(lentry!$C$3:$C$3999&gt;=apr!F$3)),lentry!$D$3:$D$3999),IF(WEEKDAY(apr!F$3,1)=1,"WO","P"))</f>
        <v>P</v>
      </c>
      <c r="G48" s="4" t="str">
        <f>IFERROR(LOOKUP(2,1/((lentry!$A$3:$A$3999=apr!$A48)*(lentry!$B$3:$B$3999&lt;=apr!G$3)*(lentry!$C$3:$C$3999&gt;=apr!G$3)),lentry!$D$3:$D$3999),IF(WEEKDAY(apr!G$3,1)=1,"WO","P"))</f>
        <v>P</v>
      </c>
      <c r="H48" s="4" t="s">
        <v>350</v>
      </c>
      <c r="I48" s="4" t="str">
        <f>IFERROR(LOOKUP(2,1/((lentry!$A$3:$A$3999=apr!$A48)*(lentry!$B$3:$B$3999&lt;=apr!I$3)*(lentry!$C$3:$C$3999&gt;=apr!I$3)),lentry!$D$3:$D$3999),IF(WEEKDAY(apr!I$3,1)=1,"WO","P"))</f>
        <v>P</v>
      </c>
      <c r="J48" s="4" t="str">
        <f>IFERROR(LOOKUP(2,1/((lentry!$A$3:$A$3999=apr!$A48)*(lentry!$B$3:$B$3999&lt;=apr!J$3)*(lentry!$C$3:$C$3999&gt;=apr!J$3)),lentry!$D$3:$D$3999),IF(WEEKDAY(apr!J$3,1)=1,"WO","P"))</f>
        <v>WO</v>
      </c>
      <c r="K48" s="4" t="str">
        <f>IFERROR(LOOKUP(2,1/((lentry!$A$3:$A$3999=apr!$A48)*(lentry!$B$3:$B$3999&lt;=apr!K$3)*(lentry!$C$3:$C$3999&gt;=apr!K$3)),lentry!$D$3:$D$3999),IF(WEEKDAY(apr!K$3,1)=1,"WO","P"))</f>
        <v>P</v>
      </c>
      <c r="L48" s="4" t="str">
        <f>IFERROR(LOOKUP(2,1/((lentry!$A$3:$A$3999=apr!$A48)*(lentry!$B$3:$B$3999&lt;=apr!L$3)*(lentry!$C$3:$C$3999&gt;=apr!L$3)),lentry!$D$3:$D$3999),IF(WEEKDAY(apr!L$3,1)=1,"WO","P"))</f>
        <v>P</v>
      </c>
      <c r="M48" s="4" t="str">
        <f>IFERROR(LOOKUP(2,1/((lentry!$A$3:$A$3999=apr!$A48)*(lentry!$B$3:$B$3999&lt;=apr!M$3)*(lentry!$C$3:$C$3999&gt;=apr!M$3)),lentry!$D$3:$D$3999),IF(WEEKDAY(apr!M$3,1)=1,"WO","P"))</f>
        <v>P</v>
      </c>
      <c r="N48" s="4" t="str">
        <f>IFERROR(LOOKUP(2,1/((lentry!$A$3:$A$3999=apr!$A48)*(lentry!$B$3:$B$3999&lt;=apr!N$3)*(lentry!$C$3:$C$3999&gt;=apr!N$3)),lentry!$D$3:$D$3999),IF(WEEKDAY(apr!N$3,1)=1,"WO","P"))</f>
        <v>P</v>
      </c>
      <c r="O48" s="4" t="str">
        <f>IFERROR(LOOKUP(2,1/((lentry!$A$3:$A$3999=apr!$A48)*(lentry!$B$3:$B$3999&lt;=apr!O$3)*(lentry!$C$3:$C$3999&gt;=apr!O$3)),lentry!$D$3:$D$3999),IF(WEEKDAY(apr!O$3,1)=1,"WO","P"))</f>
        <v>P</v>
      </c>
      <c r="P48" s="4" t="str">
        <f>IFERROR(LOOKUP(2,1/((lentry!$A$3:$A$3999=apr!$A48)*(lentry!$B$3:$B$3999&lt;=apr!P$3)*(lentry!$C$3:$C$3999&gt;=apr!P$3)),lentry!$D$3:$D$3999),IF(WEEKDAY(apr!P$3,1)=1,"WO","P"))</f>
        <v>P</v>
      </c>
      <c r="Q48" s="4" t="str">
        <f>IFERROR(LOOKUP(2,1/((lentry!$A$3:$A$3999=apr!$A48)*(lentry!$B$3:$B$3999&lt;=apr!Q$3)*(lentry!$C$3:$C$3999&gt;=apr!Q$3)),lentry!$D$3:$D$3999),IF(WEEKDAY(apr!Q$3,1)=1,"WO","P"))</f>
        <v>WO</v>
      </c>
      <c r="R48" s="4" t="str">
        <f>IFERROR(LOOKUP(2,1/((lentry!$A$3:$A$3999=apr!$A48)*(lentry!$B$3:$B$3999&lt;=apr!R$3)*(lentry!$C$3:$C$3999&gt;=apr!R$3)),lentry!$D$3:$D$3999),IF(WEEKDAY(apr!R$3,1)=1,"WO","P"))</f>
        <v>P</v>
      </c>
      <c r="S48" s="4" t="s">
        <v>350</v>
      </c>
      <c r="T48" s="4" t="str">
        <f>IFERROR(LOOKUP(2,1/((lentry!$A$3:$A$3999=apr!$A48)*(lentry!$B$3:$B$3999&lt;=apr!T$3)*(lentry!$C$3:$C$3999&gt;=apr!T$3)),lentry!$D$3:$D$3999),IF(WEEKDAY(apr!T$3,1)=1,"WO","P"))</f>
        <v>P</v>
      </c>
      <c r="U48" s="4" t="str">
        <f>IFERROR(LOOKUP(2,1/((lentry!$A$3:$A$3999=apr!$A48)*(lentry!$B$3:$B$3999&lt;=apr!U$3)*(lentry!$C$3:$C$3999&gt;=apr!U$3)),lentry!$D$3:$D$3999),IF(WEEKDAY(apr!U$3,1)=1,"WO","P"))</f>
        <v>P</v>
      </c>
      <c r="V48" s="4" t="str">
        <f>IFERROR(LOOKUP(2,1/((lentry!$A$3:$A$3999=apr!$A48)*(lentry!$B$3:$B$3999&lt;=apr!V$3)*(lentry!$C$3:$C$3999&gt;=apr!V$3)),lentry!$D$3:$D$3999),IF(WEEKDAY(apr!V$3,1)=1,"WO","P"))</f>
        <v>P</v>
      </c>
      <c r="W48" s="4" t="str">
        <f>IFERROR(LOOKUP(2,1/((lentry!$A$3:$A$3999=apr!$A48)*(lentry!$B$3:$B$3999&lt;=apr!W$3)*(lentry!$C$3:$C$3999&gt;=apr!W$3)),lentry!$D$3:$D$3999),IF(WEEKDAY(apr!W$3,1)=1,"WO","P"))</f>
        <v>P</v>
      </c>
      <c r="X48" s="4" t="str">
        <f>IFERROR(LOOKUP(2,1/((lentry!$A$3:$A$3999=apr!$A48)*(lentry!$B$3:$B$3999&lt;=apr!X$3)*(lentry!$C$3:$C$3999&gt;=apr!X$3)),lentry!$D$3:$D$3999),IF(WEEKDAY(apr!X$3,1)=1,"WO","P"))</f>
        <v>WO</v>
      </c>
      <c r="Y48" s="4" t="str">
        <f>IFERROR(LOOKUP(2,1/((lentry!$A$3:$A$3999=apr!$A48)*(lentry!$B$3:$B$3999&lt;=apr!Y$3)*(lentry!$C$3:$C$3999&gt;=apr!Y$3)),lentry!$D$3:$D$3999),IF(WEEKDAY(apr!Y$3,1)=1,"WO","P"))</f>
        <v>P</v>
      </c>
      <c r="Z48" s="4" t="str">
        <f>IFERROR(LOOKUP(2,1/((lentry!$A$3:$A$3999=apr!$A48)*(lentry!$B$3:$B$3999&lt;=apr!Z$3)*(lentry!$C$3:$C$3999&gt;=apr!Z$3)),lentry!$D$3:$D$3999),IF(WEEKDAY(apr!Z$3,1)=1,"WO","P"))</f>
        <v>P</v>
      </c>
      <c r="AA48" s="4" t="str">
        <f>IFERROR(LOOKUP(2,1/((lentry!$A$3:$A$3999=apr!$A48)*(lentry!$B$3:$B$3999&lt;=apr!AA$3)*(lentry!$C$3:$C$3999&gt;=apr!AA$3)),lentry!$D$3:$D$3999),IF(WEEKDAY(apr!AA$3,1)=1,"WO","P"))</f>
        <v>P</v>
      </c>
      <c r="AB48" s="4" t="str">
        <f>IFERROR(LOOKUP(2,1/((lentry!$A$3:$A$3999=apr!$A48)*(lentry!$B$3:$B$3999&lt;=apr!AB$3)*(lentry!$C$3:$C$3999&gt;=apr!AB$3)),lentry!$D$3:$D$3999),IF(WEEKDAY(apr!AB$3,1)=1,"WO","P"))</f>
        <v>P</v>
      </c>
      <c r="AC48" s="4" t="str">
        <f>IFERROR(LOOKUP(2,1/((lentry!$A$3:$A$3999=apr!$A48)*(lentry!$B$3:$B$3999&lt;=apr!AC$3)*(lentry!$C$3:$C$3999&gt;=apr!AC$3)),lentry!$D$3:$D$3999),IF(WEEKDAY(apr!AC$3,1)=1,"WO","P"))</f>
        <v>P</v>
      </c>
      <c r="AD48" s="4" t="str">
        <f>IFERROR(LOOKUP(2,1/((lentry!$A$3:$A$3999=apr!$A48)*(lentry!$B$3:$B$3999&lt;=apr!AD$3)*(lentry!$C$3:$C$3999&gt;=apr!AD$3)),lentry!$D$3:$D$3999),IF(WEEKDAY(apr!AD$3,1)=1,"WO","P"))</f>
        <v>P</v>
      </c>
      <c r="AE48" s="4" t="str">
        <f>IFERROR(LOOKUP(2,1/((lentry!$A$3:$A$3999=apr!$A48)*(lentry!$B$3:$B$3999&lt;=apr!AE$3)*(lentry!$C$3:$C$3999&gt;=apr!AE$3)),lentry!$D$3:$D$3999),IF(WEEKDAY(apr!AE$3,1)=1,"WO","P"))</f>
        <v>WO</v>
      </c>
      <c r="AF48" s="4" t="str">
        <f>IFERROR(LOOKUP(2,1/((lentry!$A$3:$A$3999=apr!$A48)*(lentry!$B$3:$B$3999&lt;=apr!AF$3)*(lentry!$C$3:$C$3999&gt;=apr!AF$3)),lentry!$D$3:$D$3999),IF(WEEKDAY(apr!AF$3,1)=1,"WO","P"))</f>
        <v>P</v>
      </c>
      <c r="AG48" s="4" t="str">
        <f>IFERROR(LOOKUP(2,1/((lentry!$A$3:$A$3999=apr!$A48)*(lentry!$B$3:$B$3999&lt;=apr!AG$3)*(lentry!$C$3:$C$3999&gt;=apr!AG$3)),lentry!$D$3:$D$3999),IF(WEEKDAY(apr!AG$3,1)=1,"WO","P"))</f>
        <v>P</v>
      </c>
      <c r="AH48" s="4" t="str">
        <f>IFERROR(LOOKUP(2,1/((lentry!$A$3:$A$3999=apr!$A48)*(lentry!$B$3:$B$3999&lt;=apr!AH$3)*(lentry!$C$3:$C$3999&gt;=apr!AH$3)),lentry!$D$3:$D$3999),IF(WEEKDAY(apr!AH$3,1)=1,"WO","P"))</f>
        <v>P</v>
      </c>
      <c r="AI48" s="4" t="str">
        <f>IFERROR(LOOKUP(2,1/((lentry!$A$3:$A$3999=apr!$A48)*(lentry!$B$3:$B$3999&lt;=apr!AI$3)*(lentry!$C$3:$C$3999&gt;=apr!AI$3)),lentry!$D$3:$D$3999),IF(WEEKDAY(apr!AI$3,1)=1,"WO","P"))</f>
        <v>P</v>
      </c>
      <c r="AJ48" s="5">
        <f>COUNTIF(apr!$F48:$AI48,"WO")</f>
        <v>4</v>
      </c>
      <c r="AK48" s="5">
        <f>COUNTIF(jan!$F48:$AJ48,"H")</f>
        <v>1</v>
      </c>
      <c r="AL48" s="5">
        <f>COUNTIF(jan!$F48:$AJ48,"PL")</f>
        <v>0</v>
      </c>
      <c r="AM48" s="5">
        <f>COUNTIF(jan!$F48:$AJ48,"LWP")</f>
        <v>0</v>
      </c>
      <c r="AN48" s="5">
        <f>COUNTIF(jan!$F48:$AJ48,"HD")</f>
        <v>0</v>
      </c>
      <c r="AO48" s="5">
        <f>COUNTIF(jan!$F48:$AJ48,"SL")</f>
        <v>0</v>
      </c>
      <c r="AP48" s="5">
        <f>COUNTIF(jan!$F48:$AJ48,"CL")</f>
        <v>0</v>
      </c>
      <c r="AQ48" s="5">
        <f>COUNTIF(jan!$F48:$AJ48,"A")</f>
        <v>1</v>
      </c>
      <c r="AR48" s="5">
        <f>COUNTIF(jan!$F48:$AJ48,"P")</f>
        <v>25</v>
      </c>
      <c r="AS48" s="5">
        <f t="shared" si="4"/>
        <v>30</v>
      </c>
      <c r="AT48" s="5">
        <f t="shared" si="3"/>
        <v>30</v>
      </c>
      <c r="AU48" s="4">
        <f>SUMIFS(holly!$L$2:$L$122,holly!$I$2:$I$122,mar!$A48,holly!$K$2:$K$122,"Mar")</f>
        <v>0</v>
      </c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</row>
    <row r="49" spans="1:77" ht="18.75" x14ac:dyDescent="0.3">
      <c r="A49" s="3" t="s">
        <v>75</v>
      </c>
      <c r="B49" s="3" t="str">
        <f>VLOOKUP($A49,Master!$A$2:$K$52,2,0)</f>
        <v>Employee45</v>
      </c>
      <c r="C49" s="3" t="str">
        <f>VLOOKUP($A49,Master!$A$2:$K$52,3,0)</f>
        <v>Female</v>
      </c>
      <c r="D49" s="3" t="str">
        <f>VLOOKUP($A49,Master!$A$2:$K$52,5,0)</f>
        <v>Production</v>
      </c>
      <c r="E49" s="3" t="str">
        <f>VLOOKUP($A49,Master!$A$2:$K$52,6,0)</f>
        <v>Senior Operator</v>
      </c>
      <c r="F49" s="4" t="str">
        <f>IFERROR(LOOKUP(2,1/((lentry!$A$3:$A$3999=apr!$A49)*(lentry!$B$3:$B$3999&lt;=apr!F$3)*(lentry!$C$3:$C$3999&gt;=apr!F$3)),lentry!$D$3:$D$3999),IF(WEEKDAY(apr!F$3,1)=1,"WO","P"))</f>
        <v>P</v>
      </c>
      <c r="G49" s="4" t="str">
        <f>IFERROR(LOOKUP(2,1/((lentry!$A$3:$A$3999=apr!$A49)*(lentry!$B$3:$B$3999&lt;=apr!G$3)*(lentry!$C$3:$C$3999&gt;=apr!G$3)),lentry!$D$3:$D$3999),IF(WEEKDAY(apr!G$3,1)=1,"WO","P"))</f>
        <v>P</v>
      </c>
      <c r="H49" s="4" t="s">
        <v>350</v>
      </c>
      <c r="I49" s="4" t="str">
        <f>IFERROR(LOOKUP(2,1/((lentry!$A$3:$A$3999=apr!$A49)*(lentry!$B$3:$B$3999&lt;=apr!I$3)*(lentry!$C$3:$C$3999&gt;=apr!I$3)),lentry!$D$3:$D$3999),IF(WEEKDAY(apr!I$3,1)=1,"WO","P"))</f>
        <v>P</v>
      </c>
      <c r="J49" s="4" t="str">
        <f>IFERROR(LOOKUP(2,1/((lentry!$A$3:$A$3999=apr!$A49)*(lentry!$B$3:$B$3999&lt;=apr!J$3)*(lentry!$C$3:$C$3999&gt;=apr!J$3)),lentry!$D$3:$D$3999),IF(WEEKDAY(apr!J$3,1)=1,"WO","P"))</f>
        <v>WO</v>
      </c>
      <c r="K49" s="4" t="str">
        <f>IFERROR(LOOKUP(2,1/((lentry!$A$3:$A$3999=apr!$A49)*(lentry!$B$3:$B$3999&lt;=apr!K$3)*(lentry!$C$3:$C$3999&gt;=apr!K$3)),lentry!$D$3:$D$3999),IF(WEEKDAY(apr!K$3,1)=1,"WO","P"))</f>
        <v>P</v>
      </c>
      <c r="L49" s="4" t="str">
        <f>IFERROR(LOOKUP(2,1/((lentry!$A$3:$A$3999=apr!$A49)*(lentry!$B$3:$B$3999&lt;=apr!L$3)*(lentry!$C$3:$C$3999&gt;=apr!L$3)),lentry!$D$3:$D$3999),IF(WEEKDAY(apr!L$3,1)=1,"WO","P"))</f>
        <v>P</v>
      </c>
      <c r="M49" s="4" t="str">
        <f>IFERROR(LOOKUP(2,1/((lentry!$A$3:$A$3999=apr!$A49)*(lentry!$B$3:$B$3999&lt;=apr!M$3)*(lentry!$C$3:$C$3999&gt;=apr!M$3)),lentry!$D$3:$D$3999),IF(WEEKDAY(apr!M$3,1)=1,"WO","P"))</f>
        <v>P</v>
      </c>
      <c r="N49" s="4" t="str">
        <f>IFERROR(LOOKUP(2,1/((lentry!$A$3:$A$3999=apr!$A49)*(lentry!$B$3:$B$3999&lt;=apr!N$3)*(lentry!$C$3:$C$3999&gt;=apr!N$3)),lentry!$D$3:$D$3999),IF(WEEKDAY(apr!N$3,1)=1,"WO","P"))</f>
        <v>P</v>
      </c>
      <c r="O49" s="4" t="str">
        <f>IFERROR(LOOKUP(2,1/((lentry!$A$3:$A$3999=apr!$A49)*(lentry!$B$3:$B$3999&lt;=apr!O$3)*(lentry!$C$3:$C$3999&gt;=apr!O$3)),lentry!$D$3:$D$3999),IF(WEEKDAY(apr!O$3,1)=1,"WO","P"))</f>
        <v>P</v>
      </c>
      <c r="P49" s="4" t="str">
        <f>IFERROR(LOOKUP(2,1/((lentry!$A$3:$A$3999=apr!$A49)*(lentry!$B$3:$B$3999&lt;=apr!P$3)*(lentry!$C$3:$C$3999&gt;=apr!P$3)),lentry!$D$3:$D$3999),IF(WEEKDAY(apr!P$3,1)=1,"WO","P"))</f>
        <v>P</v>
      </c>
      <c r="Q49" s="4" t="str">
        <f>IFERROR(LOOKUP(2,1/((lentry!$A$3:$A$3999=apr!$A49)*(lentry!$B$3:$B$3999&lt;=apr!Q$3)*(lentry!$C$3:$C$3999&gt;=apr!Q$3)),lentry!$D$3:$D$3999),IF(WEEKDAY(apr!Q$3,1)=1,"WO","P"))</f>
        <v>WO</v>
      </c>
      <c r="R49" s="4" t="str">
        <f>IFERROR(LOOKUP(2,1/((lentry!$A$3:$A$3999=apr!$A49)*(lentry!$B$3:$B$3999&lt;=apr!R$3)*(lentry!$C$3:$C$3999&gt;=apr!R$3)),lentry!$D$3:$D$3999),IF(WEEKDAY(apr!R$3,1)=1,"WO","P"))</f>
        <v>P</v>
      </c>
      <c r="S49" s="4" t="s">
        <v>350</v>
      </c>
      <c r="T49" s="4" t="str">
        <f>IFERROR(LOOKUP(2,1/((lentry!$A$3:$A$3999=apr!$A49)*(lentry!$B$3:$B$3999&lt;=apr!T$3)*(lentry!$C$3:$C$3999&gt;=apr!T$3)),lentry!$D$3:$D$3999),IF(WEEKDAY(apr!T$3,1)=1,"WO","P"))</f>
        <v>P</v>
      </c>
      <c r="U49" s="4" t="str">
        <f>IFERROR(LOOKUP(2,1/((lentry!$A$3:$A$3999=apr!$A49)*(lentry!$B$3:$B$3999&lt;=apr!U$3)*(lentry!$C$3:$C$3999&gt;=apr!U$3)),lentry!$D$3:$D$3999),IF(WEEKDAY(apr!U$3,1)=1,"WO","P"))</f>
        <v>P</v>
      </c>
      <c r="V49" s="4" t="str">
        <f>IFERROR(LOOKUP(2,1/((lentry!$A$3:$A$3999=apr!$A49)*(lentry!$B$3:$B$3999&lt;=apr!V$3)*(lentry!$C$3:$C$3999&gt;=apr!V$3)),lentry!$D$3:$D$3999),IF(WEEKDAY(apr!V$3,1)=1,"WO","P"))</f>
        <v>P</v>
      </c>
      <c r="W49" s="4" t="str">
        <f>IFERROR(LOOKUP(2,1/((lentry!$A$3:$A$3999=apr!$A49)*(lentry!$B$3:$B$3999&lt;=apr!W$3)*(lentry!$C$3:$C$3999&gt;=apr!W$3)),lentry!$D$3:$D$3999),IF(WEEKDAY(apr!W$3,1)=1,"WO","P"))</f>
        <v>P</v>
      </c>
      <c r="X49" s="4" t="str">
        <f>IFERROR(LOOKUP(2,1/((lentry!$A$3:$A$3999=apr!$A49)*(lentry!$B$3:$B$3999&lt;=apr!X$3)*(lentry!$C$3:$C$3999&gt;=apr!X$3)),lentry!$D$3:$D$3999),IF(WEEKDAY(apr!X$3,1)=1,"WO","P"))</f>
        <v>WO</v>
      </c>
      <c r="Y49" s="4" t="str">
        <f>IFERROR(LOOKUP(2,1/((lentry!$A$3:$A$3999=apr!$A49)*(lentry!$B$3:$B$3999&lt;=apr!Y$3)*(lentry!$C$3:$C$3999&gt;=apr!Y$3)),lentry!$D$3:$D$3999),IF(WEEKDAY(apr!Y$3,1)=1,"WO","P"))</f>
        <v>P</v>
      </c>
      <c r="Z49" s="4" t="str">
        <f>IFERROR(LOOKUP(2,1/((lentry!$A$3:$A$3999=apr!$A49)*(lentry!$B$3:$B$3999&lt;=apr!Z$3)*(lentry!$C$3:$C$3999&gt;=apr!Z$3)),lentry!$D$3:$D$3999),IF(WEEKDAY(apr!Z$3,1)=1,"WO","P"))</f>
        <v>P</v>
      </c>
      <c r="AA49" s="4" t="str">
        <f>IFERROR(LOOKUP(2,1/((lentry!$A$3:$A$3999=apr!$A49)*(lentry!$B$3:$B$3999&lt;=apr!AA$3)*(lentry!$C$3:$C$3999&gt;=apr!AA$3)),lentry!$D$3:$D$3999),IF(WEEKDAY(apr!AA$3,1)=1,"WO","P"))</f>
        <v>P</v>
      </c>
      <c r="AB49" s="4" t="str">
        <f>IFERROR(LOOKUP(2,1/((lentry!$A$3:$A$3999=apr!$A49)*(lentry!$B$3:$B$3999&lt;=apr!AB$3)*(lentry!$C$3:$C$3999&gt;=apr!AB$3)),lentry!$D$3:$D$3999),IF(WEEKDAY(apr!AB$3,1)=1,"WO","P"))</f>
        <v>P</v>
      </c>
      <c r="AC49" s="4" t="str">
        <f>IFERROR(LOOKUP(2,1/((lentry!$A$3:$A$3999=apr!$A49)*(lentry!$B$3:$B$3999&lt;=apr!AC$3)*(lentry!$C$3:$C$3999&gt;=apr!AC$3)),lentry!$D$3:$D$3999),IF(WEEKDAY(apr!AC$3,1)=1,"WO","P"))</f>
        <v>P</v>
      </c>
      <c r="AD49" s="4" t="str">
        <f>IFERROR(LOOKUP(2,1/((lentry!$A$3:$A$3999=apr!$A49)*(lentry!$B$3:$B$3999&lt;=apr!AD$3)*(lentry!$C$3:$C$3999&gt;=apr!AD$3)),lentry!$D$3:$D$3999),IF(WEEKDAY(apr!AD$3,1)=1,"WO","P"))</f>
        <v>P</v>
      </c>
      <c r="AE49" s="4" t="str">
        <f>IFERROR(LOOKUP(2,1/((lentry!$A$3:$A$3999=apr!$A49)*(lentry!$B$3:$B$3999&lt;=apr!AE$3)*(lentry!$C$3:$C$3999&gt;=apr!AE$3)),lentry!$D$3:$D$3999),IF(WEEKDAY(apr!AE$3,1)=1,"WO","P"))</f>
        <v>WO</v>
      </c>
      <c r="AF49" s="4" t="str">
        <f>IFERROR(LOOKUP(2,1/((lentry!$A$3:$A$3999=apr!$A49)*(lentry!$B$3:$B$3999&lt;=apr!AF$3)*(lentry!$C$3:$C$3999&gt;=apr!AF$3)),lentry!$D$3:$D$3999),IF(WEEKDAY(apr!AF$3,1)=1,"WO","P"))</f>
        <v>P</v>
      </c>
      <c r="AG49" s="4" t="str">
        <f>IFERROR(LOOKUP(2,1/((lentry!$A$3:$A$3999=apr!$A49)*(lentry!$B$3:$B$3999&lt;=apr!AG$3)*(lentry!$C$3:$C$3999&gt;=apr!AG$3)),lentry!$D$3:$D$3999),IF(WEEKDAY(apr!AG$3,1)=1,"WO","P"))</f>
        <v>P</v>
      </c>
      <c r="AH49" s="4" t="str">
        <f>IFERROR(LOOKUP(2,1/((lentry!$A$3:$A$3999=apr!$A49)*(lentry!$B$3:$B$3999&lt;=apr!AH$3)*(lentry!$C$3:$C$3999&gt;=apr!AH$3)),lentry!$D$3:$D$3999),IF(WEEKDAY(apr!AH$3,1)=1,"WO","P"))</f>
        <v>P</v>
      </c>
      <c r="AI49" s="4" t="str">
        <f>IFERROR(LOOKUP(2,1/((lentry!$A$3:$A$3999=apr!$A49)*(lentry!$B$3:$B$3999&lt;=apr!AI$3)*(lentry!$C$3:$C$3999&gt;=apr!AI$3)),lentry!$D$3:$D$3999),IF(WEEKDAY(apr!AI$3,1)=1,"WO","P"))</f>
        <v>P</v>
      </c>
      <c r="AJ49" s="5">
        <f>COUNTIF(apr!$F49:$AI49,"WO")</f>
        <v>4</v>
      </c>
      <c r="AK49" s="5">
        <f>COUNTIF(jan!$F49:$AJ49,"H")</f>
        <v>1</v>
      </c>
      <c r="AL49" s="5">
        <f>COUNTIF(jan!$F49:$AJ49,"PL")</f>
        <v>0</v>
      </c>
      <c r="AM49" s="5">
        <f>COUNTIF(jan!$F49:$AJ49,"LWP")</f>
        <v>1</v>
      </c>
      <c r="AN49" s="5">
        <f>COUNTIF(jan!$F49:$AJ49,"HD")</f>
        <v>0</v>
      </c>
      <c r="AO49" s="5">
        <f>COUNTIF(jan!$F49:$AJ49,"SL")</f>
        <v>0</v>
      </c>
      <c r="AP49" s="5">
        <f>COUNTIF(jan!$F49:$AJ49,"CL")</f>
        <v>0</v>
      </c>
      <c r="AQ49" s="5">
        <f>COUNTIF(jan!$F49:$AJ49,"A")</f>
        <v>2</v>
      </c>
      <c r="AR49" s="5">
        <f>COUNTIF(jan!$F49:$AJ49,"P")</f>
        <v>23</v>
      </c>
      <c r="AS49" s="5">
        <f t="shared" si="4"/>
        <v>30</v>
      </c>
      <c r="AT49" s="5">
        <f t="shared" si="3"/>
        <v>28</v>
      </c>
      <c r="AU49" s="4">
        <f>SUMIFS(holly!$L$2:$L$122,holly!$I$2:$I$122,mar!$A49,holly!$K$2:$K$122,"Mar")</f>
        <v>0</v>
      </c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</row>
    <row r="50" spans="1:77" ht="18.75" x14ac:dyDescent="0.3">
      <c r="A50" s="3" t="s">
        <v>76</v>
      </c>
      <c r="B50" s="3" t="str">
        <f>VLOOKUP($A50,Master!$A$2:$K$52,2,0)</f>
        <v>Employee46</v>
      </c>
      <c r="C50" s="3" t="str">
        <f>VLOOKUP($A50,Master!$A$2:$K$52,3,0)</f>
        <v>Female</v>
      </c>
      <c r="D50" s="3" t="str">
        <f>VLOOKUP($A50,Master!$A$2:$K$52,5,0)</f>
        <v>Production</v>
      </c>
      <c r="E50" s="3" t="str">
        <f>VLOOKUP($A50,Master!$A$2:$K$52,6,0)</f>
        <v>Operator</v>
      </c>
      <c r="F50" s="4" t="str">
        <f>IFERROR(LOOKUP(2,1/((lentry!$A$3:$A$3999=apr!$A50)*(lentry!$B$3:$B$3999&lt;=apr!F$3)*(lentry!$C$3:$C$3999&gt;=apr!F$3)),lentry!$D$3:$D$3999),IF(WEEKDAY(apr!F$3,1)=1,"WO","P"))</f>
        <v>P</v>
      </c>
      <c r="G50" s="4" t="str">
        <f>IFERROR(LOOKUP(2,1/((lentry!$A$3:$A$3999=apr!$A50)*(lentry!$B$3:$B$3999&lt;=apr!G$3)*(lentry!$C$3:$C$3999&gt;=apr!G$3)),lentry!$D$3:$D$3999),IF(WEEKDAY(apr!G$3,1)=1,"WO","P"))</f>
        <v>P</v>
      </c>
      <c r="H50" s="4" t="s">
        <v>350</v>
      </c>
      <c r="I50" s="4" t="str">
        <f>IFERROR(LOOKUP(2,1/((lentry!$A$3:$A$3999=apr!$A50)*(lentry!$B$3:$B$3999&lt;=apr!I$3)*(lentry!$C$3:$C$3999&gt;=apr!I$3)),lentry!$D$3:$D$3999),IF(WEEKDAY(apr!I$3,1)=1,"WO","P"))</f>
        <v>P</v>
      </c>
      <c r="J50" s="4" t="str">
        <f>IFERROR(LOOKUP(2,1/((lentry!$A$3:$A$3999=apr!$A50)*(lentry!$B$3:$B$3999&lt;=apr!J$3)*(lentry!$C$3:$C$3999&gt;=apr!J$3)),lentry!$D$3:$D$3999),IF(WEEKDAY(apr!J$3,1)=1,"WO","P"))</f>
        <v>WO</v>
      </c>
      <c r="K50" s="4" t="str">
        <f>IFERROR(LOOKUP(2,1/((lentry!$A$3:$A$3999=apr!$A50)*(lentry!$B$3:$B$3999&lt;=apr!K$3)*(lentry!$C$3:$C$3999&gt;=apr!K$3)),lentry!$D$3:$D$3999),IF(WEEKDAY(apr!K$3,1)=1,"WO","P"))</f>
        <v>P</v>
      </c>
      <c r="L50" s="4" t="str">
        <f>IFERROR(LOOKUP(2,1/((lentry!$A$3:$A$3999=apr!$A50)*(lentry!$B$3:$B$3999&lt;=apr!L$3)*(lentry!$C$3:$C$3999&gt;=apr!L$3)),lentry!$D$3:$D$3999),IF(WEEKDAY(apr!L$3,1)=1,"WO","P"))</f>
        <v>P</v>
      </c>
      <c r="M50" s="4" t="str">
        <f>IFERROR(LOOKUP(2,1/((lentry!$A$3:$A$3999=apr!$A50)*(lentry!$B$3:$B$3999&lt;=apr!M$3)*(lentry!$C$3:$C$3999&gt;=apr!M$3)),lentry!$D$3:$D$3999),IF(WEEKDAY(apr!M$3,1)=1,"WO","P"))</f>
        <v>P</v>
      </c>
      <c r="N50" s="4" t="str">
        <f>IFERROR(LOOKUP(2,1/((lentry!$A$3:$A$3999=apr!$A50)*(lentry!$B$3:$B$3999&lt;=apr!N$3)*(lentry!$C$3:$C$3999&gt;=apr!N$3)),lentry!$D$3:$D$3999),IF(WEEKDAY(apr!N$3,1)=1,"WO","P"))</f>
        <v>P</v>
      </c>
      <c r="O50" s="4" t="str">
        <f>IFERROR(LOOKUP(2,1/((lentry!$A$3:$A$3999=apr!$A50)*(lentry!$B$3:$B$3999&lt;=apr!O$3)*(lentry!$C$3:$C$3999&gt;=apr!O$3)),lentry!$D$3:$D$3999),IF(WEEKDAY(apr!O$3,1)=1,"WO","P"))</f>
        <v>P</v>
      </c>
      <c r="P50" s="4" t="str">
        <f>IFERROR(LOOKUP(2,1/((lentry!$A$3:$A$3999=apr!$A50)*(lentry!$B$3:$B$3999&lt;=apr!P$3)*(lentry!$C$3:$C$3999&gt;=apr!P$3)),lentry!$D$3:$D$3999),IF(WEEKDAY(apr!P$3,1)=1,"WO","P"))</f>
        <v>P</v>
      </c>
      <c r="Q50" s="4" t="str">
        <f>IFERROR(LOOKUP(2,1/((lentry!$A$3:$A$3999=apr!$A50)*(lentry!$B$3:$B$3999&lt;=apr!Q$3)*(lentry!$C$3:$C$3999&gt;=apr!Q$3)),lentry!$D$3:$D$3999),IF(WEEKDAY(apr!Q$3,1)=1,"WO","P"))</f>
        <v>WO</v>
      </c>
      <c r="R50" s="4" t="str">
        <f>IFERROR(LOOKUP(2,1/((lentry!$A$3:$A$3999=apr!$A50)*(lentry!$B$3:$B$3999&lt;=apr!R$3)*(lentry!$C$3:$C$3999&gt;=apr!R$3)),lentry!$D$3:$D$3999),IF(WEEKDAY(apr!R$3,1)=1,"WO","P"))</f>
        <v>P</v>
      </c>
      <c r="S50" s="4" t="s">
        <v>350</v>
      </c>
      <c r="T50" s="4" t="str">
        <f>IFERROR(LOOKUP(2,1/((lentry!$A$3:$A$3999=apr!$A50)*(lentry!$B$3:$B$3999&lt;=apr!T$3)*(lentry!$C$3:$C$3999&gt;=apr!T$3)),lentry!$D$3:$D$3999),IF(WEEKDAY(apr!T$3,1)=1,"WO","P"))</f>
        <v>P</v>
      </c>
      <c r="U50" s="4" t="str">
        <f>IFERROR(LOOKUP(2,1/((lentry!$A$3:$A$3999=apr!$A50)*(lentry!$B$3:$B$3999&lt;=apr!U$3)*(lentry!$C$3:$C$3999&gt;=apr!U$3)),lentry!$D$3:$D$3999),IF(WEEKDAY(apr!U$3,1)=1,"WO","P"))</f>
        <v>P</v>
      </c>
      <c r="V50" s="4" t="str">
        <f>IFERROR(LOOKUP(2,1/((lentry!$A$3:$A$3999=apr!$A50)*(lentry!$B$3:$B$3999&lt;=apr!V$3)*(lentry!$C$3:$C$3999&gt;=apr!V$3)),lentry!$D$3:$D$3999),IF(WEEKDAY(apr!V$3,1)=1,"WO","P"))</f>
        <v>P</v>
      </c>
      <c r="W50" s="4" t="str">
        <f>IFERROR(LOOKUP(2,1/((lentry!$A$3:$A$3999=apr!$A50)*(lentry!$B$3:$B$3999&lt;=apr!W$3)*(lentry!$C$3:$C$3999&gt;=apr!W$3)),lentry!$D$3:$D$3999),IF(WEEKDAY(apr!W$3,1)=1,"WO","P"))</f>
        <v>P</v>
      </c>
      <c r="X50" s="4" t="str">
        <f>IFERROR(LOOKUP(2,1/((lentry!$A$3:$A$3999=apr!$A50)*(lentry!$B$3:$B$3999&lt;=apr!X$3)*(lentry!$C$3:$C$3999&gt;=apr!X$3)),lentry!$D$3:$D$3999),IF(WEEKDAY(apr!X$3,1)=1,"WO","P"))</f>
        <v>WO</v>
      </c>
      <c r="Y50" s="4" t="str">
        <f>IFERROR(LOOKUP(2,1/((lentry!$A$3:$A$3999=apr!$A50)*(lentry!$B$3:$B$3999&lt;=apr!Y$3)*(lentry!$C$3:$C$3999&gt;=apr!Y$3)),lentry!$D$3:$D$3999),IF(WEEKDAY(apr!Y$3,1)=1,"WO","P"))</f>
        <v>P</v>
      </c>
      <c r="Z50" s="4" t="str">
        <f>IFERROR(LOOKUP(2,1/((lentry!$A$3:$A$3999=apr!$A50)*(lentry!$B$3:$B$3999&lt;=apr!Z$3)*(lentry!$C$3:$C$3999&gt;=apr!Z$3)),lentry!$D$3:$D$3999),IF(WEEKDAY(apr!Z$3,1)=1,"WO","P"))</f>
        <v>P</v>
      </c>
      <c r="AA50" s="4" t="str">
        <f>IFERROR(LOOKUP(2,1/((lentry!$A$3:$A$3999=apr!$A50)*(lentry!$B$3:$B$3999&lt;=apr!AA$3)*(lentry!$C$3:$C$3999&gt;=apr!AA$3)),lentry!$D$3:$D$3999),IF(WEEKDAY(apr!AA$3,1)=1,"WO","P"))</f>
        <v>P</v>
      </c>
      <c r="AB50" s="4" t="str">
        <f>IFERROR(LOOKUP(2,1/((lentry!$A$3:$A$3999=apr!$A50)*(lentry!$B$3:$B$3999&lt;=apr!AB$3)*(lentry!$C$3:$C$3999&gt;=apr!AB$3)),lentry!$D$3:$D$3999),IF(WEEKDAY(apr!AB$3,1)=1,"WO","P"))</f>
        <v>P</v>
      </c>
      <c r="AC50" s="4" t="str">
        <f>IFERROR(LOOKUP(2,1/((lentry!$A$3:$A$3999=apr!$A50)*(lentry!$B$3:$B$3999&lt;=apr!AC$3)*(lentry!$C$3:$C$3999&gt;=apr!AC$3)),lentry!$D$3:$D$3999),IF(WEEKDAY(apr!AC$3,1)=1,"WO","P"))</f>
        <v>P</v>
      </c>
      <c r="AD50" s="4" t="str">
        <f>IFERROR(LOOKUP(2,1/((lentry!$A$3:$A$3999=apr!$A50)*(lentry!$B$3:$B$3999&lt;=apr!AD$3)*(lentry!$C$3:$C$3999&gt;=apr!AD$3)),lentry!$D$3:$D$3999),IF(WEEKDAY(apr!AD$3,1)=1,"WO","P"))</f>
        <v>P</v>
      </c>
      <c r="AE50" s="4" t="str">
        <f>IFERROR(LOOKUP(2,1/((lentry!$A$3:$A$3999=apr!$A50)*(lentry!$B$3:$B$3999&lt;=apr!AE$3)*(lentry!$C$3:$C$3999&gt;=apr!AE$3)),lentry!$D$3:$D$3999),IF(WEEKDAY(apr!AE$3,1)=1,"WO","P"))</f>
        <v>WO</v>
      </c>
      <c r="AF50" s="4" t="str">
        <f>IFERROR(LOOKUP(2,1/((lentry!$A$3:$A$3999=apr!$A50)*(lentry!$B$3:$B$3999&lt;=apr!AF$3)*(lentry!$C$3:$C$3999&gt;=apr!AF$3)),lentry!$D$3:$D$3999),IF(WEEKDAY(apr!AF$3,1)=1,"WO","P"))</f>
        <v>P</v>
      </c>
      <c r="AG50" s="4" t="str">
        <f>IFERROR(LOOKUP(2,1/((lentry!$A$3:$A$3999=apr!$A50)*(lentry!$B$3:$B$3999&lt;=apr!AG$3)*(lentry!$C$3:$C$3999&gt;=apr!AG$3)),lentry!$D$3:$D$3999),IF(WEEKDAY(apr!AG$3,1)=1,"WO","P"))</f>
        <v>P</v>
      </c>
      <c r="AH50" s="4" t="str">
        <f>IFERROR(LOOKUP(2,1/((lentry!$A$3:$A$3999=apr!$A50)*(lentry!$B$3:$B$3999&lt;=apr!AH$3)*(lentry!$C$3:$C$3999&gt;=apr!AH$3)),lentry!$D$3:$D$3999),IF(WEEKDAY(apr!AH$3,1)=1,"WO","P"))</f>
        <v>P</v>
      </c>
      <c r="AI50" s="4" t="str">
        <f>IFERROR(LOOKUP(2,1/((lentry!$A$3:$A$3999=apr!$A50)*(lentry!$B$3:$B$3999&lt;=apr!AI$3)*(lentry!$C$3:$C$3999&gt;=apr!AI$3)),lentry!$D$3:$D$3999),IF(WEEKDAY(apr!AI$3,1)=1,"WO","P"))</f>
        <v>P</v>
      </c>
      <c r="AJ50" s="5">
        <f>COUNTIF(apr!$F50:$AI50,"WO")</f>
        <v>4</v>
      </c>
      <c r="AK50" s="5">
        <f>COUNTIF(jan!$F50:$AJ50,"H")</f>
        <v>1</v>
      </c>
      <c r="AL50" s="5">
        <f>COUNTIF(jan!$F50:$AJ50,"PL")</f>
        <v>0</v>
      </c>
      <c r="AM50" s="5">
        <f>COUNTIF(jan!$F50:$AJ50,"LWP")</f>
        <v>0</v>
      </c>
      <c r="AN50" s="5">
        <f>COUNTIF(jan!$F50:$AJ50,"HD")</f>
        <v>0</v>
      </c>
      <c r="AO50" s="5">
        <f>COUNTIF(jan!$F50:$AJ50,"SL")</f>
        <v>0</v>
      </c>
      <c r="AP50" s="5">
        <f>COUNTIF(jan!$F50:$AJ50,"CL")</f>
        <v>0</v>
      </c>
      <c r="AQ50" s="5">
        <f>COUNTIF(jan!$F50:$AJ50,"A")</f>
        <v>0</v>
      </c>
      <c r="AR50" s="5">
        <f>COUNTIF(jan!$F50:$AJ50,"P")</f>
        <v>26</v>
      </c>
      <c r="AS50" s="5">
        <f t="shared" si="4"/>
        <v>30</v>
      </c>
      <c r="AT50" s="5">
        <f t="shared" si="3"/>
        <v>31</v>
      </c>
      <c r="AU50" s="4">
        <f>SUMIFS(holly!$L$2:$L$122,holly!$I$2:$I$122,mar!$A50,holly!$K$2:$K$122,"Mar")</f>
        <v>0</v>
      </c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</row>
    <row r="51" spans="1:77" ht="18.75" x14ac:dyDescent="0.3">
      <c r="A51" s="3" t="s">
        <v>77</v>
      </c>
      <c r="B51" s="3" t="str">
        <f>VLOOKUP($A51,Master!$A$2:$K$52,2,0)</f>
        <v>Employee47</v>
      </c>
      <c r="C51" s="3" t="str">
        <f>VLOOKUP($A51,Master!$A$2:$K$52,3,0)</f>
        <v>Male</v>
      </c>
      <c r="D51" s="3" t="str">
        <f>VLOOKUP($A51,Master!$A$2:$K$52,5,0)</f>
        <v>Production</v>
      </c>
      <c r="E51" s="3" t="str">
        <f>VLOOKUP($A51,Master!$A$2:$K$52,6,0)</f>
        <v>Senior Operator</v>
      </c>
      <c r="F51" s="4" t="str">
        <f>IFERROR(LOOKUP(2,1/((lentry!$A$3:$A$3999=apr!$A51)*(lentry!$B$3:$B$3999&lt;=apr!F$3)*(lentry!$C$3:$C$3999&gt;=apr!F$3)),lentry!$D$3:$D$3999),IF(WEEKDAY(apr!F$3,1)=1,"WO","P"))</f>
        <v>P</v>
      </c>
      <c r="G51" s="4" t="str">
        <f>IFERROR(LOOKUP(2,1/((lentry!$A$3:$A$3999=apr!$A51)*(lentry!$B$3:$B$3999&lt;=apr!G$3)*(lentry!$C$3:$C$3999&gt;=apr!G$3)),lentry!$D$3:$D$3999),IF(WEEKDAY(apr!G$3,1)=1,"WO","P"))</f>
        <v>P</v>
      </c>
      <c r="H51" s="4" t="s">
        <v>350</v>
      </c>
      <c r="I51" s="4" t="str">
        <f>IFERROR(LOOKUP(2,1/((lentry!$A$3:$A$3999=apr!$A51)*(lentry!$B$3:$B$3999&lt;=apr!I$3)*(lentry!$C$3:$C$3999&gt;=apr!I$3)),lentry!$D$3:$D$3999),IF(WEEKDAY(apr!I$3,1)=1,"WO","P"))</f>
        <v>P</v>
      </c>
      <c r="J51" s="4" t="str">
        <f>IFERROR(LOOKUP(2,1/((lentry!$A$3:$A$3999=apr!$A51)*(lentry!$B$3:$B$3999&lt;=apr!J$3)*(lentry!$C$3:$C$3999&gt;=apr!J$3)),lentry!$D$3:$D$3999),IF(WEEKDAY(apr!J$3,1)=1,"WO","P"))</f>
        <v>WO</v>
      </c>
      <c r="K51" s="4" t="str">
        <f>IFERROR(LOOKUP(2,1/((lentry!$A$3:$A$3999=apr!$A51)*(lentry!$B$3:$B$3999&lt;=apr!K$3)*(lentry!$C$3:$C$3999&gt;=apr!K$3)),lentry!$D$3:$D$3999),IF(WEEKDAY(apr!K$3,1)=1,"WO","P"))</f>
        <v>P</v>
      </c>
      <c r="L51" s="4" t="s">
        <v>539</v>
      </c>
      <c r="M51" s="4" t="str">
        <f>IFERROR(LOOKUP(2,1/((lentry!$A$3:$A$3999=apr!$A51)*(lentry!$B$3:$B$3999&lt;=apr!M$3)*(lentry!$C$3:$C$3999&gt;=apr!M$3)),lentry!$D$3:$D$3999),IF(WEEKDAY(apr!M$3,1)=1,"WO","P"))</f>
        <v>P</v>
      </c>
      <c r="N51" s="4" t="str">
        <f>IFERROR(LOOKUP(2,1/((lentry!$A$3:$A$3999=apr!$A51)*(lentry!$B$3:$B$3999&lt;=apr!N$3)*(lentry!$C$3:$C$3999&gt;=apr!N$3)),lentry!$D$3:$D$3999),IF(WEEKDAY(apr!N$3,1)=1,"WO","P"))</f>
        <v>P</v>
      </c>
      <c r="O51" s="4" t="str">
        <f>IFERROR(LOOKUP(2,1/((lentry!$A$3:$A$3999=apr!$A51)*(lentry!$B$3:$B$3999&lt;=apr!O$3)*(lentry!$C$3:$C$3999&gt;=apr!O$3)),lentry!$D$3:$D$3999),IF(WEEKDAY(apr!O$3,1)=1,"WO","P"))</f>
        <v>P</v>
      </c>
      <c r="P51" s="4" t="str">
        <f>IFERROR(LOOKUP(2,1/((lentry!$A$3:$A$3999=apr!$A51)*(lentry!$B$3:$B$3999&lt;=apr!P$3)*(lentry!$C$3:$C$3999&gt;=apr!P$3)),lentry!$D$3:$D$3999),IF(WEEKDAY(apr!P$3,1)=1,"WO","P"))</f>
        <v>P</v>
      </c>
      <c r="Q51" s="4" t="str">
        <f>IFERROR(LOOKUP(2,1/((lentry!$A$3:$A$3999=apr!$A51)*(lentry!$B$3:$B$3999&lt;=apr!Q$3)*(lentry!$C$3:$C$3999&gt;=apr!Q$3)),lentry!$D$3:$D$3999),IF(WEEKDAY(apr!Q$3,1)=1,"WO","P"))</f>
        <v>WO</v>
      </c>
      <c r="R51" s="4" t="str">
        <f>IFERROR(LOOKUP(2,1/((lentry!$A$3:$A$3999=apr!$A51)*(lentry!$B$3:$B$3999&lt;=apr!R$3)*(lentry!$C$3:$C$3999&gt;=apr!R$3)),lentry!$D$3:$D$3999),IF(WEEKDAY(apr!R$3,1)=1,"WO","P"))</f>
        <v>P</v>
      </c>
      <c r="S51" s="4" t="s">
        <v>350</v>
      </c>
      <c r="T51" s="4" t="str">
        <f>IFERROR(LOOKUP(2,1/((lentry!$A$3:$A$3999=apr!$A51)*(lentry!$B$3:$B$3999&lt;=apr!T$3)*(lentry!$C$3:$C$3999&gt;=apr!T$3)),lentry!$D$3:$D$3999),IF(WEEKDAY(apr!T$3,1)=1,"WO","P"))</f>
        <v>P</v>
      </c>
      <c r="U51" s="4" t="str">
        <f>IFERROR(LOOKUP(2,1/((lentry!$A$3:$A$3999=apr!$A51)*(lentry!$B$3:$B$3999&lt;=apr!U$3)*(lentry!$C$3:$C$3999&gt;=apr!U$3)),lentry!$D$3:$D$3999),IF(WEEKDAY(apr!U$3,1)=1,"WO","P"))</f>
        <v>P</v>
      </c>
      <c r="V51" s="4" t="str">
        <f>IFERROR(LOOKUP(2,1/((lentry!$A$3:$A$3999=apr!$A51)*(lentry!$B$3:$B$3999&lt;=apr!V$3)*(lentry!$C$3:$C$3999&gt;=apr!V$3)),lentry!$D$3:$D$3999),IF(WEEKDAY(apr!V$3,1)=1,"WO","P"))</f>
        <v>P</v>
      </c>
      <c r="W51" s="4" t="str">
        <f>IFERROR(LOOKUP(2,1/((lentry!$A$3:$A$3999=apr!$A51)*(lentry!$B$3:$B$3999&lt;=apr!W$3)*(lentry!$C$3:$C$3999&gt;=apr!W$3)),lentry!$D$3:$D$3999),IF(WEEKDAY(apr!W$3,1)=1,"WO","P"))</f>
        <v>P</v>
      </c>
      <c r="X51" s="4" t="str">
        <f>IFERROR(LOOKUP(2,1/((lentry!$A$3:$A$3999=apr!$A51)*(lentry!$B$3:$B$3999&lt;=apr!X$3)*(lentry!$C$3:$C$3999&gt;=apr!X$3)),lentry!$D$3:$D$3999),IF(WEEKDAY(apr!X$3,1)=1,"WO","P"))</f>
        <v>WO</v>
      </c>
      <c r="Y51" s="4" t="str">
        <f>IFERROR(LOOKUP(2,1/((lentry!$A$3:$A$3999=apr!$A51)*(lentry!$B$3:$B$3999&lt;=apr!Y$3)*(lentry!$C$3:$C$3999&gt;=apr!Y$3)),lentry!$D$3:$D$3999),IF(WEEKDAY(apr!Y$3,1)=1,"WO","P"))</f>
        <v>P</v>
      </c>
      <c r="Z51" s="4" t="str">
        <f>IFERROR(LOOKUP(2,1/((lentry!$A$3:$A$3999=apr!$A51)*(lentry!$B$3:$B$3999&lt;=apr!Z$3)*(lentry!$C$3:$C$3999&gt;=apr!Z$3)),lentry!$D$3:$D$3999),IF(WEEKDAY(apr!Z$3,1)=1,"WO","P"))</f>
        <v>P</v>
      </c>
      <c r="AA51" s="4" t="str">
        <f>IFERROR(LOOKUP(2,1/((lentry!$A$3:$A$3999=apr!$A51)*(lentry!$B$3:$B$3999&lt;=apr!AA$3)*(lentry!$C$3:$C$3999&gt;=apr!AA$3)),lentry!$D$3:$D$3999),IF(WEEKDAY(apr!AA$3,1)=1,"WO","P"))</f>
        <v>P</v>
      </c>
      <c r="AB51" s="4" t="str">
        <f>IFERROR(LOOKUP(2,1/((lentry!$A$3:$A$3999=apr!$A51)*(lentry!$B$3:$B$3999&lt;=apr!AB$3)*(lentry!$C$3:$C$3999&gt;=apr!AB$3)),lentry!$D$3:$D$3999),IF(WEEKDAY(apr!AB$3,1)=1,"WO","P"))</f>
        <v>P</v>
      </c>
      <c r="AC51" s="4" t="str">
        <f>IFERROR(LOOKUP(2,1/((lentry!$A$3:$A$3999=apr!$A51)*(lentry!$B$3:$B$3999&lt;=apr!AC$3)*(lentry!$C$3:$C$3999&gt;=apr!AC$3)),lentry!$D$3:$D$3999),IF(WEEKDAY(apr!AC$3,1)=1,"WO","P"))</f>
        <v>P</v>
      </c>
      <c r="AD51" s="4" t="str">
        <f>IFERROR(LOOKUP(2,1/((lentry!$A$3:$A$3999=apr!$A51)*(lentry!$B$3:$B$3999&lt;=apr!AD$3)*(lentry!$C$3:$C$3999&gt;=apr!AD$3)),lentry!$D$3:$D$3999),IF(WEEKDAY(apr!AD$3,1)=1,"WO","P"))</f>
        <v>P</v>
      </c>
      <c r="AE51" s="4" t="str">
        <f>IFERROR(LOOKUP(2,1/((lentry!$A$3:$A$3999=apr!$A51)*(lentry!$B$3:$B$3999&lt;=apr!AE$3)*(lentry!$C$3:$C$3999&gt;=apr!AE$3)),lentry!$D$3:$D$3999),IF(WEEKDAY(apr!AE$3,1)=1,"WO","P"))</f>
        <v>WO</v>
      </c>
      <c r="AF51" s="4" t="str">
        <f>IFERROR(LOOKUP(2,1/((lentry!$A$3:$A$3999=apr!$A51)*(lentry!$B$3:$B$3999&lt;=apr!AF$3)*(lentry!$C$3:$C$3999&gt;=apr!AF$3)),lentry!$D$3:$D$3999),IF(WEEKDAY(apr!AF$3,1)=1,"WO","P"))</f>
        <v>P</v>
      </c>
      <c r="AG51" s="4" t="str">
        <f>IFERROR(LOOKUP(2,1/((lentry!$A$3:$A$3999=apr!$A51)*(lentry!$B$3:$B$3999&lt;=apr!AG$3)*(lentry!$C$3:$C$3999&gt;=apr!AG$3)),lentry!$D$3:$D$3999),IF(WEEKDAY(apr!AG$3,1)=1,"WO","P"))</f>
        <v>P</v>
      </c>
      <c r="AH51" s="4" t="str">
        <f>IFERROR(LOOKUP(2,1/((lentry!$A$3:$A$3999=apr!$A51)*(lentry!$B$3:$B$3999&lt;=apr!AH$3)*(lentry!$C$3:$C$3999&gt;=apr!AH$3)),lentry!$D$3:$D$3999),IF(WEEKDAY(apr!AH$3,1)=1,"WO","P"))</f>
        <v>P</v>
      </c>
      <c r="AI51" s="4" t="str">
        <f>IFERROR(LOOKUP(2,1/((lentry!$A$3:$A$3999=apr!$A51)*(lentry!$B$3:$B$3999&lt;=apr!AI$3)*(lentry!$C$3:$C$3999&gt;=apr!AI$3)),lentry!$D$3:$D$3999),IF(WEEKDAY(apr!AI$3,1)=1,"WO","P"))</f>
        <v>P</v>
      </c>
      <c r="AJ51" s="5">
        <f>COUNTIF(apr!$F51:$AI51,"WO")</f>
        <v>4</v>
      </c>
      <c r="AK51" s="5">
        <f>COUNTIF(jan!$F51:$AJ51,"H")</f>
        <v>1</v>
      </c>
      <c r="AL51" s="5">
        <f>COUNTIF(jan!$F51:$AJ51,"PL")</f>
        <v>0</v>
      </c>
      <c r="AM51" s="5">
        <f>COUNTIF(jan!$F51:$AJ51,"LWP")</f>
        <v>0</v>
      </c>
      <c r="AN51" s="5">
        <f>COUNTIF(jan!$F51:$AJ51,"HD")</f>
        <v>0</v>
      </c>
      <c r="AO51" s="5">
        <f>COUNTIF(jan!$F51:$AJ51,"SL")</f>
        <v>0</v>
      </c>
      <c r="AP51" s="5">
        <f>COUNTIF(jan!$F51:$AJ51,"CL")</f>
        <v>0</v>
      </c>
      <c r="AQ51" s="5">
        <f>COUNTIF(jan!$F51:$AJ51,"A")</f>
        <v>0</v>
      </c>
      <c r="AR51" s="5">
        <f>COUNTIF(jan!$F51:$AJ51,"P")</f>
        <v>26</v>
      </c>
      <c r="AS51" s="5">
        <f t="shared" si="4"/>
        <v>30</v>
      </c>
      <c r="AT51" s="5">
        <f t="shared" si="3"/>
        <v>31</v>
      </c>
      <c r="AU51" s="4">
        <f>SUMIFS(holly!$L$2:$L$122,holly!$I$2:$I$122,mar!$A51,holly!$K$2:$K$122,"Mar")</f>
        <v>3</v>
      </c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</row>
    <row r="52" spans="1:77" ht="18.75" x14ac:dyDescent="0.3">
      <c r="A52" s="3" t="s">
        <v>78</v>
      </c>
      <c r="B52" s="3" t="str">
        <f>VLOOKUP($A52,Master!$A$2:$K$52,2,0)</f>
        <v>Employee48</v>
      </c>
      <c r="C52" s="3" t="str">
        <f>VLOOKUP($A52,Master!$A$2:$K$52,3,0)</f>
        <v>Female</v>
      </c>
      <c r="D52" s="3" t="str">
        <f>VLOOKUP($A52,Master!$A$2:$K$52,5,0)</f>
        <v>Production</v>
      </c>
      <c r="E52" s="3" t="str">
        <f>VLOOKUP($A52,Master!$A$2:$K$52,6,0)</f>
        <v>Senior Operator</v>
      </c>
      <c r="F52" s="4" t="str">
        <f>IFERROR(LOOKUP(2,1/((lentry!$A$3:$A$3999=apr!$A52)*(lentry!$B$3:$B$3999&lt;=apr!F$3)*(lentry!$C$3:$C$3999&gt;=apr!F$3)),lentry!$D$3:$D$3999),IF(WEEKDAY(apr!F$3,1)=1,"WO","P"))</f>
        <v>P</v>
      </c>
      <c r="G52" s="4" t="str">
        <f>IFERROR(LOOKUP(2,1/((lentry!$A$3:$A$3999=apr!$A52)*(lentry!$B$3:$B$3999&lt;=apr!G$3)*(lentry!$C$3:$C$3999&gt;=apr!G$3)),lentry!$D$3:$D$3999),IF(WEEKDAY(apr!G$3,1)=1,"WO","P"))</f>
        <v>P</v>
      </c>
      <c r="H52" s="4" t="s">
        <v>350</v>
      </c>
      <c r="I52" s="4" t="str">
        <f>IFERROR(LOOKUP(2,1/((lentry!$A$3:$A$3999=apr!$A52)*(lentry!$B$3:$B$3999&lt;=apr!I$3)*(lentry!$C$3:$C$3999&gt;=apr!I$3)),lentry!$D$3:$D$3999),IF(WEEKDAY(apr!I$3,1)=1,"WO","P"))</f>
        <v>P</v>
      </c>
      <c r="J52" s="4" t="str">
        <f>IFERROR(LOOKUP(2,1/((lentry!$A$3:$A$3999=apr!$A52)*(lentry!$B$3:$B$3999&lt;=apr!J$3)*(lentry!$C$3:$C$3999&gt;=apr!J$3)),lentry!$D$3:$D$3999),IF(WEEKDAY(apr!J$3,1)=1,"WO","P"))</f>
        <v>WO</v>
      </c>
      <c r="K52" s="4" t="str">
        <f>IFERROR(LOOKUP(2,1/((lentry!$A$3:$A$3999=apr!$A52)*(lentry!$B$3:$B$3999&lt;=apr!K$3)*(lentry!$C$3:$C$3999&gt;=apr!K$3)),lentry!$D$3:$D$3999),IF(WEEKDAY(apr!K$3,1)=1,"WO","P"))</f>
        <v>P</v>
      </c>
      <c r="L52" s="4" t="str">
        <f>IFERROR(LOOKUP(2,1/((lentry!$A$3:$A$3999=apr!$A52)*(lentry!$B$3:$B$3999&lt;=apr!L$3)*(lentry!$C$3:$C$3999&gt;=apr!L$3)),lentry!$D$3:$D$3999),IF(WEEKDAY(apr!L$3,1)=1,"WO","P"))</f>
        <v>P</v>
      </c>
      <c r="M52" s="4" t="str">
        <f>IFERROR(LOOKUP(2,1/((lentry!$A$3:$A$3999=apr!$A52)*(lentry!$B$3:$B$3999&lt;=apr!M$3)*(lentry!$C$3:$C$3999&gt;=apr!M$3)),lentry!$D$3:$D$3999),IF(WEEKDAY(apr!M$3,1)=1,"WO","P"))</f>
        <v>P</v>
      </c>
      <c r="N52" s="4" t="str">
        <f>IFERROR(LOOKUP(2,1/((lentry!$A$3:$A$3999=apr!$A52)*(lentry!$B$3:$B$3999&lt;=apr!N$3)*(lentry!$C$3:$C$3999&gt;=apr!N$3)),lentry!$D$3:$D$3999),IF(WEEKDAY(apr!N$3,1)=1,"WO","P"))</f>
        <v>P</v>
      </c>
      <c r="O52" s="4" t="str">
        <f>IFERROR(LOOKUP(2,1/((lentry!$A$3:$A$3999=apr!$A52)*(lentry!$B$3:$B$3999&lt;=apr!O$3)*(lentry!$C$3:$C$3999&gt;=apr!O$3)),lentry!$D$3:$D$3999),IF(WEEKDAY(apr!O$3,1)=1,"WO","P"))</f>
        <v>P</v>
      </c>
      <c r="P52" s="4" t="str">
        <f>IFERROR(LOOKUP(2,1/((lentry!$A$3:$A$3999=apr!$A52)*(lentry!$B$3:$B$3999&lt;=apr!P$3)*(lentry!$C$3:$C$3999&gt;=apr!P$3)),lentry!$D$3:$D$3999),IF(WEEKDAY(apr!P$3,1)=1,"WO","P"))</f>
        <v>P</v>
      </c>
      <c r="Q52" s="4" t="str">
        <f>IFERROR(LOOKUP(2,1/((lentry!$A$3:$A$3999=apr!$A52)*(lentry!$B$3:$B$3999&lt;=apr!Q$3)*(lentry!$C$3:$C$3999&gt;=apr!Q$3)),lentry!$D$3:$D$3999),IF(WEEKDAY(apr!Q$3,1)=1,"WO","P"))</f>
        <v>WO</v>
      </c>
      <c r="R52" s="4" t="str">
        <f>IFERROR(LOOKUP(2,1/((lentry!$A$3:$A$3999=apr!$A52)*(lentry!$B$3:$B$3999&lt;=apr!R$3)*(lentry!$C$3:$C$3999&gt;=apr!R$3)),lentry!$D$3:$D$3999),IF(WEEKDAY(apr!R$3,1)=1,"WO","P"))</f>
        <v>P</v>
      </c>
      <c r="S52" s="4" t="s">
        <v>350</v>
      </c>
      <c r="T52" s="4" t="str">
        <f>IFERROR(LOOKUP(2,1/((lentry!$A$3:$A$3999=apr!$A52)*(lentry!$B$3:$B$3999&lt;=apr!T$3)*(lentry!$C$3:$C$3999&gt;=apr!T$3)),lentry!$D$3:$D$3999),IF(WEEKDAY(apr!T$3,1)=1,"WO","P"))</f>
        <v>P</v>
      </c>
      <c r="U52" s="4" t="s">
        <v>539</v>
      </c>
      <c r="V52" s="4" t="str">
        <f>IFERROR(LOOKUP(2,1/((lentry!$A$3:$A$3999=apr!$A52)*(lentry!$B$3:$B$3999&lt;=apr!V$3)*(lentry!$C$3:$C$3999&gt;=apr!V$3)),lentry!$D$3:$D$3999),IF(WEEKDAY(apr!V$3,1)=1,"WO","P"))</f>
        <v>P</v>
      </c>
      <c r="W52" s="4" t="str">
        <f>IFERROR(LOOKUP(2,1/((lentry!$A$3:$A$3999=apr!$A52)*(lentry!$B$3:$B$3999&lt;=apr!W$3)*(lentry!$C$3:$C$3999&gt;=apr!W$3)),lentry!$D$3:$D$3999),IF(WEEKDAY(apr!W$3,1)=1,"WO","P"))</f>
        <v>P</v>
      </c>
      <c r="X52" s="4" t="str">
        <f>IFERROR(LOOKUP(2,1/((lentry!$A$3:$A$3999=apr!$A52)*(lentry!$B$3:$B$3999&lt;=apr!X$3)*(lentry!$C$3:$C$3999&gt;=apr!X$3)),lentry!$D$3:$D$3999),IF(WEEKDAY(apr!X$3,1)=1,"WO","P"))</f>
        <v>WO</v>
      </c>
      <c r="Y52" s="4" t="str">
        <f>IFERROR(LOOKUP(2,1/((lentry!$A$3:$A$3999=apr!$A52)*(lentry!$B$3:$B$3999&lt;=apr!Y$3)*(lentry!$C$3:$C$3999&gt;=apr!Y$3)),lentry!$D$3:$D$3999),IF(WEEKDAY(apr!Y$3,1)=1,"WO","P"))</f>
        <v>P</v>
      </c>
      <c r="Z52" s="4" t="str">
        <f>IFERROR(LOOKUP(2,1/((lentry!$A$3:$A$3999=apr!$A52)*(lentry!$B$3:$B$3999&lt;=apr!Z$3)*(lentry!$C$3:$C$3999&gt;=apr!Z$3)),lentry!$D$3:$D$3999),IF(WEEKDAY(apr!Z$3,1)=1,"WO","P"))</f>
        <v>P</v>
      </c>
      <c r="AA52" s="4" t="str">
        <f>IFERROR(LOOKUP(2,1/((lentry!$A$3:$A$3999=apr!$A52)*(lentry!$B$3:$B$3999&lt;=apr!AA$3)*(lentry!$C$3:$C$3999&gt;=apr!AA$3)),lentry!$D$3:$D$3999),IF(WEEKDAY(apr!AA$3,1)=1,"WO","P"))</f>
        <v>P</v>
      </c>
      <c r="AB52" s="4" t="str">
        <f>IFERROR(LOOKUP(2,1/((lentry!$A$3:$A$3999=apr!$A52)*(lentry!$B$3:$B$3999&lt;=apr!AB$3)*(lentry!$C$3:$C$3999&gt;=apr!AB$3)),lentry!$D$3:$D$3999),IF(WEEKDAY(apr!AB$3,1)=1,"WO","P"))</f>
        <v>P</v>
      </c>
      <c r="AC52" s="4" t="str">
        <f>IFERROR(LOOKUP(2,1/((lentry!$A$3:$A$3999=apr!$A52)*(lentry!$B$3:$B$3999&lt;=apr!AC$3)*(lentry!$C$3:$C$3999&gt;=apr!AC$3)),lentry!$D$3:$D$3999),IF(WEEKDAY(apr!AC$3,1)=1,"WO","P"))</f>
        <v>P</v>
      </c>
      <c r="AD52" s="4" t="str">
        <f>IFERROR(LOOKUP(2,1/((lentry!$A$3:$A$3999=apr!$A52)*(lentry!$B$3:$B$3999&lt;=apr!AD$3)*(lentry!$C$3:$C$3999&gt;=apr!AD$3)),lentry!$D$3:$D$3999),IF(WEEKDAY(apr!AD$3,1)=1,"WO","P"))</f>
        <v>P</v>
      </c>
      <c r="AE52" s="4" t="str">
        <f>IFERROR(LOOKUP(2,1/((lentry!$A$3:$A$3999=apr!$A52)*(lentry!$B$3:$B$3999&lt;=apr!AE$3)*(lentry!$C$3:$C$3999&gt;=apr!AE$3)),lentry!$D$3:$D$3999),IF(WEEKDAY(apr!AE$3,1)=1,"WO","P"))</f>
        <v>WO</v>
      </c>
      <c r="AF52" s="4" t="str">
        <f>IFERROR(LOOKUP(2,1/((lentry!$A$3:$A$3999=apr!$A52)*(lentry!$B$3:$B$3999&lt;=apr!AF$3)*(lentry!$C$3:$C$3999&gt;=apr!AF$3)),lentry!$D$3:$D$3999),IF(WEEKDAY(apr!AF$3,1)=1,"WO","P"))</f>
        <v>P</v>
      </c>
      <c r="AG52" s="4" t="str">
        <f>IFERROR(LOOKUP(2,1/((lentry!$A$3:$A$3999=apr!$A52)*(lentry!$B$3:$B$3999&lt;=apr!AG$3)*(lentry!$C$3:$C$3999&gt;=apr!AG$3)),lentry!$D$3:$D$3999),IF(WEEKDAY(apr!AG$3,1)=1,"WO","P"))</f>
        <v>P</v>
      </c>
      <c r="AH52" s="4" t="str">
        <f>IFERROR(LOOKUP(2,1/((lentry!$A$3:$A$3999=apr!$A52)*(lentry!$B$3:$B$3999&lt;=apr!AH$3)*(lentry!$C$3:$C$3999&gt;=apr!AH$3)),lentry!$D$3:$D$3999),IF(WEEKDAY(apr!AH$3,1)=1,"WO","P"))</f>
        <v>P</v>
      </c>
      <c r="AI52" s="4" t="str">
        <f>IFERROR(LOOKUP(2,1/((lentry!$A$3:$A$3999=apr!$A52)*(lentry!$B$3:$B$3999&lt;=apr!AI$3)*(lentry!$C$3:$C$3999&gt;=apr!AI$3)),lentry!$D$3:$D$3999),IF(WEEKDAY(apr!AI$3,1)=1,"WO","P"))</f>
        <v>P</v>
      </c>
      <c r="AJ52" s="5">
        <f>COUNTIF(apr!$F52:$AI52,"WO")</f>
        <v>4</v>
      </c>
      <c r="AK52" s="5">
        <f>COUNTIF(jan!$F52:$AJ52,"H")</f>
        <v>1</v>
      </c>
      <c r="AL52" s="5">
        <f>COUNTIF(jan!$F52:$AJ52,"PL")</f>
        <v>0</v>
      </c>
      <c r="AM52" s="5">
        <f>COUNTIF(jan!$F52:$AJ52,"LWP")</f>
        <v>0</v>
      </c>
      <c r="AN52" s="5">
        <f>COUNTIF(jan!$F52:$AJ52,"HD")</f>
        <v>0</v>
      </c>
      <c r="AO52" s="5">
        <f>COUNTIF(jan!$F52:$AJ52,"SL")</f>
        <v>0</v>
      </c>
      <c r="AP52" s="5">
        <f>COUNTIF(jan!$F52:$AJ52,"CL")</f>
        <v>0</v>
      </c>
      <c r="AQ52" s="5">
        <f>COUNTIF(jan!$F52:$AJ52,"A")</f>
        <v>2</v>
      </c>
      <c r="AR52" s="5">
        <f>COUNTIF(jan!$F52:$AJ52,"P")</f>
        <v>24</v>
      </c>
      <c r="AS52" s="5">
        <f t="shared" si="4"/>
        <v>30</v>
      </c>
      <c r="AT52" s="5">
        <f t="shared" si="3"/>
        <v>29</v>
      </c>
      <c r="AU52" s="4">
        <f>SUMIFS(holly!$L$2:$L$122,holly!$I$2:$I$122,mar!$A52,holly!$K$2:$K$122,"Mar")</f>
        <v>0</v>
      </c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</row>
    <row r="53" spans="1:77" ht="18.75" x14ac:dyDescent="0.3">
      <c r="A53" s="3" t="s">
        <v>79</v>
      </c>
      <c r="B53" s="3" t="str">
        <f>VLOOKUP($A53,Master!$A$2:$K$52,2,0)</f>
        <v>Employee49</v>
      </c>
      <c r="C53" s="3" t="str">
        <f>VLOOKUP($A53,Master!$A$2:$K$52,3,0)</f>
        <v>Female</v>
      </c>
      <c r="D53" s="3" t="str">
        <f>VLOOKUP($A53,Master!$A$2:$K$52,5,0)</f>
        <v>Production</v>
      </c>
      <c r="E53" s="3" t="str">
        <f>VLOOKUP($A53,Master!$A$2:$K$52,6,0)</f>
        <v>Operator</v>
      </c>
      <c r="F53" s="4" t="str">
        <f>IFERROR(LOOKUP(2,1/((lentry!$A$3:$A$3999=apr!$A53)*(lentry!$B$3:$B$3999&lt;=apr!F$3)*(lentry!$C$3:$C$3999&gt;=apr!F$3)),lentry!$D$3:$D$3999),IF(WEEKDAY(apr!F$3,1)=1,"WO","P"))</f>
        <v>P</v>
      </c>
      <c r="G53" s="4" t="str">
        <f>IFERROR(LOOKUP(2,1/((lentry!$A$3:$A$3999=apr!$A53)*(lentry!$B$3:$B$3999&lt;=apr!G$3)*(lentry!$C$3:$C$3999&gt;=apr!G$3)),lentry!$D$3:$D$3999),IF(WEEKDAY(apr!G$3,1)=1,"WO","P"))</f>
        <v>P</v>
      </c>
      <c r="H53" s="4" t="s">
        <v>350</v>
      </c>
      <c r="I53" s="4" t="str">
        <f>IFERROR(LOOKUP(2,1/((lentry!$A$3:$A$3999=apr!$A53)*(lentry!$B$3:$B$3999&lt;=apr!I$3)*(lentry!$C$3:$C$3999&gt;=apr!I$3)),lentry!$D$3:$D$3999),IF(WEEKDAY(apr!I$3,1)=1,"WO","P"))</f>
        <v>P</v>
      </c>
      <c r="J53" s="4" t="str">
        <f>IFERROR(LOOKUP(2,1/((lentry!$A$3:$A$3999=apr!$A53)*(lentry!$B$3:$B$3999&lt;=apr!J$3)*(lentry!$C$3:$C$3999&gt;=apr!J$3)),lentry!$D$3:$D$3999),IF(WEEKDAY(apr!J$3,1)=1,"WO","P"))</f>
        <v>WO</v>
      </c>
      <c r="K53" s="4" t="str">
        <f>IFERROR(LOOKUP(2,1/((lentry!$A$3:$A$3999=apr!$A53)*(lentry!$B$3:$B$3999&lt;=apr!K$3)*(lentry!$C$3:$C$3999&gt;=apr!K$3)),lentry!$D$3:$D$3999),IF(WEEKDAY(apr!K$3,1)=1,"WO","P"))</f>
        <v>P</v>
      </c>
      <c r="L53" s="4" t="str">
        <f>IFERROR(LOOKUP(2,1/((lentry!$A$3:$A$3999=apr!$A53)*(lentry!$B$3:$B$3999&lt;=apr!L$3)*(lentry!$C$3:$C$3999&gt;=apr!L$3)),lentry!$D$3:$D$3999),IF(WEEKDAY(apr!L$3,1)=1,"WO","P"))</f>
        <v>P</v>
      </c>
      <c r="M53" s="4" t="str">
        <f>IFERROR(LOOKUP(2,1/((lentry!$A$3:$A$3999=apr!$A53)*(lentry!$B$3:$B$3999&lt;=apr!M$3)*(lentry!$C$3:$C$3999&gt;=apr!M$3)),lentry!$D$3:$D$3999),IF(WEEKDAY(apr!M$3,1)=1,"WO","P"))</f>
        <v>P</v>
      </c>
      <c r="N53" s="4" t="str">
        <f>IFERROR(LOOKUP(2,1/((lentry!$A$3:$A$3999=apr!$A53)*(lentry!$B$3:$B$3999&lt;=apr!N$3)*(lentry!$C$3:$C$3999&gt;=apr!N$3)),lentry!$D$3:$D$3999),IF(WEEKDAY(apr!N$3,1)=1,"WO","P"))</f>
        <v>P</v>
      </c>
      <c r="O53" s="4" t="str">
        <f>IFERROR(LOOKUP(2,1/((lentry!$A$3:$A$3999=apr!$A53)*(lentry!$B$3:$B$3999&lt;=apr!O$3)*(lentry!$C$3:$C$3999&gt;=apr!O$3)),lentry!$D$3:$D$3999),IF(WEEKDAY(apr!O$3,1)=1,"WO","P"))</f>
        <v>P</v>
      </c>
      <c r="P53" s="4" t="str">
        <f>IFERROR(LOOKUP(2,1/((lentry!$A$3:$A$3999=apr!$A53)*(lentry!$B$3:$B$3999&lt;=apr!P$3)*(lentry!$C$3:$C$3999&gt;=apr!P$3)),lentry!$D$3:$D$3999),IF(WEEKDAY(apr!P$3,1)=1,"WO","P"))</f>
        <v>P</v>
      </c>
      <c r="Q53" s="4" t="str">
        <f>IFERROR(LOOKUP(2,1/((lentry!$A$3:$A$3999=apr!$A53)*(lentry!$B$3:$B$3999&lt;=apr!Q$3)*(lentry!$C$3:$C$3999&gt;=apr!Q$3)),lentry!$D$3:$D$3999),IF(WEEKDAY(apr!Q$3,1)=1,"WO","P"))</f>
        <v>WO</v>
      </c>
      <c r="R53" s="4" t="str">
        <f>IFERROR(LOOKUP(2,1/((lentry!$A$3:$A$3999=apr!$A53)*(lentry!$B$3:$B$3999&lt;=apr!R$3)*(lentry!$C$3:$C$3999&gt;=apr!R$3)),lentry!$D$3:$D$3999),IF(WEEKDAY(apr!R$3,1)=1,"WO","P"))</f>
        <v>P</v>
      </c>
      <c r="S53" s="4" t="s">
        <v>350</v>
      </c>
      <c r="T53" s="4" t="str">
        <f>IFERROR(LOOKUP(2,1/((lentry!$A$3:$A$3999=apr!$A53)*(lentry!$B$3:$B$3999&lt;=apr!T$3)*(lentry!$C$3:$C$3999&gt;=apr!T$3)),lentry!$D$3:$D$3999),IF(WEEKDAY(apr!T$3,1)=1,"WO","P"))</f>
        <v>P</v>
      </c>
      <c r="U53" s="4" t="str">
        <f>IFERROR(LOOKUP(2,1/((lentry!$A$3:$A$3999=apr!$A53)*(lentry!$B$3:$B$3999&lt;=apr!U$3)*(lentry!$C$3:$C$3999&gt;=apr!U$3)),lentry!$D$3:$D$3999),IF(WEEKDAY(apr!U$3,1)=1,"WO","P"))</f>
        <v>P</v>
      </c>
      <c r="V53" s="4" t="str">
        <f>IFERROR(LOOKUP(2,1/((lentry!$A$3:$A$3999=apr!$A53)*(lentry!$B$3:$B$3999&lt;=apr!V$3)*(lentry!$C$3:$C$3999&gt;=apr!V$3)),lentry!$D$3:$D$3999),IF(WEEKDAY(apr!V$3,1)=1,"WO","P"))</f>
        <v>P</v>
      </c>
      <c r="W53" s="4" t="str">
        <f>IFERROR(LOOKUP(2,1/((lentry!$A$3:$A$3999=apr!$A53)*(lentry!$B$3:$B$3999&lt;=apr!W$3)*(lentry!$C$3:$C$3999&gt;=apr!W$3)),lentry!$D$3:$D$3999),IF(WEEKDAY(apr!W$3,1)=1,"WO","P"))</f>
        <v>P</v>
      </c>
      <c r="X53" s="4" t="str">
        <f>IFERROR(LOOKUP(2,1/((lentry!$A$3:$A$3999=apr!$A53)*(lentry!$B$3:$B$3999&lt;=apr!X$3)*(lentry!$C$3:$C$3999&gt;=apr!X$3)),lentry!$D$3:$D$3999),IF(WEEKDAY(apr!X$3,1)=1,"WO","P"))</f>
        <v>WO</v>
      </c>
      <c r="Y53" s="4" t="str">
        <f>IFERROR(LOOKUP(2,1/((lentry!$A$3:$A$3999=apr!$A53)*(lentry!$B$3:$B$3999&lt;=apr!Y$3)*(lentry!$C$3:$C$3999&gt;=apr!Y$3)),lentry!$D$3:$D$3999),IF(WEEKDAY(apr!Y$3,1)=1,"WO","P"))</f>
        <v>P</v>
      </c>
      <c r="Z53" s="4" t="str">
        <f>IFERROR(LOOKUP(2,1/((lentry!$A$3:$A$3999=apr!$A53)*(lentry!$B$3:$B$3999&lt;=apr!Z$3)*(lentry!$C$3:$C$3999&gt;=apr!Z$3)),lentry!$D$3:$D$3999),IF(WEEKDAY(apr!Z$3,1)=1,"WO","P"))</f>
        <v>P</v>
      </c>
      <c r="AA53" s="4" t="str">
        <f>IFERROR(LOOKUP(2,1/((lentry!$A$3:$A$3999=apr!$A53)*(lentry!$B$3:$B$3999&lt;=apr!AA$3)*(lentry!$C$3:$C$3999&gt;=apr!AA$3)),lentry!$D$3:$D$3999),IF(WEEKDAY(apr!AA$3,1)=1,"WO","P"))</f>
        <v>P</v>
      </c>
      <c r="AB53" s="4" t="str">
        <f>IFERROR(LOOKUP(2,1/((lentry!$A$3:$A$3999=apr!$A53)*(lentry!$B$3:$B$3999&lt;=apr!AB$3)*(lentry!$C$3:$C$3999&gt;=apr!AB$3)),lentry!$D$3:$D$3999),IF(WEEKDAY(apr!AB$3,1)=1,"WO","P"))</f>
        <v>P</v>
      </c>
      <c r="AC53" s="4" t="str">
        <f>IFERROR(LOOKUP(2,1/((lentry!$A$3:$A$3999=apr!$A53)*(lentry!$B$3:$B$3999&lt;=apr!AC$3)*(lentry!$C$3:$C$3999&gt;=apr!AC$3)),lentry!$D$3:$D$3999),IF(WEEKDAY(apr!AC$3,1)=1,"WO","P"))</f>
        <v>P</v>
      </c>
      <c r="AD53" s="4" t="str">
        <f>IFERROR(LOOKUP(2,1/((lentry!$A$3:$A$3999=apr!$A53)*(lentry!$B$3:$B$3999&lt;=apr!AD$3)*(lentry!$C$3:$C$3999&gt;=apr!AD$3)),lentry!$D$3:$D$3999),IF(WEEKDAY(apr!AD$3,1)=1,"WO","P"))</f>
        <v>P</v>
      </c>
      <c r="AE53" s="4" t="str">
        <f>IFERROR(LOOKUP(2,1/((lentry!$A$3:$A$3999=apr!$A53)*(lentry!$B$3:$B$3999&lt;=apr!AE$3)*(lentry!$C$3:$C$3999&gt;=apr!AE$3)),lentry!$D$3:$D$3999),IF(WEEKDAY(apr!AE$3,1)=1,"WO","P"))</f>
        <v>WO</v>
      </c>
      <c r="AF53" s="4" t="str">
        <f>IFERROR(LOOKUP(2,1/((lentry!$A$3:$A$3999=apr!$A53)*(lentry!$B$3:$B$3999&lt;=apr!AF$3)*(lentry!$C$3:$C$3999&gt;=apr!AF$3)),lentry!$D$3:$D$3999),IF(WEEKDAY(apr!AF$3,1)=1,"WO","P"))</f>
        <v>P</v>
      </c>
      <c r="AG53" s="4" t="str">
        <f>IFERROR(LOOKUP(2,1/((lentry!$A$3:$A$3999=apr!$A53)*(lentry!$B$3:$B$3999&lt;=apr!AG$3)*(lentry!$C$3:$C$3999&gt;=apr!AG$3)),lentry!$D$3:$D$3999),IF(WEEKDAY(apr!AG$3,1)=1,"WO","P"))</f>
        <v>P</v>
      </c>
      <c r="AH53" s="4" t="str">
        <f>IFERROR(LOOKUP(2,1/((lentry!$A$3:$A$3999=apr!$A53)*(lentry!$B$3:$B$3999&lt;=apr!AH$3)*(lentry!$C$3:$C$3999&gt;=apr!AH$3)),lentry!$D$3:$D$3999),IF(WEEKDAY(apr!AH$3,1)=1,"WO","P"))</f>
        <v>P</v>
      </c>
      <c r="AI53" s="4" t="str">
        <f>IFERROR(LOOKUP(2,1/((lentry!$A$3:$A$3999=apr!$A53)*(lentry!$B$3:$B$3999&lt;=apr!AI$3)*(lentry!$C$3:$C$3999&gt;=apr!AI$3)),lentry!$D$3:$D$3999),IF(WEEKDAY(apr!AI$3,1)=1,"WO","P"))</f>
        <v>P</v>
      </c>
      <c r="AJ53" s="5">
        <f>COUNTIF(apr!$F53:$AI53,"WO")</f>
        <v>4</v>
      </c>
      <c r="AK53" s="5">
        <f>COUNTIF(jan!$F53:$AJ53,"H")</f>
        <v>1</v>
      </c>
      <c r="AL53" s="5">
        <f>COUNTIF(jan!$F53:$AJ53,"PL")</f>
        <v>0</v>
      </c>
      <c r="AM53" s="5">
        <f>COUNTIF(jan!$F53:$AJ53,"LWP")</f>
        <v>0</v>
      </c>
      <c r="AN53" s="5">
        <f>COUNTIF(jan!$F53:$AJ53,"HD")</f>
        <v>0</v>
      </c>
      <c r="AO53" s="5">
        <f>COUNTIF(jan!$F53:$AJ53,"SL")</f>
        <v>0</v>
      </c>
      <c r="AP53" s="5">
        <f>COUNTIF(jan!$F53:$AJ53,"CL")</f>
        <v>0</v>
      </c>
      <c r="AQ53" s="5">
        <f>COUNTIF(jan!$F53:$AJ53,"A")</f>
        <v>1</v>
      </c>
      <c r="AR53" s="5">
        <f>COUNTIF(jan!$F53:$AJ53,"P")</f>
        <v>25</v>
      </c>
      <c r="AS53" s="5">
        <f t="shared" si="4"/>
        <v>30</v>
      </c>
      <c r="AT53" s="5">
        <f t="shared" si="3"/>
        <v>30</v>
      </c>
      <c r="AU53" s="4">
        <f>SUMIFS(holly!$L$2:$L$122,holly!$I$2:$I$122,mar!$A53,holly!$K$2:$K$122,"Mar")</f>
        <v>0</v>
      </c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</row>
    <row r="54" spans="1:77" ht="18.75" x14ac:dyDescent="0.3">
      <c r="A54" s="3" t="s">
        <v>80</v>
      </c>
      <c r="B54" s="3" t="str">
        <f>VLOOKUP($A54,Master!$A$2:$K$52,2,0)</f>
        <v>Employee50</v>
      </c>
      <c r="C54" s="3" t="str">
        <f>VLOOKUP($A54,Master!$A$2:$K$52,3,0)</f>
        <v>Female</v>
      </c>
      <c r="D54" s="3" t="str">
        <f>VLOOKUP($A54,Master!$A$2:$K$52,5,0)</f>
        <v>Production</v>
      </c>
      <c r="E54" s="3" t="str">
        <f>VLOOKUP($A54,Master!$A$2:$K$52,6,0)</f>
        <v>Operator</v>
      </c>
      <c r="F54" s="4" t="str">
        <f>IFERROR(LOOKUP(2,1/((lentry!$A$3:$A$3999=apr!$A54)*(lentry!$B$3:$B$3999&lt;=apr!F$3)*(lentry!$C$3:$C$3999&gt;=apr!F$3)),lentry!$D$3:$D$3999),IF(WEEKDAY(apr!F$3,1)=1,"WO","P"))</f>
        <v>P</v>
      </c>
      <c r="G54" s="4" t="str">
        <f>IFERROR(LOOKUP(2,1/((lentry!$A$3:$A$3999=apr!$A54)*(lentry!$B$3:$B$3999&lt;=apr!G$3)*(lentry!$C$3:$C$3999&gt;=apr!G$3)),lentry!$D$3:$D$3999),IF(WEEKDAY(apr!G$3,1)=1,"WO","P"))</f>
        <v>P</v>
      </c>
      <c r="H54" s="4" t="s">
        <v>350</v>
      </c>
      <c r="I54" s="4" t="str">
        <f>IFERROR(LOOKUP(2,1/((lentry!$A$3:$A$3999=apr!$A54)*(lentry!$B$3:$B$3999&lt;=apr!I$3)*(lentry!$C$3:$C$3999&gt;=apr!I$3)),lentry!$D$3:$D$3999),IF(WEEKDAY(apr!I$3,1)=1,"WO","P"))</f>
        <v>P</v>
      </c>
      <c r="J54" s="4" t="str">
        <f>IFERROR(LOOKUP(2,1/((lentry!$A$3:$A$3999=apr!$A54)*(lentry!$B$3:$B$3999&lt;=apr!J$3)*(lentry!$C$3:$C$3999&gt;=apr!J$3)),lentry!$D$3:$D$3999),IF(WEEKDAY(apr!J$3,1)=1,"WO","P"))</f>
        <v>WO</v>
      </c>
      <c r="K54" s="4" t="str">
        <f>IFERROR(LOOKUP(2,1/((lentry!$A$3:$A$3999=apr!$A54)*(lentry!$B$3:$B$3999&lt;=apr!K$3)*(lentry!$C$3:$C$3999&gt;=apr!K$3)),lentry!$D$3:$D$3999),IF(WEEKDAY(apr!K$3,1)=1,"WO","P"))</f>
        <v>P</v>
      </c>
      <c r="L54" s="4" t="str">
        <f>IFERROR(LOOKUP(2,1/((lentry!$A$3:$A$3999=apr!$A54)*(lentry!$B$3:$B$3999&lt;=apr!L$3)*(lentry!$C$3:$C$3999&gt;=apr!L$3)),lentry!$D$3:$D$3999),IF(WEEKDAY(apr!L$3,1)=1,"WO","P"))</f>
        <v>P</v>
      </c>
      <c r="M54" s="4" t="str">
        <f>IFERROR(LOOKUP(2,1/((lentry!$A$3:$A$3999=apr!$A54)*(lentry!$B$3:$B$3999&lt;=apr!M$3)*(lentry!$C$3:$C$3999&gt;=apr!M$3)),lentry!$D$3:$D$3999),IF(WEEKDAY(apr!M$3,1)=1,"WO","P"))</f>
        <v>P</v>
      </c>
      <c r="N54" s="4" t="str">
        <f>IFERROR(LOOKUP(2,1/((lentry!$A$3:$A$3999=apr!$A54)*(lentry!$B$3:$B$3999&lt;=apr!N$3)*(lentry!$C$3:$C$3999&gt;=apr!N$3)),lentry!$D$3:$D$3999),IF(WEEKDAY(apr!N$3,1)=1,"WO","P"))</f>
        <v>P</v>
      </c>
      <c r="O54" s="4" t="str">
        <f>IFERROR(LOOKUP(2,1/((lentry!$A$3:$A$3999=apr!$A54)*(lentry!$B$3:$B$3999&lt;=apr!O$3)*(lentry!$C$3:$C$3999&gt;=apr!O$3)),lentry!$D$3:$D$3999),IF(WEEKDAY(apr!O$3,1)=1,"WO","P"))</f>
        <v>P</v>
      </c>
      <c r="P54" s="4" t="str">
        <f>IFERROR(LOOKUP(2,1/((lentry!$A$3:$A$3999=apr!$A54)*(lentry!$B$3:$B$3999&lt;=apr!P$3)*(lentry!$C$3:$C$3999&gt;=apr!P$3)),lentry!$D$3:$D$3999),IF(WEEKDAY(apr!P$3,1)=1,"WO","P"))</f>
        <v>P</v>
      </c>
      <c r="Q54" s="4" t="str">
        <f>IFERROR(LOOKUP(2,1/((lentry!$A$3:$A$3999=apr!$A54)*(lentry!$B$3:$B$3999&lt;=apr!Q$3)*(lentry!$C$3:$C$3999&gt;=apr!Q$3)),lentry!$D$3:$D$3999),IF(WEEKDAY(apr!Q$3,1)=1,"WO","P"))</f>
        <v>WO</v>
      </c>
      <c r="R54" s="4" t="str">
        <f>IFERROR(LOOKUP(2,1/((lentry!$A$3:$A$3999=apr!$A54)*(lentry!$B$3:$B$3999&lt;=apr!R$3)*(lentry!$C$3:$C$3999&gt;=apr!R$3)),lentry!$D$3:$D$3999),IF(WEEKDAY(apr!R$3,1)=1,"WO","P"))</f>
        <v>P</v>
      </c>
      <c r="S54" s="4" t="s">
        <v>350</v>
      </c>
      <c r="T54" s="4" t="str">
        <f>IFERROR(LOOKUP(2,1/((lentry!$A$3:$A$3999=apr!$A54)*(lentry!$B$3:$B$3999&lt;=apr!T$3)*(lentry!$C$3:$C$3999&gt;=apr!T$3)),lentry!$D$3:$D$3999),IF(WEEKDAY(apr!T$3,1)=1,"WO","P"))</f>
        <v>P</v>
      </c>
      <c r="U54" s="4" t="str">
        <f>IFERROR(LOOKUP(2,1/((lentry!$A$3:$A$3999=apr!$A54)*(lentry!$B$3:$B$3999&lt;=apr!U$3)*(lentry!$C$3:$C$3999&gt;=apr!U$3)),lentry!$D$3:$D$3999),IF(WEEKDAY(apr!U$3,1)=1,"WO","P"))</f>
        <v>P</v>
      </c>
      <c r="V54" s="4" t="str">
        <f>IFERROR(LOOKUP(2,1/((lentry!$A$3:$A$3999=apr!$A54)*(lentry!$B$3:$B$3999&lt;=apr!V$3)*(lentry!$C$3:$C$3999&gt;=apr!V$3)),lentry!$D$3:$D$3999),IF(WEEKDAY(apr!V$3,1)=1,"WO","P"))</f>
        <v>P</v>
      </c>
      <c r="W54" s="4" t="str">
        <f>IFERROR(LOOKUP(2,1/((lentry!$A$3:$A$3999=apr!$A54)*(lentry!$B$3:$B$3999&lt;=apr!W$3)*(lentry!$C$3:$C$3999&gt;=apr!W$3)),lentry!$D$3:$D$3999),IF(WEEKDAY(apr!W$3,1)=1,"WO","P"))</f>
        <v>P</v>
      </c>
      <c r="X54" s="4" t="str">
        <f>IFERROR(LOOKUP(2,1/((lentry!$A$3:$A$3999=apr!$A54)*(lentry!$B$3:$B$3999&lt;=apr!X$3)*(lentry!$C$3:$C$3999&gt;=apr!X$3)),lentry!$D$3:$D$3999),IF(WEEKDAY(apr!X$3,1)=1,"WO","P"))</f>
        <v>WO</v>
      </c>
      <c r="Y54" s="4" t="str">
        <f>IFERROR(LOOKUP(2,1/((lentry!$A$3:$A$3999=apr!$A54)*(lentry!$B$3:$B$3999&lt;=apr!Y$3)*(lentry!$C$3:$C$3999&gt;=apr!Y$3)),lentry!$D$3:$D$3999),IF(WEEKDAY(apr!Y$3,1)=1,"WO","P"))</f>
        <v>P</v>
      </c>
      <c r="Z54" s="4" t="str">
        <f>IFERROR(LOOKUP(2,1/((lentry!$A$3:$A$3999=apr!$A54)*(lentry!$B$3:$B$3999&lt;=apr!Z$3)*(lentry!$C$3:$C$3999&gt;=apr!Z$3)),lentry!$D$3:$D$3999),IF(WEEKDAY(apr!Z$3,1)=1,"WO","P"))</f>
        <v>P</v>
      </c>
      <c r="AA54" s="4" t="str">
        <f>IFERROR(LOOKUP(2,1/((lentry!$A$3:$A$3999=apr!$A54)*(lentry!$B$3:$B$3999&lt;=apr!AA$3)*(lentry!$C$3:$C$3999&gt;=apr!AA$3)),lentry!$D$3:$D$3999),IF(WEEKDAY(apr!AA$3,1)=1,"WO","P"))</f>
        <v>P</v>
      </c>
      <c r="AB54" s="4" t="str">
        <f>IFERROR(LOOKUP(2,1/((lentry!$A$3:$A$3999=apr!$A54)*(lentry!$B$3:$B$3999&lt;=apr!AB$3)*(lentry!$C$3:$C$3999&gt;=apr!AB$3)),lentry!$D$3:$D$3999),IF(WEEKDAY(apr!AB$3,1)=1,"WO","P"))</f>
        <v>P</v>
      </c>
      <c r="AC54" s="4" t="str">
        <f>IFERROR(LOOKUP(2,1/((lentry!$A$3:$A$3999=apr!$A54)*(lentry!$B$3:$B$3999&lt;=apr!AC$3)*(lentry!$C$3:$C$3999&gt;=apr!AC$3)),lentry!$D$3:$D$3999),IF(WEEKDAY(apr!AC$3,1)=1,"WO","P"))</f>
        <v>P</v>
      </c>
      <c r="AD54" s="4" t="str">
        <f>IFERROR(LOOKUP(2,1/((lentry!$A$3:$A$3999=apr!$A54)*(lentry!$B$3:$B$3999&lt;=apr!AD$3)*(lentry!$C$3:$C$3999&gt;=apr!AD$3)),lentry!$D$3:$D$3999),IF(WEEKDAY(apr!AD$3,1)=1,"WO","P"))</f>
        <v>P</v>
      </c>
      <c r="AE54" s="4" t="str">
        <f>IFERROR(LOOKUP(2,1/((lentry!$A$3:$A$3999=apr!$A54)*(lentry!$B$3:$B$3999&lt;=apr!AE$3)*(lentry!$C$3:$C$3999&gt;=apr!AE$3)),lentry!$D$3:$D$3999),IF(WEEKDAY(apr!AE$3,1)=1,"WO","P"))</f>
        <v>WO</v>
      </c>
      <c r="AF54" s="4" t="str">
        <f>IFERROR(LOOKUP(2,1/((lentry!$A$3:$A$3999=apr!$A54)*(lentry!$B$3:$B$3999&lt;=apr!AF$3)*(lentry!$C$3:$C$3999&gt;=apr!AF$3)),lentry!$D$3:$D$3999),IF(WEEKDAY(apr!AF$3,1)=1,"WO","P"))</f>
        <v>P</v>
      </c>
      <c r="AG54" s="4" t="str">
        <f>IFERROR(LOOKUP(2,1/((lentry!$A$3:$A$3999=apr!$A54)*(lentry!$B$3:$B$3999&lt;=apr!AG$3)*(lentry!$C$3:$C$3999&gt;=apr!AG$3)),lentry!$D$3:$D$3999),IF(WEEKDAY(apr!AG$3,1)=1,"WO","P"))</f>
        <v>P</v>
      </c>
      <c r="AH54" s="4" t="str">
        <f>IFERROR(LOOKUP(2,1/((lentry!$A$3:$A$3999=apr!$A54)*(lentry!$B$3:$B$3999&lt;=apr!AH$3)*(lentry!$C$3:$C$3999&gt;=apr!AH$3)),lentry!$D$3:$D$3999),IF(WEEKDAY(apr!AH$3,1)=1,"WO","P"))</f>
        <v>P</v>
      </c>
      <c r="AI54" s="4" t="str">
        <f>IFERROR(LOOKUP(2,1/((lentry!$A$3:$A$3999=apr!$A54)*(lentry!$B$3:$B$3999&lt;=apr!AI$3)*(lentry!$C$3:$C$3999&gt;=apr!AI$3)),lentry!$D$3:$D$3999),IF(WEEKDAY(apr!AI$3,1)=1,"WO","P"))</f>
        <v>P</v>
      </c>
      <c r="AJ54" s="5">
        <f>COUNTIF(apr!$F54:$AI54,"WO")</f>
        <v>4</v>
      </c>
      <c r="AK54" s="5">
        <f>COUNTIF(jan!$F54:$AJ54,"H")</f>
        <v>1</v>
      </c>
      <c r="AL54" s="5">
        <f>COUNTIF(jan!$F54:$AJ54,"PL")</f>
        <v>0</v>
      </c>
      <c r="AM54" s="5">
        <f>COUNTIF(jan!$F54:$AJ54,"LWP")</f>
        <v>0</v>
      </c>
      <c r="AN54" s="5">
        <f>COUNTIF(jan!$F54:$AJ54,"HD")</f>
        <v>0</v>
      </c>
      <c r="AO54" s="5">
        <f>COUNTIF(jan!$F54:$AJ54,"SL")</f>
        <v>0</v>
      </c>
      <c r="AP54" s="5">
        <f>COUNTIF(jan!$F54:$AJ54,"CL")</f>
        <v>0</v>
      </c>
      <c r="AQ54" s="5">
        <f>COUNTIF(jan!$F54:$AJ54,"A")</f>
        <v>1</v>
      </c>
      <c r="AR54" s="5">
        <f>COUNTIF(jan!$F54:$AJ54,"P")</f>
        <v>25</v>
      </c>
      <c r="AS54" s="5">
        <f t="shared" si="4"/>
        <v>30</v>
      </c>
      <c r="AT54" s="5">
        <f t="shared" si="3"/>
        <v>30</v>
      </c>
      <c r="AU54" s="4">
        <f>SUMIFS(holly!$L$2:$L$122,holly!$I$2:$I$122,mar!$A54,holly!$K$2:$K$122,"Mar")</f>
        <v>0</v>
      </c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</row>
  </sheetData>
  <mergeCells count="23">
    <mergeCell ref="AQ3:AQ4"/>
    <mergeCell ref="AR3:AR4"/>
    <mergeCell ref="AS3:AS4"/>
    <mergeCell ref="AT3:AT4"/>
    <mergeCell ref="AU3:AU4"/>
    <mergeCell ref="AP3:AP4"/>
    <mergeCell ref="A3:A4"/>
    <mergeCell ref="B3:B4"/>
    <mergeCell ref="C3:C4"/>
    <mergeCell ref="D3:D4"/>
    <mergeCell ref="E3:E4"/>
    <mergeCell ref="AJ3:AJ4"/>
    <mergeCell ref="AK3:AK4"/>
    <mergeCell ref="AL3:AL4"/>
    <mergeCell ref="AM3:AM4"/>
    <mergeCell ref="AN3:AN4"/>
    <mergeCell ref="AO3:AO4"/>
    <mergeCell ref="A1:AU1"/>
    <mergeCell ref="A2:K2"/>
    <mergeCell ref="L2:O2"/>
    <mergeCell ref="P2:AA2"/>
    <mergeCell ref="AB2:AE2"/>
    <mergeCell ref="AF2:AU2"/>
  </mergeCells>
  <conditionalFormatting sqref="F5:AI54">
    <cfRule type="cellIs" dxfId="84" priority="3" operator="equal">
      <formula>"HD"</formula>
    </cfRule>
    <cfRule type="cellIs" dxfId="83" priority="4" operator="equal">
      <formula>"LWP"</formula>
    </cfRule>
    <cfRule type="cellIs" dxfId="82" priority="5" operator="equal">
      <formula>"PL"</formula>
    </cfRule>
    <cfRule type="cellIs" dxfId="81" priority="6" operator="equal">
      <formula>"H"</formula>
    </cfRule>
    <cfRule type="cellIs" dxfId="80" priority="7" operator="equal">
      <formula>"A"</formula>
    </cfRule>
    <cfRule type="cellIs" dxfId="79" priority="8" operator="equal">
      <formula>"P"</formula>
    </cfRule>
    <cfRule type="expression" dxfId="78" priority="9">
      <formula>F$4="Sun"</formula>
    </cfRule>
  </conditionalFormatting>
  <conditionalFormatting sqref="AU5:AU54">
    <cfRule type="cellIs" dxfId="77" priority="2" operator="greaterThan">
      <formula>0</formula>
    </cfRule>
  </conditionalFormatting>
  <conditionalFormatting sqref="AV4:BY54">
    <cfRule type="cellIs" dxfId="76" priority="1" operator="equal">
      <formula>"A"</formula>
    </cfRule>
  </conditionalFormatting>
  <dataValidations count="1">
    <dataValidation type="list" allowBlank="1" showInputMessage="1" showErrorMessage="1" sqref="F5:AI54" xr:uid="{FF287A98-1A04-47C7-907B-195D4B19397B}">
      <formula1>"A,P,WO,H,PL,LWP,HD"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0D02-95EC-4257-9B8B-5B6E6361B5FD}">
  <sheetPr codeName="Sheet10"/>
  <dimension ref="A1:CB54"/>
  <sheetViews>
    <sheetView zoomScale="130" zoomScaleNormal="130" workbookViewId="0">
      <pane xSplit="1" topLeftCell="B1" activePane="topRight" state="frozen"/>
      <selection pane="topRight" activeCell="L14" sqref="L14"/>
    </sheetView>
  </sheetViews>
  <sheetFormatPr defaultRowHeight="15" x14ac:dyDescent="0.25"/>
  <cols>
    <col min="1" max="1" width="10.140625" bestFit="1" customWidth="1"/>
    <col min="2" max="2" width="17.28515625" customWidth="1"/>
    <col min="3" max="3" width="10.42578125" customWidth="1"/>
    <col min="4" max="4" width="13.28515625" customWidth="1"/>
    <col min="5" max="5" width="21.42578125" customWidth="1"/>
    <col min="6" max="11" width="4.7109375" bestFit="1" customWidth="1"/>
    <col min="12" max="12" width="5.140625" bestFit="1" customWidth="1"/>
    <col min="13" max="36" width="4.7109375" bestFit="1" customWidth="1"/>
    <col min="37" max="39" width="5.140625" customWidth="1"/>
    <col min="40" max="40" width="4.140625" customWidth="1"/>
    <col min="41" max="48" width="5.140625" customWidth="1"/>
    <col min="49" max="49" width="4" bestFit="1" customWidth="1"/>
    <col min="50" max="51" width="2.42578125" bestFit="1" customWidth="1"/>
    <col min="52" max="52" width="4.42578125" bestFit="1" customWidth="1"/>
    <col min="53" max="54" width="3" bestFit="1" customWidth="1"/>
    <col min="55" max="55" width="3.140625" bestFit="1" customWidth="1"/>
    <col min="56" max="56" width="2.42578125" bestFit="1" customWidth="1"/>
    <col min="57" max="57" width="3.5703125" customWidth="1"/>
    <col min="58" max="58" width="2.42578125" bestFit="1" customWidth="1"/>
    <col min="59" max="59" width="4.42578125" bestFit="1" customWidth="1"/>
    <col min="60" max="65" width="3.28515625" bestFit="1" customWidth="1"/>
    <col min="66" max="66" width="4.42578125" bestFit="1" customWidth="1"/>
    <col min="67" max="71" width="3.28515625" bestFit="1" customWidth="1"/>
    <col min="72" max="72" width="5" bestFit="1" customWidth="1"/>
    <col min="73" max="73" width="4.42578125" bestFit="1" customWidth="1"/>
    <col min="74" max="79" width="3.28515625" bestFit="1" customWidth="1"/>
    <col min="80" max="80" width="4.42578125" bestFit="1" customWidth="1"/>
  </cols>
  <sheetData>
    <row r="1" spans="1:80" ht="51" x14ac:dyDescent="0.25">
      <c r="A1" s="79" t="s">
        <v>336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80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May</v>
      </c>
      <c r="M2" s="67"/>
      <c r="N2" s="67"/>
      <c r="O2" s="67"/>
      <c r="P2" s="80">
        <f>DATE(2026,5,1)</f>
        <v>46143</v>
      </c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71" t="s">
        <v>337</v>
      </c>
      <c r="AC2" s="71"/>
      <c r="AD2" s="71"/>
      <c r="AE2" s="71"/>
      <c r="AF2" s="80">
        <f>EOMONTH(P2,0)</f>
        <v>46173</v>
      </c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</row>
    <row r="3" spans="1:80" ht="18.75" x14ac:dyDescent="0.25">
      <c r="A3" s="77" t="s">
        <v>338</v>
      </c>
      <c r="B3" s="77" t="s">
        <v>339</v>
      </c>
      <c r="C3" s="77" t="s">
        <v>1</v>
      </c>
      <c r="D3" s="77" t="s">
        <v>340</v>
      </c>
      <c r="E3" s="77" t="s">
        <v>341</v>
      </c>
      <c r="F3" s="7">
        <f>P2</f>
        <v>46143</v>
      </c>
      <c r="G3" s="7">
        <f>IF(F3&lt;$AF$2,F3+1,"")</f>
        <v>46144</v>
      </c>
      <c r="H3" s="7">
        <f t="shared" ref="H3:AJ3" si="0">IF(G3&lt;$AF$2,G3+1,"")</f>
        <v>46145</v>
      </c>
      <c r="I3" s="7">
        <f t="shared" si="0"/>
        <v>46146</v>
      </c>
      <c r="J3" s="7">
        <f t="shared" si="0"/>
        <v>46147</v>
      </c>
      <c r="K3" s="7">
        <f t="shared" si="0"/>
        <v>46148</v>
      </c>
      <c r="L3" s="7">
        <f t="shared" si="0"/>
        <v>46149</v>
      </c>
      <c r="M3" s="7">
        <f t="shared" si="0"/>
        <v>46150</v>
      </c>
      <c r="N3" s="7">
        <f t="shared" si="0"/>
        <v>46151</v>
      </c>
      <c r="O3" s="7">
        <f t="shared" si="0"/>
        <v>46152</v>
      </c>
      <c r="P3" s="7">
        <f t="shared" si="0"/>
        <v>46153</v>
      </c>
      <c r="Q3" s="7">
        <f t="shared" si="0"/>
        <v>46154</v>
      </c>
      <c r="R3" s="7">
        <f t="shared" si="0"/>
        <v>46155</v>
      </c>
      <c r="S3" s="7">
        <f t="shared" si="0"/>
        <v>46156</v>
      </c>
      <c r="T3" s="7">
        <f t="shared" si="0"/>
        <v>46157</v>
      </c>
      <c r="U3" s="7">
        <f t="shared" si="0"/>
        <v>46158</v>
      </c>
      <c r="V3" s="7">
        <f t="shared" si="0"/>
        <v>46159</v>
      </c>
      <c r="W3" s="7">
        <f t="shared" si="0"/>
        <v>46160</v>
      </c>
      <c r="X3" s="7">
        <f t="shared" si="0"/>
        <v>46161</v>
      </c>
      <c r="Y3" s="7">
        <f t="shared" si="0"/>
        <v>46162</v>
      </c>
      <c r="Z3" s="7">
        <f t="shared" si="0"/>
        <v>46163</v>
      </c>
      <c r="AA3" s="7">
        <f t="shared" si="0"/>
        <v>46164</v>
      </c>
      <c r="AB3" s="7">
        <f t="shared" si="0"/>
        <v>46165</v>
      </c>
      <c r="AC3" s="7">
        <f t="shared" si="0"/>
        <v>46166</v>
      </c>
      <c r="AD3" s="7">
        <f t="shared" si="0"/>
        <v>46167</v>
      </c>
      <c r="AE3" s="7">
        <f t="shared" si="0"/>
        <v>46168</v>
      </c>
      <c r="AF3" s="7">
        <f t="shared" si="0"/>
        <v>46169</v>
      </c>
      <c r="AG3" s="7">
        <f t="shared" si="0"/>
        <v>46170</v>
      </c>
      <c r="AH3" s="7">
        <f t="shared" si="0"/>
        <v>46171</v>
      </c>
      <c r="AI3" s="7">
        <f t="shared" si="0"/>
        <v>46172</v>
      </c>
      <c r="AJ3" s="7">
        <f t="shared" si="0"/>
        <v>46173</v>
      </c>
      <c r="AK3" s="76" t="s">
        <v>342</v>
      </c>
      <c r="AL3" s="76" t="s">
        <v>343</v>
      </c>
      <c r="AM3" s="76" t="s">
        <v>344</v>
      </c>
      <c r="AN3" s="78" t="s">
        <v>84</v>
      </c>
      <c r="AO3" s="76" t="s">
        <v>345</v>
      </c>
      <c r="AP3" s="76" t="s">
        <v>351</v>
      </c>
      <c r="AQ3" s="76" t="s">
        <v>352</v>
      </c>
      <c r="AR3" s="76" t="s">
        <v>346</v>
      </c>
      <c r="AS3" s="76" t="s">
        <v>347</v>
      </c>
      <c r="AT3" s="76" t="s">
        <v>348</v>
      </c>
      <c r="AU3" s="76" t="s">
        <v>349</v>
      </c>
      <c r="AV3" s="76" t="s">
        <v>353</v>
      </c>
    </row>
    <row r="4" spans="1:80" ht="78" customHeight="1" x14ac:dyDescent="0.25">
      <c r="A4" s="77"/>
      <c r="B4" s="77"/>
      <c r="C4" s="77"/>
      <c r="D4" s="77"/>
      <c r="E4" s="77"/>
      <c r="F4" s="8" t="str">
        <f>TEXT(F3,"ddd")</f>
        <v>Fri</v>
      </c>
      <c r="G4" s="8" t="str">
        <f t="shared" ref="G4:AJ4" si="1">TEXT(G3,"ddd")</f>
        <v>Sat</v>
      </c>
      <c r="H4" s="8" t="str">
        <f t="shared" si="1"/>
        <v>Sun</v>
      </c>
      <c r="I4" s="8" t="str">
        <f t="shared" si="1"/>
        <v>Mon</v>
      </c>
      <c r="J4" s="8" t="str">
        <f t="shared" si="1"/>
        <v>Tue</v>
      </c>
      <c r="K4" s="8" t="str">
        <f t="shared" si="1"/>
        <v>Wed</v>
      </c>
      <c r="L4" s="8" t="str">
        <f t="shared" si="1"/>
        <v>Thu</v>
      </c>
      <c r="M4" s="8" t="str">
        <f t="shared" si="1"/>
        <v>Fri</v>
      </c>
      <c r="N4" s="8" t="str">
        <f t="shared" si="1"/>
        <v>Sat</v>
      </c>
      <c r="O4" s="8" t="str">
        <f t="shared" si="1"/>
        <v>Sun</v>
      </c>
      <c r="P4" s="8" t="str">
        <f t="shared" si="1"/>
        <v>Mon</v>
      </c>
      <c r="Q4" s="8" t="str">
        <f t="shared" si="1"/>
        <v>Tue</v>
      </c>
      <c r="R4" s="8" t="str">
        <f t="shared" si="1"/>
        <v>Wed</v>
      </c>
      <c r="S4" s="8" t="str">
        <f t="shared" si="1"/>
        <v>Thu</v>
      </c>
      <c r="T4" s="8" t="str">
        <f t="shared" si="1"/>
        <v>Fri</v>
      </c>
      <c r="U4" s="8" t="str">
        <f t="shared" si="1"/>
        <v>Sat</v>
      </c>
      <c r="V4" s="8" t="str">
        <f t="shared" si="1"/>
        <v>Sun</v>
      </c>
      <c r="W4" s="8" t="str">
        <f t="shared" si="1"/>
        <v>Mon</v>
      </c>
      <c r="X4" s="8" t="str">
        <f t="shared" si="1"/>
        <v>Tue</v>
      </c>
      <c r="Y4" s="8" t="str">
        <f t="shared" si="1"/>
        <v>Wed</v>
      </c>
      <c r="Z4" s="8" t="str">
        <f t="shared" si="1"/>
        <v>Thu</v>
      </c>
      <c r="AA4" s="8" t="str">
        <f t="shared" si="1"/>
        <v>Fri</v>
      </c>
      <c r="AB4" s="8" t="str">
        <f t="shared" si="1"/>
        <v>Sat</v>
      </c>
      <c r="AC4" s="8" t="str">
        <f t="shared" si="1"/>
        <v>Sun</v>
      </c>
      <c r="AD4" s="8" t="str">
        <f t="shared" si="1"/>
        <v>Mon</v>
      </c>
      <c r="AE4" s="8" t="str">
        <f t="shared" si="1"/>
        <v>Tue</v>
      </c>
      <c r="AF4" s="8" t="str">
        <f t="shared" si="1"/>
        <v>Wed</v>
      </c>
      <c r="AG4" s="8" t="str">
        <f t="shared" si="1"/>
        <v>Thu</v>
      </c>
      <c r="AH4" s="8" t="str">
        <f t="shared" si="1"/>
        <v>Fri</v>
      </c>
      <c r="AI4" s="8" t="str">
        <f t="shared" si="1"/>
        <v>Sat</v>
      </c>
      <c r="AJ4" s="8" t="str">
        <f t="shared" si="1"/>
        <v>Sun</v>
      </c>
      <c r="AK4" s="76"/>
      <c r="AL4" s="76"/>
      <c r="AM4" s="76"/>
      <c r="AN4" s="78"/>
      <c r="AO4" s="76"/>
      <c r="AP4" s="76"/>
      <c r="AQ4" s="76"/>
      <c r="AR4" s="76"/>
      <c r="AS4" s="76"/>
      <c r="AT4" s="76"/>
      <c r="AU4" s="76"/>
      <c r="AV4" s="76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</row>
    <row r="5" spans="1:80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">
        <v>350</v>
      </c>
      <c r="G5" s="4" t="str">
        <f>IFERROR(LOOKUP(2,1/((lentry!$A$3:$A$3999=may!$A5)*(lentry!$B$3:$B$3999&lt;=may!G$3)*(lentry!$C$3:$C$3999&gt;=may!G$3)),lentry!$D$3:$D$3999),IF(WEEKDAY(may!G$3,1)=1,"WO","P"))</f>
        <v>P</v>
      </c>
      <c r="H5" s="4" t="str">
        <f>IFERROR(LOOKUP(2,1/((lentry!$A$3:$A$3999=may!$A5)*(lentry!$B$3:$B$3999&lt;=may!H$3)*(lentry!$C$3:$C$3999&gt;=may!H$3)),lentry!$D$3:$D$3999),IF(WEEKDAY(may!H$3,1)=1,"WO","P"))</f>
        <v>WO</v>
      </c>
      <c r="I5" s="4" t="str">
        <f>IFERROR(LOOKUP(2,1/((lentry!$A$3:$A$3999=may!$A5)*(lentry!$B$3:$B$3999&lt;=may!I$3)*(lentry!$C$3:$C$3999&gt;=may!I$3)),lentry!$D$3:$D$3999),IF(WEEKDAY(may!I$3,1)=1,"WO","P"))</f>
        <v>P</v>
      </c>
      <c r="J5" s="4" t="str">
        <f>IFERROR(LOOKUP(2,1/((lentry!$A$3:$A$3999=may!$A5)*(lentry!$B$3:$B$3999&lt;=may!J$3)*(lentry!$C$3:$C$3999&gt;=may!J$3)),lentry!$D$3:$D$3999),IF(WEEKDAY(may!J$3,1)=1,"WO","P"))</f>
        <v>P</v>
      </c>
      <c r="K5" s="4" t="str">
        <f>IFERROR(LOOKUP(2,1/((lentry!$A$3:$A$3999=may!$A5)*(lentry!$B$3:$B$3999&lt;=may!K$3)*(lentry!$C$3:$C$3999&gt;=may!K$3)),lentry!$D$3:$D$3999),IF(WEEKDAY(may!K$3,1)=1,"WO","P"))</f>
        <v>P</v>
      </c>
      <c r="L5" s="4" t="str">
        <f>IFERROR(LOOKUP(2,1/((lentry!$A$3:$A$3999=may!$A5)*(lentry!$B$3:$B$3999&lt;=may!L$3)*(lentry!$C$3:$C$3999&gt;=may!L$3)),lentry!$D$3:$D$3999),IF(WEEKDAY(may!L$3,1)=1,"WO","P"))</f>
        <v>P</v>
      </c>
      <c r="M5" s="4" t="str">
        <f>IFERROR(LOOKUP(2,1/((lentry!$A$3:$A$3999=may!$A5)*(lentry!$B$3:$B$3999&lt;=may!M$3)*(lentry!$C$3:$C$3999&gt;=may!M$3)),lentry!$D$3:$D$3999),IF(WEEKDAY(may!M$3,1)=1,"WO","P"))</f>
        <v>P</v>
      </c>
      <c r="N5" s="4" t="str">
        <f>IFERROR(LOOKUP(2,1/((lentry!$A$3:$A$3999=may!$A5)*(lentry!$B$3:$B$3999&lt;=may!N$3)*(lentry!$C$3:$C$3999&gt;=may!N$3)),lentry!$D$3:$D$3999),IF(WEEKDAY(may!N$3,1)=1,"WO","P"))</f>
        <v>P</v>
      </c>
      <c r="O5" s="4" t="str">
        <f>IFERROR(LOOKUP(2,1/((lentry!$A$3:$A$3999=may!$A5)*(lentry!$B$3:$B$3999&lt;=may!O$3)*(lentry!$C$3:$C$3999&gt;=may!O$3)),lentry!$D$3:$D$3999),IF(WEEKDAY(may!O$3,1)=1,"WO","P"))</f>
        <v>WO</v>
      </c>
      <c r="P5" s="4" t="str">
        <f>IFERROR(LOOKUP(2,1/((lentry!$A$3:$A$3999=may!$A5)*(lentry!$B$3:$B$3999&lt;=may!P$3)*(lentry!$C$3:$C$3999&gt;=may!P$3)),lentry!$D$3:$D$3999),IF(WEEKDAY(may!P$3,1)=1,"WO","P"))</f>
        <v>P</v>
      </c>
      <c r="Q5" s="4" t="str">
        <f>IFERROR(LOOKUP(2,1/((lentry!$A$3:$A$3999=may!$A5)*(lentry!$B$3:$B$3999&lt;=may!Q$3)*(lentry!$C$3:$C$3999&gt;=may!Q$3)),lentry!$D$3:$D$3999),IF(WEEKDAY(may!Q$3,1)=1,"WO","P"))</f>
        <v>P</v>
      </c>
      <c r="R5" s="4" t="str">
        <f>IFERROR(LOOKUP(2,1/((lentry!$A$3:$A$3999=may!$A5)*(lentry!$B$3:$B$3999&lt;=may!R$3)*(lentry!$C$3:$C$3999&gt;=may!R$3)),lentry!$D$3:$D$3999),IF(WEEKDAY(may!R$3,1)=1,"WO","P"))</f>
        <v>P</v>
      </c>
      <c r="S5" s="4" t="str">
        <f>IFERROR(LOOKUP(2,1/((lentry!$A$3:$A$3999=may!$A5)*(lentry!$B$3:$B$3999&lt;=may!S$3)*(lentry!$C$3:$C$3999&gt;=may!S$3)),lentry!$D$3:$D$3999),IF(WEEKDAY(may!S$3,1)=1,"WO","P"))</f>
        <v>P</v>
      </c>
      <c r="T5" s="4" t="str">
        <f>IFERROR(LOOKUP(2,1/((lentry!$A$3:$A$3999=may!$A5)*(lentry!$B$3:$B$3999&lt;=may!T$3)*(lentry!$C$3:$C$3999&gt;=may!T$3)),lentry!$D$3:$D$3999),IF(WEEKDAY(may!T$3,1)=1,"WO","P"))</f>
        <v>P</v>
      </c>
      <c r="U5" s="4" t="str">
        <f>IFERROR(LOOKUP(2,1/((lentry!$A$3:$A$3999=may!$A5)*(lentry!$B$3:$B$3999&lt;=may!U$3)*(lentry!$C$3:$C$3999&gt;=may!U$3)),lentry!$D$3:$D$3999),IF(WEEKDAY(may!U$3,1)=1,"WO","P"))</f>
        <v>P</v>
      </c>
      <c r="V5" s="4" t="str">
        <f>IFERROR(LOOKUP(2,1/((lentry!$A$3:$A$3999=may!$A5)*(lentry!$B$3:$B$3999&lt;=may!V$3)*(lentry!$C$3:$C$3999&gt;=may!V$3)),lentry!$D$3:$D$3999),IF(WEEKDAY(may!V$3,1)=1,"WO","P"))</f>
        <v>WO</v>
      </c>
      <c r="W5" s="4" t="str">
        <f>IFERROR(LOOKUP(2,1/((lentry!$A$3:$A$3999=may!$A5)*(lentry!$B$3:$B$3999&lt;=may!W$3)*(lentry!$C$3:$C$3999&gt;=may!W$3)),lentry!$D$3:$D$3999),IF(WEEKDAY(may!W$3,1)=1,"WO","P"))</f>
        <v>P</v>
      </c>
      <c r="X5" s="4" t="str">
        <f>IFERROR(LOOKUP(2,1/((lentry!$A$3:$A$3999=may!$A5)*(lentry!$B$3:$B$3999&lt;=may!X$3)*(lentry!$C$3:$C$3999&gt;=may!X$3)),lentry!$D$3:$D$3999),IF(WEEKDAY(may!X$3,1)=1,"WO","P"))</f>
        <v>P</v>
      </c>
      <c r="Y5" s="4" t="str">
        <f>IFERROR(LOOKUP(2,1/((lentry!$A$3:$A$3999=may!$A5)*(lentry!$B$3:$B$3999&lt;=may!Y$3)*(lentry!$C$3:$C$3999&gt;=may!Y$3)),lentry!$D$3:$D$3999),IF(WEEKDAY(may!Y$3,1)=1,"WO","P"))</f>
        <v>P</v>
      </c>
      <c r="Z5" s="4" t="str">
        <f>IFERROR(LOOKUP(2,1/((lentry!$A$3:$A$3999=may!$A5)*(lentry!$B$3:$B$3999&lt;=may!Z$3)*(lentry!$C$3:$C$3999&gt;=may!Z$3)),lentry!$D$3:$D$3999),IF(WEEKDAY(may!Z$3,1)=1,"WO","P"))</f>
        <v>P</v>
      </c>
      <c r="AA5" s="4" t="str">
        <f>IFERROR(LOOKUP(2,1/((lentry!$A$3:$A$3999=may!$A5)*(lentry!$B$3:$B$3999&lt;=may!AA$3)*(lentry!$C$3:$C$3999&gt;=may!AA$3)),lentry!$D$3:$D$3999),IF(WEEKDAY(may!AA$3,1)=1,"WO","P"))</f>
        <v>P</v>
      </c>
      <c r="AB5" s="4" t="str">
        <f>IFERROR(LOOKUP(2,1/((lentry!$A$3:$A$3999=may!$A5)*(lentry!$B$3:$B$3999&lt;=may!AB$3)*(lentry!$C$3:$C$3999&gt;=may!AB$3)),lentry!$D$3:$D$3999),IF(WEEKDAY(may!AB$3,1)=1,"WO","P"))</f>
        <v>P</v>
      </c>
      <c r="AC5" s="4" t="str">
        <f>IFERROR(LOOKUP(2,1/((lentry!$A$3:$A$3999=may!$A5)*(lentry!$B$3:$B$3999&lt;=may!AC$3)*(lentry!$C$3:$C$3999&gt;=may!AC$3)),lentry!$D$3:$D$3999),IF(WEEKDAY(may!AC$3,1)=1,"WO","P"))</f>
        <v>WO</v>
      </c>
      <c r="AD5" s="4" t="str">
        <f>IFERROR(LOOKUP(2,1/((lentry!$A$3:$A$3999=may!$A5)*(lentry!$B$3:$B$3999&lt;=may!AD$3)*(lentry!$C$3:$C$3999&gt;=may!AD$3)),lentry!$D$3:$D$3999),IF(WEEKDAY(may!AD$3,1)=1,"WO","P"))</f>
        <v>P</v>
      </c>
      <c r="AE5" s="4" t="str">
        <f>IFERROR(LOOKUP(2,1/((lentry!$A$3:$A$3999=may!$A5)*(lentry!$B$3:$B$3999&lt;=may!AE$3)*(lentry!$C$3:$C$3999&gt;=may!AE$3)),lentry!$D$3:$D$3999),IF(WEEKDAY(may!AE$3,1)=1,"WO","P"))</f>
        <v>P</v>
      </c>
      <c r="AF5" s="4" t="s">
        <v>350</v>
      </c>
      <c r="AG5" s="4" t="str">
        <f>IFERROR(LOOKUP(2,1/((lentry!$A$3:$A$3999=may!$A5)*(lentry!$B$3:$B$3999&lt;=may!AG$3)*(lentry!$C$3:$C$3999&gt;=may!AG$3)),lentry!$D$3:$D$3999),IF(WEEKDAY(may!AG$3,1)=1,"WO","P"))</f>
        <v>P</v>
      </c>
      <c r="AH5" s="4" t="str">
        <f>IFERROR(LOOKUP(2,1/((lentry!$A$3:$A$3999=may!$A5)*(lentry!$B$3:$B$3999&lt;=may!AH$3)*(lentry!$C$3:$C$3999&gt;=may!AH$3)),lentry!$D$3:$D$3999),IF(WEEKDAY(may!AH$3,1)=1,"WO","P"))</f>
        <v>P</v>
      </c>
      <c r="AI5" s="4" t="str">
        <f>IFERROR(LOOKUP(2,1/((lentry!$A$3:$A$3999=may!$A5)*(lentry!$B$3:$B$3999&lt;=may!AI$3)*(lentry!$C$3:$C$3999&gt;=may!AI$3)),lentry!$D$3:$D$3999),IF(WEEKDAY(may!AI$3,1)=1,"WO","P"))</f>
        <v>P</v>
      </c>
      <c r="AJ5" s="4" t="str">
        <f>IFERROR(LOOKUP(2,1/((lentry!$A$3:$A$3999=may!$A5)*(lentry!$B$3:$B$3999&lt;=may!AJ$3)*(lentry!$C$3:$C$3999&gt;=may!AJ$3)),lentry!$D$3:$D$3999),IF(WEEKDAY(may!AJ$3,1)=1,"WO","P"))</f>
        <v>WO</v>
      </c>
      <c r="AK5" s="4">
        <f>COUNTIF(may!$F5:$AJ5,"WO")</f>
        <v>5</v>
      </c>
      <c r="AL5" s="4">
        <f>COUNTIF(may!$F5:$AJ5,"H")</f>
        <v>2</v>
      </c>
      <c r="AM5" s="4">
        <f>COUNTIF(may!$F5:$AJ5,"PL")</f>
        <v>0</v>
      </c>
      <c r="AN5" s="4">
        <f>COUNTIF(may!$F5:$AJ5,"LWP")</f>
        <v>0</v>
      </c>
      <c r="AO5" s="4">
        <f>COUNTIF(may!$F5:$AJ5,"HD")</f>
        <v>0</v>
      </c>
      <c r="AP5" s="4">
        <f>COUNTIF(may!$F5:$AJ5,"SL")</f>
        <v>0</v>
      </c>
      <c r="AQ5" s="4">
        <f>COUNTIF(may!$F5:$AJ5,"CL")</f>
        <v>0</v>
      </c>
      <c r="AR5" s="4">
        <f>COUNTIF(may!$F5:$AJ5,"A")</f>
        <v>0</v>
      </c>
      <c r="AS5" s="4">
        <f>COUNTIF(may!$F5:$AJ5,"P")</f>
        <v>24</v>
      </c>
      <c r="AT5" s="4">
        <f>COUNTA($F5:$AJ5)</f>
        <v>31</v>
      </c>
      <c r="AU5" s="4">
        <f>AK5+AL5+AM5+AP5+AQ5+AS5+(AO5/2)</f>
        <v>31</v>
      </c>
      <c r="AV5" s="4">
        <f>SUMIFS(holly!$L$2:$L$122,holly!$I$2:$I$122,mar!$A5,holly!$K$2:$K$122,"Mar")</f>
        <v>0</v>
      </c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</row>
    <row r="6" spans="1:80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">
        <v>350</v>
      </c>
      <c r="G6" s="4" t="str">
        <f>IFERROR(LOOKUP(2,1/((lentry!$A$3:$A$3999=may!$A6)*(lentry!$B$3:$B$3999&lt;=may!G$3)*(lentry!$C$3:$C$3999&gt;=may!G$3)),lentry!$D$3:$D$3999),IF(WEEKDAY(may!G$3,1)=1,"WO","P"))</f>
        <v>P</v>
      </c>
      <c r="H6" s="4" t="str">
        <f>IFERROR(LOOKUP(2,1/((lentry!$A$3:$A$3999=may!$A6)*(lentry!$B$3:$B$3999&lt;=may!H$3)*(lentry!$C$3:$C$3999&gt;=may!H$3)),lentry!$D$3:$D$3999),IF(WEEKDAY(may!H$3,1)=1,"WO","P"))</f>
        <v>WO</v>
      </c>
      <c r="I6" s="4" t="str">
        <f>IFERROR(LOOKUP(2,1/((lentry!$A$3:$A$3999=may!$A6)*(lentry!$B$3:$B$3999&lt;=may!I$3)*(lentry!$C$3:$C$3999&gt;=may!I$3)),lentry!$D$3:$D$3999),IF(WEEKDAY(may!I$3,1)=1,"WO","P"))</f>
        <v>P</v>
      </c>
      <c r="J6" s="4" t="str">
        <f>IFERROR(LOOKUP(2,1/((lentry!$A$3:$A$3999=may!$A6)*(lentry!$B$3:$B$3999&lt;=may!J$3)*(lentry!$C$3:$C$3999&gt;=may!J$3)),lentry!$D$3:$D$3999),IF(WEEKDAY(may!J$3,1)=1,"WO","P"))</f>
        <v>P</v>
      </c>
      <c r="K6" s="4" t="str">
        <f>IFERROR(LOOKUP(2,1/((lentry!$A$3:$A$3999=may!$A6)*(lentry!$B$3:$B$3999&lt;=may!K$3)*(lentry!$C$3:$C$3999&gt;=may!K$3)),lentry!$D$3:$D$3999),IF(WEEKDAY(may!K$3,1)=1,"WO","P"))</f>
        <v>P</v>
      </c>
      <c r="L6" s="4" t="str">
        <f>IFERROR(LOOKUP(2,1/((lentry!$A$3:$A$3999=may!$A6)*(lentry!$B$3:$B$3999&lt;=may!L$3)*(lentry!$C$3:$C$3999&gt;=may!L$3)),lentry!$D$3:$D$3999),IF(WEEKDAY(may!L$3,1)=1,"WO","P"))</f>
        <v>P</v>
      </c>
      <c r="M6" s="4" t="str">
        <f>IFERROR(LOOKUP(2,1/((lentry!$A$3:$A$3999=may!$A6)*(lentry!$B$3:$B$3999&lt;=may!M$3)*(lentry!$C$3:$C$3999&gt;=may!M$3)),lentry!$D$3:$D$3999),IF(WEEKDAY(may!M$3,1)=1,"WO","P"))</f>
        <v>P</v>
      </c>
      <c r="N6" s="4" t="str">
        <f>IFERROR(LOOKUP(2,1/((lentry!$A$3:$A$3999=may!$A6)*(lentry!$B$3:$B$3999&lt;=may!N$3)*(lentry!$C$3:$C$3999&gt;=may!N$3)),lentry!$D$3:$D$3999),IF(WEEKDAY(may!N$3,1)=1,"WO","P"))</f>
        <v>P</v>
      </c>
      <c r="O6" s="4" t="str">
        <f>IFERROR(LOOKUP(2,1/((lentry!$A$3:$A$3999=may!$A6)*(lentry!$B$3:$B$3999&lt;=may!O$3)*(lentry!$C$3:$C$3999&gt;=may!O$3)),lentry!$D$3:$D$3999),IF(WEEKDAY(may!O$3,1)=1,"WO","P"))</f>
        <v>WO</v>
      </c>
      <c r="P6" s="4" t="str">
        <f>IFERROR(LOOKUP(2,1/((lentry!$A$3:$A$3999=may!$A6)*(lentry!$B$3:$B$3999&lt;=may!P$3)*(lentry!$C$3:$C$3999&gt;=may!P$3)),lentry!$D$3:$D$3999),IF(WEEKDAY(may!P$3,1)=1,"WO","P"))</f>
        <v>P</v>
      </c>
      <c r="Q6" s="4" t="str">
        <f>IFERROR(LOOKUP(2,1/((lentry!$A$3:$A$3999=may!$A6)*(lentry!$B$3:$B$3999&lt;=may!Q$3)*(lentry!$C$3:$C$3999&gt;=may!Q$3)),lentry!$D$3:$D$3999),IF(WEEKDAY(may!Q$3,1)=1,"WO","P"))</f>
        <v>P</v>
      </c>
      <c r="R6" s="4" t="str">
        <f>IFERROR(LOOKUP(2,1/((lentry!$A$3:$A$3999=may!$A6)*(lentry!$B$3:$B$3999&lt;=may!R$3)*(lentry!$C$3:$C$3999&gt;=may!R$3)),lentry!$D$3:$D$3999),IF(WEEKDAY(may!R$3,1)=1,"WO","P"))</f>
        <v>P</v>
      </c>
      <c r="S6" s="4" t="str">
        <f>IFERROR(LOOKUP(2,1/((lentry!$A$3:$A$3999=may!$A6)*(lentry!$B$3:$B$3999&lt;=may!S$3)*(lentry!$C$3:$C$3999&gt;=may!S$3)),lentry!$D$3:$D$3999),IF(WEEKDAY(may!S$3,1)=1,"WO","P"))</f>
        <v>P</v>
      </c>
      <c r="T6" s="4" t="str">
        <f>IFERROR(LOOKUP(2,1/((lentry!$A$3:$A$3999=may!$A6)*(lentry!$B$3:$B$3999&lt;=may!T$3)*(lentry!$C$3:$C$3999&gt;=may!T$3)),lentry!$D$3:$D$3999),IF(WEEKDAY(may!T$3,1)=1,"WO","P"))</f>
        <v>P</v>
      </c>
      <c r="U6" s="4" t="str">
        <f>IFERROR(LOOKUP(2,1/((lentry!$A$3:$A$3999=may!$A6)*(lentry!$B$3:$B$3999&lt;=may!U$3)*(lentry!$C$3:$C$3999&gt;=may!U$3)),lentry!$D$3:$D$3999),IF(WEEKDAY(may!U$3,1)=1,"WO","P"))</f>
        <v>P</v>
      </c>
      <c r="V6" s="4" t="str">
        <f>IFERROR(LOOKUP(2,1/((lentry!$A$3:$A$3999=may!$A6)*(lentry!$B$3:$B$3999&lt;=may!V$3)*(lentry!$C$3:$C$3999&gt;=may!V$3)),lentry!$D$3:$D$3999),IF(WEEKDAY(may!V$3,1)=1,"WO","P"))</f>
        <v>WO</v>
      </c>
      <c r="W6" s="4" t="str">
        <f>IFERROR(LOOKUP(2,1/((lentry!$A$3:$A$3999=may!$A6)*(lentry!$B$3:$B$3999&lt;=may!W$3)*(lentry!$C$3:$C$3999&gt;=may!W$3)),lentry!$D$3:$D$3999),IF(WEEKDAY(may!W$3,1)=1,"WO","P"))</f>
        <v>P</v>
      </c>
      <c r="X6" s="4" t="str">
        <f>IFERROR(LOOKUP(2,1/((lentry!$A$3:$A$3999=may!$A6)*(lentry!$B$3:$B$3999&lt;=may!X$3)*(lentry!$C$3:$C$3999&gt;=may!X$3)),lentry!$D$3:$D$3999),IF(WEEKDAY(may!X$3,1)=1,"WO","P"))</f>
        <v>P</v>
      </c>
      <c r="Y6" s="4" t="str">
        <f>IFERROR(LOOKUP(2,1/((lentry!$A$3:$A$3999=may!$A6)*(lentry!$B$3:$B$3999&lt;=may!Y$3)*(lentry!$C$3:$C$3999&gt;=may!Y$3)),lentry!$D$3:$D$3999),IF(WEEKDAY(may!Y$3,1)=1,"WO","P"))</f>
        <v>P</v>
      </c>
      <c r="Z6" s="4" t="str">
        <f>IFERROR(LOOKUP(2,1/((lentry!$A$3:$A$3999=may!$A6)*(lentry!$B$3:$B$3999&lt;=may!Z$3)*(lentry!$C$3:$C$3999&gt;=may!Z$3)),lentry!$D$3:$D$3999),IF(WEEKDAY(may!Z$3,1)=1,"WO","P"))</f>
        <v>P</v>
      </c>
      <c r="AA6" s="4" t="str">
        <f>IFERROR(LOOKUP(2,1/((lentry!$A$3:$A$3999=may!$A6)*(lentry!$B$3:$B$3999&lt;=may!AA$3)*(lentry!$C$3:$C$3999&gt;=may!AA$3)),lentry!$D$3:$D$3999),IF(WEEKDAY(may!AA$3,1)=1,"WO","P"))</f>
        <v>P</v>
      </c>
      <c r="AB6" s="4" t="str">
        <f>IFERROR(LOOKUP(2,1/((lentry!$A$3:$A$3999=may!$A6)*(lentry!$B$3:$B$3999&lt;=may!AB$3)*(lentry!$C$3:$C$3999&gt;=may!AB$3)),lentry!$D$3:$D$3999),IF(WEEKDAY(may!AB$3,1)=1,"WO","P"))</f>
        <v>P</v>
      </c>
      <c r="AC6" s="4" t="str">
        <f>IFERROR(LOOKUP(2,1/((lentry!$A$3:$A$3999=may!$A6)*(lentry!$B$3:$B$3999&lt;=may!AC$3)*(lentry!$C$3:$C$3999&gt;=may!AC$3)),lentry!$D$3:$D$3999),IF(WEEKDAY(may!AC$3,1)=1,"WO","P"))</f>
        <v>WO</v>
      </c>
      <c r="AD6" s="4" t="str">
        <f>IFERROR(LOOKUP(2,1/((lentry!$A$3:$A$3999=may!$A6)*(lentry!$B$3:$B$3999&lt;=may!AD$3)*(lentry!$C$3:$C$3999&gt;=may!AD$3)),lentry!$D$3:$D$3999),IF(WEEKDAY(may!AD$3,1)=1,"WO","P"))</f>
        <v>P</v>
      </c>
      <c r="AE6" s="4" t="str">
        <f>IFERROR(LOOKUP(2,1/((lentry!$A$3:$A$3999=may!$A6)*(lentry!$B$3:$B$3999&lt;=may!AE$3)*(lentry!$C$3:$C$3999&gt;=may!AE$3)),lentry!$D$3:$D$3999),IF(WEEKDAY(may!AE$3,1)=1,"WO","P"))</f>
        <v>P</v>
      </c>
      <c r="AF6" s="4" t="s">
        <v>350</v>
      </c>
      <c r="AG6" s="4" t="str">
        <f>IFERROR(LOOKUP(2,1/((lentry!$A$3:$A$3999=may!$A6)*(lentry!$B$3:$B$3999&lt;=may!AG$3)*(lentry!$C$3:$C$3999&gt;=may!AG$3)),lentry!$D$3:$D$3999),IF(WEEKDAY(may!AG$3,1)=1,"WO","P"))</f>
        <v>P</v>
      </c>
      <c r="AH6" s="4" t="str">
        <f>IFERROR(LOOKUP(2,1/((lentry!$A$3:$A$3999=may!$A6)*(lentry!$B$3:$B$3999&lt;=may!AH$3)*(lentry!$C$3:$C$3999&gt;=may!AH$3)),lentry!$D$3:$D$3999),IF(WEEKDAY(may!AH$3,1)=1,"WO","P"))</f>
        <v>P</v>
      </c>
      <c r="AI6" s="4" t="str">
        <f>IFERROR(LOOKUP(2,1/((lentry!$A$3:$A$3999=may!$A6)*(lentry!$B$3:$B$3999&lt;=may!AI$3)*(lentry!$C$3:$C$3999&gt;=may!AI$3)),lentry!$D$3:$D$3999),IF(WEEKDAY(may!AI$3,1)=1,"WO","P"))</f>
        <v>P</v>
      </c>
      <c r="AJ6" s="4" t="str">
        <f>IFERROR(LOOKUP(2,1/((lentry!$A$3:$A$3999=may!$A6)*(lentry!$B$3:$B$3999&lt;=may!AJ$3)*(lentry!$C$3:$C$3999&gt;=may!AJ$3)),lentry!$D$3:$D$3999),IF(WEEKDAY(may!AJ$3,1)=1,"WO","P"))</f>
        <v>WO</v>
      </c>
      <c r="AK6" s="4">
        <f>COUNTIF(may!$F6:$AJ6,"WO")</f>
        <v>5</v>
      </c>
      <c r="AL6" s="4">
        <f>COUNTIF(may!$F6:$AJ6,"H")</f>
        <v>2</v>
      </c>
      <c r="AM6" s="4">
        <f>COUNTIF(may!$F6:$AJ6,"PL")</f>
        <v>0</v>
      </c>
      <c r="AN6" s="4">
        <f>COUNTIF(may!$F6:$AJ6,"LWP")</f>
        <v>0</v>
      </c>
      <c r="AO6" s="4">
        <f>COUNTIF(may!$F6:$AJ6,"HD")</f>
        <v>0</v>
      </c>
      <c r="AP6" s="4">
        <f>COUNTIF(may!$F6:$AJ6,"SL")</f>
        <v>0</v>
      </c>
      <c r="AQ6" s="4">
        <f>COUNTIF(may!$F6:$AJ6,"CL")</f>
        <v>0</v>
      </c>
      <c r="AR6" s="4">
        <f>COUNTIF(may!$F6:$AJ6,"A")</f>
        <v>0</v>
      </c>
      <c r="AS6" s="4">
        <f>COUNTIF(may!$F6:$AJ6,"P")</f>
        <v>24</v>
      </c>
      <c r="AT6" s="4">
        <f t="shared" ref="AT6:AT54" si="2">COUNTA($F6:$AJ6)</f>
        <v>31</v>
      </c>
      <c r="AU6" s="4">
        <f t="shared" ref="AU6:AU54" si="3">AK6+AL6+AM6+AP6+AQ6+AS6+(AO6/2)</f>
        <v>31</v>
      </c>
      <c r="AV6" s="4">
        <f>SUMIFS(holly!$L$2:$L$122,holly!$I$2:$I$122,mar!$A6,holly!$K$2:$K$122,"Mar")</f>
        <v>0</v>
      </c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</row>
    <row r="7" spans="1:80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">
        <v>350</v>
      </c>
      <c r="G7" s="4" t="str">
        <f>IFERROR(LOOKUP(2,1/((lentry!$A$3:$A$3999=may!$A7)*(lentry!$B$3:$B$3999&lt;=may!G$3)*(lentry!$C$3:$C$3999&gt;=may!G$3)),lentry!$D$3:$D$3999),IF(WEEKDAY(may!G$3,1)=1,"WO","P"))</f>
        <v>P</v>
      </c>
      <c r="H7" s="4" t="str">
        <f>IFERROR(LOOKUP(2,1/((lentry!$A$3:$A$3999=may!$A7)*(lentry!$B$3:$B$3999&lt;=may!H$3)*(lentry!$C$3:$C$3999&gt;=may!H$3)),lentry!$D$3:$D$3999),IF(WEEKDAY(may!H$3,1)=1,"WO","P"))</f>
        <v>WO</v>
      </c>
      <c r="I7" s="4" t="str">
        <f>IFERROR(LOOKUP(2,1/((lentry!$A$3:$A$3999=may!$A7)*(lentry!$B$3:$B$3999&lt;=may!I$3)*(lentry!$C$3:$C$3999&gt;=may!I$3)),lentry!$D$3:$D$3999),IF(WEEKDAY(may!I$3,1)=1,"WO","P"))</f>
        <v>P</v>
      </c>
      <c r="J7" s="4" t="str">
        <f>IFERROR(LOOKUP(2,1/((lentry!$A$3:$A$3999=may!$A7)*(lentry!$B$3:$B$3999&lt;=may!J$3)*(lentry!$C$3:$C$3999&gt;=may!J$3)),lentry!$D$3:$D$3999),IF(WEEKDAY(may!J$3,1)=1,"WO","P"))</f>
        <v>P</v>
      </c>
      <c r="K7" s="4" t="str">
        <f>IFERROR(LOOKUP(2,1/((lentry!$A$3:$A$3999=may!$A7)*(lentry!$B$3:$B$3999&lt;=may!K$3)*(lentry!$C$3:$C$3999&gt;=may!K$3)),lentry!$D$3:$D$3999),IF(WEEKDAY(may!K$3,1)=1,"WO","P"))</f>
        <v>P</v>
      </c>
      <c r="L7" s="4" t="str">
        <f>IFERROR(LOOKUP(2,1/((lentry!$A$3:$A$3999=may!$A7)*(lentry!$B$3:$B$3999&lt;=may!L$3)*(lentry!$C$3:$C$3999&gt;=may!L$3)),lentry!$D$3:$D$3999),IF(WEEKDAY(may!L$3,1)=1,"WO","P"))</f>
        <v>P</v>
      </c>
      <c r="M7" s="4" t="str">
        <f>IFERROR(LOOKUP(2,1/((lentry!$A$3:$A$3999=may!$A7)*(lentry!$B$3:$B$3999&lt;=may!M$3)*(lentry!$C$3:$C$3999&gt;=may!M$3)),lentry!$D$3:$D$3999),IF(WEEKDAY(may!M$3,1)=1,"WO","P"))</f>
        <v>P</v>
      </c>
      <c r="N7" s="4" t="str">
        <f>IFERROR(LOOKUP(2,1/((lentry!$A$3:$A$3999=may!$A7)*(lentry!$B$3:$B$3999&lt;=may!N$3)*(lentry!$C$3:$C$3999&gt;=may!N$3)),lentry!$D$3:$D$3999),IF(WEEKDAY(may!N$3,1)=1,"WO","P"))</f>
        <v>P</v>
      </c>
      <c r="O7" s="4" t="str">
        <f>IFERROR(LOOKUP(2,1/((lentry!$A$3:$A$3999=may!$A7)*(lentry!$B$3:$B$3999&lt;=may!O$3)*(lentry!$C$3:$C$3999&gt;=may!O$3)),lentry!$D$3:$D$3999),IF(WEEKDAY(may!O$3,1)=1,"WO","P"))</f>
        <v>WO</v>
      </c>
      <c r="P7" s="4" t="str">
        <f>IFERROR(LOOKUP(2,1/((lentry!$A$3:$A$3999=may!$A7)*(lentry!$B$3:$B$3999&lt;=may!P$3)*(lentry!$C$3:$C$3999&gt;=may!P$3)),lentry!$D$3:$D$3999),IF(WEEKDAY(may!P$3,1)=1,"WO","P"))</f>
        <v>P</v>
      </c>
      <c r="Q7" s="4" t="str">
        <f>IFERROR(LOOKUP(2,1/((lentry!$A$3:$A$3999=may!$A7)*(lentry!$B$3:$B$3999&lt;=may!Q$3)*(lentry!$C$3:$C$3999&gt;=may!Q$3)),lentry!$D$3:$D$3999),IF(WEEKDAY(may!Q$3,1)=1,"WO","P"))</f>
        <v>P</v>
      </c>
      <c r="R7" s="4" t="str">
        <f>IFERROR(LOOKUP(2,1/((lentry!$A$3:$A$3999=may!$A7)*(lentry!$B$3:$B$3999&lt;=may!R$3)*(lentry!$C$3:$C$3999&gt;=may!R$3)),lentry!$D$3:$D$3999),IF(WEEKDAY(may!R$3,1)=1,"WO","P"))</f>
        <v>P</v>
      </c>
      <c r="S7" s="4" t="str">
        <f>IFERROR(LOOKUP(2,1/((lentry!$A$3:$A$3999=may!$A7)*(lentry!$B$3:$B$3999&lt;=may!S$3)*(lentry!$C$3:$C$3999&gt;=may!S$3)),lentry!$D$3:$D$3999),IF(WEEKDAY(may!S$3,1)=1,"WO","P"))</f>
        <v>P</v>
      </c>
      <c r="T7" s="4" t="str">
        <f>IFERROR(LOOKUP(2,1/((lentry!$A$3:$A$3999=may!$A7)*(lentry!$B$3:$B$3999&lt;=may!T$3)*(lentry!$C$3:$C$3999&gt;=may!T$3)),lentry!$D$3:$D$3999),IF(WEEKDAY(may!T$3,1)=1,"WO","P"))</f>
        <v>P</v>
      </c>
      <c r="U7" s="4" t="str">
        <f>IFERROR(LOOKUP(2,1/((lentry!$A$3:$A$3999=may!$A7)*(lentry!$B$3:$B$3999&lt;=may!U$3)*(lentry!$C$3:$C$3999&gt;=may!U$3)),lentry!$D$3:$D$3999),IF(WEEKDAY(may!U$3,1)=1,"WO","P"))</f>
        <v>P</v>
      </c>
      <c r="V7" s="4" t="str">
        <f>IFERROR(LOOKUP(2,1/((lentry!$A$3:$A$3999=may!$A7)*(lentry!$B$3:$B$3999&lt;=may!V$3)*(lentry!$C$3:$C$3999&gt;=may!V$3)),lentry!$D$3:$D$3999),IF(WEEKDAY(may!V$3,1)=1,"WO","P"))</f>
        <v>WO</v>
      </c>
      <c r="W7" s="4" t="str">
        <f>IFERROR(LOOKUP(2,1/((lentry!$A$3:$A$3999=may!$A7)*(lentry!$B$3:$B$3999&lt;=may!W$3)*(lentry!$C$3:$C$3999&gt;=may!W$3)),lentry!$D$3:$D$3999),IF(WEEKDAY(may!W$3,1)=1,"WO","P"))</f>
        <v>P</v>
      </c>
      <c r="X7" s="4" t="str">
        <f>IFERROR(LOOKUP(2,1/((lentry!$A$3:$A$3999=may!$A7)*(lentry!$B$3:$B$3999&lt;=may!X$3)*(lentry!$C$3:$C$3999&gt;=may!X$3)),lentry!$D$3:$D$3999),IF(WEEKDAY(may!X$3,1)=1,"WO","P"))</f>
        <v>P</v>
      </c>
      <c r="Y7" s="4" t="s">
        <v>539</v>
      </c>
      <c r="Z7" s="4" t="str">
        <f>IFERROR(LOOKUP(2,1/((lentry!$A$3:$A$3999=may!$A7)*(lentry!$B$3:$B$3999&lt;=may!Z$3)*(lentry!$C$3:$C$3999&gt;=may!Z$3)),lentry!$D$3:$D$3999),IF(WEEKDAY(may!Z$3,1)=1,"WO","P"))</f>
        <v>P</v>
      </c>
      <c r="AA7" s="4" t="str">
        <f>IFERROR(LOOKUP(2,1/((lentry!$A$3:$A$3999=may!$A7)*(lentry!$B$3:$B$3999&lt;=may!AA$3)*(lentry!$C$3:$C$3999&gt;=may!AA$3)),lentry!$D$3:$D$3999),IF(WEEKDAY(may!AA$3,1)=1,"WO","P"))</f>
        <v>P</v>
      </c>
      <c r="AB7" s="4" t="str">
        <f>IFERROR(LOOKUP(2,1/((lentry!$A$3:$A$3999=may!$A7)*(lentry!$B$3:$B$3999&lt;=may!AB$3)*(lentry!$C$3:$C$3999&gt;=may!AB$3)),lentry!$D$3:$D$3999),IF(WEEKDAY(may!AB$3,1)=1,"WO","P"))</f>
        <v>P</v>
      </c>
      <c r="AC7" s="4" t="str">
        <f>IFERROR(LOOKUP(2,1/((lentry!$A$3:$A$3999=may!$A7)*(lentry!$B$3:$B$3999&lt;=may!AC$3)*(lentry!$C$3:$C$3999&gt;=may!AC$3)),lentry!$D$3:$D$3999),IF(WEEKDAY(may!AC$3,1)=1,"WO","P"))</f>
        <v>WO</v>
      </c>
      <c r="AD7" s="4" t="str">
        <f>IFERROR(LOOKUP(2,1/((lentry!$A$3:$A$3999=may!$A7)*(lentry!$B$3:$B$3999&lt;=may!AD$3)*(lentry!$C$3:$C$3999&gt;=may!AD$3)),lentry!$D$3:$D$3999),IF(WEEKDAY(may!AD$3,1)=1,"WO","P"))</f>
        <v>P</v>
      </c>
      <c r="AE7" s="4" t="str">
        <f>IFERROR(LOOKUP(2,1/((lentry!$A$3:$A$3999=may!$A7)*(lentry!$B$3:$B$3999&lt;=may!AE$3)*(lentry!$C$3:$C$3999&gt;=may!AE$3)),lentry!$D$3:$D$3999),IF(WEEKDAY(may!AE$3,1)=1,"WO","P"))</f>
        <v>P</v>
      </c>
      <c r="AF7" s="4" t="s">
        <v>350</v>
      </c>
      <c r="AG7" s="4" t="str">
        <f>IFERROR(LOOKUP(2,1/((lentry!$A$3:$A$3999=may!$A7)*(lentry!$B$3:$B$3999&lt;=may!AG$3)*(lentry!$C$3:$C$3999&gt;=may!AG$3)),lentry!$D$3:$D$3999),IF(WEEKDAY(may!AG$3,1)=1,"WO","P"))</f>
        <v>P</v>
      </c>
      <c r="AH7" s="4" t="str">
        <f>IFERROR(LOOKUP(2,1/((lentry!$A$3:$A$3999=may!$A7)*(lentry!$B$3:$B$3999&lt;=may!AH$3)*(lentry!$C$3:$C$3999&gt;=may!AH$3)),lentry!$D$3:$D$3999),IF(WEEKDAY(may!AH$3,1)=1,"WO","P"))</f>
        <v>P</v>
      </c>
      <c r="AI7" s="4" t="str">
        <f>IFERROR(LOOKUP(2,1/((lentry!$A$3:$A$3999=may!$A7)*(lentry!$B$3:$B$3999&lt;=may!AI$3)*(lentry!$C$3:$C$3999&gt;=may!AI$3)),lentry!$D$3:$D$3999),IF(WEEKDAY(may!AI$3,1)=1,"WO","P"))</f>
        <v>P</v>
      </c>
      <c r="AJ7" s="4" t="str">
        <f>IFERROR(LOOKUP(2,1/((lentry!$A$3:$A$3999=may!$A7)*(lentry!$B$3:$B$3999&lt;=may!AJ$3)*(lentry!$C$3:$C$3999&gt;=may!AJ$3)),lentry!$D$3:$D$3999),IF(WEEKDAY(may!AJ$3,1)=1,"WO","P"))</f>
        <v>WO</v>
      </c>
      <c r="AK7" s="4">
        <f>COUNTIF(may!$F7:$AJ7,"WO")</f>
        <v>5</v>
      </c>
      <c r="AL7" s="4">
        <f>COUNTIF(may!$F7:$AJ7,"H")</f>
        <v>2</v>
      </c>
      <c r="AM7" s="4">
        <f>COUNTIF(may!$F7:$AJ7,"PL")</f>
        <v>0</v>
      </c>
      <c r="AN7" s="4">
        <f>COUNTIF(may!$F7:$AJ7,"LWP")</f>
        <v>0</v>
      </c>
      <c r="AO7" s="4">
        <f>COUNTIF(may!$F7:$AJ7,"HD")</f>
        <v>0</v>
      </c>
      <c r="AP7" s="4">
        <f>COUNTIF(may!$F7:$AJ7,"SL")</f>
        <v>0</v>
      </c>
      <c r="AQ7" s="4">
        <f>COUNTIF(may!$F7:$AJ7,"CL")</f>
        <v>0</v>
      </c>
      <c r="AR7" s="4">
        <f>COUNTIF(may!$F7:$AJ7,"A")</f>
        <v>1</v>
      </c>
      <c r="AS7" s="4">
        <f>COUNTIF(may!$F7:$AJ7,"P")</f>
        <v>23</v>
      </c>
      <c r="AT7" s="4">
        <f t="shared" si="2"/>
        <v>31</v>
      </c>
      <c r="AU7" s="4">
        <f t="shared" si="3"/>
        <v>30</v>
      </c>
      <c r="AV7" s="4">
        <f>SUMIFS(holly!$L$2:$L$122,holly!$I$2:$I$122,mar!$A7,holly!$K$2:$K$122,"Mar")</f>
        <v>0</v>
      </c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</row>
    <row r="8" spans="1:80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">
        <v>350</v>
      </c>
      <c r="G8" s="4" t="str">
        <f>IFERROR(LOOKUP(2,1/((lentry!$A$3:$A$3999=may!$A8)*(lentry!$B$3:$B$3999&lt;=may!G$3)*(lentry!$C$3:$C$3999&gt;=may!G$3)),lentry!$D$3:$D$3999),IF(WEEKDAY(may!G$3,1)=1,"WO","P"))</f>
        <v>P</v>
      </c>
      <c r="H8" s="4" t="str">
        <f>IFERROR(LOOKUP(2,1/((lentry!$A$3:$A$3999=may!$A8)*(lentry!$B$3:$B$3999&lt;=may!H$3)*(lentry!$C$3:$C$3999&gt;=may!H$3)),lentry!$D$3:$D$3999),IF(WEEKDAY(may!H$3,1)=1,"WO","P"))</f>
        <v>WO</v>
      </c>
      <c r="I8" s="4" t="str">
        <f>IFERROR(LOOKUP(2,1/((lentry!$A$3:$A$3999=may!$A8)*(lentry!$B$3:$B$3999&lt;=may!I$3)*(lentry!$C$3:$C$3999&gt;=may!I$3)),lentry!$D$3:$D$3999),IF(WEEKDAY(may!I$3,1)=1,"WO","P"))</f>
        <v>P</v>
      </c>
      <c r="J8" s="4" t="str">
        <f>IFERROR(LOOKUP(2,1/((lentry!$A$3:$A$3999=may!$A8)*(lentry!$B$3:$B$3999&lt;=may!J$3)*(lentry!$C$3:$C$3999&gt;=may!J$3)),lentry!$D$3:$D$3999),IF(WEEKDAY(may!J$3,1)=1,"WO","P"))</f>
        <v>P</v>
      </c>
      <c r="K8" s="4" t="str">
        <f>IFERROR(LOOKUP(2,1/((lentry!$A$3:$A$3999=may!$A8)*(lentry!$B$3:$B$3999&lt;=may!K$3)*(lentry!$C$3:$C$3999&gt;=may!K$3)),lentry!$D$3:$D$3999),IF(WEEKDAY(may!K$3,1)=1,"WO","P"))</f>
        <v>P</v>
      </c>
      <c r="L8" s="4" t="str">
        <f>IFERROR(LOOKUP(2,1/((lentry!$A$3:$A$3999=may!$A8)*(lentry!$B$3:$B$3999&lt;=may!L$3)*(lentry!$C$3:$C$3999&gt;=may!L$3)),lentry!$D$3:$D$3999),IF(WEEKDAY(may!L$3,1)=1,"WO","P"))</f>
        <v>P</v>
      </c>
      <c r="M8" s="4" t="str">
        <f>IFERROR(LOOKUP(2,1/((lentry!$A$3:$A$3999=may!$A8)*(lentry!$B$3:$B$3999&lt;=may!M$3)*(lentry!$C$3:$C$3999&gt;=may!M$3)),lentry!$D$3:$D$3999),IF(WEEKDAY(may!M$3,1)=1,"WO","P"))</f>
        <v>P</v>
      </c>
      <c r="N8" s="4" t="str">
        <f>IFERROR(LOOKUP(2,1/((lentry!$A$3:$A$3999=may!$A8)*(lentry!$B$3:$B$3999&lt;=may!N$3)*(lentry!$C$3:$C$3999&gt;=may!N$3)),lentry!$D$3:$D$3999),IF(WEEKDAY(may!N$3,1)=1,"WO","P"))</f>
        <v>P</v>
      </c>
      <c r="O8" s="4" t="str">
        <f>IFERROR(LOOKUP(2,1/((lentry!$A$3:$A$3999=may!$A8)*(lentry!$B$3:$B$3999&lt;=may!O$3)*(lentry!$C$3:$C$3999&gt;=may!O$3)),lentry!$D$3:$D$3999),IF(WEEKDAY(may!O$3,1)=1,"WO","P"))</f>
        <v>WO</v>
      </c>
      <c r="P8" s="4" t="str">
        <f>IFERROR(LOOKUP(2,1/((lentry!$A$3:$A$3999=may!$A8)*(lentry!$B$3:$B$3999&lt;=may!P$3)*(lentry!$C$3:$C$3999&gt;=may!P$3)),lentry!$D$3:$D$3999),IF(WEEKDAY(may!P$3,1)=1,"WO","P"))</f>
        <v>P</v>
      </c>
      <c r="Q8" s="4" t="str">
        <f>IFERROR(LOOKUP(2,1/((lentry!$A$3:$A$3999=may!$A8)*(lentry!$B$3:$B$3999&lt;=may!Q$3)*(lentry!$C$3:$C$3999&gt;=may!Q$3)),lentry!$D$3:$D$3999),IF(WEEKDAY(may!Q$3,1)=1,"WO","P"))</f>
        <v>P</v>
      </c>
      <c r="R8" s="4" t="str">
        <f>IFERROR(LOOKUP(2,1/((lentry!$A$3:$A$3999=may!$A8)*(lentry!$B$3:$B$3999&lt;=may!R$3)*(lentry!$C$3:$C$3999&gt;=may!R$3)),lentry!$D$3:$D$3999),IF(WEEKDAY(may!R$3,1)=1,"WO","P"))</f>
        <v>P</v>
      </c>
      <c r="S8" s="4" t="str">
        <f>IFERROR(LOOKUP(2,1/((lentry!$A$3:$A$3999=may!$A8)*(lentry!$B$3:$B$3999&lt;=may!S$3)*(lentry!$C$3:$C$3999&gt;=may!S$3)),lentry!$D$3:$D$3999),IF(WEEKDAY(may!S$3,1)=1,"WO","P"))</f>
        <v>P</v>
      </c>
      <c r="T8" s="4" t="str">
        <f>IFERROR(LOOKUP(2,1/((lentry!$A$3:$A$3999=may!$A8)*(lentry!$B$3:$B$3999&lt;=may!T$3)*(lentry!$C$3:$C$3999&gt;=may!T$3)),lentry!$D$3:$D$3999),IF(WEEKDAY(may!T$3,1)=1,"WO","P"))</f>
        <v>P</v>
      </c>
      <c r="U8" s="4" t="str">
        <f>IFERROR(LOOKUP(2,1/((lentry!$A$3:$A$3999=may!$A8)*(lentry!$B$3:$B$3999&lt;=may!U$3)*(lentry!$C$3:$C$3999&gt;=may!U$3)),lentry!$D$3:$D$3999),IF(WEEKDAY(may!U$3,1)=1,"WO","P"))</f>
        <v>P</v>
      </c>
      <c r="V8" s="4" t="str">
        <f>IFERROR(LOOKUP(2,1/((lentry!$A$3:$A$3999=may!$A8)*(lentry!$B$3:$B$3999&lt;=may!V$3)*(lentry!$C$3:$C$3999&gt;=may!V$3)),lentry!$D$3:$D$3999),IF(WEEKDAY(may!V$3,1)=1,"WO","P"))</f>
        <v>WO</v>
      </c>
      <c r="W8" s="4" t="str">
        <f>IFERROR(LOOKUP(2,1/((lentry!$A$3:$A$3999=may!$A8)*(lentry!$B$3:$B$3999&lt;=may!W$3)*(lentry!$C$3:$C$3999&gt;=may!W$3)),lentry!$D$3:$D$3999),IF(WEEKDAY(may!W$3,1)=1,"WO","P"))</f>
        <v>P</v>
      </c>
      <c r="X8" s="4" t="str">
        <f>IFERROR(LOOKUP(2,1/((lentry!$A$3:$A$3999=may!$A8)*(lentry!$B$3:$B$3999&lt;=may!X$3)*(lentry!$C$3:$C$3999&gt;=may!X$3)),lentry!$D$3:$D$3999),IF(WEEKDAY(may!X$3,1)=1,"WO","P"))</f>
        <v>P</v>
      </c>
      <c r="Y8" s="4" t="str">
        <f>IFERROR(LOOKUP(2,1/((lentry!$A$3:$A$3999=may!$A8)*(lentry!$B$3:$B$3999&lt;=may!Y$3)*(lentry!$C$3:$C$3999&gt;=may!Y$3)),lentry!$D$3:$D$3999),IF(WEEKDAY(may!Y$3,1)=1,"WO","P"))</f>
        <v>P</v>
      </c>
      <c r="Z8" s="4" t="str">
        <f>IFERROR(LOOKUP(2,1/((lentry!$A$3:$A$3999=may!$A8)*(lentry!$B$3:$B$3999&lt;=may!Z$3)*(lentry!$C$3:$C$3999&gt;=may!Z$3)),lentry!$D$3:$D$3999),IF(WEEKDAY(may!Z$3,1)=1,"WO","P"))</f>
        <v>P</v>
      </c>
      <c r="AA8" s="4" t="str">
        <f>IFERROR(LOOKUP(2,1/((lentry!$A$3:$A$3999=may!$A8)*(lentry!$B$3:$B$3999&lt;=may!AA$3)*(lentry!$C$3:$C$3999&gt;=may!AA$3)),lentry!$D$3:$D$3999),IF(WEEKDAY(may!AA$3,1)=1,"WO","P"))</f>
        <v>P</v>
      </c>
      <c r="AB8" s="4" t="str">
        <f>IFERROR(LOOKUP(2,1/((lentry!$A$3:$A$3999=may!$A8)*(lentry!$B$3:$B$3999&lt;=may!AB$3)*(lentry!$C$3:$C$3999&gt;=may!AB$3)),lentry!$D$3:$D$3999),IF(WEEKDAY(may!AB$3,1)=1,"WO","P"))</f>
        <v>P</v>
      </c>
      <c r="AC8" s="4" t="str">
        <f>IFERROR(LOOKUP(2,1/((lentry!$A$3:$A$3999=may!$A8)*(lentry!$B$3:$B$3999&lt;=may!AC$3)*(lentry!$C$3:$C$3999&gt;=may!AC$3)),lentry!$D$3:$D$3999),IF(WEEKDAY(may!AC$3,1)=1,"WO","P"))</f>
        <v>WO</v>
      </c>
      <c r="AD8" s="4" t="str">
        <f>IFERROR(LOOKUP(2,1/((lentry!$A$3:$A$3999=may!$A8)*(lentry!$B$3:$B$3999&lt;=may!AD$3)*(lentry!$C$3:$C$3999&gt;=may!AD$3)),lentry!$D$3:$D$3999),IF(WEEKDAY(may!AD$3,1)=1,"WO","P"))</f>
        <v>P</v>
      </c>
      <c r="AE8" s="4" t="str">
        <f>IFERROR(LOOKUP(2,1/((lentry!$A$3:$A$3999=may!$A8)*(lentry!$B$3:$B$3999&lt;=may!AE$3)*(lentry!$C$3:$C$3999&gt;=may!AE$3)),lentry!$D$3:$D$3999),IF(WEEKDAY(may!AE$3,1)=1,"WO","P"))</f>
        <v>P</v>
      </c>
      <c r="AF8" s="4" t="s">
        <v>350</v>
      </c>
      <c r="AG8" s="4" t="str">
        <f>IFERROR(LOOKUP(2,1/((lentry!$A$3:$A$3999=may!$A8)*(lentry!$B$3:$B$3999&lt;=may!AG$3)*(lentry!$C$3:$C$3999&gt;=may!AG$3)),lentry!$D$3:$D$3999),IF(WEEKDAY(may!AG$3,1)=1,"WO","P"))</f>
        <v>P</v>
      </c>
      <c r="AH8" s="4" t="str">
        <f>IFERROR(LOOKUP(2,1/((lentry!$A$3:$A$3999=may!$A8)*(lentry!$B$3:$B$3999&lt;=may!AH$3)*(lentry!$C$3:$C$3999&gt;=may!AH$3)),lentry!$D$3:$D$3999),IF(WEEKDAY(may!AH$3,1)=1,"WO","P"))</f>
        <v>P</v>
      </c>
      <c r="AI8" s="4" t="str">
        <f>IFERROR(LOOKUP(2,1/((lentry!$A$3:$A$3999=may!$A8)*(lentry!$B$3:$B$3999&lt;=may!AI$3)*(lentry!$C$3:$C$3999&gt;=may!AI$3)),lentry!$D$3:$D$3999),IF(WEEKDAY(may!AI$3,1)=1,"WO","P"))</f>
        <v>P</v>
      </c>
      <c r="AJ8" s="4" t="str">
        <f>IFERROR(LOOKUP(2,1/((lentry!$A$3:$A$3999=may!$A8)*(lentry!$B$3:$B$3999&lt;=may!AJ$3)*(lentry!$C$3:$C$3999&gt;=may!AJ$3)),lentry!$D$3:$D$3999),IF(WEEKDAY(may!AJ$3,1)=1,"WO","P"))</f>
        <v>WO</v>
      </c>
      <c r="AK8" s="4">
        <f>COUNTIF(may!$F8:$AJ8,"WO")</f>
        <v>5</v>
      </c>
      <c r="AL8" s="4">
        <f>COUNTIF(may!$F8:$AJ8,"H")</f>
        <v>2</v>
      </c>
      <c r="AM8" s="4">
        <f>COUNTIF(may!$F8:$AJ8,"PL")</f>
        <v>0</v>
      </c>
      <c r="AN8" s="4">
        <f>COUNTIF(may!$F8:$AJ8,"LWP")</f>
        <v>0</v>
      </c>
      <c r="AO8" s="4">
        <f>COUNTIF(may!$F8:$AJ8,"HD")</f>
        <v>0</v>
      </c>
      <c r="AP8" s="4">
        <f>COUNTIF(may!$F8:$AJ8,"SL")</f>
        <v>0</v>
      </c>
      <c r="AQ8" s="4">
        <f>COUNTIF(may!$F8:$AJ8,"CL")</f>
        <v>0</v>
      </c>
      <c r="AR8" s="4">
        <f>COUNTIF(may!$F8:$AJ8,"A")</f>
        <v>0</v>
      </c>
      <c r="AS8" s="4">
        <f>COUNTIF(may!$F8:$AJ8,"P")</f>
        <v>24</v>
      </c>
      <c r="AT8" s="4">
        <f t="shared" si="2"/>
        <v>31</v>
      </c>
      <c r="AU8" s="4">
        <f t="shared" si="3"/>
        <v>31</v>
      </c>
      <c r="AV8" s="4">
        <f>SUMIFS(holly!$L$2:$L$122,holly!$I$2:$I$122,mar!$A8,holly!$K$2:$K$122,"Mar")</f>
        <v>2</v>
      </c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</row>
    <row r="9" spans="1:80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">
        <v>350</v>
      </c>
      <c r="G9" s="4" t="str">
        <f>IFERROR(LOOKUP(2,1/((lentry!$A$3:$A$3999=may!$A9)*(lentry!$B$3:$B$3999&lt;=may!G$3)*(lentry!$C$3:$C$3999&gt;=may!G$3)),lentry!$D$3:$D$3999),IF(WEEKDAY(may!G$3,1)=1,"WO","P"))</f>
        <v>P</v>
      </c>
      <c r="H9" s="4" t="str">
        <f>IFERROR(LOOKUP(2,1/((lentry!$A$3:$A$3999=may!$A9)*(lentry!$B$3:$B$3999&lt;=may!H$3)*(lentry!$C$3:$C$3999&gt;=may!H$3)),lentry!$D$3:$D$3999),IF(WEEKDAY(may!H$3,1)=1,"WO","P"))</f>
        <v>WO</v>
      </c>
      <c r="I9" s="4" t="str">
        <f>IFERROR(LOOKUP(2,1/((lentry!$A$3:$A$3999=may!$A9)*(lentry!$B$3:$B$3999&lt;=may!I$3)*(lentry!$C$3:$C$3999&gt;=may!I$3)),lentry!$D$3:$D$3999),IF(WEEKDAY(may!I$3,1)=1,"WO","P"))</f>
        <v>P</v>
      </c>
      <c r="J9" s="4" t="str">
        <f>IFERROR(LOOKUP(2,1/((lentry!$A$3:$A$3999=may!$A9)*(lentry!$B$3:$B$3999&lt;=may!J$3)*(lentry!$C$3:$C$3999&gt;=may!J$3)),lentry!$D$3:$D$3999),IF(WEEKDAY(may!J$3,1)=1,"WO","P"))</f>
        <v>P</v>
      </c>
      <c r="K9" s="4" t="str">
        <f>IFERROR(LOOKUP(2,1/((lentry!$A$3:$A$3999=may!$A9)*(lentry!$B$3:$B$3999&lt;=may!K$3)*(lentry!$C$3:$C$3999&gt;=may!K$3)),lentry!$D$3:$D$3999),IF(WEEKDAY(may!K$3,1)=1,"WO","P"))</f>
        <v>CL</v>
      </c>
      <c r="L9" s="4" t="s">
        <v>539</v>
      </c>
      <c r="M9" s="4" t="str">
        <f>IFERROR(LOOKUP(2,1/((lentry!$A$3:$A$3999=may!$A9)*(lentry!$B$3:$B$3999&lt;=may!M$3)*(lentry!$C$3:$C$3999&gt;=may!M$3)),lentry!$D$3:$D$3999),IF(WEEKDAY(may!M$3,1)=1,"WO","P"))</f>
        <v>P</v>
      </c>
      <c r="N9" s="4" t="str">
        <f>IFERROR(LOOKUP(2,1/((lentry!$A$3:$A$3999=may!$A9)*(lentry!$B$3:$B$3999&lt;=may!N$3)*(lentry!$C$3:$C$3999&gt;=may!N$3)),lentry!$D$3:$D$3999),IF(WEEKDAY(may!N$3,1)=1,"WO","P"))</f>
        <v>P</v>
      </c>
      <c r="O9" s="4" t="str">
        <f>IFERROR(LOOKUP(2,1/((lentry!$A$3:$A$3999=may!$A9)*(lentry!$B$3:$B$3999&lt;=may!O$3)*(lentry!$C$3:$C$3999&gt;=may!O$3)),lentry!$D$3:$D$3999),IF(WEEKDAY(may!O$3,1)=1,"WO","P"))</f>
        <v>WO</v>
      </c>
      <c r="P9" s="4" t="str">
        <f>IFERROR(LOOKUP(2,1/((lentry!$A$3:$A$3999=may!$A9)*(lentry!$B$3:$B$3999&lt;=may!P$3)*(lentry!$C$3:$C$3999&gt;=may!P$3)),lentry!$D$3:$D$3999),IF(WEEKDAY(may!P$3,1)=1,"WO","P"))</f>
        <v>P</v>
      </c>
      <c r="Q9" s="4" t="str">
        <f>IFERROR(LOOKUP(2,1/((lentry!$A$3:$A$3999=may!$A9)*(lentry!$B$3:$B$3999&lt;=may!Q$3)*(lentry!$C$3:$C$3999&gt;=may!Q$3)),lentry!$D$3:$D$3999),IF(WEEKDAY(may!Q$3,1)=1,"WO","P"))</f>
        <v>P</v>
      </c>
      <c r="R9" s="4" t="str">
        <f>IFERROR(LOOKUP(2,1/((lentry!$A$3:$A$3999=may!$A9)*(lentry!$B$3:$B$3999&lt;=may!R$3)*(lentry!$C$3:$C$3999&gt;=may!R$3)),lentry!$D$3:$D$3999),IF(WEEKDAY(may!R$3,1)=1,"WO","P"))</f>
        <v>P</v>
      </c>
      <c r="S9" s="4" t="str">
        <f>IFERROR(LOOKUP(2,1/((lentry!$A$3:$A$3999=may!$A9)*(lentry!$B$3:$B$3999&lt;=may!S$3)*(lentry!$C$3:$C$3999&gt;=may!S$3)),lentry!$D$3:$D$3999),IF(WEEKDAY(may!S$3,1)=1,"WO","P"))</f>
        <v>P</v>
      </c>
      <c r="T9" s="4" t="str">
        <f>IFERROR(LOOKUP(2,1/((lentry!$A$3:$A$3999=may!$A9)*(lentry!$B$3:$B$3999&lt;=may!T$3)*(lentry!$C$3:$C$3999&gt;=may!T$3)),lentry!$D$3:$D$3999),IF(WEEKDAY(may!T$3,1)=1,"WO","P"))</f>
        <v>P</v>
      </c>
      <c r="U9" s="4" t="str">
        <f>IFERROR(LOOKUP(2,1/((lentry!$A$3:$A$3999=may!$A9)*(lentry!$B$3:$B$3999&lt;=may!U$3)*(lentry!$C$3:$C$3999&gt;=may!U$3)),lentry!$D$3:$D$3999),IF(WEEKDAY(may!U$3,1)=1,"WO","P"))</f>
        <v>P</v>
      </c>
      <c r="V9" s="4" t="str">
        <f>IFERROR(LOOKUP(2,1/((lentry!$A$3:$A$3999=may!$A9)*(lentry!$B$3:$B$3999&lt;=may!V$3)*(lentry!$C$3:$C$3999&gt;=may!V$3)),lentry!$D$3:$D$3999),IF(WEEKDAY(may!V$3,1)=1,"WO","P"))</f>
        <v>WO</v>
      </c>
      <c r="W9" s="4" t="str">
        <f>IFERROR(LOOKUP(2,1/((lentry!$A$3:$A$3999=may!$A9)*(lentry!$B$3:$B$3999&lt;=may!W$3)*(lentry!$C$3:$C$3999&gt;=may!W$3)),lentry!$D$3:$D$3999),IF(WEEKDAY(may!W$3,1)=1,"WO","P"))</f>
        <v>P</v>
      </c>
      <c r="X9" s="4" t="str">
        <f>IFERROR(LOOKUP(2,1/((lentry!$A$3:$A$3999=may!$A9)*(lentry!$B$3:$B$3999&lt;=may!X$3)*(lentry!$C$3:$C$3999&gt;=may!X$3)),lentry!$D$3:$D$3999),IF(WEEKDAY(may!X$3,1)=1,"WO","P"))</f>
        <v>P</v>
      </c>
      <c r="Y9" s="4" t="str">
        <f>IFERROR(LOOKUP(2,1/((lentry!$A$3:$A$3999=may!$A9)*(lentry!$B$3:$B$3999&lt;=may!Y$3)*(lentry!$C$3:$C$3999&gt;=may!Y$3)),lentry!$D$3:$D$3999),IF(WEEKDAY(may!Y$3,1)=1,"WO","P"))</f>
        <v>P</v>
      </c>
      <c r="Z9" s="4" t="str">
        <f>IFERROR(LOOKUP(2,1/((lentry!$A$3:$A$3999=may!$A9)*(lentry!$B$3:$B$3999&lt;=may!Z$3)*(lentry!$C$3:$C$3999&gt;=may!Z$3)),lentry!$D$3:$D$3999),IF(WEEKDAY(may!Z$3,1)=1,"WO","P"))</f>
        <v>P</v>
      </c>
      <c r="AA9" s="4" t="str">
        <f>IFERROR(LOOKUP(2,1/((lentry!$A$3:$A$3999=may!$A9)*(lentry!$B$3:$B$3999&lt;=may!AA$3)*(lentry!$C$3:$C$3999&gt;=may!AA$3)),lentry!$D$3:$D$3999),IF(WEEKDAY(may!AA$3,1)=1,"WO","P"))</f>
        <v>P</v>
      </c>
      <c r="AB9" s="4" t="str">
        <f>IFERROR(LOOKUP(2,1/((lentry!$A$3:$A$3999=may!$A9)*(lentry!$B$3:$B$3999&lt;=may!AB$3)*(lentry!$C$3:$C$3999&gt;=may!AB$3)),lentry!$D$3:$D$3999),IF(WEEKDAY(may!AB$3,1)=1,"WO","P"))</f>
        <v>P</v>
      </c>
      <c r="AC9" s="4" t="str">
        <f>IFERROR(LOOKUP(2,1/((lentry!$A$3:$A$3999=may!$A9)*(lentry!$B$3:$B$3999&lt;=may!AC$3)*(lentry!$C$3:$C$3999&gt;=may!AC$3)),lentry!$D$3:$D$3999),IF(WEEKDAY(may!AC$3,1)=1,"WO","P"))</f>
        <v>WO</v>
      </c>
      <c r="AD9" s="4" t="str">
        <f>IFERROR(LOOKUP(2,1/((lentry!$A$3:$A$3999=may!$A9)*(lentry!$B$3:$B$3999&lt;=may!AD$3)*(lentry!$C$3:$C$3999&gt;=may!AD$3)),lentry!$D$3:$D$3999),IF(WEEKDAY(may!AD$3,1)=1,"WO","P"))</f>
        <v>P</v>
      </c>
      <c r="AE9" s="4" t="str">
        <f>IFERROR(LOOKUP(2,1/((lentry!$A$3:$A$3999=may!$A9)*(lentry!$B$3:$B$3999&lt;=may!AE$3)*(lentry!$C$3:$C$3999&gt;=may!AE$3)),lentry!$D$3:$D$3999),IF(WEEKDAY(may!AE$3,1)=1,"WO","P"))</f>
        <v>P</v>
      </c>
      <c r="AF9" s="4" t="s">
        <v>350</v>
      </c>
      <c r="AG9" s="4" t="str">
        <f>IFERROR(LOOKUP(2,1/((lentry!$A$3:$A$3999=may!$A9)*(lentry!$B$3:$B$3999&lt;=may!AG$3)*(lentry!$C$3:$C$3999&gt;=may!AG$3)),lentry!$D$3:$D$3999),IF(WEEKDAY(may!AG$3,1)=1,"WO","P"))</f>
        <v>P</v>
      </c>
      <c r="AH9" s="4" t="str">
        <f>IFERROR(LOOKUP(2,1/((lentry!$A$3:$A$3999=may!$A9)*(lentry!$B$3:$B$3999&lt;=may!AH$3)*(lentry!$C$3:$C$3999&gt;=may!AH$3)),lentry!$D$3:$D$3999),IF(WEEKDAY(may!AH$3,1)=1,"WO","P"))</f>
        <v>P</v>
      </c>
      <c r="AI9" s="4" t="str">
        <f>IFERROR(LOOKUP(2,1/((lentry!$A$3:$A$3999=may!$A9)*(lentry!$B$3:$B$3999&lt;=may!AI$3)*(lentry!$C$3:$C$3999&gt;=may!AI$3)),lentry!$D$3:$D$3999),IF(WEEKDAY(may!AI$3,1)=1,"WO","P"))</f>
        <v>P</v>
      </c>
      <c r="AJ9" s="4" t="str">
        <f>IFERROR(LOOKUP(2,1/((lentry!$A$3:$A$3999=may!$A9)*(lentry!$B$3:$B$3999&lt;=may!AJ$3)*(lentry!$C$3:$C$3999&gt;=may!AJ$3)),lentry!$D$3:$D$3999),IF(WEEKDAY(may!AJ$3,1)=1,"WO","P"))</f>
        <v>WO</v>
      </c>
      <c r="AK9" s="4">
        <f>COUNTIF(may!$F9:$AJ9,"WO")</f>
        <v>5</v>
      </c>
      <c r="AL9" s="4">
        <f>COUNTIF(may!$F9:$AJ9,"H")</f>
        <v>2</v>
      </c>
      <c r="AM9" s="4">
        <f>COUNTIF(may!$F9:$AJ9,"PL")</f>
        <v>0</v>
      </c>
      <c r="AN9" s="4">
        <f>COUNTIF(may!$F9:$AJ9,"LWP")</f>
        <v>0</v>
      </c>
      <c r="AO9" s="4">
        <f>COUNTIF(may!$F9:$AJ9,"HD")</f>
        <v>0</v>
      </c>
      <c r="AP9" s="4">
        <f>COUNTIF(may!$F9:$AJ9,"SL")</f>
        <v>0</v>
      </c>
      <c r="AQ9" s="4">
        <f>COUNTIF(may!$F9:$AJ9,"CL")</f>
        <v>1</v>
      </c>
      <c r="AR9" s="4">
        <f>COUNTIF(may!$F9:$AJ9,"A")</f>
        <v>1</v>
      </c>
      <c r="AS9" s="4">
        <f>COUNTIF(may!$F9:$AJ9,"P")</f>
        <v>22</v>
      </c>
      <c r="AT9" s="4">
        <f t="shared" si="2"/>
        <v>31</v>
      </c>
      <c r="AU9" s="4">
        <f t="shared" si="3"/>
        <v>30</v>
      </c>
      <c r="AV9" s="4">
        <f>SUMIFS(holly!$L$2:$L$122,holly!$I$2:$I$122,mar!$A9,holly!$K$2:$K$122,"Mar")</f>
        <v>1</v>
      </c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</row>
    <row r="10" spans="1:80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">
        <v>350</v>
      </c>
      <c r="G10" s="4" t="str">
        <f>IFERROR(LOOKUP(2,1/((lentry!$A$3:$A$3999=may!$A10)*(lentry!$B$3:$B$3999&lt;=may!G$3)*(lentry!$C$3:$C$3999&gt;=may!G$3)),lentry!$D$3:$D$3999),IF(WEEKDAY(may!G$3,1)=1,"WO","P"))</f>
        <v>P</v>
      </c>
      <c r="H10" s="4" t="str">
        <f>IFERROR(LOOKUP(2,1/((lentry!$A$3:$A$3999=may!$A10)*(lentry!$B$3:$B$3999&lt;=may!H$3)*(lentry!$C$3:$C$3999&gt;=may!H$3)),lentry!$D$3:$D$3999),IF(WEEKDAY(may!H$3,1)=1,"WO","P"))</f>
        <v>WO</v>
      </c>
      <c r="I10" s="4" t="str">
        <f>IFERROR(LOOKUP(2,1/((lentry!$A$3:$A$3999=may!$A10)*(lentry!$B$3:$B$3999&lt;=may!I$3)*(lentry!$C$3:$C$3999&gt;=may!I$3)),lentry!$D$3:$D$3999),IF(WEEKDAY(may!I$3,1)=1,"WO","P"))</f>
        <v>P</v>
      </c>
      <c r="J10" s="4" t="str">
        <f>IFERROR(LOOKUP(2,1/((lentry!$A$3:$A$3999=may!$A10)*(lentry!$B$3:$B$3999&lt;=may!J$3)*(lentry!$C$3:$C$3999&gt;=may!J$3)),lentry!$D$3:$D$3999),IF(WEEKDAY(may!J$3,1)=1,"WO","P"))</f>
        <v>P</v>
      </c>
      <c r="K10" s="4" t="str">
        <f>IFERROR(LOOKUP(2,1/((lentry!$A$3:$A$3999=may!$A10)*(lentry!$B$3:$B$3999&lt;=may!K$3)*(lentry!$C$3:$C$3999&gt;=may!K$3)),lentry!$D$3:$D$3999),IF(WEEKDAY(may!K$3,1)=1,"WO","P"))</f>
        <v>P</v>
      </c>
      <c r="L10" s="4" t="str">
        <f>IFERROR(LOOKUP(2,1/((lentry!$A$3:$A$3999=may!$A10)*(lentry!$B$3:$B$3999&lt;=may!L$3)*(lentry!$C$3:$C$3999&gt;=may!L$3)),lentry!$D$3:$D$3999),IF(WEEKDAY(may!L$3,1)=1,"WO","P"))</f>
        <v>P</v>
      </c>
      <c r="M10" s="4" t="str">
        <f>IFERROR(LOOKUP(2,1/((lentry!$A$3:$A$3999=may!$A10)*(lentry!$B$3:$B$3999&lt;=may!M$3)*(lentry!$C$3:$C$3999&gt;=may!M$3)),lentry!$D$3:$D$3999),IF(WEEKDAY(may!M$3,1)=1,"WO","P"))</f>
        <v>P</v>
      </c>
      <c r="N10" s="4" t="str">
        <f>IFERROR(LOOKUP(2,1/((lentry!$A$3:$A$3999=may!$A10)*(lentry!$B$3:$B$3999&lt;=may!N$3)*(lentry!$C$3:$C$3999&gt;=may!N$3)),lentry!$D$3:$D$3999),IF(WEEKDAY(may!N$3,1)=1,"WO","P"))</f>
        <v>P</v>
      </c>
      <c r="O10" s="4" t="str">
        <f>IFERROR(LOOKUP(2,1/((lentry!$A$3:$A$3999=may!$A10)*(lentry!$B$3:$B$3999&lt;=may!O$3)*(lentry!$C$3:$C$3999&gt;=may!O$3)),lentry!$D$3:$D$3999),IF(WEEKDAY(may!O$3,1)=1,"WO","P"))</f>
        <v>WO</v>
      </c>
      <c r="P10" s="4" t="str">
        <f>IFERROR(LOOKUP(2,1/((lentry!$A$3:$A$3999=may!$A10)*(lentry!$B$3:$B$3999&lt;=may!P$3)*(lentry!$C$3:$C$3999&gt;=may!P$3)),lentry!$D$3:$D$3999),IF(WEEKDAY(may!P$3,1)=1,"WO","P"))</f>
        <v>P</v>
      </c>
      <c r="Q10" s="4" t="str">
        <f>IFERROR(LOOKUP(2,1/((lentry!$A$3:$A$3999=may!$A10)*(lentry!$B$3:$B$3999&lt;=may!Q$3)*(lentry!$C$3:$C$3999&gt;=may!Q$3)),lentry!$D$3:$D$3999),IF(WEEKDAY(may!Q$3,1)=1,"WO","P"))</f>
        <v>P</v>
      </c>
      <c r="R10" s="4" t="str">
        <f>IFERROR(LOOKUP(2,1/((lentry!$A$3:$A$3999=may!$A10)*(lentry!$B$3:$B$3999&lt;=may!R$3)*(lentry!$C$3:$C$3999&gt;=may!R$3)),lentry!$D$3:$D$3999),IF(WEEKDAY(may!R$3,1)=1,"WO","P"))</f>
        <v>P</v>
      </c>
      <c r="S10" s="4" t="str">
        <f>IFERROR(LOOKUP(2,1/((lentry!$A$3:$A$3999=may!$A10)*(lentry!$B$3:$B$3999&lt;=may!S$3)*(lentry!$C$3:$C$3999&gt;=may!S$3)),lentry!$D$3:$D$3999),IF(WEEKDAY(may!S$3,1)=1,"WO","P"))</f>
        <v>P</v>
      </c>
      <c r="T10" s="4" t="str">
        <f>IFERROR(LOOKUP(2,1/((lentry!$A$3:$A$3999=may!$A10)*(lentry!$B$3:$B$3999&lt;=may!T$3)*(lentry!$C$3:$C$3999&gt;=may!T$3)),lentry!$D$3:$D$3999),IF(WEEKDAY(may!T$3,1)=1,"WO","P"))</f>
        <v>P</v>
      </c>
      <c r="U10" s="4" t="str">
        <f>IFERROR(LOOKUP(2,1/((lentry!$A$3:$A$3999=may!$A10)*(lentry!$B$3:$B$3999&lt;=may!U$3)*(lentry!$C$3:$C$3999&gt;=may!U$3)),lentry!$D$3:$D$3999),IF(WEEKDAY(may!U$3,1)=1,"WO","P"))</f>
        <v>P</v>
      </c>
      <c r="V10" s="4" t="str">
        <f>IFERROR(LOOKUP(2,1/((lentry!$A$3:$A$3999=may!$A10)*(lentry!$B$3:$B$3999&lt;=may!V$3)*(lentry!$C$3:$C$3999&gt;=may!V$3)),lentry!$D$3:$D$3999),IF(WEEKDAY(may!V$3,1)=1,"WO","P"))</f>
        <v>WO</v>
      </c>
      <c r="W10" s="4" t="str">
        <f>IFERROR(LOOKUP(2,1/((lentry!$A$3:$A$3999=may!$A10)*(lentry!$B$3:$B$3999&lt;=may!W$3)*(lentry!$C$3:$C$3999&gt;=may!W$3)),lentry!$D$3:$D$3999),IF(WEEKDAY(may!W$3,1)=1,"WO","P"))</f>
        <v>P</v>
      </c>
      <c r="X10" s="4" t="str">
        <f>IFERROR(LOOKUP(2,1/((lentry!$A$3:$A$3999=may!$A10)*(lentry!$B$3:$B$3999&lt;=may!X$3)*(lentry!$C$3:$C$3999&gt;=may!X$3)),lentry!$D$3:$D$3999),IF(WEEKDAY(may!X$3,1)=1,"WO","P"))</f>
        <v>P</v>
      </c>
      <c r="Y10" s="4" t="str">
        <f>IFERROR(LOOKUP(2,1/((lentry!$A$3:$A$3999=may!$A10)*(lentry!$B$3:$B$3999&lt;=may!Y$3)*(lentry!$C$3:$C$3999&gt;=may!Y$3)),lentry!$D$3:$D$3999),IF(WEEKDAY(may!Y$3,1)=1,"WO","P"))</f>
        <v>P</v>
      </c>
      <c r="Z10" s="4" t="str">
        <f>IFERROR(LOOKUP(2,1/((lentry!$A$3:$A$3999=may!$A10)*(lentry!$B$3:$B$3999&lt;=may!Z$3)*(lentry!$C$3:$C$3999&gt;=may!Z$3)),lentry!$D$3:$D$3999),IF(WEEKDAY(may!Z$3,1)=1,"WO","P"))</f>
        <v>P</v>
      </c>
      <c r="AA10" s="4" t="str">
        <f>IFERROR(LOOKUP(2,1/((lentry!$A$3:$A$3999=may!$A10)*(lentry!$B$3:$B$3999&lt;=may!AA$3)*(lentry!$C$3:$C$3999&gt;=may!AA$3)),lentry!$D$3:$D$3999),IF(WEEKDAY(may!AA$3,1)=1,"WO","P"))</f>
        <v>P</v>
      </c>
      <c r="AB10" s="4" t="str">
        <f>IFERROR(LOOKUP(2,1/((lentry!$A$3:$A$3999=may!$A10)*(lentry!$B$3:$B$3999&lt;=may!AB$3)*(lentry!$C$3:$C$3999&gt;=may!AB$3)),lentry!$D$3:$D$3999),IF(WEEKDAY(may!AB$3,1)=1,"WO","P"))</f>
        <v>P</v>
      </c>
      <c r="AC10" s="4" t="str">
        <f>IFERROR(LOOKUP(2,1/((lentry!$A$3:$A$3999=may!$A10)*(lentry!$B$3:$B$3999&lt;=may!AC$3)*(lentry!$C$3:$C$3999&gt;=may!AC$3)),lentry!$D$3:$D$3999),IF(WEEKDAY(may!AC$3,1)=1,"WO","P"))</f>
        <v>WO</v>
      </c>
      <c r="AD10" s="4" t="str">
        <f>IFERROR(LOOKUP(2,1/((lentry!$A$3:$A$3999=may!$A10)*(lentry!$B$3:$B$3999&lt;=may!AD$3)*(lentry!$C$3:$C$3999&gt;=may!AD$3)),lentry!$D$3:$D$3999),IF(WEEKDAY(may!AD$3,1)=1,"WO","P"))</f>
        <v>P</v>
      </c>
      <c r="AE10" s="4" t="str">
        <f>IFERROR(LOOKUP(2,1/((lentry!$A$3:$A$3999=may!$A10)*(lentry!$B$3:$B$3999&lt;=may!AE$3)*(lentry!$C$3:$C$3999&gt;=may!AE$3)),lentry!$D$3:$D$3999),IF(WEEKDAY(may!AE$3,1)=1,"WO","P"))</f>
        <v>P</v>
      </c>
      <c r="AF10" s="4" t="s">
        <v>350</v>
      </c>
      <c r="AG10" s="4" t="str">
        <f>IFERROR(LOOKUP(2,1/((lentry!$A$3:$A$3999=may!$A10)*(lentry!$B$3:$B$3999&lt;=may!AG$3)*(lentry!$C$3:$C$3999&gt;=may!AG$3)),lentry!$D$3:$D$3999),IF(WEEKDAY(may!AG$3,1)=1,"WO","P"))</f>
        <v>P</v>
      </c>
      <c r="AH10" s="4" t="str">
        <f>IFERROR(LOOKUP(2,1/((lentry!$A$3:$A$3999=may!$A10)*(lentry!$B$3:$B$3999&lt;=may!AH$3)*(lentry!$C$3:$C$3999&gt;=may!AH$3)),lentry!$D$3:$D$3999),IF(WEEKDAY(may!AH$3,1)=1,"WO","P"))</f>
        <v>P</v>
      </c>
      <c r="AI10" s="4" t="str">
        <f>IFERROR(LOOKUP(2,1/((lentry!$A$3:$A$3999=may!$A10)*(lentry!$B$3:$B$3999&lt;=may!AI$3)*(lentry!$C$3:$C$3999&gt;=may!AI$3)),lentry!$D$3:$D$3999),IF(WEEKDAY(may!AI$3,1)=1,"WO","P"))</f>
        <v>P</v>
      </c>
      <c r="AJ10" s="4" t="str">
        <f>IFERROR(LOOKUP(2,1/((lentry!$A$3:$A$3999=may!$A10)*(lentry!$B$3:$B$3999&lt;=may!AJ$3)*(lentry!$C$3:$C$3999&gt;=may!AJ$3)),lentry!$D$3:$D$3999),IF(WEEKDAY(may!AJ$3,1)=1,"WO","P"))</f>
        <v>WO</v>
      </c>
      <c r="AK10" s="4">
        <f>COUNTIF(may!$F10:$AJ10,"WO")</f>
        <v>5</v>
      </c>
      <c r="AL10" s="4">
        <f>COUNTIF(may!$F10:$AJ10,"H")</f>
        <v>2</v>
      </c>
      <c r="AM10" s="4">
        <f>COUNTIF(may!$F10:$AJ10,"PL")</f>
        <v>0</v>
      </c>
      <c r="AN10" s="4">
        <f>COUNTIF(may!$F10:$AJ10,"LWP")</f>
        <v>0</v>
      </c>
      <c r="AO10" s="4">
        <f>COUNTIF(may!$F10:$AJ10,"HD")</f>
        <v>0</v>
      </c>
      <c r="AP10" s="4">
        <f>COUNTIF(may!$F10:$AJ10,"SL")</f>
        <v>0</v>
      </c>
      <c r="AQ10" s="4">
        <f>COUNTIF(may!$F10:$AJ10,"CL")</f>
        <v>0</v>
      </c>
      <c r="AR10" s="4">
        <f>COUNTIF(may!$F10:$AJ10,"A")</f>
        <v>0</v>
      </c>
      <c r="AS10" s="4">
        <f>COUNTIF(may!$F10:$AJ10,"P")</f>
        <v>24</v>
      </c>
      <c r="AT10" s="4">
        <f t="shared" si="2"/>
        <v>31</v>
      </c>
      <c r="AU10" s="4">
        <f t="shared" si="3"/>
        <v>31</v>
      </c>
      <c r="AV10" s="4">
        <f>SUMIFS(holly!$L$2:$L$122,holly!$I$2:$I$122,mar!$A10,holly!$K$2:$K$122,"Mar")</f>
        <v>0</v>
      </c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</row>
    <row r="11" spans="1:80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">
        <v>350</v>
      </c>
      <c r="G11" s="4" t="str">
        <f>IFERROR(LOOKUP(2,1/((lentry!$A$3:$A$3999=may!$A11)*(lentry!$B$3:$B$3999&lt;=may!G$3)*(lentry!$C$3:$C$3999&gt;=may!G$3)),lentry!$D$3:$D$3999),IF(WEEKDAY(may!G$3,1)=1,"WO","P"))</f>
        <v>P</v>
      </c>
      <c r="H11" s="4" t="str">
        <f>IFERROR(LOOKUP(2,1/((lentry!$A$3:$A$3999=may!$A11)*(lentry!$B$3:$B$3999&lt;=may!H$3)*(lentry!$C$3:$C$3999&gt;=may!H$3)),lentry!$D$3:$D$3999),IF(WEEKDAY(may!H$3,1)=1,"WO","P"))</f>
        <v>WO</v>
      </c>
      <c r="I11" s="4" t="str">
        <f>IFERROR(LOOKUP(2,1/((lentry!$A$3:$A$3999=may!$A11)*(lentry!$B$3:$B$3999&lt;=may!I$3)*(lentry!$C$3:$C$3999&gt;=may!I$3)),lentry!$D$3:$D$3999),IF(WEEKDAY(may!I$3,1)=1,"WO","P"))</f>
        <v>P</v>
      </c>
      <c r="J11" s="4" t="str">
        <f>IFERROR(LOOKUP(2,1/((lentry!$A$3:$A$3999=may!$A11)*(lentry!$B$3:$B$3999&lt;=may!J$3)*(lentry!$C$3:$C$3999&gt;=may!J$3)),lentry!$D$3:$D$3999),IF(WEEKDAY(may!J$3,1)=1,"WO","P"))</f>
        <v>P</v>
      </c>
      <c r="K11" s="4" t="str">
        <f>IFERROR(LOOKUP(2,1/((lentry!$A$3:$A$3999=may!$A11)*(lentry!$B$3:$B$3999&lt;=may!K$3)*(lentry!$C$3:$C$3999&gt;=may!K$3)),lentry!$D$3:$D$3999),IF(WEEKDAY(may!K$3,1)=1,"WO","P"))</f>
        <v>P</v>
      </c>
      <c r="L11" s="4" t="str">
        <f>IFERROR(LOOKUP(2,1/((lentry!$A$3:$A$3999=may!$A11)*(lentry!$B$3:$B$3999&lt;=may!L$3)*(lentry!$C$3:$C$3999&gt;=may!L$3)),lentry!$D$3:$D$3999),IF(WEEKDAY(may!L$3,1)=1,"WO","P"))</f>
        <v>P</v>
      </c>
      <c r="M11" s="4" t="str">
        <f>IFERROR(LOOKUP(2,1/((lentry!$A$3:$A$3999=may!$A11)*(lentry!$B$3:$B$3999&lt;=may!M$3)*(lentry!$C$3:$C$3999&gt;=may!M$3)),lentry!$D$3:$D$3999),IF(WEEKDAY(may!M$3,1)=1,"WO","P"))</f>
        <v>P</v>
      </c>
      <c r="N11" s="4" t="str">
        <f>IFERROR(LOOKUP(2,1/((lentry!$A$3:$A$3999=may!$A11)*(lentry!$B$3:$B$3999&lt;=may!N$3)*(lentry!$C$3:$C$3999&gt;=may!N$3)),lentry!$D$3:$D$3999),IF(WEEKDAY(may!N$3,1)=1,"WO","P"))</f>
        <v>P</v>
      </c>
      <c r="O11" s="4" t="str">
        <f>IFERROR(LOOKUP(2,1/((lentry!$A$3:$A$3999=may!$A11)*(lentry!$B$3:$B$3999&lt;=may!O$3)*(lentry!$C$3:$C$3999&gt;=may!O$3)),lentry!$D$3:$D$3999),IF(WEEKDAY(may!O$3,1)=1,"WO","P"))</f>
        <v>WO</v>
      </c>
      <c r="P11" s="4" t="str">
        <f>IFERROR(LOOKUP(2,1/((lentry!$A$3:$A$3999=may!$A11)*(lentry!$B$3:$B$3999&lt;=may!P$3)*(lentry!$C$3:$C$3999&gt;=may!P$3)),lentry!$D$3:$D$3999),IF(WEEKDAY(may!P$3,1)=1,"WO","P"))</f>
        <v>P</v>
      </c>
      <c r="Q11" s="4" t="str">
        <f>IFERROR(LOOKUP(2,1/((lentry!$A$3:$A$3999=may!$A11)*(lentry!$B$3:$B$3999&lt;=may!Q$3)*(lentry!$C$3:$C$3999&gt;=may!Q$3)),lentry!$D$3:$D$3999),IF(WEEKDAY(may!Q$3,1)=1,"WO","P"))</f>
        <v>P</v>
      </c>
      <c r="R11" s="4" t="str">
        <f>IFERROR(LOOKUP(2,1/((lentry!$A$3:$A$3999=may!$A11)*(lentry!$B$3:$B$3999&lt;=may!R$3)*(lentry!$C$3:$C$3999&gt;=may!R$3)),lentry!$D$3:$D$3999),IF(WEEKDAY(may!R$3,1)=1,"WO","P"))</f>
        <v>P</v>
      </c>
      <c r="S11" s="4" t="str">
        <f>IFERROR(LOOKUP(2,1/((lentry!$A$3:$A$3999=may!$A11)*(lentry!$B$3:$B$3999&lt;=may!S$3)*(lentry!$C$3:$C$3999&gt;=may!S$3)),lentry!$D$3:$D$3999),IF(WEEKDAY(may!S$3,1)=1,"WO","P"))</f>
        <v>P</v>
      </c>
      <c r="T11" s="4" t="str">
        <f>IFERROR(LOOKUP(2,1/((lentry!$A$3:$A$3999=may!$A11)*(lentry!$B$3:$B$3999&lt;=may!T$3)*(lentry!$C$3:$C$3999&gt;=may!T$3)),lentry!$D$3:$D$3999),IF(WEEKDAY(may!T$3,1)=1,"WO","P"))</f>
        <v>P</v>
      </c>
      <c r="U11" s="4" t="str">
        <f>IFERROR(LOOKUP(2,1/((lentry!$A$3:$A$3999=may!$A11)*(lentry!$B$3:$B$3999&lt;=may!U$3)*(lentry!$C$3:$C$3999&gt;=may!U$3)),lentry!$D$3:$D$3999),IF(WEEKDAY(may!U$3,1)=1,"WO","P"))</f>
        <v>P</v>
      </c>
      <c r="V11" s="4" t="str">
        <f>IFERROR(LOOKUP(2,1/((lentry!$A$3:$A$3999=may!$A11)*(lentry!$B$3:$B$3999&lt;=may!V$3)*(lentry!$C$3:$C$3999&gt;=may!V$3)),lentry!$D$3:$D$3999),IF(WEEKDAY(may!V$3,1)=1,"WO","P"))</f>
        <v>WO</v>
      </c>
      <c r="W11" s="4" t="str">
        <f>IFERROR(LOOKUP(2,1/((lentry!$A$3:$A$3999=may!$A11)*(lentry!$B$3:$B$3999&lt;=may!W$3)*(lentry!$C$3:$C$3999&gt;=may!W$3)),lentry!$D$3:$D$3999),IF(WEEKDAY(may!W$3,1)=1,"WO","P"))</f>
        <v>P</v>
      </c>
      <c r="X11" s="4" t="str">
        <f>IFERROR(LOOKUP(2,1/((lentry!$A$3:$A$3999=may!$A11)*(lentry!$B$3:$B$3999&lt;=may!X$3)*(lentry!$C$3:$C$3999&gt;=may!X$3)),lentry!$D$3:$D$3999),IF(WEEKDAY(may!X$3,1)=1,"WO","P"))</f>
        <v>P</v>
      </c>
      <c r="Y11" s="4" t="str">
        <f>IFERROR(LOOKUP(2,1/((lentry!$A$3:$A$3999=may!$A11)*(lentry!$B$3:$B$3999&lt;=may!Y$3)*(lentry!$C$3:$C$3999&gt;=may!Y$3)),lentry!$D$3:$D$3999),IF(WEEKDAY(may!Y$3,1)=1,"WO","P"))</f>
        <v>P</v>
      </c>
      <c r="Z11" s="4" t="str">
        <f>IFERROR(LOOKUP(2,1/((lentry!$A$3:$A$3999=may!$A11)*(lentry!$B$3:$B$3999&lt;=may!Z$3)*(lentry!$C$3:$C$3999&gt;=may!Z$3)),lentry!$D$3:$D$3999),IF(WEEKDAY(may!Z$3,1)=1,"WO","P"))</f>
        <v>P</v>
      </c>
      <c r="AA11" s="4" t="str">
        <f>IFERROR(LOOKUP(2,1/((lentry!$A$3:$A$3999=may!$A11)*(lentry!$B$3:$B$3999&lt;=may!AA$3)*(lentry!$C$3:$C$3999&gt;=may!AA$3)),lentry!$D$3:$D$3999),IF(WEEKDAY(may!AA$3,1)=1,"WO","P"))</f>
        <v>P</v>
      </c>
      <c r="AB11" s="4" t="str">
        <f>IFERROR(LOOKUP(2,1/((lentry!$A$3:$A$3999=may!$A11)*(lentry!$B$3:$B$3999&lt;=may!AB$3)*(lentry!$C$3:$C$3999&gt;=may!AB$3)),lentry!$D$3:$D$3999),IF(WEEKDAY(may!AB$3,1)=1,"WO","P"))</f>
        <v>P</v>
      </c>
      <c r="AC11" s="4" t="str">
        <f>IFERROR(LOOKUP(2,1/((lentry!$A$3:$A$3999=may!$A11)*(lentry!$B$3:$B$3999&lt;=may!AC$3)*(lentry!$C$3:$C$3999&gt;=may!AC$3)),lentry!$D$3:$D$3999),IF(WEEKDAY(may!AC$3,1)=1,"WO","P"))</f>
        <v>WO</v>
      </c>
      <c r="AD11" s="4" t="str">
        <f>IFERROR(LOOKUP(2,1/((lentry!$A$3:$A$3999=may!$A11)*(lentry!$B$3:$B$3999&lt;=may!AD$3)*(lentry!$C$3:$C$3999&gt;=may!AD$3)),lentry!$D$3:$D$3999),IF(WEEKDAY(may!AD$3,1)=1,"WO","P"))</f>
        <v>P</v>
      </c>
      <c r="AE11" s="4" t="str">
        <f>IFERROR(LOOKUP(2,1/((lentry!$A$3:$A$3999=may!$A11)*(lentry!$B$3:$B$3999&lt;=may!AE$3)*(lentry!$C$3:$C$3999&gt;=may!AE$3)),lentry!$D$3:$D$3999),IF(WEEKDAY(may!AE$3,1)=1,"WO","P"))</f>
        <v>P</v>
      </c>
      <c r="AF11" s="4" t="s">
        <v>350</v>
      </c>
      <c r="AG11" s="4" t="str">
        <f>IFERROR(LOOKUP(2,1/((lentry!$A$3:$A$3999=may!$A11)*(lentry!$B$3:$B$3999&lt;=may!AG$3)*(lentry!$C$3:$C$3999&gt;=may!AG$3)),lentry!$D$3:$D$3999),IF(WEEKDAY(may!AG$3,1)=1,"WO","P"))</f>
        <v>P</v>
      </c>
      <c r="AH11" s="4" t="str">
        <f>IFERROR(LOOKUP(2,1/((lentry!$A$3:$A$3999=may!$A11)*(lentry!$B$3:$B$3999&lt;=may!AH$3)*(lentry!$C$3:$C$3999&gt;=may!AH$3)),lentry!$D$3:$D$3999),IF(WEEKDAY(may!AH$3,1)=1,"WO","P"))</f>
        <v>P</v>
      </c>
      <c r="AI11" s="4" t="str">
        <f>IFERROR(LOOKUP(2,1/((lentry!$A$3:$A$3999=may!$A11)*(lentry!$B$3:$B$3999&lt;=may!AI$3)*(lentry!$C$3:$C$3999&gt;=may!AI$3)),lentry!$D$3:$D$3999),IF(WEEKDAY(may!AI$3,1)=1,"WO","P"))</f>
        <v>P</v>
      </c>
      <c r="AJ11" s="4" t="str">
        <f>IFERROR(LOOKUP(2,1/((lentry!$A$3:$A$3999=may!$A11)*(lentry!$B$3:$B$3999&lt;=may!AJ$3)*(lentry!$C$3:$C$3999&gt;=may!AJ$3)),lentry!$D$3:$D$3999),IF(WEEKDAY(may!AJ$3,1)=1,"WO","P"))</f>
        <v>WO</v>
      </c>
      <c r="AK11" s="4">
        <f>COUNTIF(may!$F11:$AJ11,"WO")</f>
        <v>5</v>
      </c>
      <c r="AL11" s="4">
        <f>COUNTIF(may!$F11:$AJ11,"H")</f>
        <v>2</v>
      </c>
      <c r="AM11" s="4">
        <f>COUNTIF(may!$F11:$AJ11,"PL")</f>
        <v>0</v>
      </c>
      <c r="AN11" s="4">
        <f>COUNTIF(may!$F11:$AJ11,"LWP")</f>
        <v>0</v>
      </c>
      <c r="AO11" s="4">
        <f>COUNTIF(may!$F11:$AJ11,"HD")</f>
        <v>0</v>
      </c>
      <c r="AP11" s="4">
        <f>COUNTIF(may!$F11:$AJ11,"SL")</f>
        <v>0</v>
      </c>
      <c r="AQ11" s="4">
        <f>COUNTIF(may!$F11:$AJ11,"CL")</f>
        <v>0</v>
      </c>
      <c r="AR11" s="4">
        <f>COUNTIF(may!$F11:$AJ11,"A")</f>
        <v>0</v>
      </c>
      <c r="AS11" s="4">
        <f>COUNTIF(may!$F11:$AJ11,"P")</f>
        <v>24</v>
      </c>
      <c r="AT11" s="4">
        <f t="shared" si="2"/>
        <v>31</v>
      </c>
      <c r="AU11" s="4">
        <f t="shared" si="3"/>
        <v>31</v>
      </c>
      <c r="AV11" s="4">
        <f>SUMIFS(holly!$L$2:$L$122,holly!$I$2:$I$122,mar!$A11,holly!$K$2:$K$122,"Mar")</f>
        <v>0</v>
      </c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</row>
    <row r="12" spans="1:80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">
        <v>350</v>
      </c>
      <c r="G12" s="4" t="str">
        <f>IFERROR(LOOKUP(2,1/((lentry!$A$3:$A$3999=may!$A12)*(lentry!$B$3:$B$3999&lt;=may!G$3)*(lentry!$C$3:$C$3999&gt;=may!G$3)),lentry!$D$3:$D$3999),IF(WEEKDAY(may!G$3,1)=1,"WO","P"))</f>
        <v>P</v>
      </c>
      <c r="H12" s="4" t="str">
        <f>IFERROR(LOOKUP(2,1/((lentry!$A$3:$A$3999=may!$A12)*(lentry!$B$3:$B$3999&lt;=may!H$3)*(lentry!$C$3:$C$3999&gt;=may!H$3)),lentry!$D$3:$D$3999),IF(WEEKDAY(may!H$3,1)=1,"WO","P"))</f>
        <v>WO</v>
      </c>
      <c r="I12" s="4" t="str">
        <f>IFERROR(LOOKUP(2,1/((lentry!$A$3:$A$3999=may!$A12)*(lentry!$B$3:$B$3999&lt;=may!I$3)*(lentry!$C$3:$C$3999&gt;=may!I$3)),lentry!$D$3:$D$3999),IF(WEEKDAY(may!I$3,1)=1,"WO","P"))</f>
        <v>P</v>
      </c>
      <c r="J12" s="4" t="str">
        <f>IFERROR(LOOKUP(2,1/((lentry!$A$3:$A$3999=may!$A12)*(lentry!$B$3:$B$3999&lt;=may!J$3)*(lentry!$C$3:$C$3999&gt;=may!J$3)),lentry!$D$3:$D$3999),IF(WEEKDAY(may!J$3,1)=1,"WO","P"))</f>
        <v>P</v>
      </c>
      <c r="K12" s="4" t="str">
        <f>IFERROR(LOOKUP(2,1/((lentry!$A$3:$A$3999=may!$A12)*(lentry!$B$3:$B$3999&lt;=may!K$3)*(lentry!$C$3:$C$3999&gt;=may!K$3)),lentry!$D$3:$D$3999),IF(WEEKDAY(may!K$3,1)=1,"WO","P"))</f>
        <v>P</v>
      </c>
      <c r="L12" s="4" t="str">
        <f>IFERROR(LOOKUP(2,1/((lentry!$A$3:$A$3999=may!$A12)*(lentry!$B$3:$B$3999&lt;=may!L$3)*(lentry!$C$3:$C$3999&gt;=may!L$3)),lentry!$D$3:$D$3999),IF(WEEKDAY(may!L$3,1)=1,"WO","P"))</f>
        <v>P</v>
      </c>
      <c r="M12" s="4" t="str">
        <f>IFERROR(LOOKUP(2,1/((lentry!$A$3:$A$3999=may!$A12)*(lentry!$B$3:$B$3999&lt;=may!M$3)*(lentry!$C$3:$C$3999&gt;=may!M$3)),lentry!$D$3:$D$3999),IF(WEEKDAY(may!M$3,1)=1,"WO","P"))</f>
        <v>P</v>
      </c>
      <c r="N12" s="4" t="str">
        <f>IFERROR(LOOKUP(2,1/((lentry!$A$3:$A$3999=may!$A12)*(lentry!$B$3:$B$3999&lt;=may!N$3)*(lentry!$C$3:$C$3999&gt;=may!N$3)),lentry!$D$3:$D$3999),IF(WEEKDAY(may!N$3,1)=1,"WO","P"))</f>
        <v>P</v>
      </c>
      <c r="O12" s="4" t="str">
        <f>IFERROR(LOOKUP(2,1/((lentry!$A$3:$A$3999=may!$A12)*(lentry!$B$3:$B$3999&lt;=may!O$3)*(lentry!$C$3:$C$3999&gt;=may!O$3)),lentry!$D$3:$D$3999),IF(WEEKDAY(may!O$3,1)=1,"WO","P"))</f>
        <v>WO</v>
      </c>
      <c r="P12" s="4" t="str">
        <f>IFERROR(LOOKUP(2,1/((lentry!$A$3:$A$3999=may!$A12)*(lentry!$B$3:$B$3999&lt;=may!P$3)*(lentry!$C$3:$C$3999&gt;=may!P$3)),lentry!$D$3:$D$3999),IF(WEEKDAY(may!P$3,1)=1,"WO","P"))</f>
        <v>P</v>
      </c>
      <c r="Q12" s="4" t="str">
        <f>IFERROR(LOOKUP(2,1/((lentry!$A$3:$A$3999=may!$A12)*(lentry!$B$3:$B$3999&lt;=may!Q$3)*(lentry!$C$3:$C$3999&gt;=may!Q$3)),lentry!$D$3:$D$3999),IF(WEEKDAY(may!Q$3,1)=1,"WO","P"))</f>
        <v>P</v>
      </c>
      <c r="R12" s="4" t="str">
        <f>IFERROR(LOOKUP(2,1/((lentry!$A$3:$A$3999=may!$A12)*(lentry!$B$3:$B$3999&lt;=may!R$3)*(lentry!$C$3:$C$3999&gt;=may!R$3)),lentry!$D$3:$D$3999),IF(WEEKDAY(may!R$3,1)=1,"WO","P"))</f>
        <v>P</v>
      </c>
      <c r="S12" s="4" t="str">
        <f>IFERROR(LOOKUP(2,1/((lentry!$A$3:$A$3999=may!$A12)*(lentry!$B$3:$B$3999&lt;=may!S$3)*(lentry!$C$3:$C$3999&gt;=may!S$3)),lentry!$D$3:$D$3999),IF(WEEKDAY(may!S$3,1)=1,"WO","P"))</f>
        <v>PL</v>
      </c>
      <c r="T12" s="4" t="str">
        <f>IFERROR(LOOKUP(2,1/((lentry!$A$3:$A$3999=may!$A12)*(lentry!$B$3:$B$3999&lt;=may!T$3)*(lentry!$C$3:$C$3999&gt;=may!T$3)),lentry!$D$3:$D$3999),IF(WEEKDAY(may!T$3,1)=1,"WO","P"))</f>
        <v>P</v>
      </c>
      <c r="U12" s="4" t="str">
        <f>IFERROR(LOOKUP(2,1/((lentry!$A$3:$A$3999=may!$A12)*(lentry!$B$3:$B$3999&lt;=may!U$3)*(lentry!$C$3:$C$3999&gt;=may!U$3)),lentry!$D$3:$D$3999),IF(WEEKDAY(may!U$3,1)=1,"WO","P"))</f>
        <v>P</v>
      </c>
      <c r="V12" s="4" t="str">
        <f>IFERROR(LOOKUP(2,1/((lentry!$A$3:$A$3999=may!$A12)*(lentry!$B$3:$B$3999&lt;=may!V$3)*(lentry!$C$3:$C$3999&gt;=may!V$3)),lentry!$D$3:$D$3999),IF(WEEKDAY(may!V$3,1)=1,"WO","P"))</f>
        <v>WO</v>
      </c>
      <c r="W12" s="4" t="str">
        <f>IFERROR(LOOKUP(2,1/((lentry!$A$3:$A$3999=may!$A12)*(lentry!$B$3:$B$3999&lt;=may!W$3)*(lentry!$C$3:$C$3999&gt;=may!W$3)),lentry!$D$3:$D$3999),IF(WEEKDAY(may!W$3,1)=1,"WO","P"))</f>
        <v>P</v>
      </c>
      <c r="X12" s="4" t="str">
        <f>IFERROR(LOOKUP(2,1/((lentry!$A$3:$A$3999=may!$A12)*(lentry!$B$3:$B$3999&lt;=may!X$3)*(lentry!$C$3:$C$3999&gt;=may!X$3)),lentry!$D$3:$D$3999),IF(WEEKDAY(may!X$3,1)=1,"WO","P"))</f>
        <v>P</v>
      </c>
      <c r="Y12" s="4" t="str">
        <f>IFERROR(LOOKUP(2,1/((lentry!$A$3:$A$3999=may!$A12)*(lentry!$B$3:$B$3999&lt;=may!Y$3)*(lentry!$C$3:$C$3999&gt;=may!Y$3)),lentry!$D$3:$D$3999),IF(WEEKDAY(may!Y$3,1)=1,"WO","P"))</f>
        <v>P</v>
      </c>
      <c r="Z12" s="4" t="str">
        <f>IFERROR(LOOKUP(2,1/((lentry!$A$3:$A$3999=may!$A12)*(lentry!$B$3:$B$3999&lt;=may!Z$3)*(lentry!$C$3:$C$3999&gt;=may!Z$3)),lentry!$D$3:$D$3999),IF(WEEKDAY(may!Z$3,1)=1,"WO","P"))</f>
        <v>P</v>
      </c>
      <c r="AA12" s="4" t="str">
        <f>IFERROR(LOOKUP(2,1/((lentry!$A$3:$A$3999=may!$A12)*(lentry!$B$3:$B$3999&lt;=may!AA$3)*(lentry!$C$3:$C$3999&gt;=may!AA$3)),lentry!$D$3:$D$3999),IF(WEEKDAY(may!AA$3,1)=1,"WO","P"))</f>
        <v>P</v>
      </c>
      <c r="AB12" s="4" t="str">
        <f>IFERROR(LOOKUP(2,1/((lentry!$A$3:$A$3999=may!$A12)*(lentry!$B$3:$B$3999&lt;=may!AB$3)*(lentry!$C$3:$C$3999&gt;=may!AB$3)),lentry!$D$3:$D$3999),IF(WEEKDAY(may!AB$3,1)=1,"WO","P"))</f>
        <v>P</v>
      </c>
      <c r="AC12" s="4" t="str">
        <f>IFERROR(LOOKUP(2,1/((lentry!$A$3:$A$3999=may!$A12)*(lentry!$B$3:$B$3999&lt;=may!AC$3)*(lentry!$C$3:$C$3999&gt;=may!AC$3)),lentry!$D$3:$D$3999),IF(WEEKDAY(may!AC$3,1)=1,"WO","P"))</f>
        <v>WO</v>
      </c>
      <c r="AD12" s="4" t="str">
        <f>IFERROR(LOOKUP(2,1/((lentry!$A$3:$A$3999=may!$A12)*(lentry!$B$3:$B$3999&lt;=may!AD$3)*(lentry!$C$3:$C$3999&gt;=may!AD$3)),lentry!$D$3:$D$3999),IF(WEEKDAY(may!AD$3,1)=1,"WO","P"))</f>
        <v>P</v>
      </c>
      <c r="AE12" s="4" t="str">
        <f>IFERROR(LOOKUP(2,1/((lentry!$A$3:$A$3999=may!$A12)*(lentry!$B$3:$B$3999&lt;=may!AE$3)*(lentry!$C$3:$C$3999&gt;=may!AE$3)),lentry!$D$3:$D$3999),IF(WEEKDAY(may!AE$3,1)=1,"WO","P"))</f>
        <v>P</v>
      </c>
      <c r="AF12" s="4" t="s">
        <v>350</v>
      </c>
      <c r="AG12" s="4" t="str">
        <f>IFERROR(LOOKUP(2,1/((lentry!$A$3:$A$3999=may!$A12)*(lentry!$B$3:$B$3999&lt;=may!AG$3)*(lentry!$C$3:$C$3999&gt;=may!AG$3)),lentry!$D$3:$D$3999),IF(WEEKDAY(may!AG$3,1)=1,"WO","P"))</f>
        <v>P</v>
      </c>
      <c r="AH12" s="4" t="str">
        <f>IFERROR(LOOKUP(2,1/((lentry!$A$3:$A$3999=may!$A12)*(lentry!$B$3:$B$3999&lt;=may!AH$3)*(lentry!$C$3:$C$3999&gt;=may!AH$3)),lentry!$D$3:$D$3999),IF(WEEKDAY(may!AH$3,1)=1,"WO","P"))</f>
        <v>P</v>
      </c>
      <c r="AI12" s="4" t="str">
        <f>IFERROR(LOOKUP(2,1/((lentry!$A$3:$A$3999=may!$A12)*(lentry!$B$3:$B$3999&lt;=may!AI$3)*(lentry!$C$3:$C$3999&gt;=may!AI$3)),lentry!$D$3:$D$3999),IF(WEEKDAY(may!AI$3,1)=1,"WO","P"))</f>
        <v>P</v>
      </c>
      <c r="AJ12" s="4" t="str">
        <f>IFERROR(LOOKUP(2,1/((lentry!$A$3:$A$3999=may!$A12)*(lentry!$B$3:$B$3999&lt;=may!AJ$3)*(lentry!$C$3:$C$3999&gt;=may!AJ$3)),lentry!$D$3:$D$3999),IF(WEEKDAY(may!AJ$3,1)=1,"WO","P"))</f>
        <v>WO</v>
      </c>
      <c r="AK12" s="4">
        <f>COUNTIF(may!$F12:$AJ12,"WO")</f>
        <v>5</v>
      </c>
      <c r="AL12" s="4">
        <f>COUNTIF(may!$F12:$AJ12,"H")</f>
        <v>2</v>
      </c>
      <c r="AM12" s="4">
        <f>COUNTIF(may!$F12:$AJ12,"PL")</f>
        <v>1</v>
      </c>
      <c r="AN12" s="4">
        <f>COUNTIF(may!$F12:$AJ12,"LWP")</f>
        <v>0</v>
      </c>
      <c r="AO12" s="4">
        <f>COUNTIF(may!$F12:$AJ12,"HD")</f>
        <v>0</v>
      </c>
      <c r="AP12" s="4">
        <f>COUNTIF(may!$F12:$AJ12,"SL")</f>
        <v>0</v>
      </c>
      <c r="AQ12" s="4">
        <f>COUNTIF(may!$F12:$AJ12,"CL")</f>
        <v>0</v>
      </c>
      <c r="AR12" s="4">
        <f>COUNTIF(may!$F12:$AJ12,"A")</f>
        <v>0</v>
      </c>
      <c r="AS12" s="4">
        <f>COUNTIF(may!$F12:$AJ12,"P")</f>
        <v>23</v>
      </c>
      <c r="AT12" s="4">
        <f t="shared" si="2"/>
        <v>31</v>
      </c>
      <c r="AU12" s="4">
        <f t="shared" si="3"/>
        <v>31</v>
      </c>
      <c r="AV12" s="4">
        <f>SUMIFS(holly!$L$2:$L$122,holly!$I$2:$I$122,mar!$A12,holly!$K$2:$K$122,"Mar")</f>
        <v>0</v>
      </c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</row>
    <row r="13" spans="1:80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">
        <v>350</v>
      </c>
      <c r="G13" s="4" t="str">
        <f>IFERROR(LOOKUP(2,1/((lentry!$A$3:$A$3999=may!$A13)*(lentry!$B$3:$B$3999&lt;=may!G$3)*(lentry!$C$3:$C$3999&gt;=may!G$3)),lentry!$D$3:$D$3999),IF(WEEKDAY(may!G$3,1)=1,"WO","P"))</f>
        <v>P</v>
      </c>
      <c r="H13" s="4" t="str">
        <f>IFERROR(LOOKUP(2,1/((lentry!$A$3:$A$3999=may!$A13)*(lentry!$B$3:$B$3999&lt;=may!H$3)*(lentry!$C$3:$C$3999&gt;=may!H$3)),lentry!$D$3:$D$3999),IF(WEEKDAY(may!H$3,1)=1,"WO","P"))</f>
        <v>WO</v>
      </c>
      <c r="I13" s="4" t="str">
        <f>IFERROR(LOOKUP(2,1/((lentry!$A$3:$A$3999=may!$A13)*(lentry!$B$3:$B$3999&lt;=may!I$3)*(lentry!$C$3:$C$3999&gt;=may!I$3)),lentry!$D$3:$D$3999),IF(WEEKDAY(may!I$3,1)=1,"WO","P"))</f>
        <v>P</v>
      </c>
      <c r="J13" s="4" t="str">
        <f>IFERROR(LOOKUP(2,1/((lentry!$A$3:$A$3999=may!$A13)*(lentry!$B$3:$B$3999&lt;=may!J$3)*(lentry!$C$3:$C$3999&gt;=may!J$3)),lentry!$D$3:$D$3999),IF(WEEKDAY(may!J$3,1)=1,"WO","P"))</f>
        <v>P</v>
      </c>
      <c r="K13" s="4" t="str">
        <f>IFERROR(LOOKUP(2,1/((lentry!$A$3:$A$3999=may!$A13)*(lentry!$B$3:$B$3999&lt;=may!K$3)*(lentry!$C$3:$C$3999&gt;=may!K$3)),lentry!$D$3:$D$3999),IF(WEEKDAY(may!K$3,1)=1,"WO","P"))</f>
        <v>P</v>
      </c>
      <c r="L13" s="4" t="str">
        <f>IFERROR(LOOKUP(2,1/((lentry!$A$3:$A$3999=may!$A13)*(lentry!$B$3:$B$3999&lt;=may!L$3)*(lentry!$C$3:$C$3999&gt;=may!L$3)),lentry!$D$3:$D$3999),IF(WEEKDAY(may!L$3,1)=1,"WO","P"))</f>
        <v>P</v>
      </c>
      <c r="M13" s="4" t="str">
        <f>IFERROR(LOOKUP(2,1/((lentry!$A$3:$A$3999=may!$A13)*(lentry!$B$3:$B$3999&lt;=may!M$3)*(lentry!$C$3:$C$3999&gt;=may!M$3)),lentry!$D$3:$D$3999),IF(WEEKDAY(may!M$3,1)=1,"WO","P"))</f>
        <v>P</v>
      </c>
      <c r="N13" s="4" t="str">
        <f>IFERROR(LOOKUP(2,1/((lentry!$A$3:$A$3999=may!$A13)*(lentry!$B$3:$B$3999&lt;=may!N$3)*(lentry!$C$3:$C$3999&gt;=may!N$3)),lentry!$D$3:$D$3999),IF(WEEKDAY(may!N$3,1)=1,"WO","P"))</f>
        <v>P</v>
      </c>
      <c r="O13" s="4" t="str">
        <f>IFERROR(LOOKUP(2,1/((lentry!$A$3:$A$3999=may!$A13)*(lentry!$B$3:$B$3999&lt;=may!O$3)*(lentry!$C$3:$C$3999&gt;=may!O$3)),lentry!$D$3:$D$3999),IF(WEEKDAY(may!O$3,1)=1,"WO","P"))</f>
        <v>WO</v>
      </c>
      <c r="P13" s="4" t="str">
        <f>IFERROR(LOOKUP(2,1/((lentry!$A$3:$A$3999=may!$A13)*(lentry!$B$3:$B$3999&lt;=may!P$3)*(lentry!$C$3:$C$3999&gt;=may!P$3)),lentry!$D$3:$D$3999),IF(WEEKDAY(may!P$3,1)=1,"WO","P"))</f>
        <v>P</v>
      </c>
      <c r="Q13" s="4" t="str">
        <f>IFERROR(LOOKUP(2,1/((lentry!$A$3:$A$3999=may!$A13)*(lentry!$B$3:$B$3999&lt;=may!Q$3)*(lentry!$C$3:$C$3999&gt;=may!Q$3)),lentry!$D$3:$D$3999),IF(WEEKDAY(may!Q$3,1)=1,"WO","P"))</f>
        <v>P</v>
      </c>
      <c r="R13" s="4" t="str">
        <f>IFERROR(LOOKUP(2,1/((lentry!$A$3:$A$3999=may!$A13)*(lentry!$B$3:$B$3999&lt;=may!R$3)*(lentry!$C$3:$C$3999&gt;=may!R$3)),lentry!$D$3:$D$3999),IF(WEEKDAY(may!R$3,1)=1,"WO","P"))</f>
        <v>P</v>
      </c>
      <c r="S13" s="4" t="str">
        <f>IFERROR(LOOKUP(2,1/((lentry!$A$3:$A$3999=may!$A13)*(lentry!$B$3:$B$3999&lt;=may!S$3)*(lentry!$C$3:$C$3999&gt;=may!S$3)),lentry!$D$3:$D$3999),IF(WEEKDAY(may!S$3,1)=1,"WO","P"))</f>
        <v>P</v>
      </c>
      <c r="T13" s="4" t="str">
        <f>IFERROR(LOOKUP(2,1/((lentry!$A$3:$A$3999=may!$A13)*(lentry!$B$3:$B$3999&lt;=may!T$3)*(lentry!$C$3:$C$3999&gt;=may!T$3)),lentry!$D$3:$D$3999),IF(WEEKDAY(may!T$3,1)=1,"WO","P"))</f>
        <v>P</v>
      </c>
      <c r="U13" s="4" t="str">
        <f>IFERROR(LOOKUP(2,1/((lentry!$A$3:$A$3999=may!$A13)*(lentry!$B$3:$B$3999&lt;=may!U$3)*(lentry!$C$3:$C$3999&gt;=may!U$3)),lentry!$D$3:$D$3999),IF(WEEKDAY(may!U$3,1)=1,"WO","P"))</f>
        <v>P</v>
      </c>
      <c r="V13" s="4" t="str">
        <f>IFERROR(LOOKUP(2,1/((lentry!$A$3:$A$3999=may!$A13)*(lentry!$B$3:$B$3999&lt;=may!V$3)*(lentry!$C$3:$C$3999&gt;=may!V$3)),lentry!$D$3:$D$3999),IF(WEEKDAY(may!V$3,1)=1,"WO","P"))</f>
        <v>WO</v>
      </c>
      <c r="W13" s="4" t="str">
        <f>IFERROR(LOOKUP(2,1/((lentry!$A$3:$A$3999=may!$A13)*(lentry!$B$3:$B$3999&lt;=may!W$3)*(lentry!$C$3:$C$3999&gt;=may!W$3)),lentry!$D$3:$D$3999),IF(WEEKDAY(may!W$3,1)=1,"WO","P"))</f>
        <v>P</v>
      </c>
      <c r="X13" s="4" t="str">
        <f>IFERROR(LOOKUP(2,1/((lentry!$A$3:$A$3999=may!$A13)*(lentry!$B$3:$B$3999&lt;=may!X$3)*(lentry!$C$3:$C$3999&gt;=may!X$3)),lentry!$D$3:$D$3999),IF(WEEKDAY(may!X$3,1)=1,"WO","P"))</f>
        <v>P</v>
      </c>
      <c r="Y13" s="4" t="str">
        <f>IFERROR(LOOKUP(2,1/((lentry!$A$3:$A$3999=may!$A13)*(lentry!$B$3:$B$3999&lt;=may!Y$3)*(lentry!$C$3:$C$3999&gt;=may!Y$3)),lentry!$D$3:$D$3999),IF(WEEKDAY(may!Y$3,1)=1,"WO","P"))</f>
        <v>P</v>
      </c>
      <c r="Z13" s="4" t="str">
        <f>IFERROR(LOOKUP(2,1/((lentry!$A$3:$A$3999=may!$A13)*(lentry!$B$3:$B$3999&lt;=may!Z$3)*(lentry!$C$3:$C$3999&gt;=may!Z$3)),lentry!$D$3:$D$3999),IF(WEEKDAY(may!Z$3,1)=1,"WO","P"))</f>
        <v>P</v>
      </c>
      <c r="AA13" s="4" t="str">
        <f>IFERROR(LOOKUP(2,1/((lentry!$A$3:$A$3999=may!$A13)*(lentry!$B$3:$B$3999&lt;=may!AA$3)*(lentry!$C$3:$C$3999&gt;=may!AA$3)),lentry!$D$3:$D$3999),IF(WEEKDAY(may!AA$3,1)=1,"WO","P"))</f>
        <v>P</v>
      </c>
      <c r="AB13" s="4" t="str">
        <f>IFERROR(LOOKUP(2,1/((lentry!$A$3:$A$3999=may!$A13)*(lentry!$B$3:$B$3999&lt;=may!AB$3)*(lentry!$C$3:$C$3999&gt;=may!AB$3)),lentry!$D$3:$D$3999),IF(WEEKDAY(may!AB$3,1)=1,"WO","P"))</f>
        <v>P</v>
      </c>
      <c r="AC13" s="4" t="str">
        <f>IFERROR(LOOKUP(2,1/((lentry!$A$3:$A$3999=may!$A13)*(lentry!$B$3:$B$3999&lt;=may!AC$3)*(lentry!$C$3:$C$3999&gt;=may!AC$3)),lentry!$D$3:$D$3999),IF(WEEKDAY(may!AC$3,1)=1,"WO","P"))</f>
        <v>WO</v>
      </c>
      <c r="AD13" s="4" t="str">
        <f>IFERROR(LOOKUP(2,1/((lentry!$A$3:$A$3999=may!$A13)*(lentry!$B$3:$B$3999&lt;=may!AD$3)*(lentry!$C$3:$C$3999&gt;=may!AD$3)),lentry!$D$3:$D$3999),IF(WEEKDAY(may!AD$3,1)=1,"WO","P"))</f>
        <v>P</v>
      </c>
      <c r="AE13" s="4" t="str">
        <f>IFERROR(LOOKUP(2,1/((lentry!$A$3:$A$3999=may!$A13)*(lentry!$B$3:$B$3999&lt;=may!AE$3)*(lentry!$C$3:$C$3999&gt;=may!AE$3)),lentry!$D$3:$D$3999),IF(WEEKDAY(may!AE$3,1)=1,"WO","P"))</f>
        <v>P</v>
      </c>
      <c r="AF13" s="4" t="s">
        <v>350</v>
      </c>
      <c r="AG13" s="4" t="str">
        <f>IFERROR(LOOKUP(2,1/((lentry!$A$3:$A$3999=may!$A13)*(lentry!$B$3:$B$3999&lt;=may!AG$3)*(lentry!$C$3:$C$3999&gt;=may!AG$3)),lentry!$D$3:$D$3999),IF(WEEKDAY(may!AG$3,1)=1,"WO","P"))</f>
        <v>P</v>
      </c>
      <c r="AH13" s="4" t="s">
        <v>539</v>
      </c>
      <c r="AI13" s="4" t="str">
        <f>IFERROR(LOOKUP(2,1/((lentry!$A$3:$A$3999=may!$A13)*(lentry!$B$3:$B$3999&lt;=may!AI$3)*(lentry!$C$3:$C$3999&gt;=may!AI$3)),lentry!$D$3:$D$3999),IF(WEEKDAY(may!AI$3,1)=1,"WO","P"))</f>
        <v>P</v>
      </c>
      <c r="AJ13" s="4" t="str">
        <f>IFERROR(LOOKUP(2,1/((lentry!$A$3:$A$3999=may!$A13)*(lentry!$B$3:$B$3999&lt;=may!AJ$3)*(lentry!$C$3:$C$3999&gt;=may!AJ$3)),lentry!$D$3:$D$3999),IF(WEEKDAY(may!AJ$3,1)=1,"WO","P"))</f>
        <v>WO</v>
      </c>
      <c r="AK13" s="4">
        <f>COUNTIF(may!$F13:$AJ13,"WO")</f>
        <v>5</v>
      </c>
      <c r="AL13" s="4">
        <f>COUNTIF(may!$F13:$AJ13,"H")</f>
        <v>2</v>
      </c>
      <c r="AM13" s="4">
        <f>COUNTIF(may!$F13:$AJ13,"PL")</f>
        <v>0</v>
      </c>
      <c r="AN13" s="4">
        <f>COUNTIF(may!$F13:$AJ13,"LWP")</f>
        <v>0</v>
      </c>
      <c r="AO13" s="4">
        <f>COUNTIF(may!$F13:$AJ13,"HD")</f>
        <v>0</v>
      </c>
      <c r="AP13" s="4">
        <f>COUNTIF(may!$F13:$AJ13,"SL")</f>
        <v>0</v>
      </c>
      <c r="AQ13" s="4">
        <f>COUNTIF(may!$F13:$AJ13,"CL")</f>
        <v>0</v>
      </c>
      <c r="AR13" s="4">
        <f>COUNTIF(may!$F13:$AJ13,"A")</f>
        <v>1</v>
      </c>
      <c r="AS13" s="4">
        <f>COUNTIF(may!$F13:$AJ13,"P")</f>
        <v>23</v>
      </c>
      <c r="AT13" s="4">
        <f t="shared" si="2"/>
        <v>31</v>
      </c>
      <c r="AU13" s="4">
        <f t="shared" si="3"/>
        <v>30</v>
      </c>
      <c r="AV13" s="4">
        <f>SUMIFS(holly!$L$2:$L$122,holly!$I$2:$I$122,mar!$A13,holly!$K$2:$K$122,"Mar")</f>
        <v>0</v>
      </c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</row>
    <row r="14" spans="1:80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">
        <v>350</v>
      </c>
      <c r="G14" s="4" t="str">
        <f>IFERROR(LOOKUP(2,1/((lentry!$A$3:$A$3999=may!$A14)*(lentry!$B$3:$B$3999&lt;=may!G$3)*(lentry!$C$3:$C$3999&gt;=may!G$3)),lentry!$D$3:$D$3999),IF(WEEKDAY(may!G$3,1)=1,"WO","P"))</f>
        <v>P</v>
      </c>
      <c r="H14" s="4" t="str">
        <f>IFERROR(LOOKUP(2,1/((lentry!$A$3:$A$3999=may!$A14)*(lentry!$B$3:$B$3999&lt;=may!H$3)*(lentry!$C$3:$C$3999&gt;=may!H$3)),lentry!$D$3:$D$3999),IF(WEEKDAY(may!H$3,1)=1,"WO","P"))</f>
        <v>WO</v>
      </c>
      <c r="I14" s="4" t="str">
        <f>IFERROR(LOOKUP(2,1/((lentry!$A$3:$A$3999=may!$A14)*(lentry!$B$3:$B$3999&lt;=may!I$3)*(lentry!$C$3:$C$3999&gt;=may!I$3)),lentry!$D$3:$D$3999),IF(WEEKDAY(may!I$3,1)=1,"WO","P"))</f>
        <v>P</v>
      </c>
      <c r="J14" s="4" t="str">
        <f>IFERROR(LOOKUP(2,1/((lentry!$A$3:$A$3999=may!$A14)*(lentry!$B$3:$B$3999&lt;=may!J$3)*(lentry!$C$3:$C$3999&gt;=may!J$3)),lentry!$D$3:$D$3999),IF(WEEKDAY(may!J$3,1)=1,"WO","P"))</f>
        <v>P</v>
      </c>
      <c r="K14" s="4" t="str">
        <f>IFERROR(LOOKUP(2,1/((lentry!$A$3:$A$3999=may!$A14)*(lentry!$B$3:$B$3999&lt;=may!K$3)*(lentry!$C$3:$C$3999&gt;=may!K$3)),lentry!$D$3:$D$3999),IF(WEEKDAY(may!K$3,1)=1,"WO","P"))</f>
        <v>P</v>
      </c>
      <c r="L14" s="4" t="str">
        <f>IFERROR(LOOKUP(2,1/((lentry!$A$3:$A$3999=may!$A14)*(lentry!$B$3:$B$3999&lt;=may!L$3)*(lentry!$C$3:$C$3999&gt;=may!L$3)),lentry!$D$3:$D$3999),IF(WEEKDAY(may!L$3,1)=1,"WO","P"))</f>
        <v>P</v>
      </c>
      <c r="M14" s="4" t="str">
        <f>IFERROR(LOOKUP(2,1/((lentry!$A$3:$A$3999=may!$A14)*(lentry!$B$3:$B$3999&lt;=may!M$3)*(lentry!$C$3:$C$3999&gt;=may!M$3)),lentry!$D$3:$D$3999),IF(WEEKDAY(may!M$3,1)=1,"WO","P"))</f>
        <v>P</v>
      </c>
      <c r="N14" s="4" t="str">
        <f>IFERROR(LOOKUP(2,1/((lentry!$A$3:$A$3999=may!$A14)*(lentry!$B$3:$B$3999&lt;=may!N$3)*(lentry!$C$3:$C$3999&gt;=may!N$3)),lentry!$D$3:$D$3999),IF(WEEKDAY(may!N$3,1)=1,"WO","P"))</f>
        <v>P</v>
      </c>
      <c r="O14" s="4" t="str">
        <f>IFERROR(LOOKUP(2,1/((lentry!$A$3:$A$3999=may!$A14)*(lentry!$B$3:$B$3999&lt;=may!O$3)*(lentry!$C$3:$C$3999&gt;=may!O$3)),lentry!$D$3:$D$3999),IF(WEEKDAY(may!O$3,1)=1,"WO","P"))</f>
        <v>WO</v>
      </c>
      <c r="P14" s="4" t="str">
        <f>IFERROR(LOOKUP(2,1/((lentry!$A$3:$A$3999=may!$A14)*(lentry!$B$3:$B$3999&lt;=may!P$3)*(lentry!$C$3:$C$3999&gt;=may!P$3)),lentry!$D$3:$D$3999),IF(WEEKDAY(may!P$3,1)=1,"WO","P"))</f>
        <v>P</v>
      </c>
      <c r="Q14" s="4" t="str">
        <f>IFERROR(LOOKUP(2,1/((lentry!$A$3:$A$3999=may!$A14)*(lentry!$B$3:$B$3999&lt;=may!Q$3)*(lentry!$C$3:$C$3999&gt;=may!Q$3)),lentry!$D$3:$D$3999),IF(WEEKDAY(may!Q$3,1)=1,"WO","P"))</f>
        <v>P</v>
      </c>
      <c r="R14" s="4" t="str">
        <f>IFERROR(LOOKUP(2,1/((lentry!$A$3:$A$3999=may!$A14)*(lentry!$B$3:$B$3999&lt;=may!R$3)*(lentry!$C$3:$C$3999&gt;=may!R$3)),lentry!$D$3:$D$3999),IF(WEEKDAY(may!R$3,1)=1,"WO","P"))</f>
        <v>P</v>
      </c>
      <c r="S14" s="4" t="str">
        <f>IFERROR(LOOKUP(2,1/((lentry!$A$3:$A$3999=may!$A14)*(lentry!$B$3:$B$3999&lt;=may!S$3)*(lentry!$C$3:$C$3999&gt;=may!S$3)),lentry!$D$3:$D$3999),IF(WEEKDAY(may!S$3,1)=1,"WO","P"))</f>
        <v>P</v>
      </c>
      <c r="T14" s="4" t="str">
        <f>IFERROR(LOOKUP(2,1/((lentry!$A$3:$A$3999=may!$A14)*(lentry!$B$3:$B$3999&lt;=may!T$3)*(lentry!$C$3:$C$3999&gt;=may!T$3)),lentry!$D$3:$D$3999),IF(WEEKDAY(may!T$3,1)=1,"WO","P"))</f>
        <v>P</v>
      </c>
      <c r="U14" s="4" t="str">
        <f>IFERROR(LOOKUP(2,1/((lentry!$A$3:$A$3999=may!$A14)*(lentry!$B$3:$B$3999&lt;=may!U$3)*(lentry!$C$3:$C$3999&gt;=may!U$3)),lentry!$D$3:$D$3999),IF(WEEKDAY(may!U$3,1)=1,"WO","P"))</f>
        <v>P</v>
      </c>
      <c r="V14" s="4" t="str">
        <f>IFERROR(LOOKUP(2,1/((lentry!$A$3:$A$3999=may!$A14)*(lentry!$B$3:$B$3999&lt;=may!V$3)*(lentry!$C$3:$C$3999&gt;=may!V$3)),lentry!$D$3:$D$3999),IF(WEEKDAY(may!V$3,1)=1,"WO","P"))</f>
        <v>WO</v>
      </c>
      <c r="W14" s="4" t="s">
        <v>539</v>
      </c>
      <c r="X14" s="4" t="str">
        <f>IFERROR(LOOKUP(2,1/((lentry!$A$3:$A$3999=may!$A14)*(lentry!$B$3:$B$3999&lt;=may!X$3)*(lentry!$C$3:$C$3999&gt;=may!X$3)),lentry!$D$3:$D$3999),IF(WEEKDAY(may!X$3,1)=1,"WO","P"))</f>
        <v>P</v>
      </c>
      <c r="Y14" s="4" t="str">
        <f>IFERROR(LOOKUP(2,1/((lentry!$A$3:$A$3999=may!$A14)*(lentry!$B$3:$B$3999&lt;=may!Y$3)*(lentry!$C$3:$C$3999&gt;=may!Y$3)),lentry!$D$3:$D$3999),IF(WEEKDAY(may!Y$3,1)=1,"WO","P"))</f>
        <v>P</v>
      </c>
      <c r="Z14" s="4" t="str">
        <f>IFERROR(LOOKUP(2,1/((lentry!$A$3:$A$3999=may!$A14)*(lentry!$B$3:$B$3999&lt;=may!Z$3)*(lentry!$C$3:$C$3999&gt;=may!Z$3)),lentry!$D$3:$D$3999),IF(WEEKDAY(may!Z$3,1)=1,"WO","P"))</f>
        <v>P</v>
      </c>
      <c r="AA14" s="4" t="str">
        <f>IFERROR(LOOKUP(2,1/((lentry!$A$3:$A$3999=may!$A14)*(lentry!$B$3:$B$3999&lt;=may!AA$3)*(lentry!$C$3:$C$3999&gt;=may!AA$3)),lentry!$D$3:$D$3999),IF(WEEKDAY(may!AA$3,1)=1,"WO","P"))</f>
        <v>P</v>
      </c>
      <c r="AB14" s="4" t="str">
        <f>IFERROR(LOOKUP(2,1/((lentry!$A$3:$A$3999=may!$A14)*(lentry!$B$3:$B$3999&lt;=may!AB$3)*(lentry!$C$3:$C$3999&gt;=may!AB$3)),lentry!$D$3:$D$3999),IF(WEEKDAY(may!AB$3,1)=1,"WO","P"))</f>
        <v>P</v>
      </c>
      <c r="AC14" s="4" t="str">
        <f>IFERROR(LOOKUP(2,1/((lentry!$A$3:$A$3999=may!$A14)*(lentry!$B$3:$B$3999&lt;=may!AC$3)*(lentry!$C$3:$C$3999&gt;=may!AC$3)),lentry!$D$3:$D$3999),IF(WEEKDAY(may!AC$3,1)=1,"WO","P"))</f>
        <v>WO</v>
      </c>
      <c r="AD14" s="4" t="str">
        <f>IFERROR(LOOKUP(2,1/((lentry!$A$3:$A$3999=may!$A14)*(lentry!$B$3:$B$3999&lt;=may!AD$3)*(lentry!$C$3:$C$3999&gt;=may!AD$3)),lentry!$D$3:$D$3999),IF(WEEKDAY(may!AD$3,1)=1,"WO","P"))</f>
        <v>P</v>
      </c>
      <c r="AE14" s="4" t="str">
        <f>IFERROR(LOOKUP(2,1/((lentry!$A$3:$A$3999=may!$A14)*(lentry!$B$3:$B$3999&lt;=may!AE$3)*(lentry!$C$3:$C$3999&gt;=may!AE$3)),lentry!$D$3:$D$3999),IF(WEEKDAY(may!AE$3,1)=1,"WO","P"))</f>
        <v>P</v>
      </c>
      <c r="AF14" s="4" t="s">
        <v>350</v>
      </c>
      <c r="AG14" s="4" t="str">
        <f>IFERROR(LOOKUP(2,1/((lentry!$A$3:$A$3999=may!$A14)*(lentry!$B$3:$B$3999&lt;=may!AG$3)*(lentry!$C$3:$C$3999&gt;=may!AG$3)),lentry!$D$3:$D$3999),IF(WEEKDAY(may!AG$3,1)=1,"WO","P"))</f>
        <v>P</v>
      </c>
      <c r="AH14" s="4" t="str">
        <f>IFERROR(LOOKUP(2,1/((lentry!$A$3:$A$3999=may!$A14)*(lentry!$B$3:$B$3999&lt;=may!AH$3)*(lentry!$C$3:$C$3999&gt;=may!AH$3)),lentry!$D$3:$D$3999),IF(WEEKDAY(may!AH$3,1)=1,"WO","P"))</f>
        <v>P</v>
      </c>
      <c r="AI14" s="4" t="str">
        <f>IFERROR(LOOKUP(2,1/((lentry!$A$3:$A$3999=may!$A14)*(lentry!$B$3:$B$3999&lt;=may!AI$3)*(lentry!$C$3:$C$3999&gt;=may!AI$3)),lentry!$D$3:$D$3999),IF(WEEKDAY(may!AI$3,1)=1,"WO","P"))</f>
        <v>P</v>
      </c>
      <c r="AJ14" s="4" t="str">
        <f>IFERROR(LOOKUP(2,1/((lentry!$A$3:$A$3999=may!$A14)*(lentry!$B$3:$B$3999&lt;=may!AJ$3)*(lentry!$C$3:$C$3999&gt;=may!AJ$3)),lentry!$D$3:$D$3999),IF(WEEKDAY(may!AJ$3,1)=1,"WO","P"))</f>
        <v>WO</v>
      </c>
      <c r="AK14" s="4">
        <f>COUNTIF(may!$F14:$AJ14,"WO")</f>
        <v>5</v>
      </c>
      <c r="AL14" s="4">
        <f>COUNTIF(may!$F14:$AJ14,"H")</f>
        <v>2</v>
      </c>
      <c r="AM14" s="4">
        <f>COUNTIF(may!$F14:$AJ14,"PL")</f>
        <v>0</v>
      </c>
      <c r="AN14" s="4">
        <f>COUNTIF(may!$F14:$AJ14,"LWP")</f>
        <v>0</v>
      </c>
      <c r="AO14" s="4">
        <f>COUNTIF(may!$F14:$AJ14,"HD")</f>
        <v>0</v>
      </c>
      <c r="AP14" s="4">
        <f>COUNTIF(may!$F14:$AJ14,"SL")</f>
        <v>0</v>
      </c>
      <c r="AQ14" s="4">
        <f>COUNTIF(may!$F14:$AJ14,"CL")</f>
        <v>0</v>
      </c>
      <c r="AR14" s="4">
        <f>COUNTIF(may!$F14:$AJ14,"A")</f>
        <v>1</v>
      </c>
      <c r="AS14" s="4">
        <f>COUNTIF(may!$F14:$AJ14,"P")</f>
        <v>23</v>
      </c>
      <c r="AT14" s="4">
        <f t="shared" si="2"/>
        <v>31</v>
      </c>
      <c r="AU14" s="4">
        <f t="shared" si="3"/>
        <v>30</v>
      </c>
      <c r="AV14" s="4">
        <f>SUMIFS(holly!$L$2:$L$122,holly!$I$2:$I$122,mar!$A14,holly!$K$2:$K$122,"Mar")</f>
        <v>4</v>
      </c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</row>
    <row r="15" spans="1:80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">
        <v>350</v>
      </c>
      <c r="G15" s="4" t="str">
        <f>IFERROR(LOOKUP(2,1/((lentry!$A$3:$A$3999=may!$A15)*(lentry!$B$3:$B$3999&lt;=may!G$3)*(lentry!$C$3:$C$3999&gt;=may!G$3)),lentry!$D$3:$D$3999),IF(WEEKDAY(may!G$3,1)=1,"WO","P"))</f>
        <v>P</v>
      </c>
      <c r="H15" s="4" t="str">
        <f>IFERROR(LOOKUP(2,1/((lentry!$A$3:$A$3999=may!$A15)*(lentry!$B$3:$B$3999&lt;=may!H$3)*(lentry!$C$3:$C$3999&gt;=may!H$3)),lentry!$D$3:$D$3999),IF(WEEKDAY(may!H$3,1)=1,"WO","P"))</f>
        <v>WO</v>
      </c>
      <c r="I15" s="4" t="str">
        <f>IFERROR(LOOKUP(2,1/((lentry!$A$3:$A$3999=may!$A15)*(lentry!$B$3:$B$3999&lt;=may!I$3)*(lentry!$C$3:$C$3999&gt;=may!I$3)),lentry!$D$3:$D$3999),IF(WEEKDAY(may!I$3,1)=1,"WO","P"))</f>
        <v>P</v>
      </c>
      <c r="J15" s="4" t="s">
        <v>539</v>
      </c>
      <c r="K15" s="4" t="str">
        <f>IFERROR(LOOKUP(2,1/((lentry!$A$3:$A$3999=may!$A15)*(lentry!$B$3:$B$3999&lt;=may!K$3)*(lentry!$C$3:$C$3999&gt;=may!K$3)),lentry!$D$3:$D$3999),IF(WEEKDAY(may!K$3,1)=1,"WO","P"))</f>
        <v>P</v>
      </c>
      <c r="L15" s="4" t="str">
        <f>IFERROR(LOOKUP(2,1/((lentry!$A$3:$A$3999=may!$A15)*(lentry!$B$3:$B$3999&lt;=may!L$3)*(lentry!$C$3:$C$3999&gt;=may!L$3)),lentry!$D$3:$D$3999),IF(WEEKDAY(may!L$3,1)=1,"WO","P"))</f>
        <v>P</v>
      </c>
      <c r="M15" s="4" t="str">
        <f>IFERROR(LOOKUP(2,1/((lentry!$A$3:$A$3999=may!$A15)*(lentry!$B$3:$B$3999&lt;=may!M$3)*(lentry!$C$3:$C$3999&gt;=may!M$3)),lentry!$D$3:$D$3999),IF(WEEKDAY(may!M$3,1)=1,"WO","P"))</f>
        <v>P</v>
      </c>
      <c r="N15" s="4" t="str">
        <f>IFERROR(LOOKUP(2,1/((lentry!$A$3:$A$3999=may!$A15)*(lentry!$B$3:$B$3999&lt;=may!N$3)*(lentry!$C$3:$C$3999&gt;=may!N$3)),lentry!$D$3:$D$3999),IF(WEEKDAY(may!N$3,1)=1,"WO","P"))</f>
        <v>P</v>
      </c>
      <c r="O15" s="4" t="str">
        <f>IFERROR(LOOKUP(2,1/((lentry!$A$3:$A$3999=may!$A15)*(lentry!$B$3:$B$3999&lt;=may!O$3)*(lentry!$C$3:$C$3999&gt;=may!O$3)),lentry!$D$3:$D$3999),IF(WEEKDAY(may!O$3,1)=1,"WO","P"))</f>
        <v>WO</v>
      </c>
      <c r="P15" s="4" t="str">
        <f>IFERROR(LOOKUP(2,1/((lentry!$A$3:$A$3999=may!$A15)*(lentry!$B$3:$B$3999&lt;=may!P$3)*(lentry!$C$3:$C$3999&gt;=may!P$3)),lentry!$D$3:$D$3999),IF(WEEKDAY(may!P$3,1)=1,"WO","P"))</f>
        <v>P</v>
      </c>
      <c r="Q15" s="4" t="s">
        <v>539</v>
      </c>
      <c r="R15" s="4" t="str">
        <f>IFERROR(LOOKUP(2,1/((lentry!$A$3:$A$3999=may!$A15)*(lentry!$B$3:$B$3999&lt;=may!R$3)*(lentry!$C$3:$C$3999&gt;=may!R$3)),lentry!$D$3:$D$3999),IF(WEEKDAY(may!R$3,1)=1,"WO","P"))</f>
        <v>P</v>
      </c>
      <c r="S15" s="4" t="str">
        <f>IFERROR(LOOKUP(2,1/((lentry!$A$3:$A$3999=may!$A15)*(lentry!$B$3:$B$3999&lt;=may!S$3)*(lentry!$C$3:$C$3999&gt;=may!S$3)),lentry!$D$3:$D$3999),IF(WEEKDAY(may!S$3,1)=1,"WO","P"))</f>
        <v>P</v>
      </c>
      <c r="T15" s="4" t="str">
        <f>IFERROR(LOOKUP(2,1/((lentry!$A$3:$A$3999=may!$A15)*(lentry!$B$3:$B$3999&lt;=may!T$3)*(lentry!$C$3:$C$3999&gt;=may!T$3)),lentry!$D$3:$D$3999),IF(WEEKDAY(may!T$3,1)=1,"WO","P"))</f>
        <v>P</v>
      </c>
      <c r="U15" s="4" t="str">
        <f>IFERROR(LOOKUP(2,1/((lentry!$A$3:$A$3999=may!$A15)*(lentry!$B$3:$B$3999&lt;=may!U$3)*(lentry!$C$3:$C$3999&gt;=may!U$3)),lentry!$D$3:$D$3999),IF(WEEKDAY(may!U$3,1)=1,"WO","P"))</f>
        <v>P</v>
      </c>
      <c r="V15" s="4" t="str">
        <f>IFERROR(LOOKUP(2,1/((lentry!$A$3:$A$3999=may!$A15)*(lentry!$B$3:$B$3999&lt;=may!V$3)*(lentry!$C$3:$C$3999&gt;=may!V$3)),lentry!$D$3:$D$3999),IF(WEEKDAY(may!V$3,1)=1,"WO","P"))</f>
        <v>WO</v>
      </c>
      <c r="W15" s="4" t="str">
        <f>IFERROR(LOOKUP(2,1/((lentry!$A$3:$A$3999=may!$A15)*(lentry!$B$3:$B$3999&lt;=may!W$3)*(lentry!$C$3:$C$3999&gt;=may!W$3)),lentry!$D$3:$D$3999),IF(WEEKDAY(may!W$3,1)=1,"WO","P"))</f>
        <v>P</v>
      </c>
      <c r="X15" s="4" t="str">
        <f>IFERROR(LOOKUP(2,1/((lentry!$A$3:$A$3999=may!$A15)*(lentry!$B$3:$B$3999&lt;=may!X$3)*(lentry!$C$3:$C$3999&gt;=may!X$3)),lentry!$D$3:$D$3999),IF(WEEKDAY(may!X$3,1)=1,"WO","P"))</f>
        <v>P</v>
      </c>
      <c r="Y15" s="4" t="str">
        <f>IFERROR(LOOKUP(2,1/((lentry!$A$3:$A$3999=may!$A15)*(lentry!$B$3:$B$3999&lt;=may!Y$3)*(lentry!$C$3:$C$3999&gt;=may!Y$3)),lentry!$D$3:$D$3999),IF(WEEKDAY(may!Y$3,1)=1,"WO","P"))</f>
        <v>P</v>
      </c>
      <c r="Z15" s="4" t="str">
        <f>IFERROR(LOOKUP(2,1/((lentry!$A$3:$A$3999=may!$A15)*(lentry!$B$3:$B$3999&lt;=may!Z$3)*(lentry!$C$3:$C$3999&gt;=may!Z$3)),lentry!$D$3:$D$3999),IF(WEEKDAY(may!Z$3,1)=1,"WO","P"))</f>
        <v>P</v>
      </c>
      <c r="AA15" s="4" t="str">
        <f>IFERROR(LOOKUP(2,1/((lentry!$A$3:$A$3999=may!$A15)*(lentry!$B$3:$B$3999&lt;=may!AA$3)*(lentry!$C$3:$C$3999&gt;=may!AA$3)),lentry!$D$3:$D$3999),IF(WEEKDAY(may!AA$3,1)=1,"WO","P"))</f>
        <v>P</v>
      </c>
      <c r="AB15" s="4" t="str">
        <f>IFERROR(LOOKUP(2,1/((lentry!$A$3:$A$3999=may!$A15)*(lentry!$B$3:$B$3999&lt;=may!AB$3)*(lentry!$C$3:$C$3999&gt;=may!AB$3)),lentry!$D$3:$D$3999),IF(WEEKDAY(may!AB$3,1)=1,"WO","P"))</f>
        <v>P</v>
      </c>
      <c r="AC15" s="4" t="str">
        <f>IFERROR(LOOKUP(2,1/((lentry!$A$3:$A$3999=may!$A15)*(lentry!$B$3:$B$3999&lt;=may!AC$3)*(lentry!$C$3:$C$3999&gt;=may!AC$3)),lentry!$D$3:$D$3999),IF(WEEKDAY(may!AC$3,1)=1,"WO","P"))</f>
        <v>WO</v>
      </c>
      <c r="AD15" s="4" t="str">
        <f>IFERROR(LOOKUP(2,1/((lentry!$A$3:$A$3999=may!$A15)*(lentry!$B$3:$B$3999&lt;=may!AD$3)*(lentry!$C$3:$C$3999&gt;=may!AD$3)),lentry!$D$3:$D$3999),IF(WEEKDAY(may!AD$3,1)=1,"WO","P"))</f>
        <v>P</v>
      </c>
      <c r="AE15" s="4" t="str">
        <f>IFERROR(LOOKUP(2,1/((lentry!$A$3:$A$3999=may!$A15)*(lentry!$B$3:$B$3999&lt;=may!AE$3)*(lentry!$C$3:$C$3999&gt;=may!AE$3)),lentry!$D$3:$D$3999),IF(WEEKDAY(may!AE$3,1)=1,"WO","P"))</f>
        <v>P</v>
      </c>
      <c r="AF15" s="4" t="s">
        <v>350</v>
      </c>
      <c r="AG15" s="4" t="str">
        <f>IFERROR(LOOKUP(2,1/((lentry!$A$3:$A$3999=may!$A15)*(lentry!$B$3:$B$3999&lt;=may!AG$3)*(lentry!$C$3:$C$3999&gt;=may!AG$3)),lentry!$D$3:$D$3999),IF(WEEKDAY(may!AG$3,1)=1,"WO","P"))</f>
        <v>P</v>
      </c>
      <c r="AH15" s="4" t="str">
        <f>IFERROR(LOOKUP(2,1/((lentry!$A$3:$A$3999=may!$A15)*(lentry!$B$3:$B$3999&lt;=may!AH$3)*(lentry!$C$3:$C$3999&gt;=may!AH$3)),lentry!$D$3:$D$3999),IF(WEEKDAY(may!AH$3,1)=1,"WO","P"))</f>
        <v>P</v>
      </c>
      <c r="AI15" s="4" t="str">
        <f>IFERROR(LOOKUP(2,1/((lentry!$A$3:$A$3999=may!$A15)*(lentry!$B$3:$B$3999&lt;=may!AI$3)*(lentry!$C$3:$C$3999&gt;=may!AI$3)),lentry!$D$3:$D$3999),IF(WEEKDAY(may!AI$3,1)=1,"WO","P"))</f>
        <v>P</v>
      </c>
      <c r="AJ15" s="4" t="str">
        <f>IFERROR(LOOKUP(2,1/((lentry!$A$3:$A$3999=may!$A15)*(lentry!$B$3:$B$3999&lt;=may!AJ$3)*(lentry!$C$3:$C$3999&gt;=may!AJ$3)),lentry!$D$3:$D$3999),IF(WEEKDAY(may!AJ$3,1)=1,"WO","P"))</f>
        <v>WO</v>
      </c>
      <c r="AK15" s="4">
        <f>COUNTIF(may!$F15:$AJ15,"WO")</f>
        <v>5</v>
      </c>
      <c r="AL15" s="4">
        <f>COUNTIF(may!$F15:$AJ15,"H")</f>
        <v>2</v>
      </c>
      <c r="AM15" s="4">
        <f>COUNTIF(may!$F15:$AJ15,"PL")</f>
        <v>0</v>
      </c>
      <c r="AN15" s="4">
        <f>COUNTIF(may!$F15:$AJ15,"LWP")</f>
        <v>0</v>
      </c>
      <c r="AO15" s="4">
        <f>COUNTIF(may!$F15:$AJ15,"HD")</f>
        <v>0</v>
      </c>
      <c r="AP15" s="4">
        <f>COUNTIF(may!$F15:$AJ15,"SL")</f>
        <v>0</v>
      </c>
      <c r="AQ15" s="4">
        <f>COUNTIF(may!$F15:$AJ15,"CL")</f>
        <v>0</v>
      </c>
      <c r="AR15" s="4">
        <f>COUNTIF(may!$F15:$AJ15,"A")</f>
        <v>2</v>
      </c>
      <c r="AS15" s="4">
        <f>COUNTIF(may!$F15:$AJ15,"P")</f>
        <v>22</v>
      </c>
      <c r="AT15" s="4">
        <f t="shared" si="2"/>
        <v>31</v>
      </c>
      <c r="AU15" s="4">
        <f t="shared" si="3"/>
        <v>29</v>
      </c>
      <c r="AV15" s="4">
        <f>SUMIFS(holly!$L$2:$L$122,holly!$I$2:$I$122,mar!$A15,holly!$K$2:$K$122,"Mar")</f>
        <v>1</v>
      </c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</row>
    <row r="16" spans="1:80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">
        <v>350</v>
      </c>
      <c r="G16" s="4" t="str">
        <f>IFERROR(LOOKUP(2,1/((lentry!$A$3:$A$3999=may!$A16)*(lentry!$B$3:$B$3999&lt;=may!G$3)*(lentry!$C$3:$C$3999&gt;=may!G$3)),lentry!$D$3:$D$3999),IF(WEEKDAY(may!G$3,1)=1,"WO","P"))</f>
        <v>P</v>
      </c>
      <c r="H16" s="4" t="str">
        <f>IFERROR(LOOKUP(2,1/((lentry!$A$3:$A$3999=may!$A16)*(lentry!$B$3:$B$3999&lt;=may!H$3)*(lentry!$C$3:$C$3999&gt;=may!H$3)),lentry!$D$3:$D$3999),IF(WEEKDAY(may!H$3,1)=1,"WO","P"))</f>
        <v>WO</v>
      </c>
      <c r="I16" s="4" t="str">
        <f>IFERROR(LOOKUP(2,1/((lentry!$A$3:$A$3999=may!$A16)*(lentry!$B$3:$B$3999&lt;=may!I$3)*(lentry!$C$3:$C$3999&gt;=may!I$3)),lentry!$D$3:$D$3999),IF(WEEKDAY(may!I$3,1)=1,"WO","P"))</f>
        <v>P</v>
      </c>
      <c r="J16" s="4" t="str">
        <f>IFERROR(LOOKUP(2,1/((lentry!$A$3:$A$3999=may!$A16)*(lentry!$B$3:$B$3999&lt;=may!J$3)*(lentry!$C$3:$C$3999&gt;=may!J$3)),lentry!$D$3:$D$3999),IF(WEEKDAY(may!J$3,1)=1,"WO","P"))</f>
        <v>P</v>
      </c>
      <c r="K16" s="4" t="str">
        <f>IFERROR(LOOKUP(2,1/((lentry!$A$3:$A$3999=may!$A16)*(lentry!$B$3:$B$3999&lt;=may!K$3)*(lentry!$C$3:$C$3999&gt;=may!K$3)),lentry!$D$3:$D$3999),IF(WEEKDAY(may!K$3,1)=1,"WO","P"))</f>
        <v>P</v>
      </c>
      <c r="L16" s="4" t="str">
        <f>IFERROR(LOOKUP(2,1/((lentry!$A$3:$A$3999=may!$A16)*(lentry!$B$3:$B$3999&lt;=may!L$3)*(lentry!$C$3:$C$3999&gt;=may!L$3)),lentry!$D$3:$D$3999),IF(WEEKDAY(may!L$3,1)=1,"WO","P"))</f>
        <v>P</v>
      </c>
      <c r="M16" s="4" t="str">
        <f>IFERROR(LOOKUP(2,1/((lentry!$A$3:$A$3999=may!$A16)*(lentry!$B$3:$B$3999&lt;=may!M$3)*(lentry!$C$3:$C$3999&gt;=may!M$3)),lentry!$D$3:$D$3999),IF(WEEKDAY(may!M$3,1)=1,"WO","P"))</f>
        <v>P</v>
      </c>
      <c r="N16" s="4" t="str">
        <f>IFERROR(LOOKUP(2,1/((lentry!$A$3:$A$3999=may!$A16)*(lentry!$B$3:$B$3999&lt;=may!N$3)*(lentry!$C$3:$C$3999&gt;=may!N$3)),lentry!$D$3:$D$3999),IF(WEEKDAY(may!N$3,1)=1,"WO","P"))</f>
        <v>P</v>
      </c>
      <c r="O16" s="4" t="str">
        <f>IFERROR(LOOKUP(2,1/((lentry!$A$3:$A$3999=may!$A16)*(lentry!$B$3:$B$3999&lt;=may!O$3)*(lentry!$C$3:$C$3999&gt;=may!O$3)),lentry!$D$3:$D$3999),IF(WEEKDAY(may!O$3,1)=1,"WO","P"))</f>
        <v>WO</v>
      </c>
      <c r="P16" s="4" t="str">
        <f>IFERROR(LOOKUP(2,1/((lentry!$A$3:$A$3999=may!$A16)*(lentry!$B$3:$B$3999&lt;=may!P$3)*(lentry!$C$3:$C$3999&gt;=may!P$3)),lentry!$D$3:$D$3999),IF(WEEKDAY(may!P$3,1)=1,"WO","P"))</f>
        <v>P</v>
      </c>
      <c r="Q16" s="4" t="str">
        <f>IFERROR(LOOKUP(2,1/((lentry!$A$3:$A$3999=may!$A16)*(lentry!$B$3:$B$3999&lt;=may!Q$3)*(lentry!$C$3:$C$3999&gt;=may!Q$3)),lentry!$D$3:$D$3999),IF(WEEKDAY(may!Q$3,1)=1,"WO","P"))</f>
        <v>P</v>
      </c>
      <c r="R16" s="4" t="str">
        <f>IFERROR(LOOKUP(2,1/((lentry!$A$3:$A$3999=may!$A16)*(lentry!$B$3:$B$3999&lt;=may!R$3)*(lentry!$C$3:$C$3999&gt;=may!R$3)),lentry!$D$3:$D$3999),IF(WEEKDAY(may!R$3,1)=1,"WO","P"))</f>
        <v>P</v>
      </c>
      <c r="S16" s="4" t="str">
        <f>IFERROR(LOOKUP(2,1/((lentry!$A$3:$A$3999=may!$A16)*(lentry!$B$3:$B$3999&lt;=may!S$3)*(lentry!$C$3:$C$3999&gt;=may!S$3)),lentry!$D$3:$D$3999),IF(WEEKDAY(may!S$3,1)=1,"WO","P"))</f>
        <v>P</v>
      </c>
      <c r="T16" s="4" t="str">
        <f>IFERROR(LOOKUP(2,1/((lentry!$A$3:$A$3999=may!$A16)*(lentry!$B$3:$B$3999&lt;=may!T$3)*(lentry!$C$3:$C$3999&gt;=may!T$3)),lentry!$D$3:$D$3999),IF(WEEKDAY(may!T$3,1)=1,"WO","P"))</f>
        <v>P</v>
      </c>
      <c r="U16" s="4" t="str">
        <f>IFERROR(LOOKUP(2,1/((lentry!$A$3:$A$3999=may!$A16)*(lentry!$B$3:$B$3999&lt;=may!U$3)*(lentry!$C$3:$C$3999&gt;=may!U$3)),lentry!$D$3:$D$3999),IF(WEEKDAY(may!U$3,1)=1,"WO","P"))</f>
        <v>P</v>
      </c>
      <c r="V16" s="4" t="str">
        <f>IFERROR(LOOKUP(2,1/((lentry!$A$3:$A$3999=may!$A16)*(lentry!$B$3:$B$3999&lt;=may!V$3)*(lentry!$C$3:$C$3999&gt;=may!V$3)),lentry!$D$3:$D$3999),IF(WEEKDAY(may!V$3,1)=1,"WO","P"))</f>
        <v>WO</v>
      </c>
      <c r="W16" s="4" t="str">
        <f>IFERROR(LOOKUP(2,1/((lentry!$A$3:$A$3999=may!$A16)*(lentry!$B$3:$B$3999&lt;=may!W$3)*(lentry!$C$3:$C$3999&gt;=may!W$3)),lentry!$D$3:$D$3999),IF(WEEKDAY(may!W$3,1)=1,"WO","P"))</f>
        <v>P</v>
      </c>
      <c r="X16" s="4" t="str">
        <f>IFERROR(LOOKUP(2,1/((lentry!$A$3:$A$3999=may!$A16)*(lentry!$B$3:$B$3999&lt;=may!X$3)*(lentry!$C$3:$C$3999&gt;=may!X$3)),lentry!$D$3:$D$3999),IF(WEEKDAY(may!X$3,1)=1,"WO","P"))</f>
        <v>P</v>
      </c>
      <c r="Y16" s="4" t="str">
        <f>IFERROR(LOOKUP(2,1/((lentry!$A$3:$A$3999=may!$A16)*(lentry!$B$3:$B$3999&lt;=may!Y$3)*(lentry!$C$3:$C$3999&gt;=may!Y$3)),lentry!$D$3:$D$3999),IF(WEEKDAY(may!Y$3,1)=1,"WO","P"))</f>
        <v>P</v>
      </c>
      <c r="Z16" s="4" t="str">
        <f>IFERROR(LOOKUP(2,1/((lentry!$A$3:$A$3999=may!$A16)*(lentry!$B$3:$B$3999&lt;=may!Z$3)*(lentry!$C$3:$C$3999&gt;=may!Z$3)),lentry!$D$3:$D$3999),IF(WEEKDAY(may!Z$3,1)=1,"WO","P"))</f>
        <v>P</v>
      </c>
      <c r="AA16" s="4" t="str">
        <f>IFERROR(LOOKUP(2,1/((lentry!$A$3:$A$3999=may!$A16)*(lentry!$B$3:$B$3999&lt;=may!AA$3)*(lentry!$C$3:$C$3999&gt;=may!AA$3)),lentry!$D$3:$D$3999),IF(WEEKDAY(may!AA$3,1)=1,"WO","P"))</f>
        <v>P</v>
      </c>
      <c r="AB16" s="4" t="str">
        <f>IFERROR(LOOKUP(2,1/((lentry!$A$3:$A$3999=may!$A16)*(lentry!$B$3:$B$3999&lt;=may!AB$3)*(lentry!$C$3:$C$3999&gt;=may!AB$3)),lentry!$D$3:$D$3999),IF(WEEKDAY(may!AB$3,1)=1,"WO","P"))</f>
        <v>P</v>
      </c>
      <c r="AC16" s="4" t="str">
        <f>IFERROR(LOOKUP(2,1/((lentry!$A$3:$A$3999=may!$A16)*(lentry!$B$3:$B$3999&lt;=may!AC$3)*(lentry!$C$3:$C$3999&gt;=may!AC$3)),lentry!$D$3:$D$3999),IF(WEEKDAY(may!AC$3,1)=1,"WO","P"))</f>
        <v>WO</v>
      </c>
      <c r="AD16" s="4" t="str">
        <f>IFERROR(LOOKUP(2,1/((lentry!$A$3:$A$3999=may!$A16)*(lentry!$B$3:$B$3999&lt;=may!AD$3)*(lentry!$C$3:$C$3999&gt;=may!AD$3)),lentry!$D$3:$D$3999),IF(WEEKDAY(may!AD$3,1)=1,"WO","P"))</f>
        <v>P</v>
      </c>
      <c r="AE16" s="4" t="str">
        <f>IFERROR(LOOKUP(2,1/((lentry!$A$3:$A$3999=may!$A16)*(lentry!$B$3:$B$3999&lt;=may!AE$3)*(lentry!$C$3:$C$3999&gt;=may!AE$3)),lentry!$D$3:$D$3999),IF(WEEKDAY(may!AE$3,1)=1,"WO","P"))</f>
        <v>P</v>
      </c>
      <c r="AF16" s="4" t="s">
        <v>350</v>
      </c>
      <c r="AG16" s="4" t="str">
        <f>IFERROR(LOOKUP(2,1/((lentry!$A$3:$A$3999=may!$A16)*(lentry!$B$3:$B$3999&lt;=may!AG$3)*(lentry!$C$3:$C$3999&gt;=may!AG$3)),lentry!$D$3:$D$3999),IF(WEEKDAY(may!AG$3,1)=1,"WO","P"))</f>
        <v>P</v>
      </c>
      <c r="AH16" s="4" t="str">
        <f>IFERROR(LOOKUP(2,1/((lentry!$A$3:$A$3999=may!$A16)*(lentry!$B$3:$B$3999&lt;=may!AH$3)*(lentry!$C$3:$C$3999&gt;=may!AH$3)),lentry!$D$3:$D$3999),IF(WEEKDAY(may!AH$3,1)=1,"WO","P"))</f>
        <v>P</v>
      </c>
      <c r="AI16" s="4" t="str">
        <f>IFERROR(LOOKUP(2,1/((lentry!$A$3:$A$3999=may!$A16)*(lentry!$B$3:$B$3999&lt;=may!AI$3)*(lentry!$C$3:$C$3999&gt;=may!AI$3)),lentry!$D$3:$D$3999),IF(WEEKDAY(may!AI$3,1)=1,"WO","P"))</f>
        <v>P</v>
      </c>
      <c r="AJ16" s="4" t="str">
        <f>IFERROR(LOOKUP(2,1/((lentry!$A$3:$A$3999=may!$A16)*(lentry!$B$3:$B$3999&lt;=may!AJ$3)*(lentry!$C$3:$C$3999&gt;=may!AJ$3)),lentry!$D$3:$D$3999),IF(WEEKDAY(may!AJ$3,1)=1,"WO","P"))</f>
        <v>WO</v>
      </c>
      <c r="AK16" s="4">
        <f>COUNTIF(may!$F16:$AJ16,"WO")</f>
        <v>5</v>
      </c>
      <c r="AL16" s="4">
        <f>COUNTIF(may!$F16:$AJ16,"H")</f>
        <v>2</v>
      </c>
      <c r="AM16" s="4">
        <f>COUNTIF(may!$F16:$AJ16,"PL")</f>
        <v>0</v>
      </c>
      <c r="AN16" s="4">
        <f>COUNTIF(may!$F16:$AJ16,"LWP")</f>
        <v>0</v>
      </c>
      <c r="AO16" s="4">
        <f>COUNTIF(may!$F16:$AJ16,"HD")</f>
        <v>0</v>
      </c>
      <c r="AP16" s="4">
        <f>COUNTIF(may!$F16:$AJ16,"SL")</f>
        <v>0</v>
      </c>
      <c r="AQ16" s="4">
        <f>COUNTIF(may!$F16:$AJ16,"CL")</f>
        <v>0</v>
      </c>
      <c r="AR16" s="4">
        <f>COUNTIF(may!$F16:$AJ16,"A")</f>
        <v>0</v>
      </c>
      <c r="AS16" s="4">
        <f>COUNTIF(may!$F16:$AJ16,"P")</f>
        <v>24</v>
      </c>
      <c r="AT16" s="4">
        <f t="shared" si="2"/>
        <v>31</v>
      </c>
      <c r="AU16" s="4">
        <f t="shared" si="3"/>
        <v>31</v>
      </c>
      <c r="AV16" s="4">
        <f>SUMIFS(holly!$L$2:$L$122,holly!$I$2:$I$122,mar!$A16,holly!$K$2:$K$122,"Mar")</f>
        <v>0</v>
      </c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</row>
    <row r="17" spans="1:80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">
        <v>350</v>
      </c>
      <c r="G17" s="4" t="str">
        <f>IFERROR(LOOKUP(2,1/((lentry!$A$3:$A$3999=may!$A17)*(lentry!$B$3:$B$3999&lt;=may!G$3)*(lentry!$C$3:$C$3999&gt;=may!G$3)),lentry!$D$3:$D$3999),IF(WEEKDAY(may!G$3,1)=1,"WO","P"))</f>
        <v>P</v>
      </c>
      <c r="H17" s="4" t="str">
        <f>IFERROR(LOOKUP(2,1/((lentry!$A$3:$A$3999=may!$A17)*(lentry!$B$3:$B$3999&lt;=may!H$3)*(lentry!$C$3:$C$3999&gt;=may!H$3)),lentry!$D$3:$D$3999),IF(WEEKDAY(may!H$3,1)=1,"WO","P"))</f>
        <v>WO</v>
      </c>
      <c r="I17" s="4" t="str">
        <f>IFERROR(LOOKUP(2,1/((lentry!$A$3:$A$3999=may!$A17)*(lentry!$B$3:$B$3999&lt;=may!I$3)*(lentry!$C$3:$C$3999&gt;=may!I$3)),lentry!$D$3:$D$3999),IF(WEEKDAY(may!I$3,1)=1,"WO","P"))</f>
        <v>P</v>
      </c>
      <c r="J17" s="4" t="str">
        <f>IFERROR(LOOKUP(2,1/((lentry!$A$3:$A$3999=may!$A17)*(lentry!$B$3:$B$3999&lt;=may!J$3)*(lentry!$C$3:$C$3999&gt;=may!J$3)),lentry!$D$3:$D$3999),IF(WEEKDAY(may!J$3,1)=1,"WO","P"))</f>
        <v>P</v>
      </c>
      <c r="K17" s="4" t="str">
        <f>IFERROR(LOOKUP(2,1/((lentry!$A$3:$A$3999=may!$A17)*(lentry!$B$3:$B$3999&lt;=may!K$3)*(lentry!$C$3:$C$3999&gt;=may!K$3)),lentry!$D$3:$D$3999),IF(WEEKDAY(may!K$3,1)=1,"WO","P"))</f>
        <v>P</v>
      </c>
      <c r="L17" s="4" t="str">
        <f>IFERROR(LOOKUP(2,1/((lentry!$A$3:$A$3999=may!$A17)*(lentry!$B$3:$B$3999&lt;=may!L$3)*(lentry!$C$3:$C$3999&gt;=may!L$3)),lentry!$D$3:$D$3999),IF(WEEKDAY(may!L$3,1)=1,"WO","P"))</f>
        <v>P</v>
      </c>
      <c r="M17" s="4" t="str">
        <f>IFERROR(LOOKUP(2,1/((lentry!$A$3:$A$3999=may!$A17)*(lentry!$B$3:$B$3999&lt;=may!M$3)*(lentry!$C$3:$C$3999&gt;=may!M$3)),lentry!$D$3:$D$3999),IF(WEEKDAY(may!M$3,1)=1,"WO","P"))</f>
        <v>P</v>
      </c>
      <c r="N17" s="4" t="str">
        <f>IFERROR(LOOKUP(2,1/((lentry!$A$3:$A$3999=may!$A17)*(lentry!$B$3:$B$3999&lt;=may!N$3)*(lentry!$C$3:$C$3999&gt;=may!N$3)),lentry!$D$3:$D$3999),IF(WEEKDAY(may!N$3,1)=1,"WO","P"))</f>
        <v>P</v>
      </c>
      <c r="O17" s="4" t="str">
        <f>IFERROR(LOOKUP(2,1/((lentry!$A$3:$A$3999=may!$A17)*(lentry!$B$3:$B$3999&lt;=may!O$3)*(lentry!$C$3:$C$3999&gt;=may!O$3)),lentry!$D$3:$D$3999),IF(WEEKDAY(may!O$3,1)=1,"WO","P"))</f>
        <v>WO</v>
      </c>
      <c r="P17" s="4" t="str">
        <f>IFERROR(LOOKUP(2,1/((lentry!$A$3:$A$3999=may!$A17)*(lentry!$B$3:$B$3999&lt;=may!P$3)*(lentry!$C$3:$C$3999&gt;=may!P$3)),lentry!$D$3:$D$3999),IF(WEEKDAY(may!P$3,1)=1,"WO","P"))</f>
        <v>P</v>
      </c>
      <c r="Q17" s="4" t="str">
        <f>IFERROR(LOOKUP(2,1/((lentry!$A$3:$A$3999=may!$A17)*(lentry!$B$3:$B$3999&lt;=may!Q$3)*(lentry!$C$3:$C$3999&gt;=may!Q$3)),lentry!$D$3:$D$3999),IF(WEEKDAY(may!Q$3,1)=1,"WO","P"))</f>
        <v>P</v>
      </c>
      <c r="R17" s="4" t="str">
        <f>IFERROR(LOOKUP(2,1/((lentry!$A$3:$A$3999=may!$A17)*(lentry!$B$3:$B$3999&lt;=may!R$3)*(lentry!$C$3:$C$3999&gt;=may!R$3)),lentry!$D$3:$D$3999),IF(WEEKDAY(may!R$3,1)=1,"WO","P"))</f>
        <v>P</v>
      </c>
      <c r="S17" s="4" t="str">
        <f>IFERROR(LOOKUP(2,1/((lentry!$A$3:$A$3999=may!$A17)*(lentry!$B$3:$B$3999&lt;=may!S$3)*(lentry!$C$3:$C$3999&gt;=may!S$3)),lentry!$D$3:$D$3999),IF(WEEKDAY(may!S$3,1)=1,"WO","P"))</f>
        <v>P</v>
      </c>
      <c r="T17" s="4" t="str">
        <f>IFERROR(LOOKUP(2,1/((lentry!$A$3:$A$3999=may!$A17)*(lentry!$B$3:$B$3999&lt;=may!T$3)*(lentry!$C$3:$C$3999&gt;=may!T$3)),lentry!$D$3:$D$3999),IF(WEEKDAY(may!T$3,1)=1,"WO","P"))</f>
        <v>P</v>
      </c>
      <c r="U17" s="4" t="str">
        <f>IFERROR(LOOKUP(2,1/((lentry!$A$3:$A$3999=may!$A17)*(lentry!$B$3:$B$3999&lt;=may!U$3)*(lentry!$C$3:$C$3999&gt;=may!U$3)),lentry!$D$3:$D$3999),IF(WEEKDAY(may!U$3,1)=1,"WO","P"))</f>
        <v>P</v>
      </c>
      <c r="V17" s="4" t="str">
        <f>IFERROR(LOOKUP(2,1/((lentry!$A$3:$A$3999=may!$A17)*(lentry!$B$3:$B$3999&lt;=may!V$3)*(lentry!$C$3:$C$3999&gt;=may!V$3)),lentry!$D$3:$D$3999),IF(WEEKDAY(may!V$3,1)=1,"WO","P"))</f>
        <v>WO</v>
      </c>
      <c r="W17" s="4" t="str">
        <f>IFERROR(LOOKUP(2,1/((lentry!$A$3:$A$3999=may!$A17)*(lentry!$B$3:$B$3999&lt;=may!W$3)*(lentry!$C$3:$C$3999&gt;=may!W$3)),lentry!$D$3:$D$3999),IF(WEEKDAY(may!W$3,1)=1,"WO","P"))</f>
        <v>P</v>
      </c>
      <c r="X17" s="4" t="str">
        <f>IFERROR(LOOKUP(2,1/((lentry!$A$3:$A$3999=may!$A17)*(lentry!$B$3:$B$3999&lt;=may!X$3)*(lentry!$C$3:$C$3999&gt;=may!X$3)),lentry!$D$3:$D$3999),IF(WEEKDAY(may!X$3,1)=1,"WO","P"))</f>
        <v>P</v>
      </c>
      <c r="Y17" s="4" t="str">
        <f>IFERROR(LOOKUP(2,1/((lentry!$A$3:$A$3999=may!$A17)*(lentry!$B$3:$B$3999&lt;=may!Y$3)*(lentry!$C$3:$C$3999&gt;=may!Y$3)),lentry!$D$3:$D$3999),IF(WEEKDAY(may!Y$3,1)=1,"WO","P"))</f>
        <v>P</v>
      </c>
      <c r="Z17" s="4" t="s">
        <v>539</v>
      </c>
      <c r="AA17" s="4" t="str">
        <f>IFERROR(LOOKUP(2,1/((lentry!$A$3:$A$3999=may!$A17)*(lentry!$B$3:$B$3999&lt;=may!AA$3)*(lentry!$C$3:$C$3999&gt;=may!AA$3)),lentry!$D$3:$D$3999),IF(WEEKDAY(may!AA$3,1)=1,"WO","P"))</f>
        <v>P</v>
      </c>
      <c r="AB17" s="4" t="str">
        <f>IFERROR(LOOKUP(2,1/((lentry!$A$3:$A$3999=may!$A17)*(lentry!$B$3:$B$3999&lt;=may!AB$3)*(lentry!$C$3:$C$3999&gt;=may!AB$3)),lentry!$D$3:$D$3999),IF(WEEKDAY(may!AB$3,1)=1,"WO","P"))</f>
        <v>P</v>
      </c>
      <c r="AC17" s="4" t="str">
        <f>IFERROR(LOOKUP(2,1/((lentry!$A$3:$A$3999=may!$A17)*(lentry!$B$3:$B$3999&lt;=may!AC$3)*(lentry!$C$3:$C$3999&gt;=may!AC$3)),lentry!$D$3:$D$3999),IF(WEEKDAY(may!AC$3,1)=1,"WO","P"))</f>
        <v>WO</v>
      </c>
      <c r="AD17" s="4" t="str">
        <f>IFERROR(LOOKUP(2,1/((lentry!$A$3:$A$3999=may!$A17)*(lentry!$B$3:$B$3999&lt;=may!AD$3)*(lentry!$C$3:$C$3999&gt;=may!AD$3)),lentry!$D$3:$D$3999),IF(WEEKDAY(may!AD$3,1)=1,"WO","P"))</f>
        <v>P</v>
      </c>
      <c r="AE17" s="4" t="str">
        <f>IFERROR(LOOKUP(2,1/((lentry!$A$3:$A$3999=may!$A17)*(lentry!$B$3:$B$3999&lt;=may!AE$3)*(lentry!$C$3:$C$3999&gt;=may!AE$3)),lentry!$D$3:$D$3999),IF(WEEKDAY(may!AE$3,1)=1,"WO","P"))</f>
        <v>P</v>
      </c>
      <c r="AF17" s="4" t="s">
        <v>350</v>
      </c>
      <c r="AG17" s="4" t="str">
        <f>IFERROR(LOOKUP(2,1/((lentry!$A$3:$A$3999=may!$A17)*(lentry!$B$3:$B$3999&lt;=may!AG$3)*(lentry!$C$3:$C$3999&gt;=may!AG$3)),lentry!$D$3:$D$3999),IF(WEEKDAY(may!AG$3,1)=1,"WO","P"))</f>
        <v>P</v>
      </c>
      <c r="AH17" s="4" t="str">
        <f>IFERROR(LOOKUP(2,1/((lentry!$A$3:$A$3999=may!$A17)*(lentry!$B$3:$B$3999&lt;=may!AH$3)*(lentry!$C$3:$C$3999&gt;=may!AH$3)),lentry!$D$3:$D$3999),IF(WEEKDAY(may!AH$3,1)=1,"WO","P"))</f>
        <v>P</v>
      </c>
      <c r="AI17" s="4" t="str">
        <f>IFERROR(LOOKUP(2,1/((lentry!$A$3:$A$3999=may!$A17)*(lentry!$B$3:$B$3999&lt;=may!AI$3)*(lentry!$C$3:$C$3999&gt;=may!AI$3)),lentry!$D$3:$D$3999),IF(WEEKDAY(may!AI$3,1)=1,"WO","P"))</f>
        <v>P</v>
      </c>
      <c r="AJ17" s="4" t="str">
        <f>IFERROR(LOOKUP(2,1/((lentry!$A$3:$A$3999=may!$A17)*(lentry!$B$3:$B$3999&lt;=may!AJ$3)*(lentry!$C$3:$C$3999&gt;=may!AJ$3)),lentry!$D$3:$D$3999),IF(WEEKDAY(may!AJ$3,1)=1,"WO","P"))</f>
        <v>WO</v>
      </c>
      <c r="AK17" s="4">
        <f>COUNTIF(may!$F17:$AJ17,"WO")</f>
        <v>5</v>
      </c>
      <c r="AL17" s="4">
        <f>COUNTIF(may!$F17:$AJ17,"H")</f>
        <v>2</v>
      </c>
      <c r="AM17" s="4">
        <f>COUNTIF(may!$F17:$AJ17,"PL")</f>
        <v>0</v>
      </c>
      <c r="AN17" s="4">
        <f>COUNTIF(may!$F17:$AJ17,"LWP")</f>
        <v>0</v>
      </c>
      <c r="AO17" s="4">
        <f>COUNTIF(may!$F17:$AJ17,"HD")</f>
        <v>0</v>
      </c>
      <c r="AP17" s="4">
        <f>COUNTIF(may!$F17:$AJ17,"SL")</f>
        <v>0</v>
      </c>
      <c r="AQ17" s="4">
        <f>COUNTIF(may!$F17:$AJ17,"CL")</f>
        <v>0</v>
      </c>
      <c r="AR17" s="4">
        <f>COUNTIF(may!$F17:$AJ17,"A")</f>
        <v>1</v>
      </c>
      <c r="AS17" s="4">
        <f>COUNTIF(may!$F17:$AJ17,"P")</f>
        <v>23</v>
      </c>
      <c r="AT17" s="4">
        <f t="shared" si="2"/>
        <v>31</v>
      </c>
      <c r="AU17" s="4">
        <f t="shared" si="3"/>
        <v>30</v>
      </c>
      <c r="AV17" s="4">
        <f>SUMIFS(holly!$L$2:$L$122,holly!$I$2:$I$122,mar!$A17,holly!$K$2:$K$122,"Mar")</f>
        <v>0</v>
      </c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</row>
    <row r="18" spans="1:80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">
        <v>350</v>
      </c>
      <c r="G18" s="4" t="str">
        <f>IFERROR(LOOKUP(2,1/((lentry!$A$3:$A$3999=may!$A18)*(lentry!$B$3:$B$3999&lt;=may!G$3)*(lentry!$C$3:$C$3999&gt;=may!G$3)),lentry!$D$3:$D$3999),IF(WEEKDAY(may!G$3,1)=1,"WO","P"))</f>
        <v>P</v>
      </c>
      <c r="H18" s="4" t="str">
        <f>IFERROR(LOOKUP(2,1/((lentry!$A$3:$A$3999=may!$A18)*(lentry!$B$3:$B$3999&lt;=may!H$3)*(lentry!$C$3:$C$3999&gt;=may!H$3)),lentry!$D$3:$D$3999),IF(WEEKDAY(may!H$3,1)=1,"WO","P"))</f>
        <v>WO</v>
      </c>
      <c r="I18" s="4" t="str">
        <f>IFERROR(LOOKUP(2,1/((lentry!$A$3:$A$3999=may!$A18)*(lentry!$B$3:$B$3999&lt;=may!I$3)*(lentry!$C$3:$C$3999&gt;=may!I$3)),lentry!$D$3:$D$3999),IF(WEEKDAY(may!I$3,1)=1,"WO","P"))</f>
        <v>P</v>
      </c>
      <c r="J18" s="4" t="str">
        <f>IFERROR(LOOKUP(2,1/((lentry!$A$3:$A$3999=may!$A18)*(lentry!$B$3:$B$3999&lt;=may!J$3)*(lentry!$C$3:$C$3999&gt;=may!J$3)),lentry!$D$3:$D$3999),IF(WEEKDAY(may!J$3,1)=1,"WO","P"))</f>
        <v>P</v>
      </c>
      <c r="K18" s="4" t="str">
        <f>IFERROR(LOOKUP(2,1/((lentry!$A$3:$A$3999=may!$A18)*(lentry!$B$3:$B$3999&lt;=may!K$3)*(lentry!$C$3:$C$3999&gt;=may!K$3)),lentry!$D$3:$D$3999),IF(WEEKDAY(may!K$3,1)=1,"WO","P"))</f>
        <v>P</v>
      </c>
      <c r="L18" s="4" t="str">
        <f>IFERROR(LOOKUP(2,1/((lentry!$A$3:$A$3999=may!$A18)*(lentry!$B$3:$B$3999&lt;=may!L$3)*(lentry!$C$3:$C$3999&gt;=may!L$3)),lentry!$D$3:$D$3999),IF(WEEKDAY(may!L$3,1)=1,"WO","P"))</f>
        <v>P</v>
      </c>
      <c r="M18" s="4" t="str">
        <f>IFERROR(LOOKUP(2,1/((lentry!$A$3:$A$3999=may!$A18)*(lentry!$B$3:$B$3999&lt;=may!M$3)*(lentry!$C$3:$C$3999&gt;=may!M$3)),lentry!$D$3:$D$3999),IF(WEEKDAY(may!M$3,1)=1,"WO","P"))</f>
        <v>P</v>
      </c>
      <c r="N18" s="4" t="str">
        <f>IFERROR(LOOKUP(2,1/((lentry!$A$3:$A$3999=may!$A18)*(lentry!$B$3:$B$3999&lt;=may!N$3)*(lentry!$C$3:$C$3999&gt;=may!N$3)),lentry!$D$3:$D$3999),IF(WEEKDAY(may!N$3,1)=1,"WO","P"))</f>
        <v>P</v>
      </c>
      <c r="O18" s="4" t="str">
        <f>IFERROR(LOOKUP(2,1/((lentry!$A$3:$A$3999=may!$A18)*(lentry!$B$3:$B$3999&lt;=may!O$3)*(lentry!$C$3:$C$3999&gt;=may!O$3)),lentry!$D$3:$D$3999),IF(WEEKDAY(may!O$3,1)=1,"WO","P"))</f>
        <v>WO</v>
      </c>
      <c r="P18" s="4" t="str">
        <f>IFERROR(LOOKUP(2,1/((lentry!$A$3:$A$3999=may!$A18)*(lentry!$B$3:$B$3999&lt;=may!P$3)*(lentry!$C$3:$C$3999&gt;=may!P$3)),lentry!$D$3:$D$3999),IF(WEEKDAY(may!P$3,1)=1,"WO","P"))</f>
        <v>P</v>
      </c>
      <c r="Q18" s="4" t="str">
        <f>IFERROR(LOOKUP(2,1/((lentry!$A$3:$A$3999=may!$A18)*(lentry!$B$3:$B$3999&lt;=may!Q$3)*(lentry!$C$3:$C$3999&gt;=may!Q$3)),lentry!$D$3:$D$3999),IF(WEEKDAY(may!Q$3,1)=1,"WO","P"))</f>
        <v>P</v>
      </c>
      <c r="R18" s="4" t="s">
        <v>539</v>
      </c>
      <c r="S18" s="4" t="str">
        <f>IFERROR(LOOKUP(2,1/((lentry!$A$3:$A$3999=may!$A18)*(lentry!$B$3:$B$3999&lt;=may!S$3)*(lentry!$C$3:$C$3999&gt;=may!S$3)),lentry!$D$3:$D$3999),IF(WEEKDAY(may!S$3,1)=1,"WO","P"))</f>
        <v>P</v>
      </c>
      <c r="T18" s="4" t="str">
        <f>IFERROR(LOOKUP(2,1/((lentry!$A$3:$A$3999=may!$A18)*(lentry!$B$3:$B$3999&lt;=may!T$3)*(lentry!$C$3:$C$3999&gt;=may!T$3)),lentry!$D$3:$D$3999),IF(WEEKDAY(may!T$3,1)=1,"WO","P"))</f>
        <v>P</v>
      </c>
      <c r="U18" s="4" t="str">
        <f>IFERROR(LOOKUP(2,1/((lentry!$A$3:$A$3999=may!$A18)*(lentry!$B$3:$B$3999&lt;=may!U$3)*(lentry!$C$3:$C$3999&gt;=may!U$3)),lentry!$D$3:$D$3999),IF(WEEKDAY(may!U$3,1)=1,"WO","P"))</f>
        <v>P</v>
      </c>
      <c r="V18" s="4" t="str">
        <f>IFERROR(LOOKUP(2,1/((lentry!$A$3:$A$3999=may!$A18)*(lentry!$B$3:$B$3999&lt;=may!V$3)*(lentry!$C$3:$C$3999&gt;=may!V$3)),lentry!$D$3:$D$3999),IF(WEEKDAY(may!V$3,1)=1,"WO","P"))</f>
        <v>WO</v>
      </c>
      <c r="W18" s="4" t="str">
        <f>IFERROR(LOOKUP(2,1/((lentry!$A$3:$A$3999=may!$A18)*(lentry!$B$3:$B$3999&lt;=may!W$3)*(lentry!$C$3:$C$3999&gt;=may!W$3)),lentry!$D$3:$D$3999),IF(WEEKDAY(may!W$3,1)=1,"WO","P"))</f>
        <v>P</v>
      </c>
      <c r="X18" s="4" t="str">
        <f>IFERROR(LOOKUP(2,1/((lentry!$A$3:$A$3999=may!$A18)*(lentry!$B$3:$B$3999&lt;=may!X$3)*(lentry!$C$3:$C$3999&gt;=may!X$3)),lentry!$D$3:$D$3999),IF(WEEKDAY(may!X$3,1)=1,"WO","P"))</f>
        <v>P</v>
      </c>
      <c r="Y18" s="4" t="str">
        <f>IFERROR(LOOKUP(2,1/((lentry!$A$3:$A$3999=may!$A18)*(lentry!$B$3:$B$3999&lt;=may!Y$3)*(lentry!$C$3:$C$3999&gt;=may!Y$3)),lentry!$D$3:$D$3999),IF(WEEKDAY(may!Y$3,1)=1,"WO","P"))</f>
        <v>P</v>
      </c>
      <c r="Z18" s="4" t="str">
        <f>IFERROR(LOOKUP(2,1/((lentry!$A$3:$A$3999=may!$A18)*(lentry!$B$3:$B$3999&lt;=may!Z$3)*(lentry!$C$3:$C$3999&gt;=may!Z$3)),lentry!$D$3:$D$3999),IF(WEEKDAY(may!Z$3,1)=1,"WO","P"))</f>
        <v>P</v>
      </c>
      <c r="AA18" s="4" t="str">
        <f>IFERROR(LOOKUP(2,1/((lentry!$A$3:$A$3999=may!$A18)*(lentry!$B$3:$B$3999&lt;=may!AA$3)*(lentry!$C$3:$C$3999&gt;=may!AA$3)),lentry!$D$3:$D$3999),IF(WEEKDAY(may!AA$3,1)=1,"WO","P"))</f>
        <v>P</v>
      </c>
      <c r="AB18" s="4" t="str">
        <f>IFERROR(LOOKUP(2,1/((lentry!$A$3:$A$3999=may!$A18)*(lentry!$B$3:$B$3999&lt;=may!AB$3)*(lentry!$C$3:$C$3999&gt;=may!AB$3)),lentry!$D$3:$D$3999),IF(WEEKDAY(may!AB$3,1)=1,"WO","P"))</f>
        <v>P</v>
      </c>
      <c r="AC18" s="4" t="str">
        <f>IFERROR(LOOKUP(2,1/((lentry!$A$3:$A$3999=may!$A18)*(lentry!$B$3:$B$3999&lt;=may!AC$3)*(lentry!$C$3:$C$3999&gt;=may!AC$3)),lentry!$D$3:$D$3999),IF(WEEKDAY(may!AC$3,1)=1,"WO","P"))</f>
        <v>WO</v>
      </c>
      <c r="AD18" s="4" t="str">
        <f>IFERROR(LOOKUP(2,1/((lentry!$A$3:$A$3999=may!$A18)*(lentry!$B$3:$B$3999&lt;=may!AD$3)*(lentry!$C$3:$C$3999&gt;=may!AD$3)),lentry!$D$3:$D$3999),IF(WEEKDAY(may!AD$3,1)=1,"WO","P"))</f>
        <v>P</v>
      </c>
      <c r="AE18" s="4" t="str">
        <f>IFERROR(LOOKUP(2,1/((lentry!$A$3:$A$3999=may!$A18)*(lentry!$B$3:$B$3999&lt;=may!AE$3)*(lentry!$C$3:$C$3999&gt;=may!AE$3)),lentry!$D$3:$D$3999),IF(WEEKDAY(may!AE$3,1)=1,"WO","P"))</f>
        <v>P</v>
      </c>
      <c r="AF18" s="4" t="s">
        <v>350</v>
      </c>
      <c r="AG18" s="4" t="str">
        <f>IFERROR(LOOKUP(2,1/((lentry!$A$3:$A$3999=may!$A18)*(lentry!$B$3:$B$3999&lt;=may!AG$3)*(lentry!$C$3:$C$3999&gt;=may!AG$3)),lentry!$D$3:$D$3999),IF(WEEKDAY(may!AG$3,1)=1,"WO","P"))</f>
        <v>P</v>
      </c>
      <c r="AH18" s="4" t="str">
        <f>IFERROR(LOOKUP(2,1/((lentry!$A$3:$A$3999=may!$A18)*(lentry!$B$3:$B$3999&lt;=may!AH$3)*(lentry!$C$3:$C$3999&gt;=may!AH$3)),lentry!$D$3:$D$3999),IF(WEEKDAY(may!AH$3,1)=1,"WO","P"))</f>
        <v>P</v>
      </c>
      <c r="AI18" s="4" t="str">
        <f>IFERROR(LOOKUP(2,1/((lentry!$A$3:$A$3999=may!$A18)*(lentry!$B$3:$B$3999&lt;=may!AI$3)*(lentry!$C$3:$C$3999&gt;=may!AI$3)),lentry!$D$3:$D$3999),IF(WEEKDAY(may!AI$3,1)=1,"WO","P"))</f>
        <v>P</v>
      </c>
      <c r="AJ18" s="4" t="str">
        <f>IFERROR(LOOKUP(2,1/((lentry!$A$3:$A$3999=may!$A18)*(lentry!$B$3:$B$3999&lt;=may!AJ$3)*(lentry!$C$3:$C$3999&gt;=may!AJ$3)),lentry!$D$3:$D$3999),IF(WEEKDAY(may!AJ$3,1)=1,"WO","P"))</f>
        <v>WO</v>
      </c>
      <c r="AK18" s="4">
        <f>COUNTIF(may!$F18:$AJ18,"WO")</f>
        <v>5</v>
      </c>
      <c r="AL18" s="4">
        <f>COUNTIF(may!$F18:$AJ18,"H")</f>
        <v>2</v>
      </c>
      <c r="AM18" s="4">
        <f>COUNTIF(may!$F18:$AJ18,"PL")</f>
        <v>0</v>
      </c>
      <c r="AN18" s="4">
        <f>COUNTIF(may!$F18:$AJ18,"LWP")</f>
        <v>0</v>
      </c>
      <c r="AO18" s="4">
        <f>COUNTIF(may!$F18:$AJ18,"HD")</f>
        <v>0</v>
      </c>
      <c r="AP18" s="4">
        <f>COUNTIF(may!$F18:$AJ18,"SL")</f>
        <v>0</v>
      </c>
      <c r="AQ18" s="4">
        <f>COUNTIF(may!$F18:$AJ18,"CL")</f>
        <v>0</v>
      </c>
      <c r="AR18" s="4">
        <f>COUNTIF(may!$F18:$AJ18,"A")</f>
        <v>1</v>
      </c>
      <c r="AS18" s="4">
        <f>COUNTIF(may!$F18:$AJ18,"P")</f>
        <v>23</v>
      </c>
      <c r="AT18" s="4">
        <f t="shared" si="2"/>
        <v>31</v>
      </c>
      <c r="AU18" s="4">
        <f t="shared" si="3"/>
        <v>30</v>
      </c>
      <c r="AV18" s="4">
        <f>SUMIFS(holly!$L$2:$L$122,holly!$I$2:$I$122,mar!$A18,holly!$K$2:$K$122,"Mar")</f>
        <v>0</v>
      </c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</row>
    <row r="19" spans="1:80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">
        <v>350</v>
      </c>
      <c r="G19" s="4" t="str">
        <f>IFERROR(LOOKUP(2,1/((lentry!$A$3:$A$3999=may!$A19)*(lentry!$B$3:$B$3999&lt;=may!G$3)*(lentry!$C$3:$C$3999&gt;=may!G$3)),lentry!$D$3:$D$3999),IF(WEEKDAY(may!G$3,1)=1,"WO","P"))</f>
        <v>P</v>
      </c>
      <c r="H19" s="4" t="str">
        <f>IFERROR(LOOKUP(2,1/((lentry!$A$3:$A$3999=may!$A19)*(lentry!$B$3:$B$3999&lt;=may!H$3)*(lentry!$C$3:$C$3999&gt;=may!H$3)),lentry!$D$3:$D$3999),IF(WEEKDAY(may!H$3,1)=1,"WO","P"))</f>
        <v>WO</v>
      </c>
      <c r="I19" s="4" t="str">
        <f>IFERROR(LOOKUP(2,1/((lentry!$A$3:$A$3999=may!$A19)*(lentry!$B$3:$B$3999&lt;=may!I$3)*(lentry!$C$3:$C$3999&gt;=may!I$3)),lentry!$D$3:$D$3999),IF(WEEKDAY(may!I$3,1)=1,"WO","P"))</f>
        <v>P</v>
      </c>
      <c r="J19" s="4" t="str">
        <f>IFERROR(LOOKUP(2,1/((lentry!$A$3:$A$3999=may!$A19)*(lentry!$B$3:$B$3999&lt;=may!J$3)*(lentry!$C$3:$C$3999&gt;=may!J$3)),lentry!$D$3:$D$3999),IF(WEEKDAY(may!J$3,1)=1,"WO","P"))</f>
        <v>P</v>
      </c>
      <c r="K19" s="4" t="s">
        <v>539</v>
      </c>
      <c r="L19" s="4" t="str">
        <f>IFERROR(LOOKUP(2,1/((lentry!$A$3:$A$3999=may!$A19)*(lentry!$B$3:$B$3999&lt;=may!L$3)*(lentry!$C$3:$C$3999&gt;=may!L$3)),lentry!$D$3:$D$3999),IF(WEEKDAY(may!L$3,1)=1,"WO","P"))</f>
        <v>P</v>
      </c>
      <c r="M19" s="4" t="str">
        <f>IFERROR(LOOKUP(2,1/((lentry!$A$3:$A$3999=may!$A19)*(lentry!$B$3:$B$3999&lt;=may!M$3)*(lentry!$C$3:$C$3999&gt;=may!M$3)),lentry!$D$3:$D$3999),IF(WEEKDAY(may!M$3,1)=1,"WO","P"))</f>
        <v>P</v>
      </c>
      <c r="N19" s="4" t="str">
        <f>IFERROR(LOOKUP(2,1/((lentry!$A$3:$A$3999=may!$A19)*(lentry!$B$3:$B$3999&lt;=may!N$3)*(lentry!$C$3:$C$3999&gt;=may!N$3)),lentry!$D$3:$D$3999),IF(WEEKDAY(may!N$3,1)=1,"WO","P"))</f>
        <v>P</v>
      </c>
      <c r="O19" s="4" t="str">
        <f>IFERROR(LOOKUP(2,1/((lentry!$A$3:$A$3999=may!$A19)*(lentry!$B$3:$B$3999&lt;=may!O$3)*(lentry!$C$3:$C$3999&gt;=may!O$3)),lentry!$D$3:$D$3999),IF(WEEKDAY(may!O$3,1)=1,"WO","P"))</f>
        <v>WO</v>
      </c>
      <c r="P19" s="4" t="str">
        <f>IFERROR(LOOKUP(2,1/((lentry!$A$3:$A$3999=may!$A19)*(lentry!$B$3:$B$3999&lt;=may!P$3)*(lentry!$C$3:$C$3999&gt;=may!P$3)),lentry!$D$3:$D$3999),IF(WEEKDAY(may!P$3,1)=1,"WO","P"))</f>
        <v>P</v>
      </c>
      <c r="Q19" s="4" t="str">
        <f>IFERROR(LOOKUP(2,1/((lentry!$A$3:$A$3999=may!$A19)*(lentry!$B$3:$B$3999&lt;=may!Q$3)*(lentry!$C$3:$C$3999&gt;=may!Q$3)),lentry!$D$3:$D$3999),IF(WEEKDAY(may!Q$3,1)=1,"WO","P"))</f>
        <v>P</v>
      </c>
      <c r="R19" s="4" t="str">
        <f>IFERROR(LOOKUP(2,1/((lentry!$A$3:$A$3999=may!$A19)*(lentry!$B$3:$B$3999&lt;=may!R$3)*(lentry!$C$3:$C$3999&gt;=may!R$3)),lentry!$D$3:$D$3999),IF(WEEKDAY(may!R$3,1)=1,"WO","P"))</f>
        <v>P</v>
      </c>
      <c r="S19" s="4" t="str">
        <f>IFERROR(LOOKUP(2,1/((lentry!$A$3:$A$3999=may!$A19)*(lentry!$B$3:$B$3999&lt;=may!S$3)*(lentry!$C$3:$C$3999&gt;=may!S$3)),lentry!$D$3:$D$3999),IF(WEEKDAY(may!S$3,1)=1,"WO","P"))</f>
        <v>P</v>
      </c>
      <c r="T19" s="4" t="str">
        <f>IFERROR(LOOKUP(2,1/((lentry!$A$3:$A$3999=may!$A19)*(lentry!$B$3:$B$3999&lt;=may!T$3)*(lentry!$C$3:$C$3999&gt;=may!T$3)),lentry!$D$3:$D$3999),IF(WEEKDAY(may!T$3,1)=1,"WO","P"))</f>
        <v>P</v>
      </c>
      <c r="U19" s="4" t="str">
        <f>IFERROR(LOOKUP(2,1/((lentry!$A$3:$A$3999=may!$A19)*(lentry!$B$3:$B$3999&lt;=may!U$3)*(lentry!$C$3:$C$3999&gt;=may!U$3)),lentry!$D$3:$D$3999),IF(WEEKDAY(may!U$3,1)=1,"WO","P"))</f>
        <v>P</v>
      </c>
      <c r="V19" s="4" t="str">
        <f>IFERROR(LOOKUP(2,1/((lentry!$A$3:$A$3999=may!$A19)*(lentry!$B$3:$B$3999&lt;=may!V$3)*(lentry!$C$3:$C$3999&gt;=may!V$3)),lentry!$D$3:$D$3999),IF(WEEKDAY(may!V$3,1)=1,"WO","P"))</f>
        <v>WO</v>
      </c>
      <c r="W19" s="4" t="str">
        <f>IFERROR(LOOKUP(2,1/((lentry!$A$3:$A$3999=may!$A19)*(lentry!$B$3:$B$3999&lt;=may!W$3)*(lentry!$C$3:$C$3999&gt;=may!W$3)),lentry!$D$3:$D$3999),IF(WEEKDAY(may!W$3,1)=1,"WO","P"))</f>
        <v>P</v>
      </c>
      <c r="X19" s="4" t="str">
        <f>IFERROR(LOOKUP(2,1/((lentry!$A$3:$A$3999=may!$A19)*(lentry!$B$3:$B$3999&lt;=may!X$3)*(lentry!$C$3:$C$3999&gt;=may!X$3)),lentry!$D$3:$D$3999),IF(WEEKDAY(may!X$3,1)=1,"WO","P"))</f>
        <v>P</v>
      </c>
      <c r="Y19" s="4" t="str">
        <f>IFERROR(LOOKUP(2,1/((lentry!$A$3:$A$3999=may!$A19)*(lentry!$B$3:$B$3999&lt;=may!Y$3)*(lentry!$C$3:$C$3999&gt;=may!Y$3)),lentry!$D$3:$D$3999),IF(WEEKDAY(may!Y$3,1)=1,"WO","P"))</f>
        <v>CL</v>
      </c>
      <c r="Z19" s="4" t="str">
        <f>IFERROR(LOOKUP(2,1/((lentry!$A$3:$A$3999=may!$A19)*(lentry!$B$3:$B$3999&lt;=may!Z$3)*(lentry!$C$3:$C$3999&gt;=may!Z$3)),lentry!$D$3:$D$3999),IF(WEEKDAY(may!Z$3,1)=1,"WO","P"))</f>
        <v>P</v>
      </c>
      <c r="AA19" s="4" t="str">
        <f>IFERROR(LOOKUP(2,1/((lentry!$A$3:$A$3999=may!$A19)*(lentry!$B$3:$B$3999&lt;=may!AA$3)*(lentry!$C$3:$C$3999&gt;=may!AA$3)),lentry!$D$3:$D$3999),IF(WEEKDAY(may!AA$3,1)=1,"WO","P"))</f>
        <v>P</v>
      </c>
      <c r="AB19" s="4" t="str">
        <f>IFERROR(LOOKUP(2,1/((lentry!$A$3:$A$3999=may!$A19)*(lentry!$B$3:$B$3999&lt;=may!AB$3)*(lentry!$C$3:$C$3999&gt;=may!AB$3)),lentry!$D$3:$D$3999),IF(WEEKDAY(may!AB$3,1)=1,"WO","P"))</f>
        <v>P</v>
      </c>
      <c r="AC19" s="4" t="str">
        <f>IFERROR(LOOKUP(2,1/((lentry!$A$3:$A$3999=may!$A19)*(lentry!$B$3:$B$3999&lt;=may!AC$3)*(lentry!$C$3:$C$3999&gt;=may!AC$3)),lentry!$D$3:$D$3999),IF(WEEKDAY(may!AC$3,1)=1,"WO","P"))</f>
        <v>WO</v>
      </c>
      <c r="AD19" s="4" t="str">
        <f>IFERROR(LOOKUP(2,1/((lentry!$A$3:$A$3999=may!$A19)*(lentry!$B$3:$B$3999&lt;=may!AD$3)*(lentry!$C$3:$C$3999&gt;=may!AD$3)),lentry!$D$3:$D$3999),IF(WEEKDAY(may!AD$3,1)=1,"WO","P"))</f>
        <v>P</v>
      </c>
      <c r="AE19" s="4" t="str">
        <f>IFERROR(LOOKUP(2,1/((lentry!$A$3:$A$3999=may!$A19)*(lentry!$B$3:$B$3999&lt;=may!AE$3)*(lentry!$C$3:$C$3999&gt;=may!AE$3)),lentry!$D$3:$D$3999),IF(WEEKDAY(may!AE$3,1)=1,"WO","P"))</f>
        <v>P</v>
      </c>
      <c r="AF19" s="4" t="s">
        <v>350</v>
      </c>
      <c r="AG19" s="4" t="str">
        <f>IFERROR(LOOKUP(2,1/((lentry!$A$3:$A$3999=may!$A19)*(lentry!$B$3:$B$3999&lt;=may!AG$3)*(lentry!$C$3:$C$3999&gt;=may!AG$3)),lentry!$D$3:$D$3999),IF(WEEKDAY(may!AG$3,1)=1,"WO","P"))</f>
        <v>P</v>
      </c>
      <c r="AH19" s="4" t="str">
        <f>IFERROR(LOOKUP(2,1/((lentry!$A$3:$A$3999=may!$A19)*(lentry!$B$3:$B$3999&lt;=may!AH$3)*(lentry!$C$3:$C$3999&gt;=may!AH$3)),lentry!$D$3:$D$3999),IF(WEEKDAY(may!AH$3,1)=1,"WO","P"))</f>
        <v>P</v>
      </c>
      <c r="AI19" s="4" t="str">
        <f>IFERROR(LOOKUP(2,1/((lentry!$A$3:$A$3999=may!$A19)*(lentry!$B$3:$B$3999&lt;=may!AI$3)*(lentry!$C$3:$C$3999&gt;=may!AI$3)),lentry!$D$3:$D$3999),IF(WEEKDAY(may!AI$3,1)=1,"WO","P"))</f>
        <v>P</v>
      </c>
      <c r="AJ19" s="4" t="str">
        <f>IFERROR(LOOKUP(2,1/((lentry!$A$3:$A$3999=may!$A19)*(lentry!$B$3:$B$3999&lt;=may!AJ$3)*(lentry!$C$3:$C$3999&gt;=may!AJ$3)),lentry!$D$3:$D$3999),IF(WEEKDAY(may!AJ$3,1)=1,"WO","P"))</f>
        <v>WO</v>
      </c>
      <c r="AK19" s="4">
        <f>COUNTIF(may!$F19:$AJ19,"WO")</f>
        <v>5</v>
      </c>
      <c r="AL19" s="4">
        <f>COUNTIF(may!$F19:$AJ19,"H")</f>
        <v>2</v>
      </c>
      <c r="AM19" s="4">
        <f>COUNTIF(may!$F19:$AJ19,"PL")</f>
        <v>0</v>
      </c>
      <c r="AN19" s="4">
        <f>COUNTIF(may!$F19:$AJ19,"LWP")</f>
        <v>0</v>
      </c>
      <c r="AO19" s="4">
        <f>COUNTIF(may!$F19:$AJ19,"HD")</f>
        <v>0</v>
      </c>
      <c r="AP19" s="4">
        <f>COUNTIF(may!$F19:$AJ19,"SL")</f>
        <v>0</v>
      </c>
      <c r="AQ19" s="4">
        <f>COUNTIF(may!$F19:$AJ19,"CL")</f>
        <v>1</v>
      </c>
      <c r="AR19" s="4">
        <f>COUNTIF(may!$F19:$AJ19,"A")</f>
        <v>1</v>
      </c>
      <c r="AS19" s="4">
        <f>COUNTIF(may!$F19:$AJ19,"P")</f>
        <v>22</v>
      </c>
      <c r="AT19" s="4">
        <f t="shared" si="2"/>
        <v>31</v>
      </c>
      <c r="AU19" s="4">
        <f t="shared" si="3"/>
        <v>30</v>
      </c>
      <c r="AV19" s="4">
        <f>SUMIFS(holly!$L$2:$L$122,holly!$I$2:$I$122,mar!$A19,holly!$K$2:$K$122,"Mar")</f>
        <v>0</v>
      </c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</row>
    <row r="20" spans="1:80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">
        <v>350</v>
      </c>
      <c r="G20" s="4" t="str">
        <f>IFERROR(LOOKUP(2,1/((lentry!$A$3:$A$3999=may!$A20)*(lentry!$B$3:$B$3999&lt;=may!G$3)*(lentry!$C$3:$C$3999&gt;=may!G$3)),lentry!$D$3:$D$3999),IF(WEEKDAY(may!G$3,1)=1,"WO","P"))</f>
        <v>P</v>
      </c>
      <c r="H20" s="4" t="str">
        <f>IFERROR(LOOKUP(2,1/((lentry!$A$3:$A$3999=may!$A20)*(lentry!$B$3:$B$3999&lt;=may!H$3)*(lentry!$C$3:$C$3999&gt;=may!H$3)),lentry!$D$3:$D$3999),IF(WEEKDAY(may!H$3,1)=1,"WO","P"))</f>
        <v>WO</v>
      </c>
      <c r="I20" s="4" t="str">
        <f>IFERROR(LOOKUP(2,1/((lentry!$A$3:$A$3999=may!$A20)*(lentry!$B$3:$B$3999&lt;=may!I$3)*(lentry!$C$3:$C$3999&gt;=may!I$3)),lentry!$D$3:$D$3999),IF(WEEKDAY(may!I$3,1)=1,"WO","P"))</f>
        <v>P</v>
      </c>
      <c r="J20" s="4" t="str">
        <f>IFERROR(LOOKUP(2,1/((lentry!$A$3:$A$3999=may!$A20)*(lentry!$B$3:$B$3999&lt;=may!J$3)*(lentry!$C$3:$C$3999&gt;=may!J$3)),lentry!$D$3:$D$3999),IF(WEEKDAY(may!J$3,1)=1,"WO","P"))</f>
        <v>P</v>
      </c>
      <c r="K20" s="4" t="str">
        <f>IFERROR(LOOKUP(2,1/((lentry!$A$3:$A$3999=may!$A20)*(lentry!$B$3:$B$3999&lt;=may!K$3)*(lentry!$C$3:$C$3999&gt;=may!K$3)),lentry!$D$3:$D$3999),IF(WEEKDAY(may!K$3,1)=1,"WO","P"))</f>
        <v>P</v>
      </c>
      <c r="L20" s="4" t="str">
        <f>IFERROR(LOOKUP(2,1/((lentry!$A$3:$A$3999=may!$A20)*(lentry!$B$3:$B$3999&lt;=may!L$3)*(lentry!$C$3:$C$3999&gt;=may!L$3)),lentry!$D$3:$D$3999),IF(WEEKDAY(may!L$3,1)=1,"WO","P"))</f>
        <v>P</v>
      </c>
      <c r="M20" s="4" t="str">
        <f>IFERROR(LOOKUP(2,1/((lentry!$A$3:$A$3999=may!$A20)*(lentry!$B$3:$B$3999&lt;=may!M$3)*(lentry!$C$3:$C$3999&gt;=may!M$3)),lentry!$D$3:$D$3999),IF(WEEKDAY(may!M$3,1)=1,"WO","P"))</f>
        <v>P</v>
      </c>
      <c r="N20" s="4" t="str">
        <f>IFERROR(LOOKUP(2,1/((lentry!$A$3:$A$3999=may!$A20)*(lentry!$B$3:$B$3999&lt;=may!N$3)*(lentry!$C$3:$C$3999&gt;=may!N$3)),lentry!$D$3:$D$3999),IF(WEEKDAY(may!N$3,1)=1,"WO","P"))</f>
        <v>P</v>
      </c>
      <c r="O20" s="4" t="str">
        <f>IFERROR(LOOKUP(2,1/((lentry!$A$3:$A$3999=may!$A20)*(lentry!$B$3:$B$3999&lt;=may!O$3)*(lentry!$C$3:$C$3999&gt;=may!O$3)),lentry!$D$3:$D$3999),IF(WEEKDAY(may!O$3,1)=1,"WO","P"))</f>
        <v>WO</v>
      </c>
      <c r="P20" s="4" t="str">
        <f>IFERROR(LOOKUP(2,1/((lentry!$A$3:$A$3999=may!$A20)*(lentry!$B$3:$B$3999&lt;=may!P$3)*(lentry!$C$3:$C$3999&gt;=may!P$3)),lentry!$D$3:$D$3999),IF(WEEKDAY(may!P$3,1)=1,"WO","P"))</f>
        <v>P</v>
      </c>
      <c r="Q20" s="4" t="str">
        <f>IFERROR(LOOKUP(2,1/((lentry!$A$3:$A$3999=may!$A20)*(lentry!$B$3:$B$3999&lt;=may!Q$3)*(lentry!$C$3:$C$3999&gt;=may!Q$3)),lentry!$D$3:$D$3999),IF(WEEKDAY(may!Q$3,1)=1,"WO","P"))</f>
        <v>P</v>
      </c>
      <c r="R20" s="4" t="str">
        <f>IFERROR(LOOKUP(2,1/((lentry!$A$3:$A$3999=may!$A20)*(lentry!$B$3:$B$3999&lt;=may!R$3)*(lentry!$C$3:$C$3999&gt;=may!R$3)),lentry!$D$3:$D$3999),IF(WEEKDAY(may!R$3,1)=1,"WO","P"))</f>
        <v>P</v>
      </c>
      <c r="S20" s="4" t="str">
        <f>IFERROR(LOOKUP(2,1/((lentry!$A$3:$A$3999=may!$A20)*(lentry!$B$3:$B$3999&lt;=may!S$3)*(lentry!$C$3:$C$3999&gt;=may!S$3)),lentry!$D$3:$D$3999),IF(WEEKDAY(may!S$3,1)=1,"WO","P"))</f>
        <v>P</v>
      </c>
      <c r="T20" s="4" t="str">
        <f>IFERROR(LOOKUP(2,1/((lentry!$A$3:$A$3999=may!$A20)*(lentry!$B$3:$B$3999&lt;=may!T$3)*(lentry!$C$3:$C$3999&gt;=may!T$3)),lentry!$D$3:$D$3999),IF(WEEKDAY(may!T$3,1)=1,"WO","P"))</f>
        <v>P</v>
      </c>
      <c r="U20" s="4" t="str">
        <f>IFERROR(LOOKUP(2,1/((lentry!$A$3:$A$3999=may!$A20)*(lentry!$B$3:$B$3999&lt;=may!U$3)*(lentry!$C$3:$C$3999&gt;=may!U$3)),lentry!$D$3:$D$3999),IF(WEEKDAY(may!U$3,1)=1,"WO","P"))</f>
        <v>P</v>
      </c>
      <c r="V20" s="4" t="str">
        <f>IFERROR(LOOKUP(2,1/((lentry!$A$3:$A$3999=may!$A20)*(lentry!$B$3:$B$3999&lt;=may!V$3)*(lentry!$C$3:$C$3999&gt;=may!V$3)),lentry!$D$3:$D$3999),IF(WEEKDAY(may!V$3,1)=1,"WO","P"))</f>
        <v>WO</v>
      </c>
      <c r="W20" s="4" t="str">
        <f>IFERROR(LOOKUP(2,1/((lentry!$A$3:$A$3999=may!$A20)*(lentry!$B$3:$B$3999&lt;=may!W$3)*(lentry!$C$3:$C$3999&gt;=may!W$3)),lentry!$D$3:$D$3999),IF(WEEKDAY(may!W$3,1)=1,"WO","P"))</f>
        <v>P</v>
      </c>
      <c r="X20" s="4" t="str">
        <f>IFERROR(LOOKUP(2,1/((lentry!$A$3:$A$3999=may!$A20)*(lentry!$B$3:$B$3999&lt;=may!X$3)*(lentry!$C$3:$C$3999&gt;=may!X$3)),lentry!$D$3:$D$3999),IF(WEEKDAY(may!X$3,1)=1,"WO","P"))</f>
        <v>P</v>
      </c>
      <c r="Y20" s="4" t="str">
        <f>IFERROR(LOOKUP(2,1/((lentry!$A$3:$A$3999=may!$A20)*(lentry!$B$3:$B$3999&lt;=may!Y$3)*(lentry!$C$3:$C$3999&gt;=may!Y$3)),lentry!$D$3:$D$3999),IF(WEEKDAY(may!Y$3,1)=1,"WO","P"))</f>
        <v>P</v>
      </c>
      <c r="Z20" s="4" t="str">
        <f>IFERROR(LOOKUP(2,1/((lentry!$A$3:$A$3999=may!$A20)*(lentry!$B$3:$B$3999&lt;=may!Z$3)*(lentry!$C$3:$C$3999&gt;=may!Z$3)),lentry!$D$3:$D$3999),IF(WEEKDAY(may!Z$3,1)=1,"WO","P"))</f>
        <v>P</v>
      </c>
      <c r="AA20" s="4" t="str">
        <f>IFERROR(LOOKUP(2,1/((lentry!$A$3:$A$3999=may!$A20)*(lentry!$B$3:$B$3999&lt;=may!AA$3)*(lentry!$C$3:$C$3999&gt;=may!AA$3)),lentry!$D$3:$D$3999),IF(WEEKDAY(may!AA$3,1)=1,"WO","P"))</f>
        <v>P</v>
      </c>
      <c r="AB20" s="4" t="str">
        <f>IFERROR(LOOKUP(2,1/((lentry!$A$3:$A$3999=may!$A20)*(lentry!$B$3:$B$3999&lt;=may!AB$3)*(lentry!$C$3:$C$3999&gt;=may!AB$3)),lentry!$D$3:$D$3999),IF(WEEKDAY(may!AB$3,1)=1,"WO","P"))</f>
        <v>P</v>
      </c>
      <c r="AC20" s="4" t="str">
        <f>IFERROR(LOOKUP(2,1/((lentry!$A$3:$A$3999=may!$A20)*(lentry!$B$3:$B$3999&lt;=may!AC$3)*(lentry!$C$3:$C$3999&gt;=may!AC$3)),lentry!$D$3:$D$3999),IF(WEEKDAY(may!AC$3,1)=1,"WO","P"))</f>
        <v>WO</v>
      </c>
      <c r="AD20" s="4" t="str">
        <f>IFERROR(LOOKUP(2,1/((lentry!$A$3:$A$3999=may!$A20)*(lentry!$B$3:$B$3999&lt;=may!AD$3)*(lentry!$C$3:$C$3999&gt;=may!AD$3)),lentry!$D$3:$D$3999),IF(WEEKDAY(may!AD$3,1)=1,"WO","P"))</f>
        <v>P</v>
      </c>
      <c r="AE20" s="4" t="str">
        <f>IFERROR(LOOKUP(2,1/((lentry!$A$3:$A$3999=may!$A20)*(lentry!$B$3:$B$3999&lt;=may!AE$3)*(lentry!$C$3:$C$3999&gt;=may!AE$3)),lentry!$D$3:$D$3999),IF(WEEKDAY(may!AE$3,1)=1,"WO","P"))</f>
        <v>P</v>
      </c>
      <c r="AF20" s="4" t="s">
        <v>350</v>
      </c>
      <c r="AG20" s="4" t="str">
        <f>IFERROR(LOOKUP(2,1/((lentry!$A$3:$A$3999=may!$A20)*(lentry!$B$3:$B$3999&lt;=may!AG$3)*(lentry!$C$3:$C$3999&gt;=may!AG$3)),lentry!$D$3:$D$3999),IF(WEEKDAY(may!AG$3,1)=1,"WO","P"))</f>
        <v>P</v>
      </c>
      <c r="AH20" s="4" t="str">
        <f>IFERROR(LOOKUP(2,1/((lentry!$A$3:$A$3999=may!$A20)*(lentry!$B$3:$B$3999&lt;=may!AH$3)*(lentry!$C$3:$C$3999&gt;=may!AH$3)),lentry!$D$3:$D$3999),IF(WEEKDAY(may!AH$3,1)=1,"WO","P"))</f>
        <v>P</v>
      </c>
      <c r="AI20" s="4" t="str">
        <f>IFERROR(LOOKUP(2,1/((lentry!$A$3:$A$3999=may!$A20)*(lentry!$B$3:$B$3999&lt;=may!AI$3)*(lentry!$C$3:$C$3999&gt;=may!AI$3)),lentry!$D$3:$D$3999),IF(WEEKDAY(may!AI$3,1)=1,"WO","P"))</f>
        <v>P</v>
      </c>
      <c r="AJ20" s="4" t="str">
        <f>IFERROR(LOOKUP(2,1/((lentry!$A$3:$A$3999=may!$A20)*(lentry!$B$3:$B$3999&lt;=may!AJ$3)*(lentry!$C$3:$C$3999&gt;=may!AJ$3)),lentry!$D$3:$D$3999),IF(WEEKDAY(may!AJ$3,1)=1,"WO","P"))</f>
        <v>WO</v>
      </c>
      <c r="AK20" s="4">
        <f>COUNTIF(may!$F20:$AJ20,"WO")</f>
        <v>5</v>
      </c>
      <c r="AL20" s="4">
        <f>COUNTIF(may!$F20:$AJ20,"H")</f>
        <v>2</v>
      </c>
      <c r="AM20" s="4">
        <f>COUNTIF(may!$F20:$AJ20,"PL")</f>
        <v>0</v>
      </c>
      <c r="AN20" s="4">
        <f>COUNTIF(may!$F20:$AJ20,"LWP")</f>
        <v>0</v>
      </c>
      <c r="AO20" s="4">
        <f>COUNTIF(may!$F20:$AJ20,"HD")</f>
        <v>0</v>
      </c>
      <c r="AP20" s="4">
        <f>COUNTIF(may!$F20:$AJ20,"SL")</f>
        <v>0</v>
      </c>
      <c r="AQ20" s="4">
        <f>COUNTIF(may!$F20:$AJ20,"CL")</f>
        <v>0</v>
      </c>
      <c r="AR20" s="4">
        <f>COUNTIF(may!$F20:$AJ20,"A")</f>
        <v>0</v>
      </c>
      <c r="AS20" s="4">
        <f>COUNTIF(may!$F20:$AJ20,"P")</f>
        <v>24</v>
      </c>
      <c r="AT20" s="4">
        <f t="shared" si="2"/>
        <v>31</v>
      </c>
      <c r="AU20" s="4">
        <f t="shared" si="3"/>
        <v>31</v>
      </c>
      <c r="AV20" s="4">
        <f>SUMIFS(holly!$L$2:$L$122,holly!$I$2:$I$122,mar!$A20,holly!$K$2:$K$122,"Mar")</f>
        <v>4</v>
      </c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</row>
    <row r="21" spans="1:80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">
        <v>350</v>
      </c>
      <c r="G21" s="4" t="str">
        <f>IFERROR(LOOKUP(2,1/((lentry!$A$3:$A$3999=may!$A21)*(lentry!$B$3:$B$3999&lt;=may!G$3)*(lentry!$C$3:$C$3999&gt;=may!G$3)),lentry!$D$3:$D$3999),IF(WEEKDAY(may!G$3,1)=1,"WO","P"))</f>
        <v>P</v>
      </c>
      <c r="H21" s="4" t="str">
        <f>IFERROR(LOOKUP(2,1/((lentry!$A$3:$A$3999=may!$A21)*(lentry!$B$3:$B$3999&lt;=may!H$3)*(lentry!$C$3:$C$3999&gt;=may!H$3)),lentry!$D$3:$D$3999),IF(WEEKDAY(may!H$3,1)=1,"WO","P"))</f>
        <v>WO</v>
      </c>
      <c r="I21" s="4" t="str">
        <f>IFERROR(LOOKUP(2,1/((lentry!$A$3:$A$3999=may!$A21)*(lentry!$B$3:$B$3999&lt;=may!I$3)*(lentry!$C$3:$C$3999&gt;=may!I$3)),lentry!$D$3:$D$3999),IF(WEEKDAY(may!I$3,1)=1,"WO","P"))</f>
        <v>P</v>
      </c>
      <c r="J21" s="4" t="str">
        <f>IFERROR(LOOKUP(2,1/((lentry!$A$3:$A$3999=may!$A21)*(lentry!$B$3:$B$3999&lt;=may!J$3)*(lentry!$C$3:$C$3999&gt;=may!J$3)),lentry!$D$3:$D$3999),IF(WEEKDAY(may!J$3,1)=1,"WO","P"))</f>
        <v>P</v>
      </c>
      <c r="K21" s="4" t="str">
        <f>IFERROR(LOOKUP(2,1/((lentry!$A$3:$A$3999=may!$A21)*(lentry!$B$3:$B$3999&lt;=may!K$3)*(lentry!$C$3:$C$3999&gt;=may!K$3)),lentry!$D$3:$D$3999),IF(WEEKDAY(may!K$3,1)=1,"WO","P"))</f>
        <v>P</v>
      </c>
      <c r="L21" s="4" t="str">
        <f>IFERROR(LOOKUP(2,1/((lentry!$A$3:$A$3999=may!$A21)*(lentry!$B$3:$B$3999&lt;=may!L$3)*(lentry!$C$3:$C$3999&gt;=may!L$3)),lentry!$D$3:$D$3999),IF(WEEKDAY(may!L$3,1)=1,"WO","P"))</f>
        <v>P</v>
      </c>
      <c r="M21" s="4" t="str">
        <f>IFERROR(LOOKUP(2,1/((lentry!$A$3:$A$3999=may!$A21)*(lentry!$B$3:$B$3999&lt;=may!M$3)*(lentry!$C$3:$C$3999&gt;=may!M$3)),lentry!$D$3:$D$3999),IF(WEEKDAY(may!M$3,1)=1,"WO","P"))</f>
        <v>P</v>
      </c>
      <c r="N21" s="4" t="str">
        <f>IFERROR(LOOKUP(2,1/((lentry!$A$3:$A$3999=may!$A21)*(lentry!$B$3:$B$3999&lt;=may!N$3)*(lentry!$C$3:$C$3999&gt;=may!N$3)),lentry!$D$3:$D$3999),IF(WEEKDAY(may!N$3,1)=1,"WO","P"))</f>
        <v>P</v>
      </c>
      <c r="O21" s="4" t="str">
        <f>IFERROR(LOOKUP(2,1/((lentry!$A$3:$A$3999=may!$A21)*(lentry!$B$3:$B$3999&lt;=may!O$3)*(lentry!$C$3:$C$3999&gt;=may!O$3)),lentry!$D$3:$D$3999),IF(WEEKDAY(may!O$3,1)=1,"WO","P"))</f>
        <v>WO</v>
      </c>
      <c r="P21" s="4" t="str">
        <f>IFERROR(LOOKUP(2,1/((lentry!$A$3:$A$3999=may!$A21)*(lentry!$B$3:$B$3999&lt;=may!P$3)*(lentry!$C$3:$C$3999&gt;=may!P$3)),lentry!$D$3:$D$3999),IF(WEEKDAY(may!P$3,1)=1,"WO","P"))</f>
        <v>P</v>
      </c>
      <c r="Q21" s="4" t="str">
        <f>IFERROR(LOOKUP(2,1/((lentry!$A$3:$A$3999=may!$A21)*(lentry!$B$3:$B$3999&lt;=may!Q$3)*(lentry!$C$3:$C$3999&gt;=may!Q$3)),lentry!$D$3:$D$3999),IF(WEEKDAY(may!Q$3,1)=1,"WO","P"))</f>
        <v>P</v>
      </c>
      <c r="R21" s="4" t="str">
        <f>IFERROR(LOOKUP(2,1/((lentry!$A$3:$A$3999=may!$A21)*(lentry!$B$3:$B$3999&lt;=may!R$3)*(lentry!$C$3:$C$3999&gt;=may!R$3)),lentry!$D$3:$D$3999),IF(WEEKDAY(may!R$3,1)=1,"WO","P"))</f>
        <v>P</v>
      </c>
      <c r="S21" s="4" t="str">
        <f>IFERROR(LOOKUP(2,1/((lentry!$A$3:$A$3999=may!$A21)*(lentry!$B$3:$B$3999&lt;=may!S$3)*(lentry!$C$3:$C$3999&gt;=may!S$3)),lentry!$D$3:$D$3999),IF(WEEKDAY(may!S$3,1)=1,"WO","P"))</f>
        <v>P</v>
      </c>
      <c r="T21" s="4" t="str">
        <f>IFERROR(LOOKUP(2,1/((lentry!$A$3:$A$3999=may!$A21)*(lentry!$B$3:$B$3999&lt;=may!T$3)*(lentry!$C$3:$C$3999&gt;=may!T$3)),lentry!$D$3:$D$3999),IF(WEEKDAY(may!T$3,1)=1,"WO","P"))</f>
        <v>P</v>
      </c>
      <c r="U21" s="4" t="str">
        <f>IFERROR(LOOKUP(2,1/((lentry!$A$3:$A$3999=may!$A21)*(lentry!$B$3:$B$3999&lt;=may!U$3)*(lentry!$C$3:$C$3999&gt;=may!U$3)),lentry!$D$3:$D$3999),IF(WEEKDAY(may!U$3,1)=1,"WO","P"))</f>
        <v>P</v>
      </c>
      <c r="V21" s="4" t="str">
        <f>IFERROR(LOOKUP(2,1/((lentry!$A$3:$A$3999=may!$A21)*(lentry!$B$3:$B$3999&lt;=may!V$3)*(lentry!$C$3:$C$3999&gt;=may!V$3)),lentry!$D$3:$D$3999),IF(WEEKDAY(may!V$3,1)=1,"WO","P"))</f>
        <v>WO</v>
      </c>
      <c r="W21" s="4" t="str">
        <f>IFERROR(LOOKUP(2,1/((lentry!$A$3:$A$3999=may!$A21)*(lentry!$B$3:$B$3999&lt;=may!W$3)*(lentry!$C$3:$C$3999&gt;=may!W$3)),lentry!$D$3:$D$3999),IF(WEEKDAY(may!W$3,1)=1,"WO","P"))</f>
        <v>P</v>
      </c>
      <c r="X21" s="4" t="str">
        <f>IFERROR(LOOKUP(2,1/((lentry!$A$3:$A$3999=may!$A21)*(lentry!$B$3:$B$3999&lt;=may!X$3)*(lentry!$C$3:$C$3999&gt;=may!X$3)),lentry!$D$3:$D$3999),IF(WEEKDAY(may!X$3,1)=1,"WO","P"))</f>
        <v>P</v>
      </c>
      <c r="Y21" s="4" t="str">
        <f>IFERROR(LOOKUP(2,1/((lentry!$A$3:$A$3999=may!$A21)*(lentry!$B$3:$B$3999&lt;=may!Y$3)*(lentry!$C$3:$C$3999&gt;=may!Y$3)),lentry!$D$3:$D$3999),IF(WEEKDAY(may!Y$3,1)=1,"WO","P"))</f>
        <v>P</v>
      </c>
      <c r="Z21" s="4" t="str">
        <f>IFERROR(LOOKUP(2,1/((lentry!$A$3:$A$3999=may!$A21)*(lentry!$B$3:$B$3999&lt;=may!Z$3)*(lentry!$C$3:$C$3999&gt;=may!Z$3)),lentry!$D$3:$D$3999),IF(WEEKDAY(may!Z$3,1)=1,"WO","P"))</f>
        <v>P</v>
      </c>
      <c r="AA21" s="4" t="str">
        <f>IFERROR(LOOKUP(2,1/((lentry!$A$3:$A$3999=may!$A21)*(lentry!$B$3:$B$3999&lt;=may!AA$3)*(lentry!$C$3:$C$3999&gt;=may!AA$3)),lentry!$D$3:$D$3999),IF(WEEKDAY(may!AA$3,1)=1,"WO","P"))</f>
        <v>P</v>
      </c>
      <c r="AB21" s="4" t="str">
        <f>IFERROR(LOOKUP(2,1/((lentry!$A$3:$A$3999=may!$A21)*(lentry!$B$3:$B$3999&lt;=may!AB$3)*(lentry!$C$3:$C$3999&gt;=may!AB$3)),lentry!$D$3:$D$3999),IF(WEEKDAY(may!AB$3,1)=1,"WO","P"))</f>
        <v>P</v>
      </c>
      <c r="AC21" s="4" t="str">
        <f>IFERROR(LOOKUP(2,1/((lentry!$A$3:$A$3999=may!$A21)*(lentry!$B$3:$B$3999&lt;=may!AC$3)*(lentry!$C$3:$C$3999&gt;=may!AC$3)),lentry!$D$3:$D$3999),IF(WEEKDAY(may!AC$3,1)=1,"WO","P"))</f>
        <v>WO</v>
      </c>
      <c r="AD21" s="4" t="str">
        <f>IFERROR(LOOKUP(2,1/((lentry!$A$3:$A$3999=may!$A21)*(lentry!$B$3:$B$3999&lt;=may!AD$3)*(lentry!$C$3:$C$3999&gt;=may!AD$3)),lentry!$D$3:$D$3999),IF(WEEKDAY(may!AD$3,1)=1,"WO","P"))</f>
        <v>P</v>
      </c>
      <c r="AE21" s="4" t="str">
        <f>IFERROR(LOOKUP(2,1/((lentry!$A$3:$A$3999=may!$A21)*(lentry!$B$3:$B$3999&lt;=may!AE$3)*(lentry!$C$3:$C$3999&gt;=may!AE$3)),lentry!$D$3:$D$3999),IF(WEEKDAY(may!AE$3,1)=1,"WO","P"))</f>
        <v>P</v>
      </c>
      <c r="AF21" s="4" t="s">
        <v>350</v>
      </c>
      <c r="AG21" s="4" t="str">
        <f>IFERROR(LOOKUP(2,1/((lentry!$A$3:$A$3999=may!$A21)*(lentry!$B$3:$B$3999&lt;=may!AG$3)*(lentry!$C$3:$C$3999&gt;=may!AG$3)),lentry!$D$3:$D$3999),IF(WEEKDAY(may!AG$3,1)=1,"WO","P"))</f>
        <v>P</v>
      </c>
      <c r="AH21" s="4" t="str">
        <f>IFERROR(LOOKUP(2,1/((lentry!$A$3:$A$3999=may!$A21)*(lentry!$B$3:$B$3999&lt;=may!AH$3)*(lentry!$C$3:$C$3999&gt;=may!AH$3)),lentry!$D$3:$D$3999),IF(WEEKDAY(may!AH$3,1)=1,"WO","P"))</f>
        <v>P</v>
      </c>
      <c r="AI21" s="4" t="str">
        <f>IFERROR(LOOKUP(2,1/((lentry!$A$3:$A$3999=may!$A21)*(lentry!$B$3:$B$3999&lt;=may!AI$3)*(lentry!$C$3:$C$3999&gt;=may!AI$3)),lentry!$D$3:$D$3999),IF(WEEKDAY(may!AI$3,1)=1,"WO","P"))</f>
        <v>P</v>
      </c>
      <c r="AJ21" s="4" t="str">
        <f>IFERROR(LOOKUP(2,1/((lentry!$A$3:$A$3999=may!$A21)*(lentry!$B$3:$B$3999&lt;=may!AJ$3)*(lentry!$C$3:$C$3999&gt;=may!AJ$3)),lentry!$D$3:$D$3999),IF(WEEKDAY(may!AJ$3,1)=1,"WO","P"))</f>
        <v>WO</v>
      </c>
      <c r="AK21" s="4">
        <f>COUNTIF(may!$F21:$AJ21,"WO")</f>
        <v>5</v>
      </c>
      <c r="AL21" s="4">
        <f>COUNTIF(may!$F21:$AJ21,"H")</f>
        <v>2</v>
      </c>
      <c r="AM21" s="4">
        <f>COUNTIF(may!$F21:$AJ21,"PL")</f>
        <v>0</v>
      </c>
      <c r="AN21" s="4">
        <f>COUNTIF(may!$F21:$AJ21,"LWP")</f>
        <v>0</v>
      </c>
      <c r="AO21" s="4">
        <f>COUNTIF(may!$F21:$AJ21,"HD")</f>
        <v>0</v>
      </c>
      <c r="AP21" s="4">
        <f>COUNTIF(may!$F21:$AJ21,"SL")</f>
        <v>0</v>
      </c>
      <c r="AQ21" s="4">
        <f>COUNTIF(may!$F21:$AJ21,"CL")</f>
        <v>0</v>
      </c>
      <c r="AR21" s="4">
        <f>COUNTIF(may!$F21:$AJ21,"A")</f>
        <v>0</v>
      </c>
      <c r="AS21" s="4">
        <f>COUNTIF(may!$F21:$AJ21,"P")</f>
        <v>24</v>
      </c>
      <c r="AT21" s="4">
        <f t="shared" si="2"/>
        <v>31</v>
      </c>
      <c r="AU21" s="4">
        <f t="shared" si="3"/>
        <v>31</v>
      </c>
      <c r="AV21" s="4">
        <f>SUMIFS(holly!$L$2:$L$122,holly!$I$2:$I$122,mar!$A21,holly!$K$2:$K$122,"Mar")</f>
        <v>0</v>
      </c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</row>
    <row r="22" spans="1:80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">
        <v>350</v>
      </c>
      <c r="G22" s="4" t="str">
        <f>IFERROR(LOOKUP(2,1/((lentry!$A$3:$A$3999=may!$A22)*(lentry!$B$3:$B$3999&lt;=may!G$3)*(lentry!$C$3:$C$3999&gt;=may!G$3)),lentry!$D$3:$D$3999),IF(WEEKDAY(may!G$3,1)=1,"WO","P"))</f>
        <v>P</v>
      </c>
      <c r="H22" s="4" t="str">
        <f>IFERROR(LOOKUP(2,1/((lentry!$A$3:$A$3999=may!$A22)*(lentry!$B$3:$B$3999&lt;=may!H$3)*(lentry!$C$3:$C$3999&gt;=may!H$3)),lentry!$D$3:$D$3999),IF(WEEKDAY(may!H$3,1)=1,"WO","P"))</f>
        <v>WO</v>
      </c>
      <c r="I22" s="4" t="str">
        <f>IFERROR(LOOKUP(2,1/((lentry!$A$3:$A$3999=may!$A22)*(lentry!$B$3:$B$3999&lt;=may!I$3)*(lentry!$C$3:$C$3999&gt;=may!I$3)),lentry!$D$3:$D$3999),IF(WEEKDAY(may!I$3,1)=1,"WO","P"))</f>
        <v>P</v>
      </c>
      <c r="J22" s="4" t="str">
        <f>IFERROR(LOOKUP(2,1/((lentry!$A$3:$A$3999=may!$A22)*(lentry!$B$3:$B$3999&lt;=may!J$3)*(lentry!$C$3:$C$3999&gt;=may!J$3)),lentry!$D$3:$D$3999),IF(WEEKDAY(may!J$3,1)=1,"WO","P"))</f>
        <v>P</v>
      </c>
      <c r="K22" s="4" t="str">
        <f>IFERROR(LOOKUP(2,1/((lentry!$A$3:$A$3999=may!$A22)*(lentry!$B$3:$B$3999&lt;=may!K$3)*(lentry!$C$3:$C$3999&gt;=may!K$3)),lentry!$D$3:$D$3999),IF(WEEKDAY(may!K$3,1)=1,"WO","P"))</f>
        <v>P</v>
      </c>
      <c r="L22" s="4" t="str">
        <f>IFERROR(LOOKUP(2,1/((lentry!$A$3:$A$3999=may!$A22)*(lentry!$B$3:$B$3999&lt;=may!L$3)*(lentry!$C$3:$C$3999&gt;=may!L$3)),lentry!$D$3:$D$3999),IF(WEEKDAY(may!L$3,1)=1,"WO","P"))</f>
        <v>P</v>
      </c>
      <c r="M22" s="4" t="str">
        <f>IFERROR(LOOKUP(2,1/((lentry!$A$3:$A$3999=may!$A22)*(lentry!$B$3:$B$3999&lt;=may!M$3)*(lentry!$C$3:$C$3999&gt;=may!M$3)),lentry!$D$3:$D$3999),IF(WEEKDAY(may!M$3,1)=1,"WO","P"))</f>
        <v>P</v>
      </c>
      <c r="N22" s="4" t="str">
        <f>IFERROR(LOOKUP(2,1/((lentry!$A$3:$A$3999=may!$A22)*(lentry!$B$3:$B$3999&lt;=may!N$3)*(lentry!$C$3:$C$3999&gt;=may!N$3)),lentry!$D$3:$D$3999),IF(WEEKDAY(may!N$3,1)=1,"WO","P"))</f>
        <v>P</v>
      </c>
      <c r="O22" s="4" t="str">
        <f>IFERROR(LOOKUP(2,1/((lentry!$A$3:$A$3999=may!$A22)*(lentry!$B$3:$B$3999&lt;=may!O$3)*(lentry!$C$3:$C$3999&gt;=may!O$3)),lentry!$D$3:$D$3999),IF(WEEKDAY(may!O$3,1)=1,"WO","P"))</f>
        <v>WO</v>
      </c>
      <c r="P22" s="4" t="str">
        <f>IFERROR(LOOKUP(2,1/((lentry!$A$3:$A$3999=may!$A22)*(lentry!$B$3:$B$3999&lt;=may!P$3)*(lentry!$C$3:$C$3999&gt;=may!P$3)),lentry!$D$3:$D$3999),IF(WEEKDAY(may!P$3,1)=1,"WO","P"))</f>
        <v>P</v>
      </c>
      <c r="Q22" s="4" t="str">
        <f>IFERROR(LOOKUP(2,1/((lentry!$A$3:$A$3999=may!$A22)*(lentry!$B$3:$B$3999&lt;=may!Q$3)*(lentry!$C$3:$C$3999&gt;=may!Q$3)),lentry!$D$3:$D$3999),IF(WEEKDAY(may!Q$3,1)=1,"WO","P"))</f>
        <v>P</v>
      </c>
      <c r="R22" s="4" t="str">
        <f>IFERROR(LOOKUP(2,1/((lentry!$A$3:$A$3999=may!$A22)*(lentry!$B$3:$B$3999&lt;=may!R$3)*(lentry!$C$3:$C$3999&gt;=may!R$3)),lentry!$D$3:$D$3999),IF(WEEKDAY(may!R$3,1)=1,"WO","P"))</f>
        <v>P</v>
      </c>
      <c r="S22" s="4" t="str">
        <f>IFERROR(LOOKUP(2,1/((lentry!$A$3:$A$3999=may!$A22)*(lentry!$B$3:$B$3999&lt;=may!S$3)*(lentry!$C$3:$C$3999&gt;=may!S$3)),lentry!$D$3:$D$3999),IF(WEEKDAY(may!S$3,1)=1,"WO","P"))</f>
        <v>P</v>
      </c>
      <c r="T22" s="4" t="str">
        <f>IFERROR(LOOKUP(2,1/((lentry!$A$3:$A$3999=may!$A22)*(lentry!$B$3:$B$3999&lt;=may!T$3)*(lentry!$C$3:$C$3999&gt;=may!T$3)),lentry!$D$3:$D$3999),IF(WEEKDAY(may!T$3,1)=1,"WO","P"))</f>
        <v>P</v>
      </c>
      <c r="U22" s="4" t="str">
        <f>IFERROR(LOOKUP(2,1/((lentry!$A$3:$A$3999=may!$A22)*(lentry!$B$3:$B$3999&lt;=may!U$3)*(lentry!$C$3:$C$3999&gt;=may!U$3)),lentry!$D$3:$D$3999),IF(WEEKDAY(may!U$3,1)=1,"WO","P"))</f>
        <v>P</v>
      </c>
      <c r="V22" s="4" t="str">
        <f>IFERROR(LOOKUP(2,1/((lentry!$A$3:$A$3999=may!$A22)*(lentry!$B$3:$B$3999&lt;=may!V$3)*(lentry!$C$3:$C$3999&gt;=may!V$3)),lentry!$D$3:$D$3999),IF(WEEKDAY(may!V$3,1)=1,"WO","P"))</f>
        <v>WO</v>
      </c>
      <c r="W22" s="4" t="str">
        <f>IFERROR(LOOKUP(2,1/((lentry!$A$3:$A$3999=may!$A22)*(lentry!$B$3:$B$3999&lt;=may!W$3)*(lentry!$C$3:$C$3999&gt;=may!W$3)),lentry!$D$3:$D$3999),IF(WEEKDAY(may!W$3,1)=1,"WO","P"))</f>
        <v>P</v>
      </c>
      <c r="X22" s="4" t="str">
        <f>IFERROR(LOOKUP(2,1/((lentry!$A$3:$A$3999=may!$A22)*(lentry!$B$3:$B$3999&lt;=may!X$3)*(lentry!$C$3:$C$3999&gt;=may!X$3)),lentry!$D$3:$D$3999),IF(WEEKDAY(may!X$3,1)=1,"WO","P"))</f>
        <v>P</v>
      </c>
      <c r="Y22" s="4" t="str">
        <f>IFERROR(LOOKUP(2,1/((lentry!$A$3:$A$3999=may!$A22)*(lentry!$B$3:$B$3999&lt;=may!Y$3)*(lentry!$C$3:$C$3999&gt;=may!Y$3)),lentry!$D$3:$D$3999),IF(WEEKDAY(may!Y$3,1)=1,"WO","P"))</f>
        <v>P</v>
      </c>
      <c r="Z22" s="4" t="str">
        <f>IFERROR(LOOKUP(2,1/((lentry!$A$3:$A$3999=may!$A22)*(lentry!$B$3:$B$3999&lt;=may!Z$3)*(lentry!$C$3:$C$3999&gt;=may!Z$3)),lentry!$D$3:$D$3999),IF(WEEKDAY(may!Z$3,1)=1,"WO","P"))</f>
        <v>P</v>
      </c>
      <c r="AA22" s="4" t="s">
        <v>539</v>
      </c>
      <c r="AB22" s="4" t="str">
        <f>IFERROR(LOOKUP(2,1/((lentry!$A$3:$A$3999=may!$A22)*(lentry!$B$3:$B$3999&lt;=may!AB$3)*(lentry!$C$3:$C$3999&gt;=may!AB$3)),lentry!$D$3:$D$3999),IF(WEEKDAY(may!AB$3,1)=1,"WO","P"))</f>
        <v>P</v>
      </c>
      <c r="AC22" s="4" t="str">
        <f>IFERROR(LOOKUP(2,1/((lentry!$A$3:$A$3999=may!$A22)*(lentry!$B$3:$B$3999&lt;=may!AC$3)*(lentry!$C$3:$C$3999&gt;=may!AC$3)),lentry!$D$3:$D$3999),IF(WEEKDAY(may!AC$3,1)=1,"WO","P"))</f>
        <v>WO</v>
      </c>
      <c r="AD22" s="4" t="str">
        <f>IFERROR(LOOKUP(2,1/((lentry!$A$3:$A$3999=may!$A22)*(lentry!$B$3:$B$3999&lt;=may!AD$3)*(lentry!$C$3:$C$3999&gt;=may!AD$3)),lentry!$D$3:$D$3999),IF(WEEKDAY(may!AD$3,1)=1,"WO","P"))</f>
        <v>P</v>
      </c>
      <c r="AE22" s="4" t="str">
        <f>IFERROR(LOOKUP(2,1/((lentry!$A$3:$A$3999=may!$A22)*(lentry!$B$3:$B$3999&lt;=may!AE$3)*(lentry!$C$3:$C$3999&gt;=may!AE$3)),lentry!$D$3:$D$3999),IF(WEEKDAY(may!AE$3,1)=1,"WO","P"))</f>
        <v>P</v>
      </c>
      <c r="AF22" s="4" t="s">
        <v>350</v>
      </c>
      <c r="AG22" s="4" t="str">
        <f>IFERROR(LOOKUP(2,1/((lentry!$A$3:$A$3999=may!$A22)*(lentry!$B$3:$B$3999&lt;=may!AG$3)*(lentry!$C$3:$C$3999&gt;=may!AG$3)),lentry!$D$3:$D$3999),IF(WEEKDAY(may!AG$3,1)=1,"WO","P"))</f>
        <v>P</v>
      </c>
      <c r="AH22" s="4" t="str">
        <f>IFERROR(LOOKUP(2,1/((lentry!$A$3:$A$3999=may!$A22)*(lentry!$B$3:$B$3999&lt;=may!AH$3)*(lentry!$C$3:$C$3999&gt;=may!AH$3)),lentry!$D$3:$D$3999),IF(WEEKDAY(may!AH$3,1)=1,"WO","P"))</f>
        <v>P</v>
      </c>
      <c r="AI22" s="4" t="str">
        <f>IFERROR(LOOKUP(2,1/((lentry!$A$3:$A$3999=may!$A22)*(lentry!$B$3:$B$3999&lt;=may!AI$3)*(lentry!$C$3:$C$3999&gt;=may!AI$3)),lentry!$D$3:$D$3999),IF(WEEKDAY(may!AI$3,1)=1,"WO","P"))</f>
        <v>P</v>
      </c>
      <c r="AJ22" s="4" t="str">
        <f>IFERROR(LOOKUP(2,1/((lentry!$A$3:$A$3999=may!$A22)*(lentry!$B$3:$B$3999&lt;=may!AJ$3)*(lentry!$C$3:$C$3999&gt;=may!AJ$3)),lentry!$D$3:$D$3999),IF(WEEKDAY(may!AJ$3,1)=1,"WO","P"))</f>
        <v>WO</v>
      </c>
      <c r="AK22" s="4">
        <f>COUNTIF(may!$F22:$AJ22,"WO")</f>
        <v>5</v>
      </c>
      <c r="AL22" s="4">
        <f>COUNTIF(may!$F22:$AJ22,"H")</f>
        <v>2</v>
      </c>
      <c r="AM22" s="4">
        <f>COUNTIF(may!$F22:$AJ22,"PL")</f>
        <v>0</v>
      </c>
      <c r="AN22" s="4">
        <f>COUNTIF(may!$F22:$AJ22,"LWP")</f>
        <v>0</v>
      </c>
      <c r="AO22" s="4">
        <f>COUNTIF(may!$F22:$AJ22,"HD")</f>
        <v>0</v>
      </c>
      <c r="AP22" s="4">
        <f>COUNTIF(may!$F22:$AJ22,"SL")</f>
        <v>0</v>
      </c>
      <c r="AQ22" s="4">
        <f>COUNTIF(may!$F22:$AJ22,"CL")</f>
        <v>0</v>
      </c>
      <c r="AR22" s="4">
        <f>COUNTIF(may!$F22:$AJ22,"A")</f>
        <v>1</v>
      </c>
      <c r="AS22" s="4">
        <f>COUNTIF(may!$F22:$AJ22,"P")</f>
        <v>23</v>
      </c>
      <c r="AT22" s="4">
        <f t="shared" si="2"/>
        <v>31</v>
      </c>
      <c r="AU22" s="4">
        <f t="shared" si="3"/>
        <v>30</v>
      </c>
      <c r="AV22" s="4">
        <f>SUMIFS(holly!$L$2:$L$122,holly!$I$2:$I$122,mar!$A22,holly!$K$2:$K$122,"Mar")</f>
        <v>1</v>
      </c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</row>
    <row r="23" spans="1:80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">
        <v>350</v>
      </c>
      <c r="G23" s="4" t="str">
        <f>IFERROR(LOOKUP(2,1/((lentry!$A$3:$A$3999=may!$A23)*(lentry!$B$3:$B$3999&lt;=may!G$3)*(lentry!$C$3:$C$3999&gt;=may!G$3)),lentry!$D$3:$D$3999),IF(WEEKDAY(may!G$3,1)=1,"WO","P"))</f>
        <v>P</v>
      </c>
      <c r="H23" s="4" t="str">
        <f>IFERROR(LOOKUP(2,1/((lentry!$A$3:$A$3999=may!$A23)*(lentry!$B$3:$B$3999&lt;=may!H$3)*(lentry!$C$3:$C$3999&gt;=may!H$3)),lentry!$D$3:$D$3999),IF(WEEKDAY(may!H$3,1)=1,"WO","P"))</f>
        <v>WO</v>
      </c>
      <c r="I23" s="4" t="str">
        <f>IFERROR(LOOKUP(2,1/((lentry!$A$3:$A$3999=may!$A23)*(lentry!$B$3:$B$3999&lt;=may!I$3)*(lentry!$C$3:$C$3999&gt;=may!I$3)),lentry!$D$3:$D$3999),IF(WEEKDAY(may!I$3,1)=1,"WO","P"))</f>
        <v>P</v>
      </c>
      <c r="J23" s="4" t="str">
        <f>IFERROR(LOOKUP(2,1/((lentry!$A$3:$A$3999=may!$A23)*(lentry!$B$3:$B$3999&lt;=may!J$3)*(lentry!$C$3:$C$3999&gt;=may!J$3)),lentry!$D$3:$D$3999),IF(WEEKDAY(may!J$3,1)=1,"WO","P"))</f>
        <v>P</v>
      </c>
      <c r="K23" s="4" t="str">
        <f>IFERROR(LOOKUP(2,1/((lentry!$A$3:$A$3999=may!$A23)*(lentry!$B$3:$B$3999&lt;=may!K$3)*(lentry!$C$3:$C$3999&gt;=may!K$3)),lentry!$D$3:$D$3999),IF(WEEKDAY(may!K$3,1)=1,"WO","P"))</f>
        <v>P</v>
      </c>
      <c r="L23" s="4" t="str">
        <f>IFERROR(LOOKUP(2,1/((lentry!$A$3:$A$3999=may!$A23)*(lentry!$B$3:$B$3999&lt;=may!L$3)*(lentry!$C$3:$C$3999&gt;=may!L$3)),lentry!$D$3:$D$3999),IF(WEEKDAY(may!L$3,1)=1,"WO","P"))</f>
        <v>P</v>
      </c>
      <c r="M23" s="4" t="str">
        <f>IFERROR(LOOKUP(2,1/((lentry!$A$3:$A$3999=may!$A23)*(lentry!$B$3:$B$3999&lt;=may!M$3)*(lentry!$C$3:$C$3999&gt;=may!M$3)),lentry!$D$3:$D$3999),IF(WEEKDAY(may!M$3,1)=1,"WO","P"))</f>
        <v>P</v>
      </c>
      <c r="N23" s="4" t="str">
        <f>IFERROR(LOOKUP(2,1/((lentry!$A$3:$A$3999=may!$A23)*(lentry!$B$3:$B$3999&lt;=may!N$3)*(lentry!$C$3:$C$3999&gt;=may!N$3)),lentry!$D$3:$D$3999),IF(WEEKDAY(may!N$3,1)=1,"WO","P"))</f>
        <v>P</v>
      </c>
      <c r="O23" s="4" t="str">
        <f>IFERROR(LOOKUP(2,1/((lentry!$A$3:$A$3999=may!$A23)*(lentry!$B$3:$B$3999&lt;=may!O$3)*(lentry!$C$3:$C$3999&gt;=may!O$3)),lentry!$D$3:$D$3999),IF(WEEKDAY(may!O$3,1)=1,"WO","P"))</f>
        <v>WO</v>
      </c>
      <c r="P23" s="4" t="str">
        <f>IFERROR(LOOKUP(2,1/((lentry!$A$3:$A$3999=may!$A23)*(lentry!$B$3:$B$3999&lt;=may!P$3)*(lentry!$C$3:$C$3999&gt;=may!P$3)),lentry!$D$3:$D$3999),IF(WEEKDAY(may!P$3,1)=1,"WO","P"))</f>
        <v>P</v>
      </c>
      <c r="Q23" s="4" t="str">
        <f>IFERROR(LOOKUP(2,1/((lentry!$A$3:$A$3999=may!$A23)*(lentry!$B$3:$B$3999&lt;=may!Q$3)*(lentry!$C$3:$C$3999&gt;=may!Q$3)),lentry!$D$3:$D$3999),IF(WEEKDAY(may!Q$3,1)=1,"WO","P"))</f>
        <v>P</v>
      </c>
      <c r="R23" s="4" t="str">
        <f>IFERROR(LOOKUP(2,1/((lentry!$A$3:$A$3999=may!$A23)*(lentry!$B$3:$B$3999&lt;=may!R$3)*(lentry!$C$3:$C$3999&gt;=may!R$3)),lentry!$D$3:$D$3999),IF(WEEKDAY(may!R$3,1)=1,"WO","P"))</f>
        <v>P</v>
      </c>
      <c r="S23" s="4" t="str">
        <f>IFERROR(LOOKUP(2,1/((lentry!$A$3:$A$3999=may!$A23)*(lentry!$B$3:$B$3999&lt;=may!S$3)*(lentry!$C$3:$C$3999&gt;=may!S$3)),lentry!$D$3:$D$3999),IF(WEEKDAY(may!S$3,1)=1,"WO","P"))</f>
        <v>P</v>
      </c>
      <c r="T23" s="4" t="str">
        <f>IFERROR(LOOKUP(2,1/((lentry!$A$3:$A$3999=may!$A23)*(lentry!$B$3:$B$3999&lt;=may!T$3)*(lentry!$C$3:$C$3999&gt;=may!T$3)),lentry!$D$3:$D$3999),IF(WEEKDAY(may!T$3,1)=1,"WO","P"))</f>
        <v>P</v>
      </c>
      <c r="U23" s="4" t="str">
        <f>IFERROR(LOOKUP(2,1/((lentry!$A$3:$A$3999=may!$A23)*(lentry!$B$3:$B$3999&lt;=may!U$3)*(lentry!$C$3:$C$3999&gt;=may!U$3)),lentry!$D$3:$D$3999),IF(WEEKDAY(may!U$3,1)=1,"WO","P"))</f>
        <v>P</v>
      </c>
      <c r="V23" s="4" t="str">
        <f>IFERROR(LOOKUP(2,1/((lentry!$A$3:$A$3999=may!$A23)*(lentry!$B$3:$B$3999&lt;=may!V$3)*(lentry!$C$3:$C$3999&gt;=may!V$3)),lentry!$D$3:$D$3999),IF(WEEKDAY(may!V$3,1)=1,"WO","P"))</f>
        <v>WO</v>
      </c>
      <c r="W23" s="4" t="str">
        <f>IFERROR(LOOKUP(2,1/((lentry!$A$3:$A$3999=may!$A23)*(lentry!$B$3:$B$3999&lt;=may!W$3)*(lentry!$C$3:$C$3999&gt;=may!W$3)),lentry!$D$3:$D$3999),IF(WEEKDAY(may!W$3,1)=1,"WO","P"))</f>
        <v>P</v>
      </c>
      <c r="X23" s="4" t="str">
        <f>IFERROR(LOOKUP(2,1/((lentry!$A$3:$A$3999=may!$A23)*(lentry!$B$3:$B$3999&lt;=may!X$3)*(lentry!$C$3:$C$3999&gt;=may!X$3)),lentry!$D$3:$D$3999),IF(WEEKDAY(may!X$3,1)=1,"WO","P"))</f>
        <v>P</v>
      </c>
      <c r="Y23" s="4" t="str">
        <f>IFERROR(LOOKUP(2,1/((lentry!$A$3:$A$3999=may!$A23)*(lentry!$B$3:$B$3999&lt;=may!Y$3)*(lentry!$C$3:$C$3999&gt;=may!Y$3)),lentry!$D$3:$D$3999),IF(WEEKDAY(may!Y$3,1)=1,"WO","P"))</f>
        <v>P</v>
      </c>
      <c r="Z23" s="4" t="str">
        <f>IFERROR(LOOKUP(2,1/((lentry!$A$3:$A$3999=may!$A23)*(lentry!$B$3:$B$3999&lt;=may!Z$3)*(lentry!$C$3:$C$3999&gt;=may!Z$3)),lentry!$D$3:$D$3999),IF(WEEKDAY(may!Z$3,1)=1,"WO","P"))</f>
        <v>P</v>
      </c>
      <c r="AA23" s="4" t="str">
        <f>IFERROR(LOOKUP(2,1/((lentry!$A$3:$A$3999=may!$A23)*(lentry!$B$3:$B$3999&lt;=may!AA$3)*(lentry!$C$3:$C$3999&gt;=may!AA$3)),lentry!$D$3:$D$3999),IF(WEEKDAY(may!AA$3,1)=1,"WO","P"))</f>
        <v>P</v>
      </c>
      <c r="AB23" s="4" t="str">
        <f>IFERROR(LOOKUP(2,1/((lentry!$A$3:$A$3999=may!$A23)*(lentry!$B$3:$B$3999&lt;=may!AB$3)*(lentry!$C$3:$C$3999&gt;=may!AB$3)),lentry!$D$3:$D$3999),IF(WEEKDAY(may!AB$3,1)=1,"WO","P"))</f>
        <v>P</v>
      </c>
      <c r="AC23" s="4" t="str">
        <f>IFERROR(LOOKUP(2,1/((lentry!$A$3:$A$3999=may!$A23)*(lentry!$B$3:$B$3999&lt;=may!AC$3)*(lentry!$C$3:$C$3999&gt;=may!AC$3)),lentry!$D$3:$D$3999),IF(WEEKDAY(may!AC$3,1)=1,"WO","P"))</f>
        <v>WO</v>
      </c>
      <c r="AD23" s="4" t="str">
        <f>IFERROR(LOOKUP(2,1/((lentry!$A$3:$A$3999=may!$A23)*(lentry!$B$3:$B$3999&lt;=may!AD$3)*(lentry!$C$3:$C$3999&gt;=may!AD$3)),lentry!$D$3:$D$3999),IF(WEEKDAY(may!AD$3,1)=1,"WO","P"))</f>
        <v>P</v>
      </c>
      <c r="AE23" s="4" t="str">
        <f>IFERROR(LOOKUP(2,1/((lentry!$A$3:$A$3999=may!$A23)*(lentry!$B$3:$B$3999&lt;=may!AE$3)*(lentry!$C$3:$C$3999&gt;=may!AE$3)),lentry!$D$3:$D$3999),IF(WEEKDAY(may!AE$3,1)=1,"WO","P"))</f>
        <v>P</v>
      </c>
      <c r="AF23" s="4" t="s">
        <v>350</v>
      </c>
      <c r="AG23" s="4" t="str">
        <f>IFERROR(LOOKUP(2,1/((lentry!$A$3:$A$3999=may!$A23)*(lentry!$B$3:$B$3999&lt;=may!AG$3)*(lentry!$C$3:$C$3999&gt;=may!AG$3)),lentry!$D$3:$D$3999),IF(WEEKDAY(may!AG$3,1)=1,"WO","P"))</f>
        <v>P</v>
      </c>
      <c r="AH23" s="4" t="str">
        <f>IFERROR(LOOKUP(2,1/((lentry!$A$3:$A$3999=may!$A23)*(lentry!$B$3:$B$3999&lt;=may!AH$3)*(lentry!$C$3:$C$3999&gt;=may!AH$3)),lentry!$D$3:$D$3999),IF(WEEKDAY(may!AH$3,1)=1,"WO","P"))</f>
        <v>P</v>
      </c>
      <c r="AI23" s="4" t="str">
        <f>IFERROR(LOOKUP(2,1/((lentry!$A$3:$A$3999=may!$A23)*(lentry!$B$3:$B$3999&lt;=may!AI$3)*(lentry!$C$3:$C$3999&gt;=may!AI$3)),lentry!$D$3:$D$3999),IF(WEEKDAY(may!AI$3,1)=1,"WO","P"))</f>
        <v>P</v>
      </c>
      <c r="AJ23" s="4" t="str">
        <f>IFERROR(LOOKUP(2,1/((lentry!$A$3:$A$3999=may!$A23)*(lentry!$B$3:$B$3999&lt;=may!AJ$3)*(lentry!$C$3:$C$3999&gt;=may!AJ$3)),lentry!$D$3:$D$3999),IF(WEEKDAY(may!AJ$3,1)=1,"WO","P"))</f>
        <v>WO</v>
      </c>
      <c r="AK23" s="4">
        <f>COUNTIF(may!$F23:$AJ23,"WO")</f>
        <v>5</v>
      </c>
      <c r="AL23" s="4">
        <f>COUNTIF(may!$F23:$AJ23,"H")</f>
        <v>2</v>
      </c>
      <c r="AM23" s="4">
        <f>COUNTIF(may!$F23:$AJ23,"PL")</f>
        <v>0</v>
      </c>
      <c r="AN23" s="4">
        <f>COUNTIF(may!$F23:$AJ23,"LWP")</f>
        <v>0</v>
      </c>
      <c r="AO23" s="4">
        <f>COUNTIF(may!$F23:$AJ23,"HD")</f>
        <v>0</v>
      </c>
      <c r="AP23" s="4">
        <f>COUNTIF(may!$F23:$AJ23,"SL")</f>
        <v>0</v>
      </c>
      <c r="AQ23" s="4">
        <f>COUNTIF(may!$F23:$AJ23,"CL")</f>
        <v>0</v>
      </c>
      <c r="AR23" s="4">
        <f>COUNTIF(may!$F23:$AJ23,"A")</f>
        <v>0</v>
      </c>
      <c r="AS23" s="4">
        <f>COUNTIF(may!$F23:$AJ23,"P")</f>
        <v>24</v>
      </c>
      <c r="AT23" s="4">
        <f t="shared" si="2"/>
        <v>31</v>
      </c>
      <c r="AU23" s="4">
        <f t="shared" si="3"/>
        <v>31</v>
      </c>
      <c r="AV23" s="4">
        <f>SUMIFS(holly!$L$2:$L$122,holly!$I$2:$I$122,mar!$A23,holly!$K$2:$K$122,"Mar")</f>
        <v>0</v>
      </c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</row>
    <row r="24" spans="1:80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">
        <v>350</v>
      </c>
      <c r="G24" s="4" t="str">
        <f>IFERROR(LOOKUP(2,1/((lentry!$A$3:$A$3999=may!$A24)*(lentry!$B$3:$B$3999&lt;=may!G$3)*(lentry!$C$3:$C$3999&gt;=may!G$3)),lentry!$D$3:$D$3999),IF(WEEKDAY(may!G$3,1)=1,"WO","P"))</f>
        <v>P</v>
      </c>
      <c r="H24" s="4" t="str">
        <f>IFERROR(LOOKUP(2,1/((lentry!$A$3:$A$3999=may!$A24)*(lentry!$B$3:$B$3999&lt;=may!H$3)*(lentry!$C$3:$C$3999&gt;=may!H$3)),lentry!$D$3:$D$3999),IF(WEEKDAY(may!H$3,1)=1,"WO","P"))</f>
        <v>WO</v>
      </c>
      <c r="I24" s="4" t="str">
        <f>IFERROR(LOOKUP(2,1/((lentry!$A$3:$A$3999=may!$A24)*(lentry!$B$3:$B$3999&lt;=may!I$3)*(lentry!$C$3:$C$3999&gt;=may!I$3)),lentry!$D$3:$D$3999),IF(WEEKDAY(may!I$3,1)=1,"WO","P"))</f>
        <v>P</v>
      </c>
      <c r="J24" s="4" t="str">
        <f>IFERROR(LOOKUP(2,1/((lentry!$A$3:$A$3999=may!$A24)*(lentry!$B$3:$B$3999&lt;=may!J$3)*(lentry!$C$3:$C$3999&gt;=may!J$3)),lentry!$D$3:$D$3999),IF(WEEKDAY(may!J$3,1)=1,"WO","P"))</f>
        <v>P</v>
      </c>
      <c r="K24" s="4" t="str">
        <f>IFERROR(LOOKUP(2,1/((lentry!$A$3:$A$3999=may!$A24)*(lentry!$B$3:$B$3999&lt;=may!K$3)*(lentry!$C$3:$C$3999&gt;=may!K$3)),lentry!$D$3:$D$3999),IF(WEEKDAY(may!K$3,1)=1,"WO","P"))</f>
        <v>P</v>
      </c>
      <c r="L24" s="4" t="str">
        <f>IFERROR(LOOKUP(2,1/((lentry!$A$3:$A$3999=may!$A24)*(lentry!$B$3:$B$3999&lt;=may!L$3)*(lentry!$C$3:$C$3999&gt;=may!L$3)),lentry!$D$3:$D$3999),IF(WEEKDAY(may!L$3,1)=1,"WO","P"))</f>
        <v>P</v>
      </c>
      <c r="M24" s="4" t="str">
        <f>IFERROR(LOOKUP(2,1/((lentry!$A$3:$A$3999=may!$A24)*(lentry!$B$3:$B$3999&lt;=may!M$3)*(lentry!$C$3:$C$3999&gt;=may!M$3)),lentry!$D$3:$D$3999),IF(WEEKDAY(may!M$3,1)=1,"WO","P"))</f>
        <v>P</v>
      </c>
      <c r="N24" s="4" t="str">
        <f>IFERROR(LOOKUP(2,1/((lentry!$A$3:$A$3999=may!$A24)*(lentry!$B$3:$B$3999&lt;=may!N$3)*(lentry!$C$3:$C$3999&gt;=may!N$3)),lentry!$D$3:$D$3999),IF(WEEKDAY(may!N$3,1)=1,"WO","P"))</f>
        <v>P</v>
      </c>
      <c r="O24" s="4" t="str">
        <f>IFERROR(LOOKUP(2,1/((lentry!$A$3:$A$3999=may!$A24)*(lentry!$B$3:$B$3999&lt;=may!O$3)*(lentry!$C$3:$C$3999&gt;=may!O$3)),lentry!$D$3:$D$3999),IF(WEEKDAY(may!O$3,1)=1,"WO","P"))</f>
        <v>WO</v>
      </c>
      <c r="P24" s="4" t="str">
        <f>IFERROR(LOOKUP(2,1/((lentry!$A$3:$A$3999=may!$A24)*(lentry!$B$3:$B$3999&lt;=may!P$3)*(lentry!$C$3:$C$3999&gt;=may!P$3)),lentry!$D$3:$D$3999),IF(WEEKDAY(may!P$3,1)=1,"WO","P"))</f>
        <v>P</v>
      </c>
      <c r="Q24" s="4" t="str">
        <f>IFERROR(LOOKUP(2,1/((lentry!$A$3:$A$3999=may!$A24)*(lentry!$B$3:$B$3999&lt;=may!Q$3)*(lentry!$C$3:$C$3999&gt;=may!Q$3)),lentry!$D$3:$D$3999),IF(WEEKDAY(may!Q$3,1)=1,"WO","P"))</f>
        <v>P</v>
      </c>
      <c r="R24" s="4" t="str">
        <f>IFERROR(LOOKUP(2,1/((lentry!$A$3:$A$3999=may!$A24)*(lentry!$B$3:$B$3999&lt;=may!R$3)*(lentry!$C$3:$C$3999&gt;=may!R$3)),lentry!$D$3:$D$3999),IF(WEEKDAY(may!R$3,1)=1,"WO","P"))</f>
        <v>P</v>
      </c>
      <c r="S24" s="4" t="str">
        <f>IFERROR(LOOKUP(2,1/((lentry!$A$3:$A$3999=may!$A24)*(lentry!$B$3:$B$3999&lt;=may!S$3)*(lentry!$C$3:$C$3999&gt;=may!S$3)),lentry!$D$3:$D$3999),IF(WEEKDAY(may!S$3,1)=1,"WO","P"))</f>
        <v>P</v>
      </c>
      <c r="T24" s="4" t="str">
        <f>IFERROR(LOOKUP(2,1/((lentry!$A$3:$A$3999=may!$A24)*(lentry!$B$3:$B$3999&lt;=may!T$3)*(lentry!$C$3:$C$3999&gt;=may!T$3)),lentry!$D$3:$D$3999),IF(WEEKDAY(may!T$3,1)=1,"WO","P"))</f>
        <v>P</v>
      </c>
      <c r="U24" s="4" t="str">
        <f>IFERROR(LOOKUP(2,1/((lentry!$A$3:$A$3999=may!$A24)*(lentry!$B$3:$B$3999&lt;=may!U$3)*(lentry!$C$3:$C$3999&gt;=may!U$3)),lentry!$D$3:$D$3999),IF(WEEKDAY(may!U$3,1)=1,"WO","P"))</f>
        <v>P</v>
      </c>
      <c r="V24" s="4" t="str">
        <f>IFERROR(LOOKUP(2,1/((lentry!$A$3:$A$3999=may!$A24)*(lentry!$B$3:$B$3999&lt;=may!V$3)*(lentry!$C$3:$C$3999&gt;=may!V$3)),lentry!$D$3:$D$3999),IF(WEEKDAY(may!V$3,1)=1,"WO","P"))</f>
        <v>WO</v>
      </c>
      <c r="W24" s="4" t="str">
        <f>IFERROR(LOOKUP(2,1/((lentry!$A$3:$A$3999=may!$A24)*(lentry!$B$3:$B$3999&lt;=may!W$3)*(lentry!$C$3:$C$3999&gt;=may!W$3)),lentry!$D$3:$D$3999),IF(WEEKDAY(may!W$3,1)=1,"WO","P"))</f>
        <v>P</v>
      </c>
      <c r="X24" s="4" t="str">
        <f>IFERROR(LOOKUP(2,1/((lentry!$A$3:$A$3999=may!$A24)*(lentry!$B$3:$B$3999&lt;=may!X$3)*(lentry!$C$3:$C$3999&gt;=may!X$3)),lentry!$D$3:$D$3999),IF(WEEKDAY(may!X$3,1)=1,"WO","P"))</f>
        <v>P</v>
      </c>
      <c r="Y24" s="4" t="str">
        <f>IFERROR(LOOKUP(2,1/((lentry!$A$3:$A$3999=may!$A24)*(lentry!$B$3:$B$3999&lt;=may!Y$3)*(lentry!$C$3:$C$3999&gt;=may!Y$3)),lentry!$D$3:$D$3999),IF(WEEKDAY(may!Y$3,1)=1,"WO","P"))</f>
        <v>P</v>
      </c>
      <c r="Z24" s="4" t="str">
        <f>IFERROR(LOOKUP(2,1/((lentry!$A$3:$A$3999=may!$A24)*(lentry!$B$3:$B$3999&lt;=may!Z$3)*(lentry!$C$3:$C$3999&gt;=may!Z$3)),lentry!$D$3:$D$3999),IF(WEEKDAY(may!Z$3,1)=1,"WO","P"))</f>
        <v>P</v>
      </c>
      <c r="AA24" s="4" t="str">
        <f>IFERROR(LOOKUP(2,1/((lentry!$A$3:$A$3999=may!$A24)*(lentry!$B$3:$B$3999&lt;=may!AA$3)*(lentry!$C$3:$C$3999&gt;=may!AA$3)),lentry!$D$3:$D$3999),IF(WEEKDAY(may!AA$3,1)=1,"WO","P"))</f>
        <v>P</v>
      </c>
      <c r="AB24" s="4" t="str">
        <f>IFERROR(LOOKUP(2,1/((lentry!$A$3:$A$3999=may!$A24)*(lentry!$B$3:$B$3999&lt;=may!AB$3)*(lentry!$C$3:$C$3999&gt;=may!AB$3)),lentry!$D$3:$D$3999),IF(WEEKDAY(may!AB$3,1)=1,"WO","P"))</f>
        <v>P</v>
      </c>
      <c r="AC24" s="4" t="str">
        <f>IFERROR(LOOKUP(2,1/((lentry!$A$3:$A$3999=may!$A24)*(lentry!$B$3:$B$3999&lt;=may!AC$3)*(lentry!$C$3:$C$3999&gt;=may!AC$3)),lentry!$D$3:$D$3999),IF(WEEKDAY(may!AC$3,1)=1,"WO","P"))</f>
        <v>WO</v>
      </c>
      <c r="AD24" s="4" t="str">
        <f>IFERROR(LOOKUP(2,1/((lentry!$A$3:$A$3999=may!$A24)*(lentry!$B$3:$B$3999&lt;=may!AD$3)*(lentry!$C$3:$C$3999&gt;=may!AD$3)),lentry!$D$3:$D$3999),IF(WEEKDAY(may!AD$3,1)=1,"WO","P"))</f>
        <v>P</v>
      </c>
      <c r="AE24" s="4" t="str">
        <f>IFERROR(LOOKUP(2,1/((lentry!$A$3:$A$3999=may!$A24)*(lentry!$B$3:$B$3999&lt;=may!AE$3)*(lentry!$C$3:$C$3999&gt;=may!AE$3)),lentry!$D$3:$D$3999),IF(WEEKDAY(may!AE$3,1)=1,"WO","P"))</f>
        <v>P</v>
      </c>
      <c r="AF24" s="4" t="s">
        <v>350</v>
      </c>
      <c r="AG24" s="4" t="str">
        <f>IFERROR(LOOKUP(2,1/((lentry!$A$3:$A$3999=may!$A24)*(lentry!$B$3:$B$3999&lt;=may!AG$3)*(lentry!$C$3:$C$3999&gt;=may!AG$3)),lentry!$D$3:$D$3999),IF(WEEKDAY(may!AG$3,1)=1,"WO","P"))</f>
        <v>P</v>
      </c>
      <c r="AH24" s="4" t="str">
        <f>IFERROR(LOOKUP(2,1/((lentry!$A$3:$A$3999=may!$A24)*(lentry!$B$3:$B$3999&lt;=may!AH$3)*(lentry!$C$3:$C$3999&gt;=may!AH$3)),lentry!$D$3:$D$3999),IF(WEEKDAY(may!AH$3,1)=1,"WO","P"))</f>
        <v>P</v>
      </c>
      <c r="AI24" s="4" t="str">
        <f>IFERROR(LOOKUP(2,1/((lentry!$A$3:$A$3999=may!$A24)*(lentry!$B$3:$B$3999&lt;=may!AI$3)*(lentry!$C$3:$C$3999&gt;=may!AI$3)),lentry!$D$3:$D$3999),IF(WEEKDAY(may!AI$3,1)=1,"WO","P"))</f>
        <v>P</v>
      </c>
      <c r="AJ24" s="4" t="str">
        <f>IFERROR(LOOKUP(2,1/((lentry!$A$3:$A$3999=may!$A24)*(lentry!$B$3:$B$3999&lt;=may!AJ$3)*(lentry!$C$3:$C$3999&gt;=may!AJ$3)),lentry!$D$3:$D$3999),IF(WEEKDAY(may!AJ$3,1)=1,"WO","P"))</f>
        <v>WO</v>
      </c>
      <c r="AK24" s="4">
        <f>COUNTIF(may!$F24:$AJ24,"WO")</f>
        <v>5</v>
      </c>
      <c r="AL24" s="4">
        <f>COUNTIF(may!$F24:$AJ24,"H")</f>
        <v>2</v>
      </c>
      <c r="AM24" s="4">
        <f>COUNTIF(may!$F24:$AJ24,"PL")</f>
        <v>0</v>
      </c>
      <c r="AN24" s="4">
        <f>COUNTIF(may!$F24:$AJ24,"LWP")</f>
        <v>0</v>
      </c>
      <c r="AO24" s="4">
        <f>COUNTIF(may!$F24:$AJ24,"HD")</f>
        <v>0</v>
      </c>
      <c r="AP24" s="4">
        <f>COUNTIF(may!$F24:$AJ24,"SL")</f>
        <v>0</v>
      </c>
      <c r="AQ24" s="4">
        <f>COUNTIF(may!$F24:$AJ24,"CL")</f>
        <v>0</v>
      </c>
      <c r="AR24" s="4">
        <f>COUNTIF(may!$F24:$AJ24,"A")</f>
        <v>0</v>
      </c>
      <c r="AS24" s="4">
        <f>COUNTIF(may!$F24:$AJ24,"P")</f>
        <v>24</v>
      </c>
      <c r="AT24" s="4">
        <f t="shared" si="2"/>
        <v>31</v>
      </c>
      <c r="AU24" s="4">
        <f t="shared" si="3"/>
        <v>31</v>
      </c>
      <c r="AV24" s="4">
        <f>SUMIFS(holly!$L$2:$L$122,holly!$I$2:$I$122,mar!$A24,holly!$K$2:$K$122,"Mar")</f>
        <v>0</v>
      </c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</row>
    <row r="25" spans="1:80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">
        <v>350</v>
      </c>
      <c r="G25" s="4" t="str">
        <f>IFERROR(LOOKUP(2,1/((lentry!$A$3:$A$3999=may!$A25)*(lentry!$B$3:$B$3999&lt;=may!G$3)*(lentry!$C$3:$C$3999&gt;=may!G$3)),lentry!$D$3:$D$3999),IF(WEEKDAY(may!G$3,1)=1,"WO","P"))</f>
        <v>P</v>
      </c>
      <c r="H25" s="4" t="str">
        <f>IFERROR(LOOKUP(2,1/((lentry!$A$3:$A$3999=may!$A25)*(lentry!$B$3:$B$3999&lt;=may!H$3)*(lentry!$C$3:$C$3999&gt;=may!H$3)),lentry!$D$3:$D$3999),IF(WEEKDAY(may!H$3,1)=1,"WO","P"))</f>
        <v>WO</v>
      </c>
      <c r="I25" s="4" t="str">
        <f>IFERROR(LOOKUP(2,1/((lentry!$A$3:$A$3999=may!$A25)*(lentry!$B$3:$B$3999&lt;=may!I$3)*(lentry!$C$3:$C$3999&gt;=may!I$3)),lentry!$D$3:$D$3999),IF(WEEKDAY(may!I$3,1)=1,"WO","P"))</f>
        <v>P</v>
      </c>
      <c r="J25" s="4" t="str">
        <f>IFERROR(LOOKUP(2,1/((lentry!$A$3:$A$3999=may!$A25)*(lentry!$B$3:$B$3999&lt;=may!J$3)*(lentry!$C$3:$C$3999&gt;=may!J$3)),lentry!$D$3:$D$3999),IF(WEEKDAY(may!J$3,1)=1,"WO","P"))</f>
        <v>P</v>
      </c>
      <c r="K25" s="4" t="str">
        <f>IFERROR(LOOKUP(2,1/((lentry!$A$3:$A$3999=may!$A25)*(lentry!$B$3:$B$3999&lt;=may!K$3)*(lentry!$C$3:$C$3999&gt;=may!K$3)),lentry!$D$3:$D$3999),IF(WEEKDAY(may!K$3,1)=1,"WO","P"))</f>
        <v>P</v>
      </c>
      <c r="L25" s="4" t="str">
        <f>IFERROR(LOOKUP(2,1/((lentry!$A$3:$A$3999=may!$A25)*(lentry!$B$3:$B$3999&lt;=may!L$3)*(lentry!$C$3:$C$3999&gt;=may!L$3)),lentry!$D$3:$D$3999),IF(WEEKDAY(may!L$3,1)=1,"WO","P"))</f>
        <v>P</v>
      </c>
      <c r="M25" s="4" t="str">
        <f>IFERROR(LOOKUP(2,1/((lentry!$A$3:$A$3999=may!$A25)*(lentry!$B$3:$B$3999&lt;=may!M$3)*(lentry!$C$3:$C$3999&gt;=may!M$3)),lentry!$D$3:$D$3999),IF(WEEKDAY(may!M$3,1)=1,"WO","P"))</f>
        <v>P</v>
      </c>
      <c r="N25" s="4" t="str">
        <f>IFERROR(LOOKUP(2,1/((lentry!$A$3:$A$3999=may!$A25)*(lentry!$B$3:$B$3999&lt;=may!N$3)*(lentry!$C$3:$C$3999&gt;=may!N$3)),lentry!$D$3:$D$3999),IF(WEEKDAY(may!N$3,1)=1,"WO","P"))</f>
        <v>P</v>
      </c>
      <c r="O25" s="4" t="str">
        <f>IFERROR(LOOKUP(2,1/((lentry!$A$3:$A$3999=may!$A25)*(lentry!$B$3:$B$3999&lt;=may!O$3)*(lentry!$C$3:$C$3999&gt;=may!O$3)),lentry!$D$3:$D$3999),IF(WEEKDAY(may!O$3,1)=1,"WO","P"))</f>
        <v>WO</v>
      </c>
      <c r="P25" s="4" t="str">
        <f>IFERROR(LOOKUP(2,1/((lentry!$A$3:$A$3999=may!$A25)*(lentry!$B$3:$B$3999&lt;=may!P$3)*(lentry!$C$3:$C$3999&gt;=may!P$3)),lentry!$D$3:$D$3999),IF(WEEKDAY(may!P$3,1)=1,"WO","P"))</f>
        <v>P</v>
      </c>
      <c r="Q25" s="4" t="str">
        <f>IFERROR(LOOKUP(2,1/((lentry!$A$3:$A$3999=may!$A25)*(lentry!$B$3:$B$3999&lt;=may!Q$3)*(lentry!$C$3:$C$3999&gt;=may!Q$3)),lentry!$D$3:$D$3999),IF(WEEKDAY(may!Q$3,1)=1,"WO","P"))</f>
        <v>P</v>
      </c>
      <c r="R25" s="4" t="str">
        <f>IFERROR(LOOKUP(2,1/((lentry!$A$3:$A$3999=may!$A25)*(lentry!$B$3:$B$3999&lt;=may!R$3)*(lentry!$C$3:$C$3999&gt;=may!R$3)),lentry!$D$3:$D$3999),IF(WEEKDAY(may!R$3,1)=1,"WO","P"))</f>
        <v>P</v>
      </c>
      <c r="S25" s="4" t="str">
        <f>IFERROR(LOOKUP(2,1/((lentry!$A$3:$A$3999=may!$A25)*(lentry!$B$3:$B$3999&lt;=may!S$3)*(lentry!$C$3:$C$3999&gt;=may!S$3)),lentry!$D$3:$D$3999),IF(WEEKDAY(may!S$3,1)=1,"WO","P"))</f>
        <v>P</v>
      </c>
      <c r="T25" s="4" t="str">
        <f>IFERROR(LOOKUP(2,1/((lentry!$A$3:$A$3999=may!$A25)*(lentry!$B$3:$B$3999&lt;=may!T$3)*(lentry!$C$3:$C$3999&gt;=may!T$3)),lentry!$D$3:$D$3999),IF(WEEKDAY(may!T$3,1)=1,"WO","P"))</f>
        <v>P</v>
      </c>
      <c r="U25" s="4" t="str">
        <f>IFERROR(LOOKUP(2,1/((lentry!$A$3:$A$3999=may!$A25)*(lentry!$B$3:$B$3999&lt;=may!U$3)*(lentry!$C$3:$C$3999&gt;=may!U$3)),lentry!$D$3:$D$3999),IF(WEEKDAY(may!U$3,1)=1,"WO","P"))</f>
        <v>P</v>
      </c>
      <c r="V25" s="4" t="str">
        <f>IFERROR(LOOKUP(2,1/((lentry!$A$3:$A$3999=may!$A25)*(lentry!$B$3:$B$3999&lt;=may!V$3)*(lentry!$C$3:$C$3999&gt;=may!V$3)),lentry!$D$3:$D$3999),IF(WEEKDAY(may!V$3,1)=1,"WO","P"))</f>
        <v>WO</v>
      </c>
      <c r="W25" s="4" t="str">
        <f>IFERROR(LOOKUP(2,1/((lentry!$A$3:$A$3999=may!$A25)*(lentry!$B$3:$B$3999&lt;=may!W$3)*(lentry!$C$3:$C$3999&gt;=may!W$3)),lentry!$D$3:$D$3999),IF(WEEKDAY(may!W$3,1)=1,"WO","P"))</f>
        <v>P</v>
      </c>
      <c r="X25" s="4" t="str">
        <f>IFERROR(LOOKUP(2,1/((lentry!$A$3:$A$3999=may!$A25)*(lentry!$B$3:$B$3999&lt;=may!X$3)*(lentry!$C$3:$C$3999&gt;=may!X$3)),lentry!$D$3:$D$3999),IF(WEEKDAY(may!X$3,1)=1,"WO","P"))</f>
        <v>P</v>
      </c>
      <c r="Y25" s="4" t="str">
        <f>IFERROR(LOOKUP(2,1/((lentry!$A$3:$A$3999=may!$A25)*(lentry!$B$3:$B$3999&lt;=may!Y$3)*(lentry!$C$3:$C$3999&gt;=may!Y$3)),lentry!$D$3:$D$3999),IF(WEEKDAY(may!Y$3,1)=1,"WO","P"))</f>
        <v>P</v>
      </c>
      <c r="Z25" s="4" t="str">
        <f>IFERROR(LOOKUP(2,1/((lentry!$A$3:$A$3999=may!$A25)*(lentry!$B$3:$B$3999&lt;=may!Z$3)*(lentry!$C$3:$C$3999&gt;=may!Z$3)),lentry!$D$3:$D$3999),IF(WEEKDAY(may!Z$3,1)=1,"WO","P"))</f>
        <v>P</v>
      </c>
      <c r="AA25" s="4" t="str">
        <f>IFERROR(LOOKUP(2,1/((lentry!$A$3:$A$3999=may!$A25)*(lentry!$B$3:$B$3999&lt;=may!AA$3)*(lentry!$C$3:$C$3999&gt;=may!AA$3)),lentry!$D$3:$D$3999),IF(WEEKDAY(may!AA$3,1)=1,"WO","P"))</f>
        <v>P</v>
      </c>
      <c r="AB25" s="4" t="str">
        <f>IFERROR(LOOKUP(2,1/((lentry!$A$3:$A$3999=may!$A25)*(lentry!$B$3:$B$3999&lt;=may!AB$3)*(lentry!$C$3:$C$3999&gt;=may!AB$3)),lentry!$D$3:$D$3999),IF(WEEKDAY(may!AB$3,1)=1,"WO","P"))</f>
        <v>P</v>
      </c>
      <c r="AC25" s="4" t="str">
        <f>IFERROR(LOOKUP(2,1/((lentry!$A$3:$A$3999=may!$A25)*(lentry!$B$3:$B$3999&lt;=may!AC$3)*(lentry!$C$3:$C$3999&gt;=may!AC$3)),lentry!$D$3:$D$3999),IF(WEEKDAY(may!AC$3,1)=1,"WO","P"))</f>
        <v>WO</v>
      </c>
      <c r="AD25" s="4" t="str">
        <f>IFERROR(LOOKUP(2,1/((lentry!$A$3:$A$3999=may!$A25)*(lentry!$B$3:$B$3999&lt;=may!AD$3)*(lentry!$C$3:$C$3999&gt;=may!AD$3)),lentry!$D$3:$D$3999),IF(WEEKDAY(may!AD$3,1)=1,"WO","P"))</f>
        <v>P</v>
      </c>
      <c r="AE25" s="4" t="str">
        <f>IFERROR(LOOKUP(2,1/((lentry!$A$3:$A$3999=may!$A25)*(lentry!$B$3:$B$3999&lt;=may!AE$3)*(lentry!$C$3:$C$3999&gt;=may!AE$3)),lentry!$D$3:$D$3999),IF(WEEKDAY(may!AE$3,1)=1,"WO","P"))</f>
        <v>P</v>
      </c>
      <c r="AF25" s="4" t="s">
        <v>350</v>
      </c>
      <c r="AG25" s="4" t="str">
        <f>IFERROR(LOOKUP(2,1/((lentry!$A$3:$A$3999=may!$A25)*(lentry!$B$3:$B$3999&lt;=may!AG$3)*(lentry!$C$3:$C$3999&gt;=may!AG$3)),lentry!$D$3:$D$3999),IF(WEEKDAY(may!AG$3,1)=1,"WO","P"))</f>
        <v>P</v>
      </c>
      <c r="AH25" s="4" t="str">
        <f>IFERROR(LOOKUP(2,1/((lentry!$A$3:$A$3999=may!$A25)*(lentry!$B$3:$B$3999&lt;=may!AH$3)*(lentry!$C$3:$C$3999&gt;=may!AH$3)),lentry!$D$3:$D$3999),IF(WEEKDAY(may!AH$3,1)=1,"WO","P"))</f>
        <v>P</v>
      </c>
      <c r="AI25" s="4" t="str">
        <f>IFERROR(LOOKUP(2,1/((lentry!$A$3:$A$3999=may!$A25)*(lentry!$B$3:$B$3999&lt;=may!AI$3)*(lentry!$C$3:$C$3999&gt;=may!AI$3)),lentry!$D$3:$D$3999),IF(WEEKDAY(may!AI$3,1)=1,"WO","P"))</f>
        <v>P</v>
      </c>
      <c r="AJ25" s="4" t="str">
        <f>IFERROR(LOOKUP(2,1/((lentry!$A$3:$A$3999=may!$A25)*(lentry!$B$3:$B$3999&lt;=may!AJ$3)*(lentry!$C$3:$C$3999&gt;=may!AJ$3)),lentry!$D$3:$D$3999),IF(WEEKDAY(may!AJ$3,1)=1,"WO","P"))</f>
        <v>WO</v>
      </c>
      <c r="AK25" s="4">
        <f>COUNTIF(may!$F25:$AJ25,"WO")</f>
        <v>5</v>
      </c>
      <c r="AL25" s="4">
        <f>COUNTIF(may!$F25:$AJ25,"H")</f>
        <v>2</v>
      </c>
      <c r="AM25" s="4">
        <f>COUNTIF(may!$F25:$AJ25,"PL")</f>
        <v>0</v>
      </c>
      <c r="AN25" s="4">
        <f>COUNTIF(may!$F25:$AJ25,"LWP")</f>
        <v>0</v>
      </c>
      <c r="AO25" s="4">
        <f>COUNTIF(may!$F25:$AJ25,"HD")</f>
        <v>0</v>
      </c>
      <c r="AP25" s="4">
        <f>COUNTIF(may!$F25:$AJ25,"SL")</f>
        <v>0</v>
      </c>
      <c r="AQ25" s="4">
        <f>COUNTIF(may!$F25:$AJ25,"CL")</f>
        <v>0</v>
      </c>
      <c r="AR25" s="4">
        <f>COUNTIF(may!$F25:$AJ25,"A")</f>
        <v>0</v>
      </c>
      <c r="AS25" s="4">
        <f>COUNTIF(may!$F25:$AJ25,"P")</f>
        <v>24</v>
      </c>
      <c r="AT25" s="4">
        <f t="shared" si="2"/>
        <v>31</v>
      </c>
      <c r="AU25" s="4">
        <f t="shared" si="3"/>
        <v>31</v>
      </c>
      <c r="AV25" s="4">
        <f>SUMIFS(holly!$L$2:$L$122,holly!$I$2:$I$122,mar!$A25,holly!$K$2:$K$122,"Mar")</f>
        <v>0</v>
      </c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</row>
    <row r="26" spans="1:80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">
        <v>350</v>
      </c>
      <c r="G26" s="4" t="str">
        <f>IFERROR(LOOKUP(2,1/((lentry!$A$3:$A$3999=may!$A26)*(lentry!$B$3:$B$3999&lt;=may!G$3)*(lentry!$C$3:$C$3999&gt;=may!G$3)),lentry!$D$3:$D$3999),IF(WEEKDAY(may!G$3,1)=1,"WO","P"))</f>
        <v>P</v>
      </c>
      <c r="H26" s="4" t="str">
        <f>IFERROR(LOOKUP(2,1/((lentry!$A$3:$A$3999=may!$A26)*(lentry!$B$3:$B$3999&lt;=may!H$3)*(lentry!$C$3:$C$3999&gt;=may!H$3)),lentry!$D$3:$D$3999),IF(WEEKDAY(may!H$3,1)=1,"WO","P"))</f>
        <v>WO</v>
      </c>
      <c r="I26" s="4" t="str">
        <f>IFERROR(LOOKUP(2,1/((lentry!$A$3:$A$3999=may!$A26)*(lentry!$B$3:$B$3999&lt;=may!I$3)*(lentry!$C$3:$C$3999&gt;=may!I$3)),lentry!$D$3:$D$3999),IF(WEEKDAY(may!I$3,1)=1,"WO","P"))</f>
        <v>P</v>
      </c>
      <c r="J26" s="4" t="str">
        <f>IFERROR(LOOKUP(2,1/((lentry!$A$3:$A$3999=may!$A26)*(lentry!$B$3:$B$3999&lt;=may!J$3)*(lentry!$C$3:$C$3999&gt;=may!J$3)),lentry!$D$3:$D$3999),IF(WEEKDAY(may!J$3,1)=1,"WO","P"))</f>
        <v>P</v>
      </c>
      <c r="K26" s="4" t="str">
        <f>IFERROR(LOOKUP(2,1/((lentry!$A$3:$A$3999=may!$A26)*(lentry!$B$3:$B$3999&lt;=may!K$3)*(lentry!$C$3:$C$3999&gt;=may!K$3)),lentry!$D$3:$D$3999),IF(WEEKDAY(may!K$3,1)=1,"WO","P"))</f>
        <v>P</v>
      </c>
      <c r="L26" s="4" t="str">
        <f>IFERROR(LOOKUP(2,1/((lentry!$A$3:$A$3999=may!$A26)*(lentry!$B$3:$B$3999&lt;=may!L$3)*(lentry!$C$3:$C$3999&gt;=may!L$3)),lentry!$D$3:$D$3999),IF(WEEKDAY(may!L$3,1)=1,"WO","P"))</f>
        <v>P</v>
      </c>
      <c r="M26" s="4" t="str">
        <f>IFERROR(LOOKUP(2,1/((lentry!$A$3:$A$3999=may!$A26)*(lentry!$B$3:$B$3999&lt;=may!M$3)*(lentry!$C$3:$C$3999&gt;=may!M$3)),lentry!$D$3:$D$3999),IF(WEEKDAY(may!M$3,1)=1,"WO","P"))</f>
        <v>P</v>
      </c>
      <c r="N26" s="4" t="str">
        <f>IFERROR(LOOKUP(2,1/((lentry!$A$3:$A$3999=may!$A26)*(lentry!$B$3:$B$3999&lt;=may!N$3)*(lentry!$C$3:$C$3999&gt;=may!N$3)),lentry!$D$3:$D$3999),IF(WEEKDAY(may!N$3,1)=1,"WO","P"))</f>
        <v>P</v>
      </c>
      <c r="O26" s="4" t="str">
        <f>IFERROR(LOOKUP(2,1/((lentry!$A$3:$A$3999=may!$A26)*(lentry!$B$3:$B$3999&lt;=may!O$3)*(lentry!$C$3:$C$3999&gt;=may!O$3)),lentry!$D$3:$D$3999),IF(WEEKDAY(may!O$3,1)=1,"WO","P"))</f>
        <v>WO</v>
      </c>
      <c r="P26" s="4" t="str">
        <f>IFERROR(LOOKUP(2,1/((lentry!$A$3:$A$3999=may!$A26)*(lentry!$B$3:$B$3999&lt;=may!P$3)*(lentry!$C$3:$C$3999&gt;=may!P$3)),lentry!$D$3:$D$3999),IF(WEEKDAY(may!P$3,1)=1,"WO","P"))</f>
        <v>P</v>
      </c>
      <c r="Q26" s="4" t="str">
        <f>IFERROR(LOOKUP(2,1/((lentry!$A$3:$A$3999=may!$A26)*(lentry!$B$3:$B$3999&lt;=may!Q$3)*(lentry!$C$3:$C$3999&gt;=may!Q$3)),lentry!$D$3:$D$3999),IF(WEEKDAY(may!Q$3,1)=1,"WO","P"))</f>
        <v>P</v>
      </c>
      <c r="R26" s="4" t="str">
        <f>IFERROR(LOOKUP(2,1/((lentry!$A$3:$A$3999=may!$A26)*(lentry!$B$3:$B$3999&lt;=may!R$3)*(lentry!$C$3:$C$3999&gt;=may!R$3)),lentry!$D$3:$D$3999),IF(WEEKDAY(may!R$3,1)=1,"WO","P"))</f>
        <v>P</v>
      </c>
      <c r="S26" s="4" t="str">
        <f>IFERROR(LOOKUP(2,1/((lentry!$A$3:$A$3999=may!$A26)*(lentry!$B$3:$B$3999&lt;=may!S$3)*(lentry!$C$3:$C$3999&gt;=may!S$3)),lentry!$D$3:$D$3999),IF(WEEKDAY(may!S$3,1)=1,"WO","P"))</f>
        <v>P</v>
      </c>
      <c r="T26" s="4" t="str">
        <f>IFERROR(LOOKUP(2,1/((lentry!$A$3:$A$3999=may!$A26)*(lentry!$B$3:$B$3999&lt;=may!T$3)*(lentry!$C$3:$C$3999&gt;=may!T$3)),lentry!$D$3:$D$3999),IF(WEEKDAY(may!T$3,1)=1,"WO","P"))</f>
        <v>P</v>
      </c>
      <c r="U26" s="4" t="str">
        <f>IFERROR(LOOKUP(2,1/((lentry!$A$3:$A$3999=may!$A26)*(lentry!$B$3:$B$3999&lt;=may!U$3)*(lentry!$C$3:$C$3999&gt;=may!U$3)),lentry!$D$3:$D$3999),IF(WEEKDAY(may!U$3,1)=1,"WO","P"))</f>
        <v>P</v>
      </c>
      <c r="V26" s="4" t="str">
        <f>IFERROR(LOOKUP(2,1/((lentry!$A$3:$A$3999=may!$A26)*(lentry!$B$3:$B$3999&lt;=may!V$3)*(lentry!$C$3:$C$3999&gt;=may!V$3)),lentry!$D$3:$D$3999),IF(WEEKDAY(may!V$3,1)=1,"WO","P"))</f>
        <v>WO</v>
      </c>
      <c r="W26" s="4" t="str">
        <f>IFERROR(LOOKUP(2,1/((lentry!$A$3:$A$3999=may!$A26)*(lentry!$B$3:$B$3999&lt;=may!W$3)*(lentry!$C$3:$C$3999&gt;=may!W$3)),lentry!$D$3:$D$3999),IF(WEEKDAY(may!W$3,1)=1,"WO","P"))</f>
        <v>P</v>
      </c>
      <c r="X26" s="4" t="str">
        <f>IFERROR(LOOKUP(2,1/((lentry!$A$3:$A$3999=may!$A26)*(lentry!$B$3:$B$3999&lt;=may!X$3)*(lentry!$C$3:$C$3999&gt;=may!X$3)),lentry!$D$3:$D$3999),IF(WEEKDAY(may!X$3,1)=1,"WO","P"))</f>
        <v>P</v>
      </c>
      <c r="Y26" s="4" t="str">
        <f>IFERROR(LOOKUP(2,1/((lentry!$A$3:$A$3999=may!$A26)*(lentry!$B$3:$B$3999&lt;=may!Y$3)*(lentry!$C$3:$C$3999&gt;=may!Y$3)),lentry!$D$3:$D$3999),IF(WEEKDAY(may!Y$3,1)=1,"WO","P"))</f>
        <v>P</v>
      </c>
      <c r="Z26" s="4" t="str">
        <f>IFERROR(LOOKUP(2,1/((lentry!$A$3:$A$3999=may!$A26)*(lentry!$B$3:$B$3999&lt;=may!Z$3)*(lentry!$C$3:$C$3999&gt;=may!Z$3)),lentry!$D$3:$D$3999),IF(WEEKDAY(may!Z$3,1)=1,"WO","P"))</f>
        <v>P</v>
      </c>
      <c r="AA26" s="4" t="str">
        <f>IFERROR(LOOKUP(2,1/((lentry!$A$3:$A$3999=may!$A26)*(lentry!$B$3:$B$3999&lt;=may!AA$3)*(lentry!$C$3:$C$3999&gt;=may!AA$3)),lentry!$D$3:$D$3999),IF(WEEKDAY(may!AA$3,1)=1,"WO","P"))</f>
        <v>P</v>
      </c>
      <c r="AB26" s="4" t="str">
        <f>IFERROR(LOOKUP(2,1/((lentry!$A$3:$A$3999=may!$A26)*(lentry!$B$3:$B$3999&lt;=may!AB$3)*(lentry!$C$3:$C$3999&gt;=may!AB$3)),lentry!$D$3:$D$3999),IF(WEEKDAY(may!AB$3,1)=1,"WO","P"))</f>
        <v>LWP</v>
      </c>
      <c r="AC26" s="4" t="str">
        <f>IFERROR(LOOKUP(2,1/((lentry!$A$3:$A$3999=may!$A26)*(lentry!$B$3:$B$3999&lt;=may!AC$3)*(lentry!$C$3:$C$3999&gt;=may!AC$3)),lentry!$D$3:$D$3999),IF(WEEKDAY(may!AC$3,1)=1,"WO","P"))</f>
        <v>WO</v>
      </c>
      <c r="AD26" s="4" t="str">
        <f>IFERROR(LOOKUP(2,1/((lentry!$A$3:$A$3999=may!$A26)*(lentry!$B$3:$B$3999&lt;=may!AD$3)*(lentry!$C$3:$C$3999&gt;=may!AD$3)),lentry!$D$3:$D$3999),IF(WEEKDAY(may!AD$3,1)=1,"WO","P"))</f>
        <v>P</v>
      </c>
      <c r="AE26" s="4" t="str">
        <f>IFERROR(LOOKUP(2,1/((lentry!$A$3:$A$3999=may!$A26)*(lentry!$B$3:$B$3999&lt;=may!AE$3)*(lentry!$C$3:$C$3999&gt;=may!AE$3)),lentry!$D$3:$D$3999),IF(WEEKDAY(may!AE$3,1)=1,"WO","P"))</f>
        <v>P</v>
      </c>
      <c r="AF26" s="4" t="s">
        <v>350</v>
      </c>
      <c r="AG26" s="4" t="str">
        <f>IFERROR(LOOKUP(2,1/((lentry!$A$3:$A$3999=may!$A26)*(lentry!$B$3:$B$3999&lt;=may!AG$3)*(lentry!$C$3:$C$3999&gt;=may!AG$3)),lentry!$D$3:$D$3999),IF(WEEKDAY(may!AG$3,1)=1,"WO","P"))</f>
        <v>P</v>
      </c>
      <c r="AH26" s="4" t="str">
        <f>IFERROR(LOOKUP(2,1/((lentry!$A$3:$A$3999=may!$A26)*(lentry!$B$3:$B$3999&lt;=may!AH$3)*(lentry!$C$3:$C$3999&gt;=may!AH$3)),lentry!$D$3:$D$3999),IF(WEEKDAY(may!AH$3,1)=1,"WO","P"))</f>
        <v>P</v>
      </c>
      <c r="AI26" s="4" t="str">
        <f>IFERROR(LOOKUP(2,1/((lentry!$A$3:$A$3999=may!$A26)*(lentry!$B$3:$B$3999&lt;=may!AI$3)*(lentry!$C$3:$C$3999&gt;=may!AI$3)),lentry!$D$3:$D$3999),IF(WEEKDAY(may!AI$3,1)=1,"WO","P"))</f>
        <v>P</v>
      </c>
      <c r="AJ26" s="4" t="str">
        <f>IFERROR(LOOKUP(2,1/((lentry!$A$3:$A$3999=may!$A26)*(lentry!$B$3:$B$3999&lt;=may!AJ$3)*(lentry!$C$3:$C$3999&gt;=may!AJ$3)),lentry!$D$3:$D$3999),IF(WEEKDAY(may!AJ$3,1)=1,"WO","P"))</f>
        <v>WO</v>
      </c>
      <c r="AK26" s="4">
        <f>COUNTIF(may!$F26:$AJ26,"WO")</f>
        <v>5</v>
      </c>
      <c r="AL26" s="4">
        <f>COUNTIF(may!$F26:$AJ26,"H")</f>
        <v>2</v>
      </c>
      <c r="AM26" s="4">
        <f>COUNTIF(may!$F26:$AJ26,"PL")</f>
        <v>0</v>
      </c>
      <c r="AN26" s="4">
        <f>COUNTIF(may!$F26:$AJ26,"LWP")</f>
        <v>1</v>
      </c>
      <c r="AO26" s="4">
        <f>COUNTIF(may!$F26:$AJ26,"HD")</f>
        <v>0</v>
      </c>
      <c r="AP26" s="4">
        <f>COUNTIF(may!$F26:$AJ26,"SL")</f>
        <v>0</v>
      </c>
      <c r="AQ26" s="4">
        <f>COUNTIF(may!$F26:$AJ26,"CL")</f>
        <v>0</v>
      </c>
      <c r="AR26" s="4">
        <f>COUNTIF(may!$F26:$AJ26,"A")</f>
        <v>0</v>
      </c>
      <c r="AS26" s="4">
        <f>COUNTIF(may!$F26:$AJ26,"P")</f>
        <v>23</v>
      </c>
      <c r="AT26" s="4">
        <f t="shared" si="2"/>
        <v>31</v>
      </c>
      <c r="AU26" s="4">
        <f t="shared" si="3"/>
        <v>30</v>
      </c>
      <c r="AV26" s="4">
        <f>SUMIFS(holly!$L$2:$L$122,holly!$I$2:$I$122,mar!$A26,holly!$K$2:$K$122,"Mar")</f>
        <v>0</v>
      </c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</row>
    <row r="27" spans="1:80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">
        <v>350</v>
      </c>
      <c r="G27" s="4" t="str">
        <f>IFERROR(LOOKUP(2,1/((lentry!$A$3:$A$3999=may!$A27)*(lentry!$B$3:$B$3999&lt;=may!G$3)*(lentry!$C$3:$C$3999&gt;=may!G$3)),lentry!$D$3:$D$3999),IF(WEEKDAY(may!G$3,1)=1,"WO","P"))</f>
        <v>P</v>
      </c>
      <c r="H27" s="4" t="str">
        <f>IFERROR(LOOKUP(2,1/((lentry!$A$3:$A$3999=may!$A27)*(lentry!$B$3:$B$3999&lt;=may!H$3)*(lentry!$C$3:$C$3999&gt;=may!H$3)),lentry!$D$3:$D$3999),IF(WEEKDAY(may!H$3,1)=1,"WO","P"))</f>
        <v>WO</v>
      </c>
      <c r="I27" s="4" t="str">
        <f>IFERROR(LOOKUP(2,1/((lentry!$A$3:$A$3999=may!$A27)*(lentry!$B$3:$B$3999&lt;=may!I$3)*(lentry!$C$3:$C$3999&gt;=may!I$3)),lentry!$D$3:$D$3999),IF(WEEKDAY(may!I$3,1)=1,"WO","P"))</f>
        <v>P</v>
      </c>
      <c r="J27" s="4" t="str">
        <f>IFERROR(LOOKUP(2,1/((lentry!$A$3:$A$3999=may!$A27)*(lentry!$B$3:$B$3999&lt;=may!J$3)*(lentry!$C$3:$C$3999&gt;=may!J$3)),lentry!$D$3:$D$3999),IF(WEEKDAY(may!J$3,1)=1,"WO","P"))</f>
        <v>P</v>
      </c>
      <c r="K27" s="4" t="str">
        <f>IFERROR(LOOKUP(2,1/((lentry!$A$3:$A$3999=may!$A27)*(lentry!$B$3:$B$3999&lt;=may!K$3)*(lentry!$C$3:$C$3999&gt;=may!K$3)),lentry!$D$3:$D$3999),IF(WEEKDAY(may!K$3,1)=1,"WO","P"))</f>
        <v>P</v>
      </c>
      <c r="L27" s="4" t="str">
        <f>IFERROR(LOOKUP(2,1/((lentry!$A$3:$A$3999=may!$A27)*(lentry!$B$3:$B$3999&lt;=may!L$3)*(lentry!$C$3:$C$3999&gt;=may!L$3)),lentry!$D$3:$D$3999),IF(WEEKDAY(may!L$3,1)=1,"WO","P"))</f>
        <v>P</v>
      </c>
      <c r="M27" s="4" t="str">
        <f>IFERROR(LOOKUP(2,1/((lentry!$A$3:$A$3999=may!$A27)*(lentry!$B$3:$B$3999&lt;=may!M$3)*(lentry!$C$3:$C$3999&gt;=may!M$3)),lentry!$D$3:$D$3999),IF(WEEKDAY(may!M$3,1)=1,"WO","P"))</f>
        <v>P</v>
      </c>
      <c r="N27" s="4" t="str">
        <f>IFERROR(LOOKUP(2,1/((lentry!$A$3:$A$3999=may!$A27)*(lentry!$B$3:$B$3999&lt;=may!N$3)*(lentry!$C$3:$C$3999&gt;=may!N$3)),lentry!$D$3:$D$3999),IF(WEEKDAY(may!N$3,1)=1,"WO","P"))</f>
        <v>P</v>
      </c>
      <c r="O27" s="4" t="str">
        <f>IFERROR(LOOKUP(2,1/((lentry!$A$3:$A$3999=may!$A27)*(lentry!$B$3:$B$3999&lt;=may!O$3)*(lentry!$C$3:$C$3999&gt;=may!O$3)),lentry!$D$3:$D$3999),IF(WEEKDAY(may!O$3,1)=1,"WO","P"))</f>
        <v>WO</v>
      </c>
      <c r="P27" s="4" t="str">
        <f>IFERROR(LOOKUP(2,1/((lentry!$A$3:$A$3999=may!$A27)*(lentry!$B$3:$B$3999&lt;=may!P$3)*(lentry!$C$3:$C$3999&gt;=may!P$3)),lentry!$D$3:$D$3999),IF(WEEKDAY(may!P$3,1)=1,"WO","P"))</f>
        <v>P</v>
      </c>
      <c r="Q27" s="4" t="str">
        <f>IFERROR(LOOKUP(2,1/((lentry!$A$3:$A$3999=may!$A27)*(lentry!$B$3:$B$3999&lt;=may!Q$3)*(lentry!$C$3:$C$3999&gt;=may!Q$3)),lentry!$D$3:$D$3999),IF(WEEKDAY(may!Q$3,1)=1,"WO","P"))</f>
        <v>P</v>
      </c>
      <c r="R27" s="4" t="s">
        <v>539</v>
      </c>
      <c r="S27" s="4" t="str">
        <f>IFERROR(LOOKUP(2,1/((lentry!$A$3:$A$3999=may!$A27)*(lentry!$B$3:$B$3999&lt;=may!S$3)*(lentry!$C$3:$C$3999&gt;=may!S$3)),lentry!$D$3:$D$3999),IF(WEEKDAY(may!S$3,1)=1,"WO","P"))</f>
        <v>P</v>
      </c>
      <c r="T27" s="4" t="str">
        <f>IFERROR(LOOKUP(2,1/((lentry!$A$3:$A$3999=may!$A27)*(lentry!$B$3:$B$3999&lt;=may!T$3)*(lentry!$C$3:$C$3999&gt;=may!T$3)),lentry!$D$3:$D$3999),IF(WEEKDAY(may!T$3,1)=1,"WO","P"))</f>
        <v>P</v>
      </c>
      <c r="U27" s="4" t="str">
        <f>IFERROR(LOOKUP(2,1/((lentry!$A$3:$A$3999=may!$A27)*(lentry!$B$3:$B$3999&lt;=may!U$3)*(lentry!$C$3:$C$3999&gt;=may!U$3)),lentry!$D$3:$D$3999),IF(WEEKDAY(may!U$3,1)=1,"WO","P"))</f>
        <v>P</v>
      </c>
      <c r="V27" s="4" t="str">
        <f>IFERROR(LOOKUP(2,1/((lentry!$A$3:$A$3999=may!$A27)*(lentry!$B$3:$B$3999&lt;=may!V$3)*(lentry!$C$3:$C$3999&gt;=may!V$3)),lentry!$D$3:$D$3999),IF(WEEKDAY(may!V$3,1)=1,"WO","P"))</f>
        <v>WO</v>
      </c>
      <c r="W27" s="4" t="str">
        <f>IFERROR(LOOKUP(2,1/((lentry!$A$3:$A$3999=may!$A27)*(lentry!$B$3:$B$3999&lt;=may!W$3)*(lentry!$C$3:$C$3999&gt;=may!W$3)),lentry!$D$3:$D$3999),IF(WEEKDAY(may!W$3,1)=1,"WO","P"))</f>
        <v>P</v>
      </c>
      <c r="X27" s="4" t="str">
        <f>IFERROR(LOOKUP(2,1/((lentry!$A$3:$A$3999=may!$A27)*(lentry!$B$3:$B$3999&lt;=may!X$3)*(lentry!$C$3:$C$3999&gt;=may!X$3)),lentry!$D$3:$D$3999),IF(WEEKDAY(may!X$3,1)=1,"WO","P"))</f>
        <v>P</v>
      </c>
      <c r="Y27" s="4" t="str">
        <f>IFERROR(LOOKUP(2,1/((lentry!$A$3:$A$3999=may!$A27)*(lentry!$B$3:$B$3999&lt;=may!Y$3)*(lentry!$C$3:$C$3999&gt;=may!Y$3)),lentry!$D$3:$D$3999),IF(WEEKDAY(may!Y$3,1)=1,"WO","P"))</f>
        <v>P</v>
      </c>
      <c r="Z27" s="4" t="str">
        <f>IFERROR(LOOKUP(2,1/((lentry!$A$3:$A$3999=may!$A27)*(lentry!$B$3:$B$3999&lt;=may!Z$3)*(lentry!$C$3:$C$3999&gt;=may!Z$3)),lentry!$D$3:$D$3999),IF(WEEKDAY(may!Z$3,1)=1,"WO","P"))</f>
        <v>P</v>
      </c>
      <c r="AA27" s="4" t="str">
        <f>IFERROR(LOOKUP(2,1/((lentry!$A$3:$A$3999=may!$A27)*(lentry!$B$3:$B$3999&lt;=may!AA$3)*(lentry!$C$3:$C$3999&gt;=may!AA$3)),lentry!$D$3:$D$3999),IF(WEEKDAY(may!AA$3,1)=1,"WO","P"))</f>
        <v>P</v>
      </c>
      <c r="AB27" s="4" t="str">
        <f>IFERROR(LOOKUP(2,1/((lentry!$A$3:$A$3999=may!$A27)*(lentry!$B$3:$B$3999&lt;=may!AB$3)*(lentry!$C$3:$C$3999&gt;=may!AB$3)),lentry!$D$3:$D$3999),IF(WEEKDAY(may!AB$3,1)=1,"WO","P"))</f>
        <v>P</v>
      </c>
      <c r="AC27" s="4" t="str">
        <f>IFERROR(LOOKUP(2,1/((lentry!$A$3:$A$3999=may!$A27)*(lentry!$B$3:$B$3999&lt;=may!AC$3)*(lentry!$C$3:$C$3999&gt;=may!AC$3)),lentry!$D$3:$D$3999),IF(WEEKDAY(may!AC$3,1)=1,"WO","P"))</f>
        <v>WO</v>
      </c>
      <c r="AD27" s="4" t="str">
        <f>IFERROR(LOOKUP(2,1/((lentry!$A$3:$A$3999=may!$A27)*(lentry!$B$3:$B$3999&lt;=may!AD$3)*(lentry!$C$3:$C$3999&gt;=may!AD$3)),lentry!$D$3:$D$3999),IF(WEEKDAY(may!AD$3,1)=1,"WO","P"))</f>
        <v>P</v>
      </c>
      <c r="AE27" s="4" t="str">
        <f>IFERROR(LOOKUP(2,1/((lentry!$A$3:$A$3999=may!$A27)*(lentry!$B$3:$B$3999&lt;=may!AE$3)*(lentry!$C$3:$C$3999&gt;=may!AE$3)),lentry!$D$3:$D$3999),IF(WEEKDAY(may!AE$3,1)=1,"WO","P"))</f>
        <v>P</v>
      </c>
      <c r="AF27" s="4" t="s">
        <v>350</v>
      </c>
      <c r="AG27" s="4" t="str">
        <f>IFERROR(LOOKUP(2,1/((lentry!$A$3:$A$3999=may!$A27)*(lentry!$B$3:$B$3999&lt;=may!AG$3)*(lentry!$C$3:$C$3999&gt;=may!AG$3)),lentry!$D$3:$D$3999),IF(WEEKDAY(may!AG$3,1)=1,"WO","P"))</f>
        <v>P</v>
      </c>
      <c r="AH27" s="4" t="str">
        <f>IFERROR(LOOKUP(2,1/((lentry!$A$3:$A$3999=may!$A27)*(lentry!$B$3:$B$3999&lt;=may!AH$3)*(lentry!$C$3:$C$3999&gt;=may!AH$3)),lentry!$D$3:$D$3999),IF(WEEKDAY(may!AH$3,1)=1,"WO","P"))</f>
        <v>P</v>
      </c>
      <c r="AI27" s="4" t="str">
        <f>IFERROR(LOOKUP(2,1/((lentry!$A$3:$A$3999=may!$A27)*(lentry!$B$3:$B$3999&lt;=may!AI$3)*(lentry!$C$3:$C$3999&gt;=may!AI$3)),lentry!$D$3:$D$3999),IF(WEEKDAY(may!AI$3,1)=1,"WO","P"))</f>
        <v>P</v>
      </c>
      <c r="AJ27" s="4" t="str">
        <f>IFERROR(LOOKUP(2,1/((lentry!$A$3:$A$3999=may!$A27)*(lentry!$B$3:$B$3999&lt;=may!AJ$3)*(lentry!$C$3:$C$3999&gt;=may!AJ$3)),lentry!$D$3:$D$3999),IF(WEEKDAY(may!AJ$3,1)=1,"WO","P"))</f>
        <v>WO</v>
      </c>
      <c r="AK27" s="4">
        <f>COUNTIF(may!$F27:$AJ27,"WO")</f>
        <v>5</v>
      </c>
      <c r="AL27" s="4">
        <f>COUNTIF(may!$F27:$AJ27,"H")</f>
        <v>2</v>
      </c>
      <c r="AM27" s="4">
        <f>COUNTIF(may!$F27:$AJ27,"PL")</f>
        <v>0</v>
      </c>
      <c r="AN27" s="4">
        <f>COUNTIF(may!$F27:$AJ27,"LWP")</f>
        <v>0</v>
      </c>
      <c r="AO27" s="4">
        <f>COUNTIF(may!$F27:$AJ27,"HD")</f>
        <v>0</v>
      </c>
      <c r="AP27" s="4">
        <f>COUNTIF(may!$F27:$AJ27,"SL")</f>
        <v>0</v>
      </c>
      <c r="AQ27" s="4">
        <f>COUNTIF(may!$F27:$AJ27,"CL")</f>
        <v>0</v>
      </c>
      <c r="AR27" s="4">
        <f>COUNTIF(may!$F27:$AJ27,"A")</f>
        <v>1</v>
      </c>
      <c r="AS27" s="4">
        <f>COUNTIF(may!$F27:$AJ27,"P")</f>
        <v>23</v>
      </c>
      <c r="AT27" s="4">
        <f t="shared" si="2"/>
        <v>31</v>
      </c>
      <c r="AU27" s="4">
        <f t="shared" si="3"/>
        <v>30</v>
      </c>
      <c r="AV27" s="4">
        <f>SUMIFS(holly!$L$2:$L$122,holly!$I$2:$I$122,mar!$A27,holly!$K$2:$K$122,"Mar")</f>
        <v>0</v>
      </c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</row>
    <row r="28" spans="1:80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">
        <v>350</v>
      </c>
      <c r="G28" s="4" t="str">
        <f>IFERROR(LOOKUP(2,1/((lentry!$A$3:$A$3999=may!$A28)*(lentry!$B$3:$B$3999&lt;=may!G$3)*(lentry!$C$3:$C$3999&gt;=may!G$3)),lentry!$D$3:$D$3999),IF(WEEKDAY(may!G$3,1)=1,"WO","P"))</f>
        <v>P</v>
      </c>
      <c r="H28" s="4" t="str">
        <f>IFERROR(LOOKUP(2,1/((lentry!$A$3:$A$3999=may!$A28)*(lentry!$B$3:$B$3999&lt;=may!H$3)*(lentry!$C$3:$C$3999&gt;=may!H$3)),lentry!$D$3:$D$3999),IF(WEEKDAY(may!H$3,1)=1,"WO","P"))</f>
        <v>WO</v>
      </c>
      <c r="I28" s="4" t="str">
        <f>IFERROR(LOOKUP(2,1/((lentry!$A$3:$A$3999=may!$A28)*(lentry!$B$3:$B$3999&lt;=may!I$3)*(lentry!$C$3:$C$3999&gt;=may!I$3)),lentry!$D$3:$D$3999),IF(WEEKDAY(may!I$3,1)=1,"WO","P"))</f>
        <v>P</v>
      </c>
      <c r="J28" s="4" t="str">
        <f>IFERROR(LOOKUP(2,1/((lentry!$A$3:$A$3999=may!$A28)*(lentry!$B$3:$B$3999&lt;=may!J$3)*(lentry!$C$3:$C$3999&gt;=may!J$3)),lentry!$D$3:$D$3999),IF(WEEKDAY(may!J$3,1)=1,"WO","P"))</f>
        <v>P</v>
      </c>
      <c r="K28" s="4" t="s">
        <v>539</v>
      </c>
      <c r="L28" s="4" t="str">
        <f>IFERROR(LOOKUP(2,1/((lentry!$A$3:$A$3999=may!$A28)*(lentry!$B$3:$B$3999&lt;=may!L$3)*(lentry!$C$3:$C$3999&gt;=may!L$3)),lentry!$D$3:$D$3999),IF(WEEKDAY(may!L$3,1)=1,"WO","P"))</f>
        <v>P</v>
      </c>
      <c r="M28" s="4" t="str">
        <f>IFERROR(LOOKUP(2,1/((lentry!$A$3:$A$3999=may!$A28)*(lentry!$B$3:$B$3999&lt;=may!M$3)*(lentry!$C$3:$C$3999&gt;=may!M$3)),lentry!$D$3:$D$3999),IF(WEEKDAY(may!M$3,1)=1,"WO","P"))</f>
        <v>P</v>
      </c>
      <c r="N28" s="4" t="str">
        <f>IFERROR(LOOKUP(2,1/((lentry!$A$3:$A$3999=may!$A28)*(lentry!$B$3:$B$3999&lt;=may!N$3)*(lentry!$C$3:$C$3999&gt;=may!N$3)),lentry!$D$3:$D$3999),IF(WEEKDAY(may!N$3,1)=1,"WO","P"))</f>
        <v>P</v>
      </c>
      <c r="O28" s="4" t="str">
        <f>IFERROR(LOOKUP(2,1/((lentry!$A$3:$A$3999=may!$A28)*(lentry!$B$3:$B$3999&lt;=may!O$3)*(lentry!$C$3:$C$3999&gt;=may!O$3)),lentry!$D$3:$D$3999),IF(WEEKDAY(may!O$3,1)=1,"WO","P"))</f>
        <v>WO</v>
      </c>
      <c r="P28" s="4" t="str">
        <f>IFERROR(LOOKUP(2,1/((lentry!$A$3:$A$3999=may!$A28)*(lentry!$B$3:$B$3999&lt;=may!P$3)*(lentry!$C$3:$C$3999&gt;=may!P$3)),lentry!$D$3:$D$3999),IF(WEEKDAY(may!P$3,1)=1,"WO","P"))</f>
        <v>P</v>
      </c>
      <c r="Q28" s="4" t="str">
        <f>IFERROR(LOOKUP(2,1/((lentry!$A$3:$A$3999=may!$A28)*(lentry!$B$3:$B$3999&lt;=may!Q$3)*(lentry!$C$3:$C$3999&gt;=may!Q$3)),lentry!$D$3:$D$3999),IF(WEEKDAY(may!Q$3,1)=1,"WO","P"))</f>
        <v>P</v>
      </c>
      <c r="R28" s="4" t="str">
        <f>IFERROR(LOOKUP(2,1/((lentry!$A$3:$A$3999=may!$A28)*(lentry!$B$3:$B$3999&lt;=may!R$3)*(lentry!$C$3:$C$3999&gt;=may!R$3)),lentry!$D$3:$D$3999),IF(WEEKDAY(may!R$3,1)=1,"WO","P"))</f>
        <v>P</v>
      </c>
      <c r="S28" s="4" t="str">
        <f>IFERROR(LOOKUP(2,1/((lentry!$A$3:$A$3999=may!$A28)*(lentry!$B$3:$B$3999&lt;=may!S$3)*(lentry!$C$3:$C$3999&gt;=may!S$3)),lentry!$D$3:$D$3999),IF(WEEKDAY(may!S$3,1)=1,"WO","P"))</f>
        <v>P</v>
      </c>
      <c r="T28" s="4" t="str">
        <f>IFERROR(LOOKUP(2,1/((lentry!$A$3:$A$3999=may!$A28)*(lentry!$B$3:$B$3999&lt;=may!T$3)*(lentry!$C$3:$C$3999&gt;=may!T$3)),lentry!$D$3:$D$3999),IF(WEEKDAY(may!T$3,1)=1,"WO","P"))</f>
        <v>P</v>
      </c>
      <c r="U28" s="4" t="str">
        <f>IFERROR(LOOKUP(2,1/((lentry!$A$3:$A$3999=may!$A28)*(lentry!$B$3:$B$3999&lt;=may!U$3)*(lentry!$C$3:$C$3999&gt;=may!U$3)),lentry!$D$3:$D$3999),IF(WEEKDAY(may!U$3,1)=1,"WO","P"))</f>
        <v>P</v>
      </c>
      <c r="V28" s="4" t="str">
        <f>IFERROR(LOOKUP(2,1/((lentry!$A$3:$A$3999=may!$A28)*(lentry!$B$3:$B$3999&lt;=may!V$3)*(lentry!$C$3:$C$3999&gt;=may!V$3)),lentry!$D$3:$D$3999),IF(WEEKDAY(may!V$3,1)=1,"WO","P"))</f>
        <v>WO</v>
      </c>
      <c r="W28" s="4" t="str">
        <f>IFERROR(LOOKUP(2,1/((lentry!$A$3:$A$3999=may!$A28)*(lentry!$B$3:$B$3999&lt;=may!W$3)*(lentry!$C$3:$C$3999&gt;=may!W$3)),lentry!$D$3:$D$3999),IF(WEEKDAY(may!W$3,1)=1,"WO","P"))</f>
        <v>P</v>
      </c>
      <c r="X28" s="4" t="str">
        <f>IFERROR(LOOKUP(2,1/((lentry!$A$3:$A$3999=may!$A28)*(lentry!$B$3:$B$3999&lt;=may!X$3)*(lentry!$C$3:$C$3999&gt;=may!X$3)),lentry!$D$3:$D$3999),IF(WEEKDAY(may!X$3,1)=1,"WO","P"))</f>
        <v>P</v>
      </c>
      <c r="Y28" s="4" t="str">
        <f>IFERROR(LOOKUP(2,1/((lentry!$A$3:$A$3999=may!$A28)*(lentry!$B$3:$B$3999&lt;=may!Y$3)*(lentry!$C$3:$C$3999&gt;=may!Y$3)),lentry!$D$3:$D$3999),IF(WEEKDAY(may!Y$3,1)=1,"WO","P"))</f>
        <v>P</v>
      </c>
      <c r="Z28" s="4" t="str">
        <f>IFERROR(LOOKUP(2,1/((lentry!$A$3:$A$3999=may!$A28)*(lentry!$B$3:$B$3999&lt;=may!Z$3)*(lentry!$C$3:$C$3999&gt;=may!Z$3)),lentry!$D$3:$D$3999),IF(WEEKDAY(may!Z$3,1)=1,"WO","P"))</f>
        <v>P</v>
      </c>
      <c r="AA28" s="4" t="str">
        <f>IFERROR(LOOKUP(2,1/((lentry!$A$3:$A$3999=may!$A28)*(lentry!$B$3:$B$3999&lt;=may!AA$3)*(lentry!$C$3:$C$3999&gt;=may!AA$3)),lentry!$D$3:$D$3999),IF(WEEKDAY(may!AA$3,1)=1,"WO","P"))</f>
        <v>P</v>
      </c>
      <c r="AB28" s="4" t="str">
        <f>IFERROR(LOOKUP(2,1/((lentry!$A$3:$A$3999=may!$A28)*(lentry!$B$3:$B$3999&lt;=may!AB$3)*(lentry!$C$3:$C$3999&gt;=may!AB$3)),lentry!$D$3:$D$3999),IF(WEEKDAY(may!AB$3,1)=1,"WO","P"))</f>
        <v>P</v>
      </c>
      <c r="AC28" s="4" t="str">
        <f>IFERROR(LOOKUP(2,1/((lentry!$A$3:$A$3999=may!$A28)*(lentry!$B$3:$B$3999&lt;=may!AC$3)*(lentry!$C$3:$C$3999&gt;=may!AC$3)),lentry!$D$3:$D$3999),IF(WEEKDAY(may!AC$3,1)=1,"WO","P"))</f>
        <v>WO</v>
      </c>
      <c r="AD28" s="4" t="str">
        <f>IFERROR(LOOKUP(2,1/((lentry!$A$3:$A$3999=may!$A28)*(lentry!$B$3:$B$3999&lt;=may!AD$3)*(lentry!$C$3:$C$3999&gt;=may!AD$3)),lentry!$D$3:$D$3999),IF(WEEKDAY(may!AD$3,1)=1,"WO","P"))</f>
        <v>P</v>
      </c>
      <c r="AE28" s="4" t="str">
        <f>IFERROR(LOOKUP(2,1/((lentry!$A$3:$A$3999=may!$A28)*(lentry!$B$3:$B$3999&lt;=may!AE$3)*(lentry!$C$3:$C$3999&gt;=may!AE$3)),lentry!$D$3:$D$3999),IF(WEEKDAY(may!AE$3,1)=1,"WO","P"))</f>
        <v>P</v>
      </c>
      <c r="AF28" s="4" t="s">
        <v>350</v>
      </c>
      <c r="AG28" s="4" t="s">
        <v>539</v>
      </c>
      <c r="AH28" s="4" t="str">
        <f>IFERROR(LOOKUP(2,1/((lentry!$A$3:$A$3999=may!$A28)*(lentry!$B$3:$B$3999&lt;=may!AH$3)*(lentry!$C$3:$C$3999&gt;=may!AH$3)),lentry!$D$3:$D$3999),IF(WEEKDAY(may!AH$3,1)=1,"WO","P"))</f>
        <v>P</v>
      </c>
      <c r="AI28" s="4" t="str">
        <f>IFERROR(LOOKUP(2,1/((lentry!$A$3:$A$3999=may!$A28)*(lentry!$B$3:$B$3999&lt;=may!AI$3)*(lentry!$C$3:$C$3999&gt;=may!AI$3)),lentry!$D$3:$D$3999),IF(WEEKDAY(may!AI$3,1)=1,"WO","P"))</f>
        <v>P</v>
      </c>
      <c r="AJ28" s="4" t="str">
        <f>IFERROR(LOOKUP(2,1/((lentry!$A$3:$A$3999=may!$A28)*(lentry!$B$3:$B$3999&lt;=may!AJ$3)*(lentry!$C$3:$C$3999&gt;=may!AJ$3)),lentry!$D$3:$D$3999),IF(WEEKDAY(may!AJ$3,1)=1,"WO","P"))</f>
        <v>WO</v>
      </c>
      <c r="AK28" s="4">
        <f>COUNTIF(may!$F28:$AJ28,"WO")</f>
        <v>5</v>
      </c>
      <c r="AL28" s="4">
        <f>COUNTIF(may!$F28:$AJ28,"H")</f>
        <v>2</v>
      </c>
      <c r="AM28" s="4">
        <f>COUNTIF(may!$F28:$AJ28,"PL")</f>
        <v>0</v>
      </c>
      <c r="AN28" s="4">
        <f>COUNTIF(may!$F28:$AJ28,"LWP")</f>
        <v>0</v>
      </c>
      <c r="AO28" s="4">
        <f>COUNTIF(may!$F28:$AJ28,"HD")</f>
        <v>0</v>
      </c>
      <c r="AP28" s="4">
        <f>COUNTIF(may!$F28:$AJ28,"SL")</f>
        <v>0</v>
      </c>
      <c r="AQ28" s="4">
        <f>COUNTIF(may!$F28:$AJ28,"CL")</f>
        <v>0</v>
      </c>
      <c r="AR28" s="4">
        <f>COUNTIF(may!$F28:$AJ28,"A")</f>
        <v>2</v>
      </c>
      <c r="AS28" s="4">
        <f>COUNTIF(may!$F28:$AJ28,"P")</f>
        <v>22</v>
      </c>
      <c r="AT28" s="4">
        <f t="shared" si="2"/>
        <v>31</v>
      </c>
      <c r="AU28" s="4">
        <f t="shared" si="3"/>
        <v>29</v>
      </c>
      <c r="AV28" s="4">
        <f>SUMIFS(holly!$L$2:$L$122,holly!$I$2:$I$122,mar!$A28,holly!$K$2:$K$122,"Mar")</f>
        <v>0</v>
      </c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</row>
    <row r="29" spans="1:80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">
        <v>350</v>
      </c>
      <c r="G29" s="4" t="str">
        <f>IFERROR(LOOKUP(2,1/((lentry!$A$3:$A$3999=may!$A29)*(lentry!$B$3:$B$3999&lt;=may!G$3)*(lentry!$C$3:$C$3999&gt;=may!G$3)),lentry!$D$3:$D$3999),IF(WEEKDAY(may!G$3,1)=1,"WO","P"))</f>
        <v>P</v>
      </c>
      <c r="H29" s="4" t="str">
        <f>IFERROR(LOOKUP(2,1/((lentry!$A$3:$A$3999=may!$A29)*(lentry!$B$3:$B$3999&lt;=may!H$3)*(lentry!$C$3:$C$3999&gt;=may!H$3)),lentry!$D$3:$D$3999),IF(WEEKDAY(may!H$3,1)=1,"WO","P"))</f>
        <v>WO</v>
      </c>
      <c r="I29" s="4" t="str">
        <f>IFERROR(LOOKUP(2,1/((lentry!$A$3:$A$3999=may!$A29)*(lentry!$B$3:$B$3999&lt;=may!I$3)*(lentry!$C$3:$C$3999&gt;=may!I$3)),lentry!$D$3:$D$3999),IF(WEEKDAY(may!I$3,1)=1,"WO","P"))</f>
        <v>P</v>
      </c>
      <c r="J29" s="4" t="str">
        <f>IFERROR(LOOKUP(2,1/((lentry!$A$3:$A$3999=may!$A29)*(lentry!$B$3:$B$3999&lt;=may!J$3)*(lentry!$C$3:$C$3999&gt;=may!J$3)),lentry!$D$3:$D$3999),IF(WEEKDAY(may!J$3,1)=1,"WO","P"))</f>
        <v>P</v>
      </c>
      <c r="K29" s="4" t="str">
        <f>IFERROR(LOOKUP(2,1/((lentry!$A$3:$A$3999=may!$A29)*(lentry!$B$3:$B$3999&lt;=may!K$3)*(lentry!$C$3:$C$3999&gt;=may!K$3)),lentry!$D$3:$D$3999),IF(WEEKDAY(may!K$3,1)=1,"WO","P"))</f>
        <v>P</v>
      </c>
      <c r="L29" s="4" t="str">
        <f>IFERROR(LOOKUP(2,1/((lentry!$A$3:$A$3999=may!$A29)*(lentry!$B$3:$B$3999&lt;=may!L$3)*(lentry!$C$3:$C$3999&gt;=may!L$3)),lentry!$D$3:$D$3999),IF(WEEKDAY(may!L$3,1)=1,"WO","P"))</f>
        <v>P</v>
      </c>
      <c r="M29" s="4" t="str">
        <f>IFERROR(LOOKUP(2,1/((lentry!$A$3:$A$3999=may!$A29)*(lentry!$B$3:$B$3999&lt;=may!M$3)*(lentry!$C$3:$C$3999&gt;=may!M$3)),lentry!$D$3:$D$3999),IF(WEEKDAY(may!M$3,1)=1,"WO","P"))</f>
        <v>P</v>
      </c>
      <c r="N29" s="4" t="str">
        <f>IFERROR(LOOKUP(2,1/((lentry!$A$3:$A$3999=may!$A29)*(lentry!$B$3:$B$3999&lt;=may!N$3)*(lentry!$C$3:$C$3999&gt;=may!N$3)),lentry!$D$3:$D$3999),IF(WEEKDAY(may!N$3,1)=1,"WO","P"))</f>
        <v>P</v>
      </c>
      <c r="O29" s="4" t="str">
        <f>IFERROR(LOOKUP(2,1/((lentry!$A$3:$A$3999=may!$A29)*(lentry!$B$3:$B$3999&lt;=may!O$3)*(lentry!$C$3:$C$3999&gt;=may!O$3)),lentry!$D$3:$D$3999),IF(WEEKDAY(may!O$3,1)=1,"WO","P"))</f>
        <v>WO</v>
      </c>
      <c r="P29" s="4" t="str">
        <f>IFERROR(LOOKUP(2,1/((lentry!$A$3:$A$3999=may!$A29)*(lentry!$B$3:$B$3999&lt;=may!P$3)*(lentry!$C$3:$C$3999&gt;=may!P$3)),lentry!$D$3:$D$3999),IF(WEEKDAY(may!P$3,1)=1,"WO","P"))</f>
        <v>P</v>
      </c>
      <c r="Q29" s="4" t="str">
        <f>IFERROR(LOOKUP(2,1/((lentry!$A$3:$A$3999=may!$A29)*(lentry!$B$3:$B$3999&lt;=may!Q$3)*(lentry!$C$3:$C$3999&gt;=may!Q$3)),lentry!$D$3:$D$3999),IF(WEEKDAY(may!Q$3,1)=1,"WO","P"))</f>
        <v>P</v>
      </c>
      <c r="R29" s="4" t="str">
        <f>IFERROR(LOOKUP(2,1/((lentry!$A$3:$A$3999=may!$A29)*(lentry!$B$3:$B$3999&lt;=may!R$3)*(lentry!$C$3:$C$3999&gt;=may!R$3)),lentry!$D$3:$D$3999),IF(WEEKDAY(may!R$3,1)=1,"WO","P"))</f>
        <v>P</v>
      </c>
      <c r="S29" s="4" t="str">
        <f>IFERROR(LOOKUP(2,1/((lentry!$A$3:$A$3999=may!$A29)*(lentry!$B$3:$B$3999&lt;=may!S$3)*(lentry!$C$3:$C$3999&gt;=may!S$3)),lentry!$D$3:$D$3999),IF(WEEKDAY(may!S$3,1)=1,"WO","P"))</f>
        <v>P</v>
      </c>
      <c r="T29" s="4" t="str">
        <f>IFERROR(LOOKUP(2,1/((lentry!$A$3:$A$3999=may!$A29)*(lentry!$B$3:$B$3999&lt;=may!T$3)*(lentry!$C$3:$C$3999&gt;=may!T$3)),lentry!$D$3:$D$3999),IF(WEEKDAY(may!T$3,1)=1,"WO","P"))</f>
        <v>P</v>
      </c>
      <c r="U29" s="4" t="str">
        <f>IFERROR(LOOKUP(2,1/((lentry!$A$3:$A$3999=may!$A29)*(lentry!$B$3:$B$3999&lt;=may!U$3)*(lentry!$C$3:$C$3999&gt;=may!U$3)),lentry!$D$3:$D$3999),IF(WEEKDAY(may!U$3,1)=1,"WO","P"))</f>
        <v>P</v>
      </c>
      <c r="V29" s="4" t="str">
        <f>IFERROR(LOOKUP(2,1/((lentry!$A$3:$A$3999=may!$A29)*(lentry!$B$3:$B$3999&lt;=may!V$3)*(lentry!$C$3:$C$3999&gt;=may!V$3)),lentry!$D$3:$D$3999),IF(WEEKDAY(may!V$3,1)=1,"WO","P"))</f>
        <v>WO</v>
      </c>
      <c r="W29" s="4" t="str">
        <f>IFERROR(LOOKUP(2,1/((lentry!$A$3:$A$3999=may!$A29)*(lentry!$B$3:$B$3999&lt;=may!W$3)*(lentry!$C$3:$C$3999&gt;=may!W$3)),lentry!$D$3:$D$3999),IF(WEEKDAY(may!W$3,1)=1,"WO","P"))</f>
        <v>P</v>
      </c>
      <c r="X29" s="4" t="str">
        <f>IFERROR(LOOKUP(2,1/((lentry!$A$3:$A$3999=may!$A29)*(lentry!$B$3:$B$3999&lt;=may!X$3)*(lentry!$C$3:$C$3999&gt;=may!X$3)),lentry!$D$3:$D$3999),IF(WEEKDAY(may!X$3,1)=1,"WO","P"))</f>
        <v>P</v>
      </c>
      <c r="Y29" s="4" t="str">
        <f>IFERROR(LOOKUP(2,1/((lentry!$A$3:$A$3999=may!$A29)*(lentry!$B$3:$B$3999&lt;=may!Y$3)*(lentry!$C$3:$C$3999&gt;=may!Y$3)),lentry!$D$3:$D$3999),IF(WEEKDAY(may!Y$3,1)=1,"WO","P"))</f>
        <v>P</v>
      </c>
      <c r="Z29" s="4" t="str">
        <f>IFERROR(LOOKUP(2,1/((lentry!$A$3:$A$3999=may!$A29)*(lentry!$B$3:$B$3999&lt;=may!Z$3)*(lentry!$C$3:$C$3999&gt;=may!Z$3)),lentry!$D$3:$D$3999),IF(WEEKDAY(may!Z$3,1)=1,"WO","P"))</f>
        <v>P</v>
      </c>
      <c r="AA29" s="4" t="str">
        <f>IFERROR(LOOKUP(2,1/((lentry!$A$3:$A$3999=may!$A29)*(lentry!$B$3:$B$3999&lt;=may!AA$3)*(lentry!$C$3:$C$3999&gt;=may!AA$3)),lentry!$D$3:$D$3999),IF(WEEKDAY(may!AA$3,1)=1,"WO","P"))</f>
        <v>P</v>
      </c>
      <c r="AB29" s="4" t="str">
        <f>IFERROR(LOOKUP(2,1/((lentry!$A$3:$A$3999=may!$A29)*(lentry!$B$3:$B$3999&lt;=may!AB$3)*(lentry!$C$3:$C$3999&gt;=may!AB$3)),lentry!$D$3:$D$3999),IF(WEEKDAY(may!AB$3,1)=1,"WO","P"))</f>
        <v>P</v>
      </c>
      <c r="AC29" s="4" t="str">
        <f>IFERROR(LOOKUP(2,1/((lentry!$A$3:$A$3999=may!$A29)*(lentry!$B$3:$B$3999&lt;=may!AC$3)*(lentry!$C$3:$C$3999&gt;=may!AC$3)),lentry!$D$3:$D$3999),IF(WEEKDAY(may!AC$3,1)=1,"WO","P"))</f>
        <v>WO</v>
      </c>
      <c r="AD29" s="4" t="str">
        <f>IFERROR(LOOKUP(2,1/((lentry!$A$3:$A$3999=may!$A29)*(lentry!$B$3:$B$3999&lt;=may!AD$3)*(lentry!$C$3:$C$3999&gt;=may!AD$3)),lentry!$D$3:$D$3999),IF(WEEKDAY(may!AD$3,1)=1,"WO","P"))</f>
        <v>P</v>
      </c>
      <c r="AE29" s="4" t="str">
        <f>IFERROR(LOOKUP(2,1/((lentry!$A$3:$A$3999=may!$A29)*(lentry!$B$3:$B$3999&lt;=may!AE$3)*(lentry!$C$3:$C$3999&gt;=may!AE$3)),lentry!$D$3:$D$3999),IF(WEEKDAY(may!AE$3,1)=1,"WO","P"))</f>
        <v>P</v>
      </c>
      <c r="AF29" s="4" t="s">
        <v>350</v>
      </c>
      <c r="AG29" s="4" t="str">
        <f>IFERROR(LOOKUP(2,1/((lentry!$A$3:$A$3999=may!$A29)*(lentry!$B$3:$B$3999&lt;=may!AG$3)*(lentry!$C$3:$C$3999&gt;=may!AG$3)),lentry!$D$3:$D$3999),IF(WEEKDAY(may!AG$3,1)=1,"WO","P"))</f>
        <v>P</v>
      </c>
      <c r="AH29" s="4" t="str">
        <f>IFERROR(LOOKUP(2,1/((lentry!$A$3:$A$3999=may!$A29)*(lentry!$B$3:$B$3999&lt;=may!AH$3)*(lentry!$C$3:$C$3999&gt;=may!AH$3)),lentry!$D$3:$D$3999),IF(WEEKDAY(may!AH$3,1)=1,"WO","P"))</f>
        <v>P</v>
      </c>
      <c r="AI29" s="4" t="str">
        <f>IFERROR(LOOKUP(2,1/((lentry!$A$3:$A$3999=may!$A29)*(lentry!$B$3:$B$3999&lt;=may!AI$3)*(lentry!$C$3:$C$3999&gt;=may!AI$3)),lentry!$D$3:$D$3999),IF(WEEKDAY(may!AI$3,1)=1,"WO","P"))</f>
        <v>P</v>
      </c>
      <c r="AJ29" s="4" t="str">
        <f>IFERROR(LOOKUP(2,1/((lentry!$A$3:$A$3999=may!$A29)*(lentry!$B$3:$B$3999&lt;=may!AJ$3)*(lentry!$C$3:$C$3999&gt;=may!AJ$3)),lentry!$D$3:$D$3999),IF(WEEKDAY(may!AJ$3,1)=1,"WO","P"))</f>
        <v>WO</v>
      </c>
      <c r="AK29" s="4">
        <f>COUNTIF(may!$F29:$AJ29,"WO")</f>
        <v>5</v>
      </c>
      <c r="AL29" s="4">
        <f>COUNTIF(may!$F29:$AJ29,"H")</f>
        <v>2</v>
      </c>
      <c r="AM29" s="4">
        <f>COUNTIF(may!$F29:$AJ29,"PL")</f>
        <v>0</v>
      </c>
      <c r="AN29" s="4">
        <f>COUNTIF(may!$F29:$AJ29,"LWP")</f>
        <v>0</v>
      </c>
      <c r="AO29" s="4">
        <f>COUNTIF(may!$F29:$AJ29,"HD")</f>
        <v>0</v>
      </c>
      <c r="AP29" s="4">
        <f>COUNTIF(may!$F29:$AJ29,"SL")</f>
        <v>0</v>
      </c>
      <c r="AQ29" s="4">
        <f>COUNTIF(may!$F29:$AJ29,"CL")</f>
        <v>0</v>
      </c>
      <c r="AR29" s="4">
        <f>COUNTIF(may!$F29:$AJ29,"A")</f>
        <v>0</v>
      </c>
      <c r="AS29" s="4">
        <f>COUNTIF(may!$F29:$AJ29,"P")</f>
        <v>24</v>
      </c>
      <c r="AT29" s="4">
        <f t="shared" si="2"/>
        <v>31</v>
      </c>
      <c r="AU29" s="4">
        <f t="shared" si="3"/>
        <v>31</v>
      </c>
      <c r="AV29" s="4">
        <f>SUMIFS(holly!$L$2:$L$122,holly!$I$2:$I$122,mar!$A29,holly!$K$2:$K$122,"Mar")</f>
        <v>0</v>
      </c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</row>
    <row r="30" spans="1:80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">
        <v>350</v>
      </c>
      <c r="G30" s="4" t="str">
        <f>IFERROR(LOOKUP(2,1/((lentry!$A$3:$A$3999=may!$A30)*(lentry!$B$3:$B$3999&lt;=may!G$3)*(lentry!$C$3:$C$3999&gt;=may!G$3)),lentry!$D$3:$D$3999),IF(WEEKDAY(may!G$3,1)=1,"WO","P"))</f>
        <v>P</v>
      </c>
      <c r="H30" s="4" t="str">
        <f>IFERROR(LOOKUP(2,1/((lentry!$A$3:$A$3999=may!$A30)*(lentry!$B$3:$B$3999&lt;=may!H$3)*(lentry!$C$3:$C$3999&gt;=may!H$3)),lentry!$D$3:$D$3999),IF(WEEKDAY(may!H$3,1)=1,"WO","P"))</f>
        <v>WO</v>
      </c>
      <c r="I30" s="4" t="str">
        <f>IFERROR(LOOKUP(2,1/((lentry!$A$3:$A$3999=may!$A30)*(lentry!$B$3:$B$3999&lt;=may!I$3)*(lentry!$C$3:$C$3999&gt;=may!I$3)),lentry!$D$3:$D$3999),IF(WEEKDAY(may!I$3,1)=1,"WO","P"))</f>
        <v>P</v>
      </c>
      <c r="J30" s="4" t="str">
        <f>IFERROR(LOOKUP(2,1/((lentry!$A$3:$A$3999=may!$A30)*(lentry!$B$3:$B$3999&lt;=may!J$3)*(lentry!$C$3:$C$3999&gt;=may!J$3)),lentry!$D$3:$D$3999),IF(WEEKDAY(may!J$3,1)=1,"WO","P"))</f>
        <v>P</v>
      </c>
      <c r="K30" s="4" t="str">
        <f>IFERROR(LOOKUP(2,1/((lentry!$A$3:$A$3999=may!$A30)*(lentry!$B$3:$B$3999&lt;=may!K$3)*(lentry!$C$3:$C$3999&gt;=may!K$3)),lentry!$D$3:$D$3999),IF(WEEKDAY(may!K$3,1)=1,"WO","P"))</f>
        <v>P</v>
      </c>
      <c r="L30" s="4" t="str">
        <f>IFERROR(LOOKUP(2,1/((lentry!$A$3:$A$3999=may!$A30)*(lentry!$B$3:$B$3999&lt;=may!L$3)*(lentry!$C$3:$C$3999&gt;=may!L$3)),lentry!$D$3:$D$3999),IF(WEEKDAY(may!L$3,1)=1,"WO","P"))</f>
        <v>P</v>
      </c>
      <c r="M30" s="4" t="str">
        <f>IFERROR(LOOKUP(2,1/((lentry!$A$3:$A$3999=may!$A30)*(lentry!$B$3:$B$3999&lt;=may!M$3)*(lentry!$C$3:$C$3999&gt;=may!M$3)),lentry!$D$3:$D$3999),IF(WEEKDAY(may!M$3,1)=1,"WO","P"))</f>
        <v>P</v>
      </c>
      <c r="N30" s="4" t="str">
        <f>IFERROR(LOOKUP(2,1/((lentry!$A$3:$A$3999=may!$A30)*(lentry!$B$3:$B$3999&lt;=may!N$3)*(lentry!$C$3:$C$3999&gt;=may!N$3)),lentry!$D$3:$D$3999),IF(WEEKDAY(may!N$3,1)=1,"WO","P"))</f>
        <v>P</v>
      </c>
      <c r="O30" s="4" t="str">
        <f>IFERROR(LOOKUP(2,1/((lentry!$A$3:$A$3999=may!$A30)*(lentry!$B$3:$B$3999&lt;=may!O$3)*(lentry!$C$3:$C$3999&gt;=may!O$3)),lentry!$D$3:$D$3999),IF(WEEKDAY(may!O$3,1)=1,"WO","P"))</f>
        <v>WO</v>
      </c>
      <c r="P30" s="4" t="str">
        <f>IFERROR(LOOKUP(2,1/((lentry!$A$3:$A$3999=may!$A30)*(lentry!$B$3:$B$3999&lt;=may!P$3)*(lentry!$C$3:$C$3999&gt;=may!P$3)),lentry!$D$3:$D$3999),IF(WEEKDAY(may!P$3,1)=1,"WO","P"))</f>
        <v>P</v>
      </c>
      <c r="Q30" s="4" t="str">
        <f>IFERROR(LOOKUP(2,1/((lentry!$A$3:$A$3999=may!$A30)*(lentry!$B$3:$B$3999&lt;=may!Q$3)*(lentry!$C$3:$C$3999&gt;=may!Q$3)),lentry!$D$3:$D$3999),IF(WEEKDAY(may!Q$3,1)=1,"WO","P"))</f>
        <v>P</v>
      </c>
      <c r="R30" s="4" t="str">
        <f>IFERROR(LOOKUP(2,1/((lentry!$A$3:$A$3999=may!$A30)*(lentry!$B$3:$B$3999&lt;=may!R$3)*(lentry!$C$3:$C$3999&gt;=may!R$3)),lentry!$D$3:$D$3999),IF(WEEKDAY(may!R$3,1)=1,"WO","P"))</f>
        <v>P</v>
      </c>
      <c r="S30" s="4" t="str">
        <f>IFERROR(LOOKUP(2,1/((lentry!$A$3:$A$3999=may!$A30)*(lentry!$B$3:$B$3999&lt;=may!S$3)*(lentry!$C$3:$C$3999&gt;=may!S$3)),lentry!$D$3:$D$3999),IF(WEEKDAY(may!S$3,1)=1,"WO","P"))</f>
        <v>P</v>
      </c>
      <c r="T30" s="4" t="s">
        <v>539</v>
      </c>
      <c r="U30" s="4" t="str">
        <f>IFERROR(LOOKUP(2,1/((lentry!$A$3:$A$3999=may!$A30)*(lentry!$B$3:$B$3999&lt;=may!U$3)*(lentry!$C$3:$C$3999&gt;=may!U$3)),lentry!$D$3:$D$3999),IF(WEEKDAY(may!U$3,1)=1,"WO","P"))</f>
        <v>P</v>
      </c>
      <c r="V30" s="4" t="str">
        <f>IFERROR(LOOKUP(2,1/((lentry!$A$3:$A$3999=may!$A30)*(lentry!$B$3:$B$3999&lt;=may!V$3)*(lentry!$C$3:$C$3999&gt;=may!V$3)),lentry!$D$3:$D$3999),IF(WEEKDAY(may!V$3,1)=1,"WO","P"))</f>
        <v>WO</v>
      </c>
      <c r="W30" s="4" t="str">
        <f>IFERROR(LOOKUP(2,1/((lentry!$A$3:$A$3999=may!$A30)*(lentry!$B$3:$B$3999&lt;=may!W$3)*(lentry!$C$3:$C$3999&gt;=may!W$3)),lentry!$D$3:$D$3999),IF(WEEKDAY(may!W$3,1)=1,"WO","P"))</f>
        <v>P</v>
      </c>
      <c r="X30" s="4" t="str">
        <f>IFERROR(LOOKUP(2,1/((lentry!$A$3:$A$3999=may!$A30)*(lentry!$B$3:$B$3999&lt;=may!X$3)*(lentry!$C$3:$C$3999&gt;=may!X$3)),lentry!$D$3:$D$3999),IF(WEEKDAY(may!X$3,1)=1,"WO","P"))</f>
        <v>P</v>
      </c>
      <c r="Y30" s="4" t="str">
        <f>IFERROR(LOOKUP(2,1/((lentry!$A$3:$A$3999=may!$A30)*(lentry!$B$3:$B$3999&lt;=may!Y$3)*(lentry!$C$3:$C$3999&gt;=may!Y$3)),lentry!$D$3:$D$3999),IF(WEEKDAY(may!Y$3,1)=1,"WO","P"))</f>
        <v>P</v>
      </c>
      <c r="Z30" s="4" t="str">
        <f>IFERROR(LOOKUP(2,1/((lentry!$A$3:$A$3999=may!$A30)*(lentry!$B$3:$B$3999&lt;=may!Z$3)*(lentry!$C$3:$C$3999&gt;=may!Z$3)),lentry!$D$3:$D$3999),IF(WEEKDAY(may!Z$3,1)=1,"WO","P"))</f>
        <v>P</v>
      </c>
      <c r="AA30" s="4" t="str">
        <f>IFERROR(LOOKUP(2,1/((lentry!$A$3:$A$3999=may!$A30)*(lentry!$B$3:$B$3999&lt;=may!AA$3)*(lentry!$C$3:$C$3999&gt;=may!AA$3)),lentry!$D$3:$D$3999),IF(WEEKDAY(may!AA$3,1)=1,"WO","P"))</f>
        <v>P</v>
      </c>
      <c r="AB30" s="4" t="str">
        <f>IFERROR(LOOKUP(2,1/((lentry!$A$3:$A$3999=may!$A30)*(lentry!$B$3:$B$3999&lt;=may!AB$3)*(lentry!$C$3:$C$3999&gt;=may!AB$3)),lentry!$D$3:$D$3999),IF(WEEKDAY(may!AB$3,1)=1,"WO","P"))</f>
        <v>P</v>
      </c>
      <c r="AC30" s="4" t="str">
        <f>IFERROR(LOOKUP(2,1/((lentry!$A$3:$A$3999=may!$A30)*(lentry!$B$3:$B$3999&lt;=may!AC$3)*(lentry!$C$3:$C$3999&gt;=may!AC$3)),lentry!$D$3:$D$3999),IF(WEEKDAY(may!AC$3,1)=1,"WO","P"))</f>
        <v>WO</v>
      </c>
      <c r="AD30" s="4" t="str">
        <f>IFERROR(LOOKUP(2,1/((lentry!$A$3:$A$3999=may!$A30)*(lentry!$B$3:$B$3999&lt;=may!AD$3)*(lentry!$C$3:$C$3999&gt;=may!AD$3)),lentry!$D$3:$D$3999),IF(WEEKDAY(may!AD$3,1)=1,"WO","P"))</f>
        <v>P</v>
      </c>
      <c r="AE30" s="4" t="str">
        <f>IFERROR(LOOKUP(2,1/((lentry!$A$3:$A$3999=may!$A30)*(lentry!$B$3:$B$3999&lt;=may!AE$3)*(lentry!$C$3:$C$3999&gt;=may!AE$3)),lentry!$D$3:$D$3999),IF(WEEKDAY(may!AE$3,1)=1,"WO","P"))</f>
        <v>P</v>
      </c>
      <c r="AF30" s="4" t="s">
        <v>350</v>
      </c>
      <c r="AG30" s="4" t="str">
        <f>IFERROR(LOOKUP(2,1/((lentry!$A$3:$A$3999=may!$A30)*(lentry!$B$3:$B$3999&lt;=may!AG$3)*(lentry!$C$3:$C$3999&gt;=may!AG$3)),lentry!$D$3:$D$3999),IF(WEEKDAY(may!AG$3,1)=1,"WO","P"))</f>
        <v>P</v>
      </c>
      <c r="AH30" s="4" t="str">
        <f>IFERROR(LOOKUP(2,1/((lentry!$A$3:$A$3999=may!$A30)*(lentry!$B$3:$B$3999&lt;=may!AH$3)*(lentry!$C$3:$C$3999&gt;=may!AH$3)),lentry!$D$3:$D$3999),IF(WEEKDAY(may!AH$3,1)=1,"WO","P"))</f>
        <v>P</v>
      </c>
      <c r="AI30" s="4" t="str">
        <f>IFERROR(LOOKUP(2,1/((lentry!$A$3:$A$3999=may!$A30)*(lentry!$B$3:$B$3999&lt;=may!AI$3)*(lentry!$C$3:$C$3999&gt;=may!AI$3)),lentry!$D$3:$D$3999),IF(WEEKDAY(may!AI$3,1)=1,"WO","P"))</f>
        <v>P</v>
      </c>
      <c r="AJ30" s="4" t="str">
        <f>IFERROR(LOOKUP(2,1/((lentry!$A$3:$A$3999=may!$A30)*(lentry!$B$3:$B$3999&lt;=may!AJ$3)*(lentry!$C$3:$C$3999&gt;=may!AJ$3)),lentry!$D$3:$D$3999),IF(WEEKDAY(may!AJ$3,1)=1,"WO","P"))</f>
        <v>WO</v>
      </c>
      <c r="AK30" s="4">
        <f>COUNTIF(may!$F30:$AJ30,"WO")</f>
        <v>5</v>
      </c>
      <c r="AL30" s="4">
        <f>COUNTIF(may!$F30:$AJ30,"H")</f>
        <v>2</v>
      </c>
      <c r="AM30" s="4">
        <f>COUNTIF(may!$F30:$AJ30,"PL")</f>
        <v>0</v>
      </c>
      <c r="AN30" s="4">
        <f>COUNTIF(may!$F30:$AJ30,"LWP")</f>
        <v>0</v>
      </c>
      <c r="AO30" s="4">
        <f>COUNTIF(may!$F30:$AJ30,"HD")</f>
        <v>0</v>
      </c>
      <c r="AP30" s="4">
        <f>COUNTIF(may!$F30:$AJ30,"SL")</f>
        <v>0</v>
      </c>
      <c r="AQ30" s="4">
        <f>COUNTIF(may!$F30:$AJ30,"CL")</f>
        <v>0</v>
      </c>
      <c r="AR30" s="4">
        <f>COUNTIF(may!$F30:$AJ30,"A")</f>
        <v>1</v>
      </c>
      <c r="AS30" s="4">
        <f>COUNTIF(may!$F30:$AJ30,"P")</f>
        <v>23</v>
      </c>
      <c r="AT30" s="4">
        <f t="shared" si="2"/>
        <v>31</v>
      </c>
      <c r="AU30" s="4">
        <f t="shared" si="3"/>
        <v>30</v>
      </c>
      <c r="AV30" s="4">
        <f>SUMIFS(holly!$L$2:$L$122,holly!$I$2:$I$122,mar!$A30,holly!$K$2:$K$122,"Mar")</f>
        <v>0</v>
      </c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</row>
    <row r="31" spans="1:80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">
        <v>350</v>
      </c>
      <c r="G31" s="4" t="str">
        <f>IFERROR(LOOKUP(2,1/((lentry!$A$3:$A$3999=may!$A31)*(lentry!$B$3:$B$3999&lt;=may!G$3)*(lentry!$C$3:$C$3999&gt;=may!G$3)),lentry!$D$3:$D$3999),IF(WEEKDAY(may!G$3,1)=1,"WO","P"))</f>
        <v>P</v>
      </c>
      <c r="H31" s="4" t="str">
        <f>IFERROR(LOOKUP(2,1/((lentry!$A$3:$A$3999=may!$A31)*(lentry!$B$3:$B$3999&lt;=may!H$3)*(lentry!$C$3:$C$3999&gt;=may!H$3)),lentry!$D$3:$D$3999),IF(WEEKDAY(may!H$3,1)=1,"WO","P"))</f>
        <v>WO</v>
      </c>
      <c r="I31" s="4" t="str">
        <f>IFERROR(LOOKUP(2,1/((lentry!$A$3:$A$3999=may!$A31)*(lentry!$B$3:$B$3999&lt;=may!I$3)*(lentry!$C$3:$C$3999&gt;=may!I$3)),lentry!$D$3:$D$3999),IF(WEEKDAY(may!I$3,1)=1,"WO","P"))</f>
        <v>P</v>
      </c>
      <c r="J31" s="4" t="str">
        <f>IFERROR(LOOKUP(2,1/((lentry!$A$3:$A$3999=may!$A31)*(lentry!$B$3:$B$3999&lt;=may!J$3)*(lentry!$C$3:$C$3999&gt;=may!J$3)),lentry!$D$3:$D$3999),IF(WEEKDAY(may!J$3,1)=1,"WO","P"))</f>
        <v>P</v>
      </c>
      <c r="K31" s="4" t="str">
        <f>IFERROR(LOOKUP(2,1/((lentry!$A$3:$A$3999=may!$A31)*(lentry!$B$3:$B$3999&lt;=may!K$3)*(lentry!$C$3:$C$3999&gt;=may!K$3)),lentry!$D$3:$D$3999),IF(WEEKDAY(may!K$3,1)=1,"WO","P"))</f>
        <v>P</v>
      </c>
      <c r="L31" s="4" t="str">
        <f>IFERROR(LOOKUP(2,1/((lentry!$A$3:$A$3999=may!$A31)*(lentry!$B$3:$B$3999&lt;=may!L$3)*(lentry!$C$3:$C$3999&gt;=may!L$3)),lentry!$D$3:$D$3999),IF(WEEKDAY(may!L$3,1)=1,"WO","P"))</f>
        <v>P</v>
      </c>
      <c r="M31" s="4" t="str">
        <f>IFERROR(LOOKUP(2,1/((lentry!$A$3:$A$3999=may!$A31)*(lentry!$B$3:$B$3999&lt;=may!M$3)*(lentry!$C$3:$C$3999&gt;=may!M$3)),lentry!$D$3:$D$3999),IF(WEEKDAY(may!M$3,1)=1,"WO","P"))</f>
        <v>P</v>
      </c>
      <c r="N31" s="4" t="str">
        <f>IFERROR(LOOKUP(2,1/((lentry!$A$3:$A$3999=may!$A31)*(lentry!$B$3:$B$3999&lt;=may!N$3)*(lentry!$C$3:$C$3999&gt;=may!N$3)),lentry!$D$3:$D$3999),IF(WEEKDAY(may!N$3,1)=1,"WO","P"))</f>
        <v>P</v>
      </c>
      <c r="O31" s="4" t="str">
        <f>IFERROR(LOOKUP(2,1/((lentry!$A$3:$A$3999=may!$A31)*(lentry!$B$3:$B$3999&lt;=may!O$3)*(lentry!$C$3:$C$3999&gt;=may!O$3)),lentry!$D$3:$D$3999),IF(WEEKDAY(may!O$3,1)=1,"WO","P"))</f>
        <v>WO</v>
      </c>
      <c r="P31" s="4" t="str">
        <f>IFERROR(LOOKUP(2,1/((lentry!$A$3:$A$3999=may!$A31)*(lentry!$B$3:$B$3999&lt;=may!P$3)*(lentry!$C$3:$C$3999&gt;=may!P$3)),lentry!$D$3:$D$3999),IF(WEEKDAY(may!P$3,1)=1,"WO","P"))</f>
        <v>P</v>
      </c>
      <c r="Q31" s="4" t="str">
        <f>IFERROR(LOOKUP(2,1/((lentry!$A$3:$A$3999=may!$A31)*(lentry!$B$3:$B$3999&lt;=may!Q$3)*(lentry!$C$3:$C$3999&gt;=may!Q$3)),lentry!$D$3:$D$3999),IF(WEEKDAY(may!Q$3,1)=1,"WO","P"))</f>
        <v>P</v>
      </c>
      <c r="R31" s="4" t="str">
        <f>IFERROR(LOOKUP(2,1/((lentry!$A$3:$A$3999=may!$A31)*(lentry!$B$3:$B$3999&lt;=may!R$3)*(lentry!$C$3:$C$3999&gt;=may!R$3)),lentry!$D$3:$D$3999),IF(WEEKDAY(may!R$3,1)=1,"WO","P"))</f>
        <v>P</v>
      </c>
      <c r="S31" s="4" t="str">
        <f>IFERROR(LOOKUP(2,1/((lentry!$A$3:$A$3999=may!$A31)*(lentry!$B$3:$B$3999&lt;=may!S$3)*(lentry!$C$3:$C$3999&gt;=may!S$3)),lentry!$D$3:$D$3999),IF(WEEKDAY(may!S$3,1)=1,"WO","P"))</f>
        <v>P</v>
      </c>
      <c r="T31" s="4" t="str">
        <f>IFERROR(LOOKUP(2,1/((lentry!$A$3:$A$3999=may!$A31)*(lentry!$B$3:$B$3999&lt;=may!T$3)*(lentry!$C$3:$C$3999&gt;=may!T$3)),lentry!$D$3:$D$3999),IF(WEEKDAY(may!T$3,1)=1,"WO","P"))</f>
        <v>P</v>
      </c>
      <c r="U31" s="4" t="str">
        <f>IFERROR(LOOKUP(2,1/((lentry!$A$3:$A$3999=may!$A31)*(lentry!$B$3:$B$3999&lt;=may!U$3)*(lentry!$C$3:$C$3999&gt;=may!U$3)),lentry!$D$3:$D$3999),IF(WEEKDAY(may!U$3,1)=1,"WO","P"))</f>
        <v>P</v>
      </c>
      <c r="V31" s="4" t="str">
        <f>IFERROR(LOOKUP(2,1/((lentry!$A$3:$A$3999=may!$A31)*(lentry!$B$3:$B$3999&lt;=may!V$3)*(lentry!$C$3:$C$3999&gt;=may!V$3)),lentry!$D$3:$D$3999),IF(WEEKDAY(may!V$3,1)=1,"WO","P"))</f>
        <v>WO</v>
      </c>
      <c r="W31" s="4" t="str">
        <f>IFERROR(LOOKUP(2,1/((lentry!$A$3:$A$3999=may!$A31)*(lentry!$B$3:$B$3999&lt;=may!W$3)*(lentry!$C$3:$C$3999&gt;=may!W$3)),lentry!$D$3:$D$3999),IF(WEEKDAY(may!W$3,1)=1,"WO","P"))</f>
        <v>P</v>
      </c>
      <c r="X31" s="4" t="str">
        <f>IFERROR(LOOKUP(2,1/((lentry!$A$3:$A$3999=may!$A31)*(lentry!$B$3:$B$3999&lt;=may!X$3)*(lentry!$C$3:$C$3999&gt;=may!X$3)),lentry!$D$3:$D$3999),IF(WEEKDAY(may!X$3,1)=1,"WO","P"))</f>
        <v>P</v>
      </c>
      <c r="Y31" s="4" t="str">
        <f>IFERROR(LOOKUP(2,1/((lentry!$A$3:$A$3999=may!$A31)*(lentry!$B$3:$B$3999&lt;=may!Y$3)*(lentry!$C$3:$C$3999&gt;=may!Y$3)),lentry!$D$3:$D$3999),IF(WEEKDAY(may!Y$3,1)=1,"WO","P"))</f>
        <v>P</v>
      </c>
      <c r="Z31" s="4" t="str">
        <f>IFERROR(LOOKUP(2,1/((lentry!$A$3:$A$3999=may!$A31)*(lentry!$B$3:$B$3999&lt;=may!Z$3)*(lentry!$C$3:$C$3999&gt;=may!Z$3)),lentry!$D$3:$D$3999),IF(WEEKDAY(may!Z$3,1)=1,"WO","P"))</f>
        <v>P</v>
      </c>
      <c r="AA31" s="4" t="str">
        <f>IFERROR(LOOKUP(2,1/((lentry!$A$3:$A$3999=may!$A31)*(lentry!$B$3:$B$3999&lt;=may!AA$3)*(lentry!$C$3:$C$3999&gt;=may!AA$3)),lentry!$D$3:$D$3999),IF(WEEKDAY(may!AA$3,1)=1,"WO","P"))</f>
        <v>P</v>
      </c>
      <c r="AB31" s="4" t="str">
        <f>IFERROR(LOOKUP(2,1/((lentry!$A$3:$A$3999=may!$A31)*(lentry!$B$3:$B$3999&lt;=may!AB$3)*(lentry!$C$3:$C$3999&gt;=may!AB$3)),lentry!$D$3:$D$3999),IF(WEEKDAY(may!AB$3,1)=1,"WO","P"))</f>
        <v>P</v>
      </c>
      <c r="AC31" s="4" t="str">
        <f>IFERROR(LOOKUP(2,1/((lentry!$A$3:$A$3999=may!$A31)*(lentry!$B$3:$B$3999&lt;=may!AC$3)*(lentry!$C$3:$C$3999&gt;=may!AC$3)),lentry!$D$3:$D$3999),IF(WEEKDAY(may!AC$3,1)=1,"WO","P"))</f>
        <v>WO</v>
      </c>
      <c r="AD31" s="4" t="str">
        <f>IFERROR(LOOKUP(2,1/((lentry!$A$3:$A$3999=may!$A31)*(lentry!$B$3:$B$3999&lt;=may!AD$3)*(lentry!$C$3:$C$3999&gt;=may!AD$3)),lentry!$D$3:$D$3999),IF(WEEKDAY(may!AD$3,1)=1,"WO","P"))</f>
        <v>P</v>
      </c>
      <c r="AE31" s="4" t="str">
        <f>IFERROR(LOOKUP(2,1/((lentry!$A$3:$A$3999=may!$A31)*(lentry!$B$3:$B$3999&lt;=may!AE$3)*(lentry!$C$3:$C$3999&gt;=may!AE$3)),lentry!$D$3:$D$3999),IF(WEEKDAY(may!AE$3,1)=1,"WO","P"))</f>
        <v>P</v>
      </c>
      <c r="AF31" s="4" t="s">
        <v>350</v>
      </c>
      <c r="AG31" s="4" t="str">
        <f>IFERROR(LOOKUP(2,1/((lentry!$A$3:$A$3999=may!$A31)*(lentry!$B$3:$B$3999&lt;=may!AG$3)*(lentry!$C$3:$C$3999&gt;=may!AG$3)),lentry!$D$3:$D$3999),IF(WEEKDAY(may!AG$3,1)=1,"WO","P"))</f>
        <v>P</v>
      </c>
      <c r="AH31" s="4" t="str">
        <f>IFERROR(LOOKUP(2,1/((lentry!$A$3:$A$3999=may!$A31)*(lentry!$B$3:$B$3999&lt;=may!AH$3)*(lentry!$C$3:$C$3999&gt;=may!AH$3)),lentry!$D$3:$D$3999),IF(WEEKDAY(may!AH$3,1)=1,"WO","P"))</f>
        <v>P</v>
      </c>
      <c r="AI31" s="4" t="str">
        <f>IFERROR(LOOKUP(2,1/((lentry!$A$3:$A$3999=may!$A31)*(lentry!$B$3:$B$3999&lt;=may!AI$3)*(lentry!$C$3:$C$3999&gt;=may!AI$3)),lentry!$D$3:$D$3999),IF(WEEKDAY(may!AI$3,1)=1,"WO","P"))</f>
        <v>P</v>
      </c>
      <c r="AJ31" s="4" t="str">
        <f>IFERROR(LOOKUP(2,1/((lentry!$A$3:$A$3999=may!$A31)*(lentry!$B$3:$B$3999&lt;=may!AJ$3)*(lentry!$C$3:$C$3999&gt;=may!AJ$3)),lentry!$D$3:$D$3999),IF(WEEKDAY(may!AJ$3,1)=1,"WO","P"))</f>
        <v>WO</v>
      </c>
      <c r="AK31" s="4">
        <f>COUNTIF(may!$F31:$AJ31,"WO")</f>
        <v>5</v>
      </c>
      <c r="AL31" s="4">
        <f>COUNTIF(may!$F31:$AJ31,"H")</f>
        <v>2</v>
      </c>
      <c r="AM31" s="4">
        <f>COUNTIF(may!$F31:$AJ31,"PL")</f>
        <v>0</v>
      </c>
      <c r="AN31" s="4">
        <f>COUNTIF(may!$F31:$AJ31,"LWP")</f>
        <v>0</v>
      </c>
      <c r="AO31" s="4">
        <f>COUNTIF(may!$F31:$AJ31,"HD")</f>
        <v>0</v>
      </c>
      <c r="AP31" s="4">
        <f>COUNTIF(may!$F31:$AJ31,"SL")</f>
        <v>0</v>
      </c>
      <c r="AQ31" s="4">
        <f>COUNTIF(may!$F31:$AJ31,"CL")</f>
        <v>0</v>
      </c>
      <c r="AR31" s="4">
        <f>COUNTIF(may!$F31:$AJ31,"A")</f>
        <v>0</v>
      </c>
      <c r="AS31" s="4">
        <f>COUNTIF(may!$F31:$AJ31,"P")</f>
        <v>24</v>
      </c>
      <c r="AT31" s="4">
        <f t="shared" si="2"/>
        <v>31</v>
      </c>
      <c r="AU31" s="4">
        <f t="shared" si="3"/>
        <v>31</v>
      </c>
      <c r="AV31" s="4">
        <f>SUMIFS(holly!$L$2:$L$122,holly!$I$2:$I$122,mar!$A31,holly!$K$2:$K$122,"Mar")</f>
        <v>0</v>
      </c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</row>
    <row r="32" spans="1:80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">
        <v>350</v>
      </c>
      <c r="G32" s="4" t="str">
        <f>IFERROR(LOOKUP(2,1/((lentry!$A$3:$A$3999=may!$A32)*(lentry!$B$3:$B$3999&lt;=may!G$3)*(lentry!$C$3:$C$3999&gt;=may!G$3)),lentry!$D$3:$D$3999),IF(WEEKDAY(may!G$3,1)=1,"WO","P"))</f>
        <v>P</v>
      </c>
      <c r="H32" s="4" t="str">
        <f>IFERROR(LOOKUP(2,1/((lentry!$A$3:$A$3999=may!$A32)*(lentry!$B$3:$B$3999&lt;=may!H$3)*(lentry!$C$3:$C$3999&gt;=may!H$3)),lentry!$D$3:$D$3999),IF(WEEKDAY(may!H$3,1)=1,"WO","P"))</f>
        <v>WO</v>
      </c>
      <c r="I32" s="4" t="str">
        <f>IFERROR(LOOKUP(2,1/((lentry!$A$3:$A$3999=may!$A32)*(lentry!$B$3:$B$3999&lt;=may!I$3)*(lentry!$C$3:$C$3999&gt;=may!I$3)),lentry!$D$3:$D$3999),IF(WEEKDAY(may!I$3,1)=1,"WO","P"))</f>
        <v>P</v>
      </c>
      <c r="J32" s="4" t="str">
        <f>IFERROR(LOOKUP(2,1/((lentry!$A$3:$A$3999=may!$A32)*(lentry!$B$3:$B$3999&lt;=may!J$3)*(lentry!$C$3:$C$3999&gt;=may!J$3)),lentry!$D$3:$D$3999),IF(WEEKDAY(may!J$3,1)=1,"WO","P"))</f>
        <v>P</v>
      </c>
      <c r="K32" s="4" t="str">
        <f>IFERROR(LOOKUP(2,1/((lentry!$A$3:$A$3999=may!$A32)*(lentry!$B$3:$B$3999&lt;=may!K$3)*(lentry!$C$3:$C$3999&gt;=may!K$3)),lentry!$D$3:$D$3999),IF(WEEKDAY(may!K$3,1)=1,"WO","P"))</f>
        <v>P</v>
      </c>
      <c r="L32" s="4" t="str">
        <f>IFERROR(LOOKUP(2,1/((lentry!$A$3:$A$3999=may!$A32)*(lentry!$B$3:$B$3999&lt;=may!L$3)*(lentry!$C$3:$C$3999&gt;=may!L$3)),lentry!$D$3:$D$3999),IF(WEEKDAY(may!L$3,1)=1,"WO","P"))</f>
        <v>P</v>
      </c>
      <c r="M32" s="4" t="str">
        <f>IFERROR(LOOKUP(2,1/((lentry!$A$3:$A$3999=may!$A32)*(lentry!$B$3:$B$3999&lt;=may!M$3)*(lentry!$C$3:$C$3999&gt;=may!M$3)),lentry!$D$3:$D$3999),IF(WEEKDAY(may!M$3,1)=1,"WO","P"))</f>
        <v>P</v>
      </c>
      <c r="N32" s="4" t="str">
        <f>IFERROR(LOOKUP(2,1/((lentry!$A$3:$A$3999=may!$A32)*(lentry!$B$3:$B$3999&lt;=may!N$3)*(lentry!$C$3:$C$3999&gt;=may!N$3)),lentry!$D$3:$D$3999),IF(WEEKDAY(may!N$3,1)=1,"WO","P"))</f>
        <v>P</v>
      </c>
      <c r="O32" s="4" t="str">
        <f>IFERROR(LOOKUP(2,1/((lentry!$A$3:$A$3999=may!$A32)*(lentry!$B$3:$B$3999&lt;=may!O$3)*(lentry!$C$3:$C$3999&gt;=may!O$3)),lentry!$D$3:$D$3999),IF(WEEKDAY(may!O$3,1)=1,"WO","P"))</f>
        <v>WO</v>
      </c>
      <c r="P32" s="4" t="str">
        <f>IFERROR(LOOKUP(2,1/((lentry!$A$3:$A$3999=may!$A32)*(lentry!$B$3:$B$3999&lt;=may!P$3)*(lentry!$C$3:$C$3999&gt;=may!P$3)),lentry!$D$3:$D$3999),IF(WEEKDAY(may!P$3,1)=1,"WO","P"))</f>
        <v>P</v>
      </c>
      <c r="Q32" s="4" t="str">
        <f>IFERROR(LOOKUP(2,1/((lentry!$A$3:$A$3999=may!$A32)*(lentry!$B$3:$B$3999&lt;=may!Q$3)*(lentry!$C$3:$C$3999&gt;=may!Q$3)),lentry!$D$3:$D$3999),IF(WEEKDAY(may!Q$3,1)=1,"WO","P"))</f>
        <v>P</v>
      </c>
      <c r="R32" s="4" t="str">
        <f>IFERROR(LOOKUP(2,1/((lentry!$A$3:$A$3999=may!$A32)*(lentry!$B$3:$B$3999&lt;=may!R$3)*(lentry!$C$3:$C$3999&gt;=may!R$3)),lentry!$D$3:$D$3999),IF(WEEKDAY(may!R$3,1)=1,"WO","P"))</f>
        <v>P</v>
      </c>
      <c r="S32" s="4" t="str">
        <f>IFERROR(LOOKUP(2,1/((lentry!$A$3:$A$3999=may!$A32)*(lentry!$B$3:$B$3999&lt;=may!S$3)*(lentry!$C$3:$C$3999&gt;=may!S$3)),lentry!$D$3:$D$3999),IF(WEEKDAY(may!S$3,1)=1,"WO","P"))</f>
        <v>P</v>
      </c>
      <c r="T32" s="4" t="str">
        <f>IFERROR(LOOKUP(2,1/((lentry!$A$3:$A$3999=may!$A32)*(lentry!$B$3:$B$3999&lt;=may!T$3)*(lentry!$C$3:$C$3999&gt;=may!T$3)),lentry!$D$3:$D$3999),IF(WEEKDAY(may!T$3,1)=1,"WO","P"))</f>
        <v>P</v>
      </c>
      <c r="U32" s="4" t="str">
        <f>IFERROR(LOOKUP(2,1/((lentry!$A$3:$A$3999=may!$A32)*(lentry!$B$3:$B$3999&lt;=may!U$3)*(lentry!$C$3:$C$3999&gt;=may!U$3)),lentry!$D$3:$D$3999),IF(WEEKDAY(may!U$3,1)=1,"WO","P"))</f>
        <v>P</v>
      </c>
      <c r="V32" s="4" t="str">
        <f>IFERROR(LOOKUP(2,1/((lentry!$A$3:$A$3999=may!$A32)*(lentry!$B$3:$B$3999&lt;=may!V$3)*(lentry!$C$3:$C$3999&gt;=may!V$3)),lentry!$D$3:$D$3999),IF(WEEKDAY(may!V$3,1)=1,"WO","P"))</f>
        <v>WO</v>
      </c>
      <c r="W32" s="4" t="str">
        <f>IFERROR(LOOKUP(2,1/((lentry!$A$3:$A$3999=may!$A32)*(lentry!$B$3:$B$3999&lt;=may!W$3)*(lentry!$C$3:$C$3999&gt;=may!W$3)),lentry!$D$3:$D$3999),IF(WEEKDAY(may!W$3,1)=1,"WO","P"))</f>
        <v>P</v>
      </c>
      <c r="X32" s="4" t="str">
        <f>IFERROR(LOOKUP(2,1/((lentry!$A$3:$A$3999=may!$A32)*(lentry!$B$3:$B$3999&lt;=may!X$3)*(lentry!$C$3:$C$3999&gt;=may!X$3)),lentry!$D$3:$D$3999),IF(WEEKDAY(may!X$3,1)=1,"WO","P"))</f>
        <v>P</v>
      </c>
      <c r="Y32" s="4" t="s">
        <v>539</v>
      </c>
      <c r="Z32" s="4" t="str">
        <f>IFERROR(LOOKUP(2,1/((lentry!$A$3:$A$3999=may!$A32)*(lentry!$B$3:$B$3999&lt;=may!Z$3)*(lentry!$C$3:$C$3999&gt;=may!Z$3)),lentry!$D$3:$D$3999),IF(WEEKDAY(may!Z$3,1)=1,"WO","P"))</f>
        <v>P</v>
      </c>
      <c r="AA32" s="4" t="str">
        <f>IFERROR(LOOKUP(2,1/((lentry!$A$3:$A$3999=may!$A32)*(lentry!$B$3:$B$3999&lt;=may!AA$3)*(lentry!$C$3:$C$3999&gt;=may!AA$3)),lentry!$D$3:$D$3999),IF(WEEKDAY(may!AA$3,1)=1,"WO","P"))</f>
        <v>P</v>
      </c>
      <c r="AB32" s="4" t="str">
        <f>IFERROR(LOOKUP(2,1/((lentry!$A$3:$A$3999=may!$A32)*(lentry!$B$3:$B$3999&lt;=may!AB$3)*(lentry!$C$3:$C$3999&gt;=may!AB$3)),lentry!$D$3:$D$3999),IF(WEEKDAY(may!AB$3,1)=1,"WO","P"))</f>
        <v>P</v>
      </c>
      <c r="AC32" s="4" t="str">
        <f>IFERROR(LOOKUP(2,1/((lentry!$A$3:$A$3999=may!$A32)*(lentry!$B$3:$B$3999&lt;=may!AC$3)*(lentry!$C$3:$C$3999&gt;=may!AC$3)),lentry!$D$3:$D$3999),IF(WEEKDAY(may!AC$3,1)=1,"WO","P"))</f>
        <v>WO</v>
      </c>
      <c r="AD32" s="4" t="str">
        <f>IFERROR(LOOKUP(2,1/((lentry!$A$3:$A$3999=may!$A32)*(lentry!$B$3:$B$3999&lt;=may!AD$3)*(lentry!$C$3:$C$3999&gt;=may!AD$3)),lentry!$D$3:$D$3999),IF(WEEKDAY(may!AD$3,1)=1,"WO","P"))</f>
        <v>P</v>
      </c>
      <c r="AE32" s="4" t="str">
        <f>IFERROR(LOOKUP(2,1/((lentry!$A$3:$A$3999=may!$A32)*(lentry!$B$3:$B$3999&lt;=may!AE$3)*(lentry!$C$3:$C$3999&gt;=may!AE$3)),lentry!$D$3:$D$3999),IF(WEEKDAY(may!AE$3,1)=1,"WO","P"))</f>
        <v>P</v>
      </c>
      <c r="AF32" s="4" t="s">
        <v>350</v>
      </c>
      <c r="AG32" s="4" t="str">
        <f>IFERROR(LOOKUP(2,1/((lentry!$A$3:$A$3999=may!$A32)*(lentry!$B$3:$B$3999&lt;=may!AG$3)*(lentry!$C$3:$C$3999&gt;=may!AG$3)),lentry!$D$3:$D$3999),IF(WEEKDAY(may!AG$3,1)=1,"WO","P"))</f>
        <v>P</v>
      </c>
      <c r="AH32" s="4" t="str">
        <f>IFERROR(LOOKUP(2,1/((lentry!$A$3:$A$3999=may!$A32)*(lentry!$B$3:$B$3999&lt;=may!AH$3)*(lentry!$C$3:$C$3999&gt;=may!AH$3)),lentry!$D$3:$D$3999),IF(WEEKDAY(may!AH$3,1)=1,"WO","P"))</f>
        <v>P</v>
      </c>
      <c r="AI32" s="4" t="str">
        <f>IFERROR(LOOKUP(2,1/((lentry!$A$3:$A$3999=may!$A32)*(lentry!$B$3:$B$3999&lt;=may!AI$3)*(lentry!$C$3:$C$3999&gt;=may!AI$3)),lentry!$D$3:$D$3999),IF(WEEKDAY(may!AI$3,1)=1,"WO","P"))</f>
        <v>P</v>
      </c>
      <c r="AJ32" s="4" t="str">
        <f>IFERROR(LOOKUP(2,1/((lentry!$A$3:$A$3999=may!$A32)*(lentry!$B$3:$B$3999&lt;=may!AJ$3)*(lentry!$C$3:$C$3999&gt;=may!AJ$3)),lentry!$D$3:$D$3999),IF(WEEKDAY(may!AJ$3,1)=1,"WO","P"))</f>
        <v>WO</v>
      </c>
      <c r="AK32" s="4">
        <f>COUNTIF(may!$F32:$AJ32,"WO")</f>
        <v>5</v>
      </c>
      <c r="AL32" s="4">
        <f>COUNTIF(may!$F32:$AJ32,"H")</f>
        <v>2</v>
      </c>
      <c r="AM32" s="4">
        <f>COUNTIF(may!$F32:$AJ32,"PL")</f>
        <v>0</v>
      </c>
      <c r="AN32" s="4">
        <f>COUNTIF(may!$F32:$AJ32,"LWP")</f>
        <v>0</v>
      </c>
      <c r="AO32" s="4">
        <f>COUNTIF(may!$F32:$AJ32,"HD")</f>
        <v>0</v>
      </c>
      <c r="AP32" s="4">
        <f>COUNTIF(may!$F32:$AJ32,"SL")</f>
        <v>0</v>
      </c>
      <c r="AQ32" s="4">
        <f>COUNTIF(may!$F32:$AJ32,"CL")</f>
        <v>0</v>
      </c>
      <c r="AR32" s="4">
        <f>COUNTIF(may!$F32:$AJ32,"A")</f>
        <v>1</v>
      </c>
      <c r="AS32" s="4">
        <f>COUNTIF(may!$F32:$AJ32,"P")</f>
        <v>23</v>
      </c>
      <c r="AT32" s="4">
        <f t="shared" si="2"/>
        <v>31</v>
      </c>
      <c r="AU32" s="4">
        <f t="shared" si="3"/>
        <v>30</v>
      </c>
      <c r="AV32" s="4">
        <f>SUMIFS(holly!$L$2:$L$122,holly!$I$2:$I$122,mar!$A32,holly!$K$2:$K$122,"Mar")</f>
        <v>0</v>
      </c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</row>
    <row r="33" spans="1:80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">
        <v>350</v>
      </c>
      <c r="G33" s="4" t="str">
        <f>IFERROR(LOOKUP(2,1/((lentry!$A$3:$A$3999=may!$A33)*(lentry!$B$3:$B$3999&lt;=may!G$3)*(lentry!$C$3:$C$3999&gt;=may!G$3)),lentry!$D$3:$D$3999),IF(WEEKDAY(may!G$3,1)=1,"WO","P"))</f>
        <v>P</v>
      </c>
      <c r="H33" s="4" t="str">
        <f>IFERROR(LOOKUP(2,1/((lentry!$A$3:$A$3999=may!$A33)*(lentry!$B$3:$B$3999&lt;=may!H$3)*(lentry!$C$3:$C$3999&gt;=may!H$3)),lentry!$D$3:$D$3999),IF(WEEKDAY(may!H$3,1)=1,"WO","P"))</f>
        <v>WO</v>
      </c>
      <c r="I33" s="4" t="str">
        <f>IFERROR(LOOKUP(2,1/((lentry!$A$3:$A$3999=may!$A33)*(lentry!$B$3:$B$3999&lt;=may!I$3)*(lentry!$C$3:$C$3999&gt;=may!I$3)),lentry!$D$3:$D$3999),IF(WEEKDAY(may!I$3,1)=1,"WO","P"))</f>
        <v>P</v>
      </c>
      <c r="J33" s="4" t="str">
        <f>IFERROR(LOOKUP(2,1/((lentry!$A$3:$A$3999=may!$A33)*(lentry!$B$3:$B$3999&lt;=may!J$3)*(lentry!$C$3:$C$3999&gt;=may!J$3)),lentry!$D$3:$D$3999),IF(WEEKDAY(may!J$3,1)=1,"WO","P"))</f>
        <v>P</v>
      </c>
      <c r="K33" s="4" t="str">
        <f>IFERROR(LOOKUP(2,1/((lentry!$A$3:$A$3999=may!$A33)*(lentry!$B$3:$B$3999&lt;=may!K$3)*(lentry!$C$3:$C$3999&gt;=may!K$3)),lentry!$D$3:$D$3999),IF(WEEKDAY(may!K$3,1)=1,"WO","P"))</f>
        <v>P</v>
      </c>
      <c r="L33" s="4" t="str">
        <f>IFERROR(LOOKUP(2,1/((lentry!$A$3:$A$3999=may!$A33)*(lentry!$B$3:$B$3999&lt;=may!L$3)*(lentry!$C$3:$C$3999&gt;=may!L$3)),lentry!$D$3:$D$3999),IF(WEEKDAY(may!L$3,1)=1,"WO","P"))</f>
        <v>P</v>
      </c>
      <c r="M33" s="4" t="str">
        <f>IFERROR(LOOKUP(2,1/((lentry!$A$3:$A$3999=may!$A33)*(lentry!$B$3:$B$3999&lt;=may!M$3)*(lentry!$C$3:$C$3999&gt;=may!M$3)),lentry!$D$3:$D$3999),IF(WEEKDAY(may!M$3,1)=1,"WO","P"))</f>
        <v>P</v>
      </c>
      <c r="N33" s="4" t="str">
        <f>IFERROR(LOOKUP(2,1/((lentry!$A$3:$A$3999=may!$A33)*(lentry!$B$3:$B$3999&lt;=may!N$3)*(lentry!$C$3:$C$3999&gt;=may!N$3)),lentry!$D$3:$D$3999),IF(WEEKDAY(may!N$3,1)=1,"WO","P"))</f>
        <v>P</v>
      </c>
      <c r="O33" s="4" t="str">
        <f>IFERROR(LOOKUP(2,1/((lentry!$A$3:$A$3999=may!$A33)*(lentry!$B$3:$B$3999&lt;=may!O$3)*(lentry!$C$3:$C$3999&gt;=may!O$3)),lentry!$D$3:$D$3999),IF(WEEKDAY(may!O$3,1)=1,"WO","P"))</f>
        <v>WO</v>
      </c>
      <c r="P33" s="4" t="str">
        <f>IFERROR(LOOKUP(2,1/((lentry!$A$3:$A$3999=may!$A33)*(lentry!$B$3:$B$3999&lt;=may!P$3)*(lentry!$C$3:$C$3999&gt;=may!P$3)),lentry!$D$3:$D$3999),IF(WEEKDAY(may!P$3,1)=1,"WO","P"))</f>
        <v>P</v>
      </c>
      <c r="Q33" s="4" t="str">
        <f>IFERROR(LOOKUP(2,1/((lentry!$A$3:$A$3999=may!$A33)*(lentry!$B$3:$B$3999&lt;=may!Q$3)*(lentry!$C$3:$C$3999&gt;=may!Q$3)),lentry!$D$3:$D$3999),IF(WEEKDAY(may!Q$3,1)=1,"WO","P"))</f>
        <v>P</v>
      </c>
      <c r="R33" s="4" t="str">
        <f>IFERROR(LOOKUP(2,1/((lentry!$A$3:$A$3999=may!$A33)*(lentry!$B$3:$B$3999&lt;=may!R$3)*(lentry!$C$3:$C$3999&gt;=may!R$3)),lentry!$D$3:$D$3999),IF(WEEKDAY(may!R$3,1)=1,"WO","P"))</f>
        <v>P</v>
      </c>
      <c r="S33" s="4" t="str">
        <f>IFERROR(LOOKUP(2,1/((lentry!$A$3:$A$3999=may!$A33)*(lentry!$B$3:$B$3999&lt;=may!S$3)*(lentry!$C$3:$C$3999&gt;=may!S$3)),lentry!$D$3:$D$3999),IF(WEEKDAY(may!S$3,1)=1,"WO","P"))</f>
        <v>P</v>
      </c>
      <c r="T33" s="4" t="str">
        <f>IFERROR(LOOKUP(2,1/((lentry!$A$3:$A$3999=may!$A33)*(lentry!$B$3:$B$3999&lt;=may!T$3)*(lentry!$C$3:$C$3999&gt;=may!T$3)),lentry!$D$3:$D$3999),IF(WEEKDAY(may!T$3,1)=1,"WO","P"))</f>
        <v>P</v>
      </c>
      <c r="U33" s="4" t="str">
        <f>IFERROR(LOOKUP(2,1/((lentry!$A$3:$A$3999=may!$A33)*(lentry!$B$3:$B$3999&lt;=may!U$3)*(lentry!$C$3:$C$3999&gt;=may!U$3)),lentry!$D$3:$D$3999),IF(WEEKDAY(may!U$3,1)=1,"WO","P"))</f>
        <v>P</v>
      </c>
      <c r="V33" s="4" t="str">
        <f>IFERROR(LOOKUP(2,1/((lentry!$A$3:$A$3999=may!$A33)*(lentry!$B$3:$B$3999&lt;=may!V$3)*(lentry!$C$3:$C$3999&gt;=may!V$3)),lentry!$D$3:$D$3999),IF(WEEKDAY(may!V$3,1)=1,"WO","P"))</f>
        <v>WO</v>
      </c>
      <c r="W33" s="4" t="str">
        <f>IFERROR(LOOKUP(2,1/((lentry!$A$3:$A$3999=may!$A33)*(lentry!$B$3:$B$3999&lt;=may!W$3)*(lentry!$C$3:$C$3999&gt;=may!W$3)),lentry!$D$3:$D$3999),IF(WEEKDAY(may!W$3,1)=1,"WO","P"))</f>
        <v>P</v>
      </c>
      <c r="X33" s="4" t="str">
        <f>IFERROR(LOOKUP(2,1/((lentry!$A$3:$A$3999=may!$A33)*(lentry!$B$3:$B$3999&lt;=may!X$3)*(lentry!$C$3:$C$3999&gt;=may!X$3)),lentry!$D$3:$D$3999),IF(WEEKDAY(may!X$3,1)=1,"WO","P"))</f>
        <v>P</v>
      </c>
      <c r="Y33" s="4" t="str">
        <f>IFERROR(LOOKUP(2,1/((lentry!$A$3:$A$3999=may!$A33)*(lentry!$B$3:$B$3999&lt;=may!Y$3)*(lentry!$C$3:$C$3999&gt;=may!Y$3)),lentry!$D$3:$D$3999),IF(WEEKDAY(may!Y$3,1)=1,"WO","P"))</f>
        <v>P</v>
      </c>
      <c r="Z33" s="4" t="str">
        <f>IFERROR(LOOKUP(2,1/((lentry!$A$3:$A$3999=may!$A33)*(lentry!$B$3:$B$3999&lt;=may!Z$3)*(lentry!$C$3:$C$3999&gt;=may!Z$3)),lentry!$D$3:$D$3999),IF(WEEKDAY(may!Z$3,1)=1,"WO","P"))</f>
        <v>P</v>
      </c>
      <c r="AA33" s="4" t="str">
        <f>IFERROR(LOOKUP(2,1/((lentry!$A$3:$A$3999=may!$A33)*(lentry!$B$3:$B$3999&lt;=may!AA$3)*(lentry!$C$3:$C$3999&gt;=may!AA$3)),lentry!$D$3:$D$3999),IF(WEEKDAY(may!AA$3,1)=1,"WO","P"))</f>
        <v>P</v>
      </c>
      <c r="AB33" s="4" t="str">
        <f>IFERROR(LOOKUP(2,1/((lentry!$A$3:$A$3999=may!$A33)*(lentry!$B$3:$B$3999&lt;=may!AB$3)*(lentry!$C$3:$C$3999&gt;=may!AB$3)),lentry!$D$3:$D$3999),IF(WEEKDAY(may!AB$3,1)=1,"WO","P"))</f>
        <v>P</v>
      </c>
      <c r="AC33" s="4" t="str">
        <f>IFERROR(LOOKUP(2,1/((lentry!$A$3:$A$3999=may!$A33)*(lentry!$B$3:$B$3999&lt;=may!AC$3)*(lentry!$C$3:$C$3999&gt;=may!AC$3)),lentry!$D$3:$D$3999),IF(WEEKDAY(may!AC$3,1)=1,"WO","P"))</f>
        <v>WO</v>
      </c>
      <c r="AD33" s="4" t="str">
        <f>IFERROR(LOOKUP(2,1/((lentry!$A$3:$A$3999=may!$A33)*(lentry!$B$3:$B$3999&lt;=may!AD$3)*(lentry!$C$3:$C$3999&gt;=may!AD$3)),lentry!$D$3:$D$3999),IF(WEEKDAY(may!AD$3,1)=1,"WO","P"))</f>
        <v>P</v>
      </c>
      <c r="AE33" s="4" t="str">
        <f>IFERROR(LOOKUP(2,1/((lentry!$A$3:$A$3999=may!$A33)*(lentry!$B$3:$B$3999&lt;=may!AE$3)*(lentry!$C$3:$C$3999&gt;=may!AE$3)),lentry!$D$3:$D$3999),IF(WEEKDAY(may!AE$3,1)=1,"WO","P"))</f>
        <v>P</v>
      </c>
      <c r="AF33" s="4" t="s">
        <v>350</v>
      </c>
      <c r="AG33" s="4" t="str">
        <f>IFERROR(LOOKUP(2,1/((lentry!$A$3:$A$3999=may!$A33)*(lentry!$B$3:$B$3999&lt;=may!AG$3)*(lentry!$C$3:$C$3999&gt;=may!AG$3)),lentry!$D$3:$D$3999),IF(WEEKDAY(may!AG$3,1)=1,"WO","P"))</f>
        <v>P</v>
      </c>
      <c r="AH33" s="4" t="str">
        <f>IFERROR(LOOKUP(2,1/((lentry!$A$3:$A$3999=may!$A33)*(lentry!$B$3:$B$3999&lt;=may!AH$3)*(lentry!$C$3:$C$3999&gt;=may!AH$3)),lentry!$D$3:$D$3999),IF(WEEKDAY(may!AH$3,1)=1,"WO","P"))</f>
        <v>P</v>
      </c>
      <c r="AI33" s="4" t="str">
        <f>IFERROR(LOOKUP(2,1/((lentry!$A$3:$A$3999=may!$A33)*(lentry!$B$3:$B$3999&lt;=may!AI$3)*(lentry!$C$3:$C$3999&gt;=may!AI$3)),lentry!$D$3:$D$3999),IF(WEEKDAY(may!AI$3,1)=1,"WO","P"))</f>
        <v>P</v>
      </c>
      <c r="AJ33" s="4" t="str">
        <f>IFERROR(LOOKUP(2,1/((lentry!$A$3:$A$3999=may!$A33)*(lentry!$B$3:$B$3999&lt;=may!AJ$3)*(lentry!$C$3:$C$3999&gt;=may!AJ$3)),lentry!$D$3:$D$3999),IF(WEEKDAY(may!AJ$3,1)=1,"WO","P"))</f>
        <v>WO</v>
      </c>
      <c r="AK33" s="4">
        <f>COUNTIF(may!$F33:$AJ33,"WO")</f>
        <v>5</v>
      </c>
      <c r="AL33" s="4">
        <f>COUNTIF(may!$F33:$AJ33,"H")</f>
        <v>2</v>
      </c>
      <c r="AM33" s="4">
        <f>COUNTIF(may!$F33:$AJ33,"PL")</f>
        <v>0</v>
      </c>
      <c r="AN33" s="4">
        <f>COUNTIF(may!$F33:$AJ33,"LWP")</f>
        <v>0</v>
      </c>
      <c r="AO33" s="4">
        <f>COUNTIF(may!$F33:$AJ33,"HD")</f>
        <v>0</v>
      </c>
      <c r="AP33" s="4">
        <f>COUNTIF(may!$F33:$AJ33,"SL")</f>
        <v>0</v>
      </c>
      <c r="AQ33" s="4">
        <f>COUNTIF(may!$F33:$AJ33,"CL")</f>
        <v>0</v>
      </c>
      <c r="AR33" s="4">
        <f>COUNTIF(may!$F33:$AJ33,"A")</f>
        <v>0</v>
      </c>
      <c r="AS33" s="4">
        <f>COUNTIF(may!$F33:$AJ33,"P")</f>
        <v>24</v>
      </c>
      <c r="AT33" s="4">
        <f t="shared" si="2"/>
        <v>31</v>
      </c>
      <c r="AU33" s="4">
        <f t="shared" si="3"/>
        <v>31</v>
      </c>
      <c r="AV33" s="4">
        <f>SUMIFS(holly!$L$2:$L$122,holly!$I$2:$I$122,mar!$A33,holly!$K$2:$K$122,"Mar")</f>
        <v>5</v>
      </c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</row>
    <row r="34" spans="1:80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">
        <v>350</v>
      </c>
      <c r="G34" s="4" t="str">
        <f>IFERROR(LOOKUP(2,1/((lentry!$A$3:$A$3999=may!$A34)*(lentry!$B$3:$B$3999&lt;=may!G$3)*(lentry!$C$3:$C$3999&gt;=may!G$3)),lentry!$D$3:$D$3999),IF(WEEKDAY(may!G$3,1)=1,"WO","P"))</f>
        <v>P</v>
      </c>
      <c r="H34" s="4" t="str">
        <f>IFERROR(LOOKUP(2,1/((lentry!$A$3:$A$3999=may!$A34)*(lentry!$B$3:$B$3999&lt;=may!H$3)*(lentry!$C$3:$C$3999&gt;=may!H$3)),lentry!$D$3:$D$3999),IF(WEEKDAY(may!H$3,1)=1,"WO","P"))</f>
        <v>WO</v>
      </c>
      <c r="I34" s="4" t="str">
        <f>IFERROR(LOOKUP(2,1/((lentry!$A$3:$A$3999=may!$A34)*(lentry!$B$3:$B$3999&lt;=may!I$3)*(lentry!$C$3:$C$3999&gt;=may!I$3)),lentry!$D$3:$D$3999),IF(WEEKDAY(may!I$3,1)=1,"WO","P"))</f>
        <v>P</v>
      </c>
      <c r="J34" s="4" t="str">
        <f>IFERROR(LOOKUP(2,1/((lentry!$A$3:$A$3999=may!$A34)*(lentry!$B$3:$B$3999&lt;=may!J$3)*(lentry!$C$3:$C$3999&gt;=may!J$3)),lentry!$D$3:$D$3999),IF(WEEKDAY(may!J$3,1)=1,"WO","P"))</f>
        <v>P</v>
      </c>
      <c r="K34" s="4" t="s">
        <v>539</v>
      </c>
      <c r="L34" s="4" t="str">
        <f>IFERROR(LOOKUP(2,1/((lentry!$A$3:$A$3999=may!$A34)*(lentry!$B$3:$B$3999&lt;=may!L$3)*(lentry!$C$3:$C$3999&gt;=may!L$3)),lentry!$D$3:$D$3999),IF(WEEKDAY(may!L$3,1)=1,"WO","P"))</f>
        <v>P</v>
      </c>
      <c r="M34" s="4" t="str">
        <f>IFERROR(LOOKUP(2,1/((lentry!$A$3:$A$3999=may!$A34)*(lentry!$B$3:$B$3999&lt;=may!M$3)*(lentry!$C$3:$C$3999&gt;=may!M$3)),lentry!$D$3:$D$3999),IF(WEEKDAY(may!M$3,1)=1,"WO","P"))</f>
        <v>P</v>
      </c>
      <c r="N34" s="4" t="str">
        <f>IFERROR(LOOKUP(2,1/((lentry!$A$3:$A$3999=may!$A34)*(lentry!$B$3:$B$3999&lt;=may!N$3)*(lentry!$C$3:$C$3999&gt;=may!N$3)),lentry!$D$3:$D$3999),IF(WEEKDAY(may!N$3,1)=1,"WO","P"))</f>
        <v>P</v>
      </c>
      <c r="O34" s="4" t="str">
        <f>IFERROR(LOOKUP(2,1/((lentry!$A$3:$A$3999=may!$A34)*(lentry!$B$3:$B$3999&lt;=may!O$3)*(lentry!$C$3:$C$3999&gt;=may!O$3)),lentry!$D$3:$D$3999),IF(WEEKDAY(may!O$3,1)=1,"WO","P"))</f>
        <v>WO</v>
      </c>
      <c r="P34" s="4" t="str">
        <f>IFERROR(LOOKUP(2,1/((lentry!$A$3:$A$3999=may!$A34)*(lentry!$B$3:$B$3999&lt;=may!P$3)*(lentry!$C$3:$C$3999&gt;=may!P$3)),lentry!$D$3:$D$3999),IF(WEEKDAY(may!P$3,1)=1,"WO","P"))</f>
        <v>P</v>
      </c>
      <c r="Q34" s="4" t="str">
        <f>IFERROR(LOOKUP(2,1/((lentry!$A$3:$A$3999=may!$A34)*(lentry!$B$3:$B$3999&lt;=may!Q$3)*(lentry!$C$3:$C$3999&gt;=may!Q$3)),lentry!$D$3:$D$3999),IF(WEEKDAY(may!Q$3,1)=1,"WO","P"))</f>
        <v>P</v>
      </c>
      <c r="R34" s="4" t="str">
        <f>IFERROR(LOOKUP(2,1/((lentry!$A$3:$A$3999=may!$A34)*(lentry!$B$3:$B$3999&lt;=may!R$3)*(lentry!$C$3:$C$3999&gt;=may!R$3)),lentry!$D$3:$D$3999),IF(WEEKDAY(may!R$3,1)=1,"WO","P"))</f>
        <v>P</v>
      </c>
      <c r="S34" s="4" t="str">
        <f>IFERROR(LOOKUP(2,1/((lentry!$A$3:$A$3999=may!$A34)*(lentry!$B$3:$B$3999&lt;=may!S$3)*(lentry!$C$3:$C$3999&gt;=may!S$3)),lentry!$D$3:$D$3999),IF(WEEKDAY(may!S$3,1)=1,"WO","P"))</f>
        <v>P</v>
      </c>
      <c r="T34" s="4" t="str">
        <f>IFERROR(LOOKUP(2,1/((lentry!$A$3:$A$3999=may!$A34)*(lentry!$B$3:$B$3999&lt;=may!T$3)*(lentry!$C$3:$C$3999&gt;=may!T$3)),lentry!$D$3:$D$3999),IF(WEEKDAY(may!T$3,1)=1,"WO","P"))</f>
        <v>P</v>
      </c>
      <c r="U34" s="4" t="str">
        <f>IFERROR(LOOKUP(2,1/((lentry!$A$3:$A$3999=may!$A34)*(lentry!$B$3:$B$3999&lt;=may!U$3)*(lentry!$C$3:$C$3999&gt;=may!U$3)),lentry!$D$3:$D$3999),IF(WEEKDAY(may!U$3,1)=1,"WO","P"))</f>
        <v>P</v>
      </c>
      <c r="V34" s="4" t="str">
        <f>IFERROR(LOOKUP(2,1/((lentry!$A$3:$A$3999=may!$A34)*(lentry!$B$3:$B$3999&lt;=may!V$3)*(lentry!$C$3:$C$3999&gt;=may!V$3)),lentry!$D$3:$D$3999),IF(WEEKDAY(may!V$3,1)=1,"WO","P"))</f>
        <v>WO</v>
      </c>
      <c r="W34" s="4" t="str">
        <f>IFERROR(LOOKUP(2,1/((lentry!$A$3:$A$3999=may!$A34)*(lentry!$B$3:$B$3999&lt;=may!W$3)*(lentry!$C$3:$C$3999&gt;=may!W$3)),lentry!$D$3:$D$3999),IF(WEEKDAY(may!W$3,1)=1,"WO","P"))</f>
        <v>P</v>
      </c>
      <c r="X34" s="4" t="str">
        <f>IFERROR(LOOKUP(2,1/((lentry!$A$3:$A$3999=may!$A34)*(lentry!$B$3:$B$3999&lt;=may!X$3)*(lentry!$C$3:$C$3999&gt;=may!X$3)),lentry!$D$3:$D$3999),IF(WEEKDAY(may!X$3,1)=1,"WO","P"))</f>
        <v>P</v>
      </c>
      <c r="Y34" s="4" t="str">
        <f>IFERROR(LOOKUP(2,1/((lentry!$A$3:$A$3999=may!$A34)*(lentry!$B$3:$B$3999&lt;=may!Y$3)*(lentry!$C$3:$C$3999&gt;=may!Y$3)),lentry!$D$3:$D$3999),IF(WEEKDAY(may!Y$3,1)=1,"WO","P"))</f>
        <v>P</v>
      </c>
      <c r="Z34" s="4" t="str">
        <f>IFERROR(LOOKUP(2,1/((lentry!$A$3:$A$3999=may!$A34)*(lentry!$B$3:$B$3999&lt;=may!Z$3)*(lentry!$C$3:$C$3999&gt;=may!Z$3)),lentry!$D$3:$D$3999),IF(WEEKDAY(may!Z$3,1)=1,"WO","P"))</f>
        <v>P</v>
      </c>
      <c r="AA34" s="4" t="str">
        <f>IFERROR(LOOKUP(2,1/((lentry!$A$3:$A$3999=may!$A34)*(lentry!$B$3:$B$3999&lt;=may!AA$3)*(lentry!$C$3:$C$3999&gt;=may!AA$3)),lentry!$D$3:$D$3999),IF(WEEKDAY(may!AA$3,1)=1,"WO","P"))</f>
        <v>P</v>
      </c>
      <c r="AB34" s="4" t="str">
        <f>IFERROR(LOOKUP(2,1/((lentry!$A$3:$A$3999=may!$A34)*(lentry!$B$3:$B$3999&lt;=may!AB$3)*(lentry!$C$3:$C$3999&gt;=may!AB$3)),lentry!$D$3:$D$3999),IF(WEEKDAY(may!AB$3,1)=1,"WO","P"))</f>
        <v>P</v>
      </c>
      <c r="AC34" s="4" t="str">
        <f>IFERROR(LOOKUP(2,1/((lentry!$A$3:$A$3999=may!$A34)*(lentry!$B$3:$B$3999&lt;=may!AC$3)*(lentry!$C$3:$C$3999&gt;=may!AC$3)),lentry!$D$3:$D$3999),IF(WEEKDAY(may!AC$3,1)=1,"WO","P"))</f>
        <v>WO</v>
      </c>
      <c r="AD34" s="4" t="str">
        <f>IFERROR(LOOKUP(2,1/((lentry!$A$3:$A$3999=may!$A34)*(lentry!$B$3:$B$3999&lt;=may!AD$3)*(lentry!$C$3:$C$3999&gt;=may!AD$3)),lentry!$D$3:$D$3999),IF(WEEKDAY(may!AD$3,1)=1,"WO","P"))</f>
        <v>P</v>
      </c>
      <c r="AE34" s="4" t="str">
        <f>IFERROR(LOOKUP(2,1/((lentry!$A$3:$A$3999=may!$A34)*(lentry!$B$3:$B$3999&lt;=may!AE$3)*(lentry!$C$3:$C$3999&gt;=may!AE$3)),lentry!$D$3:$D$3999),IF(WEEKDAY(may!AE$3,1)=1,"WO","P"))</f>
        <v>P</v>
      </c>
      <c r="AF34" s="4" t="s">
        <v>350</v>
      </c>
      <c r="AG34" s="4" t="str">
        <f>IFERROR(LOOKUP(2,1/((lentry!$A$3:$A$3999=may!$A34)*(lentry!$B$3:$B$3999&lt;=may!AG$3)*(lentry!$C$3:$C$3999&gt;=may!AG$3)),lentry!$D$3:$D$3999),IF(WEEKDAY(may!AG$3,1)=1,"WO","P"))</f>
        <v>P</v>
      </c>
      <c r="AH34" s="4" t="str">
        <f>IFERROR(LOOKUP(2,1/((lentry!$A$3:$A$3999=may!$A34)*(lentry!$B$3:$B$3999&lt;=may!AH$3)*(lentry!$C$3:$C$3999&gt;=may!AH$3)),lentry!$D$3:$D$3999),IF(WEEKDAY(may!AH$3,1)=1,"WO","P"))</f>
        <v>P</v>
      </c>
      <c r="AI34" s="4" t="str">
        <f>IFERROR(LOOKUP(2,1/((lentry!$A$3:$A$3999=may!$A34)*(lentry!$B$3:$B$3999&lt;=may!AI$3)*(lentry!$C$3:$C$3999&gt;=may!AI$3)),lentry!$D$3:$D$3999),IF(WEEKDAY(may!AI$3,1)=1,"WO","P"))</f>
        <v>P</v>
      </c>
      <c r="AJ34" s="4" t="str">
        <f>IFERROR(LOOKUP(2,1/((lentry!$A$3:$A$3999=may!$A34)*(lentry!$B$3:$B$3999&lt;=may!AJ$3)*(lentry!$C$3:$C$3999&gt;=may!AJ$3)),lentry!$D$3:$D$3999),IF(WEEKDAY(may!AJ$3,1)=1,"WO","P"))</f>
        <v>WO</v>
      </c>
      <c r="AK34" s="4">
        <f>COUNTIF(may!$F34:$AJ34,"WO")</f>
        <v>5</v>
      </c>
      <c r="AL34" s="4">
        <f>COUNTIF(may!$F34:$AJ34,"H")</f>
        <v>2</v>
      </c>
      <c r="AM34" s="4">
        <f>COUNTIF(may!$F34:$AJ34,"PL")</f>
        <v>0</v>
      </c>
      <c r="AN34" s="4">
        <f>COUNTIF(may!$F34:$AJ34,"LWP")</f>
        <v>0</v>
      </c>
      <c r="AO34" s="4">
        <f>COUNTIF(may!$F34:$AJ34,"HD")</f>
        <v>0</v>
      </c>
      <c r="AP34" s="4">
        <f>COUNTIF(may!$F34:$AJ34,"SL")</f>
        <v>0</v>
      </c>
      <c r="AQ34" s="4">
        <f>COUNTIF(may!$F34:$AJ34,"CL")</f>
        <v>0</v>
      </c>
      <c r="AR34" s="4">
        <f>COUNTIF(may!$F34:$AJ34,"A")</f>
        <v>1</v>
      </c>
      <c r="AS34" s="4">
        <f>COUNTIF(may!$F34:$AJ34,"P")</f>
        <v>23</v>
      </c>
      <c r="AT34" s="4">
        <f t="shared" si="2"/>
        <v>31</v>
      </c>
      <c r="AU34" s="4">
        <f t="shared" si="3"/>
        <v>30</v>
      </c>
      <c r="AV34" s="4">
        <f>SUMIFS(holly!$L$2:$L$122,holly!$I$2:$I$122,mar!$A34,holly!$K$2:$K$122,"Mar")</f>
        <v>0</v>
      </c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</row>
    <row r="35" spans="1:80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">
        <v>350</v>
      </c>
      <c r="G35" s="4" t="str">
        <f>IFERROR(LOOKUP(2,1/((lentry!$A$3:$A$3999=may!$A35)*(lentry!$B$3:$B$3999&lt;=may!G$3)*(lentry!$C$3:$C$3999&gt;=may!G$3)),lentry!$D$3:$D$3999),IF(WEEKDAY(may!G$3,1)=1,"WO","P"))</f>
        <v>P</v>
      </c>
      <c r="H35" s="4" t="str">
        <f>IFERROR(LOOKUP(2,1/((lentry!$A$3:$A$3999=may!$A35)*(lentry!$B$3:$B$3999&lt;=may!H$3)*(lentry!$C$3:$C$3999&gt;=may!H$3)),lentry!$D$3:$D$3999),IF(WEEKDAY(may!H$3,1)=1,"WO","P"))</f>
        <v>WO</v>
      </c>
      <c r="I35" s="4" t="str">
        <f>IFERROR(LOOKUP(2,1/((lentry!$A$3:$A$3999=may!$A35)*(lentry!$B$3:$B$3999&lt;=may!I$3)*(lentry!$C$3:$C$3999&gt;=may!I$3)),lentry!$D$3:$D$3999),IF(WEEKDAY(may!I$3,1)=1,"WO","P"))</f>
        <v>P</v>
      </c>
      <c r="J35" s="4" t="str">
        <f>IFERROR(LOOKUP(2,1/((lentry!$A$3:$A$3999=may!$A35)*(lentry!$B$3:$B$3999&lt;=may!J$3)*(lentry!$C$3:$C$3999&gt;=may!J$3)),lentry!$D$3:$D$3999),IF(WEEKDAY(may!J$3,1)=1,"WO","P"))</f>
        <v>P</v>
      </c>
      <c r="K35" s="4" t="str">
        <f>IFERROR(LOOKUP(2,1/((lentry!$A$3:$A$3999=may!$A35)*(lentry!$B$3:$B$3999&lt;=may!K$3)*(lentry!$C$3:$C$3999&gt;=may!K$3)),lentry!$D$3:$D$3999),IF(WEEKDAY(may!K$3,1)=1,"WO","P"))</f>
        <v>P</v>
      </c>
      <c r="L35" s="4" t="str">
        <f>IFERROR(LOOKUP(2,1/((lentry!$A$3:$A$3999=may!$A35)*(lentry!$B$3:$B$3999&lt;=may!L$3)*(lentry!$C$3:$C$3999&gt;=may!L$3)),lentry!$D$3:$D$3999),IF(WEEKDAY(may!L$3,1)=1,"WO","P"))</f>
        <v>P</v>
      </c>
      <c r="M35" s="4" t="str">
        <f>IFERROR(LOOKUP(2,1/((lentry!$A$3:$A$3999=may!$A35)*(lentry!$B$3:$B$3999&lt;=may!M$3)*(lentry!$C$3:$C$3999&gt;=may!M$3)),lentry!$D$3:$D$3999),IF(WEEKDAY(may!M$3,1)=1,"WO","P"))</f>
        <v>P</v>
      </c>
      <c r="N35" s="4" t="str">
        <f>IFERROR(LOOKUP(2,1/((lentry!$A$3:$A$3999=may!$A35)*(lentry!$B$3:$B$3999&lt;=may!N$3)*(lentry!$C$3:$C$3999&gt;=may!N$3)),lentry!$D$3:$D$3999),IF(WEEKDAY(may!N$3,1)=1,"WO","P"))</f>
        <v>P</v>
      </c>
      <c r="O35" s="4" t="str">
        <f>IFERROR(LOOKUP(2,1/((lentry!$A$3:$A$3999=may!$A35)*(lentry!$B$3:$B$3999&lt;=may!O$3)*(lentry!$C$3:$C$3999&gt;=may!O$3)),lentry!$D$3:$D$3999),IF(WEEKDAY(may!O$3,1)=1,"WO","P"))</f>
        <v>WO</v>
      </c>
      <c r="P35" s="4" t="str">
        <f>IFERROR(LOOKUP(2,1/((lentry!$A$3:$A$3999=may!$A35)*(lentry!$B$3:$B$3999&lt;=may!P$3)*(lentry!$C$3:$C$3999&gt;=may!P$3)),lentry!$D$3:$D$3999),IF(WEEKDAY(may!P$3,1)=1,"WO","P"))</f>
        <v>P</v>
      </c>
      <c r="Q35" s="4" t="str">
        <f>IFERROR(LOOKUP(2,1/((lentry!$A$3:$A$3999=may!$A35)*(lentry!$B$3:$B$3999&lt;=may!Q$3)*(lentry!$C$3:$C$3999&gt;=may!Q$3)),lentry!$D$3:$D$3999),IF(WEEKDAY(may!Q$3,1)=1,"WO","P"))</f>
        <v>P</v>
      </c>
      <c r="R35" s="4" t="str">
        <f>IFERROR(LOOKUP(2,1/((lentry!$A$3:$A$3999=may!$A35)*(lentry!$B$3:$B$3999&lt;=may!R$3)*(lentry!$C$3:$C$3999&gt;=may!R$3)),lentry!$D$3:$D$3999),IF(WEEKDAY(may!R$3,1)=1,"WO","P"))</f>
        <v>P</v>
      </c>
      <c r="S35" s="4" t="str">
        <f>IFERROR(LOOKUP(2,1/((lentry!$A$3:$A$3999=may!$A35)*(lentry!$B$3:$B$3999&lt;=may!S$3)*(lentry!$C$3:$C$3999&gt;=may!S$3)),lentry!$D$3:$D$3999),IF(WEEKDAY(may!S$3,1)=1,"WO","P"))</f>
        <v>P</v>
      </c>
      <c r="T35" s="4" t="str">
        <f>IFERROR(LOOKUP(2,1/((lentry!$A$3:$A$3999=may!$A35)*(lentry!$B$3:$B$3999&lt;=may!T$3)*(lentry!$C$3:$C$3999&gt;=may!T$3)),lentry!$D$3:$D$3999),IF(WEEKDAY(may!T$3,1)=1,"WO","P"))</f>
        <v>P</v>
      </c>
      <c r="U35" s="4" t="str">
        <f>IFERROR(LOOKUP(2,1/((lentry!$A$3:$A$3999=may!$A35)*(lentry!$B$3:$B$3999&lt;=may!U$3)*(lentry!$C$3:$C$3999&gt;=may!U$3)),lentry!$D$3:$D$3999),IF(WEEKDAY(may!U$3,1)=1,"WO","P"))</f>
        <v>P</v>
      </c>
      <c r="V35" s="4" t="str">
        <f>IFERROR(LOOKUP(2,1/((lentry!$A$3:$A$3999=may!$A35)*(lentry!$B$3:$B$3999&lt;=may!V$3)*(lentry!$C$3:$C$3999&gt;=may!V$3)),lentry!$D$3:$D$3999),IF(WEEKDAY(may!V$3,1)=1,"WO","P"))</f>
        <v>WO</v>
      </c>
      <c r="W35" s="4" t="str">
        <f>IFERROR(LOOKUP(2,1/((lentry!$A$3:$A$3999=may!$A35)*(lentry!$B$3:$B$3999&lt;=may!W$3)*(lentry!$C$3:$C$3999&gt;=may!W$3)),lentry!$D$3:$D$3999),IF(WEEKDAY(may!W$3,1)=1,"WO","P"))</f>
        <v>P</v>
      </c>
      <c r="X35" s="4" t="str">
        <f>IFERROR(LOOKUP(2,1/((lentry!$A$3:$A$3999=may!$A35)*(lentry!$B$3:$B$3999&lt;=may!X$3)*(lentry!$C$3:$C$3999&gt;=may!X$3)),lentry!$D$3:$D$3999),IF(WEEKDAY(may!X$3,1)=1,"WO","P"))</f>
        <v>P</v>
      </c>
      <c r="Y35" s="4" t="str">
        <f>IFERROR(LOOKUP(2,1/((lentry!$A$3:$A$3999=may!$A35)*(lentry!$B$3:$B$3999&lt;=may!Y$3)*(lentry!$C$3:$C$3999&gt;=may!Y$3)),lentry!$D$3:$D$3999),IF(WEEKDAY(may!Y$3,1)=1,"WO","P"))</f>
        <v>P</v>
      </c>
      <c r="Z35" s="4" t="str">
        <f>IFERROR(LOOKUP(2,1/((lentry!$A$3:$A$3999=may!$A35)*(lentry!$B$3:$B$3999&lt;=may!Z$3)*(lentry!$C$3:$C$3999&gt;=may!Z$3)),lentry!$D$3:$D$3999),IF(WEEKDAY(may!Z$3,1)=1,"WO","P"))</f>
        <v>P</v>
      </c>
      <c r="AA35" s="4" t="str">
        <f>IFERROR(LOOKUP(2,1/((lentry!$A$3:$A$3999=may!$A35)*(lentry!$B$3:$B$3999&lt;=may!AA$3)*(lentry!$C$3:$C$3999&gt;=may!AA$3)),lentry!$D$3:$D$3999),IF(WEEKDAY(may!AA$3,1)=1,"WO","P"))</f>
        <v>P</v>
      </c>
      <c r="AB35" s="4" t="str">
        <f>IFERROR(LOOKUP(2,1/((lentry!$A$3:$A$3999=may!$A35)*(lentry!$B$3:$B$3999&lt;=may!AB$3)*(lentry!$C$3:$C$3999&gt;=may!AB$3)),lentry!$D$3:$D$3999),IF(WEEKDAY(may!AB$3,1)=1,"WO","P"))</f>
        <v>P</v>
      </c>
      <c r="AC35" s="4" t="str">
        <f>IFERROR(LOOKUP(2,1/((lentry!$A$3:$A$3999=may!$A35)*(lentry!$B$3:$B$3999&lt;=may!AC$3)*(lentry!$C$3:$C$3999&gt;=may!AC$3)),lentry!$D$3:$D$3999),IF(WEEKDAY(may!AC$3,1)=1,"WO","P"))</f>
        <v>WO</v>
      </c>
      <c r="AD35" s="4" t="str">
        <f>IFERROR(LOOKUP(2,1/((lentry!$A$3:$A$3999=may!$A35)*(lentry!$B$3:$B$3999&lt;=may!AD$3)*(lentry!$C$3:$C$3999&gt;=may!AD$3)),lentry!$D$3:$D$3999),IF(WEEKDAY(may!AD$3,1)=1,"WO","P"))</f>
        <v>P</v>
      </c>
      <c r="AE35" s="4" t="str">
        <f>IFERROR(LOOKUP(2,1/((lentry!$A$3:$A$3999=may!$A35)*(lentry!$B$3:$B$3999&lt;=may!AE$3)*(lentry!$C$3:$C$3999&gt;=may!AE$3)),lentry!$D$3:$D$3999),IF(WEEKDAY(may!AE$3,1)=1,"WO","P"))</f>
        <v>P</v>
      </c>
      <c r="AF35" s="4" t="s">
        <v>350</v>
      </c>
      <c r="AG35" s="4" t="str">
        <f>IFERROR(LOOKUP(2,1/((lentry!$A$3:$A$3999=may!$A35)*(lentry!$B$3:$B$3999&lt;=may!AG$3)*(lentry!$C$3:$C$3999&gt;=may!AG$3)),lentry!$D$3:$D$3999),IF(WEEKDAY(may!AG$3,1)=1,"WO","P"))</f>
        <v>P</v>
      </c>
      <c r="AH35" s="4" t="str">
        <f>IFERROR(LOOKUP(2,1/((lentry!$A$3:$A$3999=may!$A35)*(lentry!$B$3:$B$3999&lt;=may!AH$3)*(lentry!$C$3:$C$3999&gt;=may!AH$3)),lentry!$D$3:$D$3999),IF(WEEKDAY(may!AH$3,1)=1,"WO","P"))</f>
        <v>P</v>
      </c>
      <c r="AI35" s="4" t="str">
        <f>IFERROR(LOOKUP(2,1/((lentry!$A$3:$A$3999=may!$A35)*(lentry!$B$3:$B$3999&lt;=may!AI$3)*(lentry!$C$3:$C$3999&gt;=may!AI$3)),lentry!$D$3:$D$3999),IF(WEEKDAY(may!AI$3,1)=1,"WO","P"))</f>
        <v>P</v>
      </c>
      <c r="AJ35" s="4" t="str">
        <f>IFERROR(LOOKUP(2,1/((lentry!$A$3:$A$3999=may!$A35)*(lentry!$B$3:$B$3999&lt;=may!AJ$3)*(lentry!$C$3:$C$3999&gt;=may!AJ$3)),lentry!$D$3:$D$3999),IF(WEEKDAY(may!AJ$3,1)=1,"WO","P"))</f>
        <v>WO</v>
      </c>
      <c r="AK35" s="4">
        <f>COUNTIF(may!$F35:$AJ35,"WO")</f>
        <v>5</v>
      </c>
      <c r="AL35" s="4">
        <f>COUNTIF(may!$F35:$AJ35,"H")</f>
        <v>2</v>
      </c>
      <c r="AM35" s="4">
        <f>COUNTIF(may!$F35:$AJ35,"PL")</f>
        <v>0</v>
      </c>
      <c r="AN35" s="4">
        <f>COUNTIF(may!$F35:$AJ35,"LWP")</f>
        <v>0</v>
      </c>
      <c r="AO35" s="4">
        <f>COUNTIF(may!$F35:$AJ35,"HD")</f>
        <v>0</v>
      </c>
      <c r="AP35" s="4">
        <f>COUNTIF(may!$F35:$AJ35,"SL")</f>
        <v>0</v>
      </c>
      <c r="AQ35" s="4">
        <f>COUNTIF(may!$F35:$AJ35,"CL")</f>
        <v>0</v>
      </c>
      <c r="AR35" s="4">
        <f>COUNTIF(may!$F35:$AJ35,"A")</f>
        <v>0</v>
      </c>
      <c r="AS35" s="4">
        <f>COUNTIF(may!$F35:$AJ35,"P")</f>
        <v>24</v>
      </c>
      <c r="AT35" s="4">
        <f t="shared" si="2"/>
        <v>31</v>
      </c>
      <c r="AU35" s="4">
        <f t="shared" si="3"/>
        <v>31</v>
      </c>
      <c r="AV35" s="4">
        <f>SUMIFS(holly!$L$2:$L$122,holly!$I$2:$I$122,mar!$A35,holly!$K$2:$K$122,"Mar")</f>
        <v>0</v>
      </c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</row>
    <row r="36" spans="1:80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">
        <v>350</v>
      </c>
      <c r="G36" s="4" t="str">
        <f>IFERROR(LOOKUP(2,1/((lentry!$A$3:$A$3999=may!$A36)*(lentry!$B$3:$B$3999&lt;=may!G$3)*(lentry!$C$3:$C$3999&gt;=may!G$3)),lentry!$D$3:$D$3999),IF(WEEKDAY(may!G$3,1)=1,"WO","P"))</f>
        <v>P</v>
      </c>
      <c r="H36" s="4" t="str">
        <f>IFERROR(LOOKUP(2,1/((lentry!$A$3:$A$3999=may!$A36)*(lentry!$B$3:$B$3999&lt;=may!H$3)*(lentry!$C$3:$C$3999&gt;=may!H$3)),lentry!$D$3:$D$3999),IF(WEEKDAY(may!H$3,1)=1,"WO","P"))</f>
        <v>WO</v>
      </c>
      <c r="I36" s="4" t="str">
        <f>IFERROR(LOOKUP(2,1/((lentry!$A$3:$A$3999=may!$A36)*(lentry!$B$3:$B$3999&lt;=may!I$3)*(lentry!$C$3:$C$3999&gt;=may!I$3)),lentry!$D$3:$D$3999),IF(WEEKDAY(may!I$3,1)=1,"WO","P"))</f>
        <v>P</v>
      </c>
      <c r="J36" s="4" t="str">
        <f>IFERROR(LOOKUP(2,1/((lentry!$A$3:$A$3999=may!$A36)*(lentry!$B$3:$B$3999&lt;=may!J$3)*(lentry!$C$3:$C$3999&gt;=may!J$3)),lentry!$D$3:$D$3999),IF(WEEKDAY(may!J$3,1)=1,"WO","P"))</f>
        <v>P</v>
      </c>
      <c r="K36" s="4" t="str">
        <f>IFERROR(LOOKUP(2,1/((lentry!$A$3:$A$3999=may!$A36)*(lentry!$B$3:$B$3999&lt;=may!K$3)*(lentry!$C$3:$C$3999&gt;=may!K$3)),lentry!$D$3:$D$3999),IF(WEEKDAY(may!K$3,1)=1,"WO","P"))</f>
        <v>P</v>
      </c>
      <c r="L36" s="4" t="str">
        <f>IFERROR(LOOKUP(2,1/((lentry!$A$3:$A$3999=may!$A36)*(lentry!$B$3:$B$3999&lt;=may!L$3)*(lentry!$C$3:$C$3999&gt;=may!L$3)),lentry!$D$3:$D$3999),IF(WEEKDAY(may!L$3,1)=1,"WO","P"))</f>
        <v>P</v>
      </c>
      <c r="M36" s="4" t="str">
        <f>IFERROR(LOOKUP(2,1/((lentry!$A$3:$A$3999=may!$A36)*(lentry!$B$3:$B$3999&lt;=may!M$3)*(lentry!$C$3:$C$3999&gt;=may!M$3)),lentry!$D$3:$D$3999),IF(WEEKDAY(may!M$3,1)=1,"WO","P"))</f>
        <v>P</v>
      </c>
      <c r="N36" s="4" t="str">
        <f>IFERROR(LOOKUP(2,1/((lentry!$A$3:$A$3999=may!$A36)*(lentry!$B$3:$B$3999&lt;=may!N$3)*(lentry!$C$3:$C$3999&gt;=may!N$3)),lentry!$D$3:$D$3999),IF(WEEKDAY(may!N$3,1)=1,"WO","P"))</f>
        <v>P</v>
      </c>
      <c r="O36" s="4" t="str">
        <f>IFERROR(LOOKUP(2,1/((lentry!$A$3:$A$3999=may!$A36)*(lentry!$B$3:$B$3999&lt;=may!O$3)*(lentry!$C$3:$C$3999&gt;=may!O$3)),lentry!$D$3:$D$3999),IF(WEEKDAY(may!O$3,1)=1,"WO","P"))</f>
        <v>WO</v>
      </c>
      <c r="P36" s="4" t="str">
        <f>IFERROR(LOOKUP(2,1/((lentry!$A$3:$A$3999=may!$A36)*(lentry!$B$3:$B$3999&lt;=may!P$3)*(lentry!$C$3:$C$3999&gt;=may!P$3)),lentry!$D$3:$D$3999),IF(WEEKDAY(may!P$3,1)=1,"WO","P"))</f>
        <v>P</v>
      </c>
      <c r="Q36" s="4" t="str">
        <f>IFERROR(LOOKUP(2,1/((lentry!$A$3:$A$3999=may!$A36)*(lentry!$B$3:$B$3999&lt;=may!Q$3)*(lentry!$C$3:$C$3999&gt;=may!Q$3)),lentry!$D$3:$D$3999),IF(WEEKDAY(may!Q$3,1)=1,"WO","P"))</f>
        <v>P</v>
      </c>
      <c r="R36" s="4" t="str">
        <f>IFERROR(LOOKUP(2,1/((lentry!$A$3:$A$3999=may!$A36)*(lentry!$B$3:$B$3999&lt;=may!R$3)*(lentry!$C$3:$C$3999&gt;=may!R$3)),lentry!$D$3:$D$3999),IF(WEEKDAY(may!R$3,1)=1,"WO","P"))</f>
        <v>P</v>
      </c>
      <c r="S36" s="4" t="str">
        <f>IFERROR(LOOKUP(2,1/((lentry!$A$3:$A$3999=may!$A36)*(lentry!$B$3:$B$3999&lt;=may!S$3)*(lentry!$C$3:$C$3999&gt;=may!S$3)),lentry!$D$3:$D$3999),IF(WEEKDAY(may!S$3,1)=1,"WO","P"))</f>
        <v>P</v>
      </c>
      <c r="T36" s="4" t="str">
        <f>IFERROR(LOOKUP(2,1/((lentry!$A$3:$A$3999=may!$A36)*(lentry!$B$3:$B$3999&lt;=may!T$3)*(lentry!$C$3:$C$3999&gt;=may!T$3)),lentry!$D$3:$D$3999),IF(WEEKDAY(may!T$3,1)=1,"WO","P"))</f>
        <v>P</v>
      </c>
      <c r="U36" s="4" t="str">
        <f>IFERROR(LOOKUP(2,1/((lentry!$A$3:$A$3999=may!$A36)*(lentry!$B$3:$B$3999&lt;=may!U$3)*(lentry!$C$3:$C$3999&gt;=may!U$3)),lentry!$D$3:$D$3999),IF(WEEKDAY(may!U$3,1)=1,"WO","P"))</f>
        <v>P</v>
      </c>
      <c r="V36" s="4" t="str">
        <f>IFERROR(LOOKUP(2,1/((lentry!$A$3:$A$3999=may!$A36)*(lentry!$B$3:$B$3999&lt;=may!V$3)*(lentry!$C$3:$C$3999&gt;=may!V$3)),lentry!$D$3:$D$3999),IF(WEEKDAY(may!V$3,1)=1,"WO","P"))</f>
        <v>WO</v>
      </c>
      <c r="W36" s="4" t="str">
        <f>IFERROR(LOOKUP(2,1/((lentry!$A$3:$A$3999=may!$A36)*(lentry!$B$3:$B$3999&lt;=may!W$3)*(lentry!$C$3:$C$3999&gt;=may!W$3)),lentry!$D$3:$D$3999),IF(WEEKDAY(may!W$3,1)=1,"WO","P"))</f>
        <v>P</v>
      </c>
      <c r="X36" s="4" t="str">
        <f>IFERROR(LOOKUP(2,1/((lentry!$A$3:$A$3999=may!$A36)*(lentry!$B$3:$B$3999&lt;=may!X$3)*(lentry!$C$3:$C$3999&gt;=may!X$3)),lentry!$D$3:$D$3999),IF(WEEKDAY(may!X$3,1)=1,"WO","P"))</f>
        <v>P</v>
      </c>
      <c r="Y36" s="4" t="str">
        <f>IFERROR(LOOKUP(2,1/((lentry!$A$3:$A$3999=may!$A36)*(lentry!$B$3:$B$3999&lt;=may!Y$3)*(lentry!$C$3:$C$3999&gt;=may!Y$3)),lentry!$D$3:$D$3999),IF(WEEKDAY(may!Y$3,1)=1,"WO","P"))</f>
        <v>P</v>
      </c>
      <c r="Z36" s="4" t="str">
        <f>IFERROR(LOOKUP(2,1/((lentry!$A$3:$A$3999=may!$A36)*(lentry!$B$3:$B$3999&lt;=may!Z$3)*(lentry!$C$3:$C$3999&gt;=may!Z$3)),lentry!$D$3:$D$3999),IF(WEEKDAY(may!Z$3,1)=1,"WO","P"))</f>
        <v>P</v>
      </c>
      <c r="AA36" s="4" t="str">
        <f>IFERROR(LOOKUP(2,1/((lentry!$A$3:$A$3999=may!$A36)*(lentry!$B$3:$B$3999&lt;=may!AA$3)*(lentry!$C$3:$C$3999&gt;=may!AA$3)),lentry!$D$3:$D$3999),IF(WEEKDAY(may!AA$3,1)=1,"WO","P"))</f>
        <v>P</v>
      </c>
      <c r="AB36" s="4" t="str">
        <f>IFERROR(LOOKUP(2,1/((lentry!$A$3:$A$3999=may!$A36)*(lentry!$B$3:$B$3999&lt;=may!AB$3)*(lentry!$C$3:$C$3999&gt;=may!AB$3)),lentry!$D$3:$D$3999),IF(WEEKDAY(may!AB$3,1)=1,"WO","P"))</f>
        <v>P</v>
      </c>
      <c r="AC36" s="4" t="str">
        <f>IFERROR(LOOKUP(2,1/((lentry!$A$3:$A$3999=may!$A36)*(lentry!$B$3:$B$3999&lt;=may!AC$3)*(lentry!$C$3:$C$3999&gt;=may!AC$3)),lentry!$D$3:$D$3999),IF(WEEKDAY(may!AC$3,1)=1,"WO","P"))</f>
        <v>WO</v>
      </c>
      <c r="AD36" s="4" t="str">
        <f>IFERROR(LOOKUP(2,1/((lentry!$A$3:$A$3999=may!$A36)*(lentry!$B$3:$B$3999&lt;=may!AD$3)*(lentry!$C$3:$C$3999&gt;=may!AD$3)),lentry!$D$3:$D$3999),IF(WEEKDAY(may!AD$3,1)=1,"WO","P"))</f>
        <v>P</v>
      </c>
      <c r="AE36" s="4" t="str">
        <f>IFERROR(LOOKUP(2,1/((lentry!$A$3:$A$3999=may!$A36)*(lentry!$B$3:$B$3999&lt;=may!AE$3)*(lentry!$C$3:$C$3999&gt;=may!AE$3)),lentry!$D$3:$D$3999),IF(WEEKDAY(may!AE$3,1)=1,"WO","P"))</f>
        <v>P</v>
      </c>
      <c r="AF36" s="4" t="s">
        <v>350</v>
      </c>
      <c r="AG36" s="4" t="str">
        <f>IFERROR(LOOKUP(2,1/((lentry!$A$3:$A$3999=may!$A36)*(lentry!$B$3:$B$3999&lt;=may!AG$3)*(lentry!$C$3:$C$3999&gt;=may!AG$3)),lentry!$D$3:$D$3999),IF(WEEKDAY(may!AG$3,1)=1,"WO","P"))</f>
        <v>P</v>
      </c>
      <c r="AH36" s="4" t="str">
        <f>IFERROR(LOOKUP(2,1/((lentry!$A$3:$A$3999=may!$A36)*(lentry!$B$3:$B$3999&lt;=may!AH$3)*(lentry!$C$3:$C$3999&gt;=may!AH$3)),lentry!$D$3:$D$3999),IF(WEEKDAY(may!AH$3,1)=1,"WO","P"))</f>
        <v>P</v>
      </c>
      <c r="AI36" s="4" t="str">
        <f>IFERROR(LOOKUP(2,1/((lentry!$A$3:$A$3999=may!$A36)*(lentry!$B$3:$B$3999&lt;=may!AI$3)*(lentry!$C$3:$C$3999&gt;=may!AI$3)),lentry!$D$3:$D$3999),IF(WEEKDAY(may!AI$3,1)=1,"WO","P"))</f>
        <v>P</v>
      </c>
      <c r="AJ36" s="4" t="str">
        <f>IFERROR(LOOKUP(2,1/((lentry!$A$3:$A$3999=may!$A36)*(lentry!$B$3:$B$3999&lt;=may!AJ$3)*(lentry!$C$3:$C$3999&gt;=may!AJ$3)),lentry!$D$3:$D$3999),IF(WEEKDAY(may!AJ$3,1)=1,"WO","P"))</f>
        <v>WO</v>
      </c>
      <c r="AK36" s="4">
        <f>COUNTIF(may!$F36:$AJ36,"WO")</f>
        <v>5</v>
      </c>
      <c r="AL36" s="4">
        <f>COUNTIF(may!$F36:$AJ36,"H")</f>
        <v>2</v>
      </c>
      <c r="AM36" s="4">
        <f>COUNTIF(may!$F36:$AJ36,"PL")</f>
        <v>0</v>
      </c>
      <c r="AN36" s="4">
        <f>COUNTIF(may!$F36:$AJ36,"LWP")</f>
        <v>0</v>
      </c>
      <c r="AO36" s="4">
        <f>COUNTIF(may!$F36:$AJ36,"HD")</f>
        <v>0</v>
      </c>
      <c r="AP36" s="4">
        <f>COUNTIF(may!$F36:$AJ36,"SL")</f>
        <v>0</v>
      </c>
      <c r="AQ36" s="4">
        <f>COUNTIF(may!$F36:$AJ36,"CL")</f>
        <v>0</v>
      </c>
      <c r="AR36" s="4">
        <f>COUNTIF(may!$F36:$AJ36,"A")</f>
        <v>0</v>
      </c>
      <c r="AS36" s="4">
        <f>COUNTIF(may!$F36:$AJ36,"P")</f>
        <v>24</v>
      </c>
      <c r="AT36" s="4">
        <f t="shared" si="2"/>
        <v>31</v>
      </c>
      <c r="AU36" s="4">
        <f t="shared" si="3"/>
        <v>31</v>
      </c>
      <c r="AV36" s="4">
        <f>SUMIFS(holly!$L$2:$L$122,holly!$I$2:$I$122,mar!$A36,holly!$K$2:$K$122,"Mar")</f>
        <v>0</v>
      </c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</row>
    <row r="37" spans="1:80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">
        <v>350</v>
      </c>
      <c r="G37" s="4" t="str">
        <f>IFERROR(LOOKUP(2,1/((lentry!$A$3:$A$3999=may!$A37)*(lentry!$B$3:$B$3999&lt;=may!G$3)*(lentry!$C$3:$C$3999&gt;=may!G$3)),lentry!$D$3:$D$3999),IF(WEEKDAY(may!G$3,1)=1,"WO","P"))</f>
        <v>P</v>
      </c>
      <c r="H37" s="4" t="str">
        <f>IFERROR(LOOKUP(2,1/((lentry!$A$3:$A$3999=may!$A37)*(lentry!$B$3:$B$3999&lt;=may!H$3)*(lentry!$C$3:$C$3999&gt;=may!H$3)),lentry!$D$3:$D$3999),IF(WEEKDAY(may!H$3,1)=1,"WO","P"))</f>
        <v>WO</v>
      </c>
      <c r="I37" s="4" t="str">
        <f>IFERROR(LOOKUP(2,1/((lentry!$A$3:$A$3999=may!$A37)*(lentry!$B$3:$B$3999&lt;=may!I$3)*(lentry!$C$3:$C$3999&gt;=may!I$3)),lentry!$D$3:$D$3999),IF(WEEKDAY(may!I$3,1)=1,"WO","P"))</f>
        <v>P</v>
      </c>
      <c r="J37" s="4" t="str">
        <f>IFERROR(LOOKUP(2,1/((lentry!$A$3:$A$3999=may!$A37)*(lentry!$B$3:$B$3999&lt;=may!J$3)*(lentry!$C$3:$C$3999&gt;=may!J$3)),lentry!$D$3:$D$3999),IF(WEEKDAY(may!J$3,1)=1,"WO","P"))</f>
        <v>P</v>
      </c>
      <c r="K37" s="4" t="str">
        <f>IFERROR(LOOKUP(2,1/((lentry!$A$3:$A$3999=may!$A37)*(lentry!$B$3:$B$3999&lt;=may!K$3)*(lentry!$C$3:$C$3999&gt;=may!K$3)),lentry!$D$3:$D$3999),IF(WEEKDAY(may!K$3,1)=1,"WO","P"))</f>
        <v>P</v>
      </c>
      <c r="L37" s="4" t="str">
        <f>IFERROR(LOOKUP(2,1/((lentry!$A$3:$A$3999=may!$A37)*(lentry!$B$3:$B$3999&lt;=may!L$3)*(lentry!$C$3:$C$3999&gt;=may!L$3)),lentry!$D$3:$D$3999),IF(WEEKDAY(may!L$3,1)=1,"WO","P"))</f>
        <v>P</v>
      </c>
      <c r="M37" s="4" t="str">
        <f>IFERROR(LOOKUP(2,1/((lentry!$A$3:$A$3999=may!$A37)*(lentry!$B$3:$B$3999&lt;=may!M$3)*(lentry!$C$3:$C$3999&gt;=may!M$3)),lentry!$D$3:$D$3999),IF(WEEKDAY(may!M$3,1)=1,"WO","P"))</f>
        <v>P</v>
      </c>
      <c r="N37" s="4" t="str">
        <f>IFERROR(LOOKUP(2,1/((lentry!$A$3:$A$3999=may!$A37)*(lentry!$B$3:$B$3999&lt;=may!N$3)*(lentry!$C$3:$C$3999&gt;=may!N$3)),lentry!$D$3:$D$3999),IF(WEEKDAY(may!N$3,1)=1,"WO","P"))</f>
        <v>P</v>
      </c>
      <c r="O37" s="4" t="str">
        <f>IFERROR(LOOKUP(2,1/((lentry!$A$3:$A$3999=may!$A37)*(lentry!$B$3:$B$3999&lt;=may!O$3)*(lentry!$C$3:$C$3999&gt;=may!O$3)),lentry!$D$3:$D$3999),IF(WEEKDAY(may!O$3,1)=1,"WO","P"))</f>
        <v>WO</v>
      </c>
      <c r="P37" s="4" t="str">
        <f>IFERROR(LOOKUP(2,1/((lentry!$A$3:$A$3999=may!$A37)*(lentry!$B$3:$B$3999&lt;=may!P$3)*(lentry!$C$3:$C$3999&gt;=may!P$3)),lentry!$D$3:$D$3999),IF(WEEKDAY(may!P$3,1)=1,"WO","P"))</f>
        <v>P</v>
      </c>
      <c r="Q37" s="4" t="str">
        <f>IFERROR(LOOKUP(2,1/((lentry!$A$3:$A$3999=may!$A37)*(lentry!$B$3:$B$3999&lt;=may!Q$3)*(lentry!$C$3:$C$3999&gt;=may!Q$3)),lentry!$D$3:$D$3999),IF(WEEKDAY(may!Q$3,1)=1,"WO","P"))</f>
        <v>P</v>
      </c>
      <c r="R37" s="4" t="s">
        <v>539</v>
      </c>
      <c r="S37" s="4" t="str">
        <f>IFERROR(LOOKUP(2,1/((lentry!$A$3:$A$3999=may!$A37)*(lentry!$B$3:$B$3999&lt;=may!S$3)*(lentry!$C$3:$C$3999&gt;=may!S$3)),lentry!$D$3:$D$3999),IF(WEEKDAY(may!S$3,1)=1,"WO","P"))</f>
        <v>P</v>
      </c>
      <c r="T37" s="4" t="str">
        <f>IFERROR(LOOKUP(2,1/((lentry!$A$3:$A$3999=may!$A37)*(lentry!$B$3:$B$3999&lt;=may!T$3)*(lentry!$C$3:$C$3999&gt;=may!T$3)),lentry!$D$3:$D$3999),IF(WEEKDAY(may!T$3,1)=1,"WO","P"))</f>
        <v>P</v>
      </c>
      <c r="U37" s="4" t="str">
        <f>IFERROR(LOOKUP(2,1/((lentry!$A$3:$A$3999=may!$A37)*(lentry!$B$3:$B$3999&lt;=may!U$3)*(lentry!$C$3:$C$3999&gt;=may!U$3)),lentry!$D$3:$D$3999),IF(WEEKDAY(may!U$3,1)=1,"WO","P"))</f>
        <v>P</v>
      </c>
      <c r="V37" s="4" t="str">
        <f>IFERROR(LOOKUP(2,1/((lentry!$A$3:$A$3999=may!$A37)*(lentry!$B$3:$B$3999&lt;=may!V$3)*(lentry!$C$3:$C$3999&gt;=may!V$3)),lentry!$D$3:$D$3999),IF(WEEKDAY(may!V$3,1)=1,"WO","P"))</f>
        <v>WO</v>
      </c>
      <c r="W37" s="4" t="str">
        <f>IFERROR(LOOKUP(2,1/((lentry!$A$3:$A$3999=may!$A37)*(lentry!$B$3:$B$3999&lt;=may!W$3)*(lentry!$C$3:$C$3999&gt;=may!W$3)),lentry!$D$3:$D$3999),IF(WEEKDAY(may!W$3,1)=1,"WO","P"))</f>
        <v>P</v>
      </c>
      <c r="X37" s="4" t="str">
        <f>IFERROR(LOOKUP(2,1/((lentry!$A$3:$A$3999=may!$A37)*(lentry!$B$3:$B$3999&lt;=may!X$3)*(lentry!$C$3:$C$3999&gt;=may!X$3)),lentry!$D$3:$D$3999),IF(WEEKDAY(may!X$3,1)=1,"WO","P"))</f>
        <v>P</v>
      </c>
      <c r="Y37" s="4" t="str">
        <f>IFERROR(LOOKUP(2,1/((lentry!$A$3:$A$3999=may!$A37)*(lentry!$B$3:$B$3999&lt;=may!Y$3)*(lentry!$C$3:$C$3999&gt;=may!Y$3)),lentry!$D$3:$D$3999),IF(WEEKDAY(may!Y$3,1)=1,"WO","P"))</f>
        <v>P</v>
      </c>
      <c r="Z37" s="4" t="str">
        <f>IFERROR(LOOKUP(2,1/((lentry!$A$3:$A$3999=may!$A37)*(lentry!$B$3:$B$3999&lt;=may!Z$3)*(lentry!$C$3:$C$3999&gt;=may!Z$3)),lentry!$D$3:$D$3999),IF(WEEKDAY(may!Z$3,1)=1,"WO","P"))</f>
        <v>P</v>
      </c>
      <c r="AA37" s="4" t="str">
        <f>IFERROR(LOOKUP(2,1/((lentry!$A$3:$A$3999=may!$A37)*(lentry!$B$3:$B$3999&lt;=may!AA$3)*(lentry!$C$3:$C$3999&gt;=may!AA$3)),lentry!$D$3:$D$3999),IF(WEEKDAY(may!AA$3,1)=1,"WO","P"))</f>
        <v>P</v>
      </c>
      <c r="AB37" s="4" t="str">
        <f>IFERROR(LOOKUP(2,1/((lentry!$A$3:$A$3999=may!$A37)*(lentry!$B$3:$B$3999&lt;=may!AB$3)*(lentry!$C$3:$C$3999&gt;=may!AB$3)),lentry!$D$3:$D$3999),IF(WEEKDAY(may!AB$3,1)=1,"WO","P"))</f>
        <v>P</v>
      </c>
      <c r="AC37" s="4" t="str">
        <f>IFERROR(LOOKUP(2,1/((lentry!$A$3:$A$3999=may!$A37)*(lentry!$B$3:$B$3999&lt;=may!AC$3)*(lentry!$C$3:$C$3999&gt;=may!AC$3)),lentry!$D$3:$D$3999),IF(WEEKDAY(may!AC$3,1)=1,"WO","P"))</f>
        <v>WO</v>
      </c>
      <c r="AD37" s="4" t="str">
        <f>IFERROR(LOOKUP(2,1/((lentry!$A$3:$A$3999=may!$A37)*(lentry!$B$3:$B$3999&lt;=may!AD$3)*(lentry!$C$3:$C$3999&gt;=may!AD$3)),lentry!$D$3:$D$3999),IF(WEEKDAY(may!AD$3,1)=1,"WO","P"))</f>
        <v>P</v>
      </c>
      <c r="AE37" s="4" t="str">
        <f>IFERROR(LOOKUP(2,1/((lentry!$A$3:$A$3999=may!$A37)*(lentry!$B$3:$B$3999&lt;=may!AE$3)*(lentry!$C$3:$C$3999&gt;=may!AE$3)),lentry!$D$3:$D$3999),IF(WEEKDAY(may!AE$3,1)=1,"WO","P"))</f>
        <v>P</v>
      </c>
      <c r="AF37" s="4" t="s">
        <v>350</v>
      </c>
      <c r="AG37" s="4" t="str">
        <f>IFERROR(LOOKUP(2,1/((lentry!$A$3:$A$3999=may!$A37)*(lentry!$B$3:$B$3999&lt;=may!AG$3)*(lentry!$C$3:$C$3999&gt;=may!AG$3)),lentry!$D$3:$D$3999),IF(WEEKDAY(may!AG$3,1)=1,"WO","P"))</f>
        <v>P</v>
      </c>
      <c r="AH37" s="4" t="str">
        <f>IFERROR(LOOKUP(2,1/((lentry!$A$3:$A$3999=may!$A37)*(lentry!$B$3:$B$3999&lt;=may!AH$3)*(lentry!$C$3:$C$3999&gt;=may!AH$3)),lentry!$D$3:$D$3999),IF(WEEKDAY(may!AH$3,1)=1,"WO","P"))</f>
        <v>P</v>
      </c>
      <c r="AI37" s="4" t="str">
        <f>IFERROR(LOOKUP(2,1/((lentry!$A$3:$A$3999=may!$A37)*(lentry!$B$3:$B$3999&lt;=may!AI$3)*(lentry!$C$3:$C$3999&gt;=may!AI$3)),lentry!$D$3:$D$3999),IF(WEEKDAY(may!AI$3,1)=1,"WO","P"))</f>
        <v>P</v>
      </c>
      <c r="AJ37" s="4" t="str">
        <f>IFERROR(LOOKUP(2,1/((lentry!$A$3:$A$3999=may!$A37)*(lentry!$B$3:$B$3999&lt;=may!AJ$3)*(lentry!$C$3:$C$3999&gt;=may!AJ$3)),lentry!$D$3:$D$3999),IF(WEEKDAY(may!AJ$3,1)=1,"WO","P"))</f>
        <v>WO</v>
      </c>
      <c r="AK37" s="4">
        <f>COUNTIF(may!$F37:$AJ37,"WO")</f>
        <v>5</v>
      </c>
      <c r="AL37" s="4">
        <f>COUNTIF(may!$F37:$AJ37,"H")</f>
        <v>2</v>
      </c>
      <c r="AM37" s="4">
        <f>COUNTIF(may!$F37:$AJ37,"PL")</f>
        <v>0</v>
      </c>
      <c r="AN37" s="4">
        <f>COUNTIF(may!$F37:$AJ37,"LWP")</f>
        <v>0</v>
      </c>
      <c r="AO37" s="4">
        <f>COUNTIF(may!$F37:$AJ37,"HD")</f>
        <v>0</v>
      </c>
      <c r="AP37" s="4">
        <f>COUNTIF(may!$F37:$AJ37,"SL")</f>
        <v>0</v>
      </c>
      <c r="AQ37" s="4">
        <f>COUNTIF(may!$F37:$AJ37,"CL")</f>
        <v>0</v>
      </c>
      <c r="AR37" s="4">
        <f>COUNTIF(may!$F37:$AJ37,"A")</f>
        <v>1</v>
      </c>
      <c r="AS37" s="4">
        <f>COUNTIF(may!$F37:$AJ37,"P")</f>
        <v>23</v>
      </c>
      <c r="AT37" s="4">
        <f t="shared" si="2"/>
        <v>31</v>
      </c>
      <c r="AU37" s="4">
        <f t="shared" si="3"/>
        <v>30</v>
      </c>
      <c r="AV37" s="4">
        <f>SUMIFS(holly!$L$2:$L$122,holly!$I$2:$I$122,mar!$A37,holly!$K$2:$K$122,"Mar")</f>
        <v>1</v>
      </c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</row>
    <row r="38" spans="1:80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">
        <v>350</v>
      </c>
      <c r="G38" s="4" t="str">
        <f>IFERROR(LOOKUP(2,1/((lentry!$A$3:$A$3999=may!$A38)*(lentry!$B$3:$B$3999&lt;=may!G$3)*(lentry!$C$3:$C$3999&gt;=may!G$3)),lentry!$D$3:$D$3999),IF(WEEKDAY(may!G$3,1)=1,"WO","P"))</f>
        <v>P</v>
      </c>
      <c r="H38" s="4" t="str">
        <f>IFERROR(LOOKUP(2,1/((lentry!$A$3:$A$3999=may!$A38)*(lentry!$B$3:$B$3999&lt;=may!H$3)*(lentry!$C$3:$C$3999&gt;=may!H$3)),lentry!$D$3:$D$3999),IF(WEEKDAY(may!H$3,1)=1,"WO","P"))</f>
        <v>WO</v>
      </c>
      <c r="I38" s="4" t="str">
        <f>IFERROR(LOOKUP(2,1/((lentry!$A$3:$A$3999=may!$A38)*(lentry!$B$3:$B$3999&lt;=may!I$3)*(lentry!$C$3:$C$3999&gt;=may!I$3)),lentry!$D$3:$D$3999),IF(WEEKDAY(may!I$3,1)=1,"WO","P"))</f>
        <v>P</v>
      </c>
      <c r="J38" s="4" t="str">
        <f>IFERROR(LOOKUP(2,1/((lentry!$A$3:$A$3999=may!$A38)*(lentry!$B$3:$B$3999&lt;=may!J$3)*(lentry!$C$3:$C$3999&gt;=may!J$3)),lentry!$D$3:$D$3999),IF(WEEKDAY(may!J$3,1)=1,"WO","P"))</f>
        <v>P</v>
      </c>
      <c r="K38" s="4" t="str">
        <f>IFERROR(LOOKUP(2,1/((lentry!$A$3:$A$3999=may!$A38)*(lentry!$B$3:$B$3999&lt;=may!K$3)*(lentry!$C$3:$C$3999&gt;=may!K$3)),lentry!$D$3:$D$3999),IF(WEEKDAY(may!K$3,1)=1,"WO","P"))</f>
        <v>P</v>
      </c>
      <c r="L38" s="4" t="str">
        <f>IFERROR(LOOKUP(2,1/((lentry!$A$3:$A$3999=may!$A38)*(lentry!$B$3:$B$3999&lt;=may!L$3)*(lentry!$C$3:$C$3999&gt;=may!L$3)),lentry!$D$3:$D$3999),IF(WEEKDAY(may!L$3,1)=1,"WO","P"))</f>
        <v>P</v>
      </c>
      <c r="M38" s="4" t="str">
        <f>IFERROR(LOOKUP(2,1/((lentry!$A$3:$A$3999=may!$A38)*(lentry!$B$3:$B$3999&lt;=may!M$3)*(lentry!$C$3:$C$3999&gt;=may!M$3)),lentry!$D$3:$D$3999),IF(WEEKDAY(may!M$3,1)=1,"WO","P"))</f>
        <v>P</v>
      </c>
      <c r="N38" s="4" t="str">
        <f>IFERROR(LOOKUP(2,1/((lentry!$A$3:$A$3999=may!$A38)*(lentry!$B$3:$B$3999&lt;=may!N$3)*(lentry!$C$3:$C$3999&gt;=may!N$3)),lentry!$D$3:$D$3999),IF(WEEKDAY(may!N$3,1)=1,"WO","P"))</f>
        <v>P</v>
      </c>
      <c r="O38" s="4" t="str">
        <f>IFERROR(LOOKUP(2,1/((lentry!$A$3:$A$3999=may!$A38)*(lentry!$B$3:$B$3999&lt;=may!O$3)*(lentry!$C$3:$C$3999&gt;=may!O$3)),lentry!$D$3:$D$3999),IF(WEEKDAY(may!O$3,1)=1,"WO","P"))</f>
        <v>WO</v>
      </c>
      <c r="P38" s="4" t="str">
        <f>IFERROR(LOOKUP(2,1/((lentry!$A$3:$A$3999=may!$A38)*(lentry!$B$3:$B$3999&lt;=may!P$3)*(lentry!$C$3:$C$3999&gt;=may!P$3)),lentry!$D$3:$D$3999),IF(WEEKDAY(may!P$3,1)=1,"WO","P"))</f>
        <v>P</v>
      </c>
      <c r="Q38" s="4" t="str">
        <f>IFERROR(LOOKUP(2,1/((lentry!$A$3:$A$3999=may!$A38)*(lentry!$B$3:$B$3999&lt;=may!Q$3)*(lentry!$C$3:$C$3999&gt;=may!Q$3)),lentry!$D$3:$D$3999),IF(WEEKDAY(may!Q$3,1)=1,"WO","P"))</f>
        <v>P</v>
      </c>
      <c r="R38" s="4" t="str">
        <f>IFERROR(LOOKUP(2,1/((lentry!$A$3:$A$3999=may!$A38)*(lentry!$B$3:$B$3999&lt;=may!R$3)*(lentry!$C$3:$C$3999&gt;=may!R$3)),lentry!$D$3:$D$3999),IF(WEEKDAY(may!R$3,1)=1,"WO","P"))</f>
        <v>P</v>
      </c>
      <c r="S38" s="4" t="str">
        <f>IFERROR(LOOKUP(2,1/((lentry!$A$3:$A$3999=may!$A38)*(lentry!$B$3:$B$3999&lt;=may!S$3)*(lentry!$C$3:$C$3999&gt;=may!S$3)),lentry!$D$3:$D$3999),IF(WEEKDAY(may!S$3,1)=1,"WO","P"))</f>
        <v>P</v>
      </c>
      <c r="T38" s="4" t="str">
        <f>IFERROR(LOOKUP(2,1/((lentry!$A$3:$A$3999=may!$A38)*(lentry!$B$3:$B$3999&lt;=may!T$3)*(lentry!$C$3:$C$3999&gt;=may!T$3)),lentry!$D$3:$D$3999),IF(WEEKDAY(may!T$3,1)=1,"WO","P"))</f>
        <v>P</v>
      </c>
      <c r="U38" s="4" t="str">
        <f>IFERROR(LOOKUP(2,1/((lentry!$A$3:$A$3999=may!$A38)*(lentry!$B$3:$B$3999&lt;=may!U$3)*(lentry!$C$3:$C$3999&gt;=may!U$3)),lentry!$D$3:$D$3999),IF(WEEKDAY(may!U$3,1)=1,"WO","P"))</f>
        <v>P</v>
      </c>
      <c r="V38" s="4" t="str">
        <f>IFERROR(LOOKUP(2,1/((lentry!$A$3:$A$3999=may!$A38)*(lentry!$B$3:$B$3999&lt;=may!V$3)*(lentry!$C$3:$C$3999&gt;=may!V$3)),lentry!$D$3:$D$3999),IF(WEEKDAY(may!V$3,1)=1,"WO","P"))</f>
        <v>WO</v>
      </c>
      <c r="W38" s="4" t="str">
        <f>IFERROR(LOOKUP(2,1/((lentry!$A$3:$A$3999=may!$A38)*(lentry!$B$3:$B$3999&lt;=may!W$3)*(lentry!$C$3:$C$3999&gt;=may!W$3)),lentry!$D$3:$D$3999),IF(WEEKDAY(may!W$3,1)=1,"WO","P"))</f>
        <v>P</v>
      </c>
      <c r="X38" s="4" t="str">
        <f>IFERROR(LOOKUP(2,1/((lentry!$A$3:$A$3999=may!$A38)*(lentry!$B$3:$B$3999&lt;=may!X$3)*(lentry!$C$3:$C$3999&gt;=may!X$3)),lentry!$D$3:$D$3999),IF(WEEKDAY(may!X$3,1)=1,"WO","P"))</f>
        <v>P</v>
      </c>
      <c r="Y38" s="4" t="str">
        <f>IFERROR(LOOKUP(2,1/((lentry!$A$3:$A$3999=may!$A38)*(lentry!$B$3:$B$3999&lt;=may!Y$3)*(lentry!$C$3:$C$3999&gt;=may!Y$3)),lentry!$D$3:$D$3999),IF(WEEKDAY(may!Y$3,1)=1,"WO","P"))</f>
        <v>P</v>
      </c>
      <c r="Z38" s="4" t="str">
        <f>IFERROR(LOOKUP(2,1/((lentry!$A$3:$A$3999=may!$A38)*(lentry!$B$3:$B$3999&lt;=may!Z$3)*(lentry!$C$3:$C$3999&gt;=may!Z$3)),lentry!$D$3:$D$3999),IF(WEEKDAY(may!Z$3,1)=1,"WO","P"))</f>
        <v>P</v>
      </c>
      <c r="AA38" s="4" t="str">
        <f>IFERROR(LOOKUP(2,1/((lentry!$A$3:$A$3999=may!$A38)*(lentry!$B$3:$B$3999&lt;=may!AA$3)*(lentry!$C$3:$C$3999&gt;=may!AA$3)),lentry!$D$3:$D$3999),IF(WEEKDAY(may!AA$3,1)=1,"WO","P"))</f>
        <v>P</v>
      </c>
      <c r="AB38" s="4" t="str">
        <f>IFERROR(LOOKUP(2,1/((lentry!$A$3:$A$3999=may!$A38)*(lentry!$B$3:$B$3999&lt;=may!AB$3)*(lentry!$C$3:$C$3999&gt;=may!AB$3)),lentry!$D$3:$D$3999),IF(WEEKDAY(may!AB$3,1)=1,"WO","P"))</f>
        <v>P</v>
      </c>
      <c r="AC38" s="4" t="str">
        <f>IFERROR(LOOKUP(2,1/((lentry!$A$3:$A$3999=may!$A38)*(lentry!$B$3:$B$3999&lt;=may!AC$3)*(lentry!$C$3:$C$3999&gt;=may!AC$3)),lentry!$D$3:$D$3999),IF(WEEKDAY(may!AC$3,1)=1,"WO","P"))</f>
        <v>WO</v>
      </c>
      <c r="AD38" s="4" t="str">
        <f>IFERROR(LOOKUP(2,1/((lentry!$A$3:$A$3999=may!$A38)*(lentry!$B$3:$B$3999&lt;=may!AD$3)*(lentry!$C$3:$C$3999&gt;=may!AD$3)),lentry!$D$3:$D$3999),IF(WEEKDAY(may!AD$3,1)=1,"WO","P"))</f>
        <v>P</v>
      </c>
      <c r="AE38" s="4" t="str">
        <f>IFERROR(LOOKUP(2,1/((lentry!$A$3:$A$3999=may!$A38)*(lentry!$B$3:$B$3999&lt;=may!AE$3)*(lentry!$C$3:$C$3999&gt;=may!AE$3)),lentry!$D$3:$D$3999),IF(WEEKDAY(may!AE$3,1)=1,"WO","P"))</f>
        <v>P</v>
      </c>
      <c r="AF38" s="4" t="s">
        <v>350</v>
      </c>
      <c r="AG38" s="4" t="str">
        <f>IFERROR(LOOKUP(2,1/((lentry!$A$3:$A$3999=may!$A38)*(lentry!$B$3:$B$3999&lt;=may!AG$3)*(lentry!$C$3:$C$3999&gt;=may!AG$3)),lentry!$D$3:$D$3999),IF(WEEKDAY(may!AG$3,1)=1,"WO","P"))</f>
        <v>P</v>
      </c>
      <c r="AH38" s="4" t="str">
        <f>IFERROR(LOOKUP(2,1/((lentry!$A$3:$A$3999=may!$A38)*(lentry!$B$3:$B$3999&lt;=may!AH$3)*(lentry!$C$3:$C$3999&gt;=may!AH$3)),lentry!$D$3:$D$3999),IF(WEEKDAY(may!AH$3,1)=1,"WO","P"))</f>
        <v>P</v>
      </c>
      <c r="AI38" s="4" t="str">
        <f>IFERROR(LOOKUP(2,1/((lentry!$A$3:$A$3999=may!$A38)*(lentry!$B$3:$B$3999&lt;=may!AI$3)*(lentry!$C$3:$C$3999&gt;=may!AI$3)),lentry!$D$3:$D$3999),IF(WEEKDAY(may!AI$3,1)=1,"WO","P"))</f>
        <v>P</v>
      </c>
      <c r="AJ38" s="4" t="str">
        <f>IFERROR(LOOKUP(2,1/((lentry!$A$3:$A$3999=may!$A38)*(lentry!$B$3:$B$3999&lt;=may!AJ$3)*(lentry!$C$3:$C$3999&gt;=may!AJ$3)),lentry!$D$3:$D$3999),IF(WEEKDAY(may!AJ$3,1)=1,"WO","P"))</f>
        <v>WO</v>
      </c>
      <c r="AK38" s="4">
        <f>COUNTIF(may!$F38:$AJ38,"WO")</f>
        <v>5</v>
      </c>
      <c r="AL38" s="4">
        <f>COUNTIF(may!$F38:$AJ38,"H")</f>
        <v>2</v>
      </c>
      <c r="AM38" s="4">
        <f>COUNTIF(may!$F38:$AJ38,"PL")</f>
        <v>0</v>
      </c>
      <c r="AN38" s="4">
        <f>COUNTIF(may!$F38:$AJ38,"LWP")</f>
        <v>0</v>
      </c>
      <c r="AO38" s="4">
        <f>COUNTIF(may!$F38:$AJ38,"HD")</f>
        <v>0</v>
      </c>
      <c r="AP38" s="4">
        <f>COUNTIF(may!$F38:$AJ38,"SL")</f>
        <v>0</v>
      </c>
      <c r="AQ38" s="4">
        <f>COUNTIF(may!$F38:$AJ38,"CL")</f>
        <v>0</v>
      </c>
      <c r="AR38" s="4">
        <f>COUNTIF(may!$F38:$AJ38,"A")</f>
        <v>0</v>
      </c>
      <c r="AS38" s="4">
        <f>COUNTIF(may!$F38:$AJ38,"P")</f>
        <v>24</v>
      </c>
      <c r="AT38" s="4">
        <f t="shared" si="2"/>
        <v>31</v>
      </c>
      <c r="AU38" s="4">
        <f t="shared" si="3"/>
        <v>31</v>
      </c>
      <c r="AV38" s="4">
        <f>SUMIFS(holly!$L$2:$L$122,holly!$I$2:$I$122,mar!$A38,holly!$K$2:$K$122,"Mar")</f>
        <v>0</v>
      </c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</row>
    <row r="39" spans="1:80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">
        <v>350</v>
      </c>
      <c r="G39" s="4" t="str">
        <f>IFERROR(LOOKUP(2,1/((lentry!$A$3:$A$3999=may!$A39)*(lentry!$B$3:$B$3999&lt;=may!G$3)*(lentry!$C$3:$C$3999&gt;=may!G$3)),lentry!$D$3:$D$3999),IF(WEEKDAY(may!G$3,1)=1,"WO","P"))</f>
        <v>P</v>
      </c>
      <c r="H39" s="4" t="str">
        <f>IFERROR(LOOKUP(2,1/((lentry!$A$3:$A$3999=may!$A39)*(lentry!$B$3:$B$3999&lt;=may!H$3)*(lentry!$C$3:$C$3999&gt;=may!H$3)),lentry!$D$3:$D$3999),IF(WEEKDAY(may!H$3,1)=1,"WO","P"))</f>
        <v>WO</v>
      </c>
      <c r="I39" s="4" t="str">
        <f>IFERROR(LOOKUP(2,1/((lentry!$A$3:$A$3999=may!$A39)*(lentry!$B$3:$B$3999&lt;=may!I$3)*(lentry!$C$3:$C$3999&gt;=may!I$3)),lentry!$D$3:$D$3999),IF(WEEKDAY(may!I$3,1)=1,"WO","P"))</f>
        <v>P</v>
      </c>
      <c r="J39" s="4" t="str">
        <f>IFERROR(LOOKUP(2,1/((lentry!$A$3:$A$3999=may!$A39)*(lentry!$B$3:$B$3999&lt;=may!J$3)*(lentry!$C$3:$C$3999&gt;=may!J$3)),lentry!$D$3:$D$3999),IF(WEEKDAY(may!J$3,1)=1,"WO","P"))</f>
        <v>P</v>
      </c>
      <c r="K39" s="4" t="str">
        <f>IFERROR(LOOKUP(2,1/((lentry!$A$3:$A$3999=may!$A39)*(lentry!$B$3:$B$3999&lt;=may!K$3)*(lentry!$C$3:$C$3999&gt;=may!K$3)),lentry!$D$3:$D$3999),IF(WEEKDAY(may!K$3,1)=1,"WO","P"))</f>
        <v>P</v>
      </c>
      <c r="L39" s="4" t="str">
        <f>IFERROR(LOOKUP(2,1/((lentry!$A$3:$A$3999=may!$A39)*(lentry!$B$3:$B$3999&lt;=may!L$3)*(lentry!$C$3:$C$3999&gt;=may!L$3)),lentry!$D$3:$D$3999),IF(WEEKDAY(may!L$3,1)=1,"WO","P"))</f>
        <v>P</v>
      </c>
      <c r="M39" s="4" t="str">
        <f>IFERROR(LOOKUP(2,1/((lentry!$A$3:$A$3999=may!$A39)*(lentry!$B$3:$B$3999&lt;=may!M$3)*(lentry!$C$3:$C$3999&gt;=may!M$3)),lentry!$D$3:$D$3999),IF(WEEKDAY(may!M$3,1)=1,"WO","P"))</f>
        <v>P</v>
      </c>
      <c r="N39" s="4" t="str">
        <f>IFERROR(LOOKUP(2,1/((lentry!$A$3:$A$3999=may!$A39)*(lentry!$B$3:$B$3999&lt;=may!N$3)*(lentry!$C$3:$C$3999&gt;=may!N$3)),lentry!$D$3:$D$3999),IF(WEEKDAY(may!N$3,1)=1,"WO","P"))</f>
        <v>P</v>
      </c>
      <c r="O39" s="4" t="str">
        <f>IFERROR(LOOKUP(2,1/((lentry!$A$3:$A$3999=may!$A39)*(lentry!$B$3:$B$3999&lt;=may!O$3)*(lentry!$C$3:$C$3999&gt;=may!O$3)),lentry!$D$3:$D$3999),IF(WEEKDAY(may!O$3,1)=1,"WO","P"))</f>
        <v>WO</v>
      </c>
      <c r="P39" s="4" t="str">
        <f>IFERROR(LOOKUP(2,1/((lentry!$A$3:$A$3999=may!$A39)*(lentry!$B$3:$B$3999&lt;=may!P$3)*(lentry!$C$3:$C$3999&gt;=may!P$3)),lentry!$D$3:$D$3999),IF(WEEKDAY(may!P$3,1)=1,"WO","P"))</f>
        <v>P</v>
      </c>
      <c r="Q39" s="4" t="str">
        <f>IFERROR(LOOKUP(2,1/((lentry!$A$3:$A$3999=may!$A39)*(lentry!$B$3:$B$3999&lt;=may!Q$3)*(lentry!$C$3:$C$3999&gt;=may!Q$3)),lentry!$D$3:$D$3999),IF(WEEKDAY(may!Q$3,1)=1,"WO","P"))</f>
        <v>P</v>
      </c>
      <c r="R39" s="4" t="str">
        <f>IFERROR(LOOKUP(2,1/((lentry!$A$3:$A$3999=may!$A39)*(lentry!$B$3:$B$3999&lt;=may!R$3)*(lentry!$C$3:$C$3999&gt;=may!R$3)),lentry!$D$3:$D$3999),IF(WEEKDAY(may!R$3,1)=1,"WO","P"))</f>
        <v>P</v>
      </c>
      <c r="S39" s="4" t="str">
        <f>IFERROR(LOOKUP(2,1/((lentry!$A$3:$A$3999=may!$A39)*(lentry!$B$3:$B$3999&lt;=may!S$3)*(lentry!$C$3:$C$3999&gt;=may!S$3)),lentry!$D$3:$D$3999),IF(WEEKDAY(may!S$3,1)=1,"WO","P"))</f>
        <v>P</v>
      </c>
      <c r="T39" s="4" t="str">
        <f>IFERROR(LOOKUP(2,1/((lentry!$A$3:$A$3999=may!$A39)*(lentry!$B$3:$B$3999&lt;=may!T$3)*(lentry!$C$3:$C$3999&gt;=may!T$3)),lentry!$D$3:$D$3999),IF(WEEKDAY(may!T$3,1)=1,"WO","P"))</f>
        <v>P</v>
      </c>
      <c r="U39" s="4" t="str">
        <f>IFERROR(LOOKUP(2,1/((lentry!$A$3:$A$3999=may!$A39)*(lentry!$B$3:$B$3999&lt;=may!U$3)*(lentry!$C$3:$C$3999&gt;=may!U$3)),lentry!$D$3:$D$3999),IF(WEEKDAY(may!U$3,1)=1,"WO","P"))</f>
        <v>P</v>
      </c>
      <c r="V39" s="4" t="str">
        <f>IFERROR(LOOKUP(2,1/((lentry!$A$3:$A$3999=may!$A39)*(lentry!$B$3:$B$3999&lt;=may!V$3)*(lentry!$C$3:$C$3999&gt;=may!V$3)),lentry!$D$3:$D$3999),IF(WEEKDAY(may!V$3,1)=1,"WO","P"))</f>
        <v>WO</v>
      </c>
      <c r="W39" s="4" t="str">
        <f>IFERROR(LOOKUP(2,1/((lentry!$A$3:$A$3999=may!$A39)*(lentry!$B$3:$B$3999&lt;=may!W$3)*(lentry!$C$3:$C$3999&gt;=may!W$3)),lentry!$D$3:$D$3999),IF(WEEKDAY(may!W$3,1)=1,"WO","P"))</f>
        <v>P</v>
      </c>
      <c r="X39" s="4" t="str">
        <f>IFERROR(LOOKUP(2,1/((lentry!$A$3:$A$3999=may!$A39)*(lentry!$B$3:$B$3999&lt;=may!X$3)*(lentry!$C$3:$C$3999&gt;=may!X$3)),lentry!$D$3:$D$3999),IF(WEEKDAY(may!X$3,1)=1,"WO","P"))</f>
        <v>P</v>
      </c>
      <c r="Y39" s="4" t="str">
        <f>IFERROR(LOOKUP(2,1/((lentry!$A$3:$A$3999=may!$A39)*(lentry!$B$3:$B$3999&lt;=may!Y$3)*(lentry!$C$3:$C$3999&gt;=may!Y$3)),lentry!$D$3:$D$3999),IF(WEEKDAY(may!Y$3,1)=1,"WO","P"))</f>
        <v>P</v>
      </c>
      <c r="Z39" s="4" t="str">
        <f>IFERROR(LOOKUP(2,1/((lentry!$A$3:$A$3999=may!$A39)*(lentry!$B$3:$B$3999&lt;=may!Z$3)*(lentry!$C$3:$C$3999&gt;=may!Z$3)),lentry!$D$3:$D$3999),IF(WEEKDAY(may!Z$3,1)=1,"WO","P"))</f>
        <v>P</v>
      </c>
      <c r="AA39" s="4" t="str">
        <f>IFERROR(LOOKUP(2,1/((lentry!$A$3:$A$3999=may!$A39)*(lentry!$B$3:$B$3999&lt;=may!AA$3)*(lentry!$C$3:$C$3999&gt;=may!AA$3)),lentry!$D$3:$D$3999),IF(WEEKDAY(may!AA$3,1)=1,"WO","P"))</f>
        <v>P</v>
      </c>
      <c r="AB39" s="4" t="str">
        <f>IFERROR(LOOKUP(2,1/((lentry!$A$3:$A$3999=may!$A39)*(lentry!$B$3:$B$3999&lt;=may!AB$3)*(lentry!$C$3:$C$3999&gt;=may!AB$3)),lentry!$D$3:$D$3999),IF(WEEKDAY(may!AB$3,1)=1,"WO","P"))</f>
        <v>P</v>
      </c>
      <c r="AC39" s="4" t="str">
        <f>IFERROR(LOOKUP(2,1/((lentry!$A$3:$A$3999=may!$A39)*(lentry!$B$3:$B$3999&lt;=may!AC$3)*(lentry!$C$3:$C$3999&gt;=may!AC$3)),lentry!$D$3:$D$3999),IF(WEEKDAY(may!AC$3,1)=1,"WO","P"))</f>
        <v>WO</v>
      </c>
      <c r="AD39" s="4" t="str">
        <f>IFERROR(LOOKUP(2,1/((lentry!$A$3:$A$3999=may!$A39)*(lentry!$B$3:$B$3999&lt;=may!AD$3)*(lentry!$C$3:$C$3999&gt;=may!AD$3)),lentry!$D$3:$D$3999),IF(WEEKDAY(may!AD$3,1)=1,"WO","P"))</f>
        <v>P</v>
      </c>
      <c r="AE39" s="4" t="str">
        <f>IFERROR(LOOKUP(2,1/((lentry!$A$3:$A$3999=may!$A39)*(lentry!$B$3:$B$3999&lt;=may!AE$3)*(lentry!$C$3:$C$3999&gt;=may!AE$3)),lentry!$D$3:$D$3999),IF(WEEKDAY(may!AE$3,1)=1,"WO","P"))</f>
        <v>P</v>
      </c>
      <c r="AF39" s="4" t="s">
        <v>350</v>
      </c>
      <c r="AG39" s="4" t="str">
        <f>IFERROR(LOOKUP(2,1/((lentry!$A$3:$A$3999=may!$A39)*(lentry!$B$3:$B$3999&lt;=may!AG$3)*(lentry!$C$3:$C$3999&gt;=may!AG$3)),lentry!$D$3:$D$3999),IF(WEEKDAY(may!AG$3,1)=1,"WO","P"))</f>
        <v>P</v>
      </c>
      <c r="AH39" s="4" t="str">
        <f>IFERROR(LOOKUP(2,1/((lentry!$A$3:$A$3999=may!$A39)*(lentry!$B$3:$B$3999&lt;=may!AH$3)*(lentry!$C$3:$C$3999&gt;=may!AH$3)),lentry!$D$3:$D$3999),IF(WEEKDAY(may!AH$3,1)=1,"WO","P"))</f>
        <v>P</v>
      </c>
      <c r="AI39" s="4" t="str">
        <f>IFERROR(LOOKUP(2,1/((lentry!$A$3:$A$3999=may!$A39)*(lentry!$B$3:$B$3999&lt;=may!AI$3)*(lentry!$C$3:$C$3999&gt;=may!AI$3)),lentry!$D$3:$D$3999),IF(WEEKDAY(may!AI$3,1)=1,"WO","P"))</f>
        <v>P</v>
      </c>
      <c r="AJ39" s="4" t="str">
        <f>IFERROR(LOOKUP(2,1/((lentry!$A$3:$A$3999=may!$A39)*(lentry!$B$3:$B$3999&lt;=may!AJ$3)*(lentry!$C$3:$C$3999&gt;=may!AJ$3)),lentry!$D$3:$D$3999),IF(WEEKDAY(may!AJ$3,1)=1,"WO","P"))</f>
        <v>WO</v>
      </c>
      <c r="AK39" s="4">
        <f>COUNTIF(may!$F39:$AJ39,"WO")</f>
        <v>5</v>
      </c>
      <c r="AL39" s="4">
        <f>COUNTIF(may!$F39:$AJ39,"H")</f>
        <v>2</v>
      </c>
      <c r="AM39" s="4">
        <f>COUNTIF(may!$F39:$AJ39,"PL")</f>
        <v>0</v>
      </c>
      <c r="AN39" s="4">
        <f>COUNTIF(may!$F39:$AJ39,"LWP")</f>
        <v>0</v>
      </c>
      <c r="AO39" s="4">
        <f>COUNTIF(may!$F39:$AJ39,"HD")</f>
        <v>0</v>
      </c>
      <c r="AP39" s="4">
        <f>COUNTIF(may!$F39:$AJ39,"SL")</f>
        <v>0</v>
      </c>
      <c r="AQ39" s="4">
        <f>COUNTIF(may!$F39:$AJ39,"CL")</f>
        <v>0</v>
      </c>
      <c r="AR39" s="4">
        <f>COUNTIF(may!$F39:$AJ39,"A")</f>
        <v>0</v>
      </c>
      <c r="AS39" s="4">
        <f>COUNTIF(may!$F39:$AJ39,"P")</f>
        <v>24</v>
      </c>
      <c r="AT39" s="4">
        <f t="shared" si="2"/>
        <v>31</v>
      </c>
      <c r="AU39" s="4">
        <f t="shared" si="3"/>
        <v>31</v>
      </c>
      <c r="AV39" s="4">
        <f>SUMIFS(holly!$L$2:$L$122,holly!$I$2:$I$122,mar!$A39,holly!$K$2:$K$122,"Mar")</f>
        <v>0</v>
      </c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</row>
    <row r="40" spans="1:80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">
        <v>350</v>
      </c>
      <c r="G40" s="4" t="str">
        <f>IFERROR(LOOKUP(2,1/((lentry!$A$3:$A$3999=may!$A40)*(lentry!$B$3:$B$3999&lt;=may!G$3)*(lentry!$C$3:$C$3999&gt;=may!G$3)),lentry!$D$3:$D$3999),IF(WEEKDAY(may!G$3,1)=1,"WO","P"))</f>
        <v>P</v>
      </c>
      <c r="H40" s="4" t="str">
        <f>IFERROR(LOOKUP(2,1/((lentry!$A$3:$A$3999=may!$A40)*(lentry!$B$3:$B$3999&lt;=may!H$3)*(lentry!$C$3:$C$3999&gt;=may!H$3)),lentry!$D$3:$D$3999),IF(WEEKDAY(may!H$3,1)=1,"WO","P"))</f>
        <v>WO</v>
      </c>
      <c r="I40" s="4" t="str">
        <f>IFERROR(LOOKUP(2,1/((lentry!$A$3:$A$3999=may!$A40)*(lentry!$B$3:$B$3999&lt;=may!I$3)*(lentry!$C$3:$C$3999&gt;=may!I$3)),lentry!$D$3:$D$3999),IF(WEEKDAY(may!I$3,1)=1,"WO","P"))</f>
        <v>SL</v>
      </c>
      <c r="J40" s="4" t="str">
        <f>IFERROR(LOOKUP(2,1/((lentry!$A$3:$A$3999=may!$A40)*(lentry!$B$3:$B$3999&lt;=may!J$3)*(lentry!$C$3:$C$3999&gt;=may!J$3)),lentry!$D$3:$D$3999),IF(WEEKDAY(may!J$3,1)=1,"WO","P"))</f>
        <v>SL</v>
      </c>
      <c r="K40" s="4" t="str">
        <f>IFERROR(LOOKUP(2,1/((lentry!$A$3:$A$3999=may!$A40)*(lentry!$B$3:$B$3999&lt;=may!K$3)*(lentry!$C$3:$C$3999&gt;=may!K$3)),lentry!$D$3:$D$3999),IF(WEEKDAY(may!K$3,1)=1,"WO","P"))</f>
        <v>P</v>
      </c>
      <c r="L40" s="4" t="str">
        <f>IFERROR(LOOKUP(2,1/((lentry!$A$3:$A$3999=may!$A40)*(lentry!$B$3:$B$3999&lt;=may!L$3)*(lentry!$C$3:$C$3999&gt;=may!L$3)),lentry!$D$3:$D$3999),IF(WEEKDAY(may!L$3,1)=1,"WO","P"))</f>
        <v>P</v>
      </c>
      <c r="M40" s="4" t="str">
        <f>IFERROR(LOOKUP(2,1/((lentry!$A$3:$A$3999=may!$A40)*(lentry!$B$3:$B$3999&lt;=may!M$3)*(lentry!$C$3:$C$3999&gt;=may!M$3)),lentry!$D$3:$D$3999),IF(WEEKDAY(may!M$3,1)=1,"WO","P"))</f>
        <v>LWP</v>
      </c>
      <c r="N40" s="4" t="str">
        <f>IFERROR(LOOKUP(2,1/((lentry!$A$3:$A$3999=may!$A40)*(lentry!$B$3:$B$3999&lt;=may!N$3)*(lentry!$C$3:$C$3999&gt;=may!N$3)),lentry!$D$3:$D$3999),IF(WEEKDAY(may!N$3,1)=1,"WO","P"))</f>
        <v>P</v>
      </c>
      <c r="O40" s="4" t="str">
        <f>IFERROR(LOOKUP(2,1/((lentry!$A$3:$A$3999=may!$A40)*(lentry!$B$3:$B$3999&lt;=may!O$3)*(lentry!$C$3:$C$3999&gt;=may!O$3)),lentry!$D$3:$D$3999),IF(WEEKDAY(may!O$3,1)=1,"WO","P"))</f>
        <v>WO</v>
      </c>
      <c r="P40" s="4" t="str">
        <f>IFERROR(LOOKUP(2,1/((lentry!$A$3:$A$3999=may!$A40)*(lentry!$B$3:$B$3999&lt;=may!P$3)*(lentry!$C$3:$C$3999&gt;=may!P$3)),lentry!$D$3:$D$3999),IF(WEEKDAY(may!P$3,1)=1,"WO","P"))</f>
        <v>P</v>
      </c>
      <c r="Q40" s="4" t="str">
        <f>IFERROR(LOOKUP(2,1/((lentry!$A$3:$A$3999=may!$A40)*(lentry!$B$3:$B$3999&lt;=may!Q$3)*(lentry!$C$3:$C$3999&gt;=may!Q$3)),lentry!$D$3:$D$3999),IF(WEEKDAY(may!Q$3,1)=1,"WO","P"))</f>
        <v>P</v>
      </c>
      <c r="R40" s="4" t="str">
        <f>IFERROR(LOOKUP(2,1/((lentry!$A$3:$A$3999=may!$A40)*(lentry!$B$3:$B$3999&lt;=may!R$3)*(lentry!$C$3:$C$3999&gt;=may!R$3)),lentry!$D$3:$D$3999),IF(WEEKDAY(may!R$3,1)=1,"WO","P"))</f>
        <v>P</v>
      </c>
      <c r="S40" s="4" t="str">
        <f>IFERROR(LOOKUP(2,1/((lentry!$A$3:$A$3999=may!$A40)*(lentry!$B$3:$B$3999&lt;=may!S$3)*(lentry!$C$3:$C$3999&gt;=may!S$3)),lentry!$D$3:$D$3999),IF(WEEKDAY(may!S$3,1)=1,"WO","P"))</f>
        <v>P</v>
      </c>
      <c r="T40" s="4" t="str">
        <f>IFERROR(LOOKUP(2,1/((lentry!$A$3:$A$3999=may!$A40)*(lentry!$B$3:$B$3999&lt;=may!T$3)*(lentry!$C$3:$C$3999&gt;=may!T$3)),lentry!$D$3:$D$3999),IF(WEEKDAY(may!T$3,1)=1,"WO","P"))</f>
        <v>P</v>
      </c>
      <c r="U40" s="4" t="str">
        <f>IFERROR(LOOKUP(2,1/((lentry!$A$3:$A$3999=may!$A40)*(lentry!$B$3:$B$3999&lt;=may!U$3)*(lentry!$C$3:$C$3999&gt;=may!U$3)),lentry!$D$3:$D$3999),IF(WEEKDAY(may!U$3,1)=1,"WO","P"))</f>
        <v>P</v>
      </c>
      <c r="V40" s="4" t="str">
        <f>IFERROR(LOOKUP(2,1/((lentry!$A$3:$A$3999=may!$A40)*(lentry!$B$3:$B$3999&lt;=may!V$3)*(lentry!$C$3:$C$3999&gt;=may!V$3)),lentry!$D$3:$D$3999),IF(WEEKDAY(may!V$3,1)=1,"WO","P"))</f>
        <v>WO</v>
      </c>
      <c r="W40" s="4" t="str">
        <f>IFERROR(LOOKUP(2,1/((lentry!$A$3:$A$3999=may!$A40)*(lentry!$B$3:$B$3999&lt;=may!W$3)*(lentry!$C$3:$C$3999&gt;=may!W$3)),lentry!$D$3:$D$3999),IF(WEEKDAY(may!W$3,1)=1,"WO","P"))</f>
        <v>P</v>
      </c>
      <c r="X40" s="4" t="str">
        <f>IFERROR(LOOKUP(2,1/((lentry!$A$3:$A$3999=may!$A40)*(lentry!$B$3:$B$3999&lt;=may!X$3)*(lentry!$C$3:$C$3999&gt;=may!X$3)),lentry!$D$3:$D$3999),IF(WEEKDAY(may!X$3,1)=1,"WO","P"))</f>
        <v>P</v>
      </c>
      <c r="Y40" s="4" t="str">
        <f>IFERROR(LOOKUP(2,1/((lentry!$A$3:$A$3999=may!$A40)*(lentry!$B$3:$B$3999&lt;=may!Y$3)*(lentry!$C$3:$C$3999&gt;=may!Y$3)),lentry!$D$3:$D$3999),IF(WEEKDAY(may!Y$3,1)=1,"WO","P"))</f>
        <v>P</v>
      </c>
      <c r="Z40" s="4" t="str">
        <f>IFERROR(LOOKUP(2,1/((lentry!$A$3:$A$3999=may!$A40)*(lentry!$B$3:$B$3999&lt;=may!Z$3)*(lentry!$C$3:$C$3999&gt;=may!Z$3)),lentry!$D$3:$D$3999),IF(WEEKDAY(may!Z$3,1)=1,"WO","P"))</f>
        <v>P</v>
      </c>
      <c r="AA40" s="4" t="str">
        <f>IFERROR(LOOKUP(2,1/((lentry!$A$3:$A$3999=may!$A40)*(lentry!$B$3:$B$3999&lt;=may!AA$3)*(lentry!$C$3:$C$3999&gt;=may!AA$3)),lentry!$D$3:$D$3999),IF(WEEKDAY(may!AA$3,1)=1,"WO","P"))</f>
        <v>P</v>
      </c>
      <c r="AB40" s="4" t="str">
        <f>IFERROR(LOOKUP(2,1/((lentry!$A$3:$A$3999=may!$A40)*(lentry!$B$3:$B$3999&lt;=may!AB$3)*(lentry!$C$3:$C$3999&gt;=may!AB$3)),lentry!$D$3:$D$3999),IF(WEEKDAY(may!AB$3,1)=1,"WO","P"))</f>
        <v>P</v>
      </c>
      <c r="AC40" s="4" t="str">
        <f>IFERROR(LOOKUP(2,1/((lentry!$A$3:$A$3999=may!$A40)*(lentry!$B$3:$B$3999&lt;=may!AC$3)*(lentry!$C$3:$C$3999&gt;=may!AC$3)),lentry!$D$3:$D$3999),IF(WEEKDAY(may!AC$3,1)=1,"WO","P"))</f>
        <v>WO</v>
      </c>
      <c r="AD40" s="4" t="str">
        <f>IFERROR(LOOKUP(2,1/((lentry!$A$3:$A$3999=may!$A40)*(lentry!$B$3:$B$3999&lt;=may!AD$3)*(lentry!$C$3:$C$3999&gt;=may!AD$3)),lentry!$D$3:$D$3999),IF(WEEKDAY(may!AD$3,1)=1,"WO","P"))</f>
        <v>P</v>
      </c>
      <c r="AE40" s="4" t="str">
        <f>IFERROR(LOOKUP(2,1/((lentry!$A$3:$A$3999=may!$A40)*(lentry!$B$3:$B$3999&lt;=may!AE$3)*(lentry!$C$3:$C$3999&gt;=may!AE$3)),lentry!$D$3:$D$3999),IF(WEEKDAY(may!AE$3,1)=1,"WO","P"))</f>
        <v>P</v>
      </c>
      <c r="AF40" s="4" t="s">
        <v>350</v>
      </c>
      <c r="AG40" s="4" t="str">
        <f>IFERROR(LOOKUP(2,1/((lentry!$A$3:$A$3999=may!$A40)*(lentry!$B$3:$B$3999&lt;=may!AG$3)*(lentry!$C$3:$C$3999&gt;=may!AG$3)),lentry!$D$3:$D$3999),IF(WEEKDAY(may!AG$3,1)=1,"WO","P"))</f>
        <v>P</v>
      </c>
      <c r="AH40" s="4" t="str">
        <f>IFERROR(LOOKUP(2,1/((lentry!$A$3:$A$3999=may!$A40)*(lentry!$B$3:$B$3999&lt;=may!AH$3)*(lentry!$C$3:$C$3999&gt;=may!AH$3)),lentry!$D$3:$D$3999),IF(WEEKDAY(may!AH$3,1)=1,"WO","P"))</f>
        <v>P</v>
      </c>
      <c r="AI40" s="4" t="str">
        <f>IFERROR(LOOKUP(2,1/((lentry!$A$3:$A$3999=may!$A40)*(lentry!$B$3:$B$3999&lt;=may!AI$3)*(lentry!$C$3:$C$3999&gt;=may!AI$3)),lentry!$D$3:$D$3999),IF(WEEKDAY(may!AI$3,1)=1,"WO","P"))</f>
        <v>P</v>
      </c>
      <c r="AJ40" s="4" t="str">
        <f>IFERROR(LOOKUP(2,1/((lentry!$A$3:$A$3999=may!$A40)*(lentry!$B$3:$B$3999&lt;=may!AJ$3)*(lentry!$C$3:$C$3999&gt;=may!AJ$3)),lentry!$D$3:$D$3999),IF(WEEKDAY(may!AJ$3,1)=1,"WO","P"))</f>
        <v>WO</v>
      </c>
      <c r="AK40" s="4">
        <f>COUNTIF(may!$F40:$AJ40,"WO")</f>
        <v>5</v>
      </c>
      <c r="AL40" s="4">
        <f>COUNTIF(may!$F40:$AJ40,"H")</f>
        <v>2</v>
      </c>
      <c r="AM40" s="4">
        <f>COUNTIF(may!$F40:$AJ40,"PL")</f>
        <v>0</v>
      </c>
      <c r="AN40" s="4">
        <f>COUNTIF(may!$F40:$AJ40,"LWP")</f>
        <v>1</v>
      </c>
      <c r="AO40" s="4">
        <f>COUNTIF(may!$F40:$AJ40,"HD")</f>
        <v>0</v>
      </c>
      <c r="AP40" s="4">
        <f>COUNTIF(may!$F40:$AJ40,"SL")</f>
        <v>2</v>
      </c>
      <c r="AQ40" s="4">
        <f>COUNTIF(may!$F40:$AJ40,"CL")</f>
        <v>0</v>
      </c>
      <c r="AR40" s="4">
        <f>COUNTIF(may!$F40:$AJ40,"A")</f>
        <v>0</v>
      </c>
      <c r="AS40" s="4">
        <f>COUNTIF(may!$F40:$AJ40,"P")</f>
        <v>21</v>
      </c>
      <c r="AT40" s="4">
        <f t="shared" si="2"/>
        <v>31</v>
      </c>
      <c r="AU40" s="4">
        <f t="shared" si="3"/>
        <v>30</v>
      </c>
      <c r="AV40" s="4">
        <f>SUMIFS(holly!$L$2:$L$122,holly!$I$2:$I$122,mar!$A40,holly!$K$2:$K$122,"Mar")</f>
        <v>0</v>
      </c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</row>
    <row r="41" spans="1:80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">
        <v>350</v>
      </c>
      <c r="G41" s="4" t="str">
        <f>IFERROR(LOOKUP(2,1/((lentry!$A$3:$A$3999=may!$A41)*(lentry!$B$3:$B$3999&lt;=may!G$3)*(lentry!$C$3:$C$3999&gt;=may!G$3)),lentry!$D$3:$D$3999),IF(WEEKDAY(may!G$3,1)=1,"WO","P"))</f>
        <v>P</v>
      </c>
      <c r="H41" s="4" t="str">
        <f>IFERROR(LOOKUP(2,1/((lentry!$A$3:$A$3999=may!$A41)*(lentry!$B$3:$B$3999&lt;=may!H$3)*(lentry!$C$3:$C$3999&gt;=may!H$3)),lentry!$D$3:$D$3999),IF(WEEKDAY(may!H$3,1)=1,"WO","P"))</f>
        <v>WO</v>
      </c>
      <c r="I41" s="4" t="str">
        <f>IFERROR(LOOKUP(2,1/((lentry!$A$3:$A$3999=may!$A41)*(lentry!$B$3:$B$3999&lt;=may!I$3)*(lentry!$C$3:$C$3999&gt;=may!I$3)),lentry!$D$3:$D$3999),IF(WEEKDAY(may!I$3,1)=1,"WO","P"))</f>
        <v>P</v>
      </c>
      <c r="J41" s="4" t="str">
        <f>IFERROR(LOOKUP(2,1/((lentry!$A$3:$A$3999=may!$A41)*(lentry!$B$3:$B$3999&lt;=may!J$3)*(lentry!$C$3:$C$3999&gt;=may!J$3)),lentry!$D$3:$D$3999),IF(WEEKDAY(may!J$3,1)=1,"WO","P"))</f>
        <v>P</v>
      </c>
      <c r="K41" s="4" t="str">
        <f>IFERROR(LOOKUP(2,1/((lentry!$A$3:$A$3999=may!$A41)*(lentry!$B$3:$B$3999&lt;=may!K$3)*(lentry!$C$3:$C$3999&gt;=may!K$3)),lentry!$D$3:$D$3999),IF(WEEKDAY(may!K$3,1)=1,"WO","P"))</f>
        <v>P</v>
      </c>
      <c r="L41" s="4" t="str">
        <f>IFERROR(LOOKUP(2,1/((lentry!$A$3:$A$3999=may!$A41)*(lentry!$B$3:$B$3999&lt;=may!L$3)*(lentry!$C$3:$C$3999&gt;=may!L$3)),lentry!$D$3:$D$3999),IF(WEEKDAY(may!L$3,1)=1,"WO","P"))</f>
        <v>CL</v>
      </c>
      <c r="M41" s="4" t="str">
        <f>IFERROR(LOOKUP(2,1/((lentry!$A$3:$A$3999=may!$A41)*(lentry!$B$3:$B$3999&lt;=may!M$3)*(lentry!$C$3:$C$3999&gt;=may!M$3)),lentry!$D$3:$D$3999),IF(WEEKDAY(may!M$3,1)=1,"WO","P"))</f>
        <v>P</v>
      </c>
      <c r="N41" s="4" t="str">
        <f>IFERROR(LOOKUP(2,1/((lentry!$A$3:$A$3999=may!$A41)*(lentry!$B$3:$B$3999&lt;=may!N$3)*(lentry!$C$3:$C$3999&gt;=may!N$3)),lentry!$D$3:$D$3999),IF(WEEKDAY(may!N$3,1)=1,"WO","P"))</f>
        <v>P</v>
      </c>
      <c r="O41" s="4" t="str">
        <f>IFERROR(LOOKUP(2,1/((lentry!$A$3:$A$3999=may!$A41)*(lentry!$B$3:$B$3999&lt;=may!O$3)*(lentry!$C$3:$C$3999&gt;=may!O$3)),lentry!$D$3:$D$3999),IF(WEEKDAY(may!O$3,1)=1,"WO","P"))</f>
        <v>WO</v>
      </c>
      <c r="P41" s="4" t="str">
        <f>IFERROR(LOOKUP(2,1/((lentry!$A$3:$A$3999=may!$A41)*(lentry!$B$3:$B$3999&lt;=may!P$3)*(lentry!$C$3:$C$3999&gt;=may!P$3)),lentry!$D$3:$D$3999),IF(WEEKDAY(may!P$3,1)=1,"WO","P"))</f>
        <v>P</v>
      </c>
      <c r="Q41" s="4" t="str">
        <f>IFERROR(LOOKUP(2,1/((lentry!$A$3:$A$3999=may!$A41)*(lentry!$B$3:$B$3999&lt;=may!Q$3)*(lentry!$C$3:$C$3999&gt;=may!Q$3)),lentry!$D$3:$D$3999),IF(WEEKDAY(may!Q$3,1)=1,"WO","P"))</f>
        <v>P</v>
      </c>
      <c r="R41" s="4" t="str">
        <f>IFERROR(LOOKUP(2,1/((lentry!$A$3:$A$3999=may!$A41)*(lentry!$B$3:$B$3999&lt;=may!R$3)*(lentry!$C$3:$C$3999&gt;=may!R$3)),lentry!$D$3:$D$3999),IF(WEEKDAY(may!R$3,1)=1,"WO","P"))</f>
        <v>P</v>
      </c>
      <c r="S41" s="4" t="str">
        <f>IFERROR(LOOKUP(2,1/((lentry!$A$3:$A$3999=may!$A41)*(lentry!$B$3:$B$3999&lt;=may!S$3)*(lentry!$C$3:$C$3999&gt;=may!S$3)),lentry!$D$3:$D$3999),IF(WEEKDAY(may!S$3,1)=1,"WO","P"))</f>
        <v>P</v>
      </c>
      <c r="T41" s="4" t="str">
        <f>IFERROR(LOOKUP(2,1/((lentry!$A$3:$A$3999=may!$A41)*(lentry!$B$3:$B$3999&lt;=may!T$3)*(lentry!$C$3:$C$3999&gt;=may!T$3)),lentry!$D$3:$D$3999),IF(WEEKDAY(may!T$3,1)=1,"WO","P"))</f>
        <v>P</v>
      </c>
      <c r="U41" s="4" t="str">
        <f>IFERROR(LOOKUP(2,1/((lentry!$A$3:$A$3999=may!$A41)*(lentry!$B$3:$B$3999&lt;=may!U$3)*(lentry!$C$3:$C$3999&gt;=may!U$3)),lentry!$D$3:$D$3999),IF(WEEKDAY(may!U$3,1)=1,"WO","P"))</f>
        <v>P</v>
      </c>
      <c r="V41" s="4" t="str">
        <f>IFERROR(LOOKUP(2,1/((lentry!$A$3:$A$3999=may!$A41)*(lentry!$B$3:$B$3999&lt;=may!V$3)*(lentry!$C$3:$C$3999&gt;=may!V$3)),lentry!$D$3:$D$3999),IF(WEEKDAY(may!V$3,1)=1,"WO","P"))</f>
        <v>WO</v>
      </c>
      <c r="W41" s="4" t="str">
        <f>IFERROR(LOOKUP(2,1/((lentry!$A$3:$A$3999=may!$A41)*(lentry!$B$3:$B$3999&lt;=may!W$3)*(lentry!$C$3:$C$3999&gt;=may!W$3)),lentry!$D$3:$D$3999),IF(WEEKDAY(may!W$3,1)=1,"WO","P"))</f>
        <v>P</v>
      </c>
      <c r="X41" s="4" t="str">
        <f>IFERROR(LOOKUP(2,1/((lentry!$A$3:$A$3999=may!$A41)*(lentry!$B$3:$B$3999&lt;=may!X$3)*(lentry!$C$3:$C$3999&gt;=may!X$3)),lentry!$D$3:$D$3999),IF(WEEKDAY(may!X$3,1)=1,"WO","P"))</f>
        <v>P</v>
      </c>
      <c r="Y41" s="4" t="str">
        <f>IFERROR(LOOKUP(2,1/((lentry!$A$3:$A$3999=may!$A41)*(lentry!$B$3:$B$3999&lt;=may!Y$3)*(lentry!$C$3:$C$3999&gt;=may!Y$3)),lentry!$D$3:$D$3999),IF(WEEKDAY(may!Y$3,1)=1,"WO","P"))</f>
        <v>P</v>
      </c>
      <c r="Z41" s="4" t="str">
        <f>IFERROR(LOOKUP(2,1/((lentry!$A$3:$A$3999=may!$A41)*(lentry!$B$3:$B$3999&lt;=may!Z$3)*(lentry!$C$3:$C$3999&gt;=may!Z$3)),lentry!$D$3:$D$3999),IF(WEEKDAY(may!Z$3,1)=1,"WO","P"))</f>
        <v>P</v>
      </c>
      <c r="AA41" s="4" t="str">
        <f>IFERROR(LOOKUP(2,1/((lentry!$A$3:$A$3999=may!$A41)*(lentry!$B$3:$B$3999&lt;=may!AA$3)*(lentry!$C$3:$C$3999&gt;=may!AA$3)),lentry!$D$3:$D$3999),IF(WEEKDAY(may!AA$3,1)=1,"WO","P"))</f>
        <v>P</v>
      </c>
      <c r="AB41" s="4" t="str">
        <f>IFERROR(LOOKUP(2,1/((lentry!$A$3:$A$3999=may!$A41)*(lentry!$B$3:$B$3999&lt;=may!AB$3)*(lentry!$C$3:$C$3999&gt;=may!AB$3)),lentry!$D$3:$D$3999),IF(WEEKDAY(may!AB$3,1)=1,"WO","P"))</f>
        <v>P</v>
      </c>
      <c r="AC41" s="4" t="str">
        <f>IFERROR(LOOKUP(2,1/((lentry!$A$3:$A$3999=may!$A41)*(lentry!$B$3:$B$3999&lt;=may!AC$3)*(lentry!$C$3:$C$3999&gt;=may!AC$3)),lentry!$D$3:$D$3999),IF(WEEKDAY(may!AC$3,1)=1,"WO","P"))</f>
        <v>WO</v>
      </c>
      <c r="AD41" s="4" t="str">
        <f>IFERROR(LOOKUP(2,1/((lentry!$A$3:$A$3999=may!$A41)*(lentry!$B$3:$B$3999&lt;=may!AD$3)*(lentry!$C$3:$C$3999&gt;=may!AD$3)),lentry!$D$3:$D$3999),IF(WEEKDAY(may!AD$3,1)=1,"WO","P"))</f>
        <v>P</v>
      </c>
      <c r="AE41" s="4" t="str">
        <f>IFERROR(LOOKUP(2,1/((lentry!$A$3:$A$3999=may!$A41)*(lentry!$B$3:$B$3999&lt;=may!AE$3)*(lentry!$C$3:$C$3999&gt;=may!AE$3)),lentry!$D$3:$D$3999),IF(WEEKDAY(may!AE$3,1)=1,"WO","P"))</f>
        <v>P</v>
      </c>
      <c r="AF41" s="4" t="s">
        <v>350</v>
      </c>
      <c r="AG41" s="4" t="str">
        <f>IFERROR(LOOKUP(2,1/((lentry!$A$3:$A$3999=may!$A41)*(lentry!$B$3:$B$3999&lt;=may!AG$3)*(lentry!$C$3:$C$3999&gt;=may!AG$3)),lentry!$D$3:$D$3999),IF(WEEKDAY(may!AG$3,1)=1,"WO","P"))</f>
        <v>P</v>
      </c>
      <c r="AH41" s="4" t="s">
        <v>539</v>
      </c>
      <c r="AI41" s="4" t="str">
        <f>IFERROR(LOOKUP(2,1/((lentry!$A$3:$A$3999=may!$A41)*(lentry!$B$3:$B$3999&lt;=may!AI$3)*(lentry!$C$3:$C$3999&gt;=may!AI$3)),lentry!$D$3:$D$3999),IF(WEEKDAY(may!AI$3,1)=1,"WO","P"))</f>
        <v>P</v>
      </c>
      <c r="AJ41" s="4" t="str">
        <f>IFERROR(LOOKUP(2,1/((lentry!$A$3:$A$3999=may!$A41)*(lentry!$B$3:$B$3999&lt;=may!AJ$3)*(lentry!$C$3:$C$3999&gt;=may!AJ$3)),lentry!$D$3:$D$3999),IF(WEEKDAY(may!AJ$3,1)=1,"WO","P"))</f>
        <v>WO</v>
      </c>
      <c r="AK41" s="4">
        <f>COUNTIF(may!$F41:$AJ41,"WO")</f>
        <v>5</v>
      </c>
      <c r="AL41" s="4">
        <f>COUNTIF(may!$F41:$AJ41,"H")</f>
        <v>2</v>
      </c>
      <c r="AM41" s="4">
        <f>COUNTIF(may!$F41:$AJ41,"PL")</f>
        <v>0</v>
      </c>
      <c r="AN41" s="4">
        <f>COUNTIF(may!$F41:$AJ41,"LWP")</f>
        <v>0</v>
      </c>
      <c r="AO41" s="4">
        <f>COUNTIF(may!$F41:$AJ41,"HD")</f>
        <v>0</v>
      </c>
      <c r="AP41" s="4">
        <f>COUNTIF(may!$F41:$AJ41,"SL")</f>
        <v>0</v>
      </c>
      <c r="AQ41" s="4">
        <f>COUNTIF(may!$F41:$AJ41,"CL")</f>
        <v>1</v>
      </c>
      <c r="AR41" s="4">
        <f>COUNTIF(may!$F41:$AJ41,"A")</f>
        <v>1</v>
      </c>
      <c r="AS41" s="4">
        <f>COUNTIF(may!$F41:$AJ41,"P")</f>
        <v>22</v>
      </c>
      <c r="AT41" s="4">
        <f t="shared" si="2"/>
        <v>31</v>
      </c>
      <c r="AU41" s="4">
        <f t="shared" si="3"/>
        <v>30</v>
      </c>
      <c r="AV41" s="4">
        <f>SUMIFS(holly!$L$2:$L$122,holly!$I$2:$I$122,mar!$A41,holly!$K$2:$K$122,"Mar")</f>
        <v>0</v>
      </c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</row>
    <row r="42" spans="1:80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">
        <v>350</v>
      </c>
      <c r="G42" s="4" t="str">
        <f>IFERROR(LOOKUP(2,1/((lentry!$A$3:$A$3999=may!$A42)*(lentry!$B$3:$B$3999&lt;=may!G$3)*(lentry!$C$3:$C$3999&gt;=may!G$3)),lentry!$D$3:$D$3999),IF(WEEKDAY(may!G$3,1)=1,"WO","P"))</f>
        <v>P</v>
      </c>
      <c r="H42" s="4" t="str">
        <f>IFERROR(LOOKUP(2,1/((lentry!$A$3:$A$3999=may!$A42)*(lentry!$B$3:$B$3999&lt;=may!H$3)*(lentry!$C$3:$C$3999&gt;=may!H$3)),lentry!$D$3:$D$3999),IF(WEEKDAY(may!H$3,1)=1,"WO","P"))</f>
        <v>WO</v>
      </c>
      <c r="I42" s="4" t="s">
        <v>539</v>
      </c>
      <c r="J42" s="4" t="str">
        <f>IFERROR(LOOKUP(2,1/((lentry!$A$3:$A$3999=may!$A42)*(lentry!$B$3:$B$3999&lt;=may!J$3)*(lentry!$C$3:$C$3999&gt;=may!J$3)),lentry!$D$3:$D$3999),IF(WEEKDAY(may!J$3,1)=1,"WO","P"))</f>
        <v>P</v>
      </c>
      <c r="K42" s="4" t="str">
        <f>IFERROR(LOOKUP(2,1/((lentry!$A$3:$A$3999=may!$A42)*(lentry!$B$3:$B$3999&lt;=may!K$3)*(lentry!$C$3:$C$3999&gt;=may!K$3)),lentry!$D$3:$D$3999),IF(WEEKDAY(may!K$3,1)=1,"WO","P"))</f>
        <v>P</v>
      </c>
      <c r="L42" s="4" t="str">
        <f>IFERROR(LOOKUP(2,1/((lentry!$A$3:$A$3999=may!$A42)*(lentry!$B$3:$B$3999&lt;=may!L$3)*(lentry!$C$3:$C$3999&gt;=may!L$3)),lentry!$D$3:$D$3999),IF(WEEKDAY(may!L$3,1)=1,"WO","P"))</f>
        <v>P</v>
      </c>
      <c r="M42" s="4" t="str">
        <f>IFERROR(LOOKUP(2,1/((lentry!$A$3:$A$3999=may!$A42)*(lentry!$B$3:$B$3999&lt;=may!M$3)*(lentry!$C$3:$C$3999&gt;=may!M$3)),lentry!$D$3:$D$3999),IF(WEEKDAY(may!M$3,1)=1,"WO","P"))</f>
        <v>P</v>
      </c>
      <c r="N42" s="4" t="str">
        <f>IFERROR(LOOKUP(2,1/((lentry!$A$3:$A$3999=may!$A42)*(lentry!$B$3:$B$3999&lt;=may!N$3)*(lentry!$C$3:$C$3999&gt;=may!N$3)),lentry!$D$3:$D$3999),IF(WEEKDAY(may!N$3,1)=1,"WO","P"))</f>
        <v>P</v>
      </c>
      <c r="O42" s="4" t="str">
        <f>IFERROR(LOOKUP(2,1/((lentry!$A$3:$A$3999=may!$A42)*(lentry!$B$3:$B$3999&lt;=may!O$3)*(lentry!$C$3:$C$3999&gt;=may!O$3)),lentry!$D$3:$D$3999),IF(WEEKDAY(may!O$3,1)=1,"WO","P"))</f>
        <v>WO</v>
      </c>
      <c r="P42" s="4" t="str">
        <f>IFERROR(LOOKUP(2,1/((lentry!$A$3:$A$3999=may!$A42)*(lentry!$B$3:$B$3999&lt;=may!P$3)*(lentry!$C$3:$C$3999&gt;=may!P$3)),lentry!$D$3:$D$3999),IF(WEEKDAY(may!P$3,1)=1,"WO","P"))</f>
        <v>P</v>
      </c>
      <c r="Q42" s="4" t="str">
        <f>IFERROR(LOOKUP(2,1/((lentry!$A$3:$A$3999=may!$A42)*(lentry!$B$3:$B$3999&lt;=may!Q$3)*(lentry!$C$3:$C$3999&gt;=may!Q$3)),lentry!$D$3:$D$3999),IF(WEEKDAY(may!Q$3,1)=1,"WO","P"))</f>
        <v>P</v>
      </c>
      <c r="R42" s="4" t="str">
        <f>IFERROR(LOOKUP(2,1/((lentry!$A$3:$A$3999=may!$A42)*(lentry!$B$3:$B$3999&lt;=may!R$3)*(lentry!$C$3:$C$3999&gt;=may!R$3)),lentry!$D$3:$D$3999),IF(WEEKDAY(may!R$3,1)=1,"WO","P"))</f>
        <v>P</v>
      </c>
      <c r="S42" s="4" t="str">
        <f>IFERROR(LOOKUP(2,1/((lentry!$A$3:$A$3999=may!$A42)*(lentry!$B$3:$B$3999&lt;=may!S$3)*(lentry!$C$3:$C$3999&gt;=may!S$3)),lentry!$D$3:$D$3999),IF(WEEKDAY(may!S$3,1)=1,"WO","P"))</f>
        <v>P</v>
      </c>
      <c r="T42" s="4" t="str">
        <f>IFERROR(LOOKUP(2,1/((lentry!$A$3:$A$3999=may!$A42)*(lentry!$B$3:$B$3999&lt;=may!T$3)*(lentry!$C$3:$C$3999&gt;=may!T$3)),lentry!$D$3:$D$3999),IF(WEEKDAY(may!T$3,1)=1,"WO","P"))</f>
        <v>P</v>
      </c>
      <c r="U42" s="4" t="str">
        <f>IFERROR(LOOKUP(2,1/((lentry!$A$3:$A$3999=may!$A42)*(lentry!$B$3:$B$3999&lt;=may!U$3)*(lentry!$C$3:$C$3999&gt;=may!U$3)),lentry!$D$3:$D$3999),IF(WEEKDAY(may!U$3,1)=1,"WO","P"))</f>
        <v>P</v>
      </c>
      <c r="V42" s="4" t="str">
        <f>IFERROR(LOOKUP(2,1/((lentry!$A$3:$A$3999=may!$A42)*(lentry!$B$3:$B$3999&lt;=may!V$3)*(lentry!$C$3:$C$3999&gt;=may!V$3)),lentry!$D$3:$D$3999),IF(WEEKDAY(may!V$3,1)=1,"WO","P"))</f>
        <v>WO</v>
      </c>
      <c r="W42" s="4" t="str">
        <f>IFERROR(LOOKUP(2,1/((lentry!$A$3:$A$3999=may!$A42)*(lentry!$B$3:$B$3999&lt;=may!W$3)*(lentry!$C$3:$C$3999&gt;=may!W$3)),lentry!$D$3:$D$3999),IF(WEEKDAY(may!W$3,1)=1,"WO","P"))</f>
        <v>P</v>
      </c>
      <c r="X42" s="4" t="str">
        <f>IFERROR(LOOKUP(2,1/((lentry!$A$3:$A$3999=may!$A42)*(lentry!$B$3:$B$3999&lt;=may!X$3)*(lentry!$C$3:$C$3999&gt;=may!X$3)),lentry!$D$3:$D$3999),IF(WEEKDAY(may!X$3,1)=1,"WO","P"))</f>
        <v>P</v>
      </c>
      <c r="Y42" s="4" t="str">
        <f>IFERROR(LOOKUP(2,1/((lentry!$A$3:$A$3999=may!$A42)*(lentry!$B$3:$B$3999&lt;=may!Y$3)*(lentry!$C$3:$C$3999&gt;=may!Y$3)),lentry!$D$3:$D$3999),IF(WEEKDAY(may!Y$3,1)=1,"WO","P"))</f>
        <v>P</v>
      </c>
      <c r="Z42" s="4" t="str">
        <f>IFERROR(LOOKUP(2,1/((lentry!$A$3:$A$3999=may!$A42)*(lentry!$B$3:$B$3999&lt;=may!Z$3)*(lentry!$C$3:$C$3999&gt;=may!Z$3)),lentry!$D$3:$D$3999),IF(WEEKDAY(may!Z$3,1)=1,"WO","P"))</f>
        <v>P</v>
      </c>
      <c r="AA42" s="4" t="str">
        <f>IFERROR(LOOKUP(2,1/((lentry!$A$3:$A$3999=may!$A42)*(lentry!$B$3:$B$3999&lt;=may!AA$3)*(lentry!$C$3:$C$3999&gt;=may!AA$3)),lentry!$D$3:$D$3999),IF(WEEKDAY(may!AA$3,1)=1,"WO","P"))</f>
        <v>P</v>
      </c>
      <c r="AB42" s="4" t="str">
        <f>IFERROR(LOOKUP(2,1/((lentry!$A$3:$A$3999=may!$A42)*(lentry!$B$3:$B$3999&lt;=may!AB$3)*(lentry!$C$3:$C$3999&gt;=may!AB$3)),lentry!$D$3:$D$3999),IF(WEEKDAY(may!AB$3,1)=1,"WO","P"))</f>
        <v>P</v>
      </c>
      <c r="AC42" s="4" t="str">
        <f>IFERROR(LOOKUP(2,1/((lentry!$A$3:$A$3999=may!$A42)*(lentry!$B$3:$B$3999&lt;=may!AC$3)*(lentry!$C$3:$C$3999&gt;=may!AC$3)),lentry!$D$3:$D$3999),IF(WEEKDAY(may!AC$3,1)=1,"WO","P"))</f>
        <v>WO</v>
      </c>
      <c r="AD42" s="4" t="str">
        <f>IFERROR(LOOKUP(2,1/((lentry!$A$3:$A$3999=may!$A42)*(lentry!$B$3:$B$3999&lt;=may!AD$3)*(lentry!$C$3:$C$3999&gt;=may!AD$3)),lentry!$D$3:$D$3999),IF(WEEKDAY(may!AD$3,1)=1,"WO","P"))</f>
        <v>P</v>
      </c>
      <c r="AE42" s="4" t="str">
        <f>IFERROR(LOOKUP(2,1/((lentry!$A$3:$A$3999=may!$A42)*(lentry!$B$3:$B$3999&lt;=may!AE$3)*(lentry!$C$3:$C$3999&gt;=may!AE$3)),lentry!$D$3:$D$3999),IF(WEEKDAY(may!AE$3,1)=1,"WO","P"))</f>
        <v>P</v>
      </c>
      <c r="AF42" s="4" t="s">
        <v>350</v>
      </c>
      <c r="AG42" s="4" t="str">
        <f>IFERROR(LOOKUP(2,1/((lentry!$A$3:$A$3999=may!$A42)*(lentry!$B$3:$B$3999&lt;=may!AG$3)*(lentry!$C$3:$C$3999&gt;=may!AG$3)),lentry!$D$3:$D$3999),IF(WEEKDAY(may!AG$3,1)=1,"WO","P"))</f>
        <v>P</v>
      </c>
      <c r="AH42" s="4" t="str">
        <f>IFERROR(LOOKUP(2,1/((lentry!$A$3:$A$3999=may!$A42)*(lentry!$B$3:$B$3999&lt;=may!AH$3)*(lentry!$C$3:$C$3999&gt;=may!AH$3)),lentry!$D$3:$D$3999),IF(WEEKDAY(may!AH$3,1)=1,"WO","P"))</f>
        <v>P</v>
      </c>
      <c r="AI42" s="4" t="str">
        <f>IFERROR(LOOKUP(2,1/((lentry!$A$3:$A$3999=may!$A42)*(lentry!$B$3:$B$3999&lt;=may!AI$3)*(lentry!$C$3:$C$3999&gt;=may!AI$3)),lentry!$D$3:$D$3999),IF(WEEKDAY(may!AI$3,1)=1,"WO","P"))</f>
        <v>P</v>
      </c>
      <c r="AJ42" s="4" t="str">
        <f>IFERROR(LOOKUP(2,1/((lentry!$A$3:$A$3999=may!$A42)*(lentry!$B$3:$B$3999&lt;=may!AJ$3)*(lentry!$C$3:$C$3999&gt;=may!AJ$3)),lentry!$D$3:$D$3999),IF(WEEKDAY(may!AJ$3,1)=1,"WO","P"))</f>
        <v>WO</v>
      </c>
      <c r="AK42" s="4">
        <f>COUNTIF(may!$F42:$AJ42,"WO")</f>
        <v>5</v>
      </c>
      <c r="AL42" s="4">
        <f>COUNTIF(may!$F42:$AJ42,"H")</f>
        <v>2</v>
      </c>
      <c r="AM42" s="4">
        <f>COUNTIF(may!$F42:$AJ42,"PL")</f>
        <v>0</v>
      </c>
      <c r="AN42" s="4">
        <f>COUNTIF(may!$F42:$AJ42,"LWP")</f>
        <v>0</v>
      </c>
      <c r="AO42" s="4">
        <f>COUNTIF(may!$F42:$AJ42,"HD")</f>
        <v>0</v>
      </c>
      <c r="AP42" s="4">
        <f>COUNTIF(may!$F42:$AJ42,"SL")</f>
        <v>0</v>
      </c>
      <c r="AQ42" s="4">
        <f>COUNTIF(may!$F42:$AJ42,"CL")</f>
        <v>0</v>
      </c>
      <c r="AR42" s="4">
        <f>COUNTIF(may!$F42:$AJ42,"A")</f>
        <v>1</v>
      </c>
      <c r="AS42" s="4">
        <f>COUNTIF(may!$F42:$AJ42,"P")</f>
        <v>23</v>
      </c>
      <c r="AT42" s="4">
        <f t="shared" si="2"/>
        <v>31</v>
      </c>
      <c r="AU42" s="4">
        <f t="shared" si="3"/>
        <v>30</v>
      </c>
      <c r="AV42" s="4">
        <f>SUMIFS(holly!$L$2:$L$122,holly!$I$2:$I$122,mar!$A42,holly!$K$2:$K$122,"Mar")</f>
        <v>2</v>
      </c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</row>
    <row r="43" spans="1:80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">
        <v>350</v>
      </c>
      <c r="G43" s="4" t="str">
        <f>IFERROR(LOOKUP(2,1/((lentry!$A$3:$A$3999=may!$A43)*(lentry!$B$3:$B$3999&lt;=may!G$3)*(lentry!$C$3:$C$3999&gt;=may!G$3)),lentry!$D$3:$D$3999),IF(WEEKDAY(may!G$3,1)=1,"WO","P"))</f>
        <v>P</v>
      </c>
      <c r="H43" s="4" t="str">
        <f>IFERROR(LOOKUP(2,1/((lentry!$A$3:$A$3999=may!$A43)*(lentry!$B$3:$B$3999&lt;=may!H$3)*(lentry!$C$3:$C$3999&gt;=may!H$3)),lentry!$D$3:$D$3999),IF(WEEKDAY(may!H$3,1)=1,"WO","P"))</f>
        <v>WO</v>
      </c>
      <c r="I43" s="4" t="str">
        <f>IFERROR(LOOKUP(2,1/((lentry!$A$3:$A$3999=may!$A43)*(lentry!$B$3:$B$3999&lt;=may!I$3)*(lentry!$C$3:$C$3999&gt;=may!I$3)),lentry!$D$3:$D$3999),IF(WEEKDAY(may!I$3,1)=1,"WO","P"))</f>
        <v>P</v>
      </c>
      <c r="J43" s="4" t="str">
        <f>IFERROR(LOOKUP(2,1/((lentry!$A$3:$A$3999=may!$A43)*(lentry!$B$3:$B$3999&lt;=may!J$3)*(lentry!$C$3:$C$3999&gt;=may!J$3)),lentry!$D$3:$D$3999),IF(WEEKDAY(may!J$3,1)=1,"WO","P"))</f>
        <v>P</v>
      </c>
      <c r="K43" s="4" t="str">
        <f>IFERROR(LOOKUP(2,1/((lentry!$A$3:$A$3999=may!$A43)*(lentry!$B$3:$B$3999&lt;=may!K$3)*(lentry!$C$3:$C$3999&gt;=may!K$3)),lentry!$D$3:$D$3999),IF(WEEKDAY(may!K$3,1)=1,"WO","P"))</f>
        <v>P</v>
      </c>
      <c r="L43" s="4" t="str">
        <f>IFERROR(LOOKUP(2,1/((lentry!$A$3:$A$3999=may!$A43)*(lentry!$B$3:$B$3999&lt;=may!L$3)*(lentry!$C$3:$C$3999&gt;=may!L$3)),lentry!$D$3:$D$3999),IF(WEEKDAY(may!L$3,1)=1,"WO","P"))</f>
        <v>P</v>
      </c>
      <c r="M43" s="4" t="str">
        <f>IFERROR(LOOKUP(2,1/((lentry!$A$3:$A$3999=may!$A43)*(lentry!$B$3:$B$3999&lt;=may!M$3)*(lentry!$C$3:$C$3999&gt;=may!M$3)),lentry!$D$3:$D$3999),IF(WEEKDAY(may!M$3,1)=1,"WO","P"))</f>
        <v>P</v>
      </c>
      <c r="N43" s="4" t="str">
        <f>IFERROR(LOOKUP(2,1/((lentry!$A$3:$A$3999=may!$A43)*(lentry!$B$3:$B$3999&lt;=may!N$3)*(lentry!$C$3:$C$3999&gt;=may!N$3)),lentry!$D$3:$D$3999),IF(WEEKDAY(may!N$3,1)=1,"WO","P"))</f>
        <v>P</v>
      </c>
      <c r="O43" s="4" t="str">
        <f>IFERROR(LOOKUP(2,1/((lentry!$A$3:$A$3999=may!$A43)*(lentry!$B$3:$B$3999&lt;=may!O$3)*(lentry!$C$3:$C$3999&gt;=may!O$3)),lentry!$D$3:$D$3999),IF(WEEKDAY(may!O$3,1)=1,"WO","P"))</f>
        <v>WO</v>
      </c>
      <c r="P43" s="4" t="str">
        <f>IFERROR(LOOKUP(2,1/((lentry!$A$3:$A$3999=may!$A43)*(lentry!$B$3:$B$3999&lt;=may!P$3)*(lentry!$C$3:$C$3999&gt;=may!P$3)),lentry!$D$3:$D$3999),IF(WEEKDAY(may!P$3,1)=1,"WO","P"))</f>
        <v>P</v>
      </c>
      <c r="Q43" s="4" t="str">
        <f>IFERROR(LOOKUP(2,1/((lentry!$A$3:$A$3999=may!$A43)*(lentry!$B$3:$B$3999&lt;=may!Q$3)*(lentry!$C$3:$C$3999&gt;=may!Q$3)),lentry!$D$3:$D$3999),IF(WEEKDAY(may!Q$3,1)=1,"WO","P"))</f>
        <v>P</v>
      </c>
      <c r="R43" s="4" t="str">
        <f>IFERROR(LOOKUP(2,1/((lentry!$A$3:$A$3999=may!$A43)*(lentry!$B$3:$B$3999&lt;=may!R$3)*(lentry!$C$3:$C$3999&gt;=may!R$3)),lentry!$D$3:$D$3999),IF(WEEKDAY(may!R$3,1)=1,"WO","P"))</f>
        <v>P</v>
      </c>
      <c r="S43" s="4" t="str">
        <f>IFERROR(LOOKUP(2,1/((lentry!$A$3:$A$3999=may!$A43)*(lentry!$B$3:$B$3999&lt;=may!S$3)*(lentry!$C$3:$C$3999&gt;=may!S$3)),lentry!$D$3:$D$3999),IF(WEEKDAY(may!S$3,1)=1,"WO","P"))</f>
        <v>P</v>
      </c>
      <c r="T43" s="4" t="s">
        <v>539</v>
      </c>
      <c r="U43" s="4" t="str">
        <f>IFERROR(LOOKUP(2,1/((lentry!$A$3:$A$3999=may!$A43)*(lentry!$B$3:$B$3999&lt;=may!U$3)*(lentry!$C$3:$C$3999&gt;=may!U$3)),lentry!$D$3:$D$3999),IF(WEEKDAY(may!U$3,1)=1,"WO","P"))</f>
        <v>P</v>
      </c>
      <c r="V43" s="4" t="str">
        <f>IFERROR(LOOKUP(2,1/((lentry!$A$3:$A$3999=may!$A43)*(lentry!$B$3:$B$3999&lt;=may!V$3)*(lentry!$C$3:$C$3999&gt;=may!V$3)),lentry!$D$3:$D$3999),IF(WEEKDAY(may!V$3,1)=1,"WO","P"))</f>
        <v>WO</v>
      </c>
      <c r="W43" s="4" t="str">
        <f>IFERROR(LOOKUP(2,1/((lentry!$A$3:$A$3999=may!$A43)*(lentry!$B$3:$B$3999&lt;=may!W$3)*(lentry!$C$3:$C$3999&gt;=may!W$3)),lentry!$D$3:$D$3999),IF(WEEKDAY(may!W$3,1)=1,"WO","P"))</f>
        <v>P</v>
      </c>
      <c r="X43" s="4" t="str">
        <f>IFERROR(LOOKUP(2,1/((lentry!$A$3:$A$3999=may!$A43)*(lentry!$B$3:$B$3999&lt;=may!X$3)*(lentry!$C$3:$C$3999&gt;=may!X$3)),lentry!$D$3:$D$3999),IF(WEEKDAY(may!X$3,1)=1,"WO","P"))</f>
        <v>P</v>
      </c>
      <c r="Y43" s="4" t="str">
        <f>IFERROR(LOOKUP(2,1/((lentry!$A$3:$A$3999=may!$A43)*(lentry!$B$3:$B$3999&lt;=may!Y$3)*(lentry!$C$3:$C$3999&gt;=may!Y$3)),lentry!$D$3:$D$3999),IF(WEEKDAY(may!Y$3,1)=1,"WO","P"))</f>
        <v>P</v>
      </c>
      <c r="Z43" s="4" t="str">
        <f>IFERROR(LOOKUP(2,1/((lentry!$A$3:$A$3999=may!$A43)*(lentry!$B$3:$B$3999&lt;=may!Z$3)*(lentry!$C$3:$C$3999&gt;=may!Z$3)),lentry!$D$3:$D$3999),IF(WEEKDAY(may!Z$3,1)=1,"WO","P"))</f>
        <v>P</v>
      </c>
      <c r="AA43" s="4" t="str">
        <f>IFERROR(LOOKUP(2,1/((lentry!$A$3:$A$3999=may!$A43)*(lentry!$B$3:$B$3999&lt;=may!AA$3)*(lentry!$C$3:$C$3999&gt;=may!AA$3)),lentry!$D$3:$D$3999),IF(WEEKDAY(may!AA$3,1)=1,"WO","P"))</f>
        <v>P</v>
      </c>
      <c r="AB43" s="4" t="str">
        <f>IFERROR(LOOKUP(2,1/((lentry!$A$3:$A$3999=may!$A43)*(lentry!$B$3:$B$3999&lt;=may!AB$3)*(lentry!$C$3:$C$3999&gt;=may!AB$3)),lentry!$D$3:$D$3999),IF(WEEKDAY(may!AB$3,1)=1,"WO","P"))</f>
        <v>P</v>
      </c>
      <c r="AC43" s="4" t="str">
        <f>IFERROR(LOOKUP(2,1/((lentry!$A$3:$A$3999=may!$A43)*(lentry!$B$3:$B$3999&lt;=may!AC$3)*(lentry!$C$3:$C$3999&gt;=may!AC$3)),lentry!$D$3:$D$3999),IF(WEEKDAY(may!AC$3,1)=1,"WO","P"))</f>
        <v>WO</v>
      </c>
      <c r="AD43" s="4" t="str">
        <f>IFERROR(LOOKUP(2,1/((lentry!$A$3:$A$3999=may!$A43)*(lentry!$B$3:$B$3999&lt;=may!AD$3)*(lentry!$C$3:$C$3999&gt;=may!AD$3)),lentry!$D$3:$D$3999),IF(WEEKDAY(may!AD$3,1)=1,"WO","P"))</f>
        <v>P</v>
      </c>
      <c r="AE43" s="4" t="str">
        <f>IFERROR(LOOKUP(2,1/((lentry!$A$3:$A$3999=may!$A43)*(lentry!$B$3:$B$3999&lt;=may!AE$3)*(lentry!$C$3:$C$3999&gt;=may!AE$3)),lentry!$D$3:$D$3999),IF(WEEKDAY(may!AE$3,1)=1,"WO","P"))</f>
        <v>P</v>
      </c>
      <c r="AF43" s="4" t="s">
        <v>350</v>
      </c>
      <c r="AG43" s="4" t="str">
        <f>IFERROR(LOOKUP(2,1/((lentry!$A$3:$A$3999=may!$A43)*(lentry!$B$3:$B$3999&lt;=may!AG$3)*(lentry!$C$3:$C$3999&gt;=may!AG$3)),lentry!$D$3:$D$3999),IF(WEEKDAY(may!AG$3,1)=1,"WO","P"))</f>
        <v>P</v>
      </c>
      <c r="AH43" s="4" t="str">
        <f>IFERROR(LOOKUP(2,1/((lentry!$A$3:$A$3999=may!$A43)*(lentry!$B$3:$B$3999&lt;=may!AH$3)*(lentry!$C$3:$C$3999&gt;=may!AH$3)),lentry!$D$3:$D$3999),IF(WEEKDAY(may!AH$3,1)=1,"WO","P"))</f>
        <v>P</v>
      </c>
      <c r="AI43" s="4" t="str">
        <f>IFERROR(LOOKUP(2,1/((lentry!$A$3:$A$3999=may!$A43)*(lentry!$B$3:$B$3999&lt;=may!AI$3)*(lentry!$C$3:$C$3999&gt;=may!AI$3)),lentry!$D$3:$D$3999),IF(WEEKDAY(may!AI$3,1)=1,"WO","P"))</f>
        <v>P</v>
      </c>
      <c r="AJ43" s="4" t="str">
        <f>IFERROR(LOOKUP(2,1/((lentry!$A$3:$A$3999=may!$A43)*(lentry!$B$3:$B$3999&lt;=may!AJ$3)*(lentry!$C$3:$C$3999&gt;=may!AJ$3)),lentry!$D$3:$D$3999),IF(WEEKDAY(may!AJ$3,1)=1,"WO","P"))</f>
        <v>WO</v>
      </c>
      <c r="AK43" s="4">
        <f>COUNTIF(may!$F43:$AJ43,"WO")</f>
        <v>5</v>
      </c>
      <c r="AL43" s="4">
        <f>COUNTIF(may!$F43:$AJ43,"H")</f>
        <v>2</v>
      </c>
      <c r="AM43" s="4">
        <f>COUNTIF(may!$F43:$AJ43,"PL")</f>
        <v>0</v>
      </c>
      <c r="AN43" s="4">
        <f>COUNTIF(may!$F43:$AJ43,"LWP")</f>
        <v>0</v>
      </c>
      <c r="AO43" s="4">
        <f>COUNTIF(may!$F43:$AJ43,"HD")</f>
        <v>0</v>
      </c>
      <c r="AP43" s="4">
        <f>COUNTIF(may!$F43:$AJ43,"SL")</f>
        <v>0</v>
      </c>
      <c r="AQ43" s="4">
        <f>COUNTIF(may!$F43:$AJ43,"CL")</f>
        <v>0</v>
      </c>
      <c r="AR43" s="4">
        <f>COUNTIF(may!$F43:$AJ43,"A")</f>
        <v>1</v>
      </c>
      <c r="AS43" s="4">
        <f>COUNTIF(may!$F43:$AJ43,"P")</f>
        <v>23</v>
      </c>
      <c r="AT43" s="4">
        <f t="shared" si="2"/>
        <v>31</v>
      </c>
      <c r="AU43" s="4">
        <f t="shared" si="3"/>
        <v>30</v>
      </c>
      <c r="AV43" s="4">
        <f>SUMIFS(holly!$L$2:$L$122,holly!$I$2:$I$122,mar!$A43,holly!$K$2:$K$122,"Mar")</f>
        <v>0</v>
      </c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</row>
    <row r="44" spans="1:80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">
        <v>350</v>
      </c>
      <c r="G44" s="4" t="str">
        <f>IFERROR(LOOKUP(2,1/((lentry!$A$3:$A$3999=may!$A44)*(lentry!$B$3:$B$3999&lt;=may!G$3)*(lentry!$C$3:$C$3999&gt;=may!G$3)),lentry!$D$3:$D$3999),IF(WEEKDAY(may!G$3,1)=1,"WO","P"))</f>
        <v>P</v>
      </c>
      <c r="H44" s="4" t="str">
        <f>IFERROR(LOOKUP(2,1/((lentry!$A$3:$A$3999=may!$A44)*(lentry!$B$3:$B$3999&lt;=may!H$3)*(lentry!$C$3:$C$3999&gt;=may!H$3)),lentry!$D$3:$D$3999),IF(WEEKDAY(may!H$3,1)=1,"WO","P"))</f>
        <v>WO</v>
      </c>
      <c r="I44" s="4" t="str">
        <f>IFERROR(LOOKUP(2,1/((lentry!$A$3:$A$3999=may!$A44)*(lentry!$B$3:$B$3999&lt;=may!I$3)*(lentry!$C$3:$C$3999&gt;=may!I$3)),lentry!$D$3:$D$3999),IF(WEEKDAY(may!I$3,1)=1,"WO","P"))</f>
        <v>P</v>
      </c>
      <c r="J44" s="4" t="str">
        <f>IFERROR(LOOKUP(2,1/((lentry!$A$3:$A$3999=may!$A44)*(lentry!$B$3:$B$3999&lt;=may!J$3)*(lentry!$C$3:$C$3999&gt;=may!J$3)),lentry!$D$3:$D$3999),IF(WEEKDAY(may!J$3,1)=1,"WO","P"))</f>
        <v>P</v>
      </c>
      <c r="K44" s="4" t="str">
        <f>IFERROR(LOOKUP(2,1/((lentry!$A$3:$A$3999=may!$A44)*(lentry!$B$3:$B$3999&lt;=may!K$3)*(lentry!$C$3:$C$3999&gt;=may!K$3)),lentry!$D$3:$D$3999),IF(WEEKDAY(may!K$3,1)=1,"WO","P"))</f>
        <v>P</v>
      </c>
      <c r="L44" s="4" t="str">
        <f>IFERROR(LOOKUP(2,1/((lentry!$A$3:$A$3999=may!$A44)*(lentry!$B$3:$B$3999&lt;=may!L$3)*(lentry!$C$3:$C$3999&gt;=may!L$3)),lentry!$D$3:$D$3999),IF(WEEKDAY(may!L$3,1)=1,"WO","P"))</f>
        <v>P</v>
      </c>
      <c r="M44" s="4" t="str">
        <f>IFERROR(LOOKUP(2,1/((lentry!$A$3:$A$3999=may!$A44)*(lentry!$B$3:$B$3999&lt;=may!M$3)*(lentry!$C$3:$C$3999&gt;=may!M$3)),lentry!$D$3:$D$3999),IF(WEEKDAY(may!M$3,1)=1,"WO","P"))</f>
        <v>P</v>
      </c>
      <c r="N44" s="4" t="str">
        <f>IFERROR(LOOKUP(2,1/((lentry!$A$3:$A$3999=may!$A44)*(lentry!$B$3:$B$3999&lt;=may!N$3)*(lentry!$C$3:$C$3999&gt;=may!N$3)),lentry!$D$3:$D$3999),IF(WEEKDAY(may!N$3,1)=1,"WO","P"))</f>
        <v>P</v>
      </c>
      <c r="O44" s="4" t="str">
        <f>IFERROR(LOOKUP(2,1/((lentry!$A$3:$A$3999=may!$A44)*(lentry!$B$3:$B$3999&lt;=may!O$3)*(lentry!$C$3:$C$3999&gt;=may!O$3)),lentry!$D$3:$D$3999),IF(WEEKDAY(may!O$3,1)=1,"WO","P"))</f>
        <v>WO</v>
      </c>
      <c r="P44" s="4" t="str">
        <f>IFERROR(LOOKUP(2,1/((lentry!$A$3:$A$3999=may!$A44)*(lentry!$B$3:$B$3999&lt;=may!P$3)*(lentry!$C$3:$C$3999&gt;=may!P$3)),lentry!$D$3:$D$3999),IF(WEEKDAY(may!P$3,1)=1,"WO","P"))</f>
        <v>P</v>
      </c>
      <c r="Q44" s="4" t="str">
        <f>IFERROR(LOOKUP(2,1/((lentry!$A$3:$A$3999=may!$A44)*(lentry!$B$3:$B$3999&lt;=may!Q$3)*(lentry!$C$3:$C$3999&gt;=may!Q$3)),lentry!$D$3:$D$3999),IF(WEEKDAY(may!Q$3,1)=1,"WO","P"))</f>
        <v>P</v>
      </c>
      <c r="R44" s="4" t="str">
        <f>IFERROR(LOOKUP(2,1/((lentry!$A$3:$A$3999=may!$A44)*(lentry!$B$3:$B$3999&lt;=may!R$3)*(lentry!$C$3:$C$3999&gt;=may!R$3)),lentry!$D$3:$D$3999),IF(WEEKDAY(may!R$3,1)=1,"WO","P"))</f>
        <v>P</v>
      </c>
      <c r="S44" s="4" t="str">
        <f>IFERROR(LOOKUP(2,1/((lentry!$A$3:$A$3999=may!$A44)*(lentry!$B$3:$B$3999&lt;=may!S$3)*(lentry!$C$3:$C$3999&gt;=may!S$3)),lentry!$D$3:$D$3999),IF(WEEKDAY(may!S$3,1)=1,"WO","P"))</f>
        <v>P</v>
      </c>
      <c r="T44" s="4" t="str">
        <f>IFERROR(LOOKUP(2,1/((lentry!$A$3:$A$3999=may!$A44)*(lentry!$B$3:$B$3999&lt;=may!T$3)*(lentry!$C$3:$C$3999&gt;=may!T$3)),lentry!$D$3:$D$3999),IF(WEEKDAY(may!T$3,1)=1,"WO","P"))</f>
        <v>P</v>
      </c>
      <c r="U44" s="4" t="str">
        <f>IFERROR(LOOKUP(2,1/((lentry!$A$3:$A$3999=may!$A44)*(lentry!$B$3:$B$3999&lt;=may!U$3)*(lentry!$C$3:$C$3999&gt;=may!U$3)),lentry!$D$3:$D$3999),IF(WEEKDAY(may!U$3,1)=1,"WO","P"))</f>
        <v>P</v>
      </c>
      <c r="V44" s="4" t="str">
        <f>IFERROR(LOOKUP(2,1/((lentry!$A$3:$A$3999=may!$A44)*(lentry!$B$3:$B$3999&lt;=may!V$3)*(lentry!$C$3:$C$3999&gt;=may!V$3)),lentry!$D$3:$D$3999),IF(WEEKDAY(may!V$3,1)=1,"WO","P"))</f>
        <v>WO</v>
      </c>
      <c r="W44" s="4" t="s">
        <v>539</v>
      </c>
      <c r="X44" s="4" t="str">
        <f>IFERROR(LOOKUP(2,1/((lentry!$A$3:$A$3999=may!$A44)*(lentry!$B$3:$B$3999&lt;=may!X$3)*(lentry!$C$3:$C$3999&gt;=may!X$3)),lentry!$D$3:$D$3999),IF(WEEKDAY(may!X$3,1)=1,"WO","P"))</f>
        <v>P</v>
      </c>
      <c r="Y44" s="4" t="str">
        <f>IFERROR(LOOKUP(2,1/((lentry!$A$3:$A$3999=may!$A44)*(lentry!$B$3:$B$3999&lt;=may!Y$3)*(lentry!$C$3:$C$3999&gt;=may!Y$3)),lentry!$D$3:$D$3999),IF(WEEKDAY(may!Y$3,1)=1,"WO","P"))</f>
        <v>P</v>
      </c>
      <c r="Z44" s="4" t="str">
        <f>IFERROR(LOOKUP(2,1/((lentry!$A$3:$A$3999=may!$A44)*(lentry!$B$3:$B$3999&lt;=may!Z$3)*(lentry!$C$3:$C$3999&gt;=may!Z$3)),lentry!$D$3:$D$3999),IF(WEEKDAY(may!Z$3,1)=1,"WO","P"))</f>
        <v>P</v>
      </c>
      <c r="AA44" s="4" t="str">
        <f>IFERROR(LOOKUP(2,1/((lentry!$A$3:$A$3999=may!$A44)*(lentry!$B$3:$B$3999&lt;=may!AA$3)*(lentry!$C$3:$C$3999&gt;=may!AA$3)),lentry!$D$3:$D$3999),IF(WEEKDAY(may!AA$3,1)=1,"WO","P"))</f>
        <v>P</v>
      </c>
      <c r="AB44" s="4" t="str">
        <f>IFERROR(LOOKUP(2,1/((lentry!$A$3:$A$3999=may!$A44)*(lentry!$B$3:$B$3999&lt;=may!AB$3)*(lentry!$C$3:$C$3999&gt;=may!AB$3)),lentry!$D$3:$D$3999),IF(WEEKDAY(may!AB$3,1)=1,"WO","P"))</f>
        <v>P</v>
      </c>
      <c r="AC44" s="4" t="str">
        <f>IFERROR(LOOKUP(2,1/((lentry!$A$3:$A$3999=may!$A44)*(lentry!$B$3:$B$3999&lt;=may!AC$3)*(lentry!$C$3:$C$3999&gt;=may!AC$3)),lentry!$D$3:$D$3999),IF(WEEKDAY(may!AC$3,1)=1,"WO","P"))</f>
        <v>WO</v>
      </c>
      <c r="AD44" s="4" t="str">
        <f>IFERROR(LOOKUP(2,1/((lentry!$A$3:$A$3999=may!$A44)*(lentry!$B$3:$B$3999&lt;=may!AD$3)*(lentry!$C$3:$C$3999&gt;=may!AD$3)),lentry!$D$3:$D$3999),IF(WEEKDAY(may!AD$3,1)=1,"WO","P"))</f>
        <v>P</v>
      </c>
      <c r="AE44" s="4" t="str">
        <f>IFERROR(LOOKUP(2,1/((lentry!$A$3:$A$3999=may!$A44)*(lentry!$B$3:$B$3999&lt;=may!AE$3)*(lentry!$C$3:$C$3999&gt;=may!AE$3)),lentry!$D$3:$D$3999),IF(WEEKDAY(may!AE$3,1)=1,"WO","P"))</f>
        <v>P</v>
      </c>
      <c r="AF44" s="4" t="s">
        <v>350</v>
      </c>
      <c r="AG44" s="4" t="str">
        <f>IFERROR(LOOKUP(2,1/((lentry!$A$3:$A$3999=may!$A44)*(lentry!$B$3:$B$3999&lt;=may!AG$3)*(lentry!$C$3:$C$3999&gt;=may!AG$3)),lentry!$D$3:$D$3999),IF(WEEKDAY(may!AG$3,1)=1,"WO","P"))</f>
        <v>P</v>
      </c>
      <c r="AH44" s="4" t="str">
        <f>IFERROR(LOOKUP(2,1/((lentry!$A$3:$A$3999=may!$A44)*(lentry!$B$3:$B$3999&lt;=may!AH$3)*(lentry!$C$3:$C$3999&gt;=may!AH$3)),lentry!$D$3:$D$3999),IF(WEEKDAY(may!AH$3,1)=1,"WO","P"))</f>
        <v>P</v>
      </c>
      <c r="AI44" s="4" t="str">
        <f>IFERROR(LOOKUP(2,1/((lentry!$A$3:$A$3999=may!$A44)*(lentry!$B$3:$B$3999&lt;=may!AI$3)*(lentry!$C$3:$C$3999&gt;=may!AI$3)),lentry!$D$3:$D$3999),IF(WEEKDAY(may!AI$3,1)=1,"WO","P"))</f>
        <v>P</v>
      </c>
      <c r="AJ44" s="4" t="str">
        <f>IFERROR(LOOKUP(2,1/((lentry!$A$3:$A$3999=may!$A44)*(lentry!$B$3:$B$3999&lt;=may!AJ$3)*(lentry!$C$3:$C$3999&gt;=may!AJ$3)),lentry!$D$3:$D$3999),IF(WEEKDAY(may!AJ$3,1)=1,"WO","P"))</f>
        <v>WO</v>
      </c>
      <c r="AK44" s="4">
        <f>COUNTIF(may!$F44:$AJ44,"WO")</f>
        <v>5</v>
      </c>
      <c r="AL44" s="4">
        <f>COUNTIF(may!$F44:$AJ44,"H")</f>
        <v>2</v>
      </c>
      <c r="AM44" s="4">
        <f>COUNTIF(may!$F44:$AJ44,"PL")</f>
        <v>0</v>
      </c>
      <c r="AN44" s="4">
        <f>COUNTIF(may!$F44:$AJ44,"LWP")</f>
        <v>0</v>
      </c>
      <c r="AO44" s="4">
        <f>COUNTIF(may!$F44:$AJ44,"HD")</f>
        <v>0</v>
      </c>
      <c r="AP44" s="4">
        <f>COUNTIF(may!$F44:$AJ44,"SL")</f>
        <v>0</v>
      </c>
      <c r="AQ44" s="4">
        <f>COUNTIF(may!$F44:$AJ44,"CL")</f>
        <v>0</v>
      </c>
      <c r="AR44" s="4">
        <f>COUNTIF(may!$F44:$AJ44,"A")</f>
        <v>1</v>
      </c>
      <c r="AS44" s="4">
        <f>COUNTIF(may!$F44:$AJ44,"P")</f>
        <v>23</v>
      </c>
      <c r="AT44" s="4">
        <f t="shared" si="2"/>
        <v>31</v>
      </c>
      <c r="AU44" s="4">
        <f t="shared" si="3"/>
        <v>30</v>
      </c>
      <c r="AV44" s="4">
        <f>SUMIFS(holly!$L$2:$L$122,holly!$I$2:$I$122,mar!$A44,holly!$K$2:$K$122,"Mar")</f>
        <v>0</v>
      </c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</row>
    <row r="45" spans="1:80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">
        <v>350</v>
      </c>
      <c r="G45" s="4" t="str">
        <f>IFERROR(LOOKUP(2,1/((lentry!$A$3:$A$3999=may!$A45)*(lentry!$B$3:$B$3999&lt;=may!G$3)*(lentry!$C$3:$C$3999&gt;=may!G$3)),lentry!$D$3:$D$3999),IF(WEEKDAY(may!G$3,1)=1,"WO","P"))</f>
        <v>P</v>
      </c>
      <c r="H45" s="4" t="str">
        <f>IFERROR(LOOKUP(2,1/((lentry!$A$3:$A$3999=may!$A45)*(lentry!$B$3:$B$3999&lt;=may!H$3)*(lentry!$C$3:$C$3999&gt;=may!H$3)),lentry!$D$3:$D$3999),IF(WEEKDAY(may!H$3,1)=1,"WO","P"))</f>
        <v>WO</v>
      </c>
      <c r="I45" s="4" t="str">
        <f>IFERROR(LOOKUP(2,1/((lentry!$A$3:$A$3999=may!$A45)*(lentry!$B$3:$B$3999&lt;=may!I$3)*(lentry!$C$3:$C$3999&gt;=may!I$3)),lentry!$D$3:$D$3999),IF(WEEKDAY(may!I$3,1)=1,"WO","P"))</f>
        <v>P</v>
      </c>
      <c r="J45" s="4" t="str">
        <f>IFERROR(LOOKUP(2,1/((lentry!$A$3:$A$3999=may!$A45)*(lentry!$B$3:$B$3999&lt;=may!J$3)*(lentry!$C$3:$C$3999&gt;=may!J$3)),lentry!$D$3:$D$3999),IF(WEEKDAY(may!J$3,1)=1,"WO","P"))</f>
        <v>P</v>
      </c>
      <c r="K45" s="4" t="str">
        <f>IFERROR(LOOKUP(2,1/((lentry!$A$3:$A$3999=may!$A45)*(lentry!$B$3:$B$3999&lt;=may!K$3)*(lentry!$C$3:$C$3999&gt;=may!K$3)),lentry!$D$3:$D$3999),IF(WEEKDAY(may!K$3,1)=1,"WO","P"))</f>
        <v>P</v>
      </c>
      <c r="L45" s="4" t="str">
        <f>IFERROR(LOOKUP(2,1/((lentry!$A$3:$A$3999=may!$A45)*(lentry!$B$3:$B$3999&lt;=may!L$3)*(lentry!$C$3:$C$3999&gt;=may!L$3)),lentry!$D$3:$D$3999),IF(WEEKDAY(may!L$3,1)=1,"WO","P"))</f>
        <v>P</v>
      </c>
      <c r="M45" s="4" t="str">
        <f>IFERROR(LOOKUP(2,1/((lentry!$A$3:$A$3999=may!$A45)*(lentry!$B$3:$B$3999&lt;=may!M$3)*(lentry!$C$3:$C$3999&gt;=may!M$3)),lentry!$D$3:$D$3999),IF(WEEKDAY(may!M$3,1)=1,"WO","P"))</f>
        <v>P</v>
      </c>
      <c r="N45" s="4" t="str">
        <f>IFERROR(LOOKUP(2,1/((lentry!$A$3:$A$3999=may!$A45)*(lentry!$B$3:$B$3999&lt;=may!N$3)*(lentry!$C$3:$C$3999&gt;=may!N$3)),lentry!$D$3:$D$3999),IF(WEEKDAY(may!N$3,1)=1,"WO","P"))</f>
        <v>P</v>
      </c>
      <c r="O45" s="4" t="str">
        <f>IFERROR(LOOKUP(2,1/((lentry!$A$3:$A$3999=may!$A45)*(lentry!$B$3:$B$3999&lt;=may!O$3)*(lentry!$C$3:$C$3999&gt;=may!O$3)),lentry!$D$3:$D$3999),IF(WEEKDAY(may!O$3,1)=1,"WO","P"))</f>
        <v>WO</v>
      </c>
      <c r="P45" s="4" t="str">
        <f>IFERROR(LOOKUP(2,1/((lentry!$A$3:$A$3999=may!$A45)*(lentry!$B$3:$B$3999&lt;=may!P$3)*(lentry!$C$3:$C$3999&gt;=may!P$3)),lentry!$D$3:$D$3999),IF(WEEKDAY(may!P$3,1)=1,"WO","P"))</f>
        <v>P</v>
      </c>
      <c r="Q45" s="4" t="str">
        <f>IFERROR(LOOKUP(2,1/((lentry!$A$3:$A$3999=may!$A45)*(lentry!$B$3:$B$3999&lt;=may!Q$3)*(lentry!$C$3:$C$3999&gt;=may!Q$3)),lentry!$D$3:$D$3999),IF(WEEKDAY(may!Q$3,1)=1,"WO","P"))</f>
        <v>P</v>
      </c>
      <c r="R45" s="4" t="str">
        <f>IFERROR(LOOKUP(2,1/((lentry!$A$3:$A$3999=may!$A45)*(lentry!$B$3:$B$3999&lt;=may!R$3)*(lentry!$C$3:$C$3999&gt;=may!R$3)),lentry!$D$3:$D$3999),IF(WEEKDAY(may!R$3,1)=1,"WO","P"))</f>
        <v>P</v>
      </c>
      <c r="S45" s="4" t="str">
        <f>IFERROR(LOOKUP(2,1/((lentry!$A$3:$A$3999=may!$A45)*(lentry!$B$3:$B$3999&lt;=may!S$3)*(lentry!$C$3:$C$3999&gt;=may!S$3)),lentry!$D$3:$D$3999),IF(WEEKDAY(may!S$3,1)=1,"WO","P"))</f>
        <v>P</v>
      </c>
      <c r="T45" s="4" t="str">
        <f>IFERROR(LOOKUP(2,1/((lentry!$A$3:$A$3999=may!$A45)*(lentry!$B$3:$B$3999&lt;=may!T$3)*(lentry!$C$3:$C$3999&gt;=may!T$3)),lentry!$D$3:$D$3999),IF(WEEKDAY(may!T$3,1)=1,"WO","P"))</f>
        <v>P</v>
      </c>
      <c r="U45" s="4" t="str">
        <f>IFERROR(LOOKUP(2,1/((lentry!$A$3:$A$3999=may!$A45)*(lentry!$B$3:$B$3999&lt;=may!U$3)*(lentry!$C$3:$C$3999&gt;=may!U$3)),lentry!$D$3:$D$3999),IF(WEEKDAY(may!U$3,1)=1,"WO","P"))</f>
        <v>P</v>
      </c>
      <c r="V45" s="4" t="str">
        <f>IFERROR(LOOKUP(2,1/((lentry!$A$3:$A$3999=may!$A45)*(lentry!$B$3:$B$3999&lt;=may!V$3)*(lentry!$C$3:$C$3999&gt;=may!V$3)),lentry!$D$3:$D$3999),IF(WEEKDAY(may!V$3,1)=1,"WO","P"))</f>
        <v>WO</v>
      </c>
      <c r="W45" s="4" t="str">
        <f>IFERROR(LOOKUP(2,1/((lentry!$A$3:$A$3999=may!$A45)*(lentry!$B$3:$B$3999&lt;=may!W$3)*(lentry!$C$3:$C$3999&gt;=may!W$3)),lentry!$D$3:$D$3999),IF(WEEKDAY(may!W$3,1)=1,"WO","P"))</f>
        <v>P</v>
      </c>
      <c r="X45" s="4" t="str">
        <f>IFERROR(LOOKUP(2,1/((lentry!$A$3:$A$3999=may!$A45)*(lentry!$B$3:$B$3999&lt;=may!X$3)*(lentry!$C$3:$C$3999&gt;=may!X$3)),lentry!$D$3:$D$3999),IF(WEEKDAY(may!X$3,1)=1,"WO","P"))</f>
        <v>P</v>
      </c>
      <c r="Y45" s="4" t="str">
        <f>IFERROR(LOOKUP(2,1/((lentry!$A$3:$A$3999=may!$A45)*(lentry!$B$3:$B$3999&lt;=may!Y$3)*(lentry!$C$3:$C$3999&gt;=may!Y$3)),lentry!$D$3:$D$3999),IF(WEEKDAY(may!Y$3,1)=1,"WO","P"))</f>
        <v>P</v>
      </c>
      <c r="Z45" s="4" t="str">
        <f>IFERROR(LOOKUP(2,1/((lentry!$A$3:$A$3999=may!$A45)*(lentry!$B$3:$B$3999&lt;=may!Z$3)*(lentry!$C$3:$C$3999&gt;=may!Z$3)),lentry!$D$3:$D$3999),IF(WEEKDAY(may!Z$3,1)=1,"WO","P"))</f>
        <v>P</v>
      </c>
      <c r="AA45" s="4" t="str">
        <f>IFERROR(LOOKUP(2,1/((lentry!$A$3:$A$3999=may!$A45)*(lentry!$B$3:$B$3999&lt;=may!AA$3)*(lentry!$C$3:$C$3999&gt;=may!AA$3)),lentry!$D$3:$D$3999),IF(WEEKDAY(may!AA$3,1)=1,"WO","P"))</f>
        <v>P</v>
      </c>
      <c r="AB45" s="4" t="str">
        <f>IFERROR(LOOKUP(2,1/((lentry!$A$3:$A$3999=may!$A45)*(lentry!$B$3:$B$3999&lt;=may!AB$3)*(lentry!$C$3:$C$3999&gt;=may!AB$3)),lentry!$D$3:$D$3999),IF(WEEKDAY(may!AB$3,1)=1,"WO","P"))</f>
        <v>P</v>
      </c>
      <c r="AC45" s="4" t="str">
        <f>IFERROR(LOOKUP(2,1/((lentry!$A$3:$A$3999=may!$A45)*(lentry!$B$3:$B$3999&lt;=may!AC$3)*(lentry!$C$3:$C$3999&gt;=may!AC$3)),lentry!$D$3:$D$3999),IF(WEEKDAY(may!AC$3,1)=1,"WO","P"))</f>
        <v>WO</v>
      </c>
      <c r="AD45" s="4" t="str">
        <f>IFERROR(LOOKUP(2,1/((lentry!$A$3:$A$3999=may!$A45)*(lentry!$B$3:$B$3999&lt;=may!AD$3)*(lentry!$C$3:$C$3999&gt;=may!AD$3)),lentry!$D$3:$D$3999),IF(WEEKDAY(may!AD$3,1)=1,"WO","P"))</f>
        <v>P</v>
      </c>
      <c r="AE45" s="4" t="str">
        <f>IFERROR(LOOKUP(2,1/((lentry!$A$3:$A$3999=may!$A45)*(lentry!$B$3:$B$3999&lt;=may!AE$3)*(lentry!$C$3:$C$3999&gt;=may!AE$3)),lentry!$D$3:$D$3999),IF(WEEKDAY(may!AE$3,1)=1,"WO","P"))</f>
        <v>P</v>
      </c>
      <c r="AF45" s="4" t="s">
        <v>350</v>
      </c>
      <c r="AG45" s="4" t="str">
        <f>IFERROR(LOOKUP(2,1/((lentry!$A$3:$A$3999=may!$A45)*(lentry!$B$3:$B$3999&lt;=may!AG$3)*(lentry!$C$3:$C$3999&gt;=may!AG$3)),lentry!$D$3:$D$3999),IF(WEEKDAY(may!AG$3,1)=1,"WO","P"))</f>
        <v>P</v>
      </c>
      <c r="AH45" s="4" t="str">
        <f>IFERROR(LOOKUP(2,1/((lentry!$A$3:$A$3999=may!$A45)*(lentry!$B$3:$B$3999&lt;=may!AH$3)*(lentry!$C$3:$C$3999&gt;=may!AH$3)),lentry!$D$3:$D$3999),IF(WEEKDAY(may!AH$3,1)=1,"WO","P"))</f>
        <v>P</v>
      </c>
      <c r="AI45" s="4" t="str">
        <f>IFERROR(LOOKUP(2,1/((lentry!$A$3:$A$3999=may!$A45)*(lentry!$B$3:$B$3999&lt;=may!AI$3)*(lentry!$C$3:$C$3999&gt;=may!AI$3)),lentry!$D$3:$D$3999),IF(WEEKDAY(may!AI$3,1)=1,"WO","P"))</f>
        <v>P</v>
      </c>
      <c r="AJ45" s="4" t="str">
        <f>IFERROR(LOOKUP(2,1/((lentry!$A$3:$A$3999=may!$A45)*(lentry!$B$3:$B$3999&lt;=may!AJ$3)*(lentry!$C$3:$C$3999&gt;=may!AJ$3)),lentry!$D$3:$D$3999),IF(WEEKDAY(may!AJ$3,1)=1,"WO","P"))</f>
        <v>WO</v>
      </c>
      <c r="AK45" s="4">
        <f>COUNTIF(may!$F45:$AJ45,"WO")</f>
        <v>5</v>
      </c>
      <c r="AL45" s="4">
        <f>COUNTIF(may!$F45:$AJ45,"H")</f>
        <v>2</v>
      </c>
      <c r="AM45" s="4">
        <f>COUNTIF(may!$F45:$AJ45,"PL")</f>
        <v>0</v>
      </c>
      <c r="AN45" s="4">
        <f>COUNTIF(may!$F45:$AJ45,"LWP")</f>
        <v>0</v>
      </c>
      <c r="AO45" s="4">
        <f>COUNTIF(may!$F45:$AJ45,"HD")</f>
        <v>0</v>
      </c>
      <c r="AP45" s="4">
        <f>COUNTIF(may!$F45:$AJ45,"SL")</f>
        <v>0</v>
      </c>
      <c r="AQ45" s="4">
        <f>COUNTIF(may!$F45:$AJ45,"CL")</f>
        <v>0</v>
      </c>
      <c r="AR45" s="4">
        <f>COUNTIF(may!$F45:$AJ45,"A")</f>
        <v>0</v>
      </c>
      <c r="AS45" s="4">
        <f>COUNTIF(may!$F45:$AJ45,"P")</f>
        <v>24</v>
      </c>
      <c r="AT45" s="4">
        <f t="shared" si="2"/>
        <v>31</v>
      </c>
      <c r="AU45" s="4">
        <f t="shared" si="3"/>
        <v>31</v>
      </c>
      <c r="AV45" s="4">
        <f>SUMIFS(holly!$L$2:$L$122,holly!$I$2:$I$122,mar!$A45,holly!$K$2:$K$122,"Mar")</f>
        <v>0</v>
      </c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</row>
    <row r="46" spans="1:80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">
        <v>350</v>
      </c>
      <c r="G46" s="4" t="str">
        <f>IFERROR(LOOKUP(2,1/((lentry!$A$3:$A$3999=may!$A46)*(lentry!$B$3:$B$3999&lt;=may!G$3)*(lentry!$C$3:$C$3999&gt;=may!G$3)),lentry!$D$3:$D$3999),IF(WEEKDAY(may!G$3,1)=1,"WO","P"))</f>
        <v>P</v>
      </c>
      <c r="H46" s="4" t="str">
        <f>IFERROR(LOOKUP(2,1/((lentry!$A$3:$A$3999=may!$A46)*(lentry!$B$3:$B$3999&lt;=may!H$3)*(lentry!$C$3:$C$3999&gt;=may!H$3)),lentry!$D$3:$D$3999),IF(WEEKDAY(may!H$3,1)=1,"WO","P"))</f>
        <v>WO</v>
      </c>
      <c r="I46" s="4" t="str">
        <f>IFERROR(LOOKUP(2,1/((lentry!$A$3:$A$3999=may!$A46)*(lentry!$B$3:$B$3999&lt;=may!I$3)*(lentry!$C$3:$C$3999&gt;=may!I$3)),lentry!$D$3:$D$3999),IF(WEEKDAY(may!I$3,1)=1,"WO","P"))</f>
        <v>P</v>
      </c>
      <c r="J46" s="4" t="str">
        <f>IFERROR(LOOKUP(2,1/((lentry!$A$3:$A$3999=may!$A46)*(lentry!$B$3:$B$3999&lt;=may!J$3)*(lentry!$C$3:$C$3999&gt;=may!J$3)),lentry!$D$3:$D$3999),IF(WEEKDAY(may!J$3,1)=1,"WO","P"))</f>
        <v>P</v>
      </c>
      <c r="K46" s="4" t="str">
        <f>IFERROR(LOOKUP(2,1/((lentry!$A$3:$A$3999=may!$A46)*(lentry!$B$3:$B$3999&lt;=may!K$3)*(lentry!$C$3:$C$3999&gt;=may!K$3)),lentry!$D$3:$D$3999),IF(WEEKDAY(may!K$3,1)=1,"WO","P"))</f>
        <v>P</v>
      </c>
      <c r="L46" s="4" t="str">
        <f>IFERROR(LOOKUP(2,1/((lentry!$A$3:$A$3999=may!$A46)*(lentry!$B$3:$B$3999&lt;=may!L$3)*(lentry!$C$3:$C$3999&gt;=may!L$3)),lentry!$D$3:$D$3999),IF(WEEKDAY(may!L$3,1)=1,"WO","P"))</f>
        <v>P</v>
      </c>
      <c r="M46" s="4" t="str">
        <f>IFERROR(LOOKUP(2,1/((lentry!$A$3:$A$3999=may!$A46)*(lentry!$B$3:$B$3999&lt;=may!M$3)*(lentry!$C$3:$C$3999&gt;=may!M$3)),lentry!$D$3:$D$3999),IF(WEEKDAY(may!M$3,1)=1,"WO","P"))</f>
        <v>P</v>
      </c>
      <c r="N46" s="4" t="str">
        <f>IFERROR(LOOKUP(2,1/((lentry!$A$3:$A$3999=may!$A46)*(lentry!$B$3:$B$3999&lt;=may!N$3)*(lentry!$C$3:$C$3999&gt;=may!N$3)),lentry!$D$3:$D$3999),IF(WEEKDAY(may!N$3,1)=1,"WO","P"))</f>
        <v>P</v>
      </c>
      <c r="O46" s="4" t="str">
        <f>IFERROR(LOOKUP(2,1/((lentry!$A$3:$A$3999=may!$A46)*(lentry!$B$3:$B$3999&lt;=may!O$3)*(lentry!$C$3:$C$3999&gt;=may!O$3)),lentry!$D$3:$D$3999),IF(WEEKDAY(may!O$3,1)=1,"WO","P"))</f>
        <v>WO</v>
      </c>
      <c r="P46" s="4" t="str">
        <f>IFERROR(LOOKUP(2,1/((lentry!$A$3:$A$3999=may!$A46)*(lentry!$B$3:$B$3999&lt;=may!P$3)*(lentry!$C$3:$C$3999&gt;=may!P$3)),lentry!$D$3:$D$3999),IF(WEEKDAY(may!P$3,1)=1,"WO","P"))</f>
        <v>P</v>
      </c>
      <c r="Q46" s="4" t="str">
        <f>IFERROR(LOOKUP(2,1/((lentry!$A$3:$A$3999=may!$A46)*(lentry!$B$3:$B$3999&lt;=may!Q$3)*(lentry!$C$3:$C$3999&gt;=may!Q$3)),lentry!$D$3:$D$3999),IF(WEEKDAY(may!Q$3,1)=1,"WO","P"))</f>
        <v>P</v>
      </c>
      <c r="R46" s="4" t="str">
        <f>IFERROR(LOOKUP(2,1/((lentry!$A$3:$A$3999=may!$A46)*(lentry!$B$3:$B$3999&lt;=may!R$3)*(lentry!$C$3:$C$3999&gt;=may!R$3)),lentry!$D$3:$D$3999),IF(WEEKDAY(may!R$3,1)=1,"WO","P"))</f>
        <v>P</v>
      </c>
      <c r="S46" s="4" t="str">
        <f>IFERROR(LOOKUP(2,1/((lentry!$A$3:$A$3999=may!$A46)*(lentry!$B$3:$B$3999&lt;=may!S$3)*(lentry!$C$3:$C$3999&gt;=may!S$3)),lentry!$D$3:$D$3999),IF(WEEKDAY(may!S$3,1)=1,"WO","P"))</f>
        <v>P</v>
      </c>
      <c r="T46" s="4" t="str">
        <f>IFERROR(LOOKUP(2,1/((lentry!$A$3:$A$3999=may!$A46)*(lentry!$B$3:$B$3999&lt;=may!T$3)*(lentry!$C$3:$C$3999&gt;=may!T$3)),lentry!$D$3:$D$3999),IF(WEEKDAY(may!T$3,1)=1,"WO","P"))</f>
        <v>P</v>
      </c>
      <c r="U46" s="4" t="str">
        <f>IFERROR(LOOKUP(2,1/((lentry!$A$3:$A$3999=may!$A46)*(lentry!$B$3:$B$3999&lt;=may!U$3)*(lentry!$C$3:$C$3999&gt;=may!U$3)),lentry!$D$3:$D$3999),IF(WEEKDAY(may!U$3,1)=1,"WO","P"))</f>
        <v>P</v>
      </c>
      <c r="V46" s="4" t="str">
        <f>IFERROR(LOOKUP(2,1/((lentry!$A$3:$A$3999=may!$A46)*(lentry!$B$3:$B$3999&lt;=may!V$3)*(lentry!$C$3:$C$3999&gt;=may!V$3)),lentry!$D$3:$D$3999),IF(WEEKDAY(may!V$3,1)=1,"WO","P"))</f>
        <v>WO</v>
      </c>
      <c r="W46" s="4" t="str">
        <f>IFERROR(LOOKUP(2,1/((lentry!$A$3:$A$3999=may!$A46)*(lentry!$B$3:$B$3999&lt;=may!W$3)*(lentry!$C$3:$C$3999&gt;=may!W$3)),lentry!$D$3:$D$3999),IF(WEEKDAY(may!W$3,1)=1,"WO","P"))</f>
        <v>P</v>
      </c>
      <c r="X46" s="4" t="str">
        <f>IFERROR(LOOKUP(2,1/((lentry!$A$3:$A$3999=may!$A46)*(lentry!$B$3:$B$3999&lt;=may!X$3)*(lentry!$C$3:$C$3999&gt;=may!X$3)),lentry!$D$3:$D$3999),IF(WEEKDAY(may!X$3,1)=1,"WO","P"))</f>
        <v>P</v>
      </c>
      <c r="Y46" s="4" t="str">
        <f>IFERROR(LOOKUP(2,1/((lentry!$A$3:$A$3999=may!$A46)*(lentry!$B$3:$B$3999&lt;=may!Y$3)*(lentry!$C$3:$C$3999&gt;=may!Y$3)),lentry!$D$3:$D$3999),IF(WEEKDAY(may!Y$3,1)=1,"WO","P"))</f>
        <v>P</v>
      </c>
      <c r="Z46" s="4" t="str">
        <f>IFERROR(LOOKUP(2,1/((lentry!$A$3:$A$3999=may!$A46)*(lentry!$B$3:$B$3999&lt;=may!Z$3)*(lentry!$C$3:$C$3999&gt;=may!Z$3)),lentry!$D$3:$D$3999),IF(WEEKDAY(may!Z$3,1)=1,"WO","P"))</f>
        <v>P</v>
      </c>
      <c r="AA46" s="4" t="str">
        <f>IFERROR(LOOKUP(2,1/((lentry!$A$3:$A$3999=may!$A46)*(lentry!$B$3:$B$3999&lt;=may!AA$3)*(lentry!$C$3:$C$3999&gt;=may!AA$3)),lentry!$D$3:$D$3999),IF(WEEKDAY(may!AA$3,1)=1,"WO","P"))</f>
        <v>P</v>
      </c>
      <c r="AB46" s="4" t="s">
        <v>539</v>
      </c>
      <c r="AC46" s="4" t="str">
        <f>IFERROR(LOOKUP(2,1/((lentry!$A$3:$A$3999=may!$A46)*(lentry!$B$3:$B$3999&lt;=may!AC$3)*(lentry!$C$3:$C$3999&gt;=may!AC$3)),lentry!$D$3:$D$3999),IF(WEEKDAY(may!AC$3,1)=1,"WO","P"))</f>
        <v>WO</v>
      </c>
      <c r="AD46" s="4" t="str">
        <f>IFERROR(LOOKUP(2,1/((lentry!$A$3:$A$3999=may!$A46)*(lentry!$B$3:$B$3999&lt;=may!AD$3)*(lentry!$C$3:$C$3999&gt;=may!AD$3)),lentry!$D$3:$D$3999),IF(WEEKDAY(may!AD$3,1)=1,"WO","P"))</f>
        <v>P</v>
      </c>
      <c r="AE46" s="4" t="str">
        <f>IFERROR(LOOKUP(2,1/((lentry!$A$3:$A$3999=may!$A46)*(lentry!$B$3:$B$3999&lt;=may!AE$3)*(lentry!$C$3:$C$3999&gt;=may!AE$3)),lentry!$D$3:$D$3999),IF(WEEKDAY(may!AE$3,1)=1,"WO","P"))</f>
        <v>P</v>
      </c>
      <c r="AF46" s="4" t="s">
        <v>350</v>
      </c>
      <c r="AG46" s="4" t="s">
        <v>539</v>
      </c>
      <c r="AH46" s="4" t="str">
        <f>IFERROR(LOOKUP(2,1/((lentry!$A$3:$A$3999=may!$A46)*(lentry!$B$3:$B$3999&lt;=may!AH$3)*(lentry!$C$3:$C$3999&gt;=may!AH$3)),lentry!$D$3:$D$3999),IF(WEEKDAY(may!AH$3,1)=1,"WO","P"))</f>
        <v>P</v>
      </c>
      <c r="AI46" s="4" t="str">
        <f>IFERROR(LOOKUP(2,1/((lentry!$A$3:$A$3999=may!$A46)*(lentry!$B$3:$B$3999&lt;=may!AI$3)*(lentry!$C$3:$C$3999&gt;=may!AI$3)),lentry!$D$3:$D$3999),IF(WEEKDAY(may!AI$3,1)=1,"WO","P"))</f>
        <v>P</v>
      </c>
      <c r="AJ46" s="4" t="str">
        <f>IFERROR(LOOKUP(2,1/((lentry!$A$3:$A$3999=may!$A46)*(lentry!$B$3:$B$3999&lt;=may!AJ$3)*(lentry!$C$3:$C$3999&gt;=may!AJ$3)),lentry!$D$3:$D$3999),IF(WEEKDAY(may!AJ$3,1)=1,"WO","P"))</f>
        <v>WO</v>
      </c>
      <c r="AK46" s="4">
        <f>COUNTIF(may!$F46:$AJ46,"WO")</f>
        <v>5</v>
      </c>
      <c r="AL46" s="4">
        <f>COUNTIF(may!$F46:$AJ46,"H")</f>
        <v>2</v>
      </c>
      <c r="AM46" s="4">
        <f>COUNTIF(may!$F46:$AJ46,"PL")</f>
        <v>0</v>
      </c>
      <c r="AN46" s="4">
        <f>COUNTIF(may!$F46:$AJ46,"LWP")</f>
        <v>0</v>
      </c>
      <c r="AO46" s="4">
        <f>COUNTIF(may!$F46:$AJ46,"HD")</f>
        <v>0</v>
      </c>
      <c r="AP46" s="4">
        <f>COUNTIF(may!$F46:$AJ46,"SL")</f>
        <v>0</v>
      </c>
      <c r="AQ46" s="4">
        <f>COUNTIF(may!$F46:$AJ46,"CL")</f>
        <v>0</v>
      </c>
      <c r="AR46" s="4">
        <f>COUNTIF(may!$F46:$AJ46,"A")</f>
        <v>2</v>
      </c>
      <c r="AS46" s="4">
        <f>COUNTIF(may!$F46:$AJ46,"P")</f>
        <v>22</v>
      </c>
      <c r="AT46" s="4">
        <f t="shared" si="2"/>
        <v>31</v>
      </c>
      <c r="AU46" s="4">
        <f t="shared" si="3"/>
        <v>29</v>
      </c>
      <c r="AV46" s="4">
        <f>SUMIFS(holly!$L$2:$L$122,holly!$I$2:$I$122,mar!$A46,holly!$K$2:$K$122,"Mar")</f>
        <v>1</v>
      </c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</row>
    <row r="47" spans="1:80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">
        <v>350</v>
      </c>
      <c r="G47" s="4" t="str">
        <f>IFERROR(LOOKUP(2,1/((lentry!$A$3:$A$3999=may!$A47)*(lentry!$B$3:$B$3999&lt;=may!G$3)*(lentry!$C$3:$C$3999&gt;=may!G$3)),lentry!$D$3:$D$3999),IF(WEEKDAY(may!G$3,1)=1,"WO","P"))</f>
        <v>P</v>
      </c>
      <c r="H47" s="4" t="str">
        <f>IFERROR(LOOKUP(2,1/((lentry!$A$3:$A$3999=may!$A47)*(lentry!$B$3:$B$3999&lt;=may!H$3)*(lentry!$C$3:$C$3999&gt;=may!H$3)),lentry!$D$3:$D$3999),IF(WEEKDAY(may!H$3,1)=1,"WO","P"))</f>
        <v>WO</v>
      </c>
      <c r="I47" s="4" t="str">
        <f>IFERROR(LOOKUP(2,1/((lentry!$A$3:$A$3999=may!$A47)*(lentry!$B$3:$B$3999&lt;=may!I$3)*(lentry!$C$3:$C$3999&gt;=may!I$3)),lentry!$D$3:$D$3999),IF(WEEKDAY(may!I$3,1)=1,"WO","P"))</f>
        <v>P</v>
      </c>
      <c r="J47" s="4" t="str">
        <f>IFERROR(LOOKUP(2,1/((lentry!$A$3:$A$3999=may!$A47)*(lentry!$B$3:$B$3999&lt;=may!J$3)*(lentry!$C$3:$C$3999&gt;=may!J$3)),lentry!$D$3:$D$3999),IF(WEEKDAY(may!J$3,1)=1,"WO","P"))</f>
        <v>P</v>
      </c>
      <c r="K47" s="4" t="str">
        <f>IFERROR(LOOKUP(2,1/((lentry!$A$3:$A$3999=may!$A47)*(lentry!$B$3:$B$3999&lt;=may!K$3)*(lentry!$C$3:$C$3999&gt;=may!K$3)),lentry!$D$3:$D$3999),IF(WEEKDAY(may!K$3,1)=1,"WO","P"))</f>
        <v>P</v>
      </c>
      <c r="L47" s="4" t="str">
        <f>IFERROR(LOOKUP(2,1/((lentry!$A$3:$A$3999=may!$A47)*(lentry!$B$3:$B$3999&lt;=may!L$3)*(lentry!$C$3:$C$3999&gt;=may!L$3)),lentry!$D$3:$D$3999),IF(WEEKDAY(may!L$3,1)=1,"WO","P"))</f>
        <v>P</v>
      </c>
      <c r="M47" s="4" t="str">
        <f>IFERROR(LOOKUP(2,1/((lentry!$A$3:$A$3999=may!$A47)*(lentry!$B$3:$B$3999&lt;=may!M$3)*(lentry!$C$3:$C$3999&gt;=may!M$3)),lentry!$D$3:$D$3999),IF(WEEKDAY(may!M$3,1)=1,"WO","P"))</f>
        <v>PL</v>
      </c>
      <c r="N47" s="4" t="str">
        <f>IFERROR(LOOKUP(2,1/((lentry!$A$3:$A$3999=may!$A47)*(lentry!$B$3:$B$3999&lt;=may!N$3)*(lentry!$C$3:$C$3999&gt;=may!N$3)),lentry!$D$3:$D$3999),IF(WEEKDAY(may!N$3,1)=1,"WO","P"))</f>
        <v>P</v>
      </c>
      <c r="O47" s="4" t="str">
        <f>IFERROR(LOOKUP(2,1/((lentry!$A$3:$A$3999=may!$A47)*(lentry!$B$3:$B$3999&lt;=may!O$3)*(lentry!$C$3:$C$3999&gt;=may!O$3)),lentry!$D$3:$D$3999),IF(WEEKDAY(may!O$3,1)=1,"WO","P"))</f>
        <v>WO</v>
      </c>
      <c r="P47" s="4" t="str">
        <f>IFERROR(LOOKUP(2,1/((lentry!$A$3:$A$3999=may!$A47)*(lentry!$B$3:$B$3999&lt;=may!P$3)*(lentry!$C$3:$C$3999&gt;=may!P$3)),lentry!$D$3:$D$3999),IF(WEEKDAY(may!P$3,1)=1,"WO","P"))</f>
        <v>P</v>
      </c>
      <c r="Q47" s="4" t="str">
        <f>IFERROR(LOOKUP(2,1/((lentry!$A$3:$A$3999=may!$A47)*(lentry!$B$3:$B$3999&lt;=may!Q$3)*(lentry!$C$3:$C$3999&gt;=may!Q$3)),lentry!$D$3:$D$3999),IF(WEEKDAY(may!Q$3,1)=1,"WO","P"))</f>
        <v>P</v>
      </c>
      <c r="R47" s="4" t="str">
        <f>IFERROR(LOOKUP(2,1/((lentry!$A$3:$A$3999=may!$A47)*(lentry!$B$3:$B$3999&lt;=may!R$3)*(lentry!$C$3:$C$3999&gt;=may!R$3)),lentry!$D$3:$D$3999),IF(WEEKDAY(may!R$3,1)=1,"WO","P"))</f>
        <v>P</v>
      </c>
      <c r="S47" s="4" t="s">
        <v>539</v>
      </c>
      <c r="T47" s="4" t="str">
        <f>IFERROR(LOOKUP(2,1/((lentry!$A$3:$A$3999=may!$A47)*(lentry!$B$3:$B$3999&lt;=may!T$3)*(lentry!$C$3:$C$3999&gt;=may!T$3)),lentry!$D$3:$D$3999),IF(WEEKDAY(may!T$3,1)=1,"WO","P"))</f>
        <v>P</v>
      </c>
      <c r="U47" s="4" t="str">
        <f>IFERROR(LOOKUP(2,1/((lentry!$A$3:$A$3999=may!$A47)*(lentry!$B$3:$B$3999&lt;=may!U$3)*(lentry!$C$3:$C$3999&gt;=may!U$3)),lentry!$D$3:$D$3999),IF(WEEKDAY(may!U$3,1)=1,"WO","P"))</f>
        <v>P</v>
      </c>
      <c r="V47" s="4" t="str">
        <f>IFERROR(LOOKUP(2,1/((lentry!$A$3:$A$3999=may!$A47)*(lentry!$B$3:$B$3999&lt;=may!V$3)*(lentry!$C$3:$C$3999&gt;=may!V$3)),lentry!$D$3:$D$3999),IF(WEEKDAY(may!V$3,1)=1,"WO","P"))</f>
        <v>WO</v>
      </c>
      <c r="W47" s="4" t="str">
        <f>IFERROR(LOOKUP(2,1/((lentry!$A$3:$A$3999=may!$A47)*(lentry!$B$3:$B$3999&lt;=may!W$3)*(lentry!$C$3:$C$3999&gt;=may!W$3)),lentry!$D$3:$D$3999),IF(WEEKDAY(may!W$3,1)=1,"WO","P"))</f>
        <v>P</v>
      </c>
      <c r="X47" s="4" t="str">
        <f>IFERROR(LOOKUP(2,1/((lentry!$A$3:$A$3999=may!$A47)*(lentry!$B$3:$B$3999&lt;=may!X$3)*(lentry!$C$3:$C$3999&gt;=may!X$3)),lentry!$D$3:$D$3999),IF(WEEKDAY(may!X$3,1)=1,"WO","P"))</f>
        <v>P</v>
      </c>
      <c r="Y47" s="4" t="str">
        <f>IFERROR(LOOKUP(2,1/((lentry!$A$3:$A$3999=may!$A47)*(lentry!$B$3:$B$3999&lt;=may!Y$3)*(lentry!$C$3:$C$3999&gt;=may!Y$3)),lentry!$D$3:$D$3999),IF(WEEKDAY(may!Y$3,1)=1,"WO","P"))</f>
        <v>P</v>
      </c>
      <c r="Z47" s="4" t="str">
        <f>IFERROR(LOOKUP(2,1/((lentry!$A$3:$A$3999=may!$A47)*(lentry!$B$3:$B$3999&lt;=may!Z$3)*(lentry!$C$3:$C$3999&gt;=may!Z$3)),lentry!$D$3:$D$3999),IF(WEEKDAY(may!Z$3,1)=1,"WO","P"))</f>
        <v>P</v>
      </c>
      <c r="AA47" s="4" t="str">
        <f>IFERROR(LOOKUP(2,1/((lentry!$A$3:$A$3999=may!$A47)*(lentry!$B$3:$B$3999&lt;=may!AA$3)*(lentry!$C$3:$C$3999&gt;=may!AA$3)),lentry!$D$3:$D$3999),IF(WEEKDAY(may!AA$3,1)=1,"WO","P"))</f>
        <v>P</v>
      </c>
      <c r="AB47" s="4" t="str">
        <f>IFERROR(LOOKUP(2,1/((lentry!$A$3:$A$3999=may!$A47)*(lentry!$B$3:$B$3999&lt;=may!AB$3)*(lentry!$C$3:$C$3999&gt;=may!AB$3)),lentry!$D$3:$D$3999),IF(WEEKDAY(may!AB$3,1)=1,"WO","P"))</f>
        <v>P</v>
      </c>
      <c r="AC47" s="4" t="str">
        <f>IFERROR(LOOKUP(2,1/((lentry!$A$3:$A$3999=may!$A47)*(lentry!$B$3:$B$3999&lt;=may!AC$3)*(lentry!$C$3:$C$3999&gt;=may!AC$3)),lentry!$D$3:$D$3999),IF(WEEKDAY(may!AC$3,1)=1,"WO","P"))</f>
        <v>WO</v>
      </c>
      <c r="AD47" s="4" t="str">
        <f>IFERROR(LOOKUP(2,1/((lentry!$A$3:$A$3999=may!$A47)*(lentry!$B$3:$B$3999&lt;=may!AD$3)*(lentry!$C$3:$C$3999&gt;=may!AD$3)),lentry!$D$3:$D$3999),IF(WEEKDAY(may!AD$3,1)=1,"WO","P"))</f>
        <v>P</v>
      </c>
      <c r="AE47" s="4" t="str">
        <f>IFERROR(LOOKUP(2,1/((lentry!$A$3:$A$3999=may!$A47)*(lentry!$B$3:$B$3999&lt;=may!AE$3)*(lentry!$C$3:$C$3999&gt;=may!AE$3)),lentry!$D$3:$D$3999),IF(WEEKDAY(may!AE$3,1)=1,"WO","P"))</f>
        <v>P</v>
      </c>
      <c r="AF47" s="4" t="s">
        <v>350</v>
      </c>
      <c r="AG47" s="4" t="str">
        <f>IFERROR(LOOKUP(2,1/((lentry!$A$3:$A$3999=may!$A47)*(lentry!$B$3:$B$3999&lt;=may!AG$3)*(lentry!$C$3:$C$3999&gt;=may!AG$3)),lentry!$D$3:$D$3999),IF(WEEKDAY(may!AG$3,1)=1,"WO","P"))</f>
        <v>P</v>
      </c>
      <c r="AH47" s="4" t="str">
        <f>IFERROR(LOOKUP(2,1/((lentry!$A$3:$A$3999=may!$A47)*(lentry!$B$3:$B$3999&lt;=may!AH$3)*(lentry!$C$3:$C$3999&gt;=may!AH$3)),lentry!$D$3:$D$3999),IF(WEEKDAY(may!AH$3,1)=1,"WO","P"))</f>
        <v>P</v>
      </c>
      <c r="AI47" s="4" t="str">
        <f>IFERROR(LOOKUP(2,1/((lentry!$A$3:$A$3999=may!$A47)*(lentry!$B$3:$B$3999&lt;=may!AI$3)*(lentry!$C$3:$C$3999&gt;=may!AI$3)),lentry!$D$3:$D$3999),IF(WEEKDAY(may!AI$3,1)=1,"WO","P"))</f>
        <v>P</v>
      </c>
      <c r="AJ47" s="4" t="str">
        <f>IFERROR(LOOKUP(2,1/((lentry!$A$3:$A$3999=may!$A47)*(lentry!$B$3:$B$3999&lt;=may!AJ$3)*(lentry!$C$3:$C$3999&gt;=may!AJ$3)),lentry!$D$3:$D$3999),IF(WEEKDAY(may!AJ$3,1)=1,"WO","P"))</f>
        <v>WO</v>
      </c>
      <c r="AK47" s="4">
        <f>COUNTIF(may!$F47:$AJ47,"WO")</f>
        <v>5</v>
      </c>
      <c r="AL47" s="4">
        <f>COUNTIF(may!$F47:$AJ47,"H")</f>
        <v>2</v>
      </c>
      <c r="AM47" s="4">
        <f>COUNTIF(may!$F47:$AJ47,"PL")</f>
        <v>1</v>
      </c>
      <c r="AN47" s="4">
        <f>COUNTIF(may!$F47:$AJ47,"LWP")</f>
        <v>0</v>
      </c>
      <c r="AO47" s="4">
        <f>COUNTIF(may!$F47:$AJ47,"HD")</f>
        <v>0</v>
      </c>
      <c r="AP47" s="4">
        <f>COUNTIF(may!$F47:$AJ47,"SL")</f>
        <v>0</v>
      </c>
      <c r="AQ47" s="4">
        <f>COUNTIF(may!$F47:$AJ47,"CL")</f>
        <v>0</v>
      </c>
      <c r="AR47" s="4">
        <f>COUNTIF(may!$F47:$AJ47,"A")</f>
        <v>1</v>
      </c>
      <c r="AS47" s="4">
        <f>COUNTIF(may!$F47:$AJ47,"P")</f>
        <v>22</v>
      </c>
      <c r="AT47" s="4">
        <f t="shared" si="2"/>
        <v>31</v>
      </c>
      <c r="AU47" s="4">
        <f t="shared" si="3"/>
        <v>30</v>
      </c>
      <c r="AV47" s="4">
        <f>SUMIFS(holly!$L$2:$L$122,holly!$I$2:$I$122,mar!$A47,holly!$K$2:$K$122,"Mar")</f>
        <v>0</v>
      </c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</row>
    <row r="48" spans="1:80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">
        <v>350</v>
      </c>
      <c r="G48" s="4" t="str">
        <f>IFERROR(LOOKUP(2,1/((lentry!$A$3:$A$3999=may!$A48)*(lentry!$B$3:$B$3999&lt;=may!G$3)*(lentry!$C$3:$C$3999&gt;=may!G$3)),lentry!$D$3:$D$3999),IF(WEEKDAY(may!G$3,1)=1,"WO","P"))</f>
        <v>P</v>
      </c>
      <c r="H48" s="4" t="str">
        <f>IFERROR(LOOKUP(2,1/((lentry!$A$3:$A$3999=may!$A48)*(lentry!$B$3:$B$3999&lt;=may!H$3)*(lentry!$C$3:$C$3999&gt;=may!H$3)),lentry!$D$3:$D$3999),IF(WEEKDAY(may!H$3,1)=1,"WO","P"))</f>
        <v>WO</v>
      </c>
      <c r="I48" s="4" t="str">
        <f>IFERROR(LOOKUP(2,1/((lentry!$A$3:$A$3999=may!$A48)*(lentry!$B$3:$B$3999&lt;=may!I$3)*(lentry!$C$3:$C$3999&gt;=may!I$3)),lentry!$D$3:$D$3999),IF(WEEKDAY(may!I$3,1)=1,"WO","P"))</f>
        <v>P</v>
      </c>
      <c r="J48" s="4" t="s">
        <v>539</v>
      </c>
      <c r="K48" s="4" t="str">
        <f>IFERROR(LOOKUP(2,1/((lentry!$A$3:$A$3999=may!$A48)*(lentry!$B$3:$B$3999&lt;=may!K$3)*(lentry!$C$3:$C$3999&gt;=may!K$3)),lentry!$D$3:$D$3999),IF(WEEKDAY(may!K$3,1)=1,"WO","P"))</f>
        <v>P</v>
      </c>
      <c r="L48" s="4" t="str">
        <f>IFERROR(LOOKUP(2,1/((lentry!$A$3:$A$3999=may!$A48)*(lentry!$B$3:$B$3999&lt;=may!L$3)*(lentry!$C$3:$C$3999&gt;=may!L$3)),lentry!$D$3:$D$3999),IF(WEEKDAY(may!L$3,1)=1,"WO","P"))</f>
        <v>P</v>
      </c>
      <c r="M48" s="4" t="str">
        <f>IFERROR(LOOKUP(2,1/((lentry!$A$3:$A$3999=may!$A48)*(lentry!$B$3:$B$3999&lt;=may!M$3)*(lentry!$C$3:$C$3999&gt;=may!M$3)),lentry!$D$3:$D$3999),IF(WEEKDAY(may!M$3,1)=1,"WO","P"))</f>
        <v>P</v>
      </c>
      <c r="N48" s="4" t="str">
        <f>IFERROR(LOOKUP(2,1/((lentry!$A$3:$A$3999=may!$A48)*(lentry!$B$3:$B$3999&lt;=may!N$3)*(lentry!$C$3:$C$3999&gt;=may!N$3)),lentry!$D$3:$D$3999),IF(WEEKDAY(may!N$3,1)=1,"WO","P"))</f>
        <v>P</v>
      </c>
      <c r="O48" s="4" t="str">
        <f>IFERROR(LOOKUP(2,1/((lentry!$A$3:$A$3999=may!$A48)*(lentry!$B$3:$B$3999&lt;=may!O$3)*(lentry!$C$3:$C$3999&gt;=may!O$3)),lentry!$D$3:$D$3999),IF(WEEKDAY(may!O$3,1)=1,"WO","P"))</f>
        <v>WO</v>
      </c>
      <c r="P48" s="4" t="str">
        <f>IFERROR(LOOKUP(2,1/((lentry!$A$3:$A$3999=may!$A48)*(lentry!$B$3:$B$3999&lt;=may!P$3)*(lentry!$C$3:$C$3999&gt;=may!P$3)),lentry!$D$3:$D$3999),IF(WEEKDAY(may!P$3,1)=1,"WO","P"))</f>
        <v>P</v>
      </c>
      <c r="Q48" s="4" t="str">
        <f>IFERROR(LOOKUP(2,1/((lentry!$A$3:$A$3999=may!$A48)*(lentry!$B$3:$B$3999&lt;=may!Q$3)*(lentry!$C$3:$C$3999&gt;=may!Q$3)),lentry!$D$3:$D$3999),IF(WEEKDAY(may!Q$3,1)=1,"WO","P"))</f>
        <v>P</v>
      </c>
      <c r="R48" s="4" t="str">
        <f>IFERROR(LOOKUP(2,1/((lentry!$A$3:$A$3999=may!$A48)*(lentry!$B$3:$B$3999&lt;=may!R$3)*(lentry!$C$3:$C$3999&gt;=may!R$3)),lentry!$D$3:$D$3999),IF(WEEKDAY(may!R$3,1)=1,"WO","P"))</f>
        <v>P</v>
      </c>
      <c r="S48" s="4" t="str">
        <f>IFERROR(LOOKUP(2,1/((lentry!$A$3:$A$3999=may!$A48)*(lentry!$B$3:$B$3999&lt;=may!S$3)*(lentry!$C$3:$C$3999&gt;=may!S$3)),lentry!$D$3:$D$3999),IF(WEEKDAY(may!S$3,1)=1,"WO","P"))</f>
        <v>P</v>
      </c>
      <c r="T48" s="4" t="str">
        <f>IFERROR(LOOKUP(2,1/((lentry!$A$3:$A$3999=may!$A48)*(lentry!$B$3:$B$3999&lt;=may!T$3)*(lentry!$C$3:$C$3999&gt;=may!T$3)),lentry!$D$3:$D$3999),IF(WEEKDAY(may!T$3,1)=1,"WO","P"))</f>
        <v>P</v>
      </c>
      <c r="U48" s="4" t="str">
        <f>IFERROR(LOOKUP(2,1/((lentry!$A$3:$A$3999=may!$A48)*(lentry!$B$3:$B$3999&lt;=may!U$3)*(lentry!$C$3:$C$3999&gt;=may!U$3)),lentry!$D$3:$D$3999),IF(WEEKDAY(may!U$3,1)=1,"WO","P"))</f>
        <v>P</v>
      </c>
      <c r="V48" s="4" t="str">
        <f>IFERROR(LOOKUP(2,1/((lentry!$A$3:$A$3999=may!$A48)*(lentry!$B$3:$B$3999&lt;=may!V$3)*(lentry!$C$3:$C$3999&gt;=may!V$3)),lentry!$D$3:$D$3999),IF(WEEKDAY(may!V$3,1)=1,"WO","P"))</f>
        <v>WO</v>
      </c>
      <c r="W48" s="4" t="str">
        <f>IFERROR(LOOKUP(2,1/((lentry!$A$3:$A$3999=may!$A48)*(lentry!$B$3:$B$3999&lt;=may!W$3)*(lentry!$C$3:$C$3999&gt;=may!W$3)),lentry!$D$3:$D$3999),IF(WEEKDAY(may!W$3,1)=1,"WO","P"))</f>
        <v>P</v>
      </c>
      <c r="X48" s="4" t="str">
        <f>IFERROR(LOOKUP(2,1/((lentry!$A$3:$A$3999=may!$A48)*(lentry!$B$3:$B$3999&lt;=may!X$3)*(lentry!$C$3:$C$3999&gt;=may!X$3)),lentry!$D$3:$D$3999),IF(WEEKDAY(may!X$3,1)=1,"WO","P"))</f>
        <v>P</v>
      </c>
      <c r="Y48" s="4" t="str">
        <f>IFERROR(LOOKUP(2,1/((lentry!$A$3:$A$3999=may!$A48)*(lentry!$B$3:$B$3999&lt;=may!Y$3)*(lentry!$C$3:$C$3999&gt;=may!Y$3)),lentry!$D$3:$D$3999),IF(WEEKDAY(may!Y$3,1)=1,"WO","P"))</f>
        <v>P</v>
      </c>
      <c r="Z48" s="4" t="str">
        <f>IFERROR(LOOKUP(2,1/((lentry!$A$3:$A$3999=may!$A48)*(lentry!$B$3:$B$3999&lt;=may!Z$3)*(lentry!$C$3:$C$3999&gt;=may!Z$3)),lentry!$D$3:$D$3999),IF(WEEKDAY(may!Z$3,1)=1,"WO","P"))</f>
        <v>P</v>
      </c>
      <c r="AA48" s="4" t="str">
        <f>IFERROR(LOOKUP(2,1/((lentry!$A$3:$A$3999=may!$A48)*(lentry!$B$3:$B$3999&lt;=may!AA$3)*(lentry!$C$3:$C$3999&gt;=may!AA$3)),lentry!$D$3:$D$3999),IF(WEEKDAY(may!AA$3,1)=1,"WO","P"))</f>
        <v>P</v>
      </c>
      <c r="AB48" s="4" t="str">
        <f>IFERROR(LOOKUP(2,1/((lentry!$A$3:$A$3999=may!$A48)*(lentry!$B$3:$B$3999&lt;=may!AB$3)*(lentry!$C$3:$C$3999&gt;=may!AB$3)),lentry!$D$3:$D$3999),IF(WEEKDAY(may!AB$3,1)=1,"WO","P"))</f>
        <v>P</v>
      </c>
      <c r="AC48" s="4" t="str">
        <f>IFERROR(LOOKUP(2,1/((lentry!$A$3:$A$3999=may!$A48)*(lentry!$B$3:$B$3999&lt;=may!AC$3)*(lentry!$C$3:$C$3999&gt;=may!AC$3)),lentry!$D$3:$D$3999),IF(WEEKDAY(may!AC$3,1)=1,"WO","P"))</f>
        <v>WO</v>
      </c>
      <c r="AD48" s="4" t="str">
        <f>IFERROR(LOOKUP(2,1/((lentry!$A$3:$A$3999=may!$A48)*(lentry!$B$3:$B$3999&lt;=may!AD$3)*(lentry!$C$3:$C$3999&gt;=may!AD$3)),lentry!$D$3:$D$3999),IF(WEEKDAY(may!AD$3,1)=1,"WO","P"))</f>
        <v>P</v>
      </c>
      <c r="AE48" s="4" t="str">
        <f>IFERROR(LOOKUP(2,1/((lentry!$A$3:$A$3999=may!$A48)*(lentry!$B$3:$B$3999&lt;=may!AE$3)*(lentry!$C$3:$C$3999&gt;=may!AE$3)),lentry!$D$3:$D$3999),IF(WEEKDAY(may!AE$3,1)=1,"WO","P"))</f>
        <v>P</v>
      </c>
      <c r="AF48" s="4" t="s">
        <v>350</v>
      </c>
      <c r="AG48" s="4" t="str">
        <f>IFERROR(LOOKUP(2,1/((lentry!$A$3:$A$3999=may!$A48)*(lentry!$B$3:$B$3999&lt;=may!AG$3)*(lentry!$C$3:$C$3999&gt;=may!AG$3)),lentry!$D$3:$D$3999),IF(WEEKDAY(may!AG$3,1)=1,"WO","P"))</f>
        <v>P</v>
      </c>
      <c r="AH48" s="4" t="str">
        <f>IFERROR(LOOKUP(2,1/((lentry!$A$3:$A$3999=may!$A48)*(lentry!$B$3:$B$3999&lt;=may!AH$3)*(lentry!$C$3:$C$3999&gt;=may!AH$3)),lentry!$D$3:$D$3999),IF(WEEKDAY(may!AH$3,1)=1,"WO","P"))</f>
        <v>P</v>
      </c>
      <c r="AI48" s="4" t="str">
        <f>IFERROR(LOOKUP(2,1/((lentry!$A$3:$A$3999=may!$A48)*(lentry!$B$3:$B$3999&lt;=may!AI$3)*(lentry!$C$3:$C$3999&gt;=may!AI$3)),lentry!$D$3:$D$3999),IF(WEEKDAY(may!AI$3,1)=1,"WO","P"))</f>
        <v>P</v>
      </c>
      <c r="AJ48" s="4" t="str">
        <f>IFERROR(LOOKUP(2,1/((lentry!$A$3:$A$3999=may!$A48)*(lentry!$B$3:$B$3999&lt;=may!AJ$3)*(lentry!$C$3:$C$3999&gt;=may!AJ$3)),lentry!$D$3:$D$3999),IF(WEEKDAY(may!AJ$3,1)=1,"WO","P"))</f>
        <v>WO</v>
      </c>
      <c r="AK48" s="4">
        <f>COUNTIF(may!$F48:$AJ48,"WO")</f>
        <v>5</v>
      </c>
      <c r="AL48" s="4">
        <f>COUNTIF(may!$F48:$AJ48,"H")</f>
        <v>2</v>
      </c>
      <c r="AM48" s="4">
        <f>COUNTIF(may!$F48:$AJ48,"PL")</f>
        <v>0</v>
      </c>
      <c r="AN48" s="4">
        <f>COUNTIF(may!$F48:$AJ48,"LWP")</f>
        <v>0</v>
      </c>
      <c r="AO48" s="4">
        <f>COUNTIF(may!$F48:$AJ48,"HD")</f>
        <v>0</v>
      </c>
      <c r="AP48" s="4">
        <f>COUNTIF(may!$F48:$AJ48,"SL")</f>
        <v>0</v>
      </c>
      <c r="AQ48" s="4">
        <f>COUNTIF(may!$F48:$AJ48,"CL")</f>
        <v>0</v>
      </c>
      <c r="AR48" s="4">
        <f>COUNTIF(may!$F48:$AJ48,"A")</f>
        <v>1</v>
      </c>
      <c r="AS48" s="4">
        <f>COUNTIF(may!$F48:$AJ48,"P")</f>
        <v>23</v>
      </c>
      <c r="AT48" s="4">
        <f t="shared" si="2"/>
        <v>31</v>
      </c>
      <c r="AU48" s="4">
        <f t="shared" si="3"/>
        <v>30</v>
      </c>
      <c r="AV48" s="4">
        <f>SUMIFS(holly!$L$2:$L$122,holly!$I$2:$I$122,mar!$A48,holly!$K$2:$K$122,"Mar")</f>
        <v>0</v>
      </c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</row>
    <row r="49" spans="1:80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">
        <v>350</v>
      </c>
      <c r="G49" s="4" t="str">
        <f>IFERROR(LOOKUP(2,1/((lentry!$A$3:$A$3999=may!$A49)*(lentry!$B$3:$B$3999&lt;=may!G$3)*(lentry!$C$3:$C$3999&gt;=may!G$3)),lentry!$D$3:$D$3999),IF(WEEKDAY(may!G$3,1)=1,"WO","P"))</f>
        <v>P</v>
      </c>
      <c r="H49" s="4" t="str">
        <f>IFERROR(LOOKUP(2,1/((lentry!$A$3:$A$3999=may!$A49)*(lentry!$B$3:$B$3999&lt;=may!H$3)*(lentry!$C$3:$C$3999&gt;=may!H$3)),lentry!$D$3:$D$3999),IF(WEEKDAY(may!H$3,1)=1,"WO","P"))</f>
        <v>WO</v>
      </c>
      <c r="I49" s="4" t="str">
        <f>IFERROR(LOOKUP(2,1/((lentry!$A$3:$A$3999=may!$A49)*(lentry!$B$3:$B$3999&lt;=may!I$3)*(lentry!$C$3:$C$3999&gt;=may!I$3)),lentry!$D$3:$D$3999),IF(WEEKDAY(may!I$3,1)=1,"WO","P"))</f>
        <v>P</v>
      </c>
      <c r="J49" s="4" t="str">
        <f>IFERROR(LOOKUP(2,1/((lentry!$A$3:$A$3999=may!$A49)*(lentry!$B$3:$B$3999&lt;=may!J$3)*(lentry!$C$3:$C$3999&gt;=may!J$3)),lentry!$D$3:$D$3999),IF(WEEKDAY(may!J$3,1)=1,"WO","P"))</f>
        <v>P</v>
      </c>
      <c r="K49" s="4" t="str">
        <f>IFERROR(LOOKUP(2,1/((lentry!$A$3:$A$3999=may!$A49)*(lentry!$B$3:$B$3999&lt;=may!K$3)*(lentry!$C$3:$C$3999&gt;=may!K$3)),lentry!$D$3:$D$3999),IF(WEEKDAY(may!K$3,1)=1,"WO","P"))</f>
        <v>P</v>
      </c>
      <c r="L49" s="4" t="str">
        <f>IFERROR(LOOKUP(2,1/((lentry!$A$3:$A$3999=may!$A49)*(lentry!$B$3:$B$3999&lt;=may!L$3)*(lentry!$C$3:$C$3999&gt;=may!L$3)),lentry!$D$3:$D$3999),IF(WEEKDAY(may!L$3,1)=1,"WO","P"))</f>
        <v>P</v>
      </c>
      <c r="M49" s="4" t="str">
        <f>IFERROR(LOOKUP(2,1/((lentry!$A$3:$A$3999=may!$A49)*(lentry!$B$3:$B$3999&lt;=may!M$3)*(lentry!$C$3:$C$3999&gt;=may!M$3)),lentry!$D$3:$D$3999),IF(WEEKDAY(may!M$3,1)=1,"WO","P"))</f>
        <v>P</v>
      </c>
      <c r="N49" s="4" t="str">
        <f>IFERROR(LOOKUP(2,1/((lentry!$A$3:$A$3999=may!$A49)*(lentry!$B$3:$B$3999&lt;=may!N$3)*(lentry!$C$3:$C$3999&gt;=may!N$3)),lentry!$D$3:$D$3999),IF(WEEKDAY(may!N$3,1)=1,"WO","P"))</f>
        <v>P</v>
      </c>
      <c r="O49" s="4" t="str">
        <f>IFERROR(LOOKUP(2,1/((lentry!$A$3:$A$3999=may!$A49)*(lentry!$B$3:$B$3999&lt;=may!O$3)*(lentry!$C$3:$C$3999&gt;=may!O$3)),lentry!$D$3:$D$3999),IF(WEEKDAY(may!O$3,1)=1,"WO","P"))</f>
        <v>WO</v>
      </c>
      <c r="P49" s="4" t="str">
        <f>IFERROR(LOOKUP(2,1/((lentry!$A$3:$A$3999=may!$A49)*(lentry!$B$3:$B$3999&lt;=may!P$3)*(lentry!$C$3:$C$3999&gt;=may!P$3)),lentry!$D$3:$D$3999),IF(WEEKDAY(may!P$3,1)=1,"WO","P"))</f>
        <v>P</v>
      </c>
      <c r="Q49" s="4" t="str">
        <f>IFERROR(LOOKUP(2,1/((lentry!$A$3:$A$3999=may!$A49)*(lentry!$B$3:$B$3999&lt;=may!Q$3)*(lentry!$C$3:$C$3999&gt;=may!Q$3)),lentry!$D$3:$D$3999),IF(WEEKDAY(may!Q$3,1)=1,"WO","P"))</f>
        <v>SL</v>
      </c>
      <c r="R49" s="4" t="str">
        <f>IFERROR(LOOKUP(2,1/((lentry!$A$3:$A$3999=may!$A49)*(lentry!$B$3:$B$3999&lt;=may!R$3)*(lentry!$C$3:$C$3999&gt;=may!R$3)),lentry!$D$3:$D$3999),IF(WEEKDAY(may!R$3,1)=1,"WO","P"))</f>
        <v>P</v>
      </c>
      <c r="S49" s="4" t="str">
        <f>IFERROR(LOOKUP(2,1/((lentry!$A$3:$A$3999=may!$A49)*(lentry!$B$3:$B$3999&lt;=may!S$3)*(lentry!$C$3:$C$3999&gt;=may!S$3)),lentry!$D$3:$D$3999),IF(WEEKDAY(may!S$3,1)=1,"WO","P"))</f>
        <v>P</v>
      </c>
      <c r="T49" s="4" t="str">
        <f>IFERROR(LOOKUP(2,1/((lentry!$A$3:$A$3999=may!$A49)*(lentry!$B$3:$B$3999&lt;=may!T$3)*(lentry!$C$3:$C$3999&gt;=may!T$3)),lentry!$D$3:$D$3999),IF(WEEKDAY(may!T$3,1)=1,"WO","P"))</f>
        <v>P</v>
      </c>
      <c r="U49" s="4" t="str">
        <f>IFERROR(LOOKUP(2,1/((lentry!$A$3:$A$3999=may!$A49)*(lentry!$B$3:$B$3999&lt;=may!U$3)*(lentry!$C$3:$C$3999&gt;=may!U$3)),lentry!$D$3:$D$3999),IF(WEEKDAY(may!U$3,1)=1,"WO","P"))</f>
        <v>P</v>
      </c>
      <c r="V49" s="4" t="str">
        <f>IFERROR(LOOKUP(2,1/((lentry!$A$3:$A$3999=may!$A49)*(lentry!$B$3:$B$3999&lt;=may!V$3)*(lentry!$C$3:$C$3999&gt;=may!V$3)),lentry!$D$3:$D$3999),IF(WEEKDAY(may!V$3,1)=1,"WO","P"))</f>
        <v>WO</v>
      </c>
      <c r="W49" s="4" t="str">
        <f>IFERROR(LOOKUP(2,1/((lentry!$A$3:$A$3999=may!$A49)*(lentry!$B$3:$B$3999&lt;=may!W$3)*(lentry!$C$3:$C$3999&gt;=may!W$3)),lentry!$D$3:$D$3999),IF(WEEKDAY(may!W$3,1)=1,"WO","P"))</f>
        <v>P</v>
      </c>
      <c r="X49" s="4" t="str">
        <f>IFERROR(LOOKUP(2,1/((lentry!$A$3:$A$3999=may!$A49)*(lentry!$B$3:$B$3999&lt;=may!X$3)*(lentry!$C$3:$C$3999&gt;=may!X$3)),lentry!$D$3:$D$3999),IF(WEEKDAY(may!X$3,1)=1,"WO","P"))</f>
        <v>P</v>
      </c>
      <c r="Y49" s="4" t="str">
        <f>IFERROR(LOOKUP(2,1/((lentry!$A$3:$A$3999=may!$A49)*(lentry!$B$3:$B$3999&lt;=may!Y$3)*(lentry!$C$3:$C$3999&gt;=may!Y$3)),lentry!$D$3:$D$3999),IF(WEEKDAY(may!Y$3,1)=1,"WO","P"))</f>
        <v>P</v>
      </c>
      <c r="Z49" s="4" t="str">
        <f>IFERROR(LOOKUP(2,1/((lentry!$A$3:$A$3999=may!$A49)*(lentry!$B$3:$B$3999&lt;=may!Z$3)*(lentry!$C$3:$C$3999&gt;=may!Z$3)),lentry!$D$3:$D$3999),IF(WEEKDAY(may!Z$3,1)=1,"WO","P"))</f>
        <v>P</v>
      </c>
      <c r="AA49" s="4" t="str">
        <f>IFERROR(LOOKUP(2,1/((lentry!$A$3:$A$3999=may!$A49)*(lentry!$B$3:$B$3999&lt;=may!AA$3)*(lentry!$C$3:$C$3999&gt;=may!AA$3)),lentry!$D$3:$D$3999),IF(WEEKDAY(may!AA$3,1)=1,"WO","P"))</f>
        <v>P</v>
      </c>
      <c r="AB49" s="4" t="str">
        <f>IFERROR(LOOKUP(2,1/((lentry!$A$3:$A$3999=may!$A49)*(lentry!$B$3:$B$3999&lt;=may!AB$3)*(lentry!$C$3:$C$3999&gt;=may!AB$3)),lentry!$D$3:$D$3999),IF(WEEKDAY(may!AB$3,1)=1,"WO","P"))</f>
        <v>P</v>
      </c>
      <c r="AC49" s="4" t="str">
        <f>IFERROR(LOOKUP(2,1/((lentry!$A$3:$A$3999=may!$A49)*(lentry!$B$3:$B$3999&lt;=may!AC$3)*(lentry!$C$3:$C$3999&gt;=may!AC$3)),lentry!$D$3:$D$3999),IF(WEEKDAY(may!AC$3,1)=1,"WO","P"))</f>
        <v>WO</v>
      </c>
      <c r="AD49" s="4" t="str">
        <f>IFERROR(LOOKUP(2,1/((lentry!$A$3:$A$3999=may!$A49)*(lentry!$B$3:$B$3999&lt;=may!AD$3)*(lentry!$C$3:$C$3999&gt;=may!AD$3)),lentry!$D$3:$D$3999),IF(WEEKDAY(may!AD$3,1)=1,"WO","P"))</f>
        <v>P</v>
      </c>
      <c r="AE49" s="4" t="str">
        <f>IFERROR(LOOKUP(2,1/((lentry!$A$3:$A$3999=may!$A49)*(lentry!$B$3:$B$3999&lt;=may!AE$3)*(lentry!$C$3:$C$3999&gt;=may!AE$3)),lentry!$D$3:$D$3999),IF(WEEKDAY(may!AE$3,1)=1,"WO","P"))</f>
        <v>P</v>
      </c>
      <c r="AF49" s="4" t="s">
        <v>350</v>
      </c>
      <c r="AG49" s="4" t="str">
        <f>IFERROR(LOOKUP(2,1/((lentry!$A$3:$A$3999=may!$A49)*(lentry!$B$3:$B$3999&lt;=may!AG$3)*(lentry!$C$3:$C$3999&gt;=may!AG$3)),lentry!$D$3:$D$3999),IF(WEEKDAY(may!AG$3,1)=1,"WO","P"))</f>
        <v>P</v>
      </c>
      <c r="AH49" s="4" t="str">
        <f>IFERROR(LOOKUP(2,1/((lentry!$A$3:$A$3999=may!$A49)*(lentry!$B$3:$B$3999&lt;=may!AH$3)*(lentry!$C$3:$C$3999&gt;=may!AH$3)),lentry!$D$3:$D$3999),IF(WEEKDAY(may!AH$3,1)=1,"WO","P"))</f>
        <v>P</v>
      </c>
      <c r="AI49" s="4" t="str">
        <f>IFERROR(LOOKUP(2,1/((lentry!$A$3:$A$3999=may!$A49)*(lentry!$B$3:$B$3999&lt;=may!AI$3)*(lentry!$C$3:$C$3999&gt;=may!AI$3)),lentry!$D$3:$D$3999),IF(WEEKDAY(may!AI$3,1)=1,"WO","P"))</f>
        <v>P</v>
      </c>
      <c r="AJ49" s="4" t="str">
        <f>IFERROR(LOOKUP(2,1/((lentry!$A$3:$A$3999=may!$A49)*(lentry!$B$3:$B$3999&lt;=may!AJ$3)*(lentry!$C$3:$C$3999&gt;=may!AJ$3)),lentry!$D$3:$D$3999),IF(WEEKDAY(may!AJ$3,1)=1,"WO","P"))</f>
        <v>WO</v>
      </c>
      <c r="AK49" s="4">
        <f>COUNTIF(may!$F49:$AJ49,"WO")</f>
        <v>5</v>
      </c>
      <c r="AL49" s="4">
        <f>COUNTIF(may!$F49:$AJ49,"H")</f>
        <v>2</v>
      </c>
      <c r="AM49" s="4">
        <f>COUNTIF(may!$F49:$AJ49,"PL")</f>
        <v>0</v>
      </c>
      <c r="AN49" s="4">
        <f>COUNTIF(may!$F49:$AJ49,"LWP")</f>
        <v>0</v>
      </c>
      <c r="AO49" s="4">
        <f>COUNTIF(may!$F49:$AJ49,"HD")</f>
        <v>0</v>
      </c>
      <c r="AP49" s="4">
        <f>COUNTIF(may!$F49:$AJ49,"SL")</f>
        <v>1</v>
      </c>
      <c r="AQ49" s="4">
        <f>COUNTIF(may!$F49:$AJ49,"CL")</f>
        <v>0</v>
      </c>
      <c r="AR49" s="4">
        <f>COUNTIF(may!$F49:$AJ49,"A")</f>
        <v>0</v>
      </c>
      <c r="AS49" s="4">
        <f>COUNTIF(may!$F49:$AJ49,"P")</f>
        <v>23</v>
      </c>
      <c r="AT49" s="4">
        <f t="shared" si="2"/>
        <v>31</v>
      </c>
      <c r="AU49" s="4">
        <f t="shared" si="3"/>
        <v>31</v>
      </c>
      <c r="AV49" s="4">
        <f>SUMIFS(holly!$L$2:$L$122,holly!$I$2:$I$122,mar!$A49,holly!$K$2:$K$122,"Mar")</f>
        <v>0</v>
      </c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</row>
    <row r="50" spans="1:80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">
        <v>350</v>
      </c>
      <c r="G50" s="4" t="str">
        <f>IFERROR(LOOKUP(2,1/((lentry!$A$3:$A$3999=may!$A50)*(lentry!$B$3:$B$3999&lt;=may!G$3)*(lentry!$C$3:$C$3999&gt;=may!G$3)),lentry!$D$3:$D$3999),IF(WEEKDAY(may!G$3,1)=1,"WO","P"))</f>
        <v>P</v>
      </c>
      <c r="H50" s="4" t="str">
        <f>IFERROR(LOOKUP(2,1/((lentry!$A$3:$A$3999=may!$A50)*(lentry!$B$3:$B$3999&lt;=may!H$3)*(lentry!$C$3:$C$3999&gt;=may!H$3)),lentry!$D$3:$D$3999),IF(WEEKDAY(may!H$3,1)=1,"WO","P"))</f>
        <v>WO</v>
      </c>
      <c r="I50" s="4" t="str">
        <f>IFERROR(LOOKUP(2,1/((lentry!$A$3:$A$3999=may!$A50)*(lentry!$B$3:$B$3999&lt;=may!I$3)*(lentry!$C$3:$C$3999&gt;=may!I$3)),lentry!$D$3:$D$3999),IF(WEEKDAY(may!I$3,1)=1,"WO","P"))</f>
        <v>P</v>
      </c>
      <c r="J50" s="4" t="str">
        <f>IFERROR(LOOKUP(2,1/((lentry!$A$3:$A$3999=may!$A50)*(lentry!$B$3:$B$3999&lt;=may!J$3)*(lentry!$C$3:$C$3999&gt;=may!J$3)),lentry!$D$3:$D$3999),IF(WEEKDAY(may!J$3,1)=1,"WO","P"))</f>
        <v>P</v>
      </c>
      <c r="K50" s="4" t="str">
        <f>IFERROR(LOOKUP(2,1/((lentry!$A$3:$A$3999=may!$A50)*(lentry!$B$3:$B$3999&lt;=may!K$3)*(lentry!$C$3:$C$3999&gt;=may!K$3)),lentry!$D$3:$D$3999),IF(WEEKDAY(may!K$3,1)=1,"WO","P"))</f>
        <v>P</v>
      </c>
      <c r="L50" s="4" t="str">
        <f>IFERROR(LOOKUP(2,1/((lentry!$A$3:$A$3999=may!$A50)*(lentry!$B$3:$B$3999&lt;=may!L$3)*(lentry!$C$3:$C$3999&gt;=may!L$3)),lentry!$D$3:$D$3999),IF(WEEKDAY(may!L$3,1)=1,"WO","P"))</f>
        <v>P</v>
      </c>
      <c r="M50" s="4" t="str">
        <f>IFERROR(LOOKUP(2,1/((lentry!$A$3:$A$3999=may!$A50)*(lentry!$B$3:$B$3999&lt;=may!M$3)*(lentry!$C$3:$C$3999&gt;=may!M$3)),lentry!$D$3:$D$3999),IF(WEEKDAY(may!M$3,1)=1,"WO","P"))</f>
        <v>P</v>
      </c>
      <c r="N50" s="4" t="str">
        <f>IFERROR(LOOKUP(2,1/((lentry!$A$3:$A$3999=may!$A50)*(lentry!$B$3:$B$3999&lt;=may!N$3)*(lentry!$C$3:$C$3999&gt;=may!N$3)),lentry!$D$3:$D$3999),IF(WEEKDAY(may!N$3,1)=1,"WO","P"))</f>
        <v>P</v>
      </c>
      <c r="O50" s="4" t="str">
        <f>IFERROR(LOOKUP(2,1/((lentry!$A$3:$A$3999=may!$A50)*(lentry!$B$3:$B$3999&lt;=may!O$3)*(lentry!$C$3:$C$3999&gt;=may!O$3)),lentry!$D$3:$D$3999),IF(WEEKDAY(may!O$3,1)=1,"WO","P"))</f>
        <v>WO</v>
      </c>
      <c r="P50" s="4" t="str">
        <f>IFERROR(LOOKUP(2,1/((lentry!$A$3:$A$3999=may!$A50)*(lentry!$B$3:$B$3999&lt;=may!P$3)*(lentry!$C$3:$C$3999&gt;=may!P$3)),lentry!$D$3:$D$3999),IF(WEEKDAY(may!P$3,1)=1,"WO","P"))</f>
        <v>P</v>
      </c>
      <c r="Q50" s="4" t="str">
        <f>IFERROR(LOOKUP(2,1/((lentry!$A$3:$A$3999=may!$A50)*(lentry!$B$3:$B$3999&lt;=may!Q$3)*(lentry!$C$3:$C$3999&gt;=may!Q$3)),lentry!$D$3:$D$3999),IF(WEEKDAY(may!Q$3,1)=1,"WO","P"))</f>
        <v>P</v>
      </c>
      <c r="R50" s="4" t="str">
        <f>IFERROR(LOOKUP(2,1/((lentry!$A$3:$A$3999=may!$A50)*(lentry!$B$3:$B$3999&lt;=may!R$3)*(lentry!$C$3:$C$3999&gt;=may!R$3)),lentry!$D$3:$D$3999),IF(WEEKDAY(may!R$3,1)=1,"WO","P"))</f>
        <v>P</v>
      </c>
      <c r="S50" s="4" t="str">
        <f>IFERROR(LOOKUP(2,1/((lentry!$A$3:$A$3999=may!$A50)*(lentry!$B$3:$B$3999&lt;=may!S$3)*(lentry!$C$3:$C$3999&gt;=may!S$3)),lentry!$D$3:$D$3999),IF(WEEKDAY(may!S$3,1)=1,"WO","P"))</f>
        <v>P</v>
      </c>
      <c r="T50" s="4" t="str">
        <f>IFERROR(LOOKUP(2,1/((lentry!$A$3:$A$3999=may!$A50)*(lentry!$B$3:$B$3999&lt;=may!T$3)*(lentry!$C$3:$C$3999&gt;=may!T$3)),lentry!$D$3:$D$3999),IF(WEEKDAY(may!T$3,1)=1,"WO","P"))</f>
        <v>P</v>
      </c>
      <c r="U50" s="4" t="str">
        <f>IFERROR(LOOKUP(2,1/((lentry!$A$3:$A$3999=may!$A50)*(lentry!$B$3:$B$3999&lt;=may!U$3)*(lentry!$C$3:$C$3999&gt;=may!U$3)),lentry!$D$3:$D$3999),IF(WEEKDAY(may!U$3,1)=1,"WO","P"))</f>
        <v>P</v>
      </c>
      <c r="V50" s="4" t="str">
        <f>IFERROR(LOOKUP(2,1/((lentry!$A$3:$A$3999=may!$A50)*(lentry!$B$3:$B$3999&lt;=may!V$3)*(lentry!$C$3:$C$3999&gt;=may!V$3)),lentry!$D$3:$D$3999),IF(WEEKDAY(may!V$3,1)=1,"WO","P"))</f>
        <v>WO</v>
      </c>
      <c r="W50" s="4" t="str">
        <f>IFERROR(LOOKUP(2,1/((lentry!$A$3:$A$3999=may!$A50)*(lentry!$B$3:$B$3999&lt;=may!W$3)*(lentry!$C$3:$C$3999&gt;=may!W$3)),lentry!$D$3:$D$3999),IF(WEEKDAY(may!W$3,1)=1,"WO","P"))</f>
        <v>P</v>
      </c>
      <c r="X50" s="4" t="str">
        <f>IFERROR(LOOKUP(2,1/((lentry!$A$3:$A$3999=may!$A50)*(lentry!$B$3:$B$3999&lt;=may!X$3)*(lentry!$C$3:$C$3999&gt;=may!X$3)),lentry!$D$3:$D$3999),IF(WEEKDAY(may!X$3,1)=1,"WO","P"))</f>
        <v>P</v>
      </c>
      <c r="Y50" s="4" t="str">
        <f>IFERROR(LOOKUP(2,1/((lentry!$A$3:$A$3999=may!$A50)*(lentry!$B$3:$B$3999&lt;=may!Y$3)*(lentry!$C$3:$C$3999&gt;=may!Y$3)),lentry!$D$3:$D$3999),IF(WEEKDAY(may!Y$3,1)=1,"WO","P"))</f>
        <v>P</v>
      </c>
      <c r="Z50" s="4" t="str">
        <f>IFERROR(LOOKUP(2,1/((lentry!$A$3:$A$3999=may!$A50)*(lentry!$B$3:$B$3999&lt;=may!Z$3)*(lentry!$C$3:$C$3999&gt;=may!Z$3)),lentry!$D$3:$D$3999),IF(WEEKDAY(may!Z$3,1)=1,"WO","P"))</f>
        <v>P</v>
      </c>
      <c r="AA50" s="4" t="s">
        <v>539</v>
      </c>
      <c r="AB50" s="4" t="str">
        <f>IFERROR(LOOKUP(2,1/((lentry!$A$3:$A$3999=may!$A50)*(lentry!$B$3:$B$3999&lt;=may!AB$3)*(lentry!$C$3:$C$3999&gt;=may!AB$3)),lentry!$D$3:$D$3999),IF(WEEKDAY(may!AB$3,1)=1,"WO","P"))</f>
        <v>P</v>
      </c>
      <c r="AC50" s="4" t="str">
        <f>IFERROR(LOOKUP(2,1/((lentry!$A$3:$A$3999=may!$A50)*(lentry!$B$3:$B$3999&lt;=may!AC$3)*(lentry!$C$3:$C$3999&gt;=may!AC$3)),lentry!$D$3:$D$3999),IF(WEEKDAY(may!AC$3,1)=1,"WO","P"))</f>
        <v>WO</v>
      </c>
      <c r="AD50" s="4" t="str">
        <f>IFERROR(LOOKUP(2,1/((lentry!$A$3:$A$3999=may!$A50)*(lentry!$B$3:$B$3999&lt;=may!AD$3)*(lentry!$C$3:$C$3999&gt;=may!AD$3)),lentry!$D$3:$D$3999),IF(WEEKDAY(may!AD$3,1)=1,"WO","P"))</f>
        <v>P</v>
      </c>
      <c r="AE50" s="4" t="str">
        <f>IFERROR(LOOKUP(2,1/((lentry!$A$3:$A$3999=may!$A50)*(lentry!$B$3:$B$3999&lt;=may!AE$3)*(lentry!$C$3:$C$3999&gt;=may!AE$3)),lentry!$D$3:$D$3999),IF(WEEKDAY(may!AE$3,1)=1,"WO","P"))</f>
        <v>P</v>
      </c>
      <c r="AF50" s="4" t="s">
        <v>350</v>
      </c>
      <c r="AG50" s="4" t="str">
        <f>IFERROR(LOOKUP(2,1/((lentry!$A$3:$A$3999=may!$A50)*(lentry!$B$3:$B$3999&lt;=may!AG$3)*(lentry!$C$3:$C$3999&gt;=may!AG$3)),lentry!$D$3:$D$3999),IF(WEEKDAY(may!AG$3,1)=1,"WO","P"))</f>
        <v>P</v>
      </c>
      <c r="AH50" s="4" t="str">
        <f>IFERROR(LOOKUP(2,1/((lentry!$A$3:$A$3999=may!$A50)*(lentry!$B$3:$B$3999&lt;=may!AH$3)*(lentry!$C$3:$C$3999&gt;=may!AH$3)),lentry!$D$3:$D$3999),IF(WEEKDAY(may!AH$3,1)=1,"WO","P"))</f>
        <v>P</v>
      </c>
      <c r="AI50" s="4" t="str">
        <f>IFERROR(LOOKUP(2,1/((lentry!$A$3:$A$3999=may!$A50)*(lentry!$B$3:$B$3999&lt;=may!AI$3)*(lentry!$C$3:$C$3999&gt;=may!AI$3)),lentry!$D$3:$D$3999),IF(WEEKDAY(may!AI$3,1)=1,"WO","P"))</f>
        <v>P</v>
      </c>
      <c r="AJ50" s="4" t="str">
        <f>IFERROR(LOOKUP(2,1/((lentry!$A$3:$A$3999=may!$A50)*(lentry!$B$3:$B$3999&lt;=may!AJ$3)*(lentry!$C$3:$C$3999&gt;=may!AJ$3)),lentry!$D$3:$D$3999),IF(WEEKDAY(may!AJ$3,1)=1,"WO","P"))</f>
        <v>WO</v>
      </c>
      <c r="AK50" s="4">
        <f>COUNTIF(may!$F50:$AJ50,"WO")</f>
        <v>5</v>
      </c>
      <c r="AL50" s="4">
        <f>COUNTIF(may!$F50:$AJ50,"H")</f>
        <v>2</v>
      </c>
      <c r="AM50" s="4">
        <f>COUNTIF(may!$F50:$AJ50,"PL")</f>
        <v>0</v>
      </c>
      <c r="AN50" s="4">
        <f>COUNTIF(may!$F50:$AJ50,"LWP")</f>
        <v>0</v>
      </c>
      <c r="AO50" s="4">
        <f>COUNTIF(may!$F50:$AJ50,"HD")</f>
        <v>0</v>
      </c>
      <c r="AP50" s="4">
        <f>COUNTIF(may!$F50:$AJ50,"SL")</f>
        <v>0</v>
      </c>
      <c r="AQ50" s="4">
        <f>COUNTIF(may!$F50:$AJ50,"CL")</f>
        <v>0</v>
      </c>
      <c r="AR50" s="4">
        <f>COUNTIF(may!$F50:$AJ50,"A")</f>
        <v>1</v>
      </c>
      <c r="AS50" s="4">
        <f>COUNTIF(may!$F50:$AJ50,"P")</f>
        <v>23</v>
      </c>
      <c r="AT50" s="4">
        <f t="shared" si="2"/>
        <v>31</v>
      </c>
      <c r="AU50" s="4">
        <f t="shared" si="3"/>
        <v>30</v>
      </c>
      <c r="AV50" s="4">
        <f>SUMIFS(holly!$L$2:$L$122,holly!$I$2:$I$122,mar!$A50,holly!$K$2:$K$122,"Mar")</f>
        <v>0</v>
      </c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</row>
    <row r="51" spans="1:80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">
        <v>350</v>
      </c>
      <c r="G51" s="4" t="str">
        <f>IFERROR(LOOKUP(2,1/((lentry!$A$3:$A$3999=may!$A51)*(lentry!$B$3:$B$3999&lt;=may!G$3)*(lentry!$C$3:$C$3999&gt;=may!G$3)),lentry!$D$3:$D$3999),IF(WEEKDAY(may!G$3,1)=1,"WO","P"))</f>
        <v>P</v>
      </c>
      <c r="H51" s="4" t="str">
        <f>IFERROR(LOOKUP(2,1/((lentry!$A$3:$A$3999=may!$A51)*(lentry!$B$3:$B$3999&lt;=may!H$3)*(lentry!$C$3:$C$3999&gt;=may!H$3)),lentry!$D$3:$D$3999),IF(WEEKDAY(may!H$3,1)=1,"WO","P"))</f>
        <v>WO</v>
      </c>
      <c r="I51" s="4" t="str">
        <f>IFERROR(LOOKUP(2,1/((lentry!$A$3:$A$3999=may!$A51)*(lentry!$B$3:$B$3999&lt;=may!I$3)*(lentry!$C$3:$C$3999&gt;=may!I$3)),lentry!$D$3:$D$3999),IF(WEEKDAY(may!I$3,1)=1,"WO","P"))</f>
        <v>P</v>
      </c>
      <c r="J51" s="4" t="str">
        <f>IFERROR(LOOKUP(2,1/((lentry!$A$3:$A$3999=may!$A51)*(lentry!$B$3:$B$3999&lt;=may!J$3)*(lentry!$C$3:$C$3999&gt;=may!J$3)),lentry!$D$3:$D$3999),IF(WEEKDAY(may!J$3,1)=1,"WO","P"))</f>
        <v>P</v>
      </c>
      <c r="K51" s="4" t="str">
        <f>IFERROR(LOOKUP(2,1/((lentry!$A$3:$A$3999=may!$A51)*(lentry!$B$3:$B$3999&lt;=may!K$3)*(lentry!$C$3:$C$3999&gt;=may!K$3)),lentry!$D$3:$D$3999),IF(WEEKDAY(may!K$3,1)=1,"WO","P"))</f>
        <v>P</v>
      </c>
      <c r="L51" s="4" t="str">
        <f>IFERROR(LOOKUP(2,1/((lentry!$A$3:$A$3999=may!$A51)*(lentry!$B$3:$B$3999&lt;=may!L$3)*(lentry!$C$3:$C$3999&gt;=may!L$3)),lentry!$D$3:$D$3999),IF(WEEKDAY(may!L$3,1)=1,"WO","P"))</f>
        <v>P</v>
      </c>
      <c r="M51" s="4" t="str">
        <f>IFERROR(LOOKUP(2,1/((lentry!$A$3:$A$3999=may!$A51)*(lentry!$B$3:$B$3999&lt;=may!M$3)*(lentry!$C$3:$C$3999&gt;=may!M$3)),lentry!$D$3:$D$3999),IF(WEEKDAY(may!M$3,1)=1,"WO","P"))</f>
        <v>P</v>
      </c>
      <c r="N51" s="4" t="str">
        <f>IFERROR(LOOKUP(2,1/((lentry!$A$3:$A$3999=may!$A51)*(lentry!$B$3:$B$3999&lt;=may!N$3)*(lentry!$C$3:$C$3999&gt;=may!N$3)),lentry!$D$3:$D$3999),IF(WEEKDAY(may!N$3,1)=1,"WO","P"))</f>
        <v>P</v>
      </c>
      <c r="O51" s="4" t="str">
        <f>IFERROR(LOOKUP(2,1/((lentry!$A$3:$A$3999=may!$A51)*(lentry!$B$3:$B$3999&lt;=may!O$3)*(lentry!$C$3:$C$3999&gt;=may!O$3)),lentry!$D$3:$D$3999),IF(WEEKDAY(may!O$3,1)=1,"WO","P"))</f>
        <v>WO</v>
      </c>
      <c r="P51" s="4" t="str">
        <f>IFERROR(LOOKUP(2,1/((lentry!$A$3:$A$3999=may!$A51)*(lentry!$B$3:$B$3999&lt;=may!P$3)*(lentry!$C$3:$C$3999&gt;=may!P$3)),lentry!$D$3:$D$3999),IF(WEEKDAY(may!P$3,1)=1,"WO","P"))</f>
        <v>P</v>
      </c>
      <c r="Q51" s="4" t="str">
        <f>IFERROR(LOOKUP(2,1/((lentry!$A$3:$A$3999=may!$A51)*(lentry!$B$3:$B$3999&lt;=may!Q$3)*(lentry!$C$3:$C$3999&gt;=may!Q$3)),lentry!$D$3:$D$3999),IF(WEEKDAY(may!Q$3,1)=1,"WO","P"))</f>
        <v>P</v>
      </c>
      <c r="R51" s="4" t="str">
        <f>IFERROR(LOOKUP(2,1/((lentry!$A$3:$A$3999=may!$A51)*(lentry!$B$3:$B$3999&lt;=may!R$3)*(lentry!$C$3:$C$3999&gt;=may!R$3)),lentry!$D$3:$D$3999),IF(WEEKDAY(may!R$3,1)=1,"WO","P"))</f>
        <v>P</v>
      </c>
      <c r="S51" s="4" t="str">
        <f>IFERROR(LOOKUP(2,1/((lentry!$A$3:$A$3999=may!$A51)*(lentry!$B$3:$B$3999&lt;=may!S$3)*(lentry!$C$3:$C$3999&gt;=may!S$3)),lentry!$D$3:$D$3999),IF(WEEKDAY(may!S$3,1)=1,"WO","P"))</f>
        <v>P</v>
      </c>
      <c r="T51" s="4" t="str">
        <f>IFERROR(LOOKUP(2,1/((lentry!$A$3:$A$3999=may!$A51)*(lentry!$B$3:$B$3999&lt;=may!T$3)*(lentry!$C$3:$C$3999&gt;=may!T$3)),lentry!$D$3:$D$3999),IF(WEEKDAY(may!T$3,1)=1,"WO","P"))</f>
        <v>P</v>
      </c>
      <c r="U51" s="4" t="str">
        <f>IFERROR(LOOKUP(2,1/((lentry!$A$3:$A$3999=may!$A51)*(lentry!$B$3:$B$3999&lt;=may!U$3)*(lentry!$C$3:$C$3999&gt;=may!U$3)),lentry!$D$3:$D$3999),IF(WEEKDAY(may!U$3,1)=1,"WO","P"))</f>
        <v>P</v>
      </c>
      <c r="V51" s="4" t="str">
        <f>IFERROR(LOOKUP(2,1/((lentry!$A$3:$A$3999=may!$A51)*(lentry!$B$3:$B$3999&lt;=may!V$3)*(lentry!$C$3:$C$3999&gt;=may!V$3)),lentry!$D$3:$D$3999),IF(WEEKDAY(may!V$3,1)=1,"WO","P"))</f>
        <v>WO</v>
      </c>
      <c r="W51" s="4" t="str">
        <f>IFERROR(LOOKUP(2,1/((lentry!$A$3:$A$3999=may!$A51)*(lentry!$B$3:$B$3999&lt;=may!W$3)*(lentry!$C$3:$C$3999&gt;=may!W$3)),lentry!$D$3:$D$3999),IF(WEEKDAY(may!W$3,1)=1,"WO","P"))</f>
        <v>P</v>
      </c>
      <c r="X51" s="4" t="str">
        <f>IFERROR(LOOKUP(2,1/((lentry!$A$3:$A$3999=may!$A51)*(lentry!$B$3:$B$3999&lt;=may!X$3)*(lentry!$C$3:$C$3999&gt;=may!X$3)),lentry!$D$3:$D$3999),IF(WEEKDAY(may!X$3,1)=1,"WO","P"))</f>
        <v>P</v>
      </c>
      <c r="Y51" s="4" t="str">
        <f>IFERROR(LOOKUP(2,1/((lentry!$A$3:$A$3999=may!$A51)*(lentry!$B$3:$B$3999&lt;=may!Y$3)*(lentry!$C$3:$C$3999&gt;=may!Y$3)),lentry!$D$3:$D$3999),IF(WEEKDAY(may!Y$3,1)=1,"WO","P"))</f>
        <v>P</v>
      </c>
      <c r="Z51" s="4" t="str">
        <f>IFERROR(LOOKUP(2,1/((lentry!$A$3:$A$3999=may!$A51)*(lentry!$B$3:$B$3999&lt;=may!Z$3)*(lentry!$C$3:$C$3999&gt;=may!Z$3)),lentry!$D$3:$D$3999),IF(WEEKDAY(may!Z$3,1)=1,"WO","P"))</f>
        <v>P</v>
      </c>
      <c r="AA51" s="4" t="str">
        <f>IFERROR(LOOKUP(2,1/((lentry!$A$3:$A$3999=may!$A51)*(lentry!$B$3:$B$3999&lt;=may!AA$3)*(lentry!$C$3:$C$3999&gt;=may!AA$3)),lentry!$D$3:$D$3999),IF(WEEKDAY(may!AA$3,1)=1,"WO","P"))</f>
        <v>P</v>
      </c>
      <c r="AB51" s="4" t="str">
        <f>IFERROR(LOOKUP(2,1/((lentry!$A$3:$A$3999=may!$A51)*(lentry!$B$3:$B$3999&lt;=may!AB$3)*(lentry!$C$3:$C$3999&gt;=may!AB$3)),lentry!$D$3:$D$3999),IF(WEEKDAY(may!AB$3,1)=1,"WO","P"))</f>
        <v>P</v>
      </c>
      <c r="AC51" s="4" t="str">
        <f>IFERROR(LOOKUP(2,1/((lentry!$A$3:$A$3999=may!$A51)*(lentry!$B$3:$B$3999&lt;=may!AC$3)*(lentry!$C$3:$C$3999&gt;=may!AC$3)),lentry!$D$3:$D$3999),IF(WEEKDAY(may!AC$3,1)=1,"WO","P"))</f>
        <v>WO</v>
      </c>
      <c r="AD51" s="4" t="str">
        <f>IFERROR(LOOKUP(2,1/((lentry!$A$3:$A$3999=may!$A51)*(lentry!$B$3:$B$3999&lt;=may!AD$3)*(lentry!$C$3:$C$3999&gt;=may!AD$3)),lentry!$D$3:$D$3999),IF(WEEKDAY(may!AD$3,1)=1,"WO","P"))</f>
        <v>P</v>
      </c>
      <c r="AE51" s="4" t="str">
        <f>IFERROR(LOOKUP(2,1/((lentry!$A$3:$A$3999=may!$A51)*(lentry!$B$3:$B$3999&lt;=may!AE$3)*(lentry!$C$3:$C$3999&gt;=may!AE$3)),lentry!$D$3:$D$3999),IF(WEEKDAY(may!AE$3,1)=1,"WO","P"))</f>
        <v>P</v>
      </c>
      <c r="AF51" s="4" t="s">
        <v>350</v>
      </c>
      <c r="AG51" s="4" t="str">
        <f>IFERROR(LOOKUP(2,1/((lentry!$A$3:$A$3999=may!$A51)*(lentry!$B$3:$B$3999&lt;=may!AG$3)*(lentry!$C$3:$C$3999&gt;=may!AG$3)),lentry!$D$3:$D$3999),IF(WEEKDAY(may!AG$3,1)=1,"WO","P"))</f>
        <v>P</v>
      </c>
      <c r="AH51" s="4" t="str">
        <f>IFERROR(LOOKUP(2,1/((lentry!$A$3:$A$3999=may!$A51)*(lentry!$B$3:$B$3999&lt;=may!AH$3)*(lentry!$C$3:$C$3999&gt;=may!AH$3)),lentry!$D$3:$D$3999),IF(WEEKDAY(may!AH$3,1)=1,"WO","P"))</f>
        <v>P</v>
      </c>
      <c r="AI51" s="4" t="str">
        <f>IFERROR(LOOKUP(2,1/((lentry!$A$3:$A$3999=may!$A51)*(lentry!$B$3:$B$3999&lt;=may!AI$3)*(lentry!$C$3:$C$3999&gt;=may!AI$3)),lentry!$D$3:$D$3999),IF(WEEKDAY(may!AI$3,1)=1,"WO","P"))</f>
        <v>P</v>
      </c>
      <c r="AJ51" s="4" t="str">
        <f>IFERROR(LOOKUP(2,1/((lentry!$A$3:$A$3999=may!$A51)*(lentry!$B$3:$B$3999&lt;=may!AJ$3)*(lentry!$C$3:$C$3999&gt;=may!AJ$3)),lentry!$D$3:$D$3999),IF(WEEKDAY(may!AJ$3,1)=1,"WO","P"))</f>
        <v>WO</v>
      </c>
      <c r="AK51" s="4">
        <f>COUNTIF(may!$F51:$AJ51,"WO")</f>
        <v>5</v>
      </c>
      <c r="AL51" s="4">
        <f>COUNTIF(may!$F51:$AJ51,"H")</f>
        <v>2</v>
      </c>
      <c r="AM51" s="4">
        <f>COUNTIF(may!$F51:$AJ51,"PL")</f>
        <v>0</v>
      </c>
      <c r="AN51" s="4">
        <f>COUNTIF(may!$F51:$AJ51,"LWP")</f>
        <v>0</v>
      </c>
      <c r="AO51" s="4">
        <f>COUNTIF(may!$F51:$AJ51,"HD")</f>
        <v>0</v>
      </c>
      <c r="AP51" s="4">
        <f>COUNTIF(may!$F51:$AJ51,"SL")</f>
        <v>0</v>
      </c>
      <c r="AQ51" s="4">
        <f>COUNTIF(may!$F51:$AJ51,"CL")</f>
        <v>0</v>
      </c>
      <c r="AR51" s="4">
        <f>COUNTIF(may!$F51:$AJ51,"A")</f>
        <v>0</v>
      </c>
      <c r="AS51" s="4">
        <f>COUNTIF(may!$F51:$AJ51,"P")</f>
        <v>24</v>
      </c>
      <c r="AT51" s="4">
        <f t="shared" si="2"/>
        <v>31</v>
      </c>
      <c r="AU51" s="4">
        <f t="shared" si="3"/>
        <v>31</v>
      </c>
      <c r="AV51" s="4">
        <f>SUMIFS(holly!$L$2:$L$122,holly!$I$2:$I$122,mar!$A51,holly!$K$2:$K$122,"Mar")</f>
        <v>3</v>
      </c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</row>
    <row r="52" spans="1:80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">
        <v>350</v>
      </c>
      <c r="G52" s="4" t="str">
        <f>IFERROR(LOOKUP(2,1/((lentry!$A$3:$A$3999=may!$A52)*(lentry!$B$3:$B$3999&lt;=may!G$3)*(lentry!$C$3:$C$3999&gt;=may!G$3)),lentry!$D$3:$D$3999),IF(WEEKDAY(may!G$3,1)=1,"WO","P"))</f>
        <v>P</v>
      </c>
      <c r="H52" s="4" t="str">
        <f>IFERROR(LOOKUP(2,1/((lentry!$A$3:$A$3999=may!$A52)*(lentry!$B$3:$B$3999&lt;=may!H$3)*(lentry!$C$3:$C$3999&gt;=may!H$3)),lentry!$D$3:$D$3999),IF(WEEKDAY(may!H$3,1)=1,"WO","P"))</f>
        <v>WO</v>
      </c>
      <c r="I52" s="4" t="str">
        <f>IFERROR(LOOKUP(2,1/((lentry!$A$3:$A$3999=may!$A52)*(lentry!$B$3:$B$3999&lt;=may!I$3)*(lentry!$C$3:$C$3999&gt;=may!I$3)),lentry!$D$3:$D$3999),IF(WEEKDAY(may!I$3,1)=1,"WO","P"))</f>
        <v>P</v>
      </c>
      <c r="J52" s="4" t="str">
        <f>IFERROR(LOOKUP(2,1/((lentry!$A$3:$A$3999=may!$A52)*(lentry!$B$3:$B$3999&lt;=may!J$3)*(lentry!$C$3:$C$3999&gt;=may!J$3)),lentry!$D$3:$D$3999),IF(WEEKDAY(may!J$3,1)=1,"WO","P"))</f>
        <v>P</v>
      </c>
      <c r="K52" s="4" t="str">
        <f>IFERROR(LOOKUP(2,1/((lentry!$A$3:$A$3999=may!$A52)*(lentry!$B$3:$B$3999&lt;=may!K$3)*(lentry!$C$3:$C$3999&gt;=may!K$3)),lentry!$D$3:$D$3999),IF(WEEKDAY(may!K$3,1)=1,"WO","P"))</f>
        <v>P</v>
      </c>
      <c r="L52" s="4" t="str">
        <f>IFERROR(LOOKUP(2,1/((lentry!$A$3:$A$3999=may!$A52)*(lentry!$B$3:$B$3999&lt;=may!L$3)*(lentry!$C$3:$C$3999&gt;=may!L$3)),lentry!$D$3:$D$3999),IF(WEEKDAY(may!L$3,1)=1,"WO","P"))</f>
        <v>P</v>
      </c>
      <c r="M52" s="4" t="str">
        <f>IFERROR(LOOKUP(2,1/((lentry!$A$3:$A$3999=may!$A52)*(lentry!$B$3:$B$3999&lt;=may!M$3)*(lentry!$C$3:$C$3999&gt;=may!M$3)),lentry!$D$3:$D$3999),IF(WEEKDAY(may!M$3,1)=1,"WO","P"))</f>
        <v>P</v>
      </c>
      <c r="N52" s="4" t="str">
        <f>IFERROR(LOOKUP(2,1/((lentry!$A$3:$A$3999=may!$A52)*(lentry!$B$3:$B$3999&lt;=may!N$3)*(lentry!$C$3:$C$3999&gt;=may!N$3)),lentry!$D$3:$D$3999),IF(WEEKDAY(may!N$3,1)=1,"WO","P"))</f>
        <v>P</v>
      </c>
      <c r="O52" s="4" t="str">
        <f>IFERROR(LOOKUP(2,1/((lentry!$A$3:$A$3999=may!$A52)*(lentry!$B$3:$B$3999&lt;=may!O$3)*(lentry!$C$3:$C$3999&gt;=may!O$3)),lentry!$D$3:$D$3999),IF(WEEKDAY(may!O$3,1)=1,"WO","P"))</f>
        <v>WO</v>
      </c>
      <c r="P52" s="4" t="str">
        <f>IFERROR(LOOKUP(2,1/((lentry!$A$3:$A$3999=may!$A52)*(lentry!$B$3:$B$3999&lt;=may!P$3)*(lentry!$C$3:$C$3999&gt;=may!P$3)),lentry!$D$3:$D$3999),IF(WEEKDAY(may!P$3,1)=1,"WO","P"))</f>
        <v>P</v>
      </c>
      <c r="Q52" s="4" t="str">
        <f>IFERROR(LOOKUP(2,1/((lentry!$A$3:$A$3999=may!$A52)*(lentry!$B$3:$B$3999&lt;=may!Q$3)*(lentry!$C$3:$C$3999&gt;=may!Q$3)),lentry!$D$3:$D$3999),IF(WEEKDAY(may!Q$3,1)=1,"WO","P"))</f>
        <v>P</v>
      </c>
      <c r="R52" s="4" t="str">
        <f>IFERROR(LOOKUP(2,1/((lentry!$A$3:$A$3999=may!$A52)*(lentry!$B$3:$B$3999&lt;=may!R$3)*(lentry!$C$3:$C$3999&gt;=may!R$3)),lentry!$D$3:$D$3999),IF(WEEKDAY(may!R$3,1)=1,"WO","P"))</f>
        <v>P</v>
      </c>
      <c r="S52" s="4" t="str">
        <f>IFERROR(LOOKUP(2,1/((lentry!$A$3:$A$3999=may!$A52)*(lentry!$B$3:$B$3999&lt;=may!S$3)*(lentry!$C$3:$C$3999&gt;=may!S$3)),lentry!$D$3:$D$3999),IF(WEEKDAY(may!S$3,1)=1,"WO","P"))</f>
        <v>P</v>
      </c>
      <c r="T52" s="4" t="str">
        <f>IFERROR(LOOKUP(2,1/((lentry!$A$3:$A$3999=may!$A52)*(lentry!$B$3:$B$3999&lt;=may!T$3)*(lentry!$C$3:$C$3999&gt;=may!T$3)),lentry!$D$3:$D$3999),IF(WEEKDAY(may!T$3,1)=1,"WO","P"))</f>
        <v>P</v>
      </c>
      <c r="U52" s="4" t="str">
        <f>IFERROR(LOOKUP(2,1/((lentry!$A$3:$A$3999=may!$A52)*(lentry!$B$3:$B$3999&lt;=may!U$3)*(lentry!$C$3:$C$3999&gt;=may!U$3)),lentry!$D$3:$D$3999),IF(WEEKDAY(may!U$3,1)=1,"WO","P"))</f>
        <v>P</v>
      </c>
      <c r="V52" s="4" t="str">
        <f>IFERROR(LOOKUP(2,1/((lentry!$A$3:$A$3999=may!$A52)*(lentry!$B$3:$B$3999&lt;=may!V$3)*(lentry!$C$3:$C$3999&gt;=may!V$3)),lentry!$D$3:$D$3999),IF(WEEKDAY(may!V$3,1)=1,"WO","P"))</f>
        <v>WO</v>
      </c>
      <c r="W52" s="4" t="s">
        <v>539</v>
      </c>
      <c r="X52" s="4" t="str">
        <f>IFERROR(LOOKUP(2,1/((lentry!$A$3:$A$3999=may!$A52)*(lentry!$B$3:$B$3999&lt;=may!X$3)*(lentry!$C$3:$C$3999&gt;=may!X$3)),lentry!$D$3:$D$3999),IF(WEEKDAY(may!X$3,1)=1,"WO","P"))</f>
        <v>P</v>
      </c>
      <c r="Y52" s="4" t="str">
        <f>IFERROR(LOOKUP(2,1/((lentry!$A$3:$A$3999=may!$A52)*(lentry!$B$3:$B$3999&lt;=may!Y$3)*(lentry!$C$3:$C$3999&gt;=may!Y$3)),lentry!$D$3:$D$3999),IF(WEEKDAY(may!Y$3,1)=1,"WO","P"))</f>
        <v>P</v>
      </c>
      <c r="Z52" s="4" t="str">
        <f>IFERROR(LOOKUP(2,1/((lentry!$A$3:$A$3999=may!$A52)*(lentry!$B$3:$B$3999&lt;=may!Z$3)*(lentry!$C$3:$C$3999&gt;=may!Z$3)),lentry!$D$3:$D$3999),IF(WEEKDAY(may!Z$3,1)=1,"WO","P"))</f>
        <v>P</v>
      </c>
      <c r="AA52" s="4" t="str">
        <f>IFERROR(LOOKUP(2,1/((lentry!$A$3:$A$3999=may!$A52)*(lentry!$B$3:$B$3999&lt;=may!AA$3)*(lentry!$C$3:$C$3999&gt;=may!AA$3)),lentry!$D$3:$D$3999),IF(WEEKDAY(may!AA$3,1)=1,"WO","P"))</f>
        <v>P</v>
      </c>
      <c r="AB52" s="4" t="str">
        <f>IFERROR(LOOKUP(2,1/((lentry!$A$3:$A$3999=may!$A52)*(lentry!$B$3:$B$3999&lt;=may!AB$3)*(lentry!$C$3:$C$3999&gt;=may!AB$3)),lentry!$D$3:$D$3999),IF(WEEKDAY(may!AB$3,1)=1,"WO","P"))</f>
        <v>P</v>
      </c>
      <c r="AC52" s="4" t="str">
        <f>IFERROR(LOOKUP(2,1/((lentry!$A$3:$A$3999=may!$A52)*(lentry!$B$3:$B$3999&lt;=may!AC$3)*(lentry!$C$3:$C$3999&gt;=may!AC$3)),lentry!$D$3:$D$3999),IF(WEEKDAY(may!AC$3,1)=1,"WO","P"))</f>
        <v>WO</v>
      </c>
      <c r="AD52" s="4" t="str">
        <f>IFERROR(LOOKUP(2,1/((lentry!$A$3:$A$3999=may!$A52)*(lentry!$B$3:$B$3999&lt;=may!AD$3)*(lentry!$C$3:$C$3999&gt;=may!AD$3)),lentry!$D$3:$D$3999),IF(WEEKDAY(may!AD$3,1)=1,"WO","P"))</f>
        <v>P</v>
      </c>
      <c r="AE52" s="4" t="str">
        <f>IFERROR(LOOKUP(2,1/((lentry!$A$3:$A$3999=may!$A52)*(lentry!$B$3:$B$3999&lt;=may!AE$3)*(lentry!$C$3:$C$3999&gt;=may!AE$3)),lentry!$D$3:$D$3999),IF(WEEKDAY(may!AE$3,1)=1,"WO","P"))</f>
        <v>P</v>
      </c>
      <c r="AF52" s="4" t="s">
        <v>350</v>
      </c>
      <c r="AG52" s="4" t="str">
        <f>IFERROR(LOOKUP(2,1/((lentry!$A$3:$A$3999=may!$A52)*(lentry!$B$3:$B$3999&lt;=may!AG$3)*(lentry!$C$3:$C$3999&gt;=may!AG$3)),lentry!$D$3:$D$3999),IF(WEEKDAY(may!AG$3,1)=1,"WO","P"))</f>
        <v>P</v>
      </c>
      <c r="AH52" s="4" t="str">
        <f>IFERROR(LOOKUP(2,1/((lentry!$A$3:$A$3999=may!$A52)*(lentry!$B$3:$B$3999&lt;=may!AH$3)*(lentry!$C$3:$C$3999&gt;=may!AH$3)),lentry!$D$3:$D$3999),IF(WEEKDAY(may!AH$3,1)=1,"WO","P"))</f>
        <v>P</v>
      </c>
      <c r="AI52" s="4" t="str">
        <f>IFERROR(LOOKUP(2,1/((lentry!$A$3:$A$3999=may!$A52)*(lentry!$B$3:$B$3999&lt;=may!AI$3)*(lentry!$C$3:$C$3999&gt;=may!AI$3)),lentry!$D$3:$D$3999),IF(WEEKDAY(may!AI$3,1)=1,"WO","P"))</f>
        <v>P</v>
      </c>
      <c r="AJ52" s="4" t="str">
        <f>IFERROR(LOOKUP(2,1/((lentry!$A$3:$A$3999=may!$A52)*(lentry!$B$3:$B$3999&lt;=may!AJ$3)*(lentry!$C$3:$C$3999&gt;=may!AJ$3)),lentry!$D$3:$D$3999),IF(WEEKDAY(may!AJ$3,1)=1,"WO","P"))</f>
        <v>WO</v>
      </c>
      <c r="AK52" s="4">
        <f>COUNTIF(may!$F52:$AJ52,"WO")</f>
        <v>5</v>
      </c>
      <c r="AL52" s="4">
        <f>COUNTIF(may!$F52:$AJ52,"H")</f>
        <v>2</v>
      </c>
      <c r="AM52" s="4">
        <f>COUNTIF(may!$F52:$AJ52,"PL")</f>
        <v>0</v>
      </c>
      <c r="AN52" s="4">
        <f>COUNTIF(may!$F52:$AJ52,"LWP")</f>
        <v>0</v>
      </c>
      <c r="AO52" s="4">
        <f>COUNTIF(may!$F52:$AJ52,"HD")</f>
        <v>0</v>
      </c>
      <c r="AP52" s="4">
        <f>COUNTIF(may!$F52:$AJ52,"SL")</f>
        <v>0</v>
      </c>
      <c r="AQ52" s="4">
        <f>COUNTIF(may!$F52:$AJ52,"CL")</f>
        <v>0</v>
      </c>
      <c r="AR52" s="4">
        <f>COUNTIF(may!$F52:$AJ52,"A")</f>
        <v>1</v>
      </c>
      <c r="AS52" s="4">
        <f>COUNTIF(may!$F52:$AJ52,"P")</f>
        <v>23</v>
      </c>
      <c r="AT52" s="4">
        <f t="shared" si="2"/>
        <v>31</v>
      </c>
      <c r="AU52" s="4">
        <f t="shared" si="3"/>
        <v>30</v>
      </c>
      <c r="AV52" s="4">
        <f>SUMIFS(holly!$L$2:$L$122,holly!$I$2:$I$122,mar!$A52,holly!$K$2:$K$122,"Mar")</f>
        <v>0</v>
      </c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</row>
    <row r="53" spans="1:80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">
        <v>350</v>
      </c>
      <c r="G53" s="4" t="str">
        <f>IFERROR(LOOKUP(2,1/((lentry!$A$3:$A$3999=may!$A53)*(lentry!$B$3:$B$3999&lt;=may!G$3)*(lentry!$C$3:$C$3999&gt;=may!G$3)),lentry!$D$3:$D$3999),IF(WEEKDAY(may!G$3,1)=1,"WO","P"))</f>
        <v>P</v>
      </c>
      <c r="H53" s="4" t="str">
        <f>IFERROR(LOOKUP(2,1/((lentry!$A$3:$A$3999=may!$A53)*(lentry!$B$3:$B$3999&lt;=may!H$3)*(lentry!$C$3:$C$3999&gt;=may!H$3)),lentry!$D$3:$D$3999),IF(WEEKDAY(may!H$3,1)=1,"WO","P"))</f>
        <v>WO</v>
      </c>
      <c r="I53" s="4" t="str">
        <f>IFERROR(LOOKUP(2,1/((lentry!$A$3:$A$3999=may!$A53)*(lentry!$B$3:$B$3999&lt;=may!I$3)*(lentry!$C$3:$C$3999&gt;=may!I$3)),lentry!$D$3:$D$3999),IF(WEEKDAY(may!I$3,1)=1,"WO","P"))</f>
        <v>P</v>
      </c>
      <c r="J53" s="4" t="str">
        <f>IFERROR(LOOKUP(2,1/((lentry!$A$3:$A$3999=may!$A53)*(lentry!$B$3:$B$3999&lt;=may!J$3)*(lentry!$C$3:$C$3999&gt;=may!J$3)),lentry!$D$3:$D$3999),IF(WEEKDAY(may!J$3,1)=1,"WO","P"))</f>
        <v>P</v>
      </c>
      <c r="K53" s="4" t="str">
        <f>IFERROR(LOOKUP(2,1/((lentry!$A$3:$A$3999=may!$A53)*(lentry!$B$3:$B$3999&lt;=may!K$3)*(lentry!$C$3:$C$3999&gt;=may!K$3)),lentry!$D$3:$D$3999),IF(WEEKDAY(may!K$3,1)=1,"WO","P"))</f>
        <v>P</v>
      </c>
      <c r="L53" s="4" t="str">
        <f>IFERROR(LOOKUP(2,1/((lentry!$A$3:$A$3999=may!$A53)*(lentry!$B$3:$B$3999&lt;=may!L$3)*(lentry!$C$3:$C$3999&gt;=may!L$3)),lentry!$D$3:$D$3999),IF(WEEKDAY(may!L$3,1)=1,"WO","P"))</f>
        <v>P</v>
      </c>
      <c r="M53" s="4" t="str">
        <f>IFERROR(LOOKUP(2,1/((lentry!$A$3:$A$3999=may!$A53)*(lentry!$B$3:$B$3999&lt;=may!M$3)*(lentry!$C$3:$C$3999&gt;=may!M$3)),lentry!$D$3:$D$3999),IF(WEEKDAY(may!M$3,1)=1,"WO","P"))</f>
        <v>P</v>
      </c>
      <c r="N53" s="4" t="str">
        <f>IFERROR(LOOKUP(2,1/((lentry!$A$3:$A$3999=may!$A53)*(lentry!$B$3:$B$3999&lt;=may!N$3)*(lentry!$C$3:$C$3999&gt;=may!N$3)),lentry!$D$3:$D$3999),IF(WEEKDAY(may!N$3,1)=1,"WO","P"))</f>
        <v>P</v>
      </c>
      <c r="O53" s="4" t="str">
        <f>IFERROR(LOOKUP(2,1/((lentry!$A$3:$A$3999=may!$A53)*(lentry!$B$3:$B$3999&lt;=may!O$3)*(lentry!$C$3:$C$3999&gt;=may!O$3)),lentry!$D$3:$D$3999),IF(WEEKDAY(may!O$3,1)=1,"WO","P"))</f>
        <v>WO</v>
      </c>
      <c r="P53" s="4" t="str">
        <f>IFERROR(LOOKUP(2,1/((lentry!$A$3:$A$3999=may!$A53)*(lentry!$B$3:$B$3999&lt;=may!P$3)*(lentry!$C$3:$C$3999&gt;=may!P$3)),lentry!$D$3:$D$3999),IF(WEEKDAY(may!P$3,1)=1,"WO","P"))</f>
        <v>P</v>
      </c>
      <c r="Q53" s="4" t="str">
        <f>IFERROR(LOOKUP(2,1/((lentry!$A$3:$A$3999=may!$A53)*(lentry!$B$3:$B$3999&lt;=may!Q$3)*(lentry!$C$3:$C$3999&gt;=may!Q$3)),lentry!$D$3:$D$3999),IF(WEEKDAY(may!Q$3,1)=1,"WO","P"))</f>
        <v>P</v>
      </c>
      <c r="R53" s="4" t="str">
        <f>IFERROR(LOOKUP(2,1/((lentry!$A$3:$A$3999=may!$A53)*(lentry!$B$3:$B$3999&lt;=may!R$3)*(lentry!$C$3:$C$3999&gt;=may!R$3)),lentry!$D$3:$D$3999),IF(WEEKDAY(may!R$3,1)=1,"WO","P"))</f>
        <v>P</v>
      </c>
      <c r="S53" s="4" t="str">
        <f>IFERROR(LOOKUP(2,1/((lentry!$A$3:$A$3999=may!$A53)*(lentry!$B$3:$B$3999&lt;=may!S$3)*(lentry!$C$3:$C$3999&gt;=may!S$3)),lentry!$D$3:$D$3999),IF(WEEKDAY(may!S$3,1)=1,"WO","P"))</f>
        <v>P</v>
      </c>
      <c r="T53" s="4" t="str">
        <f>IFERROR(LOOKUP(2,1/((lentry!$A$3:$A$3999=may!$A53)*(lentry!$B$3:$B$3999&lt;=may!T$3)*(lentry!$C$3:$C$3999&gt;=may!T$3)),lentry!$D$3:$D$3999),IF(WEEKDAY(may!T$3,1)=1,"WO","P"))</f>
        <v>P</v>
      </c>
      <c r="U53" s="4" t="str">
        <f>IFERROR(LOOKUP(2,1/((lentry!$A$3:$A$3999=may!$A53)*(lentry!$B$3:$B$3999&lt;=may!U$3)*(lentry!$C$3:$C$3999&gt;=may!U$3)),lentry!$D$3:$D$3999),IF(WEEKDAY(may!U$3,1)=1,"WO","P"))</f>
        <v>P</v>
      </c>
      <c r="V53" s="4" t="str">
        <f>IFERROR(LOOKUP(2,1/((lentry!$A$3:$A$3999=may!$A53)*(lentry!$B$3:$B$3999&lt;=may!V$3)*(lentry!$C$3:$C$3999&gt;=may!V$3)),lentry!$D$3:$D$3999),IF(WEEKDAY(may!V$3,1)=1,"WO","P"))</f>
        <v>WO</v>
      </c>
      <c r="W53" s="4" t="str">
        <f>IFERROR(LOOKUP(2,1/((lentry!$A$3:$A$3999=may!$A53)*(lentry!$B$3:$B$3999&lt;=may!W$3)*(lentry!$C$3:$C$3999&gt;=may!W$3)),lentry!$D$3:$D$3999),IF(WEEKDAY(may!W$3,1)=1,"WO","P"))</f>
        <v>P</v>
      </c>
      <c r="X53" s="4" t="str">
        <f>IFERROR(LOOKUP(2,1/((lentry!$A$3:$A$3999=may!$A53)*(lentry!$B$3:$B$3999&lt;=may!X$3)*(lentry!$C$3:$C$3999&gt;=may!X$3)),lentry!$D$3:$D$3999),IF(WEEKDAY(may!X$3,1)=1,"WO","P"))</f>
        <v>P</v>
      </c>
      <c r="Y53" s="4" t="str">
        <f>IFERROR(LOOKUP(2,1/((lentry!$A$3:$A$3999=may!$A53)*(lentry!$B$3:$B$3999&lt;=may!Y$3)*(lentry!$C$3:$C$3999&gt;=may!Y$3)),lentry!$D$3:$D$3999),IF(WEEKDAY(may!Y$3,1)=1,"WO","P"))</f>
        <v>P</v>
      </c>
      <c r="Z53" s="4" t="str">
        <f>IFERROR(LOOKUP(2,1/((lentry!$A$3:$A$3999=may!$A53)*(lentry!$B$3:$B$3999&lt;=may!Z$3)*(lentry!$C$3:$C$3999&gt;=may!Z$3)),lentry!$D$3:$D$3999),IF(WEEKDAY(may!Z$3,1)=1,"WO","P"))</f>
        <v>P</v>
      </c>
      <c r="AA53" s="4" t="str">
        <f>IFERROR(LOOKUP(2,1/((lentry!$A$3:$A$3999=may!$A53)*(lentry!$B$3:$B$3999&lt;=may!AA$3)*(lentry!$C$3:$C$3999&gt;=may!AA$3)),lentry!$D$3:$D$3999),IF(WEEKDAY(may!AA$3,1)=1,"WO","P"))</f>
        <v>P</v>
      </c>
      <c r="AB53" s="4" t="str">
        <f>IFERROR(LOOKUP(2,1/((lentry!$A$3:$A$3999=may!$A53)*(lentry!$B$3:$B$3999&lt;=may!AB$3)*(lentry!$C$3:$C$3999&gt;=may!AB$3)),lentry!$D$3:$D$3999),IF(WEEKDAY(may!AB$3,1)=1,"WO","P"))</f>
        <v>P</v>
      </c>
      <c r="AC53" s="4" t="str">
        <f>IFERROR(LOOKUP(2,1/((lentry!$A$3:$A$3999=may!$A53)*(lentry!$B$3:$B$3999&lt;=may!AC$3)*(lentry!$C$3:$C$3999&gt;=may!AC$3)),lentry!$D$3:$D$3999),IF(WEEKDAY(may!AC$3,1)=1,"WO","P"))</f>
        <v>WO</v>
      </c>
      <c r="AD53" s="4" t="str">
        <f>IFERROR(LOOKUP(2,1/((lentry!$A$3:$A$3999=may!$A53)*(lentry!$B$3:$B$3999&lt;=may!AD$3)*(lentry!$C$3:$C$3999&gt;=may!AD$3)),lentry!$D$3:$D$3999),IF(WEEKDAY(may!AD$3,1)=1,"WO","P"))</f>
        <v>P</v>
      </c>
      <c r="AE53" s="4" t="str">
        <f>IFERROR(LOOKUP(2,1/((lentry!$A$3:$A$3999=may!$A53)*(lentry!$B$3:$B$3999&lt;=may!AE$3)*(lentry!$C$3:$C$3999&gt;=may!AE$3)),lentry!$D$3:$D$3999),IF(WEEKDAY(may!AE$3,1)=1,"WO","P"))</f>
        <v>P</v>
      </c>
      <c r="AF53" s="4" t="s">
        <v>350</v>
      </c>
      <c r="AG53" s="4" t="str">
        <f>IFERROR(LOOKUP(2,1/((lentry!$A$3:$A$3999=may!$A53)*(lentry!$B$3:$B$3999&lt;=may!AG$3)*(lentry!$C$3:$C$3999&gt;=may!AG$3)),lentry!$D$3:$D$3999),IF(WEEKDAY(may!AG$3,1)=1,"WO","P"))</f>
        <v>P</v>
      </c>
      <c r="AH53" s="4" t="str">
        <f>IFERROR(LOOKUP(2,1/((lentry!$A$3:$A$3999=may!$A53)*(lentry!$B$3:$B$3999&lt;=may!AH$3)*(lentry!$C$3:$C$3999&gt;=may!AH$3)),lentry!$D$3:$D$3999),IF(WEEKDAY(may!AH$3,1)=1,"WO","P"))</f>
        <v>P</v>
      </c>
      <c r="AI53" s="4" t="str">
        <f>IFERROR(LOOKUP(2,1/((lentry!$A$3:$A$3999=may!$A53)*(lentry!$B$3:$B$3999&lt;=may!AI$3)*(lentry!$C$3:$C$3999&gt;=may!AI$3)),lentry!$D$3:$D$3999),IF(WEEKDAY(may!AI$3,1)=1,"WO","P"))</f>
        <v>P</v>
      </c>
      <c r="AJ53" s="4" t="str">
        <f>IFERROR(LOOKUP(2,1/((lentry!$A$3:$A$3999=may!$A53)*(lentry!$B$3:$B$3999&lt;=may!AJ$3)*(lentry!$C$3:$C$3999&gt;=may!AJ$3)),lentry!$D$3:$D$3999),IF(WEEKDAY(may!AJ$3,1)=1,"WO","P"))</f>
        <v>WO</v>
      </c>
      <c r="AK53" s="4">
        <f>COUNTIF(may!$F53:$AJ53,"WO")</f>
        <v>5</v>
      </c>
      <c r="AL53" s="4">
        <f>COUNTIF(may!$F53:$AJ53,"H")</f>
        <v>2</v>
      </c>
      <c r="AM53" s="4">
        <f>COUNTIF(may!$F53:$AJ53,"PL")</f>
        <v>0</v>
      </c>
      <c r="AN53" s="4">
        <f>COUNTIF(may!$F53:$AJ53,"LWP")</f>
        <v>0</v>
      </c>
      <c r="AO53" s="4">
        <f>COUNTIF(may!$F53:$AJ53,"HD")</f>
        <v>0</v>
      </c>
      <c r="AP53" s="4">
        <f>COUNTIF(may!$F53:$AJ53,"SL")</f>
        <v>0</v>
      </c>
      <c r="AQ53" s="4">
        <f>COUNTIF(may!$F53:$AJ53,"CL")</f>
        <v>0</v>
      </c>
      <c r="AR53" s="4">
        <f>COUNTIF(may!$F53:$AJ53,"A")</f>
        <v>0</v>
      </c>
      <c r="AS53" s="4">
        <f>COUNTIF(may!$F53:$AJ53,"P")</f>
        <v>24</v>
      </c>
      <c r="AT53" s="4">
        <f t="shared" si="2"/>
        <v>31</v>
      </c>
      <c r="AU53" s="4">
        <f t="shared" si="3"/>
        <v>31</v>
      </c>
      <c r="AV53" s="4">
        <f>SUMIFS(holly!$L$2:$L$122,holly!$I$2:$I$122,mar!$A53,holly!$K$2:$K$122,"Mar")</f>
        <v>0</v>
      </c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</row>
    <row r="54" spans="1:80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">
        <v>350</v>
      </c>
      <c r="G54" s="4" t="str">
        <f>IFERROR(LOOKUP(2,1/((lentry!$A$3:$A$3999=may!$A54)*(lentry!$B$3:$B$3999&lt;=may!G$3)*(lentry!$C$3:$C$3999&gt;=may!G$3)),lentry!$D$3:$D$3999),IF(WEEKDAY(may!G$3,1)=1,"WO","P"))</f>
        <v>P</v>
      </c>
      <c r="H54" s="4" t="str">
        <f>IFERROR(LOOKUP(2,1/((lentry!$A$3:$A$3999=may!$A54)*(lentry!$B$3:$B$3999&lt;=may!H$3)*(lentry!$C$3:$C$3999&gt;=may!H$3)),lentry!$D$3:$D$3999),IF(WEEKDAY(may!H$3,1)=1,"WO","P"))</f>
        <v>WO</v>
      </c>
      <c r="I54" s="4" t="str">
        <f>IFERROR(LOOKUP(2,1/((lentry!$A$3:$A$3999=may!$A54)*(lentry!$B$3:$B$3999&lt;=may!I$3)*(lentry!$C$3:$C$3999&gt;=may!I$3)),lentry!$D$3:$D$3999),IF(WEEKDAY(may!I$3,1)=1,"WO","P"))</f>
        <v>P</v>
      </c>
      <c r="J54" s="4" t="s">
        <v>539</v>
      </c>
      <c r="K54" s="4" t="str">
        <f>IFERROR(LOOKUP(2,1/((lentry!$A$3:$A$3999=may!$A54)*(lentry!$B$3:$B$3999&lt;=may!K$3)*(lentry!$C$3:$C$3999&gt;=may!K$3)),lentry!$D$3:$D$3999),IF(WEEKDAY(may!K$3,1)=1,"WO","P"))</f>
        <v>P</v>
      </c>
      <c r="L54" s="4" t="str">
        <f>IFERROR(LOOKUP(2,1/((lentry!$A$3:$A$3999=may!$A54)*(lentry!$B$3:$B$3999&lt;=may!L$3)*(lentry!$C$3:$C$3999&gt;=may!L$3)),lentry!$D$3:$D$3999),IF(WEEKDAY(may!L$3,1)=1,"WO","P"))</f>
        <v>P</v>
      </c>
      <c r="M54" s="4" t="str">
        <f>IFERROR(LOOKUP(2,1/((lentry!$A$3:$A$3999=may!$A54)*(lentry!$B$3:$B$3999&lt;=may!M$3)*(lentry!$C$3:$C$3999&gt;=may!M$3)),lentry!$D$3:$D$3999),IF(WEEKDAY(may!M$3,1)=1,"WO","P"))</f>
        <v>P</v>
      </c>
      <c r="N54" s="4" t="str">
        <f>IFERROR(LOOKUP(2,1/((lentry!$A$3:$A$3999=may!$A54)*(lentry!$B$3:$B$3999&lt;=may!N$3)*(lentry!$C$3:$C$3999&gt;=may!N$3)),lentry!$D$3:$D$3999),IF(WEEKDAY(may!N$3,1)=1,"WO","P"))</f>
        <v>P</v>
      </c>
      <c r="O54" s="4" t="str">
        <f>IFERROR(LOOKUP(2,1/((lentry!$A$3:$A$3999=may!$A54)*(lentry!$B$3:$B$3999&lt;=may!O$3)*(lentry!$C$3:$C$3999&gt;=may!O$3)),lentry!$D$3:$D$3999),IF(WEEKDAY(may!O$3,1)=1,"WO","P"))</f>
        <v>WO</v>
      </c>
      <c r="P54" s="4" t="str">
        <f>IFERROR(LOOKUP(2,1/((lentry!$A$3:$A$3999=may!$A54)*(lentry!$B$3:$B$3999&lt;=may!P$3)*(lentry!$C$3:$C$3999&gt;=may!P$3)),lentry!$D$3:$D$3999),IF(WEEKDAY(may!P$3,1)=1,"WO","P"))</f>
        <v>P</v>
      </c>
      <c r="Q54" s="4" t="str">
        <f>IFERROR(LOOKUP(2,1/((lentry!$A$3:$A$3999=may!$A54)*(lentry!$B$3:$B$3999&lt;=may!Q$3)*(lentry!$C$3:$C$3999&gt;=may!Q$3)),lentry!$D$3:$D$3999),IF(WEEKDAY(may!Q$3,1)=1,"WO","P"))</f>
        <v>P</v>
      </c>
      <c r="R54" s="4" t="str">
        <f>IFERROR(LOOKUP(2,1/((lentry!$A$3:$A$3999=may!$A54)*(lentry!$B$3:$B$3999&lt;=may!R$3)*(lentry!$C$3:$C$3999&gt;=may!R$3)),lentry!$D$3:$D$3999),IF(WEEKDAY(may!R$3,1)=1,"WO","P"))</f>
        <v>P</v>
      </c>
      <c r="S54" s="4" t="str">
        <f>IFERROR(LOOKUP(2,1/((lentry!$A$3:$A$3999=may!$A54)*(lentry!$B$3:$B$3999&lt;=may!S$3)*(lentry!$C$3:$C$3999&gt;=may!S$3)),lentry!$D$3:$D$3999),IF(WEEKDAY(may!S$3,1)=1,"WO","P"))</f>
        <v>P</v>
      </c>
      <c r="T54" s="4" t="str">
        <f>IFERROR(LOOKUP(2,1/((lentry!$A$3:$A$3999=may!$A54)*(lentry!$B$3:$B$3999&lt;=may!T$3)*(lentry!$C$3:$C$3999&gt;=may!T$3)),lentry!$D$3:$D$3999),IF(WEEKDAY(may!T$3,1)=1,"WO","P"))</f>
        <v>P</v>
      </c>
      <c r="U54" s="4" t="str">
        <f>IFERROR(LOOKUP(2,1/((lentry!$A$3:$A$3999=may!$A54)*(lentry!$B$3:$B$3999&lt;=may!U$3)*(lentry!$C$3:$C$3999&gt;=may!U$3)),lentry!$D$3:$D$3999),IF(WEEKDAY(may!U$3,1)=1,"WO","P"))</f>
        <v>P</v>
      </c>
      <c r="V54" s="4" t="str">
        <f>IFERROR(LOOKUP(2,1/((lentry!$A$3:$A$3999=may!$A54)*(lentry!$B$3:$B$3999&lt;=may!V$3)*(lentry!$C$3:$C$3999&gt;=may!V$3)),lentry!$D$3:$D$3999),IF(WEEKDAY(may!V$3,1)=1,"WO","P"))</f>
        <v>WO</v>
      </c>
      <c r="W54" s="4" t="str">
        <f>IFERROR(LOOKUP(2,1/((lentry!$A$3:$A$3999=may!$A54)*(lentry!$B$3:$B$3999&lt;=may!W$3)*(lentry!$C$3:$C$3999&gt;=may!W$3)),lentry!$D$3:$D$3999),IF(WEEKDAY(may!W$3,1)=1,"WO","P"))</f>
        <v>P</v>
      </c>
      <c r="X54" s="4" t="str">
        <f>IFERROR(LOOKUP(2,1/((lentry!$A$3:$A$3999=may!$A54)*(lentry!$B$3:$B$3999&lt;=may!X$3)*(lentry!$C$3:$C$3999&gt;=may!X$3)),lentry!$D$3:$D$3999),IF(WEEKDAY(may!X$3,1)=1,"WO","P"))</f>
        <v>P</v>
      </c>
      <c r="Y54" s="4" t="str">
        <f>IFERROR(LOOKUP(2,1/((lentry!$A$3:$A$3999=may!$A54)*(lentry!$B$3:$B$3999&lt;=may!Y$3)*(lentry!$C$3:$C$3999&gt;=may!Y$3)),lentry!$D$3:$D$3999),IF(WEEKDAY(may!Y$3,1)=1,"WO","P"))</f>
        <v>P</v>
      </c>
      <c r="Z54" s="4" t="str">
        <f>IFERROR(LOOKUP(2,1/((lentry!$A$3:$A$3999=may!$A54)*(lentry!$B$3:$B$3999&lt;=may!Z$3)*(lentry!$C$3:$C$3999&gt;=may!Z$3)),lentry!$D$3:$D$3999),IF(WEEKDAY(may!Z$3,1)=1,"WO","P"))</f>
        <v>P</v>
      </c>
      <c r="AA54" s="4" t="s">
        <v>539</v>
      </c>
      <c r="AB54" s="4" t="str">
        <f>IFERROR(LOOKUP(2,1/((lentry!$A$3:$A$3999=may!$A54)*(lentry!$B$3:$B$3999&lt;=may!AB$3)*(lentry!$C$3:$C$3999&gt;=may!AB$3)),lentry!$D$3:$D$3999),IF(WEEKDAY(may!AB$3,1)=1,"WO","P"))</f>
        <v>P</v>
      </c>
      <c r="AC54" s="4" t="str">
        <f>IFERROR(LOOKUP(2,1/((lentry!$A$3:$A$3999=may!$A54)*(lentry!$B$3:$B$3999&lt;=may!AC$3)*(lentry!$C$3:$C$3999&gt;=may!AC$3)),lentry!$D$3:$D$3999),IF(WEEKDAY(may!AC$3,1)=1,"WO","P"))</f>
        <v>WO</v>
      </c>
      <c r="AD54" s="4" t="str">
        <f>IFERROR(LOOKUP(2,1/((lentry!$A$3:$A$3999=may!$A54)*(lentry!$B$3:$B$3999&lt;=may!AD$3)*(lentry!$C$3:$C$3999&gt;=may!AD$3)),lentry!$D$3:$D$3999),IF(WEEKDAY(may!AD$3,1)=1,"WO","P"))</f>
        <v>P</v>
      </c>
      <c r="AE54" s="4" t="str">
        <f>IFERROR(LOOKUP(2,1/((lentry!$A$3:$A$3999=may!$A54)*(lentry!$B$3:$B$3999&lt;=may!AE$3)*(lentry!$C$3:$C$3999&gt;=may!AE$3)),lentry!$D$3:$D$3999),IF(WEEKDAY(may!AE$3,1)=1,"WO","P"))</f>
        <v>P</v>
      </c>
      <c r="AF54" s="4" t="s">
        <v>350</v>
      </c>
      <c r="AG54" s="4" t="str">
        <f>IFERROR(LOOKUP(2,1/((lentry!$A$3:$A$3999=may!$A54)*(lentry!$B$3:$B$3999&lt;=may!AG$3)*(lentry!$C$3:$C$3999&gt;=may!AG$3)),lentry!$D$3:$D$3999),IF(WEEKDAY(may!AG$3,1)=1,"WO","P"))</f>
        <v>P</v>
      </c>
      <c r="AH54" s="4" t="str">
        <f>IFERROR(LOOKUP(2,1/((lentry!$A$3:$A$3999=may!$A54)*(lentry!$B$3:$B$3999&lt;=may!AH$3)*(lentry!$C$3:$C$3999&gt;=may!AH$3)),lentry!$D$3:$D$3999),IF(WEEKDAY(may!AH$3,1)=1,"WO","P"))</f>
        <v>P</v>
      </c>
      <c r="AI54" s="4" t="str">
        <f>IFERROR(LOOKUP(2,1/((lentry!$A$3:$A$3999=may!$A54)*(lentry!$B$3:$B$3999&lt;=may!AI$3)*(lentry!$C$3:$C$3999&gt;=may!AI$3)),lentry!$D$3:$D$3999),IF(WEEKDAY(may!AI$3,1)=1,"WO","P"))</f>
        <v>P</v>
      </c>
      <c r="AJ54" s="4" t="str">
        <f>IFERROR(LOOKUP(2,1/((lentry!$A$3:$A$3999=may!$A54)*(lentry!$B$3:$B$3999&lt;=may!AJ$3)*(lentry!$C$3:$C$3999&gt;=may!AJ$3)),lentry!$D$3:$D$3999),IF(WEEKDAY(may!AJ$3,1)=1,"WO","P"))</f>
        <v>WO</v>
      </c>
      <c r="AK54" s="4">
        <f>COUNTIF(may!$F54:$AJ54,"WO")</f>
        <v>5</v>
      </c>
      <c r="AL54" s="4">
        <f>COUNTIF(may!$F54:$AJ54,"H")</f>
        <v>2</v>
      </c>
      <c r="AM54" s="4">
        <f>COUNTIF(may!$F54:$AJ54,"PL")</f>
        <v>0</v>
      </c>
      <c r="AN54" s="4">
        <f>COUNTIF(may!$F54:$AJ54,"LWP")</f>
        <v>0</v>
      </c>
      <c r="AO54" s="4">
        <f>COUNTIF(may!$F54:$AJ54,"HD")</f>
        <v>0</v>
      </c>
      <c r="AP54" s="4">
        <f>COUNTIF(may!$F54:$AJ54,"SL")</f>
        <v>0</v>
      </c>
      <c r="AQ54" s="4">
        <f>COUNTIF(may!$F54:$AJ54,"CL")</f>
        <v>0</v>
      </c>
      <c r="AR54" s="4">
        <f>COUNTIF(may!$F54:$AJ54,"A")</f>
        <v>2</v>
      </c>
      <c r="AS54" s="4">
        <f>COUNTIF(may!$F54:$AJ54,"P")</f>
        <v>22</v>
      </c>
      <c r="AT54" s="4">
        <f t="shared" si="2"/>
        <v>31</v>
      </c>
      <c r="AU54" s="4">
        <f t="shared" si="3"/>
        <v>29</v>
      </c>
      <c r="AV54" s="4">
        <f>SUMIFS(holly!$L$2:$L$122,holly!$I$2:$I$122,mar!$A54,holly!$K$2:$K$122,"Mar")</f>
        <v>0</v>
      </c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</row>
  </sheetData>
  <mergeCells count="23">
    <mergeCell ref="A1:AV1"/>
    <mergeCell ref="A2:K2"/>
    <mergeCell ref="L2:O2"/>
    <mergeCell ref="P2:AA2"/>
    <mergeCell ref="AB2:AE2"/>
    <mergeCell ref="AF2:AV2"/>
    <mergeCell ref="AQ3:AQ4"/>
    <mergeCell ref="A3:A4"/>
    <mergeCell ref="B3:B4"/>
    <mergeCell ref="C3:C4"/>
    <mergeCell ref="D3:D4"/>
    <mergeCell ref="E3:E4"/>
    <mergeCell ref="AK3:AK4"/>
    <mergeCell ref="AL3:AL4"/>
    <mergeCell ref="AM3:AM4"/>
    <mergeCell ref="AN3:AN4"/>
    <mergeCell ref="AO3:AO4"/>
    <mergeCell ref="AP3:AP4"/>
    <mergeCell ref="AR3:AR4"/>
    <mergeCell ref="AS3:AS4"/>
    <mergeCell ref="AT3:AT4"/>
    <mergeCell ref="AU3:AU4"/>
    <mergeCell ref="AV3:AV4"/>
  </mergeCells>
  <conditionalFormatting sqref="F5:AJ54">
    <cfRule type="cellIs" dxfId="75" priority="3" operator="equal">
      <formula>"HD"</formula>
    </cfRule>
    <cfRule type="cellIs" dxfId="74" priority="4" operator="equal">
      <formula>"LWP"</formula>
    </cfRule>
    <cfRule type="cellIs" dxfId="73" priority="5" operator="equal">
      <formula>"PL"</formula>
    </cfRule>
    <cfRule type="cellIs" dxfId="72" priority="6" operator="equal">
      <formula>"H"</formula>
    </cfRule>
    <cfRule type="cellIs" dxfId="71" priority="7" operator="equal">
      <formula>"A"</formula>
    </cfRule>
    <cfRule type="cellIs" dxfId="70" priority="8" operator="equal">
      <formula>"P"</formula>
    </cfRule>
    <cfRule type="expression" dxfId="69" priority="9">
      <formula>F$4="Sun"</formula>
    </cfRule>
  </conditionalFormatting>
  <conditionalFormatting sqref="AV5:AV54">
    <cfRule type="cellIs" dxfId="68" priority="2" operator="greaterThan">
      <formula>0</formula>
    </cfRule>
  </conditionalFormatting>
  <conditionalFormatting sqref="AX4:CB54">
    <cfRule type="cellIs" dxfId="67" priority="1" operator="equal">
      <formula>"A"</formula>
    </cfRule>
  </conditionalFormatting>
  <dataValidations count="1">
    <dataValidation type="list" allowBlank="1" showInputMessage="1" showErrorMessage="1" sqref="F5:AJ54" xr:uid="{451FAC5D-F816-4A3E-B46A-90BB50E31A45}">
      <formula1>"A,P,WO,H,PL,LWP,HD"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FA3A-EE74-4A9F-9BEA-3A5511EAEF4B}">
  <sheetPr codeName="Sheet11"/>
  <dimension ref="A1:CA54"/>
  <sheetViews>
    <sheetView zoomScale="130" zoomScaleNormal="130" workbookViewId="0">
      <pane xSplit="1" topLeftCell="B1" activePane="topRight" state="frozen"/>
      <selection pane="topRight" activeCell="W52" sqref="W52"/>
    </sheetView>
  </sheetViews>
  <sheetFormatPr defaultRowHeight="15" x14ac:dyDescent="0.25"/>
  <cols>
    <col min="1" max="1" width="10.140625" bestFit="1" customWidth="1"/>
    <col min="2" max="2" width="17.28515625" customWidth="1"/>
    <col min="3" max="3" width="10.42578125" customWidth="1"/>
    <col min="4" max="4" width="13.28515625" customWidth="1"/>
    <col min="5" max="5" width="21.42578125" customWidth="1"/>
    <col min="6" max="12" width="4.7109375" bestFit="1" customWidth="1"/>
    <col min="13" max="13" width="4.85546875" bestFit="1" customWidth="1"/>
    <col min="14" max="27" width="4.7109375" bestFit="1" customWidth="1"/>
    <col min="28" max="28" width="4.85546875" bestFit="1" customWidth="1"/>
    <col min="29" max="35" width="4.7109375" bestFit="1" customWidth="1"/>
    <col min="36" max="38" width="5.140625" customWidth="1"/>
    <col min="39" max="39" width="4.5703125" customWidth="1"/>
    <col min="40" max="47" width="5.140625" customWidth="1"/>
    <col min="48" max="48" width="4.42578125" bestFit="1" customWidth="1"/>
    <col min="49" max="49" width="3.140625" bestFit="1" customWidth="1"/>
    <col min="50" max="54" width="2.42578125" bestFit="1" customWidth="1"/>
    <col min="55" max="55" width="4.5703125" bestFit="1" customWidth="1"/>
    <col min="56" max="57" width="2.42578125" bestFit="1" customWidth="1"/>
    <col min="58" max="60" width="3.28515625" bestFit="1" customWidth="1"/>
    <col min="61" max="61" width="5.140625" bestFit="1" customWidth="1"/>
    <col min="62" max="62" width="4.5703125" bestFit="1" customWidth="1"/>
    <col min="63" max="68" width="3.28515625" bestFit="1" customWidth="1"/>
    <col min="69" max="69" width="4.5703125" bestFit="1" customWidth="1"/>
    <col min="70" max="75" width="3.28515625" bestFit="1" customWidth="1"/>
    <col min="76" max="76" width="4.5703125" bestFit="1" customWidth="1"/>
    <col min="77" max="79" width="3.28515625" bestFit="1" customWidth="1"/>
  </cols>
  <sheetData>
    <row r="1" spans="1:79" ht="51" x14ac:dyDescent="0.25">
      <c r="A1" s="65" t="s">
        <v>336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</row>
    <row r="2" spans="1:79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Jun</v>
      </c>
      <c r="M2" s="67"/>
      <c r="N2" s="67"/>
      <c r="O2" s="67"/>
      <c r="P2" s="68">
        <f>DATE(2026,6,1)</f>
        <v>46174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70"/>
      <c r="AB2" s="71" t="s">
        <v>337</v>
      </c>
      <c r="AC2" s="71"/>
      <c r="AD2" s="71"/>
      <c r="AE2" s="71"/>
      <c r="AF2" s="72">
        <f>EOMONTH(P2,0)</f>
        <v>46203</v>
      </c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</row>
    <row r="3" spans="1:79" ht="18.75" x14ac:dyDescent="0.25">
      <c r="A3" s="74" t="s">
        <v>338</v>
      </c>
      <c r="B3" s="74" t="s">
        <v>339</v>
      </c>
      <c r="C3" s="74" t="s">
        <v>1</v>
      </c>
      <c r="D3" s="74" t="s">
        <v>340</v>
      </c>
      <c r="E3" s="74" t="s">
        <v>341</v>
      </c>
      <c r="F3" s="1">
        <f>P2</f>
        <v>46174</v>
      </c>
      <c r="G3" s="1">
        <f>IF(F3&lt;$AF$2,F3+1,"")</f>
        <v>46175</v>
      </c>
      <c r="H3" s="1">
        <f t="shared" ref="H3:AI3" si="0">IF(G3&lt;$AF$2,G3+1,"")</f>
        <v>46176</v>
      </c>
      <c r="I3" s="1">
        <f t="shared" si="0"/>
        <v>46177</v>
      </c>
      <c r="J3" s="1">
        <f t="shared" si="0"/>
        <v>46178</v>
      </c>
      <c r="K3" s="1">
        <f t="shared" si="0"/>
        <v>46179</v>
      </c>
      <c r="L3" s="1">
        <f t="shared" si="0"/>
        <v>46180</v>
      </c>
      <c r="M3" s="1">
        <f t="shared" si="0"/>
        <v>46181</v>
      </c>
      <c r="N3" s="1">
        <f t="shared" si="0"/>
        <v>46182</v>
      </c>
      <c r="O3" s="1">
        <f t="shared" si="0"/>
        <v>46183</v>
      </c>
      <c r="P3" s="1">
        <f t="shared" si="0"/>
        <v>46184</v>
      </c>
      <c r="Q3" s="1">
        <f t="shared" si="0"/>
        <v>46185</v>
      </c>
      <c r="R3" s="1">
        <f t="shared" si="0"/>
        <v>46186</v>
      </c>
      <c r="S3" s="1">
        <f t="shared" si="0"/>
        <v>46187</v>
      </c>
      <c r="T3" s="1">
        <f t="shared" si="0"/>
        <v>46188</v>
      </c>
      <c r="U3" s="1">
        <f t="shared" si="0"/>
        <v>46189</v>
      </c>
      <c r="V3" s="1">
        <f t="shared" si="0"/>
        <v>46190</v>
      </c>
      <c r="W3" s="1">
        <f t="shared" si="0"/>
        <v>46191</v>
      </c>
      <c r="X3" s="1">
        <f t="shared" si="0"/>
        <v>46192</v>
      </c>
      <c r="Y3" s="1">
        <f t="shared" si="0"/>
        <v>46193</v>
      </c>
      <c r="Z3" s="1">
        <f t="shared" si="0"/>
        <v>46194</v>
      </c>
      <c r="AA3" s="1">
        <f t="shared" si="0"/>
        <v>46195</v>
      </c>
      <c r="AB3" s="1">
        <f t="shared" si="0"/>
        <v>46196</v>
      </c>
      <c r="AC3" s="1">
        <f t="shared" si="0"/>
        <v>46197</v>
      </c>
      <c r="AD3" s="1">
        <f t="shared" si="0"/>
        <v>46198</v>
      </c>
      <c r="AE3" s="1">
        <f t="shared" si="0"/>
        <v>46199</v>
      </c>
      <c r="AF3" s="1">
        <f t="shared" si="0"/>
        <v>46200</v>
      </c>
      <c r="AG3" s="1">
        <f t="shared" si="0"/>
        <v>46201</v>
      </c>
      <c r="AH3" s="1">
        <f t="shared" si="0"/>
        <v>46202</v>
      </c>
      <c r="AI3" s="1">
        <f t="shared" si="0"/>
        <v>46203</v>
      </c>
      <c r="AJ3" s="60" t="s">
        <v>342</v>
      </c>
      <c r="AK3" s="60" t="s">
        <v>343</v>
      </c>
      <c r="AL3" s="60" t="s">
        <v>344</v>
      </c>
      <c r="AM3" s="62" t="s">
        <v>84</v>
      </c>
      <c r="AN3" s="60" t="s">
        <v>345</v>
      </c>
      <c r="AO3" s="60" t="s">
        <v>351</v>
      </c>
      <c r="AP3" s="60" t="s">
        <v>352</v>
      </c>
      <c r="AQ3" s="60" t="s">
        <v>346</v>
      </c>
      <c r="AR3" s="60" t="s">
        <v>347</v>
      </c>
      <c r="AS3" s="60" t="s">
        <v>348</v>
      </c>
      <c r="AT3" s="60" t="s">
        <v>349</v>
      </c>
      <c r="AU3" s="60" t="s">
        <v>353</v>
      </c>
    </row>
    <row r="4" spans="1:79" ht="75" customHeight="1" x14ac:dyDescent="0.25">
      <c r="A4" s="75"/>
      <c r="B4" s="75"/>
      <c r="C4" s="75"/>
      <c r="D4" s="75"/>
      <c r="E4" s="75"/>
      <c r="F4" s="2" t="str">
        <f>TEXT(F3,"ddd")</f>
        <v>Mon</v>
      </c>
      <c r="G4" s="2" t="str">
        <f t="shared" ref="G4:AI4" si="1">TEXT(G3,"ddd")</f>
        <v>Tue</v>
      </c>
      <c r="H4" s="2" t="str">
        <f t="shared" si="1"/>
        <v>Wed</v>
      </c>
      <c r="I4" s="2" t="str">
        <f t="shared" si="1"/>
        <v>Thu</v>
      </c>
      <c r="J4" s="2" t="str">
        <f t="shared" si="1"/>
        <v>Fri</v>
      </c>
      <c r="K4" s="2" t="str">
        <f t="shared" si="1"/>
        <v>Sat</v>
      </c>
      <c r="L4" s="2" t="str">
        <f t="shared" si="1"/>
        <v>Sun</v>
      </c>
      <c r="M4" s="2" t="str">
        <f t="shared" si="1"/>
        <v>Mon</v>
      </c>
      <c r="N4" s="2" t="str">
        <f t="shared" si="1"/>
        <v>Tue</v>
      </c>
      <c r="O4" s="2" t="str">
        <f t="shared" si="1"/>
        <v>Wed</v>
      </c>
      <c r="P4" s="2" t="str">
        <f t="shared" si="1"/>
        <v>Thu</v>
      </c>
      <c r="Q4" s="2" t="str">
        <f t="shared" si="1"/>
        <v>Fri</v>
      </c>
      <c r="R4" s="2" t="str">
        <f t="shared" si="1"/>
        <v>Sat</v>
      </c>
      <c r="S4" s="2" t="str">
        <f t="shared" si="1"/>
        <v>Sun</v>
      </c>
      <c r="T4" s="2" t="str">
        <f t="shared" si="1"/>
        <v>Mon</v>
      </c>
      <c r="U4" s="2" t="str">
        <f t="shared" si="1"/>
        <v>Tue</v>
      </c>
      <c r="V4" s="2" t="str">
        <f t="shared" si="1"/>
        <v>Wed</v>
      </c>
      <c r="W4" s="2" t="str">
        <f t="shared" si="1"/>
        <v>Thu</v>
      </c>
      <c r="X4" s="2" t="str">
        <f t="shared" si="1"/>
        <v>Fri</v>
      </c>
      <c r="Y4" s="2" t="str">
        <f t="shared" si="1"/>
        <v>Sat</v>
      </c>
      <c r="Z4" s="2" t="str">
        <f t="shared" si="1"/>
        <v>Sun</v>
      </c>
      <c r="AA4" s="2" t="str">
        <f t="shared" si="1"/>
        <v>Mon</v>
      </c>
      <c r="AB4" s="2" t="str">
        <f t="shared" si="1"/>
        <v>Tue</v>
      </c>
      <c r="AC4" s="2" t="str">
        <f t="shared" si="1"/>
        <v>Wed</v>
      </c>
      <c r="AD4" s="2" t="str">
        <f t="shared" si="1"/>
        <v>Thu</v>
      </c>
      <c r="AE4" s="2" t="str">
        <f t="shared" si="1"/>
        <v>Fri</v>
      </c>
      <c r="AF4" s="2" t="str">
        <f t="shared" si="1"/>
        <v>Sat</v>
      </c>
      <c r="AG4" s="2" t="str">
        <f t="shared" si="1"/>
        <v>Sun</v>
      </c>
      <c r="AH4" s="2" t="str">
        <f t="shared" si="1"/>
        <v>Mon</v>
      </c>
      <c r="AI4" s="2" t="str">
        <f t="shared" si="1"/>
        <v>Tue</v>
      </c>
      <c r="AJ4" s="61"/>
      <c r="AK4" s="61"/>
      <c r="AL4" s="61"/>
      <c r="AM4" s="63"/>
      <c r="AN4" s="61"/>
      <c r="AO4" s="64"/>
      <c r="AP4" s="64"/>
      <c r="AQ4" s="61"/>
      <c r="AR4" s="61"/>
      <c r="AS4" s="61"/>
      <c r="AT4" s="61"/>
      <c r="AU4" s="61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</row>
    <row r="5" spans="1:79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IFERROR(LOOKUP(2,1/((lentry!$A$3:$A$3999=jun!$A5)*(lentry!$B$3:$B$3999&lt;=jun!F$3)*(lentry!$C$3:$C$3999&gt;=jun!F$3)),lentry!$D$3:$D$3999),IF(WEEKDAY(jun!F$3,1)=1,"WO","P"))</f>
        <v>P</v>
      </c>
      <c r="G5" s="4" t="str">
        <f>IFERROR(LOOKUP(2,1/((lentry!$A$3:$A$3999=jun!$A5)*(lentry!$B$3:$B$3999&lt;=jun!G$3)*(lentry!$C$3:$C$3999&gt;=jun!G$3)),lentry!$D$3:$D$3999),IF(WEEKDAY(jun!G$3,1)=1,"WO","P"))</f>
        <v>P</v>
      </c>
      <c r="H5" s="4" t="str">
        <f>IFERROR(LOOKUP(2,1/((lentry!$A$3:$A$3999=jun!$A5)*(lentry!$B$3:$B$3999&lt;=jun!H$3)*(lentry!$C$3:$C$3999&gt;=jun!H$3)),lentry!$D$3:$D$3999),IF(WEEKDAY(jun!H$3,1)=1,"WO","P"))</f>
        <v>P</v>
      </c>
      <c r="I5" s="4" t="str">
        <f>IFERROR(LOOKUP(2,1/((lentry!$A$3:$A$3999=jun!$A5)*(lentry!$B$3:$B$3999&lt;=jun!I$3)*(lentry!$C$3:$C$3999&gt;=jun!I$3)),lentry!$D$3:$D$3999),IF(WEEKDAY(jun!I$3,1)=1,"WO","P"))</f>
        <v>P</v>
      </c>
      <c r="J5" s="4" t="str">
        <f>IFERROR(LOOKUP(2,1/((lentry!$A$3:$A$3999=jun!$A5)*(lentry!$B$3:$B$3999&lt;=jun!J$3)*(lentry!$C$3:$C$3999&gt;=jun!J$3)),lentry!$D$3:$D$3999),IF(WEEKDAY(jun!J$3,1)=1,"WO","P"))</f>
        <v>P</v>
      </c>
      <c r="K5" s="4" t="str">
        <f>IFERROR(LOOKUP(2,1/((lentry!$A$3:$A$3999=jun!$A5)*(lentry!$B$3:$B$3999&lt;=jun!K$3)*(lentry!$C$3:$C$3999&gt;=jun!K$3)),lentry!$D$3:$D$3999),IF(WEEKDAY(jun!K$3,1)=1,"WO","P"))</f>
        <v>P</v>
      </c>
      <c r="L5" s="4" t="str">
        <f>IFERROR(LOOKUP(2,1/((lentry!$A$3:$A$3999=jun!$A5)*(lentry!$B$3:$B$3999&lt;=jun!L$3)*(lentry!$C$3:$C$3999&gt;=jun!L$3)),lentry!$D$3:$D$3999),IF(WEEKDAY(jun!L$3,1)=1,"WO","P"))</f>
        <v>WO</v>
      </c>
      <c r="M5" s="4" t="str">
        <f>IFERROR(LOOKUP(2,1/((lentry!$A$3:$A$3999=jun!$A5)*(lentry!$B$3:$B$3999&lt;=jun!M$3)*(lentry!$C$3:$C$3999&gt;=jun!M$3)),lentry!$D$3:$D$3999),IF(WEEKDAY(jun!M$3,1)=1,"WO","P"))</f>
        <v>P</v>
      </c>
      <c r="N5" s="4" t="str">
        <f>IFERROR(LOOKUP(2,1/((lentry!$A$3:$A$3999=jun!$A5)*(lentry!$B$3:$B$3999&lt;=jun!N$3)*(lentry!$C$3:$C$3999&gt;=jun!N$3)),lentry!$D$3:$D$3999),IF(WEEKDAY(jun!N$3,1)=1,"WO","P"))</f>
        <v>P</v>
      </c>
      <c r="O5" s="4" t="str">
        <f>IFERROR(LOOKUP(2,1/((lentry!$A$3:$A$3999=jun!$A5)*(lentry!$B$3:$B$3999&lt;=jun!O$3)*(lentry!$C$3:$C$3999&gt;=jun!O$3)),lentry!$D$3:$D$3999),IF(WEEKDAY(jun!O$3,1)=1,"WO","P"))</f>
        <v>P</v>
      </c>
      <c r="P5" s="4" t="str">
        <f>IFERROR(LOOKUP(2,1/((lentry!$A$3:$A$3999=jun!$A5)*(lentry!$B$3:$B$3999&lt;=jun!P$3)*(lentry!$C$3:$C$3999&gt;=jun!P$3)),lentry!$D$3:$D$3999),IF(WEEKDAY(jun!P$3,1)=1,"WO","P"))</f>
        <v>P</v>
      </c>
      <c r="Q5" s="4" t="str">
        <f>IFERROR(LOOKUP(2,1/((lentry!$A$3:$A$3999=jun!$A5)*(lentry!$B$3:$B$3999&lt;=jun!Q$3)*(lentry!$C$3:$C$3999&gt;=jun!Q$3)),lentry!$D$3:$D$3999),IF(WEEKDAY(jun!Q$3,1)=1,"WO","P"))</f>
        <v>P</v>
      </c>
      <c r="R5" s="4" t="str">
        <f>IFERROR(LOOKUP(2,1/((lentry!$A$3:$A$3999=jun!$A5)*(lentry!$B$3:$B$3999&lt;=jun!R$3)*(lentry!$C$3:$C$3999&gt;=jun!R$3)),lentry!$D$3:$D$3999),IF(WEEKDAY(jun!R$3,1)=1,"WO","P"))</f>
        <v>P</v>
      </c>
      <c r="S5" s="4" t="str">
        <f>IFERROR(LOOKUP(2,1/((lentry!$A$3:$A$3999=jun!$A5)*(lentry!$B$3:$B$3999&lt;=jun!S$3)*(lentry!$C$3:$C$3999&gt;=jun!S$3)),lentry!$D$3:$D$3999),IF(WEEKDAY(jun!S$3,1)=1,"WO","P"))</f>
        <v>WO</v>
      </c>
      <c r="T5" s="4" t="str">
        <f>IFERROR(LOOKUP(2,1/((lentry!$A$3:$A$3999=jun!$A5)*(lentry!$B$3:$B$3999&lt;=jun!T$3)*(lentry!$C$3:$C$3999&gt;=jun!T$3)),lentry!$D$3:$D$3999),IF(WEEKDAY(jun!T$3,1)=1,"WO","P"))</f>
        <v>P</v>
      </c>
      <c r="U5" s="4" t="str">
        <f>IFERROR(LOOKUP(2,1/((lentry!$A$3:$A$3999=jun!$A5)*(lentry!$B$3:$B$3999&lt;=jun!U$3)*(lentry!$C$3:$C$3999&gt;=jun!U$3)),lentry!$D$3:$D$3999),IF(WEEKDAY(jun!U$3,1)=1,"WO","P"))</f>
        <v>P</v>
      </c>
      <c r="V5" s="4" t="str">
        <f>IFERROR(LOOKUP(2,1/((lentry!$A$3:$A$3999=jun!$A5)*(lentry!$B$3:$B$3999&lt;=jun!V$3)*(lentry!$C$3:$C$3999&gt;=jun!V$3)),lentry!$D$3:$D$3999),IF(WEEKDAY(jun!V$3,1)=1,"WO","P"))</f>
        <v>P</v>
      </c>
      <c r="W5" s="4" t="str">
        <f>IFERROR(LOOKUP(2,1/((lentry!$A$3:$A$3999=jun!$A5)*(lentry!$B$3:$B$3999&lt;=jun!W$3)*(lentry!$C$3:$C$3999&gt;=jun!W$3)),lentry!$D$3:$D$3999),IF(WEEKDAY(jun!W$3,1)=1,"WO","P"))</f>
        <v>P</v>
      </c>
      <c r="X5" s="4" t="str">
        <f>IFERROR(LOOKUP(2,1/((lentry!$A$3:$A$3999=jun!$A5)*(lentry!$B$3:$B$3999&lt;=jun!X$3)*(lentry!$C$3:$C$3999&gt;=jun!X$3)),lentry!$D$3:$D$3999),IF(WEEKDAY(jun!X$3,1)=1,"WO","P"))</f>
        <v>P</v>
      </c>
      <c r="Y5" s="4" t="str">
        <f>IFERROR(LOOKUP(2,1/((lentry!$A$3:$A$3999=jun!$A5)*(lentry!$B$3:$B$3999&lt;=jun!Y$3)*(lentry!$C$3:$C$3999&gt;=jun!Y$3)),lentry!$D$3:$D$3999),IF(WEEKDAY(jun!Y$3,1)=1,"WO","P"))</f>
        <v>SL</v>
      </c>
      <c r="Z5" s="4" t="str">
        <f>IFERROR(LOOKUP(2,1/((lentry!$A$3:$A$3999=jun!$A5)*(lentry!$B$3:$B$3999&lt;=jun!Z$3)*(lentry!$C$3:$C$3999&gt;=jun!Z$3)),lentry!$D$3:$D$3999),IF(WEEKDAY(jun!Z$3,1)=1,"WO","P"))</f>
        <v>WO</v>
      </c>
      <c r="AA5" s="4" t="str">
        <f>IFERROR(LOOKUP(2,1/((lentry!$A$3:$A$3999=jun!$A5)*(lentry!$B$3:$B$3999&lt;=jun!AA$3)*(lentry!$C$3:$C$3999&gt;=jun!AA$3)),lentry!$D$3:$D$3999),IF(WEEKDAY(jun!AA$3,1)=1,"WO","P"))</f>
        <v>P</v>
      </c>
      <c r="AB5" s="4" t="str">
        <f>IFERROR(LOOKUP(2,1/((lentry!$A$3:$A$3999=jun!$A5)*(lentry!$B$3:$B$3999&lt;=jun!AB$3)*(lentry!$C$3:$C$3999&gt;=jun!AB$3)),lentry!$D$3:$D$3999),IF(WEEKDAY(jun!AB$3,1)=1,"WO","P"))</f>
        <v>P</v>
      </c>
      <c r="AC5" s="4" t="s">
        <v>539</v>
      </c>
      <c r="AD5" s="4" t="str">
        <f>IFERROR(LOOKUP(2,1/((lentry!$A$3:$A$3999=jun!$A5)*(lentry!$B$3:$B$3999&lt;=jun!AD$3)*(lentry!$C$3:$C$3999&gt;=jun!AD$3)),lentry!$D$3:$D$3999),IF(WEEKDAY(jun!AD$3,1)=1,"WO","P"))</f>
        <v>P</v>
      </c>
      <c r="AE5" s="4" t="str">
        <f>IFERROR(LOOKUP(2,1/((lentry!$A$3:$A$3999=jun!$A5)*(lentry!$B$3:$B$3999&lt;=jun!AE$3)*(lentry!$C$3:$C$3999&gt;=jun!AE$3)),lentry!$D$3:$D$3999),IF(WEEKDAY(jun!AE$3,1)=1,"WO","P"))</f>
        <v>P</v>
      </c>
      <c r="AF5" s="4" t="str">
        <f>IFERROR(LOOKUP(2,1/((lentry!$A$3:$A$3999=jun!$A5)*(lentry!$B$3:$B$3999&lt;=jun!AF$3)*(lentry!$C$3:$C$3999&gt;=jun!AF$3)),lentry!$D$3:$D$3999),IF(WEEKDAY(jun!AF$3,1)=1,"WO","P"))</f>
        <v>P</v>
      </c>
      <c r="AG5" s="4" t="str">
        <f>IFERROR(LOOKUP(2,1/((lentry!$A$3:$A$3999=jun!$A5)*(lentry!$B$3:$B$3999&lt;=jun!AG$3)*(lentry!$C$3:$C$3999&gt;=jun!AG$3)),lentry!$D$3:$D$3999),IF(WEEKDAY(jun!AG$3,1)=1,"WO","P"))</f>
        <v>WO</v>
      </c>
      <c r="AH5" s="4" t="str">
        <f>IFERROR(LOOKUP(2,1/((lentry!$A$3:$A$3999=jun!$A5)*(lentry!$B$3:$B$3999&lt;=jun!AH$3)*(lentry!$C$3:$C$3999&gt;=jun!AH$3)),lentry!$D$3:$D$3999),IF(WEEKDAY(jun!AH$3,1)=1,"WO","P"))</f>
        <v>P</v>
      </c>
      <c r="AI5" s="4" t="str">
        <f>IFERROR(LOOKUP(2,1/((lentry!$A$3:$A$3999=jun!$A5)*(lentry!$B$3:$B$3999&lt;=jun!AI$3)*(lentry!$C$3:$C$3999&gt;=jun!AI$3)),lentry!$D$3:$D$3999),IF(WEEKDAY(jun!AI$3,1)=1,"WO","P"))</f>
        <v>PL</v>
      </c>
      <c r="AJ5" s="4">
        <f>COUNTIF(jun!$F5:$AI5,"WO")</f>
        <v>4</v>
      </c>
      <c r="AK5" s="4">
        <f>COUNTIF(jun!$F5:$AI5,"H")</f>
        <v>0</v>
      </c>
      <c r="AL5" s="4">
        <f>COUNTIF(jun!$F5:$AI5,"PL")</f>
        <v>1</v>
      </c>
      <c r="AM5" s="4">
        <f>COUNTIF(jun!$F5:$AI5,"LWP")</f>
        <v>0</v>
      </c>
      <c r="AN5" s="4">
        <f>COUNTIF(jun!$F5:$AI5,"HD")</f>
        <v>0</v>
      </c>
      <c r="AO5" s="4">
        <f>COUNTIF(jun!$F5:$AI5,"SL")</f>
        <v>1</v>
      </c>
      <c r="AP5" s="4">
        <f>COUNTIF(jun!$F5:$AI5,"CL")</f>
        <v>0</v>
      </c>
      <c r="AQ5" s="4">
        <f>COUNTIF(jun!$F5:$AI5,"A")</f>
        <v>1</v>
      </c>
      <c r="AR5" s="4">
        <f>COUNTIF(jun!$F5:$AI5,"P")</f>
        <v>23</v>
      </c>
      <c r="AS5" s="4">
        <f t="shared" ref="AS5:AS36" si="2">COUNTA($F5:$AI5)</f>
        <v>30</v>
      </c>
      <c r="AT5" s="4">
        <f>AJ5+AK5+AL5+AO5+AP5+AR5+(AN5/2)</f>
        <v>29</v>
      </c>
      <c r="AU5" s="4">
        <f>SUMIFS(holly!$L$2:$L$122,holly!$I$2:$I$122,mar!$A5,holly!$K$2:$K$122,"Mar")</f>
        <v>0</v>
      </c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</row>
    <row r="6" spans="1:79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IFERROR(LOOKUP(2,1/((lentry!$A$3:$A$3999=jun!$A6)*(lentry!$B$3:$B$3999&lt;=jun!F$3)*(lentry!$C$3:$C$3999&gt;=jun!F$3)),lentry!$D$3:$D$3999),IF(WEEKDAY(jun!F$3,1)=1,"WO","P"))</f>
        <v>P</v>
      </c>
      <c r="G6" s="4" t="str">
        <f>IFERROR(LOOKUP(2,1/((lentry!$A$3:$A$3999=jun!$A6)*(lentry!$B$3:$B$3999&lt;=jun!G$3)*(lentry!$C$3:$C$3999&gt;=jun!G$3)),lentry!$D$3:$D$3999),IF(WEEKDAY(jun!G$3,1)=1,"WO","P"))</f>
        <v>P</v>
      </c>
      <c r="H6" s="4" t="str">
        <f>IFERROR(LOOKUP(2,1/((lentry!$A$3:$A$3999=jun!$A6)*(lentry!$B$3:$B$3999&lt;=jun!H$3)*(lentry!$C$3:$C$3999&gt;=jun!H$3)),lentry!$D$3:$D$3999),IF(WEEKDAY(jun!H$3,1)=1,"WO","P"))</f>
        <v>P</v>
      </c>
      <c r="I6" s="4" t="str">
        <f>IFERROR(LOOKUP(2,1/((lentry!$A$3:$A$3999=jun!$A6)*(lentry!$B$3:$B$3999&lt;=jun!I$3)*(lentry!$C$3:$C$3999&gt;=jun!I$3)),lentry!$D$3:$D$3999),IF(WEEKDAY(jun!I$3,1)=1,"WO","P"))</f>
        <v>P</v>
      </c>
      <c r="J6" s="4" t="str">
        <f>IFERROR(LOOKUP(2,1/((lentry!$A$3:$A$3999=jun!$A6)*(lentry!$B$3:$B$3999&lt;=jun!J$3)*(lentry!$C$3:$C$3999&gt;=jun!J$3)),lentry!$D$3:$D$3999),IF(WEEKDAY(jun!J$3,1)=1,"WO","P"))</f>
        <v>P</v>
      </c>
      <c r="K6" s="4" t="str">
        <f>IFERROR(LOOKUP(2,1/((lentry!$A$3:$A$3999=jun!$A6)*(lentry!$B$3:$B$3999&lt;=jun!K$3)*(lentry!$C$3:$C$3999&gt;=jun!K$3)),lentry!$D$3:$D$3999),IF(WEEKDAY(jun!K$3,1)=1,"WO","P"))</f>
        <v>P</v>
      </c>
      <c r="L6" s="4" t="str">
        <f>IFERROR(LOOKUP(2,1/((lentry!$A$3:$A$3999=jun!$A6)*(lentry!$B$3:$B$3999&lt;=jun!L$3)*(lentry!$C$3:$C$3999&gt;=jun!L$3)),lentry!$D$3:$D$3999),IF(WEEKDAY(jun!L$3,1)=1,"WO","P"))</f>
        <v>WO</v>
      </c>
      <c r="M6" s="4" t="str">
        <f>IFERROR(LOOKUP(2,1/((lentry!$A$3:$A$3999=jun!$A6)*(lentry!$B$3:$B$3999&lt;=jun!M$3)*(lentry!$C$3:$C$3999&gt;=jun!M$3)),lentry!$D$3:$D$3999),IF(WEEKDAY(jun!M$3,1)=1,"WO","P"))</f>
        <v>P</v>
      </c>
      <c r="N6" s="4" t="str">
        <f>IFERROR(LOOKUP(2,1/((lentry!$A$3:$A$3999=jun!$A6)*(lentry!$B$3:$B$3999&lt;=jun!N$3)*(lentry!$C$3:$C$3999&gt;=jun!N$3)),lentry!$D$3:$D$3999),IF(WEEKDAY(jun!N$3,1)=1,"WO","P"))</f>
        <v>P</v>
      </c>
      <c r="O6" s="4" t="str">
        <f>IFERROR(LOOKUP(2,1/((lentry!$A$3:$A$3999=jun!$A6)*(lentry!$B$3:$B$3999&lt;=jun!O$3)*(lentry!$C$3:$C$3999&gt;=jun!O$3)),lentry!$D$3:$D$3999),IF(WEEKDAY(jun!O$3,1)=1,"WO","P"))</f>
        <v>P</v>
      </c>
      <c r="P6" s="4" t="str">
        <f>IFERROR(LOOKUP(2,1/((lentry!$A$3:$A$3999=jun!$A6)*(lentry!$B$3:$B$3999&lt;=jun!P$3)*(lentry!$C$3:$C$3999&gt;=jun!P$3)),lentry!$D$3:$D$3999),IF(WEEKDAY(jun!P$3,1)=1,"WO","P"))</f>
        <v>P</v>
      </c>
      <c r="Q6" s="4" t="str">
        <f>IFERROR(LOOKUP(2,1/((lentry!$A$3:$A$3999=jun!$A6)*(lentry!$B$3:$B$3999&lt;=jun!Q$3)*(lentry!$C$3:$C$3999&gt;=jun!Q$3)),lentry!$D$3:$D$3999),IF(WEEKDAY(jun!Q$3,1)=1,"WO","P"))</f>
        <v>P</v>
      </c>
      <c r="R6" s="4" t="str">
        <f>IFERROR(LOOKUP(2,1/((lentry!$A$3:$A$3999=jun!$A6)*(lentry!$B$3:$B$3999&lt;=jun!R$3)*(lentry!$C$3:$C$3999&gt;=jun!R$3)),lentry!$D$3:$D$3999),IF(WEEKDAY(jun!R$3,1)=1,"WO","P"))</f>
        <v>P</v>
      </c>
      <c r="S6" s="4" t="str">
        <f>IFERROR(LOOKUP(2,1/((lentry!$A$3:$A$3999=jun!$A6)*(lentry!$B$3:$B$3999&lt;=jun!S$3)*(lentry!$C$3:$C$3999&gt;=jun!S$3)),lentry!$D$3:$D$3999),IF(WEEKDAY(jun!S$3,1)=1,"WO","P"))</f>
        <v>WO</v>
      </c>
      <c r="T6" s="4" t="str">
        <f>IFERROR(LOOKUP(2,1/((lentry!$A$3:$A$3999=jun!$A6)*(lentry!$B$3:$B$3999&lt;=jun!T$3)*(lentry!$C$3:$C$3999&gt;=jun!T$3)),lentry!$D$3:$D$3999),IF(WEEKDAY(jun!T$3,1)=1,"WO","P"))</f>
        <v>P</v>
      </c>
      <c r="U6" s="4" t="str">
        <f>IFERROR(LOOKUP(2,1/((lentry!$A$3:$A$3999=jun!$A6)*(lentry!$B$3:$B$3999&lt;=jun!U$3)*(lentry!$C$3:$C$3999&gt;=jun!U$3)),lentry!$D$3:$D$3999),IF(WEEKDAY(jun!U$3,1)=1,"WO","P"))</f>
        <v>P</v>
      </c>
      <c r="V6" s="4" t="str">
        <f>IFERROR(LOOKUP(2,1/((lentry!$A$3:$A$3999=jun!$A6)*(lentry!$B$3:$B$3999&lt;=jun!V$3)*(lentry!$C$3:$C$3999&gt;=jun!V$3)),lentry!$D$3:$D$3999),IF(WEEKDAY(jun!V$3,1)=1,"WO","P"))</f>
        <v>P</v>
      </c>
      <c r="W6" s="4" t="str">
        <f>IFERROR(LOOKUP(2,1/((lentry!$A$3:$A$3999=jun!$A6)*(lentry!$B$3:$B$3999&lt;=jun!W$3)*(lentry!$C$3:$C$3999&gt;=jun!W$3)),lentry!$D$3:$D$3999),IF(WEEKDAY(jun!W$3,1)=1,"WO","P"))</f>
        <v>P</v>
      </c>
      <c r="X6" s="4" t="str">
        <f>IFERROR(LOOKUP(2,1/((lentry!$A$3:$A$3999=jun!$A6)*(lentry!$B$3:$B$3999&lt;=jun!X$3)*(lentry!$C$3:$C$3999&gt;=jun!X$3)),lentry!$D$3:$D$3999),IF(WEEKDAY(jun!X$3,1)=1,"WO","P"))</f>
        <v>P</v>
      </c>
      <c r="Y6" s="4" t="str">
        <f>IFERROR(LOOKUP(2,1/((lentry!$A$3:$A$3999=jun!$A6)*(lentry!$B$3:$B$3999&lt;=jun!Y$3)*(lentry!$C$3:$C$3999&gt;=jun!Y$3)),lentry!$D$3:$D$3999),IF(WEEKDAY(jun!Y$3,1)=1,"WO","P"))</f>
        <v>P</v>
      </c>
      <c r="Z6" s="4" t="str">
        <f>IFERROR(LOOKUP(2,1/((lentry!$A$3:$A$3999=jun!$A6)*(lentry!$B$3:$B$3999&lt;=jun!Z$3)*(lentry!$C$3:$C$3999&gt;=jun!Z$3)),lentry!$D$3:$D$3999),IF(WEEKDAY(jun!Z$3,1)=1,"WO","P"))</f>
        <v>WO</v>
      </c>
      <c r="AA6" s="4" t="str">
        <f>IFERROR(LOOKUP(2,1/((lentry!$A$3:$A$3999=jun!$A6)*(lentry!$B$3:$B$3999&lt;=jun!AA$3)*(lentry!$C$3:$C$3999&gt;=jun!AA$3)),lentry!$D$3:$D$3999),IF(WEEKDAY(jun!AA$3,1)=1,"WO","P"))</f>
        <v>P</v>
      </c>
      <c r="AB6" s="4" t="str">
        <f>IFERROR(LOOKUP(2,1/((lentry!$A$3:$A$3999=jun!$A6)*(lentry!$B$3:$B$3999&lt;=jun!AB$3)*(lentry!$C$3:$C$3999&gt;=jun!AB$3)),lentry!$D$3:$D$3999),IF(WEEKDAY(jun!AB$3,1)=1,"WO","P"))</f>
        <v>P</v>
      </c>
      <c r="AC6" s="4" t="str">
        <f>IFERROR(LOOKUP(2,1/((lentry!$A$3:$A$3999=jun!$A6)*(lentry!$B$3:$B$3999&lt;=jun!AC$3)*(lentry!$C$3:$C$3999&gt;=jun!AC$3)),lentry!$D$3:$D$3999),IF(WEEKDAY(jun!AC$3,1)=1,"WO","P"))</f>
        <v>P</v>
      </c>
      <c r="AD6" s="4" t="str">
        <f>IFERROR(LOOKUP(2,1/((lentry!$A$3:$A$3999=jun!$A6)*(lentry!$B$3:$B$3999&lt;=jun!AD$3)*(lentry!$C$3:$C$3999&gt;=jun!AD$3)),lentry!$D$3:$D$3999),IF(WEEKDAY(jun!AD$3,1)=1,"WO","P"))</f>
        <v>P</v>
      </c>
      <c r="AE6" s="4" t="str">
        <f>IFERROR(LOOKUP(2,1/((lentry!$A$3:$A$3999=jun!$A6)*(lentry!$B$3:$B$3999&lt;=jun!AE$3)*(lentry!$C$3:$C$3999&gt;=jun!AE$3)),lentry!$D$3:$D$3999),IF(WEEKDAY(jun!AE$3,1)=1,"WO","P"))</f>
        <v>P</v>
      </c>
      <c r="AF6" s="4" t="str">
        <f>IFERROR(LOOKUP(2,1/((lentry!$A$3:$A$3999=jun!$A6)*(lentry!$B$3:$B$3999&lt;=jun!AF$3)*(lentry!$C$3:$C$3999&gt;=jun!AF$3)),lentry!$D$3:$D$3999),IF(WEEKDAY(jun!AF$3,1)=1,"WO","P"))</f>
        <v>P</v>
      </c>
      <c r="AG6" s="4" t="str">
        <f>IFERROR(LOOKUP(2,1/((lentry!$A$3:$A$3999=jun!$A6)*(lentry!$B$3:$B$3999&lt;=jun!AG$3)*(lentry!$C$3:$C$3999&gt;=jun!AG$3)),lentry!$D$3:$D$3999),IF(WEEKDAY(jun!AG$3,1)=1,"WO","P"))</f>
        <v>WO</v>
      </c>
      <c r="AH6" s="4" t="str">
        <f>IFERROR(LOOKUP(2,1/((lentry!$A$3:$A$3999=jun!$A6)*(lentry!$B$3:$B$3999&lt;=jun!AH$3)*(lentry!$C$3:$C$3999&gt;=jun!AH$3)),lentry!$D$3:$D$3999),IF(WEEKDAY(jun!AH$3,1)=1,"WO","P"))</f>
        <v>P</v>
      </c>
      <c r="AI6" s="4" t="str">
        <f>IFERROR(LOOKUP(2,1/((lentry!$A$3:$A$3999=jun!$A6)*(lentry!$B$3:$B$3999&lt;=jun!AI$3)*(lentry!$C$3:$C$3999&gt;=jun!AI$3)),lentry!$D$3:$D$3999),IF(WEEKDAY(jun!AI$3,1)=1,"WO","P"))</f>
        <v>P</v>
      </c>
      <c r="AJ6" s="4">
        <f>COUNTIF(jun!$F6:$AI6,"WO")</f>
        <v>4</v>
      </c>
      <c r="AK6" s="4">
        <f>COUNTIF(jun!$F6:$AI6,"H")</f>
        <v>0</v>
      </c>
      <c r="AL6" s="4">
        <f>COUNTIF(jun!$F6:$AI6,"PL")</f>
        <v>0</v>
      </c>
      <c r="AM6" s="4">
        <f>COUNTIF(jun!$F6:$AI6,"LWP")</f>
        <v>0</v>
      </c>
      <c r="AN6" s="4">
        <f>COUNTIF(jun!$F6:$AI6,"HD")</f>
        <v>0</v>
      </c>
      <c r="AO6" s="4">
        <f>COUNTIF(jun!$F6:$AI6,"SL")</f>
        <v>0</v>
      </c>
      <c r="AP6" s="4">
        <f>COUNTIF(jun!$F6:$AI6,"CL")</f>
        <v>0</v>
      </c>
      <c r="AQ6" s="4">
        <f>COUNTIF(jun!$F6:$AI6,"A")</f>
        <v>0</v>
      </c>
      <c r="AR6" s="4">
        <f>COUNTIF(jun!$F6:$AI6,"P")</f>
        <v>26</v>
      </c>
      <c r="AS6" s="4">
        <f t="shared" si="2"/>
        <v>30</v>
      </c>
      <c r="AT6" s="4">
        <f t="shared" ref="AT6:AT54" si="3">AJ6+AK6+AL6+AO6+AP6+AR6+(AN6/2)</f>
        <v>30</v>
      </c>
      <c r="AU6" s="4">
        <f>SUMIFS(holly!$L$2:$L$122,holly!$I$2:$I$122,mar!$A6,holly!$K$2:$K$122,"Mar")</f>
        <v>0</v>
      </c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</row>
    <row r="7" spans="1:79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IFERROR(LOOKUP(2,1/((lentry!$A$3:$A$3999=jun!$A7)*(lentry!$B$3:$B$3999&lt;=jun!F$3)*(lentry!$C$3:$C$3999&gt;=jun!F$3)),lentry!$D$3:$D$3999),IF(WEEKDAY(jun!F$3,1)=1,"WO","P"))</f>
        <v>P</v>
      </c>
      <c r="G7" s="4" t="str">
        <f>IFERROR(LOOKUP(2,1/((lentry!$A$3:$A$3999=jun!$A7)*(lentry!$B$3:$B$3999&lt;=jun!G$3)*(lentry!$C$3:$C$3999&gt;=jun!G$3)),lentry!$D$3:$D$3999),IF(WEEKDAY(jun!G$3,1)=1,"WO","P"))</f>
        <v>P</v>
      </c>
      <c r="H7" s="4" t="str">
        <f>IFERROR(LOOKUP(2,1/((lentry!$A$3:$A$3999=jun!$A7)*(lentry!$B$3:$B$3999&lt;=jun!H$3)*(lentry!$C$3:$C$3999&gt;=jun!H$3)),lentry!$D$3:$D$3999),IF(WEEKDAY(jun!H$3,1)=1,"WO","P"))</f>
        <v>P</v>
      </c>
      <c r="I7" s="4" t="str">
        <f>IFERROR(LOOKUP(2,1/((lentry!$A$3:$A$3999=jun!$A7)*(lentry!$B$3:$B$3999&lt;=jun!I$3)*(lentry!$C$3:$C$3999&gt;=jun!I$3)),lentry!$D$3:$D$3999),IF(WEEKDAY(jun!I$3,1)=1,"WO","P"))</f>
        <v>P</v>
      </c>
      <c r="J7" s="4" t="str">
        <f>IFERROR(LOOKUP(2,1/((lentry!$A$3:$A$3999=jun!$A7)*(lentry!$B$3:$B$3999&lt;=jun!J$3)*(lentry!$C$3:$C$3999&gt;=jun!J$3)),lentry!$D$3:$D$3999),IF(WEEKDAY(jun!J$3,1)=1,"WO","P"))</f>
        <v>P</v>
      </c>
      <c r="K7" s="4" t="str">
        <f>IFERROR(LOOKUP(2,1/((lentry!$A$3:$A$3999=jun!$A7)*(lentry!$B$3:$B$3999&lt;=jun!K$3)*(lentry!$C$3:$C$3999&gt;=jun!K$3)),lentry!$D$3:$D$3999),IF(WEEKDAY(jun!K$3,1)=1,"WO","P"))</f>
        <v>P</v>
      </c>
      <c r="L7" s="4" t="str">
        <f>IFERROR(LOOKUP(2,1/((lentry!$A$3:$A$3999=jun!$A7)*(lentry!$B$3:$B$3999&lt;=jun!L$3)*(lentry!$C$3:$C$3999&gt;=jun!L$3)),lentry!$D$3:$D$3999),IF(WEEKDAY(jun!L$3,1)=1,"WO","P"))</f>
        <v>WO</v>
      </c>
      <c r="M7" s="4" t="str">
        <f>IFERROR(LOOKUP(2,1/((lentry!$A$3:$A$3999=jun!$A7)*(lentry!$B$3:$B$3999&lt;=jun!M$3)*(lentry!$C$3:$C$3999&gt;=jun!M$3)),lentry!$D$3:$D$3999),IF(WEEKDAY(jun!M$3,1)=1,"WO","P"))</f>
        <v>P</v>
      </c>
      <c r="N7" s="4" t="str">
        <f>IFERROR(LOOKUP(2,1/((lentry!$A$3:$A$3999=jun!$A7)*(lentry!$B$3:$B$3999&lt;=jun!N$3)*(lentry!$C$3:$C$3999&gt;=jun!N$3)),lentry!$D$3:$D$3999),IF(WEEKDAY(jun!N$3,1)=1,"WO","P"))</f>
        <v>P</v>
      </c>
      <c r="O7" s="4" t="str">
        <f>IFERROR(LOOKUP(2,1/((lentry!$A$3:$A$3999=jun!$A7)*(lentry!$B$3:$B$3999&lt;=jun!O$3)*(lentry!$C$3:$C$3999&gt;=jun!O$3)),lentry!$D$3:$D$3999),IF(WEEKDAY(jun!O$3,1)=1,"WO","P"))</f>
        <v>P</v>
      </c>
      <c r="P7" s="4" t="str">
        <f>IFERROR(LOOKUP(2,1/((lentry!$A$3:$A$3999=jun!$A7)*(lentry!$B$3:$B$3999&lt;=jun!P$3)*(lentry!$C$3:$C$3999&gt;=jun!P$3)),lentry!$D$3:$D$3999),IF(WEEKDAY(jun!P$3,1)=1,"WO","P"))</f>
        <v>P</v>
      </c>
      <c r="Q7" s="4" t="str">
        <f>IFERROR(LOOKUP(2,1/((lentry!$A$3:$A$3999=jun!$A7)*(lentry!$B$3:$B$3999&lt;=jun!Q$3)*(lentry!$C$3:$C$3999&gt;=jun!Q$3)),lentry!$D$3:$D$3999),IF(WEEKDAY(jun!Q$3,1)=1,"WO","P"))</f>
        <v>P</v>
      </c>
      <c r="R7" s="4" t="str">
        <f>IFERROR(LOOKUP(2,1/((lentry!$A$3:$A$3999=jun!$A7)*(lentry!$B$3:$B$3999&lt;=jun!R$3)*(lentry!$C$3:$C$3999&gt;=jun!R$3)),lentry!$D$3:$D$3999),IF(WEEKDAY(jun!R$3,1)=1,"WO","P"))</f>
        <v>P</v>
      </c>
      <c r="S7" s="4" t="str">
        <f>IFERROR(LOOKUP(2,1/((lentry!$A$3:$A$3999=jun!$A7)*(lentry!$B$3:$B$3999&lt;=jun!S$3)*(lentry!$C$3:$C$3999&gt;=jun!S$3)),lentry!$D$3:$D$3999),IF(WEEKDAY(jun!S$3,1)=1,"WO","P"))</f>
        <v>WO</v>
      </c>
      <c r="T7" s="4" t="str">
        <f>IFERROR(LOOKUP(2,1/((lentry!$A$3:$A$3999=jun!$A7)*(lentry!$B$3:$B$3999&lt;=jun!T$3)*(lentry!$C$3:$C$3999&gt;=jun!T$3)),lentry!$D$3:$D$3999),IF(WEEKDAY(jun!T$3,1)=1,"WO","P"))</f>
        <v>P</v>
      </c>
      <c r="U7" s="4" t="str">
        <f>IFERROR(LOOKUP(2,1/((lentry!$A$3:$A$3999=jun!$A7)*(lentry!$B$3:$B$3999&lt;=jun!U$3)*(lentry!$C$3:$C$3999&gt;=jun!U$3)),lentry!$D$3:$D$3999),IF(WEEKDAY(jun!U$3,1)=1,"WO","P"))</f>
        <v>P</v>
      </c>
      <c r="V7" s="4" t="str">
        <f>IFERROR(LOOKUP(2,1/((lentry!$A$3:$A$3999=jun!$A7)*(lentry!$B$3:$B$3999&lt;=jun!V$3)*(lentry!$C$3:$C$3999&gt;=jun!V$3)),lentry!$D$3:$D$3999),IF(WEEKDAY(jun!V$3,1)=1,"WO","P"))</f>
        <v>P</v>
      </c>
      <c r="W7" s="4" t="str">
        <f>IFERROR(LOOKUP(2,1/((lentry!$A$3:$A$3999=jun!$A7)*(lentry!$B$3:$B$3999&lt;=jun!W$3)*(lentry!$C$3:$C$3999&gt;=jun!W$3)),lentry!$D$3:$D$3999),IF(WEEKDAY(jun!W$3,1)=1,"WO","P"))</f>
        <v>P</v>
      </c>
      <c r="X7" s="4" t="str">
        <f>IFERROR(LOOKUP(2,1/((lentry!$A$3:$A$3999=jun!$A7)*(lentry!$B$3:$B$3999&lt;=jun!X$3)*(lentry!$C$3:$C$3999&gt;=jun!X$3)),lentry!$D$3:$D$3999),IF(WEEKDAY(jun!X$3,1)=1,"WO","P"))</f>
        <v>P</v>
      </c>
      <c r="Y7" s="4" t="str">
        <f>IFERROR(LOOKUP(2,1/((lentry!$A$3:$A$3999=jun!$A7)*(lentry!$B$3:$B$3999&lt;=jun!Y$3)*(lentry!$C$3:$C$3999&gt;=jun!Y$3)),lentry!$D$3:$D$3999),IF(WEEKDAY(jun!Y$3,1)=1,"WO","P"))</f>
        <v>P</v>
      </c>
      <c r="Z7" s="4" t="str">
        <f>IFERROR(LOOKUP(2,1/((lentry!$A$3:$A$3999=jun!$A7)*(lentry!$B$3:$B$3999&lt;=jun!Z$3)*(lentry!$C$3:$C$3999&gt;=jun!Z$3)),lentry!$D$3:$D$3999),IF(WEEKDAY(jun!Z$3,1)=1,"WO","P"))</f>
        <v>WO</v>
      </c>
      <c r="AA7" s="4" t="str">
        <f>IFERROR(LOOKUP(2,1/((lentry!$A$3:$A$3999=jun!$A7)*(lentry!$B$3:$B$3999&lt;=jun!AA$3)*(lentry!$C$3:$C$3999&gt;=jun!AA$3)),lentry!$D$3:$D$3999),IF(WEEKDAY(jun!AA$3,1)=1,"WO","P"))</f>
        <v>P</v>
      </c>
      <c r="AB7" s="4" t="str">
        <f>IFERROR(LOOKUP(2,1/((lentry!$A$3:$A$3999=jun!$A7)*(lentry!$B$3:$B$3999&lt;=jun!AB$3)*(lentry!$C$3:$C$3999&gt;=jun!AB$3)),lentry!$D$3:$D$3999),IF(WEEKDAY(jun!AB$3,1)=1,"WO","P"))</f>
        <v>P</v>
      </c>
      <c r="AC7" s="4" t="str">
        <f>IFERROR(LOOKUP(2,1/((lentry!$A$3:$A$3999=jun!$A7)*(lentry!$B$3:$B$3999&lt;=jun!AC$3)*(lentry!$C$3:$C$3999&gt;=jun!AC$3)),lentry!$D$3:$D$3999),IF(WEEKDAY(jun!AC$3,1)=1,"WO","P"))</f>
        <v>P</v>
      </c>
      <c r="AD7" s="4" t="str">
        <f>IFERROR(LOOKUP(2,1/((lentry!$A$3:$A$3999=jun!$A7)*(lentry!$B$3:$B$3999&lt;=jun!AD$3)*(lentry!$C$3:$C$3999&gt;=jun!AD$3)),lentry!$D$3:$D$3999),IF(WEEKDAY(jun!AD$3,1)=1,"WO","P"))</f>
        <v>P</v>
      </c>
      <c r="AE7" s="4" t="str">
        <f>IFERROR(LOOKUP(2,1/((lentry!$A$3:$A$3999=jun!$A7)*(lentry!$B$3:$B$3999&lt;=jun!AE$3)*(lentry!$C$3:$C$3999&gt;=jun!AE$3)),lentry!$D$3:$D$3999),IF(WEEKDAY(jun!AE$3,1)=1,"WO","P"))</f>
        <v>P</v>
      </c>
      <c r="AF7" s="4" t="str">
        <f>IFERROR(LOOKUP(2,1/((lentry!$A$3:$A$3999=jun!$A7)*(lentry!$B$3:$B$3999&lt;=jun!AF$3)*(lentry!$C$3:$C$3999&gt;=jun!AF$3)),lentry!$D$3:$D$3999),IF(WEEKDAY(jun!AF$3,1)=1,"WO","P"))</f>
        <v>CL</v>
      </c>
      <c r="AG7" s="4" t="str">
        <f>IFERROR(LOOKUP(2,1/((lentry!$A$3:$A$3999=jun!$A7)*(lentry!$B$3:$B$3999&lt;=jun!AG$3)*(lentry!$C$3:$C$3999&gt;=jun!AG$3)),lentry!$D$3:$D$3999),IF(WEEKDAY(jun!AG$3,1)=1,"WO","P"))</f>
        <v>WO</v>
      </c>
      <c r="AH7" s="4" t="str">
        <f>IFERROR(LOOKUP(2,1/((lentry!$A$3:$A$3999=jun!$A7)*(lentry!$B$3:$B$3999&lt;=jun!AH$3)*(lentry!$C$3:$C$3999&gt;=jun!AH$3)),lentry!$D$3:$D$3999),IF(WEEKDAY(jun!AH$3,1)=1,"WO","P"))</f>
        <v>P</v>
      </c>
      <c r="AI7" s="4" t="str">
        <f>IFERROR(LOOKUP(2,1/((lentry!$A$3:$A$3999=jun!$A7)*(lentry!$B$3:$B$3999&lt;=jun!AI$3)*(lentry!$C$3:$C$3999&gt;=jun!AI$3)),lentry!$D$3:$D$3999),IF(WEEKDAY(jun!AI$3,1)=1,"WO","P"))</f>
        <v>P</v>
      </c>
      <c r="AJ7" s="4">
        <f>COUNTIF(jun!$F7:$AI7,"WO")</f>
        <v>4</v>
      </c>
      <c r="AK7" s="4">
        <f>COUNTIF(jun!$F7:$AI7,"H")</f>
        <v>0</v>
      </c>
      <c r="AL7" s="4">
        <f>COUNTIF(jun!$F7:$AI7,"PL")</f>
        <v>0</v>
      </c>
      <c r="AM7" s="4">
        <f>COUNTIF(jun!$F7:$AI7,"LWP")</f>
        <v>0</v>
      </c>
      <c r="AN7" s="4">
        <f>COUNTIF(jun!$F7:$AI7,"HD")</f>
        <v>0</v>
      </c>
      <c r="AO7" s="4">
        <f>COUNTIF(jun!$F7:$AI7,"SL")</f>
        <v>0</v>
      </c>
      <c r="AP7" s="4">
        <f>COUNTIF(jun!$F7:$AI7,"CL")</f>
        <v>1</v>
      </c>
      <c r="AQ7" s="4">
        <f>COUNTIF(jun!$F7:$AI7,"A")</f>
        <v>0</v>
      </c>
      <c r="AR7" s="4">
        <f>COUNTIF(jun!$F7:$AI7,"P")</f>
        <v>25</v>
      </c>
      <c r="AS7" s="4">
        <f t="shared" si="2"/>
        <v>30</v>
      </c>
      <c r="AT7" s="4">
        <f t="shared" si="3"/>
        <v>30</v>
      </c>
      <c r="AU7" s="4">
        <f>SUMIFS(holly!$L$2:$L$122,holly!$I$2:$I$122,mar!$A7,holly!$K$2:$K$122,"Mar")</f>
        <v>0</v>
      </c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</row>
    <row r="8" spans="1:79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IFERROR(LOOKUP(2,1/((lentry!$A$3:$A$3999=jun!$A8)*(lentry!$B$3:$B$3999&lt;=jun!F$3)*(lentry!$C$3:$C$3999&gt;=jun!F$3)),lentry!$D$3:$D$3999),IF(WEEKDAY(jun!F$3,1)=1,"WO","P"))</f>
        <v>P</v>
      </c>
      <c r="G8" s="4" t="str">
        <f>IFERROR(LOOKUP(2,1/((lentry!$A$3:$A$3999=jun!$A8)*(lentry!$B$3:$B$3999&lt;=jun!G$3)*(lentry!$C$3:$C$3999&gt;=jun!G$3)),lentry!$D$3:$D$3999),IF(WEEKDAY(jun!G$3,1)=1,"WO","P"))</f>
        <v>P</v>
      </c>
      <c r="H8" s="4" t="str">
        <f>IFERROR(LOOKUP(2,1/((lentry!$A$3:$A$3999=jun!$A8)*(lentry!$B$3:$B$3999&lt;=jun!H$3)*(lentry!$C$3:$C$3999&gt;=jun!H$3)),lentry!$D$3:$D$3999),IF(WEEKDAY(jun!H$3,1)=1,"WO","P"))</f>
        <v>P</v>
      </c>
      <c r="I8" s="4" t="str">
        <f>IFERROR(LOOKUP(2,1/((lentry!$A$3:$A$3999=jun!$A8)*(lentry!$B$3:$B$3999&lt;=jun!I$3)*(lentry!$C$3:$C$3999&gt;=jun!I$3)),lentry!$D$3:$D$3999),IF(WEEKDAY(jun!I$3,1)=1,"WO","P"))</f>
        <v>P</v>
      </c>
      <c r="J8" s="4" t="str">
        <f>IFERROR(LOOKUP(2,1/((lentry!$A$3:$A$3999=jun!$A8)*(lentry!$B$3:$B$3999&lt;=jun!J$3)*(lentry!$C$3:$C$3999&gt;=jun!J$3)),lentry!$D$3:$D$3999),IF(WEEKDAY(jun!J$3,1)=1,"WO","P"))</f>
        <v>P</v>
      </c>
      <c r="K8" s="4" t="str">
        <f>IFERROR(LOOKUP(2,1/((lentry!$A$3:$A$3999=jun!$A8)*(lentry!$B$3:$B$3999&lt;=jun!K$3)*(lentry!$C$3:$C$3999&gt;=jun!K$3)),lentry!$D$3:$D$3999),IF(WEEKDAY(jun!K$3,1)=1,"WO","P"))</f>
        <v>P</v>
      </c>
      <c r="L8" s="4" t="str">
        <f>IFERROR(LOOKUP(2,1/((lentry!$A$3:$A$3999=jun!$A8)*(lentry!$B$3:$B$3999&lt;=jun!L$3)*(lentry!$C$3:$C$3999&gt;=jun!L$3)),lentry!$D$3:$D$3999),IF(WEEKDAY(jun!L$3,1)=1,"WO","P"))</f>
        <v>WO</v>
      </c>
      <c r="M8" s="4" t="str">
        <f>IFERROR(LOOKUP(2,1/((lentry!$A$3:$A$3999=jun!$A8)*(lentry!$B$3:$B$3999&lt;=jun!M$3)*(lentry!$C$3:$C$3999&gt;=jun!M$3)),lentry!$D$3:$D$3999),IF(WEEKDAY(jun!M$3,1)=1,"WO","P"))</f>
        <v>P</v>
      </c>
      <c r="N8" s="4" t="str">
        <f>IFERROR(LOOKUP(2,1/((lentry!$A$3:$A$3999=jun!$A8)*(lentry!$B$3:$B$3999&lt;=jun!N$3)*(lentry!$C$3:$C$3999&gt;=jun!N$3)),lentry!$D$3:$D$3999),IF(WEEKDAY(jun!N$3,1)=1,"WO","P"))</f>
        <v>P</v>
      </c>
      <c r="O8" s="4" t="s">
        <v>539</v>
      </c>
      <c r="P8" s="4" t="str">
        <f>IFERROR(LOOKUP(2,1/((lentry!$A$3:$A$3999=jun!$A8)*(lentry!$B$3:$B$3999&lt;=jun!P$3)*(lentry!$C$3:$C$3999&gt;=jun!P$3)),lentry!$D$3:$D$3999),IF(WEEKDAY(jun!P$3,1)=1,"WO","P"))</f>
        <v>P</v>
      </c>
      <c r="Q8" s="4" t="str">
        <f>IFERROR(LOOKUP(2,1/((lentry!$A$3:$A$3999=jun!$A8)*(lentry!$B$3:$B$3999&lt;=jun!Q$3)*(lentry!$C$3:$C$3999&gt;=jun!Q$3)),lentry!$D$3:$D$3999),IF(WEEKDAY(jun!Q$3,1)=1,"WO","P"))</f>
        <v>P</v>
      </c>
      <c r="R8" s="4" t="str">
        <f>IFERROR(LOOKUP(2,1/((lentry!$A$3:$A$3999=jun!$A8)*(lentry!$B$3:$B$3999&lt;=jun!R$3)*(lentry!$C$3:$C$3999&gt;=jun!R$3)),lentry!$D$3:$D$3999),IF(WEEKDAY(jun!R$3,1)=1,"WO","P"))</f>
        <v>P</v>
      </c>
      <c r="S8" s="4" t="str">
        <f>IFERROR(LOOKUP(2,1/((lentry!$A$3:$A$3999=jun!$A8)*(lentry!$B$3:$B$3999&lt;=jun!S$3)*(lentry!$C$3:$C$3999&gt;=jun!S$3)),lentry!$D$3:$D$3999),IF(WEEKDAY(jun!S$3,1)=1,"WO","P"))</f>
        <v>WO</v>
      </c>
      <c r="T8" s="4" t="str">
        <f>IFERROR(LOOKUP(2,1/((lentry!$A$3:$A$3999=jun!$A8)*(lentry!$B$3:$B$3999&lt;=jun!T$3)*(lentry!$C$3:$C$3999&gt;=jun!T$3)),lentry!$D$3:$D$3999),IF(WEEKDAY(jun!T$3,1)=1,"WO","P"))</f>
        <v>P</v>
      </c>
      <c r="U8" s="4" t="str">
        <f>IFERROR(LOOKUP(2,1/((lentry!$A$3:$A$3999=jun!$A8)*(lentry!$B$3:$B$3999&lt;=jun!U$3)*(lentry!$C$3:$C$3999&gt;=jun!U$3)),lentry!$D$3:$D$3999),IF(WEEKDAY(jun!U$3,1)=1,"WO","P"))</f>
        <v>P</v>
      </c>
      <c r="V8" s="4" t="str">
        <f>IFERROR(LOOKUP(2,1/((lentry!$A$3:$A$3999=jun!$A8)*(lentry!$B$3:$B$3999&lt;=jun!V$3)*(lentry!$C$3:$C$3999&gt;=jun!V$3)),lentry!$D$3:$D$3999),IF(WEEKDAY(jun!V$3,1)=1,"WO","P"))</f>
        <v>P</v>
      </c>
      <c r="W8" s="4" t="str">
        <f>IFERROR(LOOKUP(2,1/((lentry!$A$3:$A$3999=jun!$A8)*(lentry!$B$3:$B$3999&lt;=jun!W$3)*(lentry!$C$3:$C$3999&gt;=jun!W$3)),lentry!$D$3:$D$3999),IF(WEEKDAY(jun!W$3,1)=1,"WO","P"))</f>
        <v>P</v>
      </c>
      <c r="X8" s="4" t="str">
        <f>IFERROR(LOOKUP(2,1/((lentry!$A$3:$A$3999=jun!$A8)*(lentry!$B$3:$B$3999&lt;=jun!X$3)*(lentry!$C$3:$C$3999&gt;=jun!X$3)),lentry!$D$3:$D$3999),IF(WEEKDAY(jun!X$3,1)=1,"WO","P"))</f>
        <v>P</v>
      </c>
      <c r="Y8" s="4" t="str">
        <f>IFERROR(LOOKUP(2,1/((lentry!$A$3:$A$3999=jun!$A8)*(lentry!$B$3:$B$3999&lt;=jun!Y$3)*(lentry!$C$3:$C$3999&gt;=jun!Y$3)),lentry!$D$3:$D$3999),IF(WEEKDAY(jun!Y$3,1)=1,"WO","P"))</f>
        <v>P</v>
      </c>
      <c r="Z8" s="4" t="str">
        <f>IFERROR(LOOKUP(2,1/((lentry!$A$3:$A$3999=jun!$A8)*(lentry!$B$3:$B$3999&lt;=jun!Z$3)*(lentry!$C$3:$C$3999&gt;=jun!Z$3)),lentry!$D$3:$D$3999),IF(WEEKDAY(jun!Z$3,1)=1,"WO","P"))</f>
        <v>WO</v>
      </c>
      <c r="AA8" s="4" t="str">
        <f>IFERROR(LOOKUP(2,1/((lentry!$A$3:$A$3999=jun!$A8)*(lentry!$B$3:$B$3999&lt;=jun!AA$3)*(lentry!$C$3:$C$3999&gt;=jun!AA$3)),lentry!$D$3:$D$3999),IF(WEEKDAY(jun!AA$3,1)=1,"WO","P"))</f>
        <v>P</v>
      </c>
      <c r="AB8" s="4" t="str">
        <f>IFERROR(LOOKUP(2,1/((lentry!$A$3:$A$3999=jun!$A8)*(lentry!$B$3:$B$3999&lt;=jun!AB$3)*(lentry!$C$3:$C$3999&gt;=jun!AB$3)),lentry!$D$3:$D$3999),IF(WEEKDAY(jun!AB$3,1)=1,"WO","P"))</f>
        <v>P</v>
      </c>
      <c r="AC8" s="4" t="str">
        <f>IFERROR(LOOKUP(2,1/((lentry!$A$3:$A$3999=jun!$A8)*(lentry!$B$3:$B$3999&lt;=jun!AC$3)*(lentry!$C$3:$C$3999&gt;=jun!AC$3)),lentry!$D$3:$D$3999),IF(WEEKDAY(jun!AC$3,1)=1,"WO","P"))</f>
        <v>P</v>
      </c>
      <c r="AD8" s="4" t="str">
        <f>IFERROR(LOOKUP(2,1/((lentry!$A$3:$A$3999=jun!$A8)*(lentry!$B$3:$B$3999&lt;=jun!AD$3)*(lentry!$C$3:$C$3999&gt;=jun!AD$3)),lentry!$D$3:$D$3999),IF(WEEKDAY(jun!AD$3,1)=1,"WO","P"))</f>
        <v>P</v>
      </c>
      <c r="AE8" s="4" t="str">
        <f>IFERROR(LOOKUP(2,1/((lentry!$A$3:$A$3999=jun!$A8)*(lentry!$B$3:$B$3999&lt;=jun!AE$3)*(lentry!$C$3:$C$3999&gt;=jun!AE$3)),lentry!$D$3:$D$3999),IF(WEEKDAY(jun!AE$3,1)=1,"WO","P"))</f>
        <v>P</v>
      </c>
      <c r="AF8" s="4" t="str">
        <f>IFERROR(LOOKUP(2,1/((lentry!$A$3:$A$3999=jun!$A8)*(lentry!$B$3:$B$3999&lt;=jun!AF$3)*(lentry!$C$3:$C$3999&gt;=jun!AF$3)),lentry!$D$3:$D$3999),IF(WEEKDAY(jun!AF$3,1)=1,"WO","P"))</f>
        <v>P</v>
      </c>
      <c r="AG8" s="4" t="str">
        <f>IFERROR(LOOKUP(2,1/((lentry!$A$3:$A$3999=jun!$A8)*(lentry!$B$3:$B$3999&lt;=jun!AG$3)*(lentry!$C$3:$C$3999&gt;=jun!AG$3)),lentry!$D$3:$D$3999),IF(WEEKDAY(jun!AG$3,1)=1,"WO","P"))</f>
        <v>WO</v>
      </c>
      <c r="AH8" s="4" t="str">
        <f>IFERROR(LOOKUP(2,1/((lentry!$A$3:$A$3999=jun!$A8)*(lentry!$B$3:$B$3999&lt;=jun!AH$3)*(lentry!$C$3:$C$3999&gt;=jun!AH$3)),lentry!$D$3:$D$3999),IF(WEEKDAY(jun!AH$3,1)=1,"WO","P"))</f>
        <v>P</v>
      </c>
      <c r="AI8" s="4" t="str">
        <f>IFERROR(LOOKUP(2,1/((lentry!$A$3:$A$3999=jun!$A8)*(lentry!$B$3:$B$3999&lt;=jun!AI$3)*(lentry!$C$3:$C$3999&gt;=jun!AI$3)),lentry!$D$3:$D$3999),IF(WEEKDAY(jun!AI$3,1)=1,"WO","P"))</f>
        <v>P</v>
      </c>
      <c r="AJ8" s="4">
        <f>COUNTIF(jun!$F8:$AI8,"WO")</f>
        <v>4</v>
      </c>
      <c r="AK8" s="4">
        <f>COUNTIF(jun!$F8:$AI8,"H")</f>
        <v>0</v>
      </c>
      <c r="AL8" s="4">
        <f>COUNTIF(jun!$F8:$AI8,"PL")</f>
        <v>0</v>
      </c>
      <c r="AM8" s="4">
        <f>COUNTIF(jun!$F8:$AI8,"LWP")</f>
        <v>0</v>
      </c>
      <c r="AN8" s="4">
        <f>COUNTIF(jun!$F8:$AI8,"HD")</f>
        <v>0</v>
      </c>
      <c r="AO8" s="4">
        <f>COUNTIF(jun!$F8:$AI8,"SL")</f>
        <v>0</v>
      </c>
      <c r="AP8" s="4">
        <f>COUNTIF(jun!$F8:$AI8,"CL")</f>
        <v>0</v>
      </c>
      <c r="AQ8" s="4">
        <f>COUNTIF(jun!$F8:$AI8,"A")</f>
        <v>1</v>
      </c>
      <c r="AR8" s="4">
        <f>COUNTIF(jun!$F8:$AI8,"P")</f>
        <v>25</v>
      </c>
      <c r="AS8" s="4">
        <f t="shared" si="2"/>
        <v>30</v>
      </c>
      <c r="AT8" s="4">
        <f t="shared" si="3"/>
        <v>29</v>
      </c>
      <c r="AU8" s="4">
        <f>SUMIFS(holly!$L$2:$L$122,holly!$I$2:$I$122,mar!$A8,holly!$K$2:$K$122,"Mar")</f>
        <v>2</v>
      </c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</row>
    <row r="9" spans="1:79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IFERROR(LOOKUP(2,1/((lentry!$A$3:$A$3999=jun!$A9)*(lentry!$B$3:$B$3999&lt;=jun!F$3)*(lentry!$C$3:$C$3999&gt;=jun!F$3)),lentry!$D$3:$D$3999),IF(WEEKDAY(jun!F$3,1)=1,"WO","P"))</f>
        <v>P</v>
      </c>
      <c r="G9" s="4" t="str">
        <f>IFERROR(LOOKUP(2,1/((lentry!$A$3:$A$3999=jun!$A9)*(lentry!$B$3:$B$3999&lt;=jun!G$3)*(lentry!$C$3:$C$3999&gt;=jun!G$3)),lentry!$D$3:$D$3999),IF(WEEKDAY(jun!G$3,1)=1,"WO","P"))</f>
        <v>P</v>
      </c>
      <c r="H9" s="4" t="str">
        <f>IFERROR(LOOKUP(2,1/((lentry!$A$3:$A$3999=jun!$A9)*(lentry!$B$3:$B$3999&lt;=jun!H$3)*(lentry!$C$3:$C$3999&gt;=jun!H$3)),lentry!$D$3:$D$3999),IF(WEEKDAY(jun!H$3,1)=1,"WO","P"))</f>
        <v>P</v>
      </c>
      <c r="I9" s="4" t="str">
        <f>IFERROR(LOOKUP(2,1/((lentry!$A$3:$A$3999=jun!$A9)*(lentry!$B$3:$B$3999&lt;=jun!I$3)*(lentry!$C$3:$C$3999&gt;=jun!I$3)),lentry!$D$3:$D$3999),IF(WEEKDAY(jun!I$3,1)=1,"WO","P"))</f>
        <v>P</v>
      </c>
      <c r="J9" s="4" t="str">
        <f>IFERROR(LOOKUP(2,1/((lentry!$A$3:$A$3999=jun!$A9)*(lentry!$B$3:$B$3999&lt;=jun!J$3)*(lentry!$C$3:$C$3999&gt;=jun!J$3)),lentry!$D$3:$D$3999),IF(WEEKDAY(jun!J$3,1)=1,"WO","P"))</f>
        <v>P</v>
      </c>
      <c r="K9" s="4" t="str">
        <f>IFERROR(LOOKUP(2,1/((lentry!$A$3:$A$3999=jun!$A9)*(lentry!$B$3:$B$3999&lt;=jun!K$3)*(lentry!$C$3:$C$3999&gt;=jun!K$3)),lentry!$D$3:$D$3999),IF(WEEKDAY(jun!K$3,1)=1,"WO","P"))</f>
        <v>P</v>
      </c>
      <c r="L9" s="4" t="str">
        <f>IFERROR(LOOKUP(2,1/((lentry!$A$3:$A$3999=jun!$A9)*(lentry!$B$3:$B$3999&lt;=jun!L$3)*(lentry!$C$3:$C$3999&gt;=jun!L$3)),lentry!$D$3:$D$3999),IF(WEEKDAY(jun!L$3,1)=1,"WO","P"))</f>
        <v>WO</v>
      </c>
      <c r="M9" s="4" t="str">
        <f>IFERROR(LOOKUP(2,1/((lentry!$A$3:$A$3999=jun!$A9)*(lentry!$B$3:$B$3999&lt;=jun!M$3)*(lentry!$C$3:$C$3999&gt;=jun!M$3)),lentry!$D$3:$D$3999),IF(WEEKDAY(jun!M$3,1)=1,"WO","P"))</f>
        <v>P</v>
      </c>
      <c r="N9" s="4" t="str">
        <f>IFERROR(LOOKUP(2,1/((lentry!$A$3:$A$3999=jun!$A9)*(lentry!$B$3:$B$3999&lt;=jun!N$3)*(lentry!$C$3:$C$3999&gt;=jun!N$3)),lentry!$D$3:$D$3999),IF(WEEKDAY(jun!N$3,1)=1,"WO","P"))</f>
        <v>P</v>
      </c>
      <c r="O9" s="4" t="str">
        <f>IFERROR(LOOKUP(2,1/((lentry!$A$3:$A$3999=jun!$A9)*(lentry!$B$3:$B$3999&lt;=jun!O$3)*(lentry!$C$3:$C$3999&gt;=jun!O$3)),lentry!$D$3:$D$3999),IF(WEEKDAY(jun!O$3,1)=1,"WO","P"))</f>
        <v>P</v>
      </c>
      <c r="P9" s="4" t="str">
        <f>IFERROR(LOOKUP(2,1/((lentry!$A$3:$A$3999=jun!$A9)*(lentry!$B$3:$B$3999&lt;=jun!P$3)*(lentry!$C$3:$C$3999&gt;=jun!P$3)),lentry!$D$3:$D$3999),IF(WEEKDAY(jun!P$3,1)=1,"WO","P"))</f>
        <v>P</v>
      </c>
      <c r="Q9" s="4" t="str">
        <f>IFERROR(LOOKUP(2,1/((lentry!$A$3:$A$3999=jun!$A9)*(lentry!$B$3:$B$3999&lt;=jun!Q$3)*(lentry!$C$3:$C$3999&gt;=jun!Q$3)),lentry!$D$3:$D$3999),IF(WEEKDAY(jun!Q$3,1)=1,"WO","P"))</f>
        <v>P</v>
      </c>
      <c r="R9" s="4" t="str">
        <f>IFERROR(LOOKUP(2,1/((lentry!$A$3:$A$3999=jun!$A9)*(lentry!$B$3:$B$3999&lt;=jun!R$3)*(lentry!$C$3:$C$3999&gt;=jun!R$3)),lentry!$D$3:$D$3999),IF(WEEKDAY(jun!R$3,1)=1,"WO","P"))</f>
        <v>P</v>
      </c>
      <c r="S9" s="4" t="str">
        <f>IFERROR(LOOKUP(2,1/((lentry!$A$3:$A$3999=jun!$A9)*(lentry!$B$3:$B$3999&lt;=jun!S$3)*(lentry!$C$3:$C$3999&gt;=jun!S$3)),lentry!$D$3:$D$3999),IF(WEEKDAY(jun!S$3,1)=1,"WO","P"))</f>
        <v>WO</v>
      </c>
      <c r="T9" s="4" t="str">
        <f>IFERROR(LOOKUP(2,1/((lentry!$A$3:$A$3999=jun!$A9)*(lentry!$B$3:$B$3999&lt;=jun!T$3)*(lentry!$C$3:$C$3999&gt;=jun!T$3)),lentry!$D$3:$D$3999),IF(WEEKDAY(jun!T$3,1)=1,"WO","P"))</f>
        <v>P</v>
      </c>
      <c r="U9" s="4" t="str">
        <f>IFERROR(LOOKUP(2,1/((lentry!$A$3:$A$3999=jun!$A9)*(lentry!$B$3:$B$3999&lt;=jun!U$3)*(lentry!$C$3:$C$3999&gt;=jun!U$3)),lentry!$D$3:$D$3999),IF(WEEKDAY(jun!U$3,1)=1,"WO","P"))</f>
        <v>P</v>
      </c>
      <c r="V9" s="4" t="str">
        <f>IFERROR(LOOKUP(2,1/((lentry!$A$3:$A$3999=jun!$A9)*(lentry!$B$3:$B$3999&lt;=jun!V$3)*(lentry!$C$3:$C$3999&gt;=jun!V$3)),lentry!$D$3:$D$3999),IF(WEEKDAY(jun!V$3,1)=1,"WO","P"))</f>
        <v>P</v>
      </c>
      <c r="W9" s="4" t="str">
        <f>IFERROR(LOOKUP(2,1/((lentry!$A$3:$A$3999=jun!$A9)*(lentry!$B$3:$B$3999&lt;=jun!W$3)*(lentry!$C$3:$C$3999&gt;=jun!W$3)),lentry!$D$3:$D$3999),IF(WEEKDAY(jun!W$3,1)=1,"WO","P"))</f>
        <v>P</v>
      </c>
      <c r="X9" s="4" t="str">
        <f>IFERROR(LOOKUP(2,1/((lentry!$A$3:$A$3999=jun!$A9)*(lentry!$B$3:$B$3999&lt;=jun!X$3)*(lentry!$C$3:$C$3999&gt;=jun!X$3)),lentry!$D$3:$D$3999),IF(WEEKDAY(jun!X$3,1)=1,"WO","P"))</f>
        <v>P</v>
      </c>
      <c r="Y9" s="4" t="str">
        <f>IFERROR(LOOKUP(2,1/((lentry!$A$3:$A$3999=jun!$A9)*(lentry!$B$3:$B$3999&lt;=jun!Y$3)*(lentry!$C$3:$C$3999&gt;=jun!Y$3)),lentry!$D$3:$D$3999),IF(WEEKDAY(jun!Y$3,1)=1,"WO","P"))</f>
        <v>P</v>
      </c>
      <c r="Z9" s="4" t="str">
        <f>IFERROR(LOOKUP(2,1/((lentry!$A$3:$A$3999=jun!$A9)*(lentry!$B$3:$B$3999&lt;=jun!Z$3)*(lentry!$C$3:$C$3999&gt;=jun!Z$3)),lentry!$D$3:$D$3999),IF(WEEKDAY(jun!Z$3,1)=1,"WO","P"))</f>
        <v>WO</v>
      </c>
      <c r="AA9" s="4" t="str">
        <f>IFERROR(LOOKUP(2,1/((lentry!$A$3:$A$3999=jun!$A9)*(lentry!$B$3:$B$3999&lt;=jun!AA$3)*(lentry!$C$3:$C$3999&gt;=jun!AA$3)),lentry!$D$3:$D$3999),IF(WEEKDAY(jun!AA$3,1)=1,"WO","P"))</f>
        <v>P</v>
      </c>
      <c r="AB9" s="4" t="str">
        <f>IFERROR(LOOKUP(2,1/((lentry!$A$3:$A$3999=jun!$A9)*(lentry!$B$3:$B$3999&lt;=jun!AB$3)*(lentry!$C$3:$C$3999&gt;=jun!AB$3)),lentry!$D$3:$D$3999),IF(WEEKDAY(jun!AB$3,1)=1,"WO","P"))</f>
        <v>P</v>
      </c>
      <c r="AC9" s="4" t="s">
        <v>539</v>
      </c>
      <c r="AD9" s="4" t="str">
        <f>IFERROR(LOOKUP(2,1/((lentry!$A$3:$A$3999=jun!$A9)*(lentry!$B$3:$B$3999&lt;=jun!AD$3)*(lentry!$C$3:$C$3999&gt;=jun!AD$3)),lentry!$D$3:$D$3999),IF(WEEKDAY(jun!AD$3,1)=1,"WO","P"))</f>
        <v>P</v>
      </c>
      <c r="AE9" s="4" t="str">
        <f>IFERROR(LOOKUP(2,1/((lentry!$A$3:$A$3999=jun!$A9)*(lentry!$B$3:$B$3999&lt;=jun!AE$3)*(lentry!$C$3:$C$3999&gt;=jun!AE$3)),lentry!$D$3:$D$3999),IF(WEEKDAY(jun!AE$3,1)=1,"WO","P"))</f>
        <v>P</v>
      </c>
      <c r="AF9" s="4" t="str">
        <f>IFERROR(LOOKUP(2,1/((lentry!$A$3:$A$3999=jun!$A9)*(lentry!$B$3:$B$3999&lt;=jun!AF$3)*(lentry!$C$3:$C$3999&gt;=jun!AF$3)),lentry!$D$3:$D$3999),IF(WEEKDAY(jun!AF$3,1)=1,"WO","P"))</f>
        <v>P</v>
      </c>
      <c r="AG9" s="4" t="str">
        <f>IFERROR(LOOKUP(2,1/((lentry!$A$3:$A$3999=jun!$A9)*(lentry!$B$3:$B$3999&lt;=jun!AG$3)*(lentry!$C$3:$C$3999&gt;=jun!AG$3)),lentry!$D$3:$D$3999),IF(WEEKDAY(jun!AG$3,1)=1,"WO","P"))</f>
        <v>WO</v>
      </c>
      <c r="AH9" s="4" t="str">
        <f>IFERROR(LOOKUP(2,1/((lentry!$A$3:$A$3999=jun!$A9)*(lentry!$B$3:$B$3999&lt;=jun!AH$3)*(lentry!$C$3:$C$3999&gt;=jun!AH$3)),lentry!$D$3:$D$3999),IF(WEEKDAY(jun!AH$3,1)=1,"WO","P"))</f>
        <v>P</v>
      </c>
      <c r="AI9" s="4" t="str">
        <f>IFERROR(LOOKUP(2,1/((lentry!$A$3:$A$3999=jun!$A9)*(lentry!$B$3:$B$3999&lt;=jun!AI$3)*(lentry!$C$3:$C$3999&gt;=jun!AI$3)),lentry!$D$3:$D$3999),IF(WEEKDAY(jun!AI$3,1)=1,"WO","P"))</f>
        <v>P</v>
      </c>
      <c r="AJ9" s="4">
        <f>COUNTIF(jun!$F9:$AI9,"WO")</f>
        <v>4</v>
      </c>
      <c r="AK9" s="4">
        <f>COUNTIF(jun!$F9:$AI9,"H")</f>
        <v>0</v>
      </c>
      <c r="AL9" s="4">
        <f>COUNTIF(jun!$F9:$AI9,"PL")</f>
        <v>0</v>
      </c>
      <c r="AM9" s="4">
        <f>COUNTIF(jun!$F9:$AI9,"LWP")</f>
        <v>0</v>
      </c>
      <c r="AN9" s="4">
        <f>COUNTIF(jun!$F9:$AI9,"HD")</f>
        <v>0</v>
      </c>
      <c r="AO9" s="4">
        <f>COUNTIF(jun!$F9:$AI9,"SL")</f>
        <v>0</v>
      </c>
      <c r="AP9" s="4">
        <f>COUNTIF(jun!$F9:$AI9,"CL")</f>
        <v>0</v>
      </c>
      <c r="AQ9" s="4">
        <f>COUNTIF(jun!$F9:$AI9,"A")</f>
        <v>1</v>
      </c>
      <c r="AR9" s="4">
        <f>COUNTIF(jun!$F9:$AI9,"P")</f>
        <v>25</v>
      </c>
      <c r="AS9" s="4">
        <f t="shared" si="2"/>
        <v>30</v>
      </c>
      <c r="AT9" s="4">
        <f t="shared" si="3"/>
        <v>29</v>
      </c>
      <c r="AU9" s="4">
        <f>SUMIFS(holly!$L$2:$L$122,holly!$I$2:$I$122,mar!$A9,holly!$K$2:$K$122,"Mar")</f>
        <v>1</v>
      </c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</row>
    <row r="10" spans="1:79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IFERROR(LOOKUP(2,1/((lentry!$A$3:$A$3999=jun!$A10)*(lentry!$B$3:$B$3999&lt;=jun!F$3)*(lentry!$C$3:$C$3999&gt;=jun!F$3)),lentry!$D$3:$D$3999),IF(WEEKDAY(jun!F$3,1)=1,"WO","P"))</f>
        <v>P</v>
      </c>
      <c r="G10" s="4" t="str">
        <f>IFERROR(LOOKUP(2,1/((lentry!$A$3:$A$3999=jun!$A10)*(lentry!$B$3:$B$3999&lt;=jun!G$3)*(lentry!$C$3:$C$3999&gt;=jun!G$3)),lentry!$D$3:$D$3999),IF(WEEKDAY(jun!G$3,1)=1,"WO","P"))</f>
        <v>P</v>
      </c>
      <c r="H10" s="4" t="str">
        <f>IFERROR(LOOKUP(2,1/((lentry!$A$3:$A$3999=jun!$A10)*(lentry!$B$3:$B$3999&lt;=jun!H$3)*(lentry!$C$3:$C$3999&gt;=jun!H$3)),lentry!$D$3:$D$3999),IF(WEEKDAY(jun!H$3,1)=1,"WO","P"))</f>
        <v>P</v>
      </c>
      <c r="I10" s="4" t="str">
        <f>IFERROR(LOOKUP(2,1/((lentry!$A$3:$A$3999=jun!$A10)*(lentry!$B$3:$B$3999&lt;=jun!I$3)*(lentry!$C$3:$C$3999&gt;=jun!I$3)),lentry!$D$3:$D$3999),IF(WEEKDAY(jun!I$3,1)=1,"WO","P"))</f>
        <v>P</v>
      </c>
      <c r="J10" s="4" t="str">
        <f>IFERROR(LOOKUP(2,1/((lentry!$A$3:$A$3999=jun!$A10)*(lentry!$B$3:$B$3999&lt;=jun!J$3)*(lentry!$C$3:$C$3999&gt;=jun!J$3)),lentry!$D$3:$D$3999),IF(WEEKDAY(jun!J$3,1)=1,"WO","P"))</f>
        <v>P</v>
      </c>
      <c r="K10" s="4" t="str">
        <f>IFERROR(LOOKUP(2,1/((lentry!$A$3:$A$3999=jun!$A10)*(lentry!$B$3:$B$3999&lt;=jun!K$3)*(lentry!$C$3:$C$3999&gt;=jun!K$3)),lentry!$D$3:$D$3999),IF(WEEKDAY(jun!K$3,1)=1,"WO","P"))</f>
        <v>P</v>
      </c>
      <c r="L10" s="4" t="str">
        <f>IFERROR(LOOKUP(2,1/((lentry!$A$3:$A$3999=jun!$A10)*(lentry!$B$3:$B$3999&lt;=jun!L$3)*(lentry!$C$3:$C$3999&gt;=jun!L$3)),lentry!$D$3:$D$3999),IF(WEEKDAY(jun!L$3,1)=1,"WO","P"))</f>
        <v>WO</v>
      </c>
      <c r="M10" s="4" t="str">
        <f>IFERROR(LOOKUP(2,1/((lentry!$A$3:$A$3999=jun!$A10)*(lentry!$B$3:$B$3999&lt;=jun!M$3)*(lentry!$C$3:$C$3999&gt;=jun!M$3)),lentry!$D$3:$D$3999),IF(WEEKDAY(jun!M$3,1)=1,"WO","P"))</f>
        <v>P</v>
      </c>
      <c r="N10" s="4" t="str">
        <f>IFERROR(LOOKUP(2,1/((lentry!$A$3:$A$3999=jun!$A10)*(lentry!$B$3:$B$3999&lt;=jun!N$3)*(lentry!$C$3:$C$3999&gt;=jun!N$3)),lentry!$D$3:$D$3999),IF(WEEKDAY(jun!N$3,1)=1,"WO","P"))</f>
        <v>P</v>
      </c>
      <c r="O10" s="4" t="str">
        <f>IFERROR(LOOKUP(2,1/((lentry!$A$3:$A$3999=jun!$A10)*(lentry!$B$3:$B$3999&lt;=jun!O$3)*(lentry!$C$3:$C$3999&gt;=jun!O$3)),lentry!$D$3:$D$3999),IF(WEEKDAY(jun!O$3,1)=1,"WO","P"))</f>
        <v>P</v>
      </c>
      <c r="P10" s="4" t="str">
        <f>IFERROR(LOOKUP(2,1/((lentry!$A$3:$A$3999=jun!$A10)*(lentry!$B$3:$B$3999&lt;=jun!P$3)*(lentry!$C$3:$C$3999&gt;=jun!P$3)),lentry!$D$3:$D$3999),IF(WEEKDAY(jun!P$3,1)=1,"WO","P"))</f>
        <v>P</v>
      </c>
      <c r="Q10" s="4" t="str">
        <f>IFERROR(LOOKUP(2,1/((lentry!$A$3:$A$3999=jun!$A10)*(lentry!$B$3:$B$3999&lt;=jun!Q$3)*(lentry!$C$3:$C$3999&gt;=jun!Q$3)),lentry!$D$3:$D$3999),IF(WEEKDAY(jun!Q$3,1)=1,"WO","P"))</f>
        <v>P</v>
      </c>
      <c r="R10" s="4" t="str">
        <f>IFERROR(LOOKUP(2,1/((lentry!$A$3:$A$3999=jun!$A10)*(lentry!$B$3:$B$3999&lt;=jun!R$3)*(lentry!$C$3:$C$3999&gt;=jun!R$3)),lentry!$D$3:$D$3999),IF(WEEKDAY(jun!R$3,1)=1,"WO","P"))</f>
        <v>P</v>
      </c>
      <c r="S10" s="4" t="str">
        <f>IFERROR(LOOKUP(2,1/((lentry!$A$3:$A$3999=jun!$A10)*(lentry!$B$3:$B$3999&lt;=jun!S$3)*(lentry!$C$3:$C$3999&gt;=jun!S$3)),lentry!$D$3:$D$3999),IF(WEEKDAY(jun!S$3,1)=1,"WO","P"))</f>
        <v>WO</v>
      </c>
      <c r="T10" s="4" t="str">
        <f>IFERROR(LOOKUP(2,1/((lentry!$A$3:$A$3999=jun!$A10)*(lentry!$B$3:$B$3999&lt;=jun!T$3)*(lentry!$C$3:$C$3999&gt;=jun!T$3)),lentry!$D$3:$D$3999),IF(WEEKDAY(jun!T$3,1)=1,"WO","P"))</f>
        <v>P</v>
      </c>
      <c r="U10" s="4" t="str">
        <f>IFERROR(LOOKUP(2,1/((lentry!$A$3:$A$3999=jun!$A10)*(lentry!$B$3:$B$3999&lt;=jun!U$3)*(lentry!$C$3:$C$3999&gt;=jun!U$3)),lentry!$D$3:$D$3999),IF(WEEKDAY(jun!U$3,1)=1,"WO","P"))</f>
        <v>P</v>
      </c>
      <c r="V10" s="4" t="str">
        <f>IFERROR(LOOKUP(2,1/((lentry!$A$3:$A$3999=jun!$A10)*(lentry!$B$3:$B$3999&lt;=jun!V$3)*(lentry!$C$3:$C$3999&gt;=jun!V$3)),lentry!$D$3:$D$3999),IF(WEEKDAY(jun!V$3,1)=1,"WO","P"))</f>
        <v>P</v>
      </c>
      <c r="W10" s="4" t="str">
        <f>IFERROR(LOOKUP(2,1/((lentry!$A$3:$A$3999=jun!$A10)*(lentry!$B$3:$B$3999&lt;=jun!W$3)*(lentry!$C$3:$C$3999&gt;=jun!W$3)),lentry!$D$3:$D$3999),IF(WEEKDAY(jun!W$3,1)=1,"WO","P"))</f>
        <v>P</v>
      </c>
      <c r="X10" s="4" t="str">
        <f>IFERROR(LOOKUP(2,1/((lentry!$A$3:$A$3999=jun!$A10)*(lentry!$B$3:$B$3999&lt;=jun!X$3)*(lentry!$C$3:$C$3999&gt;=jun!X$3)),lentry!$D$3:$D$3999),IF(WEEKDAY(jun!X$3,1)=1,"WO","P"))</f>
        <v>P</v>
      </c>
      <c r="Y10" s="4" t="str">
        <f>IFERROR(LOOKUP(2,1/((lentry!$A$3:$A$3999=jun!$A10)*(lentry!$B$3:$B$3999&lt;=jun!Y$3)*(lentry!$C$3:$C$3999&gt;=jun!Y$3)),lentry!$D$3:$D$3999),IF(WEEKDAY(jun!Y$3,1)=1,"WO","P"))</f>
        <v>P</v>
      </c>
      <c r="Z10" s="4" t="str">
        <f>IFERROR(LOOKUP(2,1/((lentry!$A$3:$A$3999=jun!$A10)*(lentry!$B$3:$B$3999&lt;=jun!Z$3)*(lentry!$C$3:$C$3999&gt;=jun!Z$3)),lentry!$D$3:$D$3999),IF(WEEKDAY(jun!Z$3,1)=1,"WO","P"))</f>
        <v>WO</v>
      </c>
      <c r="AA10" s="4" t="str">
        <f>IFERROR(LOOKUP(2,1/((lentry!$A$3:$A$3999=jun!$A10)*(lentry!$B$3:$B$3999&lt;=jun!AA$3)*(lentry!$C$3:$C$3999&gt;=jun!AA$3)),lentry!$D$3:$D$3999),IF(WEEKDAY(jun!AA$3,1)=1,"WO","P"))</f>
        <v>P</v>
      </c>
      <c r="AB10" s="4" t="str">
        <f>IFERROR(LOOKUP(2,1/((lentry!$A$3:$A$3999=jun!$A10)*(lentry!$B$3:$B$3999&lt;=jun!AB$3)*(lentry!$C$3:$C$3999&gt;=jun!AB$3)),lentry!$D$3:$D$3999),IF(WEEKDAY(jun!AB$3,1)=1,"WO","P"))</f>
        <v>P</v>
      </c>
      <c r="AC10" s="4" t="str">
        <f>IFERROR(LOOKUP(2,1/((lentry!$A$3:$A$3999=jun!$A10)*(lentry!$B$3:$B$3999&lt;=jun!AC$3)*(lentry!$C$3:$C$3999&gt;=jun!AC$3)),lentry!$D$3:$D$3999),IF(WEEKDAY(jun!AC$3,1)=1,"WO","P"))</f>
        <v>P</v>
      </c>
      <c r="AD10" s="4" t="str">
        <f>IFERROR(LOOKUP(2,1/((lentry!$A$3:$A$3999=jun!$A10)*(lentry!$B$3:$B$3999&lt;=jun!AD$3)*(lentry!$C$3:$C$3999&gt;=jun!AD$3)),lentry!$D$3:$D$3999),IF(WEEKDAY(jun!AD$3,1)=1,"WO","P"))</f>
        <v>P</v>
      </c>
      <c r="AE10" s="4" t="str">
        <f>IFERROR(LOOKUP(2,1/((lentry!$A$3:$A$3999=jun!$A10)*(lentry!$B$3:$B$3999&lt;=jun!AE$3)*(lentry!$C$3:$C$3999&gt;=jun!AE$3)),lentry!$D$3:$D$3999),IF(WEEKDAY(jun!AE$3,1)=1,"WO","P"))</f>
        <v>P</v>
      </c>
      <c r="AF10" s="4" t="str">
        <f>IFERROR(LOOKUP(2,1/((lentry!$A$3:$A$3999=jun!$A10)*(lentry!$B$3:$B$3999&lt;=jun!AF$3)*(lentry!$C$3:$C$3999&gt;=jun!AF$3)),lentry!$D$3:$D$3999),IF(WEEKDAY(jun!AF$3,1)=1,"WO","P"))</f>
        <v>P</v>
      </c>
      <c r="AG10" s="4" t="str">
        <f>IFERROR(LOOKUP(2,1/((lentry!$A$3:$A$3999=jun!$A10)*(lentry!$B$3:$B$3999&lt;=jun!AG$3)*(lentry!$C$3:$C$3999&gt;=jun!AG$3)),lentry!$D$3:$D$3999),IF(WEEKDAY(jun!AG$3,1)=1,"WO","P"))</f>
        <v>WO</v>
      </c>
      <c r="AH10" s="4" t="str">
        <f>IFERROR(LOOKUP(2,1/((lentry!$A$3:$A$3999=jun!$A10)*(lentry!$B$3:$B$3999&lt;=jun!AH$3)*(lentry!$C$3:$C$3999&gt;=jun!AH$3)),lentry!$D$3:$D$3999),IF(WEEKDAY(jun!AH$3,1)=1,"WO","P"))</f>
        <v>P</v>
      </c>
      <c r="AI10" s="4" t="str">
        <f>IFERROR(LOOKUP(2,1/((lentry!$A$3:$A$3999=jun!$A10)*(lentry!$B$3:$B$3999&lt;=jun!AI$3)*(lentry!$C$3:$C$3999&gt;=jun!AI$3)),lentry!$D$3:$D$3999),IF(WEEKDAY(jun!AI$3,1)=1,"WO","P"))</f>
        <v>P</v>
      </c>
      <c r="AJ10" s="4">
        <f>COUNTIF(jun!$F10:$AI10,"WO")</f>
        <v>4</v>
      </c>
      <c r="AK10" s="4">
        <f>COUNTIF(jun!$F10:$AI10,"H")</f>
        <v>0</v>
      </c>
      <c r="AL10" s="4">
        <f>COUNTIF(jun!$F10:$AI10,"PL")</f>
        <v>0</v>
      </c>
      <c r="AM10" s="4">
        <f>COUNTIF(jun!$F10:$AI10,"LWP")</f>
        <v>0</v>
      </c>
      <c r="AN10" s="4">
        <f>COUNTIF(jun!$F10:$AI10,"HD")</f>
        <v>0</v>
      </c>
      <c r="AO10" s="4">
        <f>COUNTIF(jun!$F10:$AI10,"SL")</f>
        <v>0</v>
      </c>
      <c r="AP10" s="4">
        <f>COUNTIF(jun!$F10:$AI10,"CL")</f>
        <v>0</v>
      </c>
      <c r="AQ10" s="4">
        <f>COUNTIF(jun!$F10:$AI10,"A")</f>
        <v>0</v>
      </c>
      <c r="AR10" s="4">
        <f>COUNTIF(jun!$F10:$AI10,"P")</f>
        <v>26</v>
      </c>
      <c r="AS10" s="4">
        <f t="shared" si="2"/>
        <v>30</v>
      </c>
      <c r="AT10" s="4">
        <f t="shared" si="3"/>
        <v>30</v>
      </c>
      <c r="AU10" s="4">
        <f>SUMIFS(holly!$L$2:$L$122,holly!$I$2:$I$122,mar!$A10,holly!$K$2:$K$122,"Mar")</f>
        <v>0</v>
      </c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</row>
    <row r="11" spans="1:79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IFERROR(LOOKUP(2,1/((lentry!$A$3:$A$3999=jun!$A11)*(lentry!$B$3:$B$3999&lt;=jun!F$3)*(lentry!$C$3:$C$3999&gt;=jun!F$3)),lentry!$D$3:$D$3999),IF(WEEKDAY(jun!F$3,1)=1,"WO","P"))</f>
        <v>P</v>
      </c>
      <c r="G11" s="4" t="str">
        <f>IFERROR(LOOKUP(2,1/((lentry!$A$3:$A$3999=jun!$A11)*(lentry!$B$3:$B$3999&lt;=jun!G$3)*(lentry!$C$3:$C$3999&gt;=jun!G$3)),lentry!$D$3:$D$3999),IF(WEEKDAY(jun!G$3,1)=1,"WO","P"))</f>
        <v>P</v>
      </c>
      <c r="H11" s="4" t="str">
        <f>IFERROR(LOOKUP(2,1/((lentry!$A$3:$A$3999=jun!$A11)*(lentry!$B$3:$B$3999&lt;=jun!H$3)*(lentry!$C$3:$C$3999&gt;=jun!H$3)),lentry!$D$3:$D$3999),IF(WEEKDAY(jun!H$3,1)=1,"WO","P"))</f>
        <v>P</v>
      </c>
      <c r="I11" s="4" t="str">
        <f>IFERROR(LOOKUP(2,1/((lentry!$A$3:$A$3999=jun!$A11)*(lentry!$B$3:$B$3999&lt;=jun!I$3)*(lentry!$C$3:$C$3999&gt;=jun!I$3)),lentry!$D$3:$D$3999),IF(WEEKDAY(jun!I$3,1)=1,"WO","P"))</f>
        <v>P</v>
      </c>
      <c r="J11" s="4" t="str">
        <f>IFERROR(LOOKUP(2,1/((lentry!$A$3:$A$3999=jun!$A11)*(lentry!$B$3:$B$3999&lt;=jun!J$3)*(lentry!$C$3:$C$3999&gt;=jun!J$3)),lentry!$D$3:$D$3999),IF(WEEKDAY(jun!J$3,1)=1,"WO","P"))</f>
        <v>P</v>
      </c>
      <c r="K11" s="4" t="str">
        <f>IFERROR(LOOKUP(2,1/((lentry!$A$3:$A$3999=jun!$A11)*(lentry!$B$3:$B$3999&lt;=jun!K$3)*(lentry!$C$3:$C$3999&gt;=jun!K$3)),lentry!$D$3:$D$3999),IF(WEEKDAY(jun!K$3,1)=1,"WO","P"))</f>
        <v>P</v>
      </c>
      <c r="L11" s="4" t="str">
        <f>IFERROR(LOOKUP(2,1/((lentry!$A$3:$A$3999=jun!$A11)*(lentry!$B$3:$B$3999&lt;=jun!L$3)*(lentry!$C$3:$C$3999&gt;=jun!L$3)),lentry!$D$3:$D$3999),IF(WEEKDAY(jun!L$3,1)=1,"WO","P"))</f>
        <v>WO</v>
      </c>
      <c r="M11" s="4" t="str">
        <f>IFERROR(LOOKUP(2,1/((lentry!$A$3:$A$3999=jun!$A11)*(lentry!$B$3:$B$3999&lt;=jun!M$3)*(lentry!$C$3:$C$3999&gt;=jun!M$3)),lentry!$D$3:$D$3999),IF(WEEKDAY(jun!M$3,1)=1,"WO","P"))</f>
        <v>P</v>
      </c>
      <c r="N11" s="4" t="str">
        <f>IFERROR(LOOKUP(2,1/((lentry!$A$3:$A$3999=jun!$A11)*(lentry!$B$3:$B$3999&lt;=jun!N$3)*(lentry!$C$3:$C$3999&gt;=jun!N$3)),lentry!$D$3:$D$3999),IF(WEEKDAY(jun!N$3,1)=1,"WO","P"))</f>
        <v>P</v>
      </c>
      <c r="O11" s="4" t="str">
        <f>IFERROR(LOOKUP(2,1/((lentry!$A$3:$A$3999=jun!$A11)*(lentry!$B$3:$B$3999&lt;=jun!O$3)*(lentry!$C$3:$C$3999&gt;=jun!O$3)),lentry!$D$3:$D$3999),IF(WEEKDAY(jun!O$3,1)=1,"WO","P"))</f>
        <v>P</v>
      </c>
      <c r="P11" s="4" t="str">
        <f>IFERROR(LOOKUP(2,1/((lentry!$A$3:$A$3999=jun!$A11)*(lentry!$B$3:$B$3999&lt;=jun!P$3)*(lentry!$C$3:$C$3999&gt;=jun!P$3)),lentry!$D$3:$D$3999),IF(WEEKDAY(jun!P$3,1)=1,"WO","P"))</f>
        <v>P</v>
      </c>
      <c r="Q11" s="4" t="str">
        <f>IFERROR(LOOKUP(2,1/((lentry!$A$3:$A$3999=jun!$A11)*(lentry!$B$3:$B$3999&lt;=jun!Q$3)*(lentry!$C$3:$C$3999&gt;=jun!Q$3)),lentry!$D$3:$D$3999),IF(WEEKDAY(jun!Q$3,1)=1,"WO","P"))</f>
        <v>P</v>
      </c>
      <c r="R11" s="4" t="str">
        <f>IFERROR(LOOKUP(2,1/((lentry!$A$3:$A$3999=jun!$A11)*(lentry!$B$3:$B$3999&lt;=jun!R$3)*(lentry!$C$3:$C$3999&gt;=jun!R$3)),lentry!$D$3:$D$3999),IF(WEEKDAY(jun!R$3,1)=1,"WO","P"))</f>
        <v>P</v>
      </c>
      <c r="S11" s="4" t="str">
        <f>IFERROR(LOOKUP(2,1/((lentry!$A$3:$A$3999=jun!$A11)*(lentry!$B$3:$B$3999&lt;=jun!S$3)*(lentry!$C$3:$C$3999&gt;=jun!S$3)),lentry!$D$3:$D$3999),IF(WEEKDAY(jun!S$3,1)=1,"WO","P"))</f>
        <v>WO</v>
      </c>
      <c r="T11" s="4" t="str">
        <f>IFERROR(LOOKUP(2,1/((lentry!$A$3:$A$3999=jun!$A11)*(lentry!$B$3:$B$3999&lt;=jun!T$3)*(lentry!$C$3:$C$3999&gt;=jun!T$3)),lentry!$D$3:$D$3999),IF(WEEKDAY(jun!T$3,1)=1,"WO","P"))</f>
        <v>P</v>
      </c>
      <c r="U11" s="4" t="str">
        <f>IFERROR(LOOKUP(2,1/((lentry!$A$3:$A$3999=jun!$A11)*(lentry!$B$3:$B$3999&lt;=jun!U$3)*(lentry!$C$3:$C$3999&gt;=jun!U$3)),lentry!$D$3:$D$3999),IF(WEEKDAY(jun!U$3,1)=1,"WO","P"))</f>
        <v>P</v>
      </c>
      <c r="V11" s="4" t="s">
        <v>539</v>
      </c>
      <c r="W11" s="4" t="str">
        <f>IFERROR(LOOKUP(2,1/((lentry!$A$3:$A$3999=jun!$A11)*(lentry!$B$3:$B$3999&lt;=jun!W$3)*(lentry!$C$3:$C$3999&gt;=jun!W$3)),lentry!$D$3:$D$3999),IF(WEEKDAY(jun!W$3,1)=1,"WO","P"))</f>
        <v>P</v>
      </c>
      <c r="X11" s="4" t="str">
        <f>IFERROR(LOOKUP(2,1/((lentry!$A$3:$A$3999=jun!$A11)*(lentry!$B$3:$B$3999&lt;=jun!X$3)*(lentry!$C$3:$C$3999&gt;=jun!X$3)),lentry!$D$3:$D$3999),IF(WEEKDAY(jun!X$3,1)=1,"WO","P"))</f>
        <v>P</v>
      </c>
      <c r="Y11" s="4" t="str">
        <f>IFERROR(LOOKUP(2,1/((lentry!$A$3:$A$3999=jun!$A11)*(lentry!$B$3:$B$3999&lt;=jun!Y$3)*(lentry!$C$3:$C$3999&gt;=jun!Y$3)),lentry!$D$3:$D$3999),IF(WEEKDAY(jun!Y$3,1)=1,"WO","P"))</f>
        <v>P</v>
      </c>
      <c r="Z11" s="4" t="str">
        <f>IFERROR(LOOKUP(2,1/((lentry!$A$3:$A$3999=jun!$A11)*(lentry!$B$3:$B$3999&lt;=jun!Z$3)*(lentry!$C$3:$C$3999&gt;=jun!Z$3)),lentry!$D$3:$D$3999),IF(WEEKDAY(jun!Z$3,1)=1,"WO","P"))</f>
        <v>WO</v>
      </c>
      <c r="AA11" s="4" t="str">
        <f>IFERROR(LOOKUP(2,1/((lentry!$A$3:$A$3999=jun!$A11)*(lentry!$B$3:$B$3999&lt;=jun!AA$3)*(lentry!$C$3:$C$3999&gt;=jun!AA$3)),lentry!$D$3:$D$3999),IF(WEEKDAY(jun!AA$3,1)=1,"WO","P"))</f>
        <v>P</v>
      </c>
      <c r="AB11" s="4" t="str">
        <f>IFERROR(LOOKUP(2,1/((lentry!$A$3:$A$3999=jun!$A11)*(lentry!$B$3:$B$3999&lt;=jun!AB$3)*(lentry!$C$3:$C$3999&gt;=jun!AB$3)),lentry!$D$3:$D$3999),IF(WEEKDAY(jun!AB$3,1)=1,"WO","P"))</f>
        <v>P</v>
      </c>
      <c r="AC11" s="4" t="str">
        <f>IFERROR(LOOKUP(2,1/((lentry!$A$3:$A$3999=jun!$A11)*(lentry!$B$3:$B$3999&lt;=jun!AC$3)*(lentry!$C$3:$C$3999&gt;=jun!AC$3)),lentry!$D$3:$D$3999),IF(WEEKDAY(jun!AC$3,1)=1,"WO","P"))</f>
        <v>P</v>
      </c>
      <c r="AD11" s="4" t="str">
        <f>IFERROR(LOOKUP(2,1/((lentry!$A$3:$A$3999=jun!$A11)*(lentry!$B$3:$B$3999&lt;=jun!AD$3)*(lentry!$C$3:$C$3999&gt;=jun!AD$3)),lentry!$D$3:$D$3999),IF(WEEKDAY(jun!AD$3,1)=1,"WO","P"))</f>
        <v>P</v>
      </c>
      <c r="AE11" s="4" t="str">
        <f>IFERROR(LOOKUP(2,1/((lentry!$A$3:$A$3999=jun!$A11)*(lentry!$B$3:$B$3999&lt;=jun!AE$3)*(lentry!$C$3:$C$3999&gt;=jun!AE$3)),lentry!$D$3:$D$3999),IF(WEEKDAY(jun!AE$3,1)=1,"WO","P"))</f>
        <v>P</v>
      </c>
      <c r="AF11" s="4" t="str">
        <f>IFERROR(LOOKUP(2,1/((lentry!$A$3:$A$3999=jun!$A11)*(lentry!$B$3:$B$3999&lt;=jun!AF$3)*(lentry!$C$3:$C$3999&gt;=jun!AF$3)),lentry!$D$3:$D$3999),IF(WEEKDAY(jun!AF$3,1)=1,"WO","P"))</f>
        <v>P</v>
      </c>
      <c r="AG11" s="4" t="str">
        <f>IFERROR(LOOKUP(2,1/((lentry!$A$3:$A$3999=jun!$A11)*(lentry!$B$3:$B$3999&lt;=jun!AG$3)*(lentry!$C$3:$C$3999&gt;=jun!AG$3)),lentry!$D$3:$D$3999),IF(WEEKDAY(jun!AG$3,1)=1,"WO","P"))</f>
        <v>WO</v>
      </c>
      <c r="AH11" s="4" t="str">
        <f>IFERROR(LOOKUP(2,1/((lentry!$A$3:$A$3999=jun!$A11)*(lentry!$B$3:$B$3999&lt;=jun!AH$3)*(lentry!$C$3:$C$3999&gt;=jun!AH$3)),lentry!$D$3:$D$3999),IF(WEEKDAY(jun!AH$3,1)=1,"WO","P"))</f>
        <v>P</v>
      </c>
      <c r="AI11" s="4" t="str">
        <f>IFERROR(LOOKUP(2,1/((lentry!$A$3:$A$3999=jun!$A11)*(lentry!$B$3:$B$3999&lt;=jun!AI$3)*(lentry!$C$3:$C$3999&gt;=jun!AI$3)),lentry!$D$3:$D$3999),IF(WEEKDAY(jun!AI$3,1)=1,"WO","P"))</f>
        <v>P</v>
      </c>
      <c r="AJ11" s="4">
        <f>COUNTIF(jun!$F11:$AI11,"WO")</f>
        <v>4</v>
      </c>
      <c r="AK11" s="4">
        <f>COUNTIF(jun!$F11:$AI11,"H")</f>
        <v>0</v>
      </c>
      <c r="AL11" s="4">
        <f>COUNTIF(jun!$F11:$AI11,"PL")</f>
        <v>0</v>
      </c>
      <c r="AM11" s="4">
        <f>COUNTIF(jun!$F11:$AI11,"LWP")</f>
        <v>0</v>
      </c>
      <c r="AN11" s="4">
        <f>COUNTIF(jun!$F11:$AI11,"HD")</f>
        <v>0</v>
      </c>
      <c r="AO11" s="4">
        <f>COUNTIF(jun!$F11:$AI11,"SL")</f>
        <v>0</v>
      </c>
      <c r="AP11" s="4">
        <f>COUNTIF(jun!$F11:$AI11,"CL")</f>
        <v>0</v>
      </c>
      <c r="AQ11" s="4">
        <f>COUNTIF(jun!$F11:$AI11,"A")</f>
        <v>1</v>
      </c>
      <c r="AR11" s="4">
        <f>COUNTIF(jun!$F11:$AI11,"P")</f>
        <v>25</v>
      </c>
      <c r="AS11" s="4">
        <f t="shared" si="2"/>
        <v>30</v>
      </c>
      <c r="AT11" s="4">
        <f t="shared" si="3"/>
        <v>29</v>
      </c>
      <c r="AU11" s="4">
        <f>SUMIFS(holly!$L$2:$L$122,holly!$I$2:$I$122,mar!$A11,holly!$K$2:$K$122,"Mar")</f>
        <v>0</v>
      </c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</row>
    <row r="12" spans="1:79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IFERROR(LOOKUP(2,1/((lentry!$A$3:$A$3999=jun!$A12)*(lentry!$B$3:$B$3999&lt;=jun!F$3)*(lentry!$C$3:$C$3999&gt;=jun!F$3)),lentry!$D$3:$D$3999),IF(WEEKDAY(jun!F$3,1)=1,"WO","P"))</f>
        <v>P</v>
      </c>
      <c r="G12" s="4" t="str">
        <f>IFERROR(LOOKUP(2,1/((lentry!$A$3:$A$3999=jun!$A12)*(lentry!$B$3:$B$3999&lt;=jun!G$3)*(lentry!$C$3:$C$3999&gt;=jun!G$3)),lentry!$D$3:$D$3999),IF(WEEKDAY(jun!G$3,1)=1,"WO","P"))</f>
        <v>P</v>
      </c>
      <c r="H12" s="4" t="s">
        <v>539</v>
      </c>
      <c r="I12" s="4" t="str">
        <f>IFERROR(LOOKUP(2,1/((lentry!$A$3:$A$3999=jun!$A12)*(lentry!$B$3:$B$3999&lt;=jun!I$3)*(lentry!$C$3:$C$3999&gt;=jun!I$3)),lentry!$D$3:$D$3999),IF(WEEKDAY(jun!I$3,1)=1,"WO","P"))</f>
        <v>P</v>
      </c>
      <c r="J12" s="4" t="str">
        <f>IFERROR(LOOKUP(2,1/((lentry!$A$3:$A$3999=jun!$A12)*(lentry!$B$3:$B$3999&lt;=jun!J$3)*(lentry!$C$3:$C$3999&gt;=jun!J$3)),lentry!$D$3:$D$3999),IF(WEEKDAY(jun!J$3,1)=1,"WO","P"))</f>
        <v>P</v>
      </c>
      <c r="K12" s="4" t="str">
        <f>IFERROR(LOOKUP(2,1/((lentry!$A$3:$A$3999=jun!$A12)*(lentry!$B$3:$B$3999&lt;=jun!K$3)*(lentry!$C$3:$C$3999&gt;=jun!K$3)),lentry!$D$3:$D$3999),IF(WEEKDAY(jun!K$3,1)=1,"WO","P"))</f>
        <v>P</v>
      </c>
      <c r="L12" s="4" t="str">
        <f>IFERROR(LOOKUP(2,1/((lentry!$A$3:$A$3999=jun!$A12)*(lentry!$B$3:$B$3999&lt;=jun!L$3)*(lentry!$C$3:$C$3999&gt;=jun!L$3)),lentry!$D$3:$D$3999),IF(WEEKDAY(jun!L$3,1)=1,"WO","P"))</f>
        <v>WO</v>
      </c>
      <c r="M12" s="4" t="str">
        <f>IFERROR(LOOKUP(2,1/((lentry!$A$3:$A$3999=jun!$A12)*(lentry!$B$3:$B$3999&lt;=jun!M$3)*(lentry!$C$3:$C$3999&gt;=jun!M$3)),lentry!$D$3:$D$3999),IF(WEEKDAY(jun!M$3,1)=1,"WO","P"))</f>
        <v>P</v>
      </c>
      <c r="N12" s="4" t="str">
        <f>IFERROR(LOOKUP(2,1/((lentry!$A$3:$A$3999=jun!$A12)*(lentry!$B$3:$B$3999&lt;=jun!N$3)*(lentry!$C$3:$C$3999&gt;=jun!N$3)),lentry!$D$3:$D$3999),IF(WEEKDAY(jun!N$3,1)=1,"WO","P"))</f>
        <v>P</v>
      </c>
      <c r="O12" s="4" t="str">
        <f>IFERROR(LOOKUP(2,1/((lentry!$A$3:$A$3999=jun!$A12)*(lentry!$B$3:$B$3999&lt;=jun!O$3)*(lentry!$C$3:$C$3999&gt;=jun!O$3)),lentry!$D$3:$D$3999),IF(WEEKDAY(jun!O$3,1)=1,"WO","P"))</f>
        <v>P</v>
      </c>
      <c r="P12" s="4" t="str">
        <f>IFERROR(LOOKUP(2,1/((lentry!$A$3:$A$3999=jun!$A12)*(lentry!$B$3:$B$3999&lt;=jun!P$3)*(lentry!$C$3:$C$3999&gt;=jun!P$3)),lentry!$D$3:$D$3999),IF(WEEKDAY(jun!P$3,1)=1,"WO","P"))</f>
        <v>P</v>
      </c>
      <c r="Q12" s="4" t="str">
        <f>IFERROR(LOOKUP(2,1/((lentry!$A$3:$A$3999=jun!$A12)*(lentry!$B$3:$B$3999&lt;=jun!Q$3)*(lentry!$C$3:$C$3999&gt;=jun!Q$3)),lentry!$D$3:$D$3999),IF(WEEKDAY(jun!Q$3,1)=1,"WO","P"))</f>
        <v>P</v>
      </c>
      <c r="R12" s="4" t="str">
        <f>IFERROR(LOOKUP(2,1/((lentry!$A$3:$A$3999=jun!$A12)*(lentry!$B$3:$B$3999&lt;=jun!R$3)*(lentry!$C$3:$C$3999&gt;=jun!R$3)),lentry!$D$3:$D$3999),IF(WEEKDAY(jun!R$3,1)=1,"WO","P"))</f>
        <v>P</v>
      </c>
      <c r="S12" s="4" t="str">
        <f>IFERROR(LOOKUP(2,1/((lentry!$A$3:$A$3999=jun!$A12)*(lentry!$B$3:$B$3999&lt;=jun!S$3)*(lentry!$C$3:$C$3999&gt;=jun!S$3)),lentry!$D$3:$D$3999),IF(WEEKDAY(jun!S$3,1)=1,"WO","P"))</f>
        <v>WO</v>
      </c>
      <c r="T12" s="4" t="str">
        <f>IFERROR(LOOKUP(2,1/((lentry!$A$3:$A$3999=jun!$A12)*(lentry!$B$3:$B$3999&lt;=jun!T$3)*(lentry!$C$3:$C$3999&gt;=jun!T$3)),lentry!$D$3:$D$3999),IF(WEEKDAY(jun!T$3,1)=1,"WO","P"))</f>
        <v>P</v>
      </c>
      <c r="U12" s="4" t="str">
        <f>IFERROR(LOOKUP(2,1/((lentry!$A$3:$A$3999=jun!$A12)*(lentry!$B$3:$B$3999&lt;=jun!U$3)*(lentry!$C$3:$C$3999&gt;=jun!U$3)),lentry!$D$3:$D$3999),IF(WEEKDAY(jun!U$3,1)=1,"WO","P"))</f>
        <v>P</v>
      </c>
      <c r="V12" s="4" t="str">
        <f>IFERROR(LOOKUP(2,1/((lentry!$A$3:$A$3999=jun!$A12)*(lentry!$B$3:$B$3999&lt;=jun!V$3)*(lentry!$C$3:$C$3999&gt;=jun!V$3)),lentry!$D$3:$D$3999),IF(WEEKDAY(jun!V$3,1)=1,"WO","P"))</f>
        <v>P</v>
      </c>
      <c r="W12" s="4" t="str">
        <f>IFERROR(LOOKUP(2,1/((lentry!$A$3:$A$3999=jun!$A12)*(lentry!$B$3:$B$3999&lt;=jun!W$3)*(lentry!$C$3:$C$3999&gt;=jun!W$3)),lentry!$D$3:$D$3999),IF(WEEKDAY(jun!W$3,1)=1,"WO","P"))</f>
        <v>P</v>
      </c>
      <c r="X12" s="4" t="str">
        <f>IFERROR(LOOKUP(2,1/((lentry!$A$3:$A$3999=jun!$A12)*(lentry!$B$3:$B$3999&lt;=jun!X$3)*(lentry!$C$3:$C$3999&gt;=jun!X$3)),lentry!$D$3:$D$3999),IF(WEEKDAY(jun!X$3,1)=1,"WO","P"))</f>
        <v>P</v>
      </c>
      <c r="Y12" s="4" t="str">
        <f>IFERROR(LOOKUP(2,1/((lentry!$A$3:$A$3999=jun!$A12)*(lentry!$B$3:$B$3999&lt;=jun!Y$3)*(lentry!$C$3:$C$3999&gt;=jun!Y$3)),lentry!$D$3:$D$3999),IF(WEEKDAY(jun!Y$3,1)=1,"WO","P"))</f>
        <v>P</v>
      </c>
      <c r="Z12" s="4" t="str">
        <f>IFERROR(LOOKUP(2,1/((lentry!$A$3:$A$3999=jun!$A12)*(lentry!$B$3:$B$3999&lt;=jun!Z$3)*(lentry!$C$3:$C$3999&gt;=jun!Z$3)),lentry!$D$3:$D$3999),IF(WEEKDAY(jun!Z$3,1)=1,"WO","P"))</f>
        <v>WO</v>
      </c>
      <c r="AA12" s="4" t="str">
        <f>IFERROR(LOOKUP(2,1/((lentry!$A$3:$A$3999=jun!$A12)*(lentry!$B$3:$B$3999&lt;=jun!AA$3)*(lentry!$C$3:$C$3999&gt;=jun!AA$3)),lentry!$D$3:$D$3999),IF(WEEKDAY(jun!AA$3,1)=1,"WO","P"))</f>
        <v>P</v>
      </c>
      <c r="AB12" s="4" t="str">
        <f>IFERROR(LOOKUP(2,1/((lentry!$A$3:$A$3999=jun!$A12)*(lentry!$B$3:$B$3999&lt;=jun!AB$3)*(lentry!$C$3:$C$3999&gt;=jun!AB$3)),lentry!$D$3:$D$3999),IF(WEEKDAY(jun!AB$3,1)=1,"WO","P"))</f>
        <v>P</v>
      </c>
      <c r="AC12" s="4" t="str">
        <f>IFERROR(LOOKUP(2,1/((lentry!$A$3:$A$3999=jun!$A12)*(lentry!$B$3:$B$3999&lt;=jun!AC$3)*(lentry!$C$3:$C$3999&gt;=jun!AC$3)),lentry!$D$3:$D$3999),IF(WEEKDAY(jun!AC$3,1)=1,"WO","P"))</f>
        <v>P</v>
      </c>
      <c r="AD12" s="4" t="str">
        <f>IFERROR(LOOKUP(2,1/((lentry!$A$3:$A$3999=jun!$A12)*(lentry!$B$3:$B$3999&lt;=jun!AD$3)*(lentry!$C$3:$C$3999&gt;=jun!AD$3)),lentry!$D$3:$D$3999),IF(WEEKDAY(jun!AD$3,1)=1,"WO","P"))</f>
        <v>P</v>
      </c>
      <c r="AE12" s="4" t="str">
        <f>IFERROR(LOOKUP(2,1/((lentry!$A$3:$A$3999=jun!$A12)*(lentry!$B$3:$B$3999&lt;=jun!AE$3)*(lentry!$C$3:$C$3999&gt;=jun!AE$3)),lentry!$D$3:$D$3999),IF(WEEKDAY(jun!AE$3,1)=1,"WO","P"))</f>
        <v>P</v>
      </c>
      <c r="AF12" s="4" t="str">
        <f>IFERROR(LOOKUP(2,1/((lentry!$A$3:$A$3999=jun!$A12)*(lentry!$B$3:$B$3999&lt;=jun!AF$3)*(lentry!$C$3:$C$3999&gt;=jun!AF$3)),lentry!$D$3:$D$3999),IF(WEEKDAY(jun!AF$3,1)=1,"WO","P"))</f>
        <v>P</v>
      </c>
      <c r="AG12" s="4" t="str">
        <f>IFERROR(LOOKUP(2,1/((lentry!$A$3:$A$3999=jun!$A12)*(lentry!$B$3:$B$3999&lt;=jun!AG$3)*(lentry!$C$3:$C$3999&gt;=jun!AG$3)),lentry!$D$3:$D$3999),IF(WEEKDAY(jun!AG$3,1)=1,"WO","P"))</f>
        <v>WO</v>
      </c>
      <c r="AH12" s="4" t="str">
        <f>IFERROR(LOOKUP(2,1/((lentry!$A$3:$A$3999=jun!$A12)*(lentry!$B$3:$B$3999&lt;=jun!AH$3)*(lentry!$C$3:$C$3999&gt;=jun!AH$3)),lentry!$D$3:$D$3999),IF(WEEKDAY(jun!AH$3,1)=1,"WO","P"))</f>
        <v>P</v>
      </c>
      <c r="AI12" s="4" t="str">
        <f>IFERROR(LOOKUP(2,1/((lentry!$A$3:$A$3999=jun!$A12)*(lentry!$B$3:$B$3999&lt;=jun!AI$3)*(lentry!$C$3:$C$3999&gt;=jun!AI$3)),lentry!$D$3:$D$3999),IF(WEEKDAY(jun!AI$3,1)=1,"WO","P"))</f>
        <v>P</v>
      </c>
      <c r="AJ12" s="4">
        <f>COUNTIF(jun!$F12:$AI12,"WO")</f>
        <v>4</v>
      </c>
      <c r="AK12" s="4">
        <f>COUNTIF(jun!$F12:$AI12,"H")</f>
        <v>0</v>
      </c>
      <c r="AL12" s="4">
        <f>COUNTIF(jun!$F12:$AI12,"PL")</f>
        <v>0</v>
      </c>
      <c r="AM12" s="4">
        <f>COUNTIF(jun!$F12:$AI12,"LWP")</f>
        <v>0</v>
      </c>
      <c r="AN12" s="4">
        <f>COUNTIF(jun!$F12:$AI12,"HD")</f>
        <v>0</v>
      </c>
      <c r="AO12" s="4">
        <f>COUNTIF(jun!$F12:$AI12,"SL")</f>
        <v>0</v>
      </c>
      <c r="AP12" s="4">
        <f>COUNTIF(jun!$F12:$AI12,"CL")</f>
        <v>0</v>
      </c>
      <c r="AQ12" s="4">
        <f>COUNTIF(jun!$F12:$AI12,"A")</f>
        <v>1</v>
      </c>
      <c r="AR12" s="4">
        <f>COUNTIF(jun!$F12:$AI12,"P")</f>
        <v>25</v>
      </c>
      <c r="AS12" s="4">
        <f t="shared" si="2"/>
        <v>30</v>
      </c>
      <c r="AT12" s="4">
        <f t="shared" si="3"/>
        <v>29</v>
      </c>
      <c r="AU12" s="4">
        <f>SUMIFS(holly!$L$2:$L$122,holly!$I$2:$I$122,mar!$A12,holly!$K$2:$K$122,"Mar")</f>
        <v>0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</row>
    <row r="13" spans="1:79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IFERROR(LOOKUP(2,1/((lentry!$A$3:$A$3999=jun!$A13)*(lentry!$B$3:$B$3999&lt;=jun!F$3)*(lentry!$C$3:$C$3999&gt;=jun!F$3)),lentry!$D$3:$D$3999),IF(WEEKDAY(jun!F$3,1)=1,"WO","P"))</f>
        <v>P</v>
      </c>
      <c r="G13" s="4" t="str">
        <f>IFERROR(LOOKUP(2,1/((lentry!$A$3:$A$3999=jun!$A13)*(lentry!$B$3:$B$3999&lt;=jun!G$3)*(lentry!$C$3:$C$3999&gt;=jun!G$3)),lentry!$D$3:$D$3999),IF(WEEKDAY(jun!G$3,1)=1,"WO","P"))</f>
        <v>P</v>
      </c>
      <c r="H13" s="4" t="str">
        <f>IFERROR(LOOKUP(2,1/((lentry!$A$3:$A$3999=jun!$A13)*(lentry!$B$3:$B$3999&lt;=jun!H$3)*(lentry!$C$3:$C$3999&gt;=jun!H$3)),lentry!$D$3:$D$3999),IF(WEEKDAY(jun!H$3,1)=1,"WO","P"))</f>
        <v>P</v>
      </c>
      <c r="I13" s="4" t="str">
        <f>IFERROR(LOOKUP(2,1/((lentry!$A$3:$A$3999=jun!$A13)*(lentry!$B$3:$B$3999&lt;=jun!I$3)*(lentry!$C$3:$C$3999&gt;=jun!I$3)),lentry!$D$3:$D$3999),IF(WEEKDAY(jun!I$3,1)=1,"WO","P"))</f>
        <v>P</v>
      </c>
      <c r="J13" s="4" t="str">
        <f>IFERROR(LOOKUP(2,1/((lentry!$A$3:$A$3999=jun!$A13)*(lentry!$B$3:$B$3999&lt;=jun!J$3)*(lentry!$C$3:$C$3999&gt;=jun!J$3)),lentry!$D$3:$D$3999),IF(WEEKDAY(jun!J$3,1)=1,"WO","P"))</f>
        <v>P</v>
      </c>
      <c r="K13" s="4" t="str">
        <f>IFERROR(LOOKUP(2,1/((lentry!$A$3:$A$3999=jun!$A13)*(lentry!$B$3:$B$3999&lt;=jun!K$3)*(lentry!$C$3:$C$3999&gt;=jun!K$3)),lentry!$D$3:$D$3999),IF(WEEKDAY(jun!K$3,1)=1,"WO","P"))</f>
        <v>P</v>
      </c>
      <c r="L13" s="4" t="str">
        <f>IFERROR(LOOKUP(2,1/((lentry!$A$3:$A$3999=jun!$A13)*(lentry!$B$3:$B$3999&lt;=jun!L$3)*(lentry!$C$3:$C$3999&gt;=jun!L$3)),lentry!$D$3:$D$3999),IF(WEEKDAY(jun!L$3,1)=1,"WO","P"))</f>
        <v>WO</v>
      </c>
      <c r="M13" s="4" t="str">
        <f>IFERROR(LOOKUP(2,1/((lentry!$A$3:$A$3999=jun!$A13)*(lentry!$B$3:$B$3999&lt;=jun!M$3)*(lentry!$C$3:$C$3999&gt;=jun!M$3)),lentry!$D$3:$D$3999),IF(WEEKDAY(jun!M$3,1)=1,"WO","P"))</f>
        <v>P</v>
      </c>
      <c r="N13" s="4" t="str">
        <f>IFERROR(LOOKUP(2,1/((lentry!$A$3:$A$3999=jun!$A13)*(lentry!$B$3:$B$3999&lt;=jun!N$3)*(lentry!$C$3:$C$3999&gt;=jun!N$3)),lentry!$D$3:$D$3999),IF(WEEKDAY(jun!N$3,1)=1,"WO","P"))</f>
        <v>P</v>
      </c>
      <c r="O13" s="4" t="str">
        <f>IFERROR(LOOKUP(2,1/((lentry!$A$3:$A$3999=jun!$A13)*(lentry!$B$3:$B$3999&lt;=jun!O$3)*(lentry!$C$3:$C$3999&gt;=jun!O$3)),lentry!$D$3:$D$3999),IF(WEEKDAY(jun!O$3,1)=1,"WO","P"))</f>
        <v>P</v>
      </c>
      <c r="P13" s="4" t="str">
        <f>IFERROR(LOOKUP(2,1/((lentry!$A$3:$A$3999=jun!$A13)*(lentry!$B$3:$B$3999&lt;=jun!P$3)*(lentry!$C$3:$C$3999&gt;=jun!P$3)),lentry!$D$3:$D$3999),IF(WEEKDAY(jun!P$3,1)=1,"WO","P"))</f>
        <v>P</v>
      </c>
      <c r="Q13" s="4" t="s">
        <v>539</v>
      </c>
      <c r="R13" s="4" t="str">
        <f>IFERROR(LOOKUP(2,1/((lentry!$A$3:$A$3999=jun!$A13)*(lentry!$B$3:$B$3999&lt;=jun!R$3)*(lentry!$C$3:$C$3999&gt;=jun!R$3)),lentry!$D$3:$D$3999),IF(WEEKDAY(jun!R$3,1)=1,"WO","P"))</f>
        <v>P</v>
      </c>
      <c r="S13" s="4" t="str">
        <f>IFERROR(LOOKUP(2,1/((lentry!$A$3:$A$3999=jun!$A13)*(lentry!$B$3:$B$3999&lt;=jun!S$3)*(lentry!$C$3:$C$3999&gt;=jun!S$3)),lentry!$D$3:$D$3999),IF(WEEKDAY(jun!S$3,1)=1,"WO","P"))</f>
        <v>WO</v>
      </c>
      <c r="T13" s="4" t="str">
        <f>IFERROR(LOOKUP(2,1/((lentry!$A$3:$A$3999=jun!$A13)*(lentry!$B$3:$B$3999&lt;=jun!T$3)*(lentry!$C$3:$C$3999&gt;=jun!T$3)),lentry!$D$3:$D$3999),IF(WEEKDAY(jun!T$3,1)=1,"WO","P"))</f>
        <v>P</v>
      </c>
      <c r="U13" s="4" t="str">
        <f>IFERROR(LOOKUP(2,1/((lentry!$A$3:$A$3999=jun!$A13)*(lentry!$B$3:$B$3999&lt;=jun!U$3)*(lentry!$C$3:$C$3999&gt;=jun!U$3)),lentry!$D$3:$D$3999),IF(WEEKDAY(jun!U$3,1)=1,"WO","P"))</f>
        <v>P</v>
      </c>
      <c r="V13" s="4" t="str">
        <f>IFERROR(LOOKUP(2,1/((lentry!$A$3:$A$3999=jun!$A13)*(lentry!$B$3:$B$3999&lt;=jun!V$3)*(lentry!$C$3:$C$3999&gt;=jun!V$3)),lentry!$D$3:$D$3999),IF(WEEKDAY(jun!V$3,1)=1,"WO","P"))</f>
        <v>P</v>
      </c>
      <c r="W13" s="4" t="str">
        <f>IFERROR(LOOKUP(2,1/((lentry!$A$3:$A$3999=jun!$A13)*(lentry!$B$3:$B$3999&lt;=jun!W$3)*(lentry!$C$3:$C$3999&gt;=jun!W$3)),lentry!$D$3:$D$3999),IF(WEEKDAY(jun!W$3,1)=1,"WO","P"))</f>
        <v>P</v>
      </c>
      <c r="X13" s="4" t="str">
        <f>IFERROR(LOOKUP(2,1/((lentry!$A$3:$A$3999=jun!$A13)*(lentry!$B$3:$B$3999&lt;=jun!X$3)*(lentry!$C$3:$C$3999&gt;=jun!X$3)),lentry!$D$3:$D$3999),IF(WEEKDAY(jun!X$3,1)=1,"WO","P"))</f>
        <v>P</v>
      </c>
      <c r="Y13" s="4" t="str">
        <f>IFERROR(LOOKUP(2,1/((lentry!$A$3:$A$3999=jun!$A13)*(lentry!$B$3:$B$3999&lt;=jun!Y$3)*(lentry!$C$3:$C$3999&gt;=jun!Y$3)),lentry!$D$3:$D$3999),IF(WEEKDAY(jun!Y$3,1)=1,"WO","P"))</f>
        <v>P</v>
      </c>
      <c r="Z13" s="4" t="str">
        <f>IFERROR(LOOKUP(2,1/((lentry!$A$3:$A$3999=jun!$A13)*(lentry!$B$3:$B$3999&lt;=jun!Z$3)*(lentry!$C$3:$C$3999&gt;=jun!Z$3)),lentry!$D$3:$D$3999),IF(WEEKDAY(jun!Z$3,1)=1,"WO","P"))</f>
        <v>WO</v>
      </c>
      <c r="AA13" s="4" t="str">
        <f>IFERROR(LOOKUP(2,1/((lentry!$A$3:$A$3999=jun!$A13)*(lentry!$B$3:$B$3999&lt;=jun!AA$3)*(lentry!$C$3:$C$3999&gt;=jun!AA$3)),lentry!$D$3:$D$3999),IF(WEEKDAY(jun!AA$3,1)=1,"WO","P"))</f>
        <v>P</v>
      </c>
      <c r="AB13" s="4" t="str">
        <f>IFERROR(LOOKUP(2,1/((lentry!$A$3:$A$3999=jun!$A13)*(lentry!$B$3:$B$3999&lt;=jun!AB$3)*(lentry!$C$3:$C$3999&gt;=jun!AB$3)),lentry!$D$3:$D$3999),IF(WEEKDAY(jun!AB$3,1)=1,"WO","P"))</f>
        <v>P</v>
      </c>
      <c r="AC13" s="4" t="str">
        <f>IFERROR(LOOKUP(2,1/((lentry!$A$3:$A$3999=jun!$A13)*(lentry!$B$3:$B$3999&lt;=jun!AC$3)*(lentry!$C$3:$C$3999&gt;=jun!AC$3)),lentry!$D$3:$D$3999),IF(WEEKDAY(jun!AC$3,1)=1,"WO","P"))</f>
        <v>P</v>
      </c>
      <c r="AD13" s="4" t="str">
        <f>IFERROR(LOOKUP(2,1/((lentry!$A$3:$A$3999=jun!$A13)*(lentry!$B$3:$B$3999&lt;=jun!AD$3)*(lentry!$C$3:$C$3999&gt;=jun!AD$3)),lentry!$D$3:$D$3999),IF(WEEKDAY(jun!AD$3,1)=1,"WO","P"))</f>
        <v>P</v>
      </c>
      <c r="AE13" s="4" t="str">
        <f>IFERROR(LOOKUP(2,1/((lentry!$A$3:$A$3999=jun!$A13)*(lentry!$B$3:$B$3999&lt;=jun!AE$3)*(lentry!$C$3:$C$3999&gt;=jun!AE$3)),lentry!$D$3:$D$3999),IF(WEEKDAY(jun!AE$3,1)=1,"WO","P"))</f>
        <v>P</v>
      </c>
      <c r="AF13" s="4" t="str">
        <f>IFERROR(LOOKUP(2,1/((lentry!$A$3:$A$3999=jun!$A13)*(lentry!$B$3:$B$3999&lt;=jun!AF$3)*(lentry!$C$3:$C$3999&gt;=jun!AF$3)),lentry!$D$3:$D$3999),IF(WEEKDAY(jun!AF$3,1)=1,"WO","P"))</f>
        <v>P</v>
      </c>
      <c r="AG13" s="4" t="str">
        <f>IFERROR(LOOKUP(2,1/((lentry!$A$3:$A$3999=jun!$A13)*(lentry!$B$3:$B$3999&lt;=jun!AG$3)*(lentry!$C$3:$C$3999&gt;=jun!AG$3)),lentry!$D$3:$D$3999),IF(WEEKDAY(jun!AG$3,1)=1,"WO","P"))</f>
        <v>WO</v>
      </c>
      <c r="AH13" s="4" t="str">
        <f>IFERROR(LOOKUP(2,1/((lentry!$A$3:$A$3999=jun!$A13)*(lentry!$B$3:$B$3999&lt;=jun!AH$3)*(lentry!$C$3:$C$3999&gt;=jun!AH$3)),lentry!$D$3:$D$3999),IF(WEEKDAY(jun!AH$3,1)=1,"WO","P"))</f>
        <v>P</v>
      </c>
      <c r="AI13" s="4" t="str">
        <f>IFERROR(LOOKUP(2,1/((lentry!$A$3:$A$3999=jun!$A13)*(lentry!$B$3:$B$3999&lt;=jun!AI$3)*(lentry!$C$3:$C$3999&gt;=jun!AI$3)),lentry!$D$3:$D$3999),IF(WEEKDAY(jun!AI$3,1)=1,"WO","P"))</f>
        <v>P</v>
      </c>
      <c r="AJ13" s="4">
        <f>COUNTIF(jun!$F13:$AI13,"WO")</f>
        <v>4</v>
      </c>
      <c r="AK13" s="4">
        <f>COUNTIF(jun!$F13:$AI13,"H")</f>
        <v>0</v>
      </c>
      <c r="AL13" s="4">
        <f>COUNTIF(jun!$F13:$AI13,"PL")</f>
        <v>0</v>
      </c>
      <c r="AM13" s="4">
        <f>COUNTIF(jun!$F13:$AI13,"LWP")</f>
        <v>0</v>
      </c>
      <c r="AN13" s="4">
        <f>COUNTIF(jun!$F13:$AI13,"HD")</f>
        <v>0</v>
      </c>
      <c r="AO13" s="4">
        <f>COUNTIF(jun!$F13:$AI13,"SL")</f>
        <v>0</v>
      </c>
      <c r="AP13" s="4">
        <f>COUNTIF(jun!$F13:$AI13,"CL")</f>
        <v>0</v>
      </c>
      <c r="AQ13" s="4">
        <f>COUNTIF(jun!$F13:$AI13,"A")</f>
        <v>1</v>
      </c>
      <c r="AR13" s="4">
        <f>COUNTIF(jun!$F13:$AI13,"P")</f>
        <v>25</v>
      </c>
      <c r="AS13" s="4">
        <f t="shared" si="2"/>
        <v>30</v>
      </c>
      <c r="AT13" s="4">
        <f t="shared" si="3"/>
        <v>29</v>
      </c>
      <c r="AU13" s="4">
        <f>SUMIFS(holly!$L$2:$L$122,holly!$I$2:$I$122,mar!$A13,holly!$K$2:$K$122,"Mar")</f>
        <v>0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</row>
    <row r="14" spans="1:79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IFERROR(LOOKUP(2,1/((lentry!$A$3:$A$3999=jun!$A14)*(lentry!$B$3:$B$3999&lt;=jun!F$3)*(lentry!$C$3:$C$3999&gt;=jun!F$3)),lentry!$D$3:$D$3999),IF(WEEKDAY(jun!F$3,1)=1,"WO","P"))</f>
        <v>P</v>
      </c>
      <c r="G14" s="4" t="str">
        <f>IFERROR(LOOKUP(2,1/((lentry!$A$3:$A$3999=jun!$A14)*(lentry!$B$3:$B$3999&lt;=jun!G$3)*(lentry!$C$3:$C$3999&gt;=jun!G$3)),lentry!$D$3:$D$3999),IF(WEEKDAY(jun!G$3,1)=1,"WO","P"))</f>
        <v>P</v>
      </c>
      <c r="H14" s="4" t="str">
        <f>IFERROR(LOOKUP(2,1/((lentry!$A$3:$A$3999=jun!$A14)*(lentry!$B$3:$B$3999&lt;=jun!H$3)*(lentry!$C$3:$C$3999&gt;=jun!H$3)),lentry!$D$3:$D$3999),IF(WEEKDAY(jun!H$3,1)=1,"WO","P"))</f>
        <v>P</v>
      </c>
      <c r="I14" s="4" t="str">
        <f>IFERROR(LOOKUP(2,1/((lentry!$A$3:$A$3999=jun!$A14)*(lentry!$B$3:$B$3999&lt;=jun!I$3)*(lentry!$C$3:$C$3999&gt;=jun!I$3)),lentry!$D$3:$D$3999),IF(WEEKDAY(jun!I$3,1)=1,"WO","P"))</f>
        <v>P</v>
      </c>
      <c r="J14" s="4" t="str">
        <f>IFERROR(LOOKUP(2,1/((lentry!$A$3:$A$3999=jun!$A14)*(lentry!$B$3:$B$3999&lt;=jun!J$3)*(lentry!$C$3:$C$3999&gt;=jun!J$3)),lentry!$D$3:$D$3999),IF(WEEKDAY(jun!J$3,1)=1,"WO","P"))</f>
        <v>P</v>
      </c>
      <c r="K14" s="4" t="str">
        <f>IFERROR(LOOKUP(2,1/((lentry!$A$3:$A$3999=jun!$A14)*(lentry!$B$3:$B$3999&lt;=jun!K$3)*(lentry!$C$3:$C$3999&gt;=jun!K$3)),lentry!$D$3:$D$3999),IF(WEEKDAY(jun!K$3,1)=1,"WO","P"))</f>
        <v>P</v>
      </c>
      <c r="L14" s="4" t="str">
        <f>IFERROR(LOOKUP(2,1/((lentry!$A$3:$A$3999=jun!$A14)*(lentry!$B$3:$B$3999&lt;=jun!L$3)*(lentry!$C$3:$C$3999&gt;=jun!L$3)),lentry!$D$3:$D$3999),IF(WEEKDAY(jun!L$3,1)=1,"WO","P"))</f>
        <v>WO</v>
      </c>
      <c r="M14" s="4" t="str">
        <f>IFERROR(LOOKUP(2,1/((lentry!$A$3:$A$3999=jun!$A14)*(lentry!$B$3:$B$3999&lt;=jun!M$3)*(lentry!$C$3:$C$3999&gt;=jun!M$3)),lentry!$D$3:$D$3999),IF(WEEKDAY(jun!M$3,1)=1,"WO","P"))</f>
        <v>P</v>
      </c>
      <c r="N14" s="4" t="str">
        <f>IFERROR(LOOKUP(2,1/((lentry!$A$3:$A$3999=jun!$A14)*(lentry!$B$3:$B$3999&lt;=jun!N$3)*(lentry!$C$3:$C$3999&gt;=jun!N$3)),lentry!$D$3:$D$3999),IF(WEEKDAY(jun!N$3,1)=1,"WO","P"))</f>
        <v>P</v>
      </c>
      <c r="O14" s="4" t="str">
        <f>IFERROR(LOOKUP(2,1/((lentry!$A$3:$A$3999=jun!$A14)*(lentry!$B$3:$B$3999&lt;=jun!O$3)*(lentry!$C$3:$C$3999&gt;=jun!O$3)),lentry!$D$3:$D$3999),IF(WEEKDAY(jun!O$3,1)=1,"WO","P"))</f>
        <v>P</v>
      </c>
      <c r="P14" s="4" t="str">
        <f>IFERROR(LOOKUP(2,1/((lentry!$A$3:$A$3999=jun!$A14)*(lentry!$B$3:$B$3999&lt;=jun!P$3)*(lentry!$C$3:$C$3999&gt;=jun!P$3)),lentry!$D$3:$D$3999),IF(WEEKDAY(jun!P$3,1)=1,"WO","P"))</f>
        <v>P</v>
      </c>
      <c r="Q14" s="4" t="str">
        <f>IFERROR(LOOKUP(2,1/((lentry!$A$3:$A$3999=jun!$A14)*(lentry!$B$3:$B$3999&lt;=jun!Q$3)*(lentry!$C$3:$C$3999&gt;=jun!Q$3)),lentry!$D$3:$D$3999),IF(WEEKDAY(jun!Q$3,1)=1,"WO","P"))</f>
        <v>P</v>
      </c>
      <c r="R14" s="4" t="str">
        <f>IFERROR(LOOKUP(2,1/((lentry!$A$3:$A$3999=jun!$A14)*(lentry!$B$3:$B$3999&lt;=jun!R$3)*(lentry!$C$3:$C$3999&gt;=jun!R$3)),lentry!$D$3:$D$3999),IF(WEEKDAY(jun!R$3,1)=1,"WO","P"))</f>
        <v>P</v>
      </c>
      <c r="S14" s="4" t="str">
        <f>IFERROR(LOOKUP(2,1/((lentry!$A$3:$A$3999=jun!$A14)*(lentry!$B$3:$B$3999&lt;=jun!S$3)*(lentry!$C$3:$C$3999&gt;=jun!S$3)),lentry!$D$3:$D$3999),IF(WEEKDAY(jun!S$3,1)=1,"WO","P"))</f>
        <v>WO</v>
      </c>
      <c r="T14" s="4" t="str">
        <f>IFERROR(LOOKUP(2,1/((lentry!$A$3:$A$3999=jun!$A14)*(lentry!$B$3:$B$3999&lt;=jun!T$3)*(lentry!$C$3:$C$3999&gt;=jun!T$3)),lentry!$D$3:$D$3999),IF(WEEKDAY(jun!T$3,1)=1,"WO","P"))</f>
        <v>P</v>
      </c>
      <c r="U14" s="4" t="str">
        <f>IFERROR(LOOKUP(2,1/((lentry!$A$3:$A$3999=jun!$A14)*(lentry!$B$3:$B$3999&lt;=jun!U$3)*(lentry!$C$3:$C$3999&gt;=jun!U$3)),lentry!$D$3:$D$3999),IF(WEEKDAY(jun!U$3,1)=1,"WO","P"))</f>
        <v>P</v>
      </c>
      <c r="V14" s="4" t="str">
        <f>IFERROR(LOOKUP(2,1/((lentry!$A$3:$A$3999=jun!$A14)*(lentry!$B$3:$B$3999&lt;=jun!V$3)*(lentry!$C$3:$C$3999&gt;=jun!V$3)),lentry!$D$3:$D$3999),IF(WEEKDAY(jun!V$3,1)=1,"WO","P"))</f>
        <v>P</v>
      </c>
      <c r="W14" s="4" t="str">
        <f>IFERROR(LOOKUP(2,1/((lentry!$A$3:$A$3999=jun!$A14)*(lentry!$B$3:$B$3999&lt;=jun!W$3)*(lentry!$C$3:$C$3999&gt;=jun!W$3)),lentry!$D$3:$D$3999),IF(WEEKDAY(jun!W$3,1)=1,"WO","P"))</f>
        <v>P</v>
      </c>
      <c r="X14" s="4" t="str">
        <f>IFERROR(LOOKUP(2,1/((lentry!$A$3:$A$3999=jun!$A14)*(lentry!$B$3:$B$3999&lt;=jun!X$3)*(lentry!$C$3:$C$3999&gt;=jun!X$3)),lentry!$D$3:$D$3999),IF(WEEKDAY(jun!X$3,1)=1,"WO","P"))</f>
        <v>P</v>
      </c>
      <c r="Y14" s="4" t="str">
        <f>IFERROR(LOOKUP(2,1/((lentry!$A$3:$A$3999=jun!$A14)*(lentry!$B$3:$B$3999&lt;=jun!Y$3)*(lentry!$C$3:$C$3999&gt;=jun!Y$3)),lentry!$D$3:$D$3999),IF(WEEKDAY(jun!Y$3,1)=1,"WO","P"))</f>
        <v>P</v>
      </c>
      <c r="Z14" s="4" t="str">
        <f>IFERROR(LOOKUP(2,1/((lentry!$A$3:$A$3999=jun!$A14)*(lentry!$B$3:$B$3999&lt;=jun!Z$3)*(lentry!$C$3:$C$3999&gt;=jun!Z$3)),lentry!$D$3:$D$3999),IF(WEEKDAY(jun!Z$3,1)=1,"WO","P"))</f>
        <v>WO</v>
      </c>
      <c r="AA14" s="4" t="str">
        <f>IFERROR(LOOKUP(2,1/((lentry!$A$3:$A$3999=jun!$A14)*(lentry!$B$3:$B$3999&lt;=jun!AA$3)*(lentry!$C$3:$C$3999&gt;=jun!AA$3)),lentry!$D$3:$D$3999),IF(WEEKDAY(jun!AA$3,1)=1,"WO","P"))</f>
        <v>P</v>
      </c>
      <c r="AB14" s="4" t="str">
        <f>IFERROR(LOOKUP(2,1/((lentry!$A$3:$A$3999=jun!$A14)*(lentry!$B$3:$B$3999&lt;=jun!AB$3)*(lentry!$C$3:$C$3999&gt;=jun!AB$3)),lentry!$D$3:$D$3999),IF(WEEKDAY(jun!AB$3,1)=1,"WO","P"))</f>
        <v>P</v>
      </c>
      <c r="AC14" s="4" t="str">
        <f>IFERROR(LOOKUP(2,1/((lentry!$A$3:$A$3999=jun!$A14)*(lentry!$B$3:$B$3999&lt;=jun!AC$3)*(lentry!$C$3:$C$3999&gt;=jun!AC$3)),lentry!$D$3:$D$3999),IF(WEEKDAY(jun!AC$3,1)=1,"WO","P"))</f>
        <v>P</v>
      </c>
      <c r="AD14" s="4" t="str">
        <f>IFERROR(LOOKUP(2,1/((lentry!$A$3:$A$3999=jun!$A14)*(lentry!$B$3:$B$3999&lt;=jun!AD$3)*(lentry!$C$3:$C$3999&gt;=jun!AD$3)),lentry!$D$3:$D$3999),IF(WEEKDAY(jun!AD$3,1)=1,"WO","P"))</f>
        <v>P</v>
      </c>
      <c r="AE14" s="4" t="str">
        <f>IFERROR(LOOKUP(2,1/((lentry!$A$3:$A$3999=jun!$A14)*(lentry!$B$3:$B$3999&lt;=jun!AE$3)*(lentry!$C$3:$C$3999&gt;=jun!AE$3)),lentry!$D$3:$D$3999),IF(WEEKDAY(jun!AE$3,1)=1,"WO","P"))</f>
        <v>P</v>
      </c>
      <c r="AF14" s="4" t="str">
        <f>IFERROR(LOOKUP(2,1/((lentry!$A$3:$A$3999=jun!$A14)*(lentry!$B$3:$B$3999&lt;=jun!AF$3)*(lentry!$C$3:$C$3999&gt;=jun!AF$3)),lentry!$D$3:$D$3999),IF(WEEKDAY(jun!AF$3,1)=1,"WO","P"))</f>
        <v>P</v>
      </c>
      <c r="AG14" s="4" t="str">
        <f>IFERROR(LOOKUP(2,1/((lentry!$A$3:$A$3999=jun!$A14)*(lentry!$B$3:$B$3999&lt;=jun!AG$3)*(lentry!$C$3:$C$3999&gt;=jun!AG$3)),lentry!$D$3:$D$3999),IF(WEEKDAY(jun!AG$3,1)=1,"WO","P"))</f>
        <v>WO</v>
      </c>
      <c r="AH14" s="4" t="str">
        <f>IFERROR(LOOKUP(2,1/((lentry!$A$3:$A$3999=jun!$A14)*(lentry!$B$3:$B$3999&lt;=jun!AH$3)*(lentry!$C$3:$C$3999&gt;=jun!AH$3)),lentry!$D$3:$D$3999),IF(WEEKDAY(jun!AH$3,1)=1,"WO","P"))</f>
        <v>P</v>
      </c>
      <c r="AI14" s="4" t="str">
        <f>IFERROR(LOOKUP(2,1/((lentry!$A$3:$A$3999=jun!$A14)*(lentry!$B$3:$B$3999&lt;=jun!AI$3)*(lentry!$C$3:$C$3999&gt;=jun!AI$3)),lentry!$D$3:$D$3999),IF(WEEKDAY(jun!AI$3,1)=1,"WO","P"))</f>
        <v>P</v>
      </c>
      <c r="AJ14" s="4">
        <f>COUNTIF(jun!$F14:$AI14,"WO")</f>
        <v>4</v>
      </c>
      <c r="AK14" s="4">
        <f>COUNTIF(jun!$F14:$AI14,"H")</f>
        <v>0</v>
      </c>
      <c r="AL14" s="4">
        <f>COUNTIF(jun!$F14:$AI14,"PL")</f>
        <v>0</v>
      </c>
      <c r="AM14" s="4">
        <f>COUNTIF(jun!$F14:$AI14,"LWP")</f>
        <v>0</v>
      </c>
      <c r="AN14" s="4">
        <f>COUNTIF(jun!$F14:$AI14,"HD")</f>
        <v>0</v>
      </c>
      <c r="AO14" s="4">
        <f>COUNTIF(jun!$F14:$AI14,"SL")</f>
        <v>0</v>
      </c>
      <c r="AP14" s="4">
        <f>COUNTIF(jun!$F14:$AI14,"CL")</f>
        <v>0</v>
      </c>
      <c r="AQ14" s="4">
        <f>COUNTIF(jun!$F14:$AI14,"A")</f>
        <v>0</v>
      </c>
      <c r="AR14" s="4">
        <f>COUNTIF(jun!$F14:$AI14,"P")</f>
        <v>26</v>
      </c>
      <c r="AS14" s="4">
        <f t="shared" si="2"/>
        <v>30</v>
      </c>
      <c r="AT14" s="4">
        <f t="shared" si="3"/>
        <v>30</v>
      </c>
      <c r="AU14" s="4">
        <f>SUMIFS(holly!$L$2:$L$122,holly!$I$2:$I$122,mar!$A14,holly!$K$2:$K$122,"Mar")</f>
        <v>4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</row>
    <row r="15" spans="1:79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IFERROR(LOOKUP(2,1/((lentry!$A$3:$A$3999=jun!$A15)*(lentry!$B$3:$B$3999&lt;=jun!F$3)*(lentry!$C$3:$C$3999&gt;=jun!F$3)),lentry!$D$3:$D$3999),IF(WEEKDAY(jun!F$3,1)=1,"WO","P"))</f>
        <v>P</v>
      </c>
      <c r="G15" s="4" t="str">
        <f>IFERROR(LOOKUP(2,1/((lentry!$A$3:$A$3999=jun!$A15)*(lentry!$B$3:$B$3999&lt;=jun!G$3)*(lentry!$C$3:$C$3999&gt;=jun!G$3)),lentry!$D$3:$D$3999),IF(WEEKDAY(jun!G$3,1)=1,"WO","P"))</f>
        <v>P</v>
      </c>
      <c r="H15" s="4" t="str">
        <f>IFERROR(LOOKUP(2,1/((lentry!$A$3:$A$3999=jun!$A15)*(lentry!$B$3:$B$3999&lt;=jun!H$3)*(lentry!$C$3:$C$3999&gt;=jun!H$3)),lentry!$D$3:$D$3999),IF(WEEKDAY(jun!H$3,1)=1,"WO","P"))</f>
        <v>P</v>
      </c>
      <c r="I15" s="4" t="str">
        <f>IFERROR(LOOKUP(2,1/((lentry!$A$3:$A$3999=jun!$A15)*(lentry!$B$3:$B$3999&lt;=jun!I$3)*(lentry!$C$3:$C$3999&gt;=jun!I$3)),lentry!$D$3:$D$3999),IF(WEEKDAY(jun!I$3,1)=1,"WO","P"))</f>
        <v>P</v>
      </c>
      <c r="J15" s="4" t="str">
        <f>IFERROR(LOOKUP(2,1/((lentry!$A$3:$A$3999=jun!$A15)*(lentry!$B$3:$B$3999&lt;=jun!J$3)*(lentry!$C$3:$C$3999&gt;=jun!J$3)),lentry!$D$3:$D$3999),IF(WEEKDAY(jun!J$3,1)=1,"WO","P"))</f>
        <v>P</v>
      </c>
      <c r="K15" s="4" t="str">
        <f>IFERROR(LOOKUP(2,1/((lentry!$A$3:$A$3999=jun!$A15)*(lentry!$B$3:$B$3999&lt;=jun!K$3)*(lentry!$C$3:$C$3999&gt;=jun!K$3)),lentry!$D$3:$D$3999),IF(WEEKDAY(jun!K$3,1)=1,"WO","P"))</f>
        <v>P</v>
      </c>
      <c r="L15" s="4" t="str">
        <f>IFERROR(LOOKUP(2,1/((lentry!$A$3:$A$3999=jun!$A15)*(lentry!$B$3:$B$3999&lt;=jun!L$3)*(lentry!$C$3:$C$3999&gt;=jun!L$3)),lentry!$D$3:$D$3999),IF(WEEKDAY(jun!L$3,1)=1,"WO","P"))</f>
        <v>WO</v>
      </c>
      <c r="M15" s="4" t="str">
        <f>IFERROR(LOOKUP(2,1/((lentry!$A$3:$A$3999=jun!$A15)*(lentry!$B$3:$B$3999&lt;=jun!M$3)*(lentry!$C$3:$C$3999&gt;=jun!M$3)),lentry!$D$3:$D$3999),IF(WEEKDAY(jun!M$3,1)=1,"WO","P"))</f>
        <v>P</v>
      </c>
      <c r="N15" s="4" t="str">
        <f>IFERROR(LOOKUP(2,1/((lentry!$A$3:$A$3999=jun!$A15)*(lentry!$B$3:$B$3999&lt;=jun!N$3)*(lentry!$C$3:$C$3999&gt;=jun!N$3)),lentry!$D$3:$D$3999),IF(WEEKDAY(jun!N$3,1)=1,"WO","P"))</f>
        <v>P</v>
      </c>
      <c r="O15" s="4" t="str">
        <f>IFERROR(LOOKUP(2,1/((lentry!$A$3:$A$3999=jun!$A15)*(lentry!$B$3:$B$3999&lt;=jun!O$3)*(lentry!$C$3:$C$3999&gt;=jun!O$3)),lentry!$D$3:$D$3999),IF(WEEKDAY(jun!O$3,1)=1,"WO","P"))</f>
        <v>P</v>
      </c>
      <c r="P15" s="4" t="str">
        <f>IFERROR(LOOKUP(2,1/((lentry!$A$3:$A$3999=jun!$A15)*(lentry!$B$3:$B$3999&lt;=jun!P$3)*(lentry!$C$3:$C$3999&gt;=jun!P$3)),lentry!$D$3:$D$3999),IF(WEEKDAY(jun!P$3,1)=1,"WO","P"))</f>
        <v>P</v>
      </c>
      <c r="Q15" s="4" t="str">
        <f>IFERROR(LOOKUP(2,1/((lentry!$A$3:$A$3999=jun!$A15)*(lentry!$B$3:$B$3999&lt;=jun!Q$3)*(lentry!$C$3:$C$3999&gt;=jun!Q$3)),lentry!$D$3:$D$3999),IF(WEEKDAY(jun!Q$3,1)=1,"WO","P"))</f>
        <v>P</v>
      </c>
      <c r="R15" s="4" t="str">
        <f>IFERROR(LOOKUP(2,1/((lentry!$A$3:$A$3999=jun!$A15)*(lentry!$B$3:$B$3999&lt;=jun!R$3)*(lentry!$C$3:$C$3999&gt;=jun!R$3)),lentry!$D$3:$D$3999),IF(WEEKDAY(jun!R$3,1)=1,"WO","P"))</f>
        <v>P</v>
      </c>
      <c r="S15" s="4" t="str">
        <f>IFERROR(LOOKUP(2,1/((lentry!$A$3:$A$3999=jun!$A15)*(lentry!$B$3:$B$3999&lt;=jun!S$3)*(lentry!$C$3:$C$3999&gt;=jun!S$3)),lentry!$D$3:$D$3999),IF(WEEKDAY(jun!S$3,1)=1,"WO","P"))</f>
        <v>WO</v>
      </c>
      <c r="T15" s="4" t="str">
        <f>IFERROR(LOOKUP(2,1/((lentry!$A$3:$A$3999=jun!$A15)*(lentry!$B$3:$B$3999&lt;=jun!T$3)*(lentry!$C$3:$C$3999&gt;=jun!T$3)),lentry!$D$3:$D$3999),IF(WEEKDAY(jun!T$3,1)=1,"WO","P"))</f>
        <v>P</v>
      </c>
      <c r="U15" s="4" t="str">
        <f>IFERROR(LOOKUP(2,1/((lentry!$A$3:$A$3999=jun!$A15)*(lentry!$B$3:$B$3999&lt;=jun!U$3)*(lentry!$C$3:$C$3999&gt;=jun!U$3)),lentry!$D$3:$D$3999),IF(WEEKDAY(jun!U$3,1)=1,"WO","P"))</f>
        <v>P</v>
      </c>
      <c r="V15" s="4" t="str">
        <f>IFERROR(LOOKUP(2,1/((lentry!$A$3:$A$3999=jun!$A15)*(lentry!$B$3:$B$3999&lt;=jun!V$3)*(lentry!$C$3:$C$3999&gt;=jun!V$3)),lentry!$D$3:$D$3999),IF(WEEKDAY(jun!V$3,1)=1,"WO","P"))</f>
        <v>P</v>
      </c>
      <c r="W15" s="4" t="str">
        <f>IFERROR(LOOKUP(2,1/((lentry!$A$3:$A$3999=jun!$A15)*(lentry!$B$3:$B$3999&lt;=jun!W$3)*(lentry!$C$3:$C$3999&gt;=jun!W$3)),lentry!$D$3:$D$3999),IF(WEEKDAY(jun!W$3,1)=1,"WO","P"))</f>
        <v>P</v>
      </c>
      <c r="X15" s="4" t="str">
        <f>IFERROR(LOOKUP(2,1/((lentry!$A$3:$A$3999=jun!$A15)*(lentry!$B$3:$B$3999&lt;=jun!X$3)*(lentry!$C$3:$C$3999&gt;=jun!X$3)),lentry!$D$3:$D$3999),IF(WEEKDAY(jun!X$3,1)=1,"WO","P"))</f>
        <v>P</v>
      </c>
      <c r="Y15" s="4" t="str">
        <f>IFERROR(LOOKUP(2,1/((lentry!$A$3:$A$3999=jun!$A15)*(lentry!$B$3:$B$3999&lt;=jun!Y$3)*(lentry!$C$3:$C$3999&gt;=jun!Y$3)),lentry!$D$3:$D$3999),IF(WEEKDAY(jun!Y$3,1)=1,"WO","P"))</f>
        <v>P</v>
      </c>
      <c r="Z15" s="4" t="str">
        <f>IFERROR(LOOKUP(2,1/((lentry!$A$3:$A$3999=jun!$A15)*(lentry!$B$3:$B$3999&lt;=jun!Z$3)*(lentry!$C$3:$C$3999&gt;=jun!Z$3)),lentry!$D$3:$D$3999),IF(WEEKDAY(jun!Z$3,1)=1,"WO","P"))</f>
        <v>WO</v>
      </c>
      <c r="AA15" s="4" t="str">
        <f>IFERROR(LOOKUP(2,1/((lentry!$A$3:$A$3999=jun!$A15)*(lentry!$B$3:$B$3999&lt;=jun!AA$3)*(lentry!$C$3:$C$3999&gt;=jun!AA$3)),lentry!$D$3:$D$3999),IF(WEEKDAY(jun!AA$3,1)=1,"WO","P"))</f>
        <v>P</v>
      </c>
      <c r="AB15" s="4" t="str">
        <f>IFERROR(LOOKUP(2,1/((lentry!$A$3:$A$3999=jun!$A15)*(lentry!$B$3:$B$3999&lt;=jun!AB$3)*(lentry!$C$3:$C$3999&gt;=jun!AB$3)),lentry!$D$3:$D$3999),IF(WEEKDAY(jun!AB$3,1)=1,"WO","P"))</f>
        <v>P</v>
      </c>
      <c r="AC15" s="4" t="str">
        <f>IFERROR(LOOKUP(2,1/((lentry!$A$3:$A$3999=jun!$A15)*(lentry!$B$3:$B$3999&lt;=jun!AC$3)*(lentry!$C$3:$C$3999&gt;=jun!AC$3)),lentry!$D$3:$D$3999),IF(WEEKDAY(jun!AC$3,1)=1,"WO","P"))</f>
        <v>P</v>
      </c>
      <c r="AD15" s="4" t="str">
        <f>IFERROR(LOOKUP(2,1/((lentry!$A$3:$A$3999=jun!$A15)*(lentry!$B$3:$B$3999&lt;=jun!AD$3)*(lentry!$C$3:$C$3999&gt;=jun!AD$3)),lentry!$D$3:$D$3999),IF(WEEKDAY(jun!AD$3,1)=1,"WO","P"))</f>
        <v>P</v>
      </c>
      <c r="AE15" s="4" t="str">
        <f>IFERROR(LOOKUP(2,1/((lentry!$A$3:$A$3999=jun!$A15)*(lentry!$B$3:$B$3999&lt;=jun!AE$3)*(lentry!$C$3:$C$3999&gt;=jun!AE$3)),lentry!$D$3:$D$3999),IF(WEEKDAY(jun!AE$3,1)=1,"WO","P"))</f>
        <v>P</v>
      </c>
      <c r="AF15" s="4" t="str">
        <f>IFERROR(LOOKUP(2,1/((lentry!$A$3:$A$3999=jun!$A15)*(lentry!$B$3:$B$3999&lt;=jun!AF$3)*(lentry!$C$3:$C$3999&gt;=jun!AF$3)),lentry!$D$3:$D$3999),IF(WEEKDAY(jun!AF$3,1)=1,"WO","P"))</f>
        <v>P</v>
      </c>
      <c r="AG15" s="4" t="str">
        <f>IFERROR(LOOKUP(2,1/((lentry!$A$3:$A$3999=jun!$A15)*(lentry!$B$3:$B$3999&lt;=jun!AG$3)*(lentry!$C$3:$C$3999&gt;=jun!AG$3)),lentry!$D$3:$D$3999),IF(WEEKDAY(jun!AG$3,1)=1,"WO","P"))</f>
        <v>WO</v>
      </c>
      <c r="AH15" s="4" t="str">
        <f>IFERROR(LOOKUP(2,1/((lentry!$A$3:$A$3999=jun!$A15)*(lentry!$B$3:$B$3999&lt;=jun!AH$3)*(lentry!$C$3:$C$3999&gt;=jun!AH$3)),lentry!$D$3:$D$3999),IF(WEEKDAY(jun!AH$3,1)=1,"WO","P"))</f>
        <v>P</v>
      </c>
      <c r="AI15" s="4" t="str">
        <f>IFERROR(LOOKUP(2,1/((lentry!$A$3:$A$3999=jun!$A15)*(lentry!$B$3:$B$3999&lt;=jun!AI$3)*(lentry!$C$3:$C$3999&gt;=jun!AI$3)),lentry!$D$3:$D$3999),IF(WEEKDAY(jun!AI$3,1)=1,"WO","P"))</f>
        <v>P</v>
      </c>
      <c r="AJ15" s="4">
        <f>COUNTIF(jun!$F15:$AI15,"WO")</f>
        <v>4</v>
      </c>
      <c r="AK15" s="4">
        <f>COUNTIF(jun!$F15:$AI15,"H")</f>
        <v>0</v>
      </c>
      <c r="AL15" s="4">
        <f>COUNTIF(jun!$F15:$AI15,"PL")</f>
        <v>0</v>
      </c>
      <c r="AM15" s="4">
        <f>COUNTIF(jun!$F15:$AI15,"LWP")</f>
        <v>0</v>
      </c>
      <c r="AN15" s="4">
        <f>COUNTIF(jun!$F15:$AI15,"HD")</f>
        <v>0</v>
      </c>
      <c r="AO15" s="4">
        <f>COUNTIF(jun!$F15:$AI15,"SL")</f>
        <v>0</v>
      </c>
      <c r="AP15" s="4">
        <f>COUNTIF(jun!$F15:$AI15,"CL")</f>
        <v>0</v>
      </c>
      <c r="AQ15" s="4">
        <f>COUNTIF(jun!$F15:$AI15,"A")</f>
        <v>0</v>
      </c>
      <c r="AR15" s="4">
        <f>COUNTIF(jun!$F15:$AI15,"P")</f>
        <v>26</v>
      </c>
      <c r="AS15" s="4">
        <f t="shared" si="2"/>
        <v>30</v>
      </c>
      <c r="AT15" s="4">
        <f t="shared" si="3"/>
        <v>30</v>
      </c>
      <c r="AU15" s="4">
        <f>SUMIFS(holly!$L$2:$L$122,holly!$I$2:$I$122,mar!$A15,holly!$K$2:$K$122,"Mar")</f>
        <v>1</v>
      </c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</row>
    <row r="16" spans="1:79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IFERROR(LOOKUP(2,1/((lentry!$A$3:$A$3999=jun!$A16)*(lentry!$B$3:$B$3999&lt;=jun!F$3)*(lentry!$C$3:$C$3999&gt;=jun!F$3)),lentry!$D$3:$D$3999),IF(WEEKDAY(jun!F$3,1)=1,"WO","P"))</f>
        <v>P</v>
      </c>
      <c r="G16" s="4" t="str">
        <f>IFERROR(LOOKUP(2,1/((lentry!$A$3:$A$3999=jun!$A16)*(lentry!$B$3:$B$3999&lt;=jun!G$3)*(lentry!$C$3:$C$3999&gt;=jun!G$3)),lentry!$D$3:$D$3999),IF(WEEKDAY(jun!G$3,1)=1,"WO","P"))</f>
        <v>P</v>
      </c>
      <c r="H16" s="4" t="str">
        <f>IFERROR(LOOKUP(2,1/((lentry!$A$3:$A$3999=jun!$A16)*(lentry!$B$3:$B$3999&lt;=jun!H$3)*(lentry!$C$3:$C$3999&gt;=jun!H$3)),lentry!$D$3:$D$3999),IF(WEEKDAY(jun!H$3,1)=1,"WO","P"))</f>
        <v>P</v>
      </c>
      <c r="I16" s="4" t="str">
        <f>IFERROR(LOOKUP(2,1/((lentry!$A$3:$A$3999=jun!$A16)*(lentry!$B$3:$B$3999&lt;=jun!I$3)*(lentry!$C$3:$C$3999&gt;=jun!I$3)),lentry!$D$3:$D$3999),IF(WEEKDAY(jun!I$3,1)=1,"WO","P"))</f>
        <v>P</v>
      </c>
      <c r="J16" s="4" t="str">
        <f>IFERROR(LOOKUP(2,1/((lentry!$A$3:$A$3999=jun!$A16)*(lentry!$B$3:$B$3999&lt;=jun!J$3)*(lentry!$C$3:$C$3999&gt;=jun!J$3)),lentry!$D$3:$D$3999),IF(WEEKDAY(jun!J$3,1)=1,"WO","P"))</f>
        <v>P</v>
      </c>
      <c r="K16" s="4" t="str">
        <f>IFERROR(LOOKUP(2,1/((lentry!$A$3:$A$3999=jun!$A16)*(lentry!$B$3:$B$3999&lt;=jun!K$3)*(lentry!$C$3:$C$3999&gt;=jun!K$3)),lentry!$D$3:$D$3999),IF(WEEKDAY(jun!K$3,1)=1,"WO","P"))</f>
        <v>P</v>
      </c>
      <c r="L16" s="4" t="str">
        <f>IFERROR(LOOKUP(2,1/((lentry!$A$3:$A$3999=jun!$A16)*(lentry!$B$3:$B$3999&lt;=jun!L$3)*(lentry!$C$3:$C$3999&gt;=jun!L$3)),lentry!$D$3:$D$3999),IF(WEEKDAY(jun!L$3,1)=1,"WO","P"))</f>
        <v>WO</v>
      </c>
      <c r="M16" s="4" t="str">
        <f>IFERROR(LOOKUP(2,1/((lentry!$A$3:$A$3999=jun!$A16)*(lentry!$B$3:$B$3999&lt;=jun!M$3)*(lentry!$C$3:$C$3999&gt;=jun!M$3)),lentry!$D$3:$D$3999),IF(WEEKDAY(jun!M$3,1)=1,"WO","P"))</f>
        <v>P</v>
      </c>
      <c r="N16" s="4" t="str">
        <f>IFERROR(LOOKUP(2,1/((lentry!$A$3:$A$3999=jun!$A16)*(lentry!$B$3:$B$3999&lt;=jun!N$3)*(lentry!$C$3:$C$3999&gt;=jun!N$3)),lentry!$D$3:$D$3999),IF(WEEKDAY(jun!N$3,1)=1,"WO","P"))</f>
        <v>P</v>
      </c>
      <c r="O16" s="4" t="str">
        <f>IFERROR(LOOKUP(2,1/((lentry!$A$3:$A$3999=jun!$A16)*(lentry!$B$3:$B$3999&lt;=jun!O$3)*(lentry!$C$3:$C$3999&gt;=jun!O$3)),lentry!$D$3:$D$3999),IF(WEEKDAY(jun!O$3,1)=1,"WO","P"))</f>
        <v>P</v>
      </c>
      <c r="P16" s="4" t="str">
        <f>IFERROR(LOOKUP(2,1/((lentry!$A$3:$A$3999=jun!$A16)*(lentry!$B$3:$B$3999&lt;=jun!P$3)*(lentry!$C$3:$C$3999&gt;=jun!P$3)),lentry!$D$3:$D$3999),IF(WEEKDAY(jun!P$3,1)=1,"WO","P"))</f>
        <v>P</v>
      </c>
      <c r="Q16" s="4" t="str">
        <f>IFERROR(LOOKUP(2,1/((lentry!$A$3:$A$3999=jun!$A16)*(lentry!$B$3:$B$3999&lt;=jun!Q$3)*(lentry!$C$3:$C$3999&gt;=jun!Q$3)),lentry!$D$3:$D$3999),IF(WEEKDAY(jun!Q$3,1)=1,"WO","P"))</f>
        <v>P</v>
      </c>
      <c r="R16" s="4" t="str">
        <f>IFERROR(LOOKUP(2,1/((lentry!$A$3:$A$3999=jun!$A16)*(lentry!$B$3:$B$3999&lt;=jun!R$3)*(lentry!$C$3:$C$3999&gt;=jun!R$3)),lentry!$D$3:$D$3999),IF(WEEKDAY(jun!R$3,1)=1,"WO","P"))</f>
        <v>P</v>
      </c>
      <c r="S16" s="4" t="str">
        <f>IFERROR(LOOKUP(2,1/((lentry!$A$3:$A$3999=jun!$A16)*(lentry!$B$3:$B$3999&lt;=jun!S$3)*(lentry!$C$3:$C$3999&gt;=jun!S$3)),lentry!$D$3:$D$3999),IF(WEEKDAY(jun!S$3,1)=1,"WO","P"))</f>
        <v>WO</v>
      </c>
      <c r="T16" s="4" t="str">
        <f>IFERROR(LOOKUP(2,1/((lentry!$A$3:$A$3999=jun!$A16)*(lentry!$B$3:$B$3999&lt;=jun!T$3)*(lentry!$C$3:$C$3999&gt;=jun!T$3)),lentry!$D$3:$D$3999),IF(WEEKDAY(jun!T$3,1)=1,"WO","P"))</f>
        <v>P</v>
      </c>
      <c r="U16" s="4" t="str">
        <f>IFERROR(LOOKUP(2,1/((lentry!$A$3:$A$3999=jun!$A16)*(lentry!$B$3:$B$3999&lt;=jun!U$3)*(lentry!$C$3:$C$3999&gt;=jun!U$3)),lentry!$D$3:$D$3999),IF(WEEKDAY(jun!U$3,1)=1,"WO","P"))</f>
        <v>P</v>
      </c>
      <c r="V16" s="4" t="str">
        <f>IFERROR(LOOKUP(2,1/((lentry!$A$3:$A$3999=jun!$A16)*(lentry!$B$3:$B$3999&lt;=jun!V$3)*(lentry!$C$3:$C$3999&gt;=jun!V$3)),lentry!$D$3:$D$3999),IF(WEEKDAY(jun!V$3,1)=1,"WO","P"))</f>
        <v>P</v>
      </c>
      <c r="W16" s="4" t="str">
        <f>IFERROR(LOOKUP(2,1/((lentry!$A$3:$A$3999=jun!$A16)*(lentry!$B$3:$B$3999&lt;=jun!W$3)*(lentry!$C$3:$C$3999&gt;=jun!W$3)),lentry!$D$3:$D$3999),IF(WEEKDAY(jun!W$3,1)=1,"WO","P"))</f>
        <v>P</v>
      </c>
      <c r="X16" s="4" t="str">
        <f>IFERROR(LOOKUP(2,1/((lentry!$A$3:$A$3999=jun!$A16)*(lentry!$B$3:$B$3999&lt;=jun!X$3)*(lentry!$C$3:$C$3999&gt;=jun!X$3)),lentry!$D$3:$D$3999),IF(WEEKDAY(jun!X$3,1)=1,"WO","P"))</f>
        <v>P</v>
      </c>
      <c r="Y16" s="4" t="str">
        <f>IFERROR(LOOKUP(2,1/((lentry!$A$3:$A$3999=jun!$A16)*(lentry!$B$3:$B$3999&lt;=jun!Y$3)*(lentry!$C$3:$C$3999&gt;=jun!Y$3)),lentry!$D$3:$D$3999),IF(WEEKDAY(jun!Y$3,1)=1,"WO","P"))</f>
        <v>P</v>
      </c>
      <c r="Z16" s="4" t="str">
        <f>IFERROR(LOOKUP(2,1/((lentry!$A$3:$A$3999=jun!$A16)*(lentry!$B$3:$B$3999&lt;=jun!Z$3)*(lentry!$C$3:$C$3999&gt;=jun!Z$3)),lentry!$D$3:$D$3999),IF(WEEKDAY(jun!Z$3,1)=1,"WO","P"))</f>
        <v>WO</v>
      </c>
      <c r="AA16" s="4" t="str">
        <f>IFERROR(LOOKUP(2,1/((lentry!$A$3:$A$3999=jun!$A16)*(lentry!$B$3:$B$3999&lt;=jun!AA$3)*(lentry!$C$3:$C$3999&gt;=jun!AA$3)),lentry!$D$3:$D$3999),IF(WEEKDAY(jun!AA$3,1)=1,"WO","P"))</f>
        <v>P</v>
      </c>
      <c r="AB16" s="4" t="str">
        <f>IFERROR(LOOKUP(2,1/((lentry!$A$3:$A$3999=jun!$A16)*(lentry!$B$3:$B$3999&lt;=jun!AB$3)*(lentry!$C$3:$C$3999&gt;=jun!AB$3)),lentry!$D$3:$D$3999),IF(WEEKDAY(jun!AB$3,1)=1,"WO","P"))</f>
        <v>P</v>
      </c>
      <c r="AC16" s="4" t="str">
        <f>IFERROR(LOOKUP(2,1/((lentry!$A$3:$A$3999=jun!$A16)*(lentry!$B$3:$B$3999&lt;=jun!AC$3)*(lentry!$C$3:$C$3999&gt;=jun!AC$3)),lentry!$D$3:$D$3999),IF(WEEKDAY(jun!AC$3,1)=1,"WO","P"))</f>
        <v>P</v>
      </c>
      <c r="AD16" s="4" t="str">
        <f>IFERROR(LOOKUP(2,1/((lentry!$A$3:$A$3999=jun!$A16)*(lentry!$B$3:$B$3999&lt;=jun!AD$3)*(lentry!$C$3:$C$3999&gt;=jun!AD$3)),lentry!$D$3:$D$3999),IF(WEEKDAY(jun!AD$3,1)=1,"WO","P"))</f>
        <v>P</v>
      </c>
      <c r="AE16" s="4" t="str">
        <f>IFERROR(LOOKUP(2,1/((lentry!$A$3:$A$3999=jun!$A16)*(lentry!$B$3:$B$3999&lt;=jun!AE$3)*(lentry!$C$3:$C$3999&gt;=jun!AE$3)),lentry!$D$3:$D$3999),IF(WEEKDAY(jun!AE$3,1)=1,"WO","P"))</f>
        <v>P</v>
      </c>
      <c r="AF16" s="4" t="str">
        <f>IFERROR(LOOKUP(2,1/((lentry!$A$3:$A$3999=jun!$A16)*(lentry!$B$3:$B$3999&lt;=jun!AF$3)*(lentry!$C$3:$C$3999&gt;=jun!AF$3)),lentry!$D$3:$D$3999),IF(WEEKDAY(jun!AF$3,1)=1,"WO","P"))</f>
        <v>P</v>
      </c>
      <c r="AG16" s="4" t="str">
        <f>IFERROR(LOOKUP(2,1/((lentry!$A$3:$A$3999=jun!$A16)*(lentry!$B$3:$B$3999&lt;=jun!AG$3)*(lentry!$C$3:$C$3999&gt;=jun!AG$3)),lentry!$D$3:$D$3999),IF(WEEKDAY(jun!AG$3,1)=1,"WO","P"))</f>
        <v>WO</v>
      </c>
      <c r="AH16" s="4" t="str">
        <f>IFERROR(LOOKUP(2,1/((lentry!$A$3:$A$3999=jun!$A16)*(lentry!$B$3:$B$3999&lt;=jun!AH$3)*(lentry!$C$3:$C$3999&gt;=jun!AH$3)),lentry!$D$3:$D$3999),IF(WEEKDAY(jun!AH$3,1)=1,"WO","P"))</f>
        <v>P</v>
      </c>
      <c r="AI16" s="4" t="s">
        <v>539</v>
      </c>
      <c r="AJ16" s="4">
        <f>COUNTIF(jun!$F16:$AI16,"WO")</f>
        <v>4</v>
      </c>
      <c r="AK16" s="4">
        <f>COUNTIF(jun!$F16:$AI16,"H")</f>
        <v>0</v>
      </c>
      <c r="AL16" s="4">
        <f>COUNTIF(jun!$F16:$AI16,"PL")</f>
        <v>0</v>
      </c>
      <c r="AM16" s="4">
        <f>COUNTIF(jun!$F16:$AI16,"LWP")</f>
        <v>0</v>
      </c>
      <c r="AN16" s="4">
        <f>COUNTIF(jun!$F16:$AI16,"HD")</f>
        <v>0</v>
      </c>
      <c r="AO16" s="4">
        <f>COUNTIF(jun!$F16:$AI16,"SL")</f>
        <v>0</v>
      </c>
      <c r="AP16" s="4">
        <f>COUNTIF(jun!$F16:$AI16,"CL")</f>
        <v>0</v>
      </c>
      <c r="AQ16" s="4">
        <f>COUNTIF(jun!$F16:$AI16,"A")</f>
        <v>1</v>
      </c>
      <c r="AR16" s="4">
        <f>COUNTIF(jun!$F16:$AI16,"P")</f>
        <v>25</v>
      </c>
      <c r="AS16" s="4">
        <f t="shared" si="2"/>
        <v>30</v>
      </c>
      <c r="AT16" s="4">
        <f t="shared" si="3"/>
        <v>29</v>
      </c>
      <c r="AU16" s="4">
        <f>SUMIFS(holly!$L$2:$L$122,holly!$I$2:$I$122,mar!$A16,holly!$K$2:$K$122,"Mar")</f>
        <v>0</v>
      </c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</row>
    <row r="17" spans="1:79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IFERROR(LOOKUP(2,1/((lentry!$A$3:$A$3999=jun!$A17)*(lentry!$B$3:$B$3999&lt;=jun!F$3)*(lentry!$C$3:$C$3999&gt;=jun!F$3)),lentry!$D$3:$D$3999),IF(WEEKDAY(jun!F$3,1)=1,"WO","P"))</f>
        <v>PL</v>
      </c>
      <c r="G17" s="4" t="str">
        <f>IFERROR(LOOKUP(2,1/((lentry!$A$3:$A$3999=jun!$A17)*(lentry!$B$3:$B$3999&lt;=jun!G$3)*(lentry!$C$3:$C$3999&gt;=jun!G$3)),lentry!$D$3:$D$3999),IF(WEEKDAY(jun!G$3,1)=1,"WO","P"))</f>
        <v>PL</v>
      </c>
      <c r="H17" s="4" t="str">
        <f>IFERROR(LOOKUP(2,1/((lentry!$A$3:$A$3999=jun!$A17)*(lentry!$B$3:$B$3999&lt;=jun!H$3)*(lentry!$C$3:$C$3999&gt;=jun!H$3)),lentry!$D$3:$D$3999),IF(WEEKDAY(jun!H$3,1)=1,"WO","P"))</f>
        <v>P</v>
      </c>
      <c r="I17" s="4" t="str">
        <f>IFERROR(LOOKUP(2,1/((lentry!$A$3:$A$3999=jun!$A17)*(lentry!$B$3:$B$3999&lt;=jun!I$3)*(lentry!$C$3:$C$3999&gt;=jun!I$3)),lentry!$D$3:$D$3999),IF(WEEKDAY(jun!I$3,1)=1,"WO","P"))</f>
        <v>P</v>
      </c>
      <c r="J17" s="4" t="str">
        <f>IFERROR(LOOKUP(2,1/((lentry!$A$3:$A$3999=jun!$A17)*(lentry!$B$3:$B$3999&lt;=jun!J$3)*(lentry!$C$3:$C$3999&gt;=jun!J$3)),lentry!$D$3:$D$3999),IF(WEEKDAY(jun!J$3,1)=1,"WO","P"))</f>
        <v>P</v>
      </c>
      <c r="K17" s="4" t="s">
        <v>539</v>
      </c>
      <c r="L17" s="4" t="str">
        <f>IFERROR(LOOKUP(2,1/((lentry!$A$3:$A$3999=jun!$A17)*(lentry!$B$3:$B$3999&lt;=jun!L$3)*(lentry!$C$3:$C$3999&gt;=jun!L$3)),lentry!$D$3:$D$3999),IF(WEEKDAY(jun!L$3,1)=1,"WO","P"))</f>
        <v>WO</v>
      </c>
      <c r="M17" s="4" t="str">
        <f>IFERROR(LOOKUP(2,1/((lentry!$A$3:$A$3999=jun!$A17)*(lentry!$B$3:$B$3999&lt;=jun!M$3)*(lentry!$C$3:$C$3999&gt;=jun!M$3)),lentry!$D$3:$D$3999),IF(WEEKDAY(jun!M$3,1)=1,"WO","P"))</f>
        <v>P</v>
      </c>
      <c r="N17" s="4" t="str">
        <f>IFERROR(LOOKUP(2,1/((lentry!$A$3:$A$3999=jun!$A17)*(lentry!$B$3:$B$3999&lt;=jun!N$3)*(lentry!$C$3:$C$3999&gt;=jun!N$3)),lentry!$D$3:$D$3999),IF(WEEKDAY(jun!N$3,1)=1,"WO","P"))</f>
        <v>P</v>
      </c>
      <c r="O17" s="4" t="str">
        <f>IFERROR(LOOKUP(2,1/((lentry!$A$3:$A$3999=jun!$A17)*(lentry!$B$3:$B$3999&lt;=jun!O$3)*(lentry!$C$3:$C$3999&gt;=jun!O$3)),lentry!$D$3:$D$3999),IF(WEEKDAY(jun!O$3,1)=1,"WO","P"))</f>
        <v>P</v>
      </c>
      <c r="P17" s="4" t="str">
        <f>IFERROR(LOOKUP(2,1/((lentry!$A$3:$A$3999=jun!$A17)*(lentry!$B$3:$B$3999&lt;=jun!P$3)*(lentry!$C$3:$C$3999&gt;=jun!P$3)),lentry!$D$3:$D$3999),IF(WEEKDAY(jun!P$3,1)=1,"WO","P"))</f>
        <v>P</v>
      </c>
      <c r="Q17" s="4" t="str">
        <f>IFERROR(LOOKUP(2,1/((lentry!$A$3:$A$3999=jun!$A17)*(lentry!$B$3:$B$3999&lt;=jun!Q$3)*(lentry!$C$3:$C$3999&gt;=jun!Q$3)),lentry!$D$3:$D$3999),IF(WEEKDAY(jun!Q$3,1)=1,"WO","P"))</f>
        <v>P</v>
      </c>
      <c r="R17" s="4" t="str">
        <f>IFERROR(LOOKUP(2,1/((lentry!$A$3:$A$3999=jun!$A17)*(lentry!$B$3:$B$3999&lt;=jun!R$3)*(lentry!$C$3:$C$3999&gt;=jun!R$3)),lentry!$D$3:$D$3999),IF(WEEKDAY(jun!R$3,1)=1,"WO","P"))</f>
        <v>P</v>
      </c>
      <c r="S17" s="4" t="str">
        <f>IFERROR(LOOKUP(2,1/((lentry!$A$3:$A$3999=jun!$A17)*(lentry!$B$3:$B$3999&lt;=jun!S$3)*(lentry!$C$3:$C$3999&gt;=jun!S$3)),lentry!$D$3:$D$3999),IF(WEEKDAY(jun!S$3,1)=1,"WO","P"))</f>
        <v>WO</v>
      </c>
      <c r="T17" s="4" t="str">
        <f>IFERROR(LOOKUP(2,1/((lentry!$A$3:$A$3999=jun!$A17)*(lentry!$B$3:$B$3999&lt;=jun!T$3)*(lentry!$C$3:$C$3999&gt;=jun!T$3)),lentry!$D$3:$D$3999),IF(WEEKDAY(jun!T$3,1)=1,"WO","P"))</f>
        <v>P</v>
      </c>
      <c r="U17" s="4" t="str">
        <f>IFERROR(LOOKUP(2,1/((lentry!$A$3:$A$3999=jun!$A17)*(lentry!$B$3:$B$3999&lt;=jun!U$3)*(lentry!$C$3:$C$3999&gt;=jun!U$3)),lentry!$D$3:$D$3999),IF(WEEKDAY(jun!U$3,1)=1,"WO","P"))</f>
        <v>P</v>
      </c>
      <c r="V17" s="4" t="str">
        <f>IFERROR(LOOKUP(2,1/((lentry!$A$3:$A$3999=jun!$A17)*(lentry!$B$3:$B$3999&lt;=jun!V$3)*(lentry!$C$3:$C$3999&gt;=jun!V$3)),lentry!$D$3:$D$3999),IF(WEEKDAY(jun!V$3,1)=1,"WO","P"))</f>
        <v>P</v>
      </c>
      <c r="W17" s="4" t="str">
        <f>IFERROR(LOOKUP(2,1/((lentry!$A$3:$A$3999=jun!$A17)*(lentry!$B$3:$B$3999&lt;=jun!W$3)*(lentry!$C$3:$C$3999&gt;=jun!W$3)),lentry!$D$3:$D$3999),IF(WEEKDAY(jun!W$3,1)=1,"WO","P"))</f>
        <v>P</v>
      </c>
      <c r="X17" s="4" t="str">
        <f>IFERROR(LOOKUP(2,1/((lentry!$A$3:$A$3999=jun!$A17)*(lentry!$B$3:$B$3999&lt;=jun!X$3)*(lentry!$C$3:$C$3999&gt;=jun!X$3)),lentry!$D$3:$D$3999),IF(WEEKDAY(jun!X$3,1)=1,"WO","P"))</f>
        <v>P</v>
      </c>
      <c r="Y17" s="4" t="str">
        <f>IFERROR(LOOKUP(2,1/((lentry!$A$3:$A$3999=jun!$A17)*(lentry!$B$3:$B$3999&lt;=jun!Y$3)*(lentry!$C$3:$C$3999&gt;=jun!Y$3)),lentry!$D$3:$D$3999),IF(WEEKDAY(jun!Y$3,1)=1,"WO","P"))</f>
        <v>P</v>
      </c>
      <c r="Z17" s="4" t="str">
        <f>IFERROR(LOOKUP(2,1/((lentry!$A$3:$A$3999=jun!$A17)*(lentry!$B$3:$B$3999&lt;=jun!Z$3)*(lentry!$C$3:$C$3999&gt;=jun!Z$3)),lentry!$D$3:$D$3999),IF(WEEKDAY(jun!Z$3,1)=1,"WO","P"))</f>
        <v>WO</v>
      </c>
      <c r="AA17" s="4" t="str">
        <f>IFERROR(LOOKUP(2,1/((lentry!$A$3:$A$3999=jun!$A17)*(lentry!$B$3:$B$3999&lt;=jun!AA$3)*(lentry!$C$3:$C$3999&gt;=jun!AA$3)),lentry!$D$3:$D$3999),IF(WEEKDAY(jun!AA$3,1)=1,"WO","P"))</f>
        <v>P</v>
      </c>
      <c r="AB17" s="4" t="str">
        <f>IFERROR(LOOKUP(2,1/((lentry!$A$3:$A$3999=jun!$A17)*(lentry!$B$3:$B$3999&lt;=jun!AB$3)*(lentry!$C$3:$C$3999&gt;=jun!AB$3)),lentry!$D$3:$D$3999),IF(WEEKDAY(jun!AB$3,1)=1,"WO","P"))</f>
        <v>P</v>
      </c>
      <c r="AC17" s="4" t="str">
        <f>IFERROR(LOOKUP(2,1/((lentry!$A$3:$A$3999=jun!$A17)*(lentry!$B$3:$B$3999&lt;=jun!AC$3)*(lentry!$C$3:$C$3999&gt;=jun!AC$3)),lentry!$D$3:$D$3999),IF(WEEKDAY(jun!AC$3,1)=1,"WO","P"))</f>
        <v>P</v>
      </c>
      <c r="AD17" s="4" t="str">
        <f>IFERROR(LOOKUP(2,1/((lentry!$A$3:$A$3999=jun!$A17)*(lentry!$B$3:$B$3999&lt;=jun!AD$3)*(lentry!$C$3:$C$3999&gt;=jun!AD$3)),lentry!$D$3:$D$3999),IF(WEEKDAY(jun!AD$3,1)=1,"WO","P"))</f>
        <v>P</v>
      </c>
      <c r="AE17" s="4" t="str">
        <f>IFERROR(LOOKUP(2,1/((lentry!$A$3:$A$3999=jun!$A17)*(lentry!$B$3:$B$3999&lt;=jun!AE$3)*(lentry!$C$3:$C$3999&gt;=jun!AE$3)),lentry!$D$3:$D$3999),IF(WEEKDAY(jun!AE$3,1)=1,"WO","P"))</f>
        <v>P</v>
      </c>
      <c r="AF17" s="4" t="str">
        <f>IFERROR(LOOKUP(2,1/((lentry!$A$3:$A$3999=jun!$A17)*(lentry!$B$3:$B$3999&lt;=jun!AF$3)*(lentry!$C$3:$C$3999&gt;=jun!AF$3)),lentry!$D$3:$D$3999),IF(WEEKDAY(jun!AF$3,1)=1,"WO","P"))</f>
        <v>P</v>
      </c>
      <c r="AG17" s="4" t="str">
        <f>IFERROR(LOOKUP(2,1/((lentry!$A$3:$A$3999=jun!$A17)*(lentry!$B$3:$B$3999&lt;=jun!AG$3)*(lentry!$C$3:$C$3999&gt;=jun!AG$3)),lentry!$D$3:$D$3999),IF(WEEKDAY(jun!AG$3,1)=1,"WO","P"))</f>
        <v>WO</v>
      </c>
      <c r="AH17" s="4" t="str">
        <f>IFERROR(LOOKUP(2,1/((lentry!$A$3:$A$3999=jun!$A17)*(lentry!$B$3:$B$3999&lt;=jun!AH$3)*(lentry!$C$3:$C$3999&gt;=jun!AH$3)),lentry!$D$3:$D$3999),IF(WEEKDAY(jun!AH$3,1)=1,"WO","P"))</f>
        <v>P</v>
      </c>
      <c r="AI17" s="4" t="str">
        <f>IFERROR(LOOKUP(2,1/((lentry!$A$3:$A$3999=jun!$A17)*(lentry!$B$3:$B$3999&lt;=jun!AI$3)*(lentry!$C$3:$C$3999&gt;=jun!AI$3)),lentry!$D$3:$D$3999),IF(WEEKDAY(jun!AI$3,1)=1,"WO","P"))</f>
        <v>P</v>
      </c>
      <c r="AJ17" s="4">
        <f>COUNTIF(jun!$F17:$AI17,"WO")</f>
        <v>4</v>
      </c>
      <c r="AK17" s="4">
        <f>COUNTIF(jun!$F17:$AI17,"H")</f>
        <v>0</v>
      </c>
      <c r="AL17" s="4">
        <f>COUNTIF(jun!$F17:$AI17,"PL")</f>
        <v>2</v>
      </c>
      <c r="AM17" s="4">
        <f>COUNTIF(jun!$F17:$AI17,"LWP")</f>
        <v>0</v>
      </c>
      <c r="AN17" s="4">
        <f>COUNTIF(jun!$F17:$AI17,"HD")</f>
        <v>0</v>
      </c>
      <c r="AO17" s="4">
        <f>COUNTIF(jun!$F17:$AI17,"SL")</f>
        <v>0</v>
      </c>
      <c r="AP17" s="4">
        <f>COUNTIF(jun!$F17:$AI17,"CL")</f>
        <v>0</v>
      </c>
      <c r="AQ17" s="4">
        <f>COUNTIF(jun!$F17:$AI17,"A")</f>
        <v>1</v>
      </c>
      <c r="AR17" s="4">
        <f>COUNTIF(jun!$F17:$AI17,"P")</f>
        <v>23</v>
      </c>
      <c r="AS17" s="4">
        <f t="shared" si="2"/>
        <v>30</v>
      </c>
      <c r="AT17" s="4">
        <f t="shared" si="3"/>
        <v>29</v>
      </c>
      <c r="AU17" s="4">
        <f>SUMIFS(holly!$L$2:$L$122,holly!$I$2:$I$122,mar!$A17,holly!$K$2:$K$122,"Mar")</f>
        <v>0</v>
      </c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</row>
    <row r="18" spans="1:79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IFERROR(LOOKUP(2,1/((lentry!$A$3:$A$3999=jun!$A18)*(lentry!$B$3:$B$3999&lt;=jun!F$3)*(lentry!$C$3:$C$3999&gt;=jun!F$3)),lentry!$D$3:$D$3999),IF(WEEKDAY(jun!F$3,1)=1,"WO","P"))</f>
        <v>P</v>
      </c>
      <c r="G18" s="4" t="str">
        <f>IFERROR(LOOKUP(2,1/((lentry!$A$3:$A$3999=jun!$A18)*(lentry!$B$3:$B$3999&lt;=jun!G$3)*(lentry!$C$3:$C$3999&gt;=jun!G$3)),lentry!$D$3:$D$3999),IF(WEEKDAY(jun!G$3,1)=1,"WO","P"))</f>
        <v>P</v>
      </c>
      <c r="H18" s="4" t="str">
        <f>IFERROR(LOOKUP(2,1/((lentry!$A$3:$A$3999=jun!$A18)*(lentry!$B$3:$B$3999&lt;=jun!H$3)*(lentry!$C$3:$C$3999&gt;=jun!H$3)),lentry!$D$3:$D$3999),IF(WEEKDAY(jun!H$3,1)=1,"WO","P"))</f>
        <v>P</v>
      </c>
      <c r="I18" s="4" t="str">
        <f>IFERROR(LOOKUP(2,1/((lentry!$A$3:$A$3999=jun!$A18)*(lentry!$B$3:$B$3999&lt;=jun!I$3)*(lentry!$C$3:$C$3999&gt;=jun!I$3)),lentry!$D$3:$D$3999),IF(WEEKDAY(jun!I$3,1)=1,"WO","P"))</f>
        <v>P</v>
      </c>
      <c r="J18" s="4" t="str">
        <f>IFERROR(LOOKUP(2,1/((lentry!$A$3:$A$3999=jun!$A18)*(lentry!$B$3:$B$3999&lt;=jun!J$3)*(lentry!$C$3:$C$3999&gt;=jun!J$3)),lentry!$D$3:$D$3999),IF(WEEKDAY(jun!J$3,1)=1,"WO","P"))</f>
        <v>P</v>
      </c>
      <c r="K18" s="4" t="str">
        <f>IFERROR(LOOKUP(2,1/((lentry!$A$3:$A$3999=jun!$A18)*(lentry!$B$3:$B$3999&lt;=jun!K$3)*(lentry!$C$3:$C$3999&gt;=jun!K$3)),lentry!$D$3:$D$3999),IF(WEEKDAY(jun!K$3,1)=1,"WO","P"))</f>
        <v>P</v>
      </c>
      <c r="L18" s="4" t="str">
        <f>IFERROR(LOOKUP(2,1/((lentry!$A$3:$A$3999=jun!$A18)*(lentry!$B$3:$B$3999&lt;=jun!L$3)*(lentry!$C$3:$C$3999&gt;=jun!L$3)),lentry!$D$3:$D$3999),IF(WEEKDAY(jun!L$3,1)=1,"WO","P"))</f>
        <v>WO</v>
      </c>
      <c r="M18" s="4" t="str">
        <f>IFERROR(LOOKUP(2,1/((lentry!$A$3:$A$3999=jun!$A18)*(lentry!$B$3:$B$3999&lt;=jun!M$3)*(lentry!$C$3:$C$3999&gt;=jun!M$3)),lentry!$D$3:$D$3999),IF(WEEKDAY(jun!M$3,1)=1,"WO","P"))</f>
        <v>P</v>
      </c>
      <c r="N18" s="4" t="str">
        <f>IFERROR(LOOKUP(2,1/((lentry!$A$3:$A$3999=jun!$A18)*(lentry!$B$3:$B$3999&lt;=jun!N$3)*(lentry!$C$3:$C$3999&gt;=jun!N$3)),lentry!$D$3:$D$3999),IF(WEEKDAY(jun!N$3,1)=1,"WO","P"))</f>
        <v>P</v>
      </c>
      <c r="O18" s="4" t="str">
        <f>IFERROR(LOOKUP(2,1/((lentry!$A$3:$A$3999=jun!$A18)*(lentry!$B$3:$B$3999&lt;=jun!O$3)*(lentry!$C$3:$C$3999&gt;=jun!O$3)),lentry!$D$3:$D$3999),IF(WEEKDAY(jun!O$3,1)=1,"WO","P"))</f>
        <v>P</v>
      </c>
      <c r="P18" s="4" t="str">
        <f>IFERROR(LOOKUP(2,1/((lentry!$A$3:$A$3999=jun!$A18)*(lentry!$B$3:$B$3999&lt;=jun!P$3)*(lentry!$C$3:$C$3999&gt;=jun!P$3)),lentry!$D$3:$D$3999),IF(WEEKDAY(jun!P$3,1)=1,"WO","P"))</f>
        <v>P</v>
      </c>
      <c r="Q18" s="4" t="str">
        <f>IFERROR(LOOKUP(2,1/((lentry!$A$3:$A$3999=jun!$A18)*(lentry!$B$3:$B$3999&lt;=jun!Q$3)*(lentry!$C$3:$C$3999&gt;=jun!Q$3)),lentry!$D$3:$D$3999),IF(WEEKDAY(jun!Q$3,1)=1,"WO","P"))</f>
        <v>P</v>
      </c>
      <c r="R18" s="4" t="str">
        <f>IFERROR(LOOKUP(2,1/((lentry!$A$3:$A$3999=jun!$A18)*(lentry!$B$3:$B$3999&lt;=jun!R$3)*(lentry!$C$3:$C$3999&gt;=jun!R$3)),lentry!$D$3:$D$3999),IF(WEEKDAY(jun!R$3,1)=1,"WO","P"))</f>
        <v>P</v>
      </c>
      <c r="S18" s="4" t="str">
        <f>IFERROR(LOOKUP(2,1/((lentry!$A$3:$A$3999=jun!$A18)*(lentry!$B$3:$B$3999&lt;=jun!S$3)*(lentry!$C$3:$C$3999&gt;=jun!S$3)),lentry!$D$3:$D$3999),IF(WEEKDAY(jun!S$3,1)=1,"WO","P"))</f>
        <v>WO</v>
      </c>
      <c r="T18" s="4" t="str">
        <f>IFERROR(LOOKUP(2,1/((lentry!$A$3:$A$3999=jun!$A18)*(lentry!$B$3:$B$3999&lt;=jun!T$3)*(lentry!$C$3:$C$3999&gt;=jun!T$3)),lentry!$D$3:$D$3999),IF(WEEKDAY(jun!T$3,1)=1,"WO","P"))</f>
        <v>P</v>
      </c>
      <c r="U18" s="4" t="str">
        <f>IFERROR(LOOKUP(2,1/((lentry!$A$3:$A$3999=jun!$A18)*(lentry!$B$3:$B$3999&lt;=jun!U$3)*(lentry!$C$3:$C$3999&gt;=jun!U$3)),lentry!$D$3:$D$3999),IF(WEEKDAY(jun!U$3,1)=1,"WO","P"))</f>
        <v>P</v>
      </c>
      <c r="V18" s="4" t="str">
        <f>IFERROR(LOOKUP(2,1/((lentry!$A$3:$A$3999=jun!$A18)*(lentry!$B$3:$B$3999&lt;=jun!V$3)*(lentry!$C$3:$C$3999&gt;=jun!V$3)),lentry!$D$3:$D$3999),IF(WEEKDAY(jun!V$3,1)=1,"WO","P"))</f>
        <v>P</v>
      </c>
      <c r="W18" s="4" t="str">
        <f>IFERROR(LOOKUP(2,1/((lentry!$A$3:$A$3999=jun!$A18)*(lentry!$B$3:$B$3999&lt;=jun!W$3)*(lentry!$C$3:$C$3999&gt;=jun!W$3)),lentry!$D$3:$D$3999),IF(WEEKDAY(jun!W$3,1)=1,"WO","P"))</f>
        <v>P</v>
      </c>
      <c r="X18" s="4" t="str">
        <f>IFERROR(LOOKUP(2,1/((lentry!$A$3:$A$3999=jun!$A18)*(lentry!$B$3:$B$3999&lt;=jun!X$3)*(lentry!$C$3:$C$3999&gt;=jun!X$3)),lentry!$D$3:$D$3999),IF(WEEKDAY(jun!X$3,1)=1,"WO","P"))</f>
        <v>P</v>
      </c>
      <c r="Y18" s="4" t="str">
        <f>IFERROR(LOOKUP(2,1/((lentry!$A$3:$A$3999=jun!$A18)*(lentry!$B$3:$B$3999&lt;=jun!Y$3)*(lentry!$C$3:$C$3999&gt;=jun!Y$3)),lentry!$D$3:$D$3999),IF(WEEKDAY(jun!Y$3,1)=1,"WO","P"))</f>
        <v>P</v>
      </c>
      <c r="Z18" s="4" t="str">
        <f>IFERROR(LOOKUP(2,1/((lentry!$A$3:$A$3999=jun!$A18)*(lentry!$B$3:$B$3999&lt;=jun!Z$3)*(lentry!$C$3:$C$3999&gt;=jun!Z$3)),lentry!$D$3:$D$3999),IF(WEEKDAY(jun!Z$3,1)=1,"WO","P"))</f>
        <v>WO</v>
      </c>
      <c r="AA18" s="4" t="str">
        <f>IFERROR(LOOKUP(2,1/((lentry!$A$3:$A$3999=jun!$A18)*(lentry!$B$3:$B$3999&lt;=jun!AA$3)*(lentry!$C$3:$C$3999&gt;=jun!AA$3)),lentry!$D$3:$D$3999),IF(WEEKDAY(jun!AA$3,1)=1,"WO","P"))</f>
        <v>P</v>
      </c>
      <c r="AB18" s="4" t="str">
        <f>IFERROR(LOOKUP(2,1/((lentry!$A$3:$A$3999=jun!$A18)*(lentry!$B$3:$B$3999&lt;=jun!AB$3)*(lentry!$C$3:$C$3999&gt;=jun!AB$3)),lentry!$D$3:$D$3999),IF(WEEKDAY(jun!AB$3,1)=1,"WO","P"))</f>
        <v>P</v>
      </c>
      <c r="AC18" s="4" t="str">
        <f>IFERROR(LOOKUP(2,1/((lentry!$A$3:$A$3999=jun!$A18)*(lentry!$B$3:$B$3999&lt;=jun!AC$3)*(lentry!$C$3:$C$3999&gt;=jun!AC$3)),lentry!$D$3:$D$3999),IF(WEEKDAY(jun!AC$3,1)=1,"WO","P"))</f>
        <v>P</v>
      </c>
      <c r="AD18" s="4" t="str">
        <f>IFERROR(LOOKUP(2,1/((lentry!$A$3:$A$3999=jun!$A18)*(lentry!$B$3:$B$3999&lt;=jun!AD$3)*(lentry!$C$3:$C$3999&gt;=jun!AD$3)),lentry!$D$3:$D$3999),IF(WEEKDAY(jun!AD$3,1)=1,"WO","P"))</f>
        <v>P</v>
      </c>
      <c r="AE18" s="4" t="str">
        <f>IFERROR(LOOKUP(2,1/((lentry!$A$3:$A$3999=jun!$A18)*(lentry!$B$3:$B$3999&lt;=jun!AE$3)*(lentry!$C$3:$C$3999&gt;=jun!AE$3)),lentry!$D$3:$D$3999),IF(WEEKDAY(jun!AE$3,1)=1,"WO","P"))</f>
        <v>P</v>
      </c>
      <c r="AF18" s="4" t="str">
        <f>IFERROR(LOOKUP(2,1/((lentry!$A$3:$A$3999=jun!$A18)*(lentry!$B$3:$B$3999&lt;=jun!AF$3)*(lentry!$C$3:$C$3999&gt;=jun!AF$3)),lentry!$D$3:$D$3999),IF(WEEKDAY(jun!AF$3,1)=1,"WO","P"))</f>
        <v>P</v>
      </c>
      <c r="AG18" s="4" t="str">
        <f>IFERROR(LOOKUP(2,1/((lentry!$A$3:$A$3999=jun!$A18)*(lentry!$B$3:$B$3999&lt;=jun!AG$3)*(lentry!$C$3:$C$3999&gt;=jun!AG$3)),lentry!$D$3:$D$3999),IF(WEEKDAY(jun!AG$3,1)=1,"WO","P"))</f>
        <v>WO</v>
      </c>
      <c r="AH18" s="4" t="str">
        <f>IFERROR(LOOKUP(2,1/((lentry!$A$3:$A$3999=jun!$A18)*(lentry!$B$3:$B$3999&lt;=jun!AH$3)*(lentry!$C$3:$C$3999&gt;=jun!AH$3)),lentry!$D$3:$D$3999),IF(WEEKDAY(jun!AH$3,1)=1,"WO","P"))</f>
        <v>P</v>
      </c>
      <c r="AI18" s="4" t="str">
        <f>IFERROR(LOOKUP(2,1/((lentry!$A$3:$A$3999=jun!$A18)*(lentry!$B$3:$B$3999&lt;=jun!AI$3)*(lentry!$C$3:$C$3999&gt;=jun!AI$3)),lentry!$D$3:$D$3999),IF(WEEKDAY(jun!AI$3,1)=1,"WO","P"))</f>
        <v>P</v>
      </c>
      <c r="AJ18" s="4">
        <f>COUNTIF(jun!$F18:$AI18,"WO")</f>
        <v>4</v>
      </c>
      <c r="AK18" s="4">
        <f>COUNTIF(jun!$F18:$AI18,"H")</f>
        <v>0</v>
      </c>
      <c r="AL18" s="4">
        <f>COUNTIF(jun!$F18:$AI18,"PL")</f>
        <v>0</v>
      </c>
      <c r="AM18" s="4">
        <f>COUNTIF(jun!$F18:$AI18,"LWP")</f>
        <v>0</v>
      </c>
      <c r="AN18" s="4">
        <f>COUNTIF(jun!$F18:$AI18,"HD")</f>
        <v>0</v>
      </c>
      <c r="AO18" s="4">
        <f>COUNTIF(jun!$F18:$AI18,"SL")</f>
        <v>0</v>
      </c>
      <c r="AP18" s="4">
        <f>COUNTIF(jun!$F18:$AI18,"CL")</f>
        <v>0</v>
      </c>
      <c r="AQ18" s="4">
        <f>COUNTIF(jun!$F18:$AI18,"A")</f>
        <v>0</v>
      </c>
      <c r="AR18" s="4">
        <f>COUNTIF(jun!$F18:$AI18,"P")</f>
        <v>26</v>
      </c>
      <c r="AS18" s="4">
        <f t="shared" si="2"/>
        <v>30</v>
      </c>
      <c r="AT18" s="4">
        <f t="shared" si="3"/>
        <v>30</v>
      </c>
      <c r="AU18" s="4">
        <f>SUMIFS(holly!$L$2:$L$122,holly!$I$2:$I$122,mar!$A18,holly!$K$2:$K$122,"Mar")</f>
        <v>0</v>
      </c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</row>
    <row r="19" spans="1:79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IFERROR(LOOKUP(2,1/((lentry!$A$3:$A$3999=jun!$A19)*(lentry!$B$3:$B$3999&lt;=jun!F$3)*(lentry!$C$3:$C$3999&gt;=jun!F$3)),lentry!$D$3:$D$3999),IF(WEEKDAY(jun!F$3,1)=1,"WO","P"))</f>
        <v>P</v>
      </c>
      <c r="G19" s="4" t="str">
        <f>IFERROR(LOOKUP(2,1/((lentry!$A$3:$A$3999=jun!$A19)*(lentry!$B$3:$B$3999&lt;=jun!G$3)*(lentry!$C$3:$C$3999&gt;=jun!G$3)),lentry!$D$3:$D$3999),IF(WEEKDAY(jun!G$3,1)=1,"WO","P"))</f>
        <v>P</v>
      </c>
      <c r="H19" s="4" t="str">
        <f>IFERROR(LOOKUP(2,1/((lentry!$A$3:$A$3999=jun!$A19)*(lentry!$B$3:$B$3999&lt;=jun!H$3)*(lentry!$C$3:$C$3999&gt;=jun!H$3)),lentry!$D$3:$D$3999),IF(WEEKDAY(jun!H$3,1)=1,"WO","P"))</f>
        <v>P</v>
      </c>
      <c r="I19" s="4" t="str">
        <f>IFERROR(LOOKUP(2,1/((lentry!$A$3:$A$3999=jun!$A19)*(lentry!$B$3:$B$3999&lt;=jun!I$3)*(lentry!$C$3:$C$3999&gt;=jun!I$3)),lentry!$D$3:$D$3999),IF(WEEKDAY(jun!I$3,1)=1,"WO","P"))</f>
        <v>P</v>
      </c>
      <c r="J19" s="4" t="str">
        <f>IFERROR(LOOKUP(2,1/((lentry!$A$3:$A$3999=jun!$A19)*(lentry!$B$3:$B$3999&lt;=jun!J$3)*(lentry!$C$3:$C$3999&gt;=jun!J$3)),lentry!$D$3:$D$3999),IF(WEEKDAY(jun!J$3,1)=1,"WO","P"))</f>
        <v>P</v>
      </c>
      <c r="K19" s="4" t="str">
        <f>IFERROR(LOOKUP(2,1/((lentry!$A$3:$A$3999=jun!$A19)*(lentry!$B$3:$B$3999&lt;=jun!K$3)*(lentry!$C$3:$C$3999&gt;=jun!K$3)),lentry!$D$3:$D$3999),IF(WEEKDAY(jun!K$3,1)=1,"WO","P"))</f>
        <v>P</v>
      </c>
      <c r="L19" s="4" t="str">
        <f>IFERROR(LOOKUP(2,1/((lentry!$A$3:$A$3999=jun!$A19)*(lentry!$B$3:$B$3999&lt;=jun!L$3)*(lentry!$C$3:$C$3999&gt;=jun!L$3)),lentry!$D$3:$D$3999),IF(WEEKDAY(jun!L$3,1)=1,"WO","P"))</f>
        <v>WO</v>
      </c>
      <c r="M19" s="4" t="str">
        <f>IFERROR(LOOKUP(2,1/((lentry!$A$3:$A$3999=jun!$A19)*(lentry!$B$3:$B$3999&lt;=jun!M$3)*(lentry!$C$3:$C$3999&gt;=jun!M$3)),lentry!$D$3:$D$3999),IF(WEEKDAY(jun!M$3,1)=1,"WO","P"))</f>
        <v>P</v>
      </c>
      <c r="N19" s="4" t="str">
        <f>IFERROR(LOOKUP(2,1/((lentry!$A$3:$A$3999=jun!$A19)*(lentry!$B$3:$B$3999&lt;=jun!N$3)*(lentry!$C$3:$C$3999&gt;=jun!N$3)),lentry!$D$3:$D$3999),IF(WEEKDAY(jun!N$3,1)=1,"WO","P"))</f>
        <v>P</v>
      </c>
      <c r="O19" s="4" t="str">
        <f>IFERROR(LOOKUP(2,1/((lentry!$A$3:$A$3999=jun!$A19)*(lentry!$B$3:$B$3999&lt;=jun!O$3)*(lentry!$C$3:$C$3999&gt;=jun!O$3)),lentry!$D$3:$D$3999),IF(WEEKDAY(jun!O$3,1)=1,"WO","P"))</f>
        <v>P</v>
      </c>
      <c r="P19" s="4" t="str">
        <f>IFERROR(LOOKUP(2,1/((lentry!$A$3:$A$3999=jun!$A19)*(lentry!$B$3:$B$3999&lt;=jun!P$3)*(lentry!$C$3:$C$3999&gt;=jun!P$3)),lentry!$D$3:$D$3999),IF(WEEKDAY(jun!P$3,1)=1,"WO","P"))</f>
        <v>P</v>
      </c>
      <c r="Q19" s="4" t="str">
        <f>IFERROR(LOOKUP(2,1/((lentry!$A$3:$A$3999=jun!$A19)*(lentry!$B$3:$B$3999&lt;=jun!Q$3)*(lentry!$C$3:$C$3999&gt;=jun!Q$3)),lentry!$D$3:$D$3999),IF(WEEKDAY(jun!Q$3,1)=1,"WO","P"))</f>
        <v>P</v>
      </c>
      <c r="R19" s="4" t="str">
        <f>IFERROR(LOOKUP(2,1/((lentry!$A$3:$A$3999=jun!$A19)*(lentry!$B$3:$B$3999&lt;=jun!R$3)*(lentry!$C$3:$C$3999&gt;=jun!R$3)),lentry!$D$3:$D$3999),IF(WEEKDAY(jun!R$3,1)=1,"WO","P"))</f>
        <v>P</v>
      </c>
      <c r="S19" s="4" t="str">
        <f>IFERROR(LOOKUP(2,1/((lentry!$A$3:$A$3999=jun!$A19)*(lentry!$B$3:$B$3999&lt;=jun!S$3)*(lentry!$C$3:$C$3999&gt;=jun!S$3)),lentry!$D$3:$D$3999),IF(WEEKDAY(jun!S$3,1)=1,"WO","P"))</f>
        <v>WO</v>
      </c>
      <c r="T19" s="4" t="str">
        <f>IFERROR(LOOKUP(2,1/((lentry!$A$3:$A$3999=jun!$A19)*(lentry!$B$3:$B$3999&lt;=jun!T$3)*(lentry!$C$3:$C$3999&gt;=jun!T$3)),lentry!$D$3:$D$3999),IF(WEEKDAY(jun!T$3,1)=1,"WO","P"))</f>
        <v>P</v>
      </c>
      <c r="U19" s="4" t="str">
        <f>IFERROR(LOOKUP(2,1/((lentry!$A$3:$A$3999=jun!$A19)*(lentry!$B$3:$B$3999&lt;=jun!U$3)*(lentry!$C$3:$C$3999&gt;=jun!U$3)),lentry!$D$3:$D$3999),IF(WEEKDAY(jun!U$3,1)=1,"WO","P"))</f>
        <v>P</v>
      </c>
      <c r="V19" s="4" t="str">
        <f>IFERROR(LOOKUP(2,1/((lentry!$A$3:$A$3999=jun!$A19)*(lentry!$B$3:$B$3999&lt;=jun!V$3)*(lentry!$C$3:$C$3999&gt;=jun!V$3)),lentry!$D$3:$D$3999),IF(WEEKDAY(jun!V$3,1)=1,"WO","P"))</f>
        <v>P</v>
      </c>
      <c r="W19" s="4" t="str">
        <f>IFERROR(LOOKUP(2,1/((lentry!$A$3:$A$3999=jun!$A19)*(lentry!$B$3:$B$3999&lt;=jun!W$3)*(lentry!$C$3:$C$3999&gt;=jun!W$3)),lentry!$D$3:$D$3999),IF(WEEKDAY(jun!W$3,1)=1,"WO","P"))</f>
        <v>P</v>
      </c>
      <c r="X19" s="4" t="str">
        <f>IFERROR(LOOKUP(2,1/((lentry!$A$3:$A$3999=jun!$A19)*(lentry!$B$3:$B$3999&lt;=jun!X$3)*(lentry!$C$3:$C$3999&gt;=jun!X$3)),lentry!$D$3:$D$3999),IF(WEEKDAY(jun!X$3,1)=1,"WO","P"))</f>
        <v>P</v>
      </c>
      <c r="Y19" s="4" t="str">
        <f>IFERROR(LOOKUP(2,1/((lentry!$A$3:$A$3999=jun!$A19)*(lentry!$B$3:$B$3999&lt;=jun!Y$3)*(lentry!$C$3:$C$3999&gt;=jun!Y$3)),lentry!$D$3:$D$3999),IF(WEEKDAY(jun!Y$3,1)=1,"WO","P"))</f>
        <v>P</v>
      </c>
      <c r="Z19" s="4" t="str">
        <f>IFERROR(LOOKUP(2,1/((lentry!$A$3:$A$3999=jun!$A19)*(lentry!$B$3:$B$3999&lt;=jun!Z$3)*(lentry!$C$3:$C$3999&gt;=jun!Z$3)),lentry!$D$3:$D$3999),IF(WEEKDAY(jun!Z$3,1)=1,"WO","P"))</f>
        <v>WO</v>
      </c>
      <c r="AA19" s="4" t="str">
        <f>IFERROR(LOOKUP(2,1/((lentry!$A$3:$A$3999=jun!$A19)*(lentry!$B$3:$B$3999&lt;=jun!AA$3)*(lentry!$C$3:$C$3999&gt;=jun!AA$3)),lentry!$D$3:$D$3999),IF(WEEKDAY(jun!AA$3,1)=1,"WO","P"))</f>
        <v>P</v>
      </c>
      <c r="AB19" s="4" t="str">
        <f>IFERROR(LOOKUP(2,1/((lentry!$A$3:$A$3999=jun!$A19)*(lentry!$B$3:$B$3999&lt;=jun!AB$3)*(lentry!$C$3:$C$3999&gt;=jun!AB$3)),lentry!$D$3:$D$3999),IF(WEEKDAY(jun!AB$3,1)=1,"WO","P"))</f>
        <v>P</v>
      </c>
      <c r="AC19" s="4" t="s">
        <v>539</v>
      </c>
      <c r="AD19" s="4" t="str">
        <f>IFERROR(LOOKUP(2,1/((lentry!$A$3:$A$3999=jun!$A19)*(lentry!$B$3:$B$3999&lt;=jun!AD$3)*(lentry!$C$3:$C$3999&gt;=jun!AD$3)),lentry!$D$3:$D$3999),IF(WEEKDAY(jun!AD$3,1)=1,"WO","P"))</f>
        <v>P</v>
      </c>
      <c r="AE19" s="4" t="str">
        <f>IFERROR(LOOKUP(2,1/((lentry!$A$3:$A$3999=jun!$A19)*(lentry!$B$3:$B$3999&lt;=jun!AE$3)*(lentry!$C$3:$C$3999&gt;=jun!AE$3)),lentry!$D$3:$D$3999),IF(WEEKDAY(jun!AE$3,1)=1,"WO","P"))</f>
        <v>P</v>
      </c>
      <c r="AF19" s="4" t="str">
        <f>IFERROR(LOOKUP(2,1/((lentry!$A$3:$A$3999=jun!$A19)*(lentry!$B$3:$B$3999&lt;=jun!AF$3)*(lentry!$C$3:$C$3999&gt;=jun!AF$3)),lentry!$D$3:$D$3999),IF(WEEKDAY(jun!AF$3,1)=1,"WO","P"))</f>
        <v>P</v>
      </c>
      <c r="AG19" s="4" t="str">
        <f>IFERROR(LOOKUP(2,1/((lentry!$A$3:$A$3999=jun!$A19)*(lentry!$B$3:$B$3999&lt;=jun!AG$3)*(lentry!$C$3:$C$3999&gt;=jun!AG$3)),lentry!$D$3:$D$3999),IF(WEEKDAY(jun!AG$3,1)=1,"WO","P"))</f>
        <v>WO</v>
      </c>
      <c r="AH19" s="4" t="str">
        <f>IFERROR(LOOKUP(2,1/((lentry!$A$3:$A$3999=jun!$A19)*(lentry!$B$3:$B$3999&lt;=jun!AH$3)*(lentry!$C$3:$C$3999&gt;=jun!AH$3)),lentry!$D$3:$D$3999),IF(WEEKDAY(jun!AH$3,1)=1,"WO","P"))</f>
        <v>P</v>
      </c>
      <c r="AI19" s="4" t="str">
        <f>IFERROR(LOOKUP(2,1/((lentry!$A$3:$A$3999=jun!$A19)*(lentry!$B$3:$B$3999&lt;=jun!AI$3)*(lentry!$C$3:$C$3999&gt;=jun!AI$3)),lentry!$D$3:$D$3999),IF(WEEKDAY(jun!AI$3,1)=1,"WO","P"))</f>
        <v>P</v>
      </c>
      <c r="AJ19" s="4">
        <f>COUNTIF(jun!$F19:$AI19,"WO")</f>
        <v>4</v>
      </c>
      <c r="AK19" s="4">
        <f>COUNTIF(jun!$F19:$AI19,"H")</f>
        <v>0</v>
      </c>
      <c r="AL19" s="4">
        <f>COUNTIF(jun!$F19:$AI19,"PL")</f>
        <v>0</v>
      </c>
      <c r="AM19" s="4">
        <f>COUNTIF(jun!$F19:$AI19,"LWP")</f>
        <v>0</v>
      </c>
      <c r="AN19" s="4">
        <f>COUNTIF(jun!$F19:$AI19,"HD")</f>
        <v>0</v>
      </c>
      <c r="AO19" s="4">
        <f>COUNTIF(jun!$F19:$AI19,"SL")</f>
        <v>0</v>
      </c>
      <c r="AP19" s="4">
        <f>COUNTIF(jun!$F19:$AI19,"CL")</f>
        <v>0</v>
      </c>
      <c r="AQ19" s="4">
        <f>COUNTIF(jun!$F19:$AI19,"A")</f>
        <v>1</v>
      </c>
      <c r="AR19" s="4">
        <f>COUNTIF(jun!$F19:$AI19,"P")</f>
        <v>25</v>
      </c>
      <c r="AS19" s="4">
        <f t="shared" si="2"/>
        <v>30</v>
      </c>
      <c r="AT19" s="4">
        <f t="shared" si="3"/>
        <v>29</v>
      </c>
      <c r="AU19" s="4">
        <f>SUMIFS(holly!$L$2:$L$122,holly!$I$2:$I$122,mar!$A19,holly!$K$2:$K$122,"Mar")</f>
        <v>0</v>
      </c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</row>
    <row r="20" spans="1:79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IFERROR(LOOKUP(2,1/((lentry!$A$3:$A$3999=jun!$A20)*(lentry!$B$3:$B$3999&lt;=jun!F$3)*(lentry!$C$3:$C$3999&gt;=jun!F$3)),lentry!$D$3:$D$3999),IF(WEEKDAY(jun!F$3,1)=1,"WO","P"))</f>
        <v>P</v>
      </c>
      <c r="G20" s="4" t="str">
        <f>IFERROR(LOOKUP(2,1/((lentry!$A$3:$A$3999=jun!$A20)*(lentry!$B$3:$B$3999&lt;=jun!G$3)*(lentry!$C$3:$C$3999&gt;=jun!G$3)),lentry!$D$3:$D$3999),IF(WEEKDAY(jun!G$3,1)=1,"WO","P"))</f>
        <v>P</v>
      </c>
      <c r="H20" s="4" t="str">
        <f>IFERROR(LOOKUP(2,1/((lentry!$A$3:$A$3999=jun!$A20)*(lentry!$B$3:$B$3999&lt;=jun!H$3)*(lentry!$C$3:$C$3999&gt;=jun!H$3)),lentry!$D$3:$D$3999),IF(WEEKDAY(jun!H$3,1)=1,"WO","P"))</f>
        <v>P</v>
      </c>
      <c r="I20" s="4" t="str">
        <f>IFERROR(LOOKUP(2,1/((lentry!$A$3:$A$3999=jun!$A20)*(lentry!$B$3:$B$3999&lt;=jun!I$3)*(lentry!$C$3:$C$3999&gt;=jun!I$3)),lentry!$D$3:$D$3999),IF(WEEKDAY(jun!I$3,1)=1,"WO","P"))</f>
        <v>P</v>
      </c>
      <c r="J20" s="4" t="str">
        <f>IFERROR(LOOKUP(2,1/((lentry!$A$3:$A$3999=jun!$A20)*(lentry!$B$3:$B$3999&lt;=jun!J$3)*(lentry!$C$3:$C$3999&gt;=jun!J$3)),lentry!$D$3:$D$3999),IF(WEEKDAY(jun!J$3,1)=1,"WO","P"))</f>
        <v>P</v>
      </c>
      <c r="K20" s="4" t="str">
        <f>IFERROR(LOOKUP(2,1/((lentry!$A$3:$A$3999=jun!$A20)*(lentry!$B$3:$B$3999&lt;=jun!K$3)*(lentry!$C$3:$C$3999&gt;=jun!K$3)),lentry!$D$3:$D$3999),IF(WEEKDAY(jun!K$3,1)=1,"WO","P"))</f>
        <v>P</v>
      </c>
      <c r="L20" s="4" t="str">
        <f>IFERROR(LOOKUP(2,1/((lentry!$A$3:$A$3999=jun!$A20)*(lentry!$B$3:$B$3999&lt;=jun!L$3)*(lentry!$C$3:$C$3999&gt;=jun!L$3)),lentry!$D$3:$D$3999),IF(WEEKDAY(jun!L$3,1)=1,"WO","P"))</f>
        <v>WO</v>
      </c>
      <c r="M20" s="4" t="str">
        <f>IFERROR(LOOKUP(2,1/((lentry!$A$3:$A$3999=jun!$A20)*(lentry!$B$3:$B$3999&lt;=jun!M$3)*(lentry!$C$3:$C$3999&gt;=jun!M$3)),lentry!$D$3:$D$3999),IF(WEEKDAY(jun!M$3,1)=1,"WO","P"))</f>
        <v>P</v>
      </c>
      <c r="N20" s="4" t="s">
        <v>539</v>
      </c>
      <c r="O20" s="4" t="str">
        <f>IFERROR(LOOKUP(2,1/((lentry!$A$3:$A$3999=jun!$A20)*(lentry!$B$3:$B$3999&lt;=jun!O$3)*(lentry!$C$3:$C$3999&gt;=jun!O$3)),lentry!$D$3:$D$3999),IF(WEEKDAY(jun!O$3,1)=1,"WO","P"))</f>
        <v>P</v>
      </c>
      <c r="P20" s="4" t="str">
        <f>IFERROR(LOOKUP(2,1/((lentry!$A$3:$A$3999=jun!$A20)*(lentry!$B$3:$B$3999&lt;=jun!P$3)*(lentry!$C$3:$C$3999&gt;=jun!P$3)),lentry!$D$3:$D$3999),IF(WEEKDAY(jun!P$3,1)=1,"WO","P"))</f>
        <v>P</v>
      </c>
      <c r="Q20" s="4" t="str">
        <f>IFERROR(LOOKUP(2,1/((lentry!$A$3:$A$3999=jun!$A20)*(lentry!$B$3:$B$3999&lt;=jun!Q$3)*(lentry!$C$3:$C$3999&gt;=jun!Q$3)),lentry!$D$3:$D$3999),IF(WEEKDAY(jun!Q$3,1)=1,"WO","P"))</f>
        <v>P</v>
      </c>
      <c r="R20" s="4" t="str">
        <f>IFERROR(LOOKUP(2,1/((lentry!$A$3:$A$3999=jun!$A20)*(lentry!$B$3:$B$3999&lt;=jun!R$3)*(lentry!$C$3:$C$3999&gt;=jun!R$3)),lentry!$D$3:$D$3999),IF(WEEKDAY(jun!R$3,1)=1,"WO","P"))</f>
        <v>P</v>
      </c>
      <c r="S20" s="4" t="str">
        <f>IFERROR(LOOKUP(2,1/((lentry!$A$3:$A$3999=jun!$A20)*(lentry!$B$3:$B$3999&lt;=jun!S$3)*(lentry!$C$3:$C$3999&gt;=jun!S$3)),lentry!$D$3:$D$3999),IF(WEEKDAY(jun!S$3,1)=1,"WO","P"))</f>
        <v>WO</v>
      </c>
      <c r="T20" s="4" t="str">
        <f>IFERROR(LOOKUP(2,1/((lentry!$A$3:$A$3999=jun!$A20)*(lentry!$B$3:$B$3999&lt;=jun!T$3)*(lentry!$C$3:$C$3999&gt;=jun!T$3)),lentry!$D$3:$D$3999),IF(WEEKDAY(jun!T$3,1)=1,"WO","P"))</f>
        <v>P</v>
      </c>
      <c r="U20" s="4" t="str">
        <f>IFERROR(LOOKUP(2,1/((lentry!$A$3:$A$3999=jun!$A20)*(lentry!$B$3:$B$3999&lt;=jun!U$3)*(lentry!$C$3:$C$3999&gt;=jun!U$3)),lentry!$D$3:$D$3999),IF(WEEKDAY(jun!U$3,1)=1,"WO","P"))</f>
        <v>P</v>
      </c>
      <c r="V20" s="4" t="str">
        <f>IFERROR(LOOKUP(2,1/((lentry!$A$3:$A$3999=jun!$A20)*(lentry!$B$3:$B$3999&lt;=jun!V$3)*(lentry!$C$3:$C$3999&gt;=jun!V$3)),lentry!$D$3:$D$3999),IF(WEEKDAY(jun!V$3,1)=1,"WO","P"))</f>
        <v>P</v>
      </c>
      <c r="W20" s="4" t="str">
        <f>IFERROR(LOOKUP(2,1/((lentry!$A$3:$A$3999=jun!$A20)*(lentry!$B$3:$B$3999&lt;=jun!W$3)*(lentry!$C$3:$C$3999&gt;=jun!W$3)),lentry!$D$3:$D$3999),IF(WEEKDAY(jun!W$3,1)=1,"WO","P"))</f>
        <v>P</v>
      </c>
      <c r="X20" s="4" t="str">
        <f>IFERROR(LOOKUP(2,1/((lentry!$A$3:$A$3999=jun!$A20)*(lentry!$B$3:$B$3999&lt;=jun!X$3)*(lentry!$C$3:$C$3999&gt;=jun!X$3)),lentry!$D$3:$D$3999),IF(WEEKDAY(jun!X$3,1)=1,"WO","P"))</f>
        <v>P</v>
      </c>
      <c r="Y20" s="4" t="str">
        <f>IFERROR(LOOKUP(2,1/((lentry!$A$3:$A$3999=jun!$A20)*(lentry!$B$3:$B$3999&lt;=jun!Y$3)*(lentry!$C$3:$C$3999&gt;=jun!Y$3)),lentry!$D$3:$D$3999),IF(WEEKDAY(jun!Y$3,1)=1,"WO","P"))</f>
        <v>P</v>
      </c>
      <c r="Z20" s="4" t="str">
        <f>IFERROR(LOOKUP(2,1/((lentry!$A$3:$A$3999=jun!$A20)*(lentry!$B$3:$B$3999&lt;=jun!Z$3)*(lentry!$C$3:$C$3999&gt;=jun!Z$3)),lentry!$D$3:$D$3999),IF(WEEKDAY(jun!Z$3,1)=1,"WO","P"))</f>
        <v>WO</v>
      </c>
      <c r="AA20" s="4" t="str">
        <f>IFERROR(LOOKUP(2,1/((lentry!$A$3:$A$3999=jun!$A20)*(lentry!$B$3:$B$3999&lt;=jun!AA$3)*(lentry!$C$3:$C$3999&gt;=jun!AA$3)),lentry!$D$3:$D$3999),IF(WEEKDAY(jun!AA$3,1)=1,"WO","P"))</f>
        <v>P</v>
      </c>
      <c r="AB20" s="4" t="str">
        <f>IFERROR(LOOKUP(2,1/((lentry!$A$3:$A$3999=jun!$A20)*(lentry!$B$3:$B$3999&lt;=jun!AB$3)*(lentry!$C$3:$C$3999&gt;=jun!AB$3)),lentry!$D$3:$D$3999),IF(WEEKDAY(jun!AB$3,1)=1,"WO","P"))</f>
        <v>P</v>
      </c>
      <c r="AC20" s="4" t="str">
        <f>IFERROR(LOOKUP(2,1/((lentry!$A$3:$A$3999=jun!$A20)*(lentry!$B$3:$B$3999&lt;=jun!AC$3)*(lentry!$C$3:$C$3999&gt;=jun!AC$3)),lentry!$D$3:$D$3999),IF(WEEKDAY(jun!AC$3,1)=1,"WO","P"))</f>
        <v>P</v>
      </c>
      <c r="AD20" s="4" t="str">
        <f>IFERROR(LOOKUP(2,1/((lentry!$A$3:$A$3999=jun!$A20)*(lentry!$B$3:$B$3999&lt;=jun!AD$3)*(lentry!$C$3:$C$3999&gt;=jun!AD$3)),lentry!$D$3:$D$3999),IF(WEEKDAY(jun!AD$3,1)=1,"WO","P"))</f>
        <v>P</v>
      </c>
      <c r="AE20" s="4" t="str">
        <f>IFERROR(LOOKUP(2,1/((lentry!$A$3:$A$3999=jun!$A20)*(lentry!$B$3:$B$3999&lt;=jun!AE$3)*(lentry!$C$3:$C$3999&gt;=jun!AE$3)),lentry!$D$3:$D$3999),IF(WEEKDAY(jun!AE$3,1)=1,"WO","P"))</f>
        <v>P</v>
      </c>
      <c r="AF20" s="4" t="str">
        <f>IFERROR(LOOKUP(2,1/((lentry!$A$3:$A$3999=jun!$A20)*(lentry!$B$3:$B$3999&lt;=jun!AF$3)*(lentry!$C$3:$C$3999&gt;=jun!AF$3)),lentry!$D$3:$D$3999),IF(WEEKDAY(jun!AF$3,1)=1,"WO","P"))</f>
        <v>P</v>
      </c>
      <c r="AG20" s="4" t="str">
        <f>IFERROR(LOOKUP(2,1/((lentry!$A$3:$A$3999=jun!$A20)*(lentry!$B$3:$B$3999&lt;=jun!AG$3)*(lentry!$C$3:$C$3999&gt;=jun!AG$3)),lentry!$D$3:$D$3999),IF(WEEKDAY(jun!AG$3,1)=1,"WO","P"))</f>
        <v>WO</v>
      </c>
      <c r="AH20" s="4" t="str">
        <f>IFERROR(LOOKUP(2,1/((lentry!$A$3:$A$3999=jun!$A20)*(lentry!$B$3:$B$3999&lt;=jun!AH$3)*(lentry!$C$3:$C$3999&gt;=jun!AH$3)),lentry!$D$3:$D$3999),IF(WEEKDAY(jun!AH$3,1)=1,"WO","P"))</f>
        <v>P</v>
      </c>
      <c r="AI20" s="4" t="str">
        <f>IFERROR(LOOKUP(2,1/((lentry!$A$3:$A$3999=jun!$A20)*(lentry!$B$3:$B$3999&lt;=jun!AI$3)*(lentry!$C$3:$C$3999&gt;=jun!AI$3)),lentry!$D$3:$D$3999),IF(WEEKDAY(jun!AI$3,1)=1,"WO","P"))</f>
        <v>P</v>
      </c>
      <c r="AJ20" s="4">
        <f>COUNTIF(jun!$F20:$AI20,"WO")</f>
        <v>4</v>
      </c>
      <c r="AK20" s="4">
        <f>COUNTIF(jun!$F20:$AI20,"H")</f>
        <v>0</v>
      </c>
      <c r="AL20" s="4">
        <f>COUNTIF(jun!$F20:$AI20,"PL")</f>
        <v>0</v>
      </c>
      <c r="AM20" s="4">
        <f>COUNTIF(jun!$F20:$AI20,"LWP")</f>
        <v>0</v>
      </c>
      <c r="AN20" s="4">
        <f>COUNTIF(jun!$F20:$AI20,"HD")</f>
        <v>0</v>
      </c>
      <c r="AO20" s="4">
        <f>COUNTIF(jun!$F20:$AI20,"SL")</f>
        <v>0</v>
      </c>
      <c r="AP20" s="4">
        <f>COUNTIF(jun!$F20:$AI20,"CL")</f>
        <v>0</v>
      </c>
      <c r="AQ20" s="4">
        <f>COUNTIF(jun!$F20:$AI20,"A")</f>
        <v>1</v>
      </c>
      <c r="AR20" s="4">
        <f>COUNTIF(jun!$F20:$AI20,"P")</f>
        <v>25</v>
      </c>
      <c r="AS20" s="4">
        <f t="shared" si="2"/>
        <v>30</v>
      </c>
      <c r="AT20" s="4">
        <f t="shared" si="3"/>
        <v>29</v>
      </c>
      <c r="AU20" s="4">
        <f>SUMIFS(holly!$L$2:$L$122,holly!$I$2:$I$122,mar!$A20,holly!$K$2:$K$122,"Mar")</f>
        <v>4</v>
      </c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</row>
    <row r="21" spans="1:79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IFERROR(LOOKUP(2,1/((lentry!$A$3:$A$3999=jun!$A21)*(lentry!$B$3:$B$3999&lt;=jun!F$3)*(lentry!$C$3:$C$3999&gt;=jun!F$3)),lentry!$D$3:$D$3999),IF(WEEKDAY(jun!F$3,1)=1,"WO","P"))</f>
        <v>P</v>
      </c>
      <c r="G21" s="4" t="str">
        <f>IFERROR(LOOKUP(2,1/((lentry!$A$3:$A$3999=jun!$A21)*(lentry!$B$3:$B$3999&lt;=jun!G$3)*(lentry!$C$3:$C$3999&gt;=jun!G$3)),lentry!$D$3:$D$3999),IF(WEEKDAY(jun!G$3,1)=1,"WO","P"))</f>
        <v>P</v>
      </c>
      <c r="H21" s="4" t="str">
        <f>IFERROR(LOOKUP(2,1/((lentry!$A$3:$A$3999=jun!$A21)*(lentry!$B$3:$B$3999&lt;=jun!H$3)*(lentry!$C$3:$C$3999&gt;=jun!H$3)),lentry!$D$3:$D$3999),IF(WEEKDAY(jun!H$3,1)=1,"WO","P"))</f>
        <v>P</v>
      </c>
      <c r="I21" s="4" t="str">
        <f>IFERROR(LOOKUP(2,1/((lentry!$A$3:$A$3999=jun!$A21)*(lentry!$B$3:$B$3999&lt;=jun!I$3)*(lentry!$C$3:$C$3999&gt;=jun!I$3)),lentry!$D$3:$D$3999),IF(WEEKDAY(jun!I$3,1)=1,"WO","P"))</f>
        <v>P</v>
      </c>
      <c r="J21" s="4" t="str">
        <f>IFERROR(LOOKUP(2,1/((lentry!$A$3:$A$3999=jun!$A21)*(lentry!$B$3:$B$3999&lt;=jun!J$3)*(lentry!$C$3:$C$3999&gt;=jun!J$3)),lentry!$D$3:$D$3999),IF(WEEKDAY(jun!J$3,1)=1,"WO","P"))</f>
        <v>P</v>
      </c>
      <c r="K21" s="4" t="str">
        <f>IFERROR(LOOKUP(2,1/((lentry!$A$3:$A$3999=jun!$A21)*(lentry!$B$3:$B$3999&lt;=jun!K$3)*(lentry!$C$3:$C$3999&gt;=jun!K$3)),lentry!$D$3:$D$3999),IF(WEEKDAY(jun!K$3,1)=1,"WO","P"))</f>
        <v>P</v>
      </c>
      <c r="L21" s="4" t="str">
        <f>IFERROR(LOOKUP(2,1/((lentry!$A$3:$A$3999=jun!$A21)*(lentry!$B$3:$B$3999&lt;=jun!L$3)*(lentry!$C$3:$C$3999&gt;=jun!L$3)),lentry!$D$3:$D$3999),IF(WEEKDAY(jun!L$3,1)=1,"WO","P"))</f>
        <v>WO</v>
      </c>
      <c r="M21" s="4" t="str">
        <f>IFERROR(LOOKUP(2,1/((lentry!$A$3:$A$3999=jun!$A21)*(lentry!$B$3:$B$3999&lt;=jun!M$3)*(lentry!$C$3:$C$3999&gt;=jun!M$3)),lentry!$D$3:$D$3999),IF(WEEKDAY(jun!M$3,1)=1,"WO","P"))</f>
        <v>P</v>
      </c>
      <c r="N21" s="4" t="str">
        <f>IFERROR(LOOKUP(2,1/((lentry!$A$3:$A$3999=jun!$A21)*(lentry!$B$3:$B$3999&lt;=jun!N$3)*(lentry!$C$3:$C$3999&gt;=jun!N$3)),lentry!$D$3:$D$3999),IF(WEEKDAY(jun!N$3,1)=1,"WO","P"))</f>
        <v>P</v>
      </c>
      <c r="O21" s="4" t="str">
        <f>IFERROR(LOOKUP(2,1/((lentry!$A$3:$A$3999=jun!$A21)*(lentry!$B$3:$B$3999&lt;=jun!O$3)*(lentry!$C$3:$C$3999&gt;=jun!O$3)),lentry!$D$3:$D$3999),IF(WEEKDAY(jun!O$3,1)=1,"WO","P"))</f>
        <v>P</v>
      </c>
      <c r="P21" s="4" t="str">
        <f>IFERROR(LOOKUP(2,1/((lentry!$A$3:$A$3999=jun!$A21)*(lentry!$B$3:$B$3999&lt;=jun!P$3)*(lentry!$C$3:$C$3999&gt;=jun!P$3)),lentry!$D$3:$D$3999),IF(WEEKDAY(jun!P$3,1)=1,"WO","P"))</f>
        <v>P</v>
      </c>
      <c r="Q21" s="4" t="str">
        <f>IFERROR(LOOKUP(2,1/((lentry!$A$3:$A$3999=jun!$A21)*(lentry!$B$3:$B$3999&lt;=jun!Q$3)*(lentry!$C$3:$C$3999&gt;=jun!Q$3)),lentry!$D$3:$D$3999),IF(WEEKDAY(jun!Q$3,1)=1,"WO","P"))</f>
        <v>P</v>
      </c>
      <c r="R21" s="4" t="str">
        <f>IFERROR(LOOKUP(2,1/((lentry!$A$3:$A$3999=jun!$A21)*(lentry!$B$3:$B$3999&lt;=jun!R$3)*(lentry!$C$3:$C$3999&gt;=jun!R$3)),lentry!$D$3:$D$3999),IF(WEEKDAY(jun!R$3,1)=1,"WO","P"))</f>
        <v>P</v>
      </c>
      <c r="S21" s="4" t="str">
        <f>IFERROR(LOOKUP(2,1/((lentry!$A$3:$A$3999=jun!$A21)*(lentry!$B$3:$B$3999&lt;=jun!S$3)*(lentry!$C$3:$C$3999&gt;=jun!S$3)),lentry!$D$3:$D$3999),IF(WEEKDAY(jun!S$3,1)=1,"WO","P"))</f>
        <v>WO</v>
      </c>
      <c r="T21" s="4" t="str">
        <f>IFERROR(LOOKUP(2,1/((lentry!$A$3:$A$3999=jun!$A21)*(lentry!$B$3:$B$3999&lt;=jun!T$3)*(lentry!$C$3:$C$3999&gt;=jun!T$3)),lentry!$D$3:$D$3999),IF(WEEKDAY(jun!T$3,1)=1,"WO","P"))</f>
        <v>P</v>
      </c>
      <c r="U21" s="4" t="str">
        <f>IFERROR(LOOKUP(2,1/((lentry!$A$3:$A$3999=jun!$A21)*(lentry!$B$3:$B$3999&lt;=jun!U$3)*(lentry!$C$3:$C$3999&gt;=jun!U$3)),lentry!$D$3:$D$3999),IF(WEEKDAY(jun!U$3,1)=1,"WO","P"))</f>
        <v>P</v>
      </c>
      <c r="V21" s="4" t="s">
        <v>539</v>
      </c>
      <c r="W21" s="4" t="str">
        <f>IFERROR(LOOKUP(2,1/((lentry!$A$3:$A$3999=jun!$A21)*(lentry!$B$3:$B$3999&lt;=jun!W$3)*(lentry!$C$3:$C$3999&gt;=jun!W$3)),lentry!$D$3:$D$3999),IF(WEEKDAY(jun!W$3,1)=1,"WO","P"))</f>
        <v>P</v>
      </c>
      <c r="X21" s="4" t="str">
        <f>IFERROR(LOOKUP(2,1/((lentry!$A$3:$A$3999=jun!$A21)*(lentry!$B$3:$B$3999&lt;=jun!X$3)*(lentry!$C$3:$C$3999&gt;=jun!X$3)),lentry!$D$3:$D$3999),IF(WEEKDAY(jun!X$3,1)=1,"WO","P"))</f>
        <v>P</v>
      </c>
      <c r="Y21" s="4" t="str">
        <f>IFERROR(LOOKUP(2,1/((lentry!$A$3:$A$3999=jun!$A21)*(lentry!$B$3:$B$3999&lt;=jun!Y$3)*(lentry!$C$3:$C$3999&gt;=jun!Y$3)),lentry!$D$3:$D$3999),IF(WEEKDAY(jun!Y$3,1)=1,"WO","P"))</f>
        <v>P</v>
      </c>
      <c r="Z21" s="4" t="str">
        <f>IFERROR(LOOKUP(2,1/((lentry!$A$3:$A$3999=jun!$A21)*(lentry!$B$3:$B$3999&lt;=jun!Z$3)*(lentry!$C$3:$C$3999&gt;=jun!Z$3)),lentry!$D$3:$D$3999),IF(WEEKDAY(jun!Z$3,1)=1,"WO","P"))</f>
        <v>WO</v>
      </c>
      <c r="AA21" s="4" t="str">
        <f>IFERROR(LOOKUP(2,1/((lentry!$A$3:$A$3999=jun!$A21)*(lentry!$B$3:$B$3999&lt;=jun!AA$3)*(lentry!$C$3:$C$3999&gt;=jun!AA$3)),lentry!$D$3:$D$3999),IF(WEEKDAY(jun!AA$3,1)=1,"WO","P"))</f>
        <v>P</v>
      </c>
      <c r="AB21" s="4" t="str">
        <f>IFERROR(LOOKUP(2,1/((lentry!$A$3:$A$3999=jun!$A21)*(lentry!$B$3:$B$3999&lt;=jun!AB$3)*(lentry!$C$3:$C$3999&gt;=jun!AB$3)),lentry!$D$3:$D$3999),IF(WEEKDAY(jun!AB$3,1)=1,"WO","P"))</f>
        <v>P</v>
      </c>
      <c r="AC21" s="4" t="str">
        <f>IFERROR(LOOKUP(2,1/((lentry!$A$3:$A$3999=jun!$A21)*(lentry!$B$3:$B$3999&lt;=jun!AC$3)*(lentry!$C$3:$C$3999&gt;=jun!AC$3)),lentry!$D$3:$D$3999),IF(WEEKDAY(jun!AC$3,1)=1,"WO","P"))</f>
        <v>P</v>
      </c>
      <c r="AD21" s="4" t="str">
        <f>IFERROR(LOOKUP(2,1/((lentry!$A$3:$A$3999=jun!$A21)*(lentry!$B$3:$B$3999&lt;=jun!AD$3)*(lentry!$C$3:$C$3999&gt;=jun!AD$3)),lentry!$D$3:$D$3999),IF(WEEKDAY(jun!AD$3,1)=1,"WO","P"))</f>
        <v>P</v>
      </c>
      <c r="AE21" s="4" t="str">
        <f>IFERROR(LOOKUP(2,1/((lentry!$A$3:$A$3999=jun!$A21)*(lentry!$B$3:$B$3999&lt;=jun!AE$3)*(lentry!$C$3:$C$3999&gt;=jun!AE$3)),lentry!$D$3:$D$3999),IF(WEEKDAY(jun!AE$3,1)=1,"WO","P"))</f>
        <v>P</v>
      </c>
      <c r="AF21" s="4" t="str">
        <f>IFERROR(LOOKUP(2,1/((lentry!$A$3:$A$3999=jun!$A21)*(lentry!$B$3:$B$3999&lt;=jun!AF$3)*(lentry!$C$3:$C$3999&gt;=jun!AF$3)),lentry!$D$3:$D$3999),IF(WEEKDAY(jun!AF$3,1)=1,"WO","P"))</f>
        <v>P</v>
      </c>
      <c r="AG21" s="4" t="str">
        <f>IFERROR(LOOKUP(2,1/((lentry!$A$3:$A$3999=jun!$A21)*(lentry!$B$3:$B$3999&lt;=jun!AG$3)*(lentry!$C$3:$C$3999&gt;=jun!AG$3)),lentry!$D$3:$D$3999),IF(WEEKDAY(jun!AG$3,1)=1,"WO","P"))</f>
        <v>WO</v>
      </c>
      <c r="AH21" s="4" t="str">
        <f>IFERROR(LOOKUP(2,1/((lentry!$A$3:$A$3999=jun!$A21)*(lentry!$B$3:$B$3999&lt;=jun!AH$3)*(lentry!$C$3:$C$3999&gt;=jun!AH$3)),lentry!$D$3:$D$3999),IF(WEEKDAY(jun!AH$3,1)=1,"WO","P"))</f>
        <v>P</v>
      </c>
      <c r="AI21" s="4" t="str">
        <f>IFERROR(LOOKUP(2,1/((lentry!$A$3:$A$3999=jun!$A21)*(lentry!$B$3:$B$3999&lt;=jun!AI$3)*(lentry!$C$3:$C$3999&gt;=jun!AI$3)),lentry!$D$3:$D$3999),IF(WEEKDAY(jun!AI$3,1)=1,"WO","P"))</f>
        <v>P</v>
      </c>
      <c r="AJ21" s="4">
        <f>COUNTIF(jun!$F21:$AI21,"WO")</f>
        <v>4</v>
      </c>
      <c r="AK21" s="4">
        <f>COUNTIF(jun!$F21:$AI21,"H")</f>
        <v>0</v>
      </c>
      <c r="AL21" s="4">
        <f>COUNTIF(jun!$F21:$AI21,"PL")</f>
        <v>0</v>
      </c>
      <c r="AM21" s="4">
        <f>COUNTIF(jun!$F21:$AI21,"LWP")</f>
        <v>0</v>
      </c>
      <c r="AN21" s="4">
        <f>COUNTIF(jun!$F21:$AI21,"HD")</f>
        <v>0</v>
      </c>
      <c r="AO21" s="4">
        <f>COUNTIF(jun!$F21:$AI21,"SL")</f>
        <v>0</v>
      </c>
      <c r="AP21" s="4">
        <f>COUNTIF(jun!$F21:$AI21,"CL")</f>
        <v>0</v>
      </c>
      <c r="AQ21" s="4">
        <f>COUNTIF(jun!$F21:$AI21,"A")</f>
        <v>1</v>
      </c>
      <c r="AR21" s="4">
        <f>COUNTIF(jun!$F21:$AI21,"P")</f>
        <v>25</v>
      </c>
      <c r="AS21" s="4">
        <f t="shared" si="2"/>
        <v>30</v>
      </c>
      <c r="AT21" s="4">
        <f t="shared" si="3"/>
        <v>29</v>
      </c>
      <c r="AU21" s="4">
        <f>SUMIFS(holly!$L$2:$L$122,holly!$I$2:$I$122,mar!$A21,holly!$K$2:$K$122,"Mar")</f>
        <v>0</v>
      </c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</row>
    <row r="22" spans="1:79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IFERROR(LOOKUP(2,1/((lentry!$A$3:$A$3999=jun!$A22)*(lentry!$B$3:$B$3999&lt;=jun!F$3)*(lentry!$C$3:$C$3999&gt;=jun!F$3)),lentry!$D$3:$D$3999),IF(WEEKDAY(jun!F$3,1)=1,"WO","P"))</f>
        <v>P</v>
      </c>
      <c r="G22" s="4" t="str">
        <f>IFERROR(LOOKUP(2,1/((lentry!$A$3:$A$3999=jun!$A22)*(lentry!$B$3:$B$3999&lt;=jun!G$3)*(lentry!$C$3:$C$3999&gt;=jun!G$3)),lentry!$D$3:$D$3999),IF(WEEKDAY(jun!G$3,1)=1,"WO","P"))</f>
        <v>P</v>
      </c>
      <c r="H22" s="4" t="str">
        <f>IFERROR(LOOKUP(2,1/((lentry!$A$3:$A$3999=jun!$A22)*(lentry!$B$3:$B$3999&lt;=jun!H$3)*(lentry!$C$3:$C$3999&gt;=jun!H$3)),lentry!$D$3:$D$3999),IF(WEEKDAY(jun!H$3,1)=1,"WO","P"))</f>
        <v>P</v>
      </c>
      <c r="I22" s="4" t="str">
        <f>IFERROR(LOOKUP(2,1/((lentry!$A$3:$A$3999=jun!$A22)*(lentry!$B$3:$B$3999&lt;=jun!I$3)*(lentry!$C$3:$C$3999&gt;=jun!I$3)),lentry!$D$3:$D$3999),IF(WEEKDAY(jun!I$3,1)=1,"WO","P"))</f>
        <v>P</v>
      </c>
      <c r="J22" s="4" t="str">
        <f>IFERROR(LOOKUP(2,1/((lentry!$A$3:$A$3999=jun!$A22)*(lentry!$B$3:$B$3999&lt;=jun!J$3)*(lentry!$C$3:$C$3999&gt;=jun!J$3)),lentry!$D$3:$D$3999),IF(WEEKDAY(jun!J$3,1)=1,"WO","P"))</f>
        <v>P</v>
      </c>
      <c r="K22" s="4" t="str">
        <f>IFERROR(LOOKUP(2,1/((lentry!$A$3:$A$3999=jun!$A22)*(lentry!$B$3:$B$3999&lt;=jun!K$3)*(lentry!$C$3:$C$3999&gt;=jun!K$3)),lentry!$D$3:$D$3999),IF(WEEKDAY(jun!K$3,1)=1,"WO","P"))</f>
        <v>P</v>
      </c>
      <c r="L22" s="4" t="str">
        <f>IFERROR(LOOKUP(2,1/((lentry!$A$3:$A$3999=jun!$A22)*(lentry!$B$3:$B$3999&lt;=jun!L$3)*(lentry!$C$3:$C$3999&gt;=jun!L$3)),lentry!$D$3:$D$3999),IF(WEEKDAY(jun!L$3,1)=1,"WO","P"))</f>
        <v>WO</v>
      </c>
      <c r="M22" s="4" t="str">
        <f>IFERROR(LOOKUP(2,1/((lentry!$A$3:$A$3999=jun!$A22)*(lentry!$B$3:$B$3999&lt;=jun!M$3)*(lentry!$C$3:$C$3999&gt;=jun!M$3)),lentry!$D$3:$D$3999),IF(WEEKDAY(jun!M$3,1)=1,"WO","P"))</f>
        <v>P</v>
      </c>
      <c r="N22" s="4" t="str">
        <f>IFERROR(LOOKUP(2,1/((lentry!$A$3:$A$3999=jun!$A22)*(lentry!$B$3:$B$3999&lt;=jun!N$3)*(lentry!$C$3:$C$3999&gt;=jun!N$3)),lentry!$D$3:$D$3999),IF(WEEKDAY(jun!N$3,1)=1,"WO","P"))</f>
        <v>P</v>
      </c>
      <c r="O22" s="4" t="str">
        <f>IFERROR(LOOKUP(2,1/((lentry!$A$3:$A$3999=jun!$A22)*(lentry!$B$3:$B$3999&lt;=jun!O$3)*(lentry!$C$3:$C$3999&gt;=jun!O$3)),lentry!$D$3:$D$3999),IF(WEEKDAY(jun!O$3,1)=1,"WO","P"))</f>
        <v>P</v>
      </c>
      <c r="P22" s="4" t="str">
        <f>IFERROR(LOOKUP(2,1/((lentry!$A$3:$A$3999=jun!$A22)*(lentry!$B$3:$B$3999&lt;=jun!P$3)*(lentry!$C$3:$C$3999&gt;=jun!P$3)),lentry!$D$3:$D$3999),IF(WEEKDAY(jun!P$3,1)=1,"WO","P"))</f>
        <v>P</v>
      </c>
      <c r="Q22" s="4" t="str">
        <f>IFERROR(LOOKUP(2,1/((lentry!$A$3:$A$3999=jun!$A22)*(lentry!$B$3:$B$3999&lt;=jun!Q$3)*(lentry!$C$3:$C$3999&gt;=jun!Q$3)),lentry!$D$3:$D$3999),IF(WEEKDAY(jun!Q$3,1)=1,"WO","P"))</f>
        <v>P</v>
      </c>
      <c r="R22" s="4" t="str">
        <f>IFERROR(LOOKUP(2,1/((lentry!$A$3:$A$3999=jun!$A22)*(lentry!$B$3:$B$3999&lt;=jun!R$3)*(lentry!$C$3:$C$3999&gt;=jun!R$3)),lentry!$D$3:$D$3999),IF(WEEKDAY(jun!R$3,1)=1,"WO","P"))</f>
        <v>P</v>
      </c>
      <c r="S22" s="4" t="str">
        <f>IFERROR(LOOKUP(2,1/((lentry!$A$3:$A$3999=jun!$A22)*(lentry!$B$3:$B$3999&lt;=jun!S$3)*(lentry!$C$3:$C$3999&gt;=jun!S$3)),lentry!$D$3:$D$3999),IF(WEEKDAY(jun!S$3,1)=1,"WO","P"))</f>
        <v>WO</v>
      </c>
      <c r="T22" s="4" t="str">
        <f>IFERROR(LOOKUP(2,1/((lentry!$A$3:$A$3999=jun!$A22)*(lentry!$B$3:$B$3999&lt;=jun!T$3)*(lentry!$C$3:$C$3999&gt;=jun!T$3)),lentry!$D$3:$D$3999),IF(WEEKDAY(jun!T$3,1)=1,"WO","P"))</f>
        <v>P</v>
      </c>
      <c r="U22" s="4" t="str">
        <f>IFERROR(LOOKUP(2,1/((lentry!$A$3:$A$3999=jun!$A22)*(lentry!$B$3:$B$3999&lt;=jun!U$3)*(lentry!$C$3:$C$3999&gt;=jun!U$3)),lentry!$D$3:$D$3999),IF(WEEKDAY(jun!U$3,1)=1,"WO","P"))</f>
        <v>P</v>
      </c>
      <c r="V22" s="4" t="str">
        <f>IFERROR(LOOKUP(2,1/((lentry!$A$3:$A$3999=jun!$A22)*(lentry!$B$3:$B$3999&lt;=jun!V$3)*(lentry!$C$3:$C$3999&gt;=jun!V$3)),lentry!$D$3:$D$3999),IF(WEEKDAY(jun!V$3,1)=1,"WO","P"))</f>
        <v>P</v>
      </c>
      <c r="W22" s="4" t="str">
        <f>IFERROR(LOOKUP(2,1/((lentry!$A$3:$A$3999=jun!$A22)*(lentry!$B$3:$B$3999&lt;=jun!W$3)*(lentry!$C$3:$C$3999&gt;=jun!W$3)),lentry!$D$3:$D$3999),IF(WEEKDAY(jun!W$3,1)=1,"WO","P"))</f>
        <v>P</v>
      </c>
      <c r="X22" s="4" t="str">
        <f>IFERROR(LOOKUP(2,1/((lentry!$A$3:$A$3999=jun!$A22)*(lentry!$B$3:$B$3999&lt;=jun!X$3)*(lentry!$C$3:$C$3999&gt;=jun!X$3)),lentry!$D$3:$D$3999),IF(WEEKDAY(jun!X$3,1)=1,"WO","P"))</f>
        <v>P</v>
      </c>
      <c r="Y22" s="4" t="str">
        <f>IFERROR(LOOKUP(2,1/((lentry!$A$3:$A$3999=jun!$A22)*(lentry!$B$3:$B$3999&lt;=jun!Y$3)*(lentry!$C$3:$C$3999&gt;=jun!Y$3)),lentry!$D$3:$D$3999),IF(WEEKDAY(jun!Y$3,1)=1,"WO","P"))</f>
        <v>P</v>
      </c>
      <c r="Z22" s="4" t="str">
        <f>IFERROR(LOOKUP(2,1/((lentry!$A$3:$A$3999=jun!$A22)*(lentry!$B$3:$B$3999&lt;=jun!Z$3)*(lentry!$C$3:$C$3999&gt;=jun!Z$3)),lentry!$D$3:$D$3999),IF(WEEKDAY(jun!Z$3,1)=1,"WO","P"))</f>
        <v>WO</v>
      </c>
      <c r="AA22" s="4" t="str">
        <f>IFERROR(LOOKUP(2,1/((lentry!$A$3:$A$3999=jun!$A22)*(lentry!$B$3:$B$3999&lt;=jun!AA$3)*(lentry!$C$3:$C$3999&gt;=jun!AA$3)),lentry!$D$3:$D$3999),IF(WEEKDAY(jun!AA$3,1)=1,"WO","P"))</f>
        <v>P</v>
      </c>
      <c r="AB22" s="4" t="str">
        <f>IFERROR(LOOKUP(2,1/((lentry!$A$3:$A$3999=jun!$A22)*(lentry!$B$3:$B$3999&lt;=jun!AB$3)*(lentry!$C$3:$C$3999&gt;=jun!AB$3)),lentry!$D$3:$D$3999),IF(WEEKDAY(jun!AB$3,1)=1,"WO","P"))</f>
        <v>P</v>
      </c>
      <c r="AC22" s="4" t="str">
        <f>IFERROR(LOOKUP(2,1/((lentry!$A$3:$A$3999=jun!$A22)*(lentry!$B$3:$B$3999&lt;=jun!AC$3)*(lentry!$C$3:$C$3999&gt;=jun!AC$3)),lentry!$D$3:$D$3999),IF(WEEKDAY(jun!AC$3,1)=1,"WO","P"))</f>
        <v>P</v>
      </c>
      <c r="AD22" s="4" t="str">
        <f>IFERROR(LOOKUP(2,1/((lentry!$A$3:$A$3999=jun!$A22)*(lentry!$B$3:$B$3999&lt;=jun!AD$3)*(lentry!$C$3:$C$3999&gt;=jun!AD$3)),lentry!$D$3:$D$3999),IF(WEEKDAY(jun!AD$3,1)=1,"WO","P"))</f>
        <v>P</v>
      </c>
      <c r="AE22" s="4" t="str">
        <f>IFERROR(LOOKUP(2,1/((lentry!$A$3:$A$3999=jun!$A22)*(lentry!$B$3:$B$3999&lt;=jun!AE$3)*(lentry!$C$3:$C$3999&gt;=jun!AE$3)),lentry!$D$3:$D$3999),IF(WEEKDAY(jun!AE$3,1)=1,"WO","P"))</f>
        <v>P</v>
      </c>
      <c r="AF22" s="4" t="str">
        <f>IFERROR(LOOKUP(2,1/((lentry!$A$3:$A$3999=jun!$A22)*(lentry!$B$3:$B$3999&lt;=jun!AF$3)*(lentry!$C$3:$C$3999&gt;=jun!AF$3)),lentry!$D$3:$D$3999),IF(WEEKDAY(jun!AF$3,1)=1,"WO","P"))</f>
        <v>P</v>
      </c>
      <c r="AG22" s="4" t="str">
        <f>IFERROR(LOOKUP(2,1/((lentry!$A$3:$A$3999=jun!$A22)*(lentry!$B$3:$B$3999&lt;=jun!AG$3)*(lentry!$C$3:$C$3999&gt;=jun!AG$3)),lentry!$D$3:$D$3999),IF(WEEKDAY(jun!AG$3,1)=1,"WO","P"))</f>
        <v>WO</v>
      </c>
      <c r="AH22" s="4" t="str">
        <f>IFERROR(LOOKUP(2,1/((lentry!$A$3:$A$3999=jun!$A22)*(lentry!$B$3:$B$3999&lt;=jun!AH$3)*(lentry!$C$3:$C$3999&gt;=jun!AH$3)),lentry!$D$3:$D$3999),IF(WEEKDAY(jun!AH$3,1)=1,"WO","P"))</f>
        <v>P</v>
      </c>
      <c r="AI22" s="4" t="str">
        <f>IFERROR(LOOKUP(2,1/((lentry!$A$3:$A$3999=jun!$A22)*(lentry!$B$3:$B$3999&lt;=jun!AI$3)*(lentry!$C$3:$C$3999&gt;=jun!AI$3)),lentry!$D$3:$D$3999),IF(WEEKDAY(jun!AI$3,1)=1,"WO","P"))</f>
        <v>P</v>
      </c>
      <c r="AJ22" s="4">
        <f>COUNTIF(jun!$F22:$AI22,"WO")</f>
        <v>4</v>
      </c>
      <c r="AK22" s="4">
        <f>COUNTIF(jun!$F22:$AI22,"H")</f>
        <v>0</v>
      </c>
      <c r="AL22" s="4">
        <f>COUNTIF(jun!$F22:$AI22,"PL")</f>
        <v>0</v>
      </c>
      <c r="AM22" s="4">
        <f>COUNTIF(jun!$F22:$AI22,"LWP")</f>
        <v>0</v>
      </c>
      <c r="AN22" s="4">
        <f>COUNTIF(jun!$F22:$AI22,"HD")</f>
        <v>0</v>
      </c>
      <c r="AO22" s="4">
        <f>COUNTIF(jun!$F22:$AI22,"SL")</f>
        <v>0</v>
      </c>
      <c r="AP22" s="4">
        <f>COUNTIF(jun!$F22:$AI22,"CL")</f>
        <v>0</v>
      </c>
      <c r="AQ22" s="4">
        <f>COUNTIF(jun!$F22:$AI22,"A")</f>
        <v>0</v>
      </c>
      <c r="AR22" s="4">
        <f>COUNTIF(jun!$F22:$AI22,"P")</f>
        <v>26</v>
      </c>
      <c r="AS22" s="4">
        <f t="shared" si="2"/>
        <v>30</v>
      </c>
      <c r="AT22" s="4">
        <f t="shared" si="3"/>
        <v>30</v>
      </c>
      <c r="AU22" s="4">
        <f>SUMIFS(holly!$L$2:$L$122,holly!$I$2:$I$122,mar!$A22,holly!$K$2:$K$122,"Mar")</f>
        <v>1</v>
      </c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</row>
    <row r="23" spans="1:79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IFERROR(LOOKUP(2,1/((lentry!$A$3:$A$3999=jun!$A23)*(lentry!$B$3:$B$3999&lt;=jun!F$3)*(lentry!$C$3:$C$3999&gt;=jun!F$3)),lentry!$D$3:$D$3999),IF(WEEKDAY(jun!F$3,1)=1,"WO","P"))</f>
        <v>P</v>
      </c>
      <c r="G23" s="4" t="str">
        <f>IFERROR(LOOKUP(2,1/((lentry!$A$3:$A$3999=jun!$A23)*(lentry!$B$3:$B$3999&lt;=jun!G$3)*(lentry!$C$3:$C$3999&gt;=jun!G$3)),lentry!$D$3:$D$3999),IF(WEEKDAY(jun!G$3,1)=1,"WO","P"))</f>
        <v>P</v>
      </c>
      <c r="H23" s="4" t="str">
        <f>IFERROR(LOOKUP(2,1/((lentry!$A$3:$A$3999=jun!$A23)*(lentry!$B$3:$B$3999&lt;=jun!H$3)*(lentry!$C$3:$C$3999&gt;=jun!H$3)),lentry!$D$3:$D$3999),IF(WEEKDAY(jun!H$3,1)=1,"WO","P"))</f>
        <v>P</v>
      </c>
      <c r="I23" s="4" t="str">
        <f>IFERROR(LOOKUP(2,1/((lentry!$A$3:$A$3999=jun!$A23)*(lentry!$B$3:$B$3999&lt;=jun!I$3)*(lentry!$C$3:$C$3999&gt;=jun!I$3)),lentry!$D$3:$D$3999),IF(WEEKDAY(jun!I$3,1)=1,"WO","P"))</f>
        <v>P</v>
      </c>
      <c r="J23" s="4" t="str">
        <f>IFERROR(LOOKUP(2,1/((lentry!$A$3:$A$3999=jun!$A23)*(lentry!$B$3:$B$3999&lt;=jun!J$3)*(lentry!$C$3:$C$3999&gt;=jun!J$3)),lentry!$D$3:$D$3999),IF(WEEKDAY(jun!J$3,1)=1,"WO","P"))</f>
        <v>P</v>
      </c>
      <c r="K23" s="4" t="str">
        <f>IFERROR(LOOKUP(2,1/((lentry!$A$3:$A$3999=jun!$A23)*(lentry!$B$3:$B$3999&lt;=jun!K$3)*(lentry!$C$3:$C$3999&gt;=jun!K$3)),lentry!$D$3:$D$3999),IF(WEEKDAY(jun!K$3,1)=1,"WO","P"))</f>
        <v>P</v>
      </c>
      <c r="L23" s="4" t="str">
        <f>IFERROR(LOOKUP(2,1/((lentry!$A$3:$A$3999=jun!$A23)*(lentry!$B$3:$B$3999&lt;=jun!L$3)*(lentry!$C$3:$C$3999&gt;=jun!L$3)),lentry!$D$3:$D$3999),IF(WEEKDAY(jun!L$3,1)=1,"WO","P"))</f>
        <v>WO</v>
      </c>
      <c r="M23" s="4" t="str">
        <f>IFERROR(LOOKUP(2,1/((lentry!$A$3:$A$3999=jun!$A23)*(lentry!$B$3:$B$3999&lt;=jun!M$3)*(lentry!$C$3:$C$3999&gt;=jun!M$3)),lentry!$D$3:$D$3999),IF(WEEKDAY(jun!M$3,1)=1,"WO","P"))</f>
        <v>P</v>
      </c>
      <c r="N23" s="4" t="str">
        <f>IFERROR(LOOKUP(2,1/((lentry!$A$3:$A$3999=jun!$A23)*(lentry!$B$3:$B$3999&lt;=jun!N$3)*(lentry!$C$3:$C$3999&gt;=jun!N$3)),lentry!$D$3:$D$3999),IF(WEEKDAY(jun!N$3,1)=1,"WO","P"))</f>
        <v>P</v>
      </c>
      <c r="O23" s="4" t="str">
        <f>IFERROR(LOOKUP(2,1/((lentry!$A$3:$A$3999=jun!$A23)*(lentry!$B$3:$B$3999&lt;=jun!O$3)*(lentry!$C$3:$C$3999&gt;=jun!O$3)),lentry!$D$3:$D$3999),IF(WEEKDAY(jun!O$3,1)=1,"WO","P"))</f>
        <v>P</v>
      </c>
      <c r="P23" s="4" t="str">
        <f>IFERROR(LOOKUP(2,1/((lentry!$A$3:$A$3999=jun!$A23)*(lentry!$B$3:$B$3999&lt;=jun!P$3)*(lentry!$C$3:$C$3999&gt;=jun!P$3)),lentry!$D$3:$D$3999),IF(WEEKDAY(jun!P$3,1)=1,"WO","P"))</f>
        <v>P</v>
      </c>
      <c r="Q23" s="4" t="str">
        <f>IFERROR(LOOKUP(2,1/((lentry!$A$3:$A$3999=jun!$A23)*(lentry!$B$3:$B$3999&lt;=jun!Q$3)*(lentry!$C$3:$C$3999&gt;=jun!Q$3)),lentry!$D$3:$D$3999),IF(WEEKDAY(jun!Q$3,1)=1,"WO","P"))</f>
        <v>P</v>
      </c>
      <c r="R23" s="4" t="str">
        <f>IFERROR(LOOKUP(2,1/((lentry!$A$3:$A$3999=jun!$A23)*(lentry!$B$3:$B$3999&lt;=jun!R$3)*(lentry!$C$3:$C$3999&gt;=jun!R$3)),lentry!$D$3:$D$3999),IF(WEEKDAY(jun!R$3,1)=1,"WO","P"))</f>
        <v>P</v>
      </c>
      <c r="S23" s="4" t="str">
        <f>IFERROR(LOOKUP(2,1/((lentry!$A$3:$A$3999=jun!$A23)*(lentry!$B$3:$B$3999&lt;=jun!S$3)*(lentry!$C$3:$C$3999&gt;=jun!S$3)),lentry!$D$3:$D$3999),IF(WEEKDAY(jun!S$3,1)=1,"WO","P"))</f>
        <v>WO</v>
      </c>
      <c r="T23" s="4" t="str">
        <f>IFERROR(LOOKUP(2,1/((lentry!$A$3:$A$3999=jun!$A23)*(lentry!$B$3:$B$3999&lt;=jun!T$3)*(lentry!$C$3:$C$3999&gt;=jun!T$3)),lentry!$D$3:$D$3999),IF(WEEKDAY(jun!T$3,1)=1,"WO","P"))</f>
        <v>P</v>
      </c>
      <c r="U23" s="4" t="str">
        <f>IFERROR(LOOKUP(2,1/((lentry!$A$3:$A$3999=jun!$A23)*(lentry!$B$3:$B$3999&lt;=jun!U$3)*(lentry!$C$3:$C$3999&gt;=jun!U$3)),lentry!$D$3:$D$3999),IF(WEEKDAY(jun!U$3,1)=1,"WO","P"))</f>
        <v>P</v>
      </c>
      <c r="V23" s="4" t="str">
        <f>IFERROR(LOOKUP(2,1/((lentry!$A$3:$A$3999=jun!$A23)*(lentry!$B$3:$B$3999&lt;=jun!V$3)*(lentry!$C$3:$C$3999&gt;=jun!V$3)),lentry!$D$3:$D$3999),IF(WEEKDAY(jun!V$3,1)=1,"WO","P"))</f>
        <v>P</v>
      </c>
      <c r="W23" s="4" t="str">
        <f>IFERROR(LOOKUP(2,1/((lentry!$A$3:$A$3999=jun!$A23)*(lentry!$B$3:$B$3999&lt;=jun!W$3)*(lentry!$C$3:$C$3999&gt;=jun!W$3)),lentry!$D$3:$D$3999),IF(WEEKDAY(jun!W$3,1)=1,"WO","P"))</f>
        <v>P</v>
      </c>
      <c r="X23" s="4" t="str">
        <f>IFERROR(LOOKUP(2,1/((lentry!$A$3:$A$3999=jun!$A23)*(lentry!$B$3:$B$3999&lt;=jun!X$3)*(lentry!$C$3:$C$3999&gt;=jun!X$3)),lentry!$D$3:$D$3999),IF(WEEKDAY(jun!X$3,1)=1,"WO","P"))</f>
        <v>P</v>
      </c>
      <c r="Y23" s="4" t="str">
        <f>IFERROR(LOOKUP(2,1/((lentry!$A$3:$A$3999=jun!$A23)*(lentry!$B$3:$B$3999&lt;=jun!Y$3)*(lentry!$C$3:$C$3999&gt;=jun!Y$3)),lentry!$D$3:$D$3999),IF(WEEKDAY(jun!Y$3,1)=1,"WO","P"))</f>
        <v>P</v>
      </c>
      <c r="Z23" s="4" t="str">
        <f>IFERROR(LOOKUP(2,1/((lentry!$A$3:$A$3999=jun!$A23)*(lentry!$B$3:$B$3999&lt;=jun!Z$3)*(lentry!$C$3:$C$3999&gt;=jun!Z$3)),lentry!$D$3:$D$3999),IF(WEEKDAY(jun!Z$3,1)=1,"WO","P"))</f>
        <v>WO</v>
      </c>
      <c r="AA23" s="4" t="str">
        <f>IFERROR(LOOKUP(2,1/((lentry!$A$3:$A$3999=jun!$A23)*(lentry!$B$3:$B$3999&lt;=jun!AA$3)*(lentry!$C$3:$C$3999&gt;=jun!AA$3)),lentry!$D$3:$D$3999),IF(WEEKDAY(jun!AA$3,1)=1,"WO","P"))</f>
        <v>P</v>
      </c>
      <c r="AB23" s="4" t="str">
        <f>IFERROR(LOOKUP(2,1/((lentry!$A$3:$A$3999=jun!$A23)*(lentry!$B$3:$B$3999&lt;=jun!AB$3)*(lentry!$C$3:$C$3999&gt;=jun!AB$3)),lentry!$D$3:$D$3999),IF(WEEKDAY(jun!AB$3,1)=1,"WO","P"))</f>
        <v>P</v>
      </c>
      <c r="AC23" s="4" t="str">
        <f>IFERROR(LOOKUP(2,1/((lentry!$A$3:$A$3999=jun!$A23)*(lentry!$B$3:$B$3999&lt;=jun!AC$3)*(lentry!$C$3:$C$3999&gt;=jun!AC$3)),lentry!$D$3:$D$3999),IF(WEEKDAY(jun!AC$3,1)=1,"WO","P"))</f>
        <v>P</v>
      </c>
      <c r="AD23" s="4" t="str">
        <f>IFERROR(LOOKUP(2,1/((lentry!$A$3:$A$3999=jun!$A23)*(lentry!$B$3:$B$3999&lt;=jun!AD$3)*(lentry!$C$3:$C$3999&gt;=jun!AD$3)),lentry!$D$3:$D$3999),IF(WEEKDAY(jun!AD$3,1)=1,"WO","P"))</f>
        <v>P</v>
      </c>
      <c r="AE23" s="4" t="str">
        <f>IFERROR(LOOKUP(2,1/((lentry!$A$3:$A$3999=jun!$A23)*(lentry!$B$3:$B$3999&lt;=jun!AE$3)*(lentry!$C$3:$C$3999&gt;=jun!AE$3)),lentry!$D$3:$D$3999),IF(WEEKDAY(jun!AE$3,1)=1,"WO","P"))</f>
        <v>P</v>
      </c>
      <c r="AF23" s="4" t="str">
        <f>IFERROR(LOOKUP(2,1/((lentry!$A$3:$A$3999=jun!$A23)*(lentry!$B$3:$B$3999&lt;=jun!AF$3)*(lentry!$C$3:$C$3999&gt;=jun!AF$3)),lentry!$D$3:$D$3999),IF(WEEKDAY(jun!AF$3,1)=1,"WO","P"))</f>
        <v>P</v>
      </c>
      <c r="AG23" s="4" t="str">
        <f>IFERROR(LOOKUP(2,1/((lentry!$A$3:$A$3999=jun!$A23)*(lentry!$B$3:$B$3999&lt;=jun!AG$3)*(lentry!$C$3:$C$3999&gt;=jun!AG$3)),lentry!$D$3:$D$3999),IF(WEEKDAY(jun!AG$3,1)=1,"WO","P"))</f>
        <v>WO</v>
      </c>
      <c r="AH23" s="4" t="str">
        <f>IFERROR(LOOKUP(2,1/((lentry!$A$3:$A$3999=jun!$A23)*(lentry!$B$3:$B$3999&lt;=jun!AH$3)*(lentry!$C$3:$C$3999&gt;=jun!AH$3)),lentry!$D$3:$D$3999),IF(WEEKDAY(jun!AH$3,1)=1,"WO","P"))</f>
        <v>P</v>
      </c>
      <c r="AI23" s="4" t="str">
        <f>IFERROR(LOOKUP(2,1/((lentry!$A$3:$A$3999=jun!$A23)*(lentry!$B$3:$B$3999&lt;=jun!AI$3)*(lentry!$C$3:$C$3999&gt;=jun!AI$3)),lentry!$D$3:$D$3999),IF(WEEKDAY(jun!AI$3,1)=1,"WO","P"))</f>
        <v>P</v>
      </c>
      <c r="AJ23" s="4">
        <f>COUNTIF(jun!$F23:$AI23,"WO")</f>
        <v>4</v>
      </c>
      <c r="AK23" s="4">
        <f>COUNTIF(jun!$F23:$AI23,"H")</f>
        <v>0</v>
      </c>
      <c r="AL23" s="4">
        <f>COUNTIF(jun!$F23:$AI23,"PL")</f>
        <v>0</v>
      </c>
      <c r="AM23" s="4">
        <f>COUNTIF(jun!$F23:$AI23,"LWP")</f>
        <v>0</v>
      </c>
      <c r="AN23" s="4">
        <f>COUNTIF(jun!$F23:$AI23,"HD")</f>
        <v>0</v>
      </c>
      <c r="AO23" s="4">
        <f>COUNTIF(jun!$F23:$AI23,"SL")</f>
        <v>0</v>
      </c>
      <c r="AP23" s="4">
        <f>COUNTIF(jun!$F23:$AI23,"CL")</f>
        <v>0</v>
      </c>
      <c r="AQ23" s="4">
        <f>COUNTIF(jun!$F23:$AI23,"A")</f>
        <v>0</v>
      </c>
      <c r="AR23" s="4">
        <f>COUNTIF(jun!$F23:$AI23,"P")</f>
        <v>26</v>
      </c>
      <c r="AS23" s="4">
        <f t="shared" si="2"/>
        <v>30</v>
      </c>
      <c r="AT23" s="4">
        <f t="shared" si="3"/>
        <v>30</v>
      </c>
      <c r="AU23" s="4">
        <f>SUMIFS(holly!$L$2:$L$122,holly!$I$2:$I$122,mar!$A23,holly!$K$2:$K$122,"Mar")</f>
        <v>0</v>
      </c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</row>
    <row r="24" spans="1:79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IFERROR(LOOKUP(2,1/((lentry!$A$3:$A$3999=jun!$A24)*(lentry!$B$3:$B$3999&lt;=jun!F$3)*(lentry!$C$3:$C$3999&gt;=jun!F$3)),lentry!$D$3:$D$3999),IF(WEEKDAY(jun!F$3,1)=1,"WO","P"))</f>
        <v>P</v>
      </c>
      <c r="G24" s="4" t="str">
        <f>IFERROR(LOOKUP(2,1/((lentry!$A$3:$A$3999=jun!$A24)*(lentry!$B$3:$B$3999&lt;=jun!G$3)*(lentry!$C$3:$C$3999&gt;=jun!G$3)),lentry!$D$3:$D$3999),IF(WEEKDAY(jun!G$3,1)=1,"WO","P"))</f>
        <v>P</v>
      </c>
      <c r="H24" s="4" t="str">
        <f>IFERROR(LOOKUP(2,1/((lentry!$A$3:$A$3999=jun!$A24)*(lentry!$B$3:$B$3999&lt;=jun!H$3)*(lentry!$C$3:$C$3999&gt;=jun!H$3)),lentry!$D$3:$D$3999),IF(WEEKDAY(jun!H$3,1)=1,"WO","P"))</f>
        <v>P</v>
      </c>
      <c r="I24" s="4" t="str">
        <f>IFERROR(LOOKUP(2,1/((lentry!$A$3:$A$3999=jun!$A24)*(lentry!$B$3:$B$3999&lt;=jun!I$3)*(lentry!$C$3:$C$3999&gt;=jun!I$3)),lentry!$D$3:$D$3999),IF(WEEKDAY(jun!I$3,1)=1,"WO","P"))</f>
        <v>P</v>
      </c>
      <c r="J24" s="4" t="str">
        <f>IFERROR(LOOKUP(2,1/((lentry!$A$3:$A$3999=jun!$A24)*(lentry!$B$3:$B$3999&lt;=jun!J$3)*(lentry!$C$3:$C$3999&gt;=jun!J$3)),lentry!$D$3:$D$3999),IF(WEEKDAY(jun!J$3,1)=1,"WO","P"))</f>
        <v>P</v>
      </c>
      <c r="K24" s="4" t="str">
        <f>IFERROR(LOOKUP(2,1/((lentry!$A$3:$A$3999=jun!$A24)*(lentry!$B$3:$B$3999&lt;=jun!K$3)*(lentry!$C$3:$C$3999&gt;=jun!K$3)),lentry!$D$3:$D$3999),IF(WEEKDAY(jun!K$3,1)=1,"WO","P"))</f>
        <v>P</v>
      </c>
      <c r="L24" s="4" t="str">
        <f>IFERROR(LOOKUP(2,1/((lentry!$A$3:$A$3999=jun!$A24)*(lentry!$B$3:$B$3999&lt;=jun!L$3)*(lentry!$C$3:$C$3999&gt;=jun!L$3)),lentry!$D$3:$D$3999),IF(WEEKDAY(jun!L$3,1)=1,"WO","P"))</f>
        <v>WO</v>
      </c>
      <c r="M24" s="4" t="str">
        <f>IFERROR(LOOKUP(2,1/((lentry!$A$3:$A$3999=jun!$A24)*(lentry!$B$3:$B$3999&lt;=jun!M$3)*(lentry!$C$3:$C$3999&gt;=jun!M$3)),lentry!$D$3:$D$3999),IF(WEEKDAY(jun!M$3,1)=1,"WO","P"))</f>
        <v>P</v>
      </c>
      <c r="N24" s="4" t="str">
        <f>IFERROR(LOOKUP(2,1/((lentry!$A$3:$A$3999=jun!$A24)*(lentry!$B$3:$B$3999&lt;=jun!N$3)*(lentry!$C$3:$C$3999&gt;=jun!N$3)),lentry!$D$3:$D$3999),IF(WEEKDAY(jun!N$3,1)=1,"WO","P"))</f>
        <v>P</v>
      </c>
      <c r="O24" s="4" t="str">
        <f>IFERROR(LOOKUP(2,1/((lentry!$A$3:$A$3999=jun!$A24)*(lentry!$B$3:$B$3999&lt;=jun!O$3)*(lentry!$C$3:$C$3999&gt;=jun!O$3)),lentry!$D$3:$D$3999),IF(WEEKDAY(jun!O$3,1)=1,"WO","P"))</f>
        <v>P</v>
      </c>
      <c r="P24" s="4" t="str">
        <f>IFERROR(LOOKUP(2,1/((lentry!$A$3:$A$3999=jun!$A24)*(lentry!$B$3:$B$3999&lt;=jun!P$3)*(lentry!$C$3:$C$3999&gt;=jun!P$3)),lentry!$D$3:$D$3999),IF(WEEKDAY(jun!P$3,1)=1,"WO","P"))</f>
        <v>P</v>
      </c>
      <c r="Q24" s="4" t="str">
        <f>IFERROR(LOOKUP(2,1/((lentry!$A$3:$A$3999=jun!$A24)*(lentry!$B$3:$B$3999&lt;=jun!Q$3)*(lentry!$C$3:$C$3999&gt;=jun!Q$3)),lentry!$D$3:$D$3999),IF(WEEKDAY(jun!Q$3,1)=1,"WO","P"))</f>
        <v>P</v>
      </c>
      <c r="R24" s="4" t="str">
        <f>IFERROR(LOOKUP(2,1/((lentry!$A$3:$A$3999=jun!$A24)*(lentry!$B$3:$B$3999&lt;=jun!R$3)*(lentry!$C$3:$C$3999&gt;=jun!R$3)),lentry!$D$3:$D$3999),IF(WEEKDAY(jun!R$3,1)=1,"WO","P"))</f>
        <v>P</v>
      </c>
      <c r="S24" s="4" t="str">
        <f>IFERROR(LOOKUP(2,1/((lentry!$A$3:$A$3999=jun!$A24)*(lentry!$B$3:$B$3999&lt;=jun!S$3)*(lentry!$C$3:$C$3999&gt;=jun!S$3)),lentry!$D$3:$D$3999),IF(WEEKDAY(jun!S$3,1)=1,"WO","P"))</f>
        <v>WO</v>
      </c>
      <c r="T24" s="4" t="str">
        <f>IFERROR(LOOKUP(2,1/((lentry!$A$3:$A$3999=jun!$A24)*(lentry!$B$3:$B$3999&lt;=jun!T$3)*(lentry!$C$3:$C$3999&gt;=jun!T$3)),lentry!$D$3:$D$3999),IF(WEEKDAY(jun!T$3,1)=1,"WO","P"))</f>
        <v>P</v>
      </c>
      <c r="U24" s="4" t="str">
        <f>IFERROR(LOOKUP(2,1/((lentry!$A$3:$A$3999=jun!$A24)*(lentry!$B$3:$B$3999&lt;=jun!U$3)*(lentry!$C$3:$C$3999&gt;=jun!U$3)),lentry!$D$3:$D$3999),IF(WEEKDAY(jun!U$3,1)=1,"WO","P"))</f>
        <v>P</v>
      </c>
      <c r="V24" s="4" t="str">
        <f>IFERROR(LOOKUP(2,1/((lentry!$A$3:$A$3999=jun!$A24)*(lentry!$B$3:$B$3999&lt;=jun!V$3)*(lentry!$C$3:$C$3999&gt;=jun!V$3)),lentry!$D$3:$D$3999),IF(WEEKDAY(jun!V$3,1)=1,"WO","P"))</f>
        <v>P</v>
      </c>
      <c r="W24" s="4" t="str">
        <f>IFERROR(LOOKUP(2,1/((lentry!$A$3:$A$3999=jun!$A24)*(lentry!$B$3:$B$3999&lt;=jun!W$3)*(lentry!$C$3:$C$3999&gt;=jun!W$3)),lentry!$D$3:$D$3999),IF(WEEKDAY(jun!W$3,1)=1,"WO","P"))</f>
        <v>P</v>
      </c>
      <c r="X24" s="4" t="str">
        <f>IFERROR(LOOKUP(2,1/((lentry!$A$3:$A$3999=jun!$A24)*(lentry!$B$3:$B$3999&lt;=jun!X$3)*(lentry!$C$3:$C$3999&gt;=jun!X$3)),lentry!$D$3:$D$3999),IF(WEEKDAY(jun!X$3,1)=1,"WO","P"))</f>
        <v>P</v>
      </c>
      <c r="Y24" s="4" t="str">
        <f>IFERROR(LOOKUP(2,1/((lentry!$A$3:$A$3999=jun!$A24)*(lentry!$B$3:$B$3999&lt;=jun!Y$3)*(lentry!$C$3:$C$3999&gt;=jun!Y$3)),lentry!$D$3:$D$3999),IF(WEEKDAY(jun!Y$3,1)=1,"WO","P"))</f>
        <v>P</v>
      </c>
      <c r="Z24" s="4" t="str">
        <f>IFERROR(LOOKUP(2,1/((lentry!$A$3:$A$3999=jun!$A24)*(lentry!$B$3:$B$3999&lt;=jun!Z$3)*(lentry!$C$3:$C$3999&gt;=jun!Z$3)),lentry!$D$3:$D$3999),IF(WEEKDAY(jun!Z$3,1)=1,"WO","P"))</f>
        <v>WO</v>
      </c>
      <c r="AA24" s="4" t="str">
        <f>IFERROR(LOOKUP(2,1/((lentry!$A$3:$A$3999=jun!$A24)*(lentry!$B$3:$B$3999&lt;=jun!AA$3)*(lentry!$C$3:$C$3999&gt;=jun!AA$3)),lentry!$D$3:$D$3999),IF(WEEKDAY(jun!AA$3,1)=1,"WO","P"))</f>
        <v>P</v>
      </c>
      <c r="AB24" s="4" t="str">
        <f>IFERROR(LOOKUP(2,1/((lentry!$A$3:$A$3999=jun!$A24)*(lentry!$B$3:$B$3999&lt;=jun!AB$3)*(lentry!$C$3:$C$3999&gt;=jun!AB$3)),lentry!$D$3:$D$3999),IF(WEEKDAY(jun!AB$3,1)=1,"WO","P"))</f>
        <v>P</v>
      </c>
      <c r="AC24" s="4" t="str">
        <f>IFERROR(LOOKUP(2,1/((lentry!$A$3:$A$3999=jun!$A24)*(lentry!$B$3:$B$3999&lt;=jun!AC$3)*(lentry!$C$3:$C$3999&gt;=jun!AC$3)),lentry!$D$3:$D$3999),IF(WEEKDAY(jun!AC$3,1)=1,"WO","P"))</f>
        <v>P</v>
      </c>
      <c r="AD24" s="4" t="str">
        <f>IFERROR(LOOKUP(2,1/((lentry!$A$3:$A$3999=jun!$A24)*(lentry!$B$3:$B$3999&lt;=jun!AD$3)*(lentry!$C$3:$C$3999&gt;=jun!AD$3)),lentry!$D$3:$D$3999),IF(WEEKDAY(jun!AD$3,1)=1,"WO","P"))</f>
        <v>P</v>
      </c>
      <c r="AE24" s="4" t="str">
        <f>IFERROR(LOOKUP(2,1/((lentry!$A$3:$A$3999=jun!$A24)*(lentry!$B$3:$B$3999&lt;=jun!AE$3)*(lentry!$C$3:$C$3999&gt;=jun!AE$3)),lentry!$D$3:$D$3999),IF(WEEKDAY(jun!AE$3,1)=1,"WO","P"))</f>
        <v>P</v>
      </c>
      <c r="AF24" s="4" t="str">
        <f>IFERROR(LOOKUP(2,1/((lentry!$A$3:$A$3999=jun!$A24)*(lentry!$B$3:$B$3999&lt;=jun!AF$3)*(lentry!$C$3:$C$3999&gt;=jun!AF$3)),lentry!$D$3:$D$3999),IF(WEEKDAY(jun!AF$3,1)=1,"WO","P"))</f>
        <v>P</v>
      </c>
      <c r="AG24" s="4" t="str">
        <f>IFERROR(LOOKUP(2,1/((lentry!$A$3:$A$3999=jun!$A24)*(lentry!$B$3:$B$3999&lt;=jun!AG$3)*(lentry!$C$3:$C$3999&gt;=jun!AG$3)),lentry!$D$3:$D$3999),IF(WEEKDAY(jun!AG$3,1)=1,"WO","P"))</f>
        <v>WO</v>
      </c>
      <c r="AH24" s="4" t="str">
        <f>IFERROR(LOOKUP(2,1/((lentry!$A$3:$A$3999=jun!$A24)*(lentry!$B$3:$B$3999&lt;=jun!AH$3)*(lentry!$C$3:$C$3999&gt;=jun!AH$3)),lentry!$D$3:$D$3999),IF(WEEKDAY(jun!AH$3,1)=1,"WO","P"))</f>
        <v>P</v>
      </c>
      <c r="AI24" s="4" t="str">
        <f>IFERROR(LOOKUP(2,1/((lentry!$A$3:$A$3999=jun!$A24)*(lentry!$B$3:$B$3999&lt;=jun!AI$3)*(lentry!$C$3:$C$3999&gt;=jun!AI$3)),lentry!$D$3:$D$3999),IF(WEEKDAY(jun!AI$3,1)=1,"WO","P"))</f>
        <v>P</v>
      </c>
      <c r="AJ24" s="4">
        <f>COUNTIF(jun!$F24:$AI24,"WO")</f>
        <v>4</v>
      </c>
      <c r="AK24" s="4">
        <f>COUNTIF(jun!$F24:$AI24,"H")</f>
        <v>0</v>
      </c>
      <c r="AL24" s="4">
        <f>COUNTIF(jun!$F24:$AI24,"PL")</f>
        <v>0</v>
      </c>
      <c r="AM24" s="4">
        <f>COUNTIF(jun!$F24:$AI24,"LWP")</f>
        <v>0</v>
      </c>
      <c r="AN24" s="4">
        <f>COUNTIF(jun!$F24:$AI24,"HD")</f>
        <v>0</v>
      </c>
      <c r="AO24" s="4">
        <f>COUNTIF(jun!$F24:$AI24,"SL")</f>
        <v>0</v>
      </c>
      <c r="AP24" s="4">
        <f>COUNTIF(jun!$F24:$AI24,"CL")</f>
        <v>0</v>
      </c>
      <c r="AQ24" s="4">
        <f>COUNTIF(jun!$F24:$AI24,"A")</f>
        <v>0</v>
      </c>
      <c r="AR24" s="4">
        <f>COUNTIF(jun!$F24:$AI24,"P")</f>
        <v>26</v>
      </c>
      <c r="AS24" s="4">
        <f t="shared" si="2"/>
        <v>30</v>
      </c>
      <c r="AT24" s="4">
        <f t="shared" si="3"/>
        <v>30</v>
      </c>
      <c r="AU24" s="4">
        <f>SUMIFS(holly!$L$2:$L$122,holly!$I$2:$I$122,mar!$A24,holly!$K$2:$K$122,"Mar")</f>
        <v>0</v>
      </c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</row>
    <row r="25" spans="1:79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IFERROR(LOOKUP(2,1/((lentry!$A$3:$A$3999=jun!$A25)*(lentry!$B$3:$B$3999&lt;=jun!F$3)*(lentry!$C$3:$C$3999&gt;=jun!F$3)),lentry!$D$3:$D$3999),IF(WEEKDAY(jun!F$3,1)=1,"WO","P"))</f>
        <v>P</v>
      </c>
      <c r="G25" s="4" t="str">
        <f>IFERROR(LOOKUP(2,1/((lentry!$A$3:$A$3999=jun!$A25)*(lentry!$B$3:$B$3999&lt;=jun!G$3)*(lentry!$C$3:$C$3999&gt;=jun!G$3)),lentry!$D$3:$D$3999),IF(WEEKDAY(jun!G$3,1)=1,"WO","P"))</f>
        <v>P</v>
      </c>
      <c r="H25" s="4" t="str">
        <f>IFERROR(LOOKUP(2,1/((lentry!$A$3:$A$3999=jun!$A25)*(lentry!$B$3:$B$3999&lt;=jun!H$3)*(lentry!$C$3:$C$3999&gt;=jun!H$3)),lentry!$D$3:$D$3999),IF(WEEKDAY(jun!H$3,1)=1,"WO","P"))</f>
        <v>P</v>
      </c>
      <c r="I25" s="4" t="str">
        <f>IFERROR(LOOKUP(2,1/((lentry!$A$3:$A$3999=jun!$A25)*(lentry!$B$3:$B$3999&lt;=jun!I$3)*(lentry!$C$3:$C$3999&gt;=jun!I$3)),lentry!$D$3:$D$3999),IF(WEEKDAY(jun!I$3,1)=1,"WO","P"))</f>
        <v>P</v>
      </c>
      <c r="J25" s="4" t="str">
        <f>IFERROR(LOOKUP(2,1/((lentry!$A$3:$A$3999=jun!$A25)*(lentry!$B$3:$B$3999&lt;=jun!J$3)*(lentry!$C$3:$C$3999&gt;=jun!J$3)),lentry!$D$3:$D$3999),IF(WEEKDAY(jun!J$3,1)=1,"WO","P"))</f>
        <v>P</v>
      </c>
      <c r="K25" s="4" t="str">
        <f>IFERROR(LOOKUP(2,1/((lentry!$A$3:$A$3999=jun!$A25)*(lentry!$B$3:$B$3999&lt;=jun!K$3)*(lentry!$C$3:$C$3999&gt;=jun!K$3)),lentry!$D$3:$D$3999),IF(WEEKDAY(jun!K$3,1)=1,"WO","P"))</f>
        <v>P</v>
      </c>
      <c r="L25" s="4" t="str">
        <f>IFERROR(LOOKUP(2,1/((lentry!$A$3:$A$3999=jun!$A25)*(lentry!$B$3:$B$3999&lt;=jun!L$3)*(lentry!$C$3:$C$3999&gt;=jun!L$3)),lentry!$D$3:$D$3999),IF(WEEKDAY(jun!L$3,1)=1,"WO","P"))</f>
        <v>WO</v>
      </c>
      <c r="M25" s="4" t="str">
        <f>IFERROR(LOOKUP(2,1/((lentry!$A$3:$A$3999=jun!$A25)*(lentry!$B$3:$B$3999&lt;=jun!M$3)*(lentry!$C$3:$C$3999&gt;=jun!M$3)),lentry!$D$3:$D$3999),IF(WEEKDAY(jun!M$3,1)=1,"WO","P"))</f>
        <v>P</v>
      </c>
      <c r="N25" s="4" t="str">
        <f>IFERROR(LOOKUP(2,1/((lentry!$A$3:$A$3999=jun!$A25)*(lentry!$B$3:$B$3999&lt;=jun!N$3)*(lentry!$C$3:$C$3999&gt;=jun!N$3)),lentry!$D$3:$D$3999),IF(WEEKDAY(jun!N$3,1)=1,"WO","P"))</f>
        <v>P</v>
      </c>
      <c r="O25" s="4" t="str">
        <f>IFERROR(LOOKUP(2,1/((lentry!$A$3:$A$3999=jun!$A25)*(lentry!$B$3:$B$3999&lt;=jun!O$3)*(lentry!$C$3:$C$3999&gt;=jun!O$3)),lentry!$D$3:$D$3999),IF(WEEKDAY(jun!O$3,1)=1,"WO","P"))</f>
        <v>P</v>
      </c>
      <c r="P25" s="4" t="str">
        <f>IFERROR(LOOKUP(2,1/((lentry!$A$3:$A$3999=jun!$A25)*(lentry!$B$3:$B$3999&lt;=jun!P$3)*(lentry!$C$3:$C$3999&gt;=jun!P$3)),lentry!$D$3:$D$3999),IF(WEEKDAY(jun!P$3,1)=1,"WO","P"))</f>
        <v>P</v>
      </c>
      <c r="Q25" s="4" t="str">
        <f>IFERROR(LOOKUP(2,1/((lentry!$A$3:$A$3999=jun!$A25)*(lentry!$B$3:$B$3999&lt;=jun!Q$3)*(lentry!$C$3:$C$3999&gt;=jun!Q$3)),lentry!$D$3:$D$3999),IF(WEEKDAY(jun!Q$3,1)=1,"WO","P"))</f>
        <v>P</v>
      </c>
      <c r="R25" s="4" t="str">
        <f>IFERROR(LOOKUP(2,1/((lentry!$A$3:$A$3999=jun!$A25)*(lentry!$B$3:$B$3999&lt;=jun!R$3)*(lentry!$C$3:$C$3999&gt;=jun!R$3)),lentry!$D$3:$D$3999),IF(WEEKDAY(jun!R$3,1)=1,"WO","P"))</f>
        <v>P</v>
      </c>
      <c r="S25" s="4" t="str">
        <f>IFERROR(LOOKUP(2,1/((lentry!$A$3:$A$3999=jun!$A25)*(lentry!$B$3:$B$3999&lt;=jun!S$3)*(lentry!$C$3:$C$3999&gt;=jun!S$3)),lentry!$D$3:$D$3999),IF(WEEKDAY(jun!S$3,1)=1,"WO","P"))</f>
        <v>WO</v>
      </c>
      <c r="T25" s="4" t="str">
        <f>IFERROR(LOOKUP(2,1/((lentry!$A$3:$A$3999=jun!$A25)*(lentry!$B$3:$B$3999&lt;=jun!T$3)*(lentry!$C$3:$C$3999&gt;=jun!T$3)),lentry!$D$3:$D$3999),IF(WEEKDAY(jun!T$3,1)=1,"WO","P"))</f>
        <v>P</v>
      </c>
      <c r="U25" s="4" t="str">
        <f>IFERROR(LOOKUP(2,1/((lentry!$A$3:$A$3999=jun!$A25)*(lentry!$B$3:$B$3999&lt;=jun!U$3)*(lentry!$C$3:$C$3999&gt;=jun!U$3)),lentry!$D$3:$D$3999),IF(WEEKDAY(jun!U$3,1)=1,"WO","P"))</f>
        <v>P</v>
      </c>
      <c r="V25" s="4" t="str">
        <f>IFERROR(LOOKUP(2,1/((lentry!$A$3:$A$3999=jun!$A25)*(lentry!$B$3:$B$3999&lt;=jun!V$3)*(lentry!$C$3:$C$3999&gt;=jun!V$3)),lentry!$D$3:$D$3999),IF(WEEKDAY(jun!V$3,1)=1,"WO","P"))</f>
        <v>P</v>
      </c>
      <c r="W25" s="4" t="str">
        <f>IFERROR(LOOKUP(2,1/((lentry!$A$3:$A$3999=jun!$A25)*(lentry!$B$3:$B$3999&lt;=jun!W$3)*(lentry!$C$3:$C$3999&gt;=jun!W$3)),lentry!$D$3:$D$3999),IF(WEEKDAY(jun!W$3,1)=1,"WO","P"))</f>
        <v>P</v>
      </c>
      <c r="X25" s="4" t="str">
        <f>IFERROR(LOOKUP(2,1/((lentry!$A$3:$A$3999=jun!$A25)*(lentry!$B$3:$B$3999&lt;=jun!X$3)*(lentry!$C$3:$C$3999&gt;=jun!X$3)),lentry!$D$3:$D$3999),IF(WEEKDAY(jun!X$3,1)=1,"WO","P"))</f>
        <v>P</v>
      </c>
      <c r="Y25" s="4" t="str">
        <f>IFERROR(LOOKUP(2,1/((lentry!$A$3:$A$3999=jun!$A25)*(lentry!$B$3:$B$3999&lt;=jun!Y$3)*(lentry!$C$3:$C$3999&gt;=jun!Y$3)),lentry!$D$3:$D$3999),IF(WEEKDAY(jun!Y$3,1)=1,"WO","P"))</f>
        <v>P</v>
      </c>
      <c r="Z25" s="4" t="str">
        <f>IFERROR(LOOKUP(2,1/((lentry!$A$3:$A$3999=jun!$A25)*(lentry!$B$3:$B$3999&lt;=jun!Z$3)*(lentry!$C$3:$C$3999&gt;=jun!Z$3)),lentry!$D$3:$D$3999),IF(WEEKDAY(jun!Z$3,1)=1,"WO","P"))</f>
        <v>WO</v>
      </c>
      <c r="AA25" s="4" t="str">
        <f>IFERROR(LOOKUP(2,1/((lentry!$A$3:$A$3999=jun!$A25)*(lentry!$B$3:$B$3999&lt;=jun!AA$3)*(lentry!$C$3:$C$3999&gt;=jun!AA$3)),lentry!$D$3:$D$3999),IF(WEEKDAY(jun!AA$3,1)=1,"WO","P"))</f>
        <v>P</v>
      </c>
      <c r="AB25" s="4" t="str">
        <f>IFERROR(LOOKUP(2,1/((lentry!$A$3:$A$3999=jun!$A25)*(lentry!$B$3:$B$3999&lt;=jun!AB$3)*(lentry!$C$3:$C$3999&gt;=jun!AB$3)),lentry!$D$3:$D$3999),IF(WEEKDAY(jun!AB$3,1)=1,"WO","P"))</f>
        <v>P</v>
      </c>
      <c r="AC25" s="4" t="str">
        <f>IFERROR(LOOKUP(2,1/((lentry!$A$3:$A$3999=jun!$A25)*(lentry!$B$3:$B$3999&lt;=jun!AC$3)*(lentry!$C$3:$C$3999&gt;=jun!AC$3)),lentry!$D$3:$D$3999),IF(WEEKDAY(jun!AC$3,1)=1,"WO","P"))</f>
        <v>P</v>
      </c>
      <c r="AD25" s="4" t="str">
        <f>IFERROR(LOOKUP(2,1/((lentry!$A$3:$A$3999=jun!$A25)*(lentry!$B$3:$B$3999&lt;=jun!AD$3)*(lentry!$C$3:$C$3999&gt;=jun!AD$3)),lentry!$D$3:$D$3999),IF(WEEKDAY(jun!AD$3,1)=1,"WO","P"))</f>
        <v>P</v>
      </c>
      <c r="AE25" s="4" t="str">
        <f>IFERROR(LOOKUP(2,1/((lentry!$A$3:$A$3999=jun!$A25)*(lentry!$B$3:$B$3999&lt;=jun!AE$3)*(lentry!$C$3:$C$3999&gt;=jun!AE$3)),lentry!$D$3:$D$3999),IF(WEEKDAY(jun!AE$3,1)=1,"WO","P"))</f>
        <v>P</v>
      </c>
      <c r="AF25" s="4" t="str">
        <f>IFERROR(LOOKUP(2,1/((lentry!$A$3:$A$3999=jun!$A25)*(lentry!$B$3:$B$3999&lt;=jun!AF$3)*(lentry!$C$3:$C$3999&gt;=jun!AF$3)),lentry!$D$3:$D$3999),IF(WEEKDAY(jun!AF$3,1)=1,"WO","P"))</f>
        <v>P</v>
      </c>
      <c r="AG25" s="4" t="str">
        <f>IFERROR(LOOKUP(2,1/((lentry!$A$3:$A$3999=jun!$A25)*(lentry!$B$3:$B$3999&lt;=jun!AG$3)*(lentry!$C$3:$C$3999&gt;=jun!AG$3)),lentry!$D$3:$D$3999),IF(WEEKDAY(jun!AG$3,1)=1,"WO","P"))</f>
        <v>WO</v>
      </c>
      <c r="AH25" s="4" t="str">
        <f>IFERROR(LOOKUP(2,1/((lentry!$A$3:$A$3999=jun!$A25)*(lentry!$B$3:$B$3999&lt;=jun!AH$3)*(lentry!$C$3:$C$3999&gt;=jun!AH$3)),lentry!$D$3:$D$3999),IF(WEEKDAY(jun!AH$3,1)=1,"WO","P"))</f>
        <v>P</v>
      </c>
      <c r="AI25" s="4" t="str">
        <f>IFERROR(LOOKUP(2,1/((lentry!$A$3:$A$3999=jun!$A25)*(lentry!$B$3:$B$3999&lt;=jun!AI$3)*(lentry!$C$3:$C$3999&gt;=jun!AI$3)),lentry!$D$3:$D$3999),IF(WEEKDAY(jun!AI$3,1)=1,"WO","P"))</f>
        <v>P</v>
      </c>
      <c r="AJ25" s="4">
        <f>COUNTIF(jun!$F25:$AI25,"WO")</f>
        <v>4</v>
      </c>
      <c r="AK25" s="4">
        <f>COUNTIF(jun!$F25:$AI25,"H")</f>
        <v>0</v>
      </c>
      <c r="AL25" s="4">
        <f>COUNTIF(jun!$F25:$AI25,"PL")</f>
        <v>0</v>
      </c>
      <c r="AM25" s="4">
        <f>COUNTIF(jun!$F25:$AI25,"LWP")</f>
        <v>0</v>
      </c>
      <c r="AN25" s="4">
        <f>COUNTIF(jun!$F25:$AI25,"HD")</f>
        <v>0</v>
      </c>
      <c r="AO25" s="4">
        <f>COUNTIF(jun!$F25:$AI25,"SL")</f>
        <v>0</v>
      </c>
      <c r="AP25" s="4">
        <f>COUNTIF(jun!$F25:$AI25,"CL")</f>
        <v>0</v>
      </c>
      <c r="AQ25" s="4">
        <f>COUNTIF(jun!$F25:$AI25,"A")</f>
        <v>0</v>
      </c>
      <c r="AR25" s="4">
        <f>COUNTIF(jun!$F25:$AI25,"P")</f>
        <v>26</v>
      </c>
      <c r="AS25" s="4">
        <f t="shared" si="2"/>
        <v>30</v>
      </c>
      <c r="AT25" s="4">
        <f t="shared" si="3"/>
        <v>30</v>
      </c>
      <c r="AU25" s="4">
        <f>SUMIFS(holly!$L$2:$L$122,holly!$I$2:$I$122,mar!$A25,holly!$K$2:$K$122,"Mar")</f>
        <v>0</v>
      </c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</row>
    <row r="26" spans="1:79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IFERROR(LOOKUP(2,1/((lentry!$A$3:$A$3999=jun!$A26)*(lentry!$B$3:$B$3999&lt;=jun!F$3)*(lentry!$C$3:$C$3999&gt;=jun!F$3)),lentry!$D$3:$D$3999),IF(WEEKDAY(jun!F$3,1)=1,"WO","P"))</f>
        <v>P</v>
      </c>
      <c r="G26" s="4" t="str">
        <f>IFERROR(LOOKUP(2,1/((lentry!$A$3:$A$3999=jun!$A26)*(lentry!$B$3:$B$3999&lt;=jun!G$3)*(lentry!$C$3:$C$3999&gt;=jun!G$3)),lentry!$D$3:$D$3999),IF(WEEKDAY(jun!G$3,1)=1,"WO","P"))</f>
        <v>P</v>
      </c>
      <c r="H26" s="4" t="str">
        <f>IFERROR(LOOKUP(2,1/((lentry!$A$3:$A$3999=jun!$A26)*(lentry!$B$3:$B$3999&lt;=jun!H$3)*(lentry!$C$3:$C$3999&gt;=jun!H$3)),lentry!$D$3:$D$3999),IF(WEEKDAY(jun!H$3,1)=1,"WO","P"))</f>
        <v>P</v>
      </c>
      <c r="I26" s="4" t="str">
        <f>IFERROR(LOOKUP(2,1/((lentry!$A$3:$A$3999=jun!$A26)*(lentry!$B$3:$B$3999&lt;=jun!I$3)*(lentry!$C$3:$C$3999&gt;=jun!I$3)),lentry!$D$3:$D$3999),IF(WEEKDAY(jun!I$3,1)=1,"WO","P"))</f>
        <v>P</v>
      </c>
      <c r="J26" s="4" t="str">
        <f>IFERROR(LOOKUP(2,1/((lentry!$A$3:$A$3999=jun!$A26)*(lentry!$B$3:$B$3999&lt;=jun!J$3)*(lentry!$C$3:$C$3999&gt;=jun!J$3)),lentry!$D$3:$D$3999),IF(WEEKDAY(jun!J$3,1)=1,"WO","P"))</f>
        <v>P</v>
      </c>
      <c r="K26" s="4" t="str">
        <f>IFERROR(LOOKUP(2,1/((lentry!$A$3:$A$3999=jun!$A26)*(lentry!$B$3:$B$3999&lt;=jun!K$3)*(lentry!$C$3:$C$3999&gt;=jun!K$3)),lentry!$D$3:$D$3999),IF(WEEKDAY(jun!K$3,1)=1,"WO","P"))</f>
        <v>P</v>
      </c>
      <c r="L26" s="4" t="str">
        <f>IFERROR(LOOKUP(2,1/((lentry!$A$3:$A$3999=jun!$A26)*(lentry!$B$3:$B$3999&lt;=jun!L$3)*(lentry!$C$3:$C$3999&gt;=jun!L$3)),lentry!$D$3:$D$3999),IF(WEEKDAY(jun!L$3,1)=1,"WO","P"))</f>
        <v>WO</v>
      </c>
      <c r="M26" s="4" t="str">
        <f>IFERROR(LOOKUP(2,1/((lentry!$A$3:$A$3999=jun!$A26)*(lentry!$B$3:$B$3999&lt;=jun!M$3)*(lentry!$C$3:$C$3999&gt;=jun!M$3)),lentry!$D$3:$D$3999),IF(WEEKDAY(jun!M$3,1)=1,"WO","P"))</f>
        <v>P</v>
      </c>
      <c r="N26" s="4" t="str">
        <f>IFERROR(LOOKUP(2,1/((lentry!$A$3:$A$3999=jun!$A26)*(lentry!$B$3:$B$3999&lt;=jun!N$3)*(lentry!$C$3:$C$3999&gt;=jun!N$3)),lentry!$D$3:$D$3999),IF(WEEKDAY(jun!N$3,1)=1,"WO","P"))</f>
        <v>P</v>
      </c>
      <c r="O26" s="4" t="s">
        <v>539</v>
      </c>
      <c r="P26" s="4" t="str">
        <f>IFERROR(LOOKUP(2,1/((lentry!$A$3:$A$3999=jun!$A26)*(lentry!$B$3:$B$3999&lt;=jun!P$3)*(lentry!$C$3:$C$3999&gt;=jun!P$3)),lentry!$D$3:$D$3999),IF(WEEKDAY(jun!P$3,1)=1,"WO","P"))</f>
        <v>P</v>
      </c>
      <c r="Q26" s="4" t="str">
        <f>IFERROR(LOOKUP(2,1/((lentry!$A$3:$A$3999=jun!$A26)*(lentry!$B$3:$B$3999&lt;=jun!Q$3)*(lentry!$C$3:$C$3999&gt;=jun!Q$3)),lentry!$D$3:$D$3999),IF(WEEKDAY(jun!Q$3,1)=1,"WO","P"))</f>
        <v>P</v>
      </c>
      <c r="R26" s="4" t="str">
        <f>IFERROR(LOOKUP(2,1/((lentry!$A$3:$A$3999=jun!$A26)*(lentry!$B$3:$B$3999&lt;=jun!R$3)*(lentry!$C$3:$C$3999&gt;=jun!R$3)),lentry!$D$3:$D$3999),IF(WEEKDAY(jun!R$3,1)=1,"WO","P"))</f>
        <v>LWP</v>
      </c>
      <c r="S26" s="4" t="str">
        <f>IFERROR(LOOKUP(2,1/((lentry!$A$3:$A$3999=jun!$A26)*(lentry!$B$3:$B$3999&lt;=jun!S$3)*(lentry!$C$3:$C$3999&gt;=jun!S$3)),lentry!$D$3:$D$3999),IF(WEEKDAY(jun!S$3,1)=1,"WO","P"))</f>
        <v>WO</v>
      </c>
      <c r="T26" s="4" t="str">
        <f>IFERROR(LOOKUP(2,1/((lentry!$A$3:$A$3999=jun!$A26)*(lentry!$B$3:$B$3999&lt;=jun!T$3)*(lentry!$C$3:$C$3999&gt;=jun!T$3)),lentry!$D$3:$D$3999),IF(WEEKDAY(jun!T$3,1)=1,"WO","P"))</f>
        <v>P</v>
      </c>
      <c r="U26" s="4" t="str">
        <f>IFERROR(LOOKUP(2,1/((lentry!$A$3:$A$3999=jun!$A26)*(lentry!$B$3:$B$3999&lt;=jun!U$3)*(lentry!$C$3:$C$3999&gt;=jun!U$3)),lentry!$D$3:$D$3999),IF(WEEKDAY(jun!U$3,1)=1,"WO","P"))</f>
        <v>P</v>
      </c>
      <c r="V26" s="4" t="str">
        <f>IFERROR(LOOKUP(2,1/((lentry!$A$3:$A$3999=jun!$A26)*(lentry!$B$3:$B$3999&lt;=jun!V$3)*(lentry!$C$3:$C$3999&gt;=jun!V$3)),lentry!$D$3:$D$3999),IF(WEEKDAY(jun!V$3,1)=1,"WO","P"))</f>
        <v>P</v>
      </c>
      <c r="W26" s="4" t="str">
        <f>IFERROR(LOOKUP(2,1/((lentry!$A$3:$A$3999=jun!$A26)*(lentry!$B$3:$B$3999&lt;=jun!W$3)*(lentry!$C$3:$C$3999&gt;=jun!W$3)),lentry!$D$3:$D$3999),IF(WEEKDAY(jun!W$3,1)=1,"WO","P"))</f>
        <v>P</v>
      </c>
      <c r="X26" s="4" t="str">
        <f>IFERROR(LOOKUP(2,1/((lentry!$A$3:$A$3999=jun!$A26)*(lentry!$B$3:$B$3999&lt;=jun!X$3)*(lentry!$C$3:$C$3999&gt;=jun!X$3)),lentry!$D$3:$D$3999),IF(WEEKDAY(jun!X$3,1)=1,"WO","P"))</f>
        <v>P</v>
      </c>
      <c r="Y26" s="4" t="str">
        <f>IFERROR(LOOKUP(2,1/((lentry!$A$3:$A$3999=jun!$A26)*(lentry!$B$3:$B$3999&lt;=jun!Y$3)*(lentry!$C$3:$C$3999&gt;=jun!Y$3)),lentry!$D$3:$D$3999),IF(WEEKDAY(jun!Y$3,1)=1,"WO","P"))</f>
        <v>P</v>
      </c>
      <c r="Z26" s="4" t="str">
        <f>IFERROR(LOOKUP(2,1/((lentry!$A$3:$A$3999=jun!$A26)*(lentry!$B$3:$B$3999&lt;=jun!Z$3)*(lentry!$C$3:$C$3999&gt;=jun!Z$3)),lentry!$D$3:$D$3999),IF(WEEKDAY(jun!Z$3,1)=1,"WO","P"))</f>
        <v>WO</v>
      </c>
      <c r="AA26" s="4" t="s">
        <v>539</v>
      </c>
      <c r="AB26" s="4" t="str">
        <f>IFERROR(LOOKUP(2,1/((lentry!$A$3:$A$3999=jun!$A26)*(lentry!$B$3:$B$3999&lt;=jun!AB$3)*(lentry!$C$3:$C$3999&gt;=jun!AB$3)),lentry!$D$3:$D$3999),IF(WEEKDAY(jun!AB$3,1)=1,"WO","P"))</f>
        <v>P</v>
      </c>
      <c r="AC26" s="4" t="str">
        <f>IFERROR(LOOKUP(2,1/((lentry!$A$3:$A$3999=jun!$A26)*(lentry!$B$3:$B$3999&lt;=jun!AC$3)*(lentry!$C$3:$C$3999&gt;=jun!AC$3)),lentry!$D$3:$D$3999),IF(WEEKDAY(jun!AC$3,1)=1,"WO","P"))</f>
        <v>P</v>
      </c>
      <c r="AD26" s="4" t="str">
        <f>IFERROR(LOOKUP(2,1/((lentry!$A$3:$A$3999=jun!$A26)*(lentry!$B$3:$B$3999&lt;=jun!AD$3)*(lentry!$C$3:$C$3999&gt;=jun!AD$3)),lentry!$D$3:$D$3999),IF(WEEKDAY(jun!AD$3,1)=1,"WO","P"))</f>
        <v>P</v>
      </c>
      <c r="AE26" s="4" t="str">
        <f>IFERROR(LOOKUP(2,1/((lentry!$A$3:$A$3999=jun!$A26)*(lentry!$B$3:$B$3999&lt;=jun!AE$3)*(lentry!$C$3:$C$3999&gt;=jun!AE$3)),lentry!$D$3:$D$3999),IF(WEEKDAY(jun!AE$3,1)=1,"WO","P"))</f>
        <v>P</v>
      </c>
      <c r="AF26" s="4" t="str">
        <f>IFERROR(LOOKUP(2,1/((lentry!$A$3:$A$3999=jun!$A26)*(lentry!$B$3:$B$3999&lt;=jun!AF$3)*(lentry!$C$3:$C$3999&gt;=jun!AF$3)),lentry!$D$3:$D$3999),IF(WEEKDAY(jun!AF$3,1)=1,"WO","P"))</f>
        <v>P</v>
      </c>
      <c r="AG26" s="4" t="str">
        <f>IFERROR(LOOKUP(2,1/((lentry!$A$3:$A$3999=jun!$A26)*(lentry!$B$3:$B$3999&lt;=jun!AG$3)*(lentry!$C$3:$C$3999&gt;=jun!AG$3)),lentry!$D$3:$D$3999),IF(WEEKDAY(jun!AG$3,1)=1,"WO","P"))</f>
        <v>WO</v>
      </c>
      <c r="AH26" s="4" t="str">
        <f>IFERROR(LOOKUP(2,1/((lentry!$A$3:$A$3999=jun!$A26)*(lentry!$B$3:$B$3999&lt;=jun!AH$3)*(lentry!$C$3:$C$3999&gt;=jun!AH$3)),lentry!$D$3:$D$3999),IF(WEEKDAY(jun!AH$3,1)=1,"WO","P"))</f>
        <v>P</v>
      </c>
      <c r="AI26" s="4" t="str">
        <f>IFERROR(LOOKUP(2,1/((lentry!$A$3:$A$3999=jun!$A26)*(lentry!$B$3:$B$3999&lt;=jun!AI$3)*(lentry!$C$3:$C$3999&gt;=jun!AI$3)),lentry!$D$3:$D$3999),IF(WEEKDAY(jun!AI$3,1)=1,"WO","P"))</f>
        <v>P</v>
      </c>
      <c r="AJ26" s="4">
        <f>COUNTIF(jun!$F26:$AI26,"WO")</f>
        <v>4</v>
      </c>
      <c r="AK26" s="4">
        <f>COUNTIF(jun!$F26:$AI26,"H")</f>
        <v>0</v>
      </c>
      <c r="AL26" s="4">
        <f>COUNTIF(jun!$F26:$AI26,"PL")</f>
        <v>0</v>
      </c>
      <c r="AM26" s="4">
        <f>COUNTIF(jun!$F26:$AI26,"LWP")</f>
        <v>1</v>
      </c>
      <c r="AN26" s="4">
        <f>COUNTIF(jun!$F26:$AI26,"HD")</f>
        <v>0</v>
      </c>
      <c r="AO26" s="4">
        <f>COUNTIF(jun!$F26:$AI26,"SL")</f>
        <v>0</v>
      </c>
      <c r="AP26" s="4">
        <f>COUNTIF(jun!$F26:$AI26,"CL")</f>
        <v>0</v>
      </c>
      <c r="AQ26" s="4">
        <f>COUNTIF(jun!$F26:$AI26,"A")</f>
        <v>2</v>
      </c>
      <c r="AR26" s="4">
        <f>COUNTIF(jun!$F26:$AI26,"P")</f>
        <v>23</v>
      </c>
      <c r="AS26" s="4">
        <f t="shared" si="2"/>
        <v>30</v>
      </c>
      <c r="AT26" s="4">
        <f t="shared" si="3"/>
        <v>27</v>
      </c>
      <c r="AU26" s="4">
        <f>SUMIFS(holly!$L$2:$L$122,holly!$I$2:$I$122,mar!$A26,holly!$K$2:$K$122,"Mar")</f>
        <v>0</v>
      </c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</row>
    <row r="27" spans="1:79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IFERROR(LOOKUP(2,1/((lentry!$A$3:$A$3999=jun!$A27)*(lentry!$B$3:$B$3999&lt;=jun!F$3)*(lentry!$C$3:$C$3999&gt;=jun!F$3)),lentry!$D$3:$D$3999),IF(WEEKDAY(jun!F$3,1)=1,"WO","P"))</f>
        <v>P</v>
      </c>
      <c r="G27" s="4" t="str">
        <f>IFERROR(LOOKUP(2,1/((lentry!$A$3:$A$3999=jun!$A27)*(lentry!$B$3:$B$3999&lt;=jun!G$3)*(lentry!$C$3:$C$3999&gt;=jun!G$3)),lentry!$D$3:$D$3999),IF(WEEKDAY(jun!G$3,1)=1,"WO","P"))</f>
        <v>P</v>
      </c>
      <c r="H27" s="4" t="str">
        <f>IFERROR(LOOKUP(2,1/((lentry!$A$3:$A$3999=jun!$A27)*(lentry!$B$3:$B$3999&lt;=jun!H$3)*(lentry!$C$3:$C$3999&gt;=jun!H$3)),lentry!$D$3:$D$3999),IF(WEEKDAY(jun!H$3,1)=1,"WO","P"))</f>
        <v>P</v>
      </c>
      <c r="I27" s="4" t="str">
        <f>IFERROR(LOOKUP(2,1/((lentry!$A$3:$A$3999=jun!$A27)*(lentry!$B$3:$B$3999&lt;=jun!I$3)*(lentry!$C$3:$C$3999&gt;=jun!I$3)),lentry!$D$3:$D$3999),IF(WEEKDAY(jun!I$3,1)=1,"WO","P"))</f>
        <v>P</v>
      </c>
      <c r="J27" s="4" t="str">
        <f>IFERROR(LOOKUP(2,1/((lentry!$A$3:$A$3999=jun!$A27)*(lentry!$B$3:$B$3999&lt;=jun!J$3)*(lentry!$C$3:$C$3999&gt;=jun!J$3)),lentry!$D$3:$D$3999),IF(WEEKDAY(jun!J$3,1)=1,"WO","P"))</f>
        <v>P</v>
      </c>
      <c r="K27" s="4" t="str">
        <f>IFERROR(LOOKUP(2,1/((lentry!$A$3:$A$3999=jun!$A27)*(lentry!$B$3:$B$3999&lt;=jun!K$3)*(lentry!$C$3:$C$3999&gt;=jun!K$3)),lentry!$D$3:$D$3999),IF(WEEKDAY(jun!K$3,1)=1,"WO","P"))</f>
        <v>P</v>
      </c>
      <c r="L27" s="4" t="str">
        <f>IFERROR(LOOKUP(2,1/((lentry!$A$3:$A$3999=jun!$A27)*(lentry!$B$3:$B$3999&lt;=jun!L$3)*(lentry!$C$3:$C$3999&gt;=jun!L$3)),lentry!$D$3:$D$3999),IF(WEEKDAY(jun!L$3,1)=1,"WO","P"))</f>
        <v>WO</v>
      </c>
      <c r="M27" s="4" t="str">
        <f>IFERROR(LOOKUP(2,1/((lentry!$A$3:$A$3999=jun!$A27)*(lentry!$B$3:$B$3999&lt;=jun!M$3)*(lentry!$C$3:$C$3999&gt;=jun!M$3)),lentry!$D$3:$D$3999),IF(WEEKDAY(jun!M$3,1)=1,"WO","P"))</f>
        <v>P</v>
      </c>
      <c r="N27" s="4" t="str">
        <f>IFERROR(LOOKUP(2,1/((lentry!$A$3:$A$3999=jun!$A27)*(lentry!$B$3:$B$3999&lt;=jun!N$3)*(lentry!$C$3:$C$3999&gt;=jun!N$3)),lentry!$D$3:$D$3999),IF(WEEKDAY(jun!N$3,1)=1,"WO","P"))</f>
        <v>P</v>
      </c>
      <c r="O27" s="4" t="str">
        <f>IFERROR(LOOKUP(2,1/((lentry!$A$3:$A$3999=jun!$A27)*(lentry!$B$3:$B$3999&lt;=jun!O$3)*(lentry!$C$3:$C$3999&gt;=jun!O$3)),lentry!$D$3:$D$3999),IF(WEEKDAY(jun!O$3,1)=1,"WO","P"))</f>
        <v>P</v>
      </c>
      <c r="P27" s="4" t="str">
        <f>IFERROR(LOOKUP(2,1/((lentry!$A$3:$A$3999=jun!$A27)*(lentry!$B$3:$B$3999&lt;=jun!P$3)*(lentry!$C$3:$C$3999&gt;=jun!P$3)),lentry!$D$3:$D$3999),IF(WEEKDAY(jun!P$3,1)=1,"WO","P"))</f>
        <v>P</v>
      </c>
      <c r="Q27" s="4" t="str">
        <f>IFERROR(LOOKUP(2,1/((lentry!$A$3:$A$3999=jun!$A27)*(lentry!$B$3:$B$3999&lt;=jun!Q$3)*(lentry!$C$3:$C$3999&gt;=jun!Q$3)),lentry!$D$3:$D$3999),IF(WEEKDAY(jun!Q$3,1)=1,"WO","P"))</f>
        <v>P</v>
      </c>
      <c r="R27" s="4" t="str">
        <f>IFERROR(LOOKUP(2,1/((lentry!$A$3:$A$3999=jun!$A27)*(lentry!$B$3:$B$3999&lt;=jun!R$3)*(lentry!$C$3:$C$3999&gt;=jun!R$3)),lentry!$D$3:$D$3999),IF(WEEKDAY(jun!R$3,1)=1,"WO","P"))</f>
        <v>P</v>
      </c>
      <c r="S27" s="4" t="str">
        <f>IFERROR(LOOKUP(2,1/((lentry!$A$3:$A$3999=jun!$A27)*(lentry!$B$3:$B$3999&lt;=jun!S$3)*(lentry!$C$3:$C$3999&gt;=jun!S$3)),lentry!$D$3:$D$3999),IF(WEEKDAY(jun!S$3,1)=1,"WO","P"))</f>
        <v>WO</v>
      </c>
      <c r="T27" s="4" t="str">
        <f>IFERROR(LOOKUP(2,1/((lentry!$A$3:$A$3999=jun!$A27)*(lentry!$B$3:$B$3999&lt;=jun!T$3)*(lentry!$C$3:$C$3999&gt;=jun!T$3)),lentry!$D$3:$D$3999),IF(WEEKDAY(jun!T$3,1)=1,"WO","P"))</f>
        <v>P</v>
      </c>
      <c r="U27" s="4" t="str">
        <f>IFERROR(LOOKUP(2,1/((lentry!$A$3:$A$3999=jun!$A27)*(lentry!$B$3:$B$3999&lt;=jun!U$3)*(lentry!$C$3:$C$3999&gt;=jun!U$3)),lentry!$D$3:$D$3999),IF(WEEKDAY(jun!U$3,1)=1,"WO","P"))</f>
        <v>P</v>
      </c>
      <c r="V27" s="4" t="str">
        <f>IFERROR(LOOKUP(2,1/((lentry!$A$3:$A$3999=jun!$A27)*(lentry!$B$3:$B$3999&lt;=jun!V$3)*(lentry!$C$3:$C$3999&gt;=jun!V$3)),lentry!$D$3:$D$3999),IF(WEEKDAY(jun!V$3,1)=1,"WO","P"))</f>
        <v>P</v>
      </c>
      <c r="W27" s="4" t="str">
        <f>IFERROR(LOOKUP(2,1/((lentry!$A$3:$A$3999=jun!$A27)*(lentry!$B$3:$B$3999&lt;=jun!W$3)*(lentry!$C$3:$C$3999&gt;=jun!W$3)),lentry!$D$3:$D$3999),IF(WEEKDAY(jun!W$3,1)=1,"WO","P"))</f>
        <v>P</v>
      </c>
      <c r="X27" s="4" t="str">
        <f>IFERROR(LOOKUP(2,1/((lentry!$A$3:$A$3999=jun!$A27)*(lentry!$B$3:$B$3999&lt;=jun!X$3)*(lentry!$C$3:$C$3999&gt;=jun!X$3)),lentry!$D$3:$D$3999),IF(WEEKDAY(jun!X$3,1)=1,"WO","P"))</f>
        <v>P</v>
      </c>
      <c r="Y27" s="4" t="str">
        <f>IFERROR(LOOKUP(2,1/((lentry!$A$3:$A$3999=jun!$A27)*(lentry!$B$3:$B$3999&lt;=jun!Y$3)*(lentry!$C$3:$C$3999&gt;=jun!Y$3)),lentry!$D$3:$D$3999),IF(WEEKDAY(jun!Y$3,1)=1,"WO","P"))</f>
        <v>P</v>
      </c>
      <c r="Z27" s="4" t="str">
        <f>IFERROR(LOOKUP(2,1/((lentry!$A$3:$A$3999=jun!$A27)*(lentry!$B$3:$B$3999&lt;=jun!Z$3)*(lentry!$C$3:$C$3999&gt;=jun!Z$3)),lentry!$D$3:$D$3999),IF(WEEKDAY(jun!Z$3,1)=1,"WO","P"))</f>
        <v>WO</v>
      </c>
      <c r="AA27" s="4" t="str">
        <f>IFERROR(LOOKUP(2,1/((lentry!$A$3:$A$3999=jun!$A27)*(lentry!$B$3:$B$3999&lt;=jun!AA$3)*(lentry!$C$3:$C$3999&gt;=jun!AA$3)),lentry!$D$3:$D$3999),IF(WEEKDAY(jun!AA$3,1)=1,"WO","P"))</f>
        <v>P</v>
      </c>
      <c r="AB27" s="4" t="str">
        <f>IFERROR(LOOKUP(2,1/((lentry!$A$3:$A$3999=jun!$A27)*(lentry!$B$3:$B$3999&lt;=jun!AB$3)*(lentry!$C$3:$C$3999&gt;=jun!AB$3)),lentry!$D$3:$D$3999),IF(WEEKDAY(jun!AB$3,1)=1,"WO","P"))</f>
        <v>P</v>
      </c>
      <c r="AC27" s="4" t="str">
        <f>IFERROR(LOOKUP(2,1/((lentry!$A$3:$A$3999=jun!$A27)*(lentry!$B$3:$B$3999&lt;=jun!AC$3)*(lentry!$C$3:$C$3999&gt;=jun!AC$3)),lentry!$D$3:$D$3999),IF(WEEKDAY(jun!AC$3,1)=1,"WO","P"))</f>
        <v>P</v>
      </c>
      <c r="AD27" s="4" t="str">
        <f>IFERROR(LOOKUP(2,1/((lentry!$A$3:$A$3999=jun!$A27)*(lentry!$B$3:$B$3999&lt;=jun!AD$3)*(lentry!$C$3:$C$3999&gt;=jun!AD$3)),lentry!$D$3:$D$3999),IF(WEEKDAY(jun!AD$3,1)=1,"WO","P"))</f>
        <v>P</v>
      </c>
      <c r="AE27" s="4" t="str">
        <f>IFERROR(LOOKUP(2,1/((lentry!$A$3:$A$3999=jun!$A27)*(lentry!$B$3:$B$3999&lt;=jun!AE$3)*(lentry!$C$3:$C$3999&gt;=jun!AE$3)),lentry!$D$3:$D$3999),IF(WEEKDAY(jun!AE$3,1)=1,"WO","P"))</f>
        <v>P</v>
      </c>
      <c r="AF27" s="4" t="str">
        <f>IFERROR(LOOKUP(2,1/((lentry!$A$3:$A$3999=jun!$A27)*(lentry!$B$3:$B$3999&lt;=jun!AF$3)*(lentry!$C$3:$C$3999&gt;=jun!AF$3)),lentry!$D$3:$D$3999),IF(WEEKDAY(jun!AF$3,1)=1,"WO","P"))</f>
        <v>P</v>
      </c>
      <c r="AG27" s="4" t="str">
        <f>IFERROR(LOOKUP(2,1/((lentry!$A$3:$A$3999=jun!$A27)*(lentry!$B$3:$B$3999&lt;=jun!AG$3)*(lentry!$C$3:$C$3999&gt;=jun!AG$3)),lentry!$D$3:$D$3999),IF(WEEKDAY(jun!AG$3,1)=1,"WO","P"))</f>
        <v>WO</v>
      </c>
      <c r="AH27" s="4" t="str">
        <f>IFERROR(LOOKUP(2,1/((lentry!$A$3:$A$3999=jun!$A27)*(lentry!$B$3:$B$3999&lt;=jun!AH$3)*(lentry!$C$3:$C$3999&gt;=jun!AH$3)),lentry!$D$3:$D$3999),IF(WEEKDAY(jun!AH$3,1)=1,"WO","P"))</f>
        <v>P</v>
      </c>
      <c r="AI27" s="4" t="str">
        <f>IFERROR(LOOKUP(2,1/((lentry!$A$3:$A$3999=jun!$A27)*(lentry!$B$3:$B$3999&lt;=jun!AI$3)*(lentry!$C$3:$C$3999&gt;=jun!AI$3)),lentry!$D$3:$D$3999),IF(WEEKDAY(jun!AI$3,1)=1,"WO","P"))</f>
        <v>P</v>
      </c>
      <c r="AJ27" s="4">
        <f>COUNTIF(jun!$F27:$AI27,"WO")</f>
        <v>4</v>
      </c>
      <c r="AK27" s="4">
        <f>COUNTIF(jun!$F27:$AI27,"H")</f>
        <v>0</v>
      </c>
      <c r="AL27" s="4">
        <f>COUNTIF(jun!$F27:$AI27,"PL")</f>
        <v>0</v>
      </c>
      <c r="AM27" s="4">
        <f>COUNTIF(jun!$F27:$AI27,"LWP")</f>
        <v>0</v>
      </c>
      <c r="AN27" s="4">
        <f>COUNTIF(jun!$F27:$AI27,"HD")</f>
        <v>0</v>
      </c>
      <c r="AO27" s="4">
        <f>COUNTIF(jun!$F27:$AI27,"SL")</f>
        <v>0</v>
      </c>
      <c r="AP27" s="4">
        <f>COUNTIF(jun!$F27:$AI27,"CL")</f>
        <v>0</v>
      </c>
      <c r="AQ27" s="4">
        <f>COUNTIF(jun!$F27:$AI27,"A")</f>
        <v>0</v>
      </c>
      <c r="AR27" s="4">
        <f>COUNTIF(jun!$F27:$AI27,"P")</f>
        <v>26</v>
      </c>
      <c r="AS27" s="4">
        <f t="shared" si="2"/>
        <v>30</v>
      </c>
      <c r="AT27" s="4">
        <f t="shared" si="3"/>
        <v>30</v>
      </c>
      <c r="AU27" s="4">
        <f>SUMIFS(holly!$L$2:$L$122,holly!$I$2:$I$122,mar!$A27,holly!$K$2:$K$122,"Mar")</f>
        <v>0</v>
      </c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</row>
    <row r="28" spans="1:79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IFERROR(LOOKUP(2,1/((lentry!$A$3:$A$3999=jun!$A28)*(lentry!$B$3:$B$3999&lt;=jun!F$3)*(lentry!$C$3:$C$3999&gt;=jun!F$3)),lentry!$D$3:$D$3999),IF(WEEKDAY(jun!F$3,1)=1,"WO","P"))</f>
        <v>P</v>
      </c>
      <c r="G28" s="4" t="str">
        <f>IFERROR(LOOKUP(2,1/((lentry!$A$3:$A$3999=jun!$A28)*(lentry!$B$3:$B$3999&lt;=jun!G$3)*(lentry!$C$3:$C$3999&gt;=jun!G$3)),lentry!$D$3:$D$3999),IF(WEEKDAY(jun!G$3,1)=1,"WO","P"))</f>
        <v>P</v>
      </c>
      <c r="H28" s="4" t="str">
        <f>IFERROR(LOOKUP(2,1/((lentry!$A$3:$A$3999=jun!$A28)*(lentry!$B$3:$B$3999&lt;=jun!H$3)*(lentry!$C$3:$C$3999&gt;=jun!H$3)),lentry!$D$3:$D$3999),IF(WEEKDAY(jun!H$3,1)=1,"WO","P"))</f>
        <v>P</v>
      </c>
      <c r="I28" s="4" t="str">
        <f>IFERROR(LOOKUP(2,1/((lentry!$A$3:$A$3999=jun!$A28)*(lentry!$B$3:$B$3999&lt;=jun!I$3)*(lentry!$C$3:$C$3999&gt;=jun!I$3)),lentry!$D$3:$D$3999),IF(WEEKDAY(jun!I$3,1)=1,"WO","P"))</f>
        <v>P</v>
      </c>
      <c r="J28" s="4" t="str">
        <f>IFERROR(LOOKUP(2,1/((lentry!$A$3:$A$3999=jun!$A28)*(lentry!$B$3:$B$3999&lt;=jun!J$3)*(lentry!$C$3:$C$3999&gt;=jun!J$3)),lentry!$D$3:$D$3999),IF(WEEKDAY(jun!J$3,1)=1,"WO","P"))</f>
        <v>P</v>
      </c>
      <c r="K28" s="4" t="str">
        <f>IFERROR(LOOKUP(2,1/((lentry!$A$3:$A$3999=jun!$A28)*(lentry!$B$3:$B$3999&lt;=jun!K$3)*(lentry!$C$3:$C$3999&gt;=jun!K$3)),lentry!$D$3:$D$3999),IF(WEEKDAY(jun!K$3,1)=1,"WO","P"))</f>
        <v>P</v>
      </c>
      <c r="L28" s="4" t="str">
        <f>IFERROR(LOOKUP(2,1/((lentry!$A$3:$A$3999=jun!$A28)*(lentry!$B$3:$B$3999&lt;=jun!L$3)*(lentry!$C$3:$C$3999&gt;=jun!L$3)),lentry!$D$3:$D$3999),IF(WEEKDAY(jun!L$3,1)=1,"WO","P"))</f>
        <v>WO</v>
      </c>
      <c r="M28" s="4" t="str">
        <f>IFERROR(LOOKUP(2,1/((lentry!$A$3:$A$3999=jun!$A28)*(lentry!$B$3:$B$3999&lt;=jun!M$3)*(lentry!$C$3:$C$3999&gt;=jun!M$3)),lentry!$D$3:$D$3999),IF(WEEKDAY(jun!M$3,1)=1,"WO","P"))</f>
        <v>P</v>
      </c>
      <c r="N28" s="4" t="str">
        <f>IFERROR(LOOKUP(2,1/((lentry!$A$3:$A$3999=jun!$A28)*(lentry!$B$3:$B$3999&lt;=jun!N$3)*(lentry!$C$3:$C$3999&gt;=jun!N$3)),lentry!$D$3:$D$3999),IF(WEEKDAY(jun!N$3,1)=1,"WO","P"))</f>
        <v>P</v>
      </c>
      <c r="O28" s="4" t="str">
        <f>IFERROR(LOOKUP(2,1/((lentry!$A$3:$A$3999=jun!$A28)*(lentry!$B$3:$B$3999&lt;=jun!O$3)*(lentry!$C$3:$C$3999&gt;=jun!O$3)),lentry!$D$3:$D$3999),IF(WEEKDAY(jun!O$3,1)=1,"WO","P"))</f>
        <v>P</v>
      </c>
      <c r="P28" s="4" t="str">
        <f>IFERROR(LOOKUP(2,1/((lentry!$A$3:$A$3999=jun!$A28)*(lentry!$B$3:$B$3999&lt;=jun!P$3)*(lentry!$C$3:$C$3999&gt;=jun!P$3)),lentry!$D$3:$D$3999),IF(WEEKDAY(jun!P$3,1)=1,"WO","P"))</f>
        <v>P</v>
      </c>
      <c r="Q28" s="4" t="str">
        <f>IFERROR(LOOKUP(2,1/((lentry!$A$3:$A$3999=jun!$A28)*(lentry!$B$3:$B$3999&lt;=jun!Q$3)*(lentry!$C$3:$C$3999&gt;=jun!Q$3)),lentry!$D$3:$D$3999),IF(WEEKDAY(jun!Q$3,1)=1,"WO","P"))</f>
        <v>P</v>
      </c>
      <c r="R28" s="4" t="str">
        <f>IFERROR(LOOKUP(2,1/((lentry!$A$3:$A$3999=jun!$A28)*(lentry!$B$3:$B$3999&lt;=jun!R$3)*(lentry!$C$3:$C$3999&gt;=jun!R$3)),lentry!$D$3:$D$3999),IF(WEEKDAY(jun!R$3,1)=1,"WO","P"))</f>
        <v>P</v>
      </c>
      <c r="S28" s="4" t="str">
        <f>IFERROR(LOOKUP(2,1/((lentry!$A$3:$A$3999=jun!$A28)*(lentry!$B$3:$B$3999&lt;=jun!S$3)*(lentry!$C$3:$C$3999&gt;=jun!S$3)),lentry!$D$3:$D$3999),IF(WEEKDAY(jun!S$3,1)=1,"WO","P"))</f>
        <v>WO</v>
      </c>
      <c r="T28" s="4" t="str">
        <f>IFERROR(LOOKUP(2,1/((lentry!$A$3:$A$3999=jun!$A28)*(lentry!$B$3:$B$3999&lt;=jun!T$3)*(lentry!$C$3:$C$3999&gt;=jun!T$3)),lentry!$D$3:$D$3999),IF(WEEKDAY(jun!T$3,1)=1,"WO","P"))</f>
        <v>P</v>
      </c>
      <c r="U28" s="4" t="str">
        <f>IFERROR(LOOKUP(2,1/((lentry!$A$3:$A$3999=jun!$A28)*(lentry!$B$3:$B$3999&lt;=jun!U$3)*(lentry!$C$3:$C$3999&gt;=jun!U$3)),lentry!$D$3:$D$3999),IF(WEEKDAY(jun!U$3,1)=1,"WO","P"))</f>
        <v>P</v>
      </c>
      <c r="V28" s="4" t="str">
        <f>IFERROR(LOOKUP(2,1/((lentry!$A$3:$A$3999=jun!$A28)*(lentry!$B$3:$B$3999&lt;=jun!V$3)*(lentry!$C$3:$C$3999&gt;=jun!V$3)),lentry!$D$3:$D$3999),IF(WEEKDAY(jun!V$3,1)=1,"WO","P"))</f>
        <v>P</v>
      </c>
      <c r="W28" s="4" t="str">
        <f>IFERROR(LOOKUP(2,1/((lentry!$A$3:$A$3999=jun!$A28)*(lentry!$B$3:$B$3999&lt;=jun!W$3)*(lentry!$C$3:$C$3999&gt;=jun!W$3)),lentry!$D$3:$D$3999),IF(WEEKDAY(jun!W$3,1)=1,"WO","P"))</f>
        <v>P</v>
      </c>
      <c r="X28" s="4" t="str">
        <f>IFERROR(LOOKUP(2,1/((lentry!$A$3:$A$3999=jun!$A28)*(lentry!$B$3:$B$3999&lt;=jun!X$3)*(lentry!$C$3:$C$3999&gt;=jun!X$3)),lentry!$D$3:$D$3999),IF(WEEKDAY(jun!X$3,1)=1,"WO","P"))</f>
        <v>P</v>
      </c>
      <c r="Y28" s="4" t="str">
        <f>IFERROR(LOOKUP(2,1/((lentry!$A$3:$A$3999=jun!$A28)*(lentry!$B$3:$B$3999&lt;=jun!Y$3)*(lentry!$C$3:$C$3999&gt;=jun!Y$3)),lentry!$D$3:$D$3999),IF(WEEKDAY(jun!Y$3,1)=1,"WO","P"))</f>
        <v>P</v>
      </c>
      <c r="Z28" s="4" t="str">
        <f>IFERROR(LOOKUP(2,1/((lentry!$A$3:$A$3999=jun!$A28)*(lentry!$B$3:$B$3999&lt;=jun!Z$3)*(lentry!$C$3:$C$3999&gt;=jun!Z$3)),lentry!$D$3:$D$3999),IF(WEEKDAY(jun!Z$3,1)=1,"WO","P"))</f>
        <v>WO</v>
      </c>
      <c r="AA28" s="4" t="str">
        <f>IFERROR(LOOKUP(2,1/((lentry!$A$3:$A$3999=jun!$A28)*(lentry!$B$3:$B$3999&lt;=jun!AA$3)*(lentry!$C$3:$C$3999&gt;=jun!AA$3)),lentry!$D$3:$D$3999),IF(WEEKDAY(jun!AA$3,1)=1,"WO","P"))</f>
        <v>P</v>
      </c>
      <c r="AB28" s="4" t="str">
        <f>IFERROR(LOOKUP(2,1/((lentry!$A$3:$A$3999=jun!$A28)*(lentry!$B$3:$B$3999&lt;=jun!AB$3)*(lentry!$C$3:$C$3999&gt;=jun!AB$3)),lentry!$D$3:$D$3999),IF(WEEKDAY(jun!AB$3,1)=1,"WO","P"))</f>
        <v>P</v>
      </c>
      <c r="AC28" s="4" t="str">
        <f>IFERROR(LOOKUP(2,1/((lentry!$A$3:$A$3999=jun!$A28)*(lentry!$B$3:$B$3999&lt;=jun!AC$3)*(lentry!$C$3:$C$3999&gt;=jun!AC$3)),lentry!$D$3:$D$3999),IF(WEEKDAY(jun!AC$3,1)=1,"WO","P"))</f>
        <v>P</v>
      </c>
      <c r="AD28" s="4" t="str">
        <f>IFERROR(LOOKUP(2,1/((lentry!$A$3:$A$3999=jun!$A28)*(lentry!$B$3:$B$3999&lt;=jun!AD$3)*(lentry!$C$3:$C$3999&gt;=jun!AD$3)),lentry!$D$3:$D$3999),IF(WEEKDAY(jun!AD$3,1)=1,"WO","P"))</f>
        <v>P</v>
      </c>
      <c r="AE28" s="4" t="str">
        <f>IFERROR(LOOKUP(2,1/((lentry!$A$3:$A$3999=jun!$A28)*(lentry!$B$3:$B$3999&lt;=jun!AE$3)*(lentry!$C$3:$C$3999&gt;=jun!AE$3)),lentry!$D$3:$D$3999),IF(WEEKDAY(jun!AE$3,1)=1,"WO","P"))</f>
        <v>P</v>
      </c>
      <c r="AF28" s="4" t="str">
        <f>IFERROR(LOOKUP(2,1/((lentry!$A$3:$A$3999=jun!$A28)*(lentry!$B$3:$B$3999&lt;=jun!AF$3)*(lentry!$C$3:$C$3999&gt;=jun!AF$3)),lentry!$D$3:$D$3999),IF(WEEKDAY(jun!AF$3,1)=1,"WO","P"))</f>
        <v>P</v>
      </c>
      <c r="AG28" s="4" t="str">
        <f>IFERROR(LOOKUP(2,1/((lentry!$A$3:$A$3999=jun!$A28)*(lentry!$B$3:$B$3999&lt;=jun!AG$3)*(lentry!$C$3:$C$3999&gt;=jun!AG$3)),lentry!$D$3:$D$3999),IF(WEEKDAY(jun!AG$3,1)=1,"WO","P"))</f>
        <v>WO</v>
      </c>
      <c r="AH28" s="4" t="str">
        <f>IFERROR(LOOKUP(2,1/((lentry!$A$3:$A$3999=jun!$A28)*(lentry!$B$3:$B$3999&lt;=jun!AH$3)*(lentry!$C$3:$C$3999&gt;=jun!AH$3)),lentry!$D$3:$D$3999),IF(WEEKDAY(jun!AH$3,1)=1,"WO","P"))</f>
        <v>P</v>
      </c>
      <c r="AI28" s="4" t="str">
        <f>IFERROR(LOOKUP(2,1/((lentry!$A$3:$A$3999=jun!$A28)*(lentry!$B$3:$B$3999&lt;=jun!AI$3)*(lentry!$C$3:$C$3999&gt;=jun!AI$3)),lentry!$D$3:$D$3999),IF(WEEKDAY(jun!AI$3,1)=1,"WO","P"))</f>
        <v>P</v>
      </c>
      <c r="AJ28" s="4">
        <f>COUNTIF(jun!$F28:$AI28,"WO")</f>
        <v>4</v>
      </c>
      <c r="AK28" s="4">
        <f>COUNTIF(jun!$F28:$AI28,"H")</f>
        <v>0</v>
      </c>
      <c r="AL28" s="4">
        <f>COUNTIF(jun!$F28:$AI28,"PL")</f>
        <v>0</v>
      </c>
      <c r="AM28" s="4">
        <f>COUNTIF(jun!$F28:$AI28,"LWP")</f>
        <v>0</v>
      </c>
      <c r="AN28" s="4">
        <f>COUNTIF(jun!$F28:$AI28,"HD")</f>
        <v>0</v>
      </c>
      <c r="AO28" s="4">
        <f>COUNTIF(jun!$F28:$AI28,"SL")</f>
        <v>0</v>
      </c>
      <c r="AP28" s="4">
        <f>COUNTIF(jun!$F28:$AI28,"CL")</f>
        <v>0</v>
      </c>
      <c r="AQ28" s="4">
        <f>COUNTIF(jun!$F28:$AI28,"A")</f>
        <v>0</v>
      </c>
      <c r="AR28" s="4">
        <f>COUNTIF(jun!$F28:$AI28,"P")</f>
        <v>26</v>
      </c>
      <c r="AS28" s="4">
        <f t="shared" si="2"/>
        <v>30</v>
      </c>
      <c r="AT28" s="4">
        <f t="shared" si="3"/>
        <v>30</v>
      </c>
      <c r="AU28" s="4">
        <f>SUMIFS(holly!$L$2:$L$122,holly!$I$2:$I$122,mar!$A28,holly!$K$2:$K$122,"Mar")</f>
        <v>0</v>
      </c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</row>
    <row r="29" spans="1:79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IFERROR(LOOKUP(2,1/((lentry!$A$3:$A$3999=jun!$A29)*(lentry!$B$3:$B$3999&lt;=jun!F$3)*(lentry!$C$3:$C$3999&gt;=jun!F$3)),lentry!$D$3:$D$3999),IF(WEEKDAY(jun!F$3,1)=1,"WO","P"))</f>
        <v>P</v>
      </c>
      <c r="G29" s="4" t="str">
        <f>IFERROR(LOOKUP(2,1/((lentry!$A$3:$A$3999=jun!$A29)*(lentry!$B$3:$B$3999&lt;=jun!G$3)*(lentry!$C$3:$C$3999&gt;=jun!G$3)),lentry!$D$3:$D$3999),IF(WEEKDAY(jun!G$3,1)=1,"WO","P"))</f>
        <v>P</v>
      </c>
      <c r="H29" s="4" t="str">
        <f>IFERROR(LOOKUP(2,1/((lentry!$A$3:$A$3999=jun!$A29)*(lentry!$B$3:$B$3999&lt;=jun!H$3)*(lentry!$C$3:$C$3999&gt;=jun!H$3)),lentry!$D$3:$D$3999),IF(WEEKDAY(jun!H$3,1)=1,"WO","P"))</f>
        <v>P</v>
      </c>
      <c r="I29" s="4" t="str">
        <f>IFERROR(LOOKUP(2,1/((lentry!$A$3:$A$3999=jun!$A29)*(lentry!$B$3:$B$3999&lt;=jun!I$3)*(lentry!$C$3:$C$3999&gt;=jun!I$3)),lentry!$D$3:$D$3999),IF(WEEKDAY(jun!I$3,1)=1,"WO","P"))</f>
        <v>P</v>
      </c>
      <c r="J29" s="4" t="str">
        <f>IFERROR(LOOKUP(2,1/((lentry!$A$3:$A$3999=jun!$A29)*(lentry!$B$3:$B$3999&lt;=jun!J$3)*(lentry!$C$3:$C$3999&gt;=jun!J$3)),lentry!$D$3:$D$3999),IF(WEEKDAY(jun!J$3,1)=1,"WO","P"))</f>
        <v>P</v>
      </c>
      <c r="K29" s="4" t="str">
        <f>IFERROR(LOOKUP(2,1/((lentry!$A$3:$A$3999=jun!$A29)*(lentry!$B$3:$B$3999&lt;=jun!K$3)*(lentry!$C$3:$C$3999&gt;=jun!K$3)),lentry!$D$3:$D$3999),IF(WEEKDAY(jun!K$3,1)=1,"WO","P"))</f>
        <v>P</v>
      </c>
      <c r="L29" s="4" t="str">
        <f>IFERROR(LOOKUP(2,1/((lentry!$A$3:$A$3999=jun!$A29)*(lentry!$B$3:$B$3999&lt;=jun!L$3)*(lentry!$C$3:$C$3999&gt;=jun!L$3)),lentry!$D$3:$D$3999),IF(WEEKDAY(jun!L$3,1)=1,"WO","P"))</f>
        <v>WO</v>
      </c>
      <c r="M29" s="4" t="str">
        <f>IFERROR(LOOKUP(2,1/((lentry!$A$3:$A$3999=jun!$A29)*(lentry!$B$3:$B$3999&lt;=jun!M$3)*(lentry!$C$3:$C$3999&gt;=jun!M$3)),lentry!$D$3:$D$3999),IF(WEEKDAY(jun!M$3,1)=1,"WO","P"))</f>
        <v>P</v>
      </c>
      <c r="N29" s="4" t="str">
        <f>IFERROR(LOOKUP(2,1/((lentry!$A$3:$A$3999=jun!$A29)*(lentry!$B$3:$B$3999&lt;=jun!N$3)*(lentry!$C$3:$C$3999&gt;=jun!N$3)),lentry!$D$3:$D$3999),IF(WEEKDAY(jun!N$3,1)=1,"WO","P"))</f>
        <v>P</v>
      </c>
      <c r="O29" s="4" t="str">
        <f>IFERROR(LOOKUP(2,1/((lentry!$A$3:$A$3999=jun!$A29)*(lentry!$B$3:$B$3999&lt;=jun!O$3)*(lentry!$C$3:$C$3999&gt;=jun!O$3)),lentry!$D$3:$D$3999),IF(WEEKDAY(jun!O$3,1)=1,"WO","P"))</f>
        <v>P</v>
      </c>
      <c r="P29" s="4" t="str">
        <f>IFERROR(LOOKUP(2,1/((lentry!$A$3:$A$3999=jun!$A29)*(lentry!$B$3:$B$3999&lt;=jun!P$3)*(lentry!$C$3:$C$3999&gt;=jun!P$3)),lentry!$D$3:$D$3999),IF(WEEKDAY(jun!P$3,1)=1,"WO","P"))</f>
        <v>P</v>
      </c>
      <c r="Q29" s="4" t="str">
        <f>IFERROR(LOOKUP(2,1/((lentry!$A$3:$A$3999=jun!$A29)*(lentry!$B$3:$B$3999&lt;=jun!Q$3)*(lentry!$C$3:$C$3999&gt;=jun!Q$3)),lentry!$D$3:$D$3999),IF(WEEKDAY(jun!Q$3,1)=1,"WO","P"))</f>
        <v>P</v>
      </c>
      <c r="R29" s="4" t="str">
        <f>IFERROR(LOOKUP(2,1/((lentry!$A$3:$A$3999=jun!$A29)*(lentry!$B$3:$B$3999&lt;=jun!R$3)*(lentry!$C$3:$C$3999&gt;=jun!R$3)),lentry!$D$3:$D$3999),IF(WEEKDAY(jun!R$3,1)=1,"WO","P"))</f>
        <v>P</v>
      </c>
      <c r="S29" s="4" t="str">
        <f>IFERROR(LOOKUP(2,1/((lentry!$A$3:$A$3999=jun!$A29)*(lentry!$B$3:$B$3999&lt;=jun!S$3)*(lentry!$C$3:$C$3999&gt;=jun!S$3)),lentry!$D$3:$D$3999),IF(WEEKDAY(jun!S$3,1)=1,"WO","P"))</f>
        <v>WO</v>
      </c>
      <c r="T29" s="4" t="str">
        <f>IFERROR(LOOKUP(2,1/((lentry!$A$3:$A$3999=jun!$A29)*(lentry!$B$3:$B$3999&lt;=jun!T$3)*(lentry!$C$3:$C$3999&gt;=jun!T$3)),lentry!$D$3:$D$3999),IF(WEEKDAY(jun!T$3,1)=1,"WO","P"))</f>
        <v>P</v>
      </c>
      <c r="U29" s="4" t="str">
        <f>IFERROR(LOOKUP(2,1/((lentry!$A$3:$A$3999=jun!$A29)*(lentry!$B$3:$B$3999&lt;=jun!U$3)*(lentry!$C$3:$C$3999&gt;=jun!U$3)),lentry!$D$3:$D$3999),IF(WEEKDAY(jun!U$3,1)=1,"WO","P"))</f>
        <v>P</v>
      </c>
      <c r="V29" s="4" t="str">
        <f>IFERROR(LOOKUP(2,1/((lentry!$A$3:$A$3999=jun!$A29)*(lentry!$B$3:$B$3999&lt;=jun!V$3)*(lentry!$C$3:$C$3999&gt;=jun!V$3)),lentry!$D$3:$D$3999),IF(WEEKDAY(jun!V$3,1)=1,"WO","P"))</f>
        <v>P</v>
      </c>
      <c r="W29" s="4" t="s">
        <v>539</v>
      </c>
      <c r="X29" s="4" t="str">
        <f>IFERROR(LOOKUP(2,1/((lentry!$A$3:$A$3999=jun!$A29)*(lentry!$B$3:$B$3999&lt;=jun!X$3)*(lentry!$C$3:$C$3999&gt;=jun!X$3)),lentry!$D$3:$D$3999),IF(WEEKDAY(jun!X$3,1)=1,"WO","P"))</f>
        <v>P</v>
      </c>
      <c r="Y29" s="4" t="str">
        <f>IFERROR(LOOKUP(2,1/((lentry!$A$3:$A$3999=jun!$A29)*(lentry!$B$3:$B$3999&lt;=jun!Y$3)*(lentry!$C$3:$C$3999&gt;=jun!Y$3)),lentry!$D$3:$D$3999),IF(WEEKDAY(jun!Y$3,1)=1,"WO","P"))</f>
        <v>P</v>
      </c>
      <c r="Z29" s="4" t="str">
        <f>IFERROR(LOOKUP(2,1/((lentry!$A$3:$A$3999=jun!$A29)*(lentry!$B$3:$B$3999&lt;=jun!Z$3)*(lentry!$C$3:$C$3999&gt;=jun!Z$3)),lentry!$D$3:$D$3999),IF(WEEKDAY(jun!Z$3,1)=1,"WO","P"))</f>
        <v>WO</v>
      </c>
      <c r="AA29" s="4" t="str">
        <f>IFERROR(LOOKUP(2,1/((lentry!$A$3:$A$3999=jun!$A29)*(lentry!$B$3:$B$3999&lt;=jun!AA$3)*(lentry!$C$3:$C$3999&gt;=jun!AA$3)),lentry!$D$3:$D$3999),IF(WEEKDAY(jun!AA$3,1)=1,"WO","P"))</f>
        <v>P</v>
      </c>
      <c r="AB29" s="4" t="str">
        <f>IFERROR(LOOKUP(2,1/((lentry!$A$3:$A$3999=jun!$A29)*(lentry!$B$3:$B$3999&lt;=jun!AB$3)*(lentry!$C$3:$C$3999&gt;=jun!AB$3)),lentry!$D$3:$D$3999),IF(WEEKDAY(jun!AB$3,1)=1,"WO","P"))</f>
        <v>P</v>
      </c>
      <c r="AC29" s="4" t="str">
        <f>IFERROR(LOOKUP(2,1/((lentry!$A$3:$A$3999=jun!$A29)*(lentry!$B$3:$B$3999&lt;=jun!AC$3)*(lentry!$C$3:$C$3999&gt;=jun!AC$3)),lentry!$D$3:$D$3999),IF(WEEKDAY(jun!AC$3,1)=1,"WO","P"))</f>
        <v>P</v>
      </c>
      <c r="AD29" s="4" t="str">
        <f>IFERROR(LOOKUP(2,1/((lentry!$A$3:$A$3999=jun!$A29)*(lentry!$B$3:$B$3999&lt;=jun!AD$3)*(lentry!$C$3:$C$3999&gt;=jun!AD$3)),lentry!$D$3:$D$3999),IF(WEEKDAY(jun!AD$3,1)=1,"WO","P"))</f>
        <v>P</v>
      </c>
      <c r="AE29" s="4" t="str">
        <f>IFERROR(LOOKUP(2,1/((lentry!$A$3:$A$3999=jun!$A29)*(lentry!$B$3:$B$3999&lt;=jun!AE$3)*(lentry!$C$3:$C$3999&gt;=jun!AE$3)),lentry!$D$3:$D$3999),IF(WEEKDAY(jun!AE$3,1)=1,"WO","P"))</f>
        <v>P</v>
      </c>
      <c r="AF29" s="4" t="str">
        <f>IFERROR(LOOKUP(2,1/((lentry!$A$3:$A$3999=jun!$A29)*(lentry!$B$3:$B$3999&lt;=jun!AF$3)*(lentry!$C$3:$C$3999&gt;=jun!AF$3)),lentry!$D$3:$D$3999),IF(WEEKDAY(jun!AF$3,1)=1,"WO","P"))</f>
        <v>P</v>
      </c>
      <c r="AG29" s="4" t="str">
        <f>IFERROR(LOOKUP(2,1/((lentry!$A$3:$A$3999=jun!$A29)*(lentry!$B$3:$B$3999&lt;=jun!AG$3)*(lentry!$C$3:$C$3999&gt;=jun!AG$3)),lentry!$D$3:$D$3999),IF(WEEKDAY(jun!AG$3,1)=1,"WO","P"))</f>
        <v>WO</v>
      </c>
      <c r="AH29" s="4" t="str">
        <f>IFERROR(LOOKUP(2,1/((lentry!$A$3:$A$3999=jun!$A29)*(lentry!$B$3:$B$3999&lt;=jun!AH$3)*(lentry!$C$3:$C$3999&gt;=jun!AH$3)),lentry!$D$3:$D$3999),IF(WEEKDAY(jun!AH$3,1)=1,"WO","P"))</f>
        <v>P</v>
      </c>
      <c r="AI29" s="4" t="str">
        <f>IFERROR(LOOKUP(2,1/((lentry!$A$3:$A$3999=jun!$A29)*(lentry!$B$3:$B$3999&lt;=jun!AI$3)*(lentry!$C$3:$C$3999&gt;=jun!AI$3)),lentry!$D$3:$D$3999),IF(WEEKDAY(jun!AI$3,1)=1,"WO","P"))</f>
        <v>P</v>
      </c>
      <c r="AJ29" s="4">
        <f>COUNTIF(jun!$F29:$AI29,"WO")</f>
        <v>4</v>
      </c>
      <c r="AK29" s="4">
        <f>COUNTIF(jun!$F29:$AI29,"H")</f>
        <v>0</v>
      </c>
      <c r="AL29" s="4">
        <f>COUNTIF(jun!$F29:$AI29,"PL")</f>
        <v>0</v>
      </c>
      <c r="AM29" s="4">
        <f>COUNTIF(jun!$F29:$AI29,"LWP")</f>
        <v>0</v>
      </c>
      <c r="AN29" s="4">
        <f>COUNTIF(jun!$F29:$AI29,"HD")</f>
        <v>0</v>
      </c>
      <c r="AO29" s="4">
        <f>COUNTIF(jun!$F29:$AI29,"SL")</f>
        <v>0</v>
      </c>
      <c r="AP29" s="4">
        <f>COUNTIF(jun!$F29:$AI29,"CL")</f>
        <v>0</v>
      </c>
      <c r="AQ29" s="4">
        <f>COUNTIF(jun!$F29:$AI29,"A")</f>
        <v>1</v>
      </c>
      <c r="AR29" s="4">
        <f>COUNTIF(jun!$F29:$AI29,"P")</f>
        <v>25</v>
      </c>
      <c r="AS29" s="4">
        <f t="shared" si="2"/>
        <v>30</v>
      </c>
      <c r="AT29" s="4">
        <f t="shared" si="3"/>
        <v>29</v>
      </c>
      <c r="AU29" s="4">
        <f>SUMIFS(holly!$L$2:$L$122,holly!$I$2:$I$122,mar!$A29,holly!$K$2:$K$122,"Mar")</f>
        <v>0</v>
      </c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</row>
    <row r="30" spans="1:79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IFERROR(LOOKUP(2,1/((lentry!$A$3:$A$3999=jun!$A30)*(lentry!$B$3:$B$3999&lt;=jun!F$3)*(lentry!$C$3:$C$3999&gt;=jun!F$3)),lentry!$D$3:$D$3999),IF(WEEKDAY(jun!F$3,1)=1,"WO","P"))</f>
        <v>P</v>
      </c>
      <c r="G30" s="4" t="s">
        <v>539</v>
      </c>
      <c r="H30" s="4" t="str">
        <f>IFERROR(LOOKUP(2,1/((lentry!$A$3:$A$3999=jun!$A30)*(lentry!$B$3:$B$3999&lt;=jun!H$3)*(lentry!$C$3:$C$3999&gt;=jun!H$3)),lentry!$D$3:$D$3999),IF(WEEKDAY(jun!H$3,1)=1,"WO","P"))</f>
        <v>P</v>
      </c>
      <c r="I30" s="4" t="str">
        <f>IFERROR(LOOKUP(2,1/((lentry!$A$3:$A$3999=jun!$A30)*(lentry!$B$3:$B$3999&lt;=jun!I$3)*(lentry!$C$3:$C$3999&gt;=jun!I$3)),lentry!$D$3:$D$3999),IF(WEEKDAY(jun!I$3,1)=1,"WO","P"))</f>
        <v>P</v>
      </c>
      <c r="J30" s="4" t="str">
        <f>IFERROR(LOOKUP(2,1/((lentry!$A$3:$A$3999=jun!$A30)*(lentry!$B$3:$B$3999&lt;=jun!J$3)*(lentry!$C$3:$C$3999&gt;=jun!J$3)),lentry!$D$3:$D$3999),IF(WEEKDAY(jun!J$3,1)=1,"WO","P"))</f>
        <v>P</v>
      </c>
      <c r="K30" s="4" t="str">
        <f>IFERROR(LOOKUP(2,1/((lentry!$A$3:$A$3999=jun!$A30)*(lentry!$B$3:$B$3999&lt;=jun!K$3)*(lentry!$C$3:$C$3999&gt;=jun!K$3)),lentry!$D$3:$D$3999),IF(WEEKDAY(jun!K$3,1)=1,"WO","P"))</f>
        <v>P</v>
      </c>
      <c r="L30" s="4" t="str">
        <f>IFERROR(LOOKUP(2,1/((lentry!$A$3:$A$3999=jun!$A30)*(lentry!$B$3:$B$3999&lt;=jun!L$3)*(lentry!$C$3:$C$3999&gt;=jun!L$3)),lentry!$D$3:$D$3999),IF(WEEKDAY(jun!L$3,1)=1,"WO","P"))</f>
        <v>WO</v>
      </c>
      <c r="M30" s="4" t="str">
        <f>IFERROR(LOOKUP(2,1/((lentry!$A$3:$A$3999=jun!$A30)*(lentry!$B$3:$B$3999&lt;=jun!M$3)*(lentry!$C$3:$C$3999&gt;=jun!M$3)),lentry!$D$3:$D$3999),IF(WEEKDAY(jun!M$3,1)=1,"WO","P"))</f>
        <v>P</v>
      </c>
      <c r="N30" s="4" t="str">
        <f>IFERROR(LOOKUP(2,1/((lentry!$A$3:$A$3999=jun!$A30)*(lentry!$B$3:$B$3999&lt;=jun!N$3)*(lentry!$C$3:$C$3999&gt;=jun!N$3)),lentry!$D$3:$D$3999),IF(WEEKDAY(jun!N$3,1)=1,"WO","P"))</f>
        <v>P</v>
      </c>
      <c r="O30" s="4" t="str">
        <f>IFERROR(LOOKUP(2,1/((lentry!$A$3:$A$3999=jun!$A30)*(lentry!$B$3:$B$3999&lt;=jun!O$3)*(lentry!$C$3:$C$3999&gt;=jun!O$3)),lentry!$D$3:$D$3999),IF(WEEKDAY(jun!O$3,1)=1,"WO","P"))</f>
        <v>P</v>
      </c>
      <c r="P30" s="4" t="str">
        <f>IFERROR(LOOKUP(2,1/((lentry!$A$3:$A$3999=jun!$A30)*(lentry!$B$3:$B$3999&lt;=jun!P$3)*(lentry!$C$3:$C$3999&gt;=jun!P$3)),lentry!$D$3:$D$3999),IF(WEEKDAY(jun!P$3,1)=1,"WO","P"))</f>
        <v>P</v>
      </c>
      <c r="Q30" s="4" t="str">
        <f>IFERROR(LOOKUP(2,1/((lentry!$A$3:$A$3999=jun!$A30)*(lentry!$B$3:$B$3999&lt;=jun!Q$3)*(lentry!$C$3:$C$3999&gt;=jun!Q$3)),lentry!$D$3:$D$3999),IF(WEEKDAY(jun!Q$3,1)=1,"WO","P"))</f>
        <v>P</v>
      </c>
      <c r="R30" s="4" t="str">
        <f>IFERROR(LOOKUP(2,1/((lentry!$A$3:$A$3999=jun!$A30)*(lentry!$B$3:$B$3999&lt;=jun!R$3)*(lentry!$C$3:$C$3999&gt;=jun!R$3)),lentry!$D$3:$D$3999),IF(WEEKDAY(jun!R$3,1)=1,"WO","P"))</f>
        <v>P</v>
      </c>
      <c r="S30" s="4" t="str">
        <f>IFERROR(LOOKUP(2,1/((lentry!$A$3:$A$3999=jun!$A30)*(lentry!$B$3:$B$3999&lt;=jun!S$3)*(lentry!$C$3:$C$3999&gt;=jun!S$3)),lentry!$D$3:$D$3999),IF(WEEKDAY(jun!S$3,1)=1,"WO","P"))</f>
        <v>WO</v>
      </c>
      <c r="T30" s="4" t="str">
        <f>IFERROR(LOOKUP(2,1/((lentry!$A$3:$A$3999=jun!$A30)*(lentry!$B$3:$B$3999&lt;=jun!T$3)*(lentry!$C$3:$C$3999&gt;=jun!T$3)),lentry!$D$3:$D$3999),IF(WEEKDAY(jun!T$3,1)=1,"WO","P"))</f>
        <v>P</v>
      </c>
      <c r="U30" s="4" t="str">
        <f>IFERROR(LOOKUP(2,1/((lentry!$A$3:$A$3999=jun!$A30)*(lentry!$B$3:$B$3999&lt;=jun!U$3)*(lentry!$C$3:$C$3999&gt;=jun!U$3)),lentry!$D$3:$D$3999),IF(WEEKDAY(jun!U$3,1)=1,"WO","P"))</f>
        <v>P</v>
      </c>
      <c r="V30" s="4" t="str">
        <f>IFERROR(LOOKUP(2,1/((lentry!$A$3:$A$3999=jun!$A30)*(lentry!$B$3:$B$3999&lt;=jun!V$3)*(lentry!$C$3:$C$3999&gt;=jun!V$3)),lentry!$D$3:$D$3999),IF(WEEKDAY(jun!V$3,1)=1,"WO","P"))</f>
        <v>P</v>
      </c>
      <c r="W30" s="4" t="str">
        <f>IFERROR(LOOKUP(2,1/((lentry!$A$3:$A$3999=jun!$A30)*(lentry!$B$3:$B$3999&lt;=jun!W$3)*(lentry!$C$3:$C$3999&gt;=jun!W$3)),lentry!$D$3:$D$3999),IF(WEEKDAY(jun!W$3,1)=1,"WO","P"))</f>
        <v>P</v>
      </c>
      <c r="X30" s="4" t="str">
        <f>IFERROR(LOOKUP(2,1/((lentry!$A$3:$A$3999=jun!$A30)*(lentry!$B$3:$B$3999&lt;=jun!X$3)*(lentry!$C$3:$C$3999&gt;=jun!X$3)),lentry!$D$3:$D$3999),IF(WEEKDAY(jun!X$3,1)=1,"WO","P"))</f>
        <v>P</v>
      </c>
      <c r="Y30" s="4" t="str">
        <f>IFERROR(LOOKUP(2,1/((lentry!$A$3:$A$3999=jun!$A30)*(lentry!$B$3:$B$3999&lt;=jun!Y$3)*(lentry!$C$3:$C$3999&gt;=jun!Y$3)),lentry!$D$3:$D$3999),IF(WEEKDAY(jun!Y$3,1)=1,"WO","P"))</f>
        <v>P</v>
      </c>
      <c r="Z30" s="4" t="str">
        <f>IFERROR(LOOKUP(2,1/((lentry!$A$3:$A$3999=jun!$A30)*(lentry!$B$3:$B$3999&lt;=jun!Z$3)*(lentry!$C$3:$C$3999&gt;=jun!Z$3)),lentry!$D$3:$D$3999),IF(WEEKDAY(jun!Z$3,1)=1,"WO","P"))</f>
        <v>WO</v>
      </c>
      <c r="AA30" s="4" t="str">
        <f>IFERROR(LOOKUP(2,1/((lentry!$A$3:$A$3999=jun!$A30)*(lentry!$B$3:$B$3999&lt;=jun!AA$3)*(lentry!$C$3:$C$3999&gt;=jun!AA$3)),lentry!$D$3:$D$3999),IF(WEEKDAY(jun!AA$3,1)=1,"WO","P"))</f>
        <v>P</v>
      </c>
      <c r="AB30" s="4" t="str">
        <f>IFERROR(LOOKUP(2,1/((lentry!$A$3:$A$3999=jun!$A30)*(lentry!$B$3:$B$3999&lt;=jun!AB$3)*(lentry!$C$3:$C$3999&gt;=jun!AB$3)),lentry!$D$3:$D$3999),IF(WEEKDAY(jun!AB$3,1)=1,"WO","P"))</f>
        <v>P</v>
      </c>
      <c r="AC30" s="4" t="str">
        <f>IFERROR(LOOKUP(2,1/((lentry!$A$3:$A$3999=jun!$A30)*(lentry!$B$3:$B$3999&lt;=jun!AC$3)*(lentry!$C$3:$C$3999&gt;=jun!AC$3)),lentry!$D$3:$D$3999),IF(WEEKDAY(jun!AC$3,1)=1,"WO","P"))</f>
        <v>P</v>
      </c>
      <c r="AD30" s="4" t="s">
        <v>539</v>
      </c>
      <c r="AE30" s="4" t="str">
        <f>IFERROR(LOOKUP(2,1/((lentry!$A$3:$A$3999=jun!$A30)*(lentry!$B$3:$B$3999&lt;=jun!AE$3)*(lentry!$C$3:$C$3999&gt;=jun!AE$3)),lentry!$D$3:$D$3999),IF(WEEKDAY(jun!AE$3,1)=1,"WO","P"))</f>
        <v>P</v>
      </c>
      <c r="AF30" s="4" t="str">
        <f>IFERROR(LOOKUP(2,1/((lentry!$A$3:$A$3999=jun!$A30)*(lentry!$B$3:$B$3999&lt;=jun!AF$3)*(lentry!$C$3:$C$3999&gt;=jun!AF$3)),lentry!$D$3:$D$3999),IF(WEEKDAY(jun!AF$3,1)=1,"WO","P"))</f>
        <v>P</v>
      </c>
      <c r="AG30" s="4" t="str">
        <f>IFERROR(LOOKUP(2,1/((lentry!$A$3:$A$3999=jun!$A30)*(lentry!$B$3:$B$3999&lt;=jun!AG$3)*(lentry!$C$3:$C$3999&gt;=jun!AG$3)),lentry!$D$3:$D$3999),IF(WEEKDAY(jun!AG$3,1)=1,"WO","P"))</f>
        <v>WO</v>
      </c>
      <c r="AH30" s="4" t="str">
        <f>IFERROR(LOOKUP(2,1/((lentry!$A$3:$A$3999=jun!$A30)*(lentry!$B$3:$B$3999&lt;=jun!AH$3)*(lentry!$C$3:$C$3999&gt;=jun!AH$3)),lentry!$D$3:$D$3999),IF(WEEKDAY(jun!AH$3,1)=1,"WO","P"))</f>
        <v>P</v>
      </c>
      <c r="AI30" s="4" t="str">
        <f>IFERROR(LOOKUP(2,1/((lentry!$A$3:$A$3999=jun!$A30)*(lentry!$B$3:$B$3999&lt;=jun!AI$3)*(lentry!$C$3:$C$3999&gt;=jun!AI$3)),lentry!$D$3:$D$3999),IF(WEEKDAY(jun!AI$3,1)=1,"WO","P"))</f>
        <v>P</v>
      </c>
      <c r="AJ30" s="4">
        <f>COUNTIF(jun!$F30:$AI30,"WO")</f>
        <v>4</v>
      </c>
      <c r="AK30" s="4">
        <f>COUNTIF(jun!$F30:$AI30,"H")</f>
        <v>0</v>
      </c>
      <c r="AL30" s="4">
        <f>COUNTIF(jun!$F30:$AI30,"PL")</f>
        <v>0</v>
      </c>
      <c r="AM30" s="4">
        <f>COUNTIF(jun!$F30:$AI30,"LWP")</f>
        <v>0</v>
      </c>
      <c r="AN30" s="4">
        <f>COUNTIF(jun!$F30:$AI30,"HD")</f>
        <v>0</v>
      </c>
      <c r="AO30" s="4">
        <f>COUNTIF(jun!$F30:$AI30,"SL")</f>
        <v>0</v>
      </c>
      <c r="AP30" s="4">
        <f>COUNTIF(jun!$F30:$AI30,"CL")</f>
        <v>0</v>
      </c>
      <c r="AQ30" s="4">
        <f>COUNTIF(jun!$F30:$AI30,"A")</f>
        <v>2</v>
      </c>
      <c r="AR30" s="4">
        <f>COUNTIF(jun!$F30:$AI30,"P")</f>
        <v>24</v>
      </c>
      <c r="AS30" s="4">
        <f t="shared" si="2"/>
        <v>30</v>
      </c>
      <c r="AT30" s="4">
        <f t="shared" si="3"/>
        <v>28</v>
      </c>
      <c r="AU30" s="4">
        <f>SUMIFS(holly!$L$2:$L$122,holly!$I$2:$I$122,mar!$A30,holly!$K$2:$K$122,"Mar")</f>
        <v>0</v>
      </c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</row>
    <row r="31" spans="1:79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IFERROR(LOOKUP(2,1/((lentry!$A$3:$A$3999=jun!$A31)*(lentry!$B$3:$B$3999&lt;=jun!F$3)*(lentry!$C$3:$C$3999&gt;=jun!F$3)),lentry!$D$3:$D$3999),IF(WEEKDAY(jun!F$3,1)=1,"WO","P"))</f>
        <v>P</v>
      </c>
      <c r="G31" s="4" t="str">
        <f>IFERROR(LOOKUP(2,1/((lentry!$A$3:$A$3999=jun!$A31)*(lentry!$B$3:$B$3999&lt;=jun!G$3)*(lentry!$C$3:$C$3999&gt;=jun!G$3)),lentry!$D$3:$D$3999),IF(WEEKDAY(jun!G$3,1)=1,"WO","P"))</f>
        <v>P</v>
      </c>
      <c r="H31" s="4" t="str">
        <f>IFERROR(LOOKUP(2,1/((lentry!$A$3:$A$3999=jun!$A31)*(lentry!$B$3:$B$3999&lt;=jun!H$3)*(lentry!$C$3:$C$3999&gt;=jun!H$3)),lentry!$D$3:$D$3999),IF(WEEKDAY(jun!H$3,1)=1,"WO","P"))</f>
        <v>P</v>
      </c>
      <c r="I31" s="4" t="str">
        <f>IFERROR(LOOKUP(2,1/((lentry!$A$3:$A$3999=jun!$A31)*(lentry!$B$3:$B$3999&lt;=jun!I$3)*(lentry!$C$3:$C$3999&gt;=jun!I$3)),lentry!$D$3:$D$3999),IF(WEEKDAY(jun!I$3,1)=1,"WO","P"))</f>
        <v>P</v>
      </c>
      <c r="J31" s="4" t="str">
        <f>IFERROR(LOOKUP(2,1/((lentry!$A$3:$A$3999=jun!$A31)*(lentry!$B$3:$B$3999&lt;=jun!J$3)*(lentry!$C$3:$C$3999&gt;=jun!J$3)),lentry!$D$3:$D$3999),IF(WEEKDAY(jun!J$3,1)=1,"WO","P"))</f>
        <v>P</v>
      </c>
      <c r="K31" s="4" t="str">
        <f>IFERROR(LOOKUP(2,1/((lentry!$A$3:$A$3999=jun!$A31)*(lentry!$B$3:$B$3999&lt;=jun!K$3)*(lentry!$C$3:$C$3999&gt;=jun!K$3)),lentry!$D$3:$D$3999),IF(WEEKDAY(jun!K$3,1)=1,"WO","P"))</f>
        <v>P</v>
      </c>
      <c r="L31" s="4" t="str">
        <f>IFERROR(LOOKUP(2,1/((lentry!$A$3:$A$3999=jun!$A31)*(lentry!$B$3:$B$3999&lt;=jun!L$3)*(lentry!$C$3:$C$3999&gt;=jun!L$3)),lentry!$D$3:$D$3999),IF(WEEKDAY(jun!L$3,1)=1,"WO","P"))</f>
        <v>WO</v>
      </c>
      <c r="M31" s="4" t="str">
        <f>IFERROR(LOOKUP(2,1/((lentry!$A$3:$A$3999=jun!$A31)*(lentry!$B$3:$B$3999&lt;=jun!M$3)*(lentry!$C$3:$C$3999&gt;=jun!M$3)),lentry!$D$3:$D$3999),IF(WEEKDAY(jun!M$3,1)=1,"WO","P"))</f>
        <v>P</v>
      </c>
      <c r="N31" s="4" t="str">
        <f>IFERROR(LOOKUP(2,1/((lentry!$A$3:$A$3999=jun!$A31)*(lentry!$B$3:$B$3999&lt;=jun!N$3)*(lentry!$C$3:$C$3999&gt;=jun!N$3)),lentry!$D$3:$D$3999),IF(WEEKDAY(jun!N$3,1)=1,"WO","P"))</f>
        <v>P</v>
      </c>
      <c r="O31" s="4" t="str">
        <f>IFERROR(LOOKUP(2,1/((lentry!$A$3:$A$3999=jun!$A31)*(lentry!$B$3:$B$3999&lt;=jun!O$3)*(lentry!$C$3:$C$3999&gt;=jun!O$3)),lentry!$D$3:$D$3999),IF(WEEKDAY(jun!O$3,1)=1,"WO","P"))</f>
        <v>P</v>
      </c>
      <c r="P31" s="4" t="str">
        <f>IFERROR(LOOKUP(2,1/((lentry!$A$3:$A$3999=jun!$A31)*(lentry!$B$3:$B$3999&lt;=jun!P$3)*(lentry!$C$3:$C$3999&gt;=jun!P$3)),lentry!$D$3:$D$3999),IF(WEEKDAY(jun!P$3,1)=1,"WO","P"))</f>
        <v>P</v>
      </c>
      <c r="Q31" s="4" t="str">
        <f>IFERROR(LOOKUP(2,1/((lentry!$A$3:$A$3999=jun!$A31)*(lentry!$B$3:$B$3999&lt;=jun!Q$3)*(lentry!$C$3:$C$3999&gt;=jun!Q$3)),lentry!$D$3:$D$3999),IF(WEEKDAY(jun!Q$3,1)=1,"WO","P"))</f>
        <v>P</v>
      </c>
      <c r="R31" s="4" t="str">
        <f>IFERROR(LOOKUP(2,1/((lentry!$A$3:$A$3999=jun!$A31)*(lentry!$B$3:$B$3999&lt;=jun!R$3)*(lentry!$C$3:$C$3999&gt;=jun!R$3)),lentry!$D$3:$D$3999),IF(WEEKDAY(jun!R$3,1)=1,"WO","P"))</f>
        <v>P</v>
      </c>
      <c r="S31" s="4" t="str">
        <f>IFERROR(LOOKUP(2,1/((lentry!$A$3:$A$3999=jun!$A31)*(lentry!$B$3:$B$3999&lt;=jun!S$3)*(lentry!$C$3:$C$3999&gt;=jun!S$3)),lentry!$D$3:$D$3999),IF(WEEKDAY(jun!S$3,1)=1,"WO","P"))</f>
        <v>WO</v>
      </c>
      <c r="T31" s="4" t="str">
        <f>IFERROR(LOOKUP(2,1/((lentry!$A$3:$A$3999=jun!$A31)*(lentry!$B$3:$B$3999&lt;=jun!T$3)*(lentry!$C$3:$C$3999&gt;=jun!T$3)),lentry!$D$3:$D$3999),IF(WEEKDAY(jun!T$3,1)=1,"WO","P"))</f>
        <v>P</v>
      </c>
      <c r="U31" s="4" t="str">
        <f>IFERROR(LOOKUP(2,1/((lentry!$A$3:$A$3999=jun!$A31)*(lentry!$B$3:$B$3999&lt;=jun!U$3)*(lentry!$C$3:$C$3999&gt;=jun!U$3)),lentry!$D$3:$D$3999),IF(WEEKDAY(jun!U$3,1)=1,"WO","P"))</f>
        <v>P</v>
      </c>
      <c r="V31" s="4" t="str">
        <f>IFERROR(LOOKUP(2,1/((lentry!$A$3:$A$3999=jun!$A31)*(lentry!$B$3:$B$3999&lt;=jun!V$3)*(lentry!$C$3:$C$3999&gt;=jun!V$3)),lentry!$D$3:$D$3999),IF(WEEKDAY(jun!V$3,1)=1,"WO","P"))</f>
        <v>P</v>
      </c>
      <c r="W31" s="4" t="str">
        <f>IFERROR(LOOKUP(2,1/((lentry!$A$3:$A$3999=jun!$A31)*(lentry!$B$3:$B$3999&lt;=jun!W$3)*(lentry!$C$3:$C$3999&gt;=jun!W$3)),lentry!$D$3:$D$3999),IF(WEEKDAY(jun!W$3,1)=1,"WO","P"))</f>
        <v>P</v>
      </c>
      <c r="X31" s="4" t="str">
        <f>IFERROR(LOOKUP(2,1/((lentry!$A$3:$A$3999=jun!$A31)*(lentry!$B$3:$B$3999&lt;=jun!X$3)*(lentry!$C$3:$C$3999&gt;=jun!X$3)),lentry!$D$3:$D$3999),IF(WEEKDAY(jun!X$3,1)=1,"WO","P"))</f>
        <v>P</v>
      </c>
      <c r="Y31" s="4" t="str">
        <f>IFERROR(LOOKUP(2,1/((lentry!$A$3:$A$3999=jun!$A31)*(lentry!$B$3:$B$3999&lt;=jun!Y$3)*(lentry!$C$3:$C$3999&gt;=jun!Y$3)),lentry!$D$3:$D$3999),IF(WEEKDAY(jun!Y$3,1)=1,"WO","P"))</f>
        <v>P</v>
      </c>
      <c r="Z31" s="4" t="str">
        <f>IFERROR(LOOKUP(2,1/((lentry!$A$3:$A$3999=jun!$A31)*(lentry!$B$3:$B$3999&lt;=jun!Z$3)*(lentry!$C$3:$C$3999&gt;=jun!Z$3)),lentry!$D$3:$D$3999),IF(WEEKDAY(jun!Z$3,1)=1,"WO","P"))</f>
        <v>WO</v>
      </c>
      <c r="AA31" s="4" t="str">
        <f>IFERROR(LOOKUP(2,1/((lentry!$A$3:$A$3999=jun!$A31)*(lentry!$B$3:$B$3999&lt;=jun!AA$3)*(lentry!$C$3:$C$3999&gt;=jun!AA$3)),lentry!$D$3:$D$3999),IF(WEEKDAY(jun!AA$3,1)=1,"WO","P"))</f>
        <v>P</v>
      </c>
      <c r="AB31" s="4" t="str">
        <f>IFERROR(LOOKUP(2,1/((lentry!$A$3:$A$3999=jun!$A31)*(lentry!$B$3:$B$3999&lt;=jun!AB$3)*(lentry!$C$3:$C$3999&gt;=jun!AB$3)),lentry!$D$3:$D$3999),IF(WEEKDAY(jun!AB$3,1)=1,"WO","P"))</f>
        <v>P</v>
      </c>
      <c r="AC31" s="4" t="str">
        <f>IFERROR(LOOKUP(2,1/((lentry!$A$3:$A$3999=jun!$A31)*(lentry!$B$3:$B$3999&lt;=jun!AC$3)*(lentry!$C$3:$C$3999&gt;=jun!AC$3)),lentry!$D$3:$D$3999),IF(WEEKDAY(jun!AC$3,1)=1,"WO","P"))</f>
        <v>P</v>
      </c>
      <c r="AD31" s="4" t="str">
        <f>IFERROR(LOOKUP(2,1/((lentry!$A$3:$A$3999=jun!$A31)*(lentry!$B$3:$B$3999&lt;=jun!AD$3)*(lentry!$C$3:$C$3999&gt;=jun!AD$3)),lentry!$D$3:$D$3999),IF(WEEKDAY(jun!AD$3,1)=1,"WO","P"))</f>
        <v>P</v>
      </c>
      <c r="AE31" s="4" t="str">
        <f>IFERROR(LOOKUP(2,1/((lentry!$A$3:$A$3999=jun!$A31)*(lentry!$B$3:$B$3999&lt;=jun!AE$3)*(lentry!$C$3:$C$3999&gt;=jun!AE$3)),lentry!$D$3:$D$3999),IF(WEEKDAY(jun!AE$3,1)=1,"WO","P"))</f>
        <v>P</v>
      </c>
      <c r="AF31" s="4" t="str">
        <f>IFERROR(LOOKUP(2,1/((lentry!$A$3:$A$3999=jun!$A31)*(lentry!$B$3:$B$3999&lt;=jun!AF$3)*(lentry!$C$3:$C$3999&gt;=jun!AF$3)),lentry!$D$3:$D$3999),IF(WEEKDAY(jun!AF$3,1)=1,"WO","P"))</f>
        <v>P</v>
      </c>
      <c r="AG31" s="4" t="str">
        <f>IFERROR(LOOKUP(2,1/((lentry!$A$3:$A$3999=jun!$A31)*(lentry!$B$3:$B$3999&lt;=jun!AG$3)*(lentry!$C$3:$C$3999&gt;=jun!AG$3)),lentry!$D$3:$D$3999),IF(WEEKDAY(jun!AG$3,1)=1,"WO","P"))</f>
        <v>WO</v>
      </c>
      <c r="AH31" s="4" t="str">
        <f>IFERROR(LOOKUP(2,1/((lentry!$A$3:$A$3999=jun!$A31)*(lentry!$B$3:$B$3999&lt;=jun!AH$3)*(lentry!$C$3:$C$3999&gt;=jun!AH$3)),lentry!$D$3:$D$3999),IF(WEEKDAY(jun!AH$3,1)=1,"WO","P"))</f>
        <v>P</v>
      </c>
      <c r="AI31" s="4" t="str">
        <f>IFERROR(LOOKUP(2,1/((lentry!$A$3:$A$3999=jun!$A31)*(lentry!$B$3:$B$3999&lt;=jun!AI$3)*(lentry!$C$3:$C$3999&gt;=jun!AI$3)),lentry!$D$3:$D$3999),IF(WEEKDAY(jun!AI$3,1)=1,"WO","P"))</f>
        <v>P</v>
      </c>
      <c r="AJ31" s="4">
        <f>COUNTIF(jun!$F31:$AI31,"WO")</f>
        <v>4</v>
      </c>
      <c r="AK31" s="4">
        <f>COUNTIF(jun!$F31:$AI31,"H")</f>
        <v>0</v>
      </c>
      <c r="AL31" s="4">
        <f>COUNTIF(jun!$F31:$AI31,"PL")</f>
        <v>0</v>
      </c>
      <c r="AM31" s="4">
        <f>COUNTIF(jun!$F31:$AI31,"LWP")</f>
        <v>0</v>
      </c>
      <c r="AN31" s="4">
        <f>COUNTIF(jun!$F31:$AI31,"HD")</f>
        <v>0</v>
      </c>
      <c r="AO31" s="4">
        <f>COUNTIF(jun!$F31:$AI31,"SL")</f>
        <v>0</v>
      </c>
      <c r="AP31" s="4">
        <f>COUNTIF(jun!$F31:$AI31,"CL")</f>
        <v>0</v>
      </c>
      <c r="AQ31" s="4">
        <f>COUNTIF(jun!$F31:$AI31,"A")</f>
        <v>0</v>
      </c>
      <c r="AR31" s="4">
        <f>COUNTIF(jun!$F31:$AI31,"P")</f>
        <v>26</v>
      </c>
      <c r="AS31" s="4">
        <f t="shared" si="2"/>
        <v>30</v>
      </c>
      <c r="AT31" s="4">
        <f t="shared" si="3"/>
        <v>30</v>
      </c>
      <c r="AU31" s="4">
        <f>SUMIFS(holly!$L$2:$L$122,holly!$I$2:$I$122,mar!$A31,holly!$K$2:$K$122,"Mar")</f>
        <v>0</v>
      </c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</row>
    <row r="32" spans="1:79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IFERROR(LOOKUP(2,1/((lentry!$A$3:$A$3999=jun!$A32)*(lentry!$B$3:$B$3999&lt;=jun!F$3)*(lentry!$C$3:$C$3999&gt;=jun!F$3)),lentry!$D$3:$D$3999),IF(WEEKDAY(jun!F$3,1)=1,"WO","P"))</f>
        <v>P</v>
      </c>
      <c r="G32" s="4" t="str">
        <f>IFERROR(LOOKUP(2,1/((lentry!$A$3:$A$3999=jun!$A32)*(lentry!$B$3:$B$3999&lt;=jun!G$3)*(lentry!$C$3:$C$3999&gt;=jun!G$3)),lentry!$D$3:$D$3999),IF(WEEKDAY(jun!G$3,1)=1,"WO","P"))</f>
        <v>P</v>
      </c>
      <c r="H32" s="4" t="str">
        <f>IFERROR(LOOKUP(2,1/((lentry!$A$3:$A$3999=jun!$A32)*(lentry!$B$3:$B$3999&lt;=jun!H$3)*(lentry!$C$3:$C$3999&gt;=jun!H$3)),lentry!$D$3:$D$3999),IF(WEEKDAY(jun!H$3,1)=1,"WO","P"))</f>
        <v>P</v>
      </c>
      <c r="I32" s="4" t="str">
        <f>IFERROR(LOOKUP(2,1/((lentry!$A$3:$A$3999=jun!$A32)*(lentry!$B$3:$B$3999&lt;=jun!I$3)*(lentry!$C$3:$C$3999&gt;=jun!I$3)),lentry!$D$3:$D$3999),IF(WEEKDAY(jun!I$3,1)=1,"WO","P"))</f>
        <v>P</v>
      </c>
      <c r="J32" s="4" t="str">
        <f>IFERROR(LOOKUP(2,1/((lentry!$A$3:$A$3999=jun!$A32)*(lentry!$B$3:$B$3999&lt;=jun!J$3)*(lentry!$C$3:$C$3999&gt;=jun!J$3)),lentry!$D$3:$D$3999),IF(WEEKDAY(jun!J$3,1)=1,"WO","P"))</f>
        <v>P</v>
      </c>
      <c r="K32" s="4" t="str">
        <f>IFERROR(LOOKUP(2,1/((lentry!$A$3:$A$3999=jun!$A32)*(lentry!$B$3:$B$3999&lt;=jun!K$3)*(lentry!$C$3:$C$3999&gt;=jun!K$3)),lentry!$D$3:$D$3999),IF(WEEKDAY(jun!K$3,1)=1,"WO","P"))</f>
        <v>P</v>
      </c>
      <c r="L32" s="4" t="str">
        <f>IFERROR(LOOKUP(2,1/((lentry!$A$3:$A$3999=jun!$A32)*(lentry!$B$3:$B$3999&lt;=jun!L$3)*(lentry!$C$3:$C$3999&gt;=jun!L$3)),lentry!$D$3:$D$3999),IF(WEEKDAY(jun!L$3,1)=1,"WO","P"))</f>
        <v>WO</v>
      </c>
      <c r="M32" s="4" t="str">
        <f>IFERROR(LOOKUP(2,1/((lentry!$A$3:$A$3999=jun!$A32)*(lentry!$B$3:$B$3999&lt;=jun!M$3)*(lentry!$C$3:$C$3999&gt;=jun!M$3)),lentry!$D$3:$D$3999),IF(WEEKDAY(jun!M$3,1)=1,"WO","P"))</f>
        <v>P</v>
      </c>
      <c r="N32" s="4" t="str">
        <f>IFERROR(LOOKUP(2,1/((lentry!$A$3:$A$3999=jun!$A32)*(lentry!$B$3:$B$3999&lt;=jun!N$3)*(lentry!$C$3:$C$3999&gt;=jun!N$3)),lentry!$D$3:$D$3999),IF(WEEKDAY(jun!N$3,1)=1,"WO","P"))</f>
        <v>P</v>
      </c>
      <c r="O32" s="4" t="str">
        <f>IFERROR(LOOKUP(2,1/((lentry!$A$3:$A$3999=jun!$A32)*(lentry!$B$3:$B$3999&lt;=jun!O$3)*(lentry!$C$3:$C$3999&gt;=jun!O$3)),lentry!$D$3:$D$3999),IF(WEEKDAY(jun!O$3,1)=1,"WO","P"))</f>
        <v>P</v>
      </c>
      <c r="P32" s="4" t="str">
        <f>IFERROR(LOOKUP(2,1/((lentry!$A$3:$A$3999=jun!$A32)*(lentry!$B$3:$B$3999&lt;=jun!P$3)*(lentry!$C$3:$C$3999&gt;=jun!P$3)),lentry!$D$3:$D$3999),IF(WEEKDAY(jun!P$3,1)=1,"WO","P"))</f>
        <v>P</v>
      </c>
      <c r="Q32" s="4" t="str">
        <f>IFERROR(LOOKUP(2,1/((lentry!$A$3:$A$3999=jun!$A32)*(lentry!$B$3:$B$3999&lt;=jun!Q$3)*(lentry!$C$3:$C$3999&gt;=jun!Q$3)),lentry!$D$3:$D$3999),IF(WEEKDAY(jun!Q$3,1)=1,"WO","P"))</f>
        <v>P</v>
      </c>
      <c r="R32" s="4" t="str">
        <f>IFERROR(LOOKUP(2,1/((lentry!$A$3:$A$3999=jun!$A32)*(lentry!$B$3:$B$3999&lt;=jun!R$3)*(lentry!$C$3:$C$3999&gt;=jun!R$3)),lentry!$D$3:$D$3999),IF(WEEKDAY(jun!R$3,1)=1,"WO","P"))</f>
        <v>P</v>
      </c>
      <c r="S32" s="4" t="str">
        <f>IFERROR(LOOKUP(2,1/((lentry!$A$3:$A$3999=jun!$A32)*(lentry!$B$3:$B$3999&lt;=jun!S$3)*(lentry!$C$3:$C$3999&gt;=jun!S$3)),lentry!$D$3:$D$3999),IF(WEEKDAY(jun!S$3,1)=1,"WO","P"))</f>
        <v>WO</v>
      </c>
      <c r="T32" s="4" t="str">
        <f>IFERROR(LOOKUP(2,1/((lentry!$A$3:$A$3999=jun!$A32)*(lentry!$B$3:$B$3999&lt;=jun!T$3)*(lentry!$C$3:$C$3999&gt;=jun!T$3)),lentry!$D$3:$D$3999),IF(WEEKDAY(jun!T$3,1)=1,"WO","P"))</f>
        <v>P</v>
      </c>
      <c r="U32" s="4" t="str">
        <f>IFERROR(LOOKUP(2,1/((lentry!$A$3:$A$3999=jun!$A32)*(lentry!$B$3:$B$3999&lt;=jun!U$3)*(lentry!$C$3:$C$3999&gt;=jun!U$3)),lentry!$D$3:$D$3999),IF(WEEKDAY(jun!U$3,1)=1,"WO","P"))</f>
        <v>P</v>
      </c>
      <c r="V32" s="4" t="str">
        <f>IFERROR(LOOKUP(2,1/((lentry!$A$3:$A$3999=jun!$A32)*(lentry!$B$3:$B$3999&lt;=jun!V$3)*(lentry!$C$3:$C$3999&gt;=jun!V$3)),lentry!$D$3:$D$3999),IF(WEEKDAY(jun!V$3,1)=1,"WO","P"))</f>
        <v>P</v>
      </c>
      <c r="W32" s="4" t="str">
        <f>IFERROR(LOOKUP(2,1/((lentry!$A$3:$A$3999=jun!$A32)*(lentry!$B$3:$B$3999&lt;=jun!W$3)*(lentry!$C$3:$C$3999&gt;=jun!W$3)),lentry!$D$3:$D$3999),IF(WEEKDAY(jun!W$3,1)=1,"WO","P"))</f>
        <v>P</v>
      </c>
      <c r="X32" s="4" t="str">
        <f>IFERROR(LOOKUP(2,1/((lentry!$A$3:$A$3999=jun!$A32)*(lentry!$B$3:$B$3999&lt;=jun!X$3)*(lentry!$C$3:$C$3999&gt;=jun!X$3)),lentry!$D$3:$D$3999),IF(WEEKDAY(jun!X$3,1)=1,"WO","P"))</f>
        <v>P</v>
      </c>
      <c r="Y32" s="4" t="str">
        <f>IFERROR(LOOKUP(2,1/((lentry!$A$3:$A$3999=jun!$A32)*(lentry!$B$3:$B$3999&lt;=jun!Y$3)*(lentry!$C$3:$C$3999&gt;=jun!Y$3)),lentry!$D$3:$D$3999),IF(WEEKDAY(jun!Y$3,1)=1,"WO","P"))</f>
        <v>P</v>
      </c>
      <c r="Z32" s="4" t="str">
        <f>IFERROR(LOOKUP(2,1/((lentry!$A$3:$A$3999=jun!$A32)*(lentry!$B$3:$B$3999&lt;=jun!Z$3)*(lentry!$C$3:$C$3999&gt;=jun!Z$3)),lentry!$D$3:$D$3999),IF(WEEKDAY(jun!Z$3,1)=1,"WO","P"))</f>
        <v>WO</v>
      </c>
      <c r="AA32" s="4" t="str">
        <f>IFERROR(LOOKUP(2,1/((lentry!$A$3:$A$3999=jun!$A32)*(lentry!$B$3:$B$3999&lt;=jun!AA$3)*(lentry!$C$3:$C$3999&gt;=jun!AA$3)),lentry!$D$3:$D$3999),IF(WEEKDAY(jun!AA$3,1)=1,"WO","P"))</f>
        <v>P</v>
      </c>
      <c r="AB32" s="4" t="str">
        <f>IFERROR(LOOKUP(2,1/((lentry!$A$3:$A$3999=jun!$A32)*(lentry!$B$3:$B$3999&lt;=jun!AB$3)*(lentry!$C$3:$C$3999&gt;=jun!AB$3)),lentry!$D$3:$D$3999),IF(WEEKDAY(jun!AB$3,1)=1,"WO","P"))</f>
        <v>P</v>
      </c>
      <c r="AC32" s="4" t="str">
        <f>IFERROR(LOOKUP(2,1/((lentry!$A$3:$A$3999=jun!$A32)*(lentry!$B$3:$B$3999&lt;=jun!AC$3)*(lentry!$C$3:$C$3999&gt;=jun!AC$3)),lentry!$D$3:$D$3999),IF(WEEKDAY(jun!AC$3,1)=1,"WO","P"))</f>
        <v>P</v>
      </c>
      <c r="AD32" s="4" t="str">
        <f>IFERROR(LOOKUP(2,1/((lentry!$A$3:$A$3999=jun!$A32)*(lentry!$B$3:$B$3999&lt;=jun!AD$3)*(lentry!$C$3:$C$3999&gt;=jun!AD$3)),lentry!$D$3:$D$3999),IF(WEEKDAY(jun!AD$3,1)=1,"WO","P"))</f>
        <v>P</v>
      </c>
      <c r="AE32" s="4" t="str">
        <f>IFERROR(LOOKUP(2,1/((lentry!$A$3:$A$3999=jun!$A32)*(lentry!$B$3:$B$3999&lt;=jun!AE$3)*(lentry!$C$3:$C$3999&gt;=jun!AE$3)),lentry!$D$3:$D$3999),IF(WEEKDAY(jun!AE$3,1)=1,"WO","P"))</f>
        <v>P</v>
      </c>
      <c r="AF32" s="4" t="str">
        <f>IFERROR(LOOKUP(2,1/((lentry!$A$3:$A$3999=jun!$A32)*(lentry!$B$3:$B$3999&lt;=jun!AF$3)*(lentry!$C$3:$C$3999&gt;=jun!AF$3)),lentry!$D$3:$D$3999),IF(WEEKDAY(jun!AF$3,1)=1,"WO","P"))</f>
        <v>P</v>
      </c>
      <c r="AG32" s="4" t="str">
        <f>IFERROR(LOOKUP(2,1/((lentry!$A$3:$A$3999=jun!$A32)*(lentry!$B$3:$B$3999&lt;=jun!AG$3)*(lentry!$C$3:$C$3999&gt;=jun!AG$3)),lentry!$D$3:$D$3999),IF(WEEKDAY(jun!AG$3,1)=1,"WO","P"))</f>
        <v>WO</v>
      </c>
      <c r="AH32" s="4" t="str">
        <f>IFERROR(LOOKUP(2,1/((lentry!$A$3:$A$3999=jun!$A32)*(lentry!$B$3:$B$3999&lt;=jun!AH$3)*(lentry!$C$3:$C$3999&gt;=jun!AH$3)),lentry!$D$3:$D$3999),IF(WEEKDAY(jun!AH$3,1)=1,"WO","P"))</f>
        <v>P</v>
      </c>
      <c r="AI32" s="4" t="str">
        <f>IFERROR(LOOKUP(2,1/((lentry!$A$3:$A$3999=jun!$A32)*(lentry!$B$3:$B$3999&lt;=jun!AI$3)*(lentry!$C$3:$C$3999&gt;=jun!AI$3)),lentry!$D$3:$D$3999),IF(WEEKDAY(jun!AI$3,1)=1,"WO","P"))</f>
        <v>P</v>
      </c>
      <c r="AJ32" s="4">
        <f>COUNTIF(jun!$F32:$AI32,"WO")</f>
        <v>4</v>
      </c>
      <c r="AK32" s="4">
        <f>COUNTIF(jun!$F32:$AI32,"H")</f>
        <v>0</v>
      </c>
      <c r="AL32" s="4">
        <f>COUNTIF(jun!$F32:$AI32,"PL")</f>
        <v>0</v>
      </c>
      <c r="AM32" s="4">
        <f>COUNTIF(jun!$F32:$AI32,"LWP")</f>
        <v>0</v>
      </c>
      <c r="AN32" s="4">
        <f>COUNTIF(jun!$F32:$AI32,"HD")</f>
        <v>0</v>
      </c>
      <c r="AO32" s="4">
        <f>COUNTIF(jun!$F32:$AI32,"SL")</f>
        <v>0</v>
      </c>
      <c r="AP32" s="4">
        <f>COUNTIF(jun!$F32:$AI32,"CL")</f>
        <v>0</v>
      </c>
      <c r="AQ32" s="4">
        <f>COUNTIF(jun!$F32:$AI32,"A")</f>
        <v>0</v>
      </c>
      <c r="AR32" s="4">
        <f>COUNTIF(jun!$F32:$AI32,"P")</f>
        <v>26</v>
      </c>
      <c r="AS32" s="4">
        <f t="shared" si="2"/>
        <v>30</v>
      </c>
      <c r="AT32" s="4">
        <f t="shared" si="3"/>
        <v>30</v>
      </c>
      <c r="AU32" s="4">
        <f>SUMIFS(holly!$L$2:$L$122,holly!$I$2:$I$122,mar!$A32,holly!$K$2:$K$122,"Mar")</f>
        <v>0</v>
      </c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</row>
    <row r="33" spans="1:79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IFERROR(LOOKUP(2,1/((lentry!$A$3:$A$3999=jun!$A33)*(lentry!$B$3:$B$3999&lt;=jun!F$3)*(lentry!$C$3:$C$3999&gt;=jun!F$3)),lentry!$D$3:$D$3999),IF(WEEKDAY(jun!F$3,1)=1,"WO","P"))</f>
        <v>P</v>
      </c>
      <c r="G33" s="4" t="str">
        <f>IFERROR(LOOKUP(2,1/((lentry!$A$3:$A$3999=jun!$A33)*(lentry!$B$3:$B$3999&lt;=jun!G$3)*(lentry!$C$3:$C$3999&gt;=jun!G$3)),lentry!$D$3:$D$3999),IF(WEEKDAY(jun!G$3,1)=1,"WO","P"))</f>
        <v>P</v>
      </c>
      <c r="H33" s="4" t="str">
        <f>IFERROR(LOOKUP(2,1/((lentry!$A$3:$A$3999=jun!$A33)*(lentry!$B$3:$B$3999&lt;=jun!H$3)*(lentry!$C$3:$C$3999&gt;=jun!H$3)),lentry!$D$3:$D$3999),IF(WEEKDAY(jun!H$3,1)=1,"WO","P"))</f>
        <v>P</v>
      </c>
      <c r="I33" s="4" t="str">
        <f>IFERROR(LOOKUP(2,1/((lentry!$A$3:$A$3999=jun!$A33)*(lentry!$B$3:$B$3999&lt;=jun!I$3)*(lentry!$C$3:$C$3999&gt;=jun!I$3)),lentry!$D$3:$D$3999),IF(WEEKDAY(jun!I$3,1)=1,"WO","P"))</f>
        <v>P</v>
      </c>
      <c r="J33" s="4" t="s">
        <v>539</v>
      </c>
      <c r="K33" s="4" t="str">
        <f>IFERROR(LOOKUP(2,1/((lentry!$A$3:$A$3999=jun!$A33)*(lentry!$B$3:$B$3999&lt;=jun!K$3)*(lentry!$C$3:$C$3999&gt;=jun!K$3)),lentry!$D$3:$D$3999),IF(WEEKDAY(jun!K$3,1)=1,"WO","P"))</f>
        <v>P</v>
      </c>
      <c r="L33" s="4" t="str">
        <f>IFERROR(LOOKUP(2,1/((lentry!$A$3:$A$3999=jun!$A33)*(lentry!$B$3:$B$3999&lt;=jun!L$3)*(lentry!$C$3:$C$3999&gt;=jun!L$3)),lentry!$D$3:$D$3999),IF(WEEKDAY(jun!L$3,1)=1,"WO","P"))</f>
        <v>WO</v>
      </c>
      <c r="M33" s="4" t="str">
        <f>IFERROR(LOOKUP(2,1/((lentry!$A$3:$A$3999=jun!$A33)*(lentry!$B$3:$B$3999&lt;=jun!M$3)*(lentry!$C$3:$C$3999&gt;=jun!M$3)),lentry!$D$3:$D$3999),IF(WEEKDAY(jun!M$3,1)=1,"WO","P"))</f>
        <v>P</v>
      </c>
      <c r="N33" s="4" t="str">
        <f>IFERROR(LOOKUP(2,1/((lentry!$A$3:$A$3999=jun!$A33)*(lentry!$B$3:$B$3999&lt;=jun!N$3)*(lentry!$C$3:$C$3999&gt;=jun!N$3)),lentry!$D$3:$D$3999),IF(WEEKDAY(jun!N$3,1)=1,"WO","P"))</f>
        <v>P</v>
      </c>
      <c r="O33" s="4" t="s">
        <v>539</v>
      </c>
      <c r="P33" s="4" t="str">
        <f>IFERROR(LOOKUP(2,1/((lentry!$A$3:$A$3999=jun!$A33)*(lentry!$B$3:$B$3999&lt;=jun!P$3)*(lentry!$C$3:$C$3999&gt;=jun!P$3)),lentry!$D$3:$D$3999),IF(WEEKDAY(jun!P$3,1)=1,"WO","P"))</f>
        <v>P</v>
      </c>
      <c r="Q33" s="4" t="str">
        <f>IFERROR(LOOKUP(2,1/((lentry!$A$3:$A$3999=jun!$A33)*(lentry!$B$3:$B$3999&lt;=jun!Q$3)*(lentry!$C$3:$C$3999&gt;=jun!Q$3)),lentry!$D$3:$D$3999),IF(WEEKDAY(jun!Q$3,1)=1,"WO","P"))</f>
        <v>P</v>
      </c>
      <c r="R33" s="4" t="str">
        <f>IFERROR(LOOKUP(2,1/((lentry!$A$3:$A$3999=jun!$A33)*(lentry!$B$3:$B$3999&lt;=jun!R$3)*(lentry!$C$3:$C$3999&gt;=jun!R$3)),lentry!$D$3:$D$3999),IF(WEEKDAY(jun!R$3,1)=1,"WO","P"))</f>
        <v>P</v>
      </c>
      <c r="S33" s="4" t="str">
        <f>IFERROR(LOOKUP(2,1/((lentry!$A$3:$A$3999=jun!$A33)*(lentry!$B$3:$B$3999&lt;=jun!S$3)*(lentry!$C$3:$C$3999&gt;=jun!S$3)),lentry!$D$3:$D$3999),IF(WEEKDAY(jun!S$3,1)=1,"WO","P"))</f>
        <v>WO</v>
      </c>
      <c r="T33" s="4" t="str">
        <f>IFERROR(LOOKUP(2,1/((lentry!$A$3:$A$3999=jun!$A33)*(lentry!$B$3:$B$3999&lt;=jun!T$3)*(lentry!$C$3:$C$3999&gt;=jun!T$3)),lentry!$D$3:$D$3999),IF(WEEKDAY(jun!T$3,1)=1,"WO","P"))</f>
        <v>P</v>
      </c>
      <c r="U33" s="4" t="str">
        <f>IFERROR(LOOKUP(2,1/((lentry!$A$3:$A$3999=jun!$A33)*(lentry!$B$3:$B$3999&lt;=jun!U$3)*(lentry!$C$3:$C$3999&gt;=jun!U$3)),lentry!$D$3:$D$3999),IF(WEEKDAY(jun!U$3,1)=1,"WO","P"))</f>
        <v>P</v>
      </c>
      <c r="V33" s="4" t="str">
        <f>IFERROR(LOOKUP(2,1/((lentry!$A$3:$A$3999=jun!$A33)*(lentry!$B$3:$B$3999&lt;=jun!V$3)*(lentry!$C$3:$C$3999&gt;=jun!V$3)),lentry!$D$3:$D$3999),IF(WEEKDAY(jun!V$3,1)=1,"WO","P"))</f>
        <v>P</v>
      </c>
      <c r="W33" s="4" t="str">
        <f>IFERROR(LOOKUP(2,1/((lentry!$A$3:$A$3999=jun!$A33)*(lentry!$B$3:$B$3999&lt;=jun!W$3)*(lentry!$C$3:$C$3999&gt;=jun!W$3)),lentry!$D$3:$D$3999),IF(WEEKDAY(jun!W$3,1)=1,"WO","P"))</f>
        <v>P</v>
      </c>
      <c r="X33" s="4" t="str">
        <f>IFERROR(LOOKUP(2,1/((lentry!$A$3:$A$3999=jun!$A33)*(lentry!$B$3:$B$3999&lt;=jun!X$3)*(lentry!$C$3:$C$3999&gt;=jun!X$3)),lentry!$D$3:$D$3999),IF(WEEKDAY(jun!X$3,1)=1,"WO","P"))</f>
        <v>P</v>
      </c>
      <c r="Y33" s="4" t="str">
        <f>IFERROR(LOOKUP(2,1/((lentry!$A$3:$A$3999=jun!$A33)*(lentry!$B$3:$B$3999&lt;=jun!Y$3)*(lentry!$C$3:$C$3999&gt;=jun!Y$3)),lentry!$D$3:$D$3999),IF(WEEKDAY(jun!Y$3,1)=1,"WO","P"))</f>
        <v>P</v>
      </c>
      <c r="Z33" s="4" t="str">
        <f>IFERROR(LOOKUP(2,1/((lentry!$A$3:$A$3999=jun!$A33)*(lentry!$B$3:$B$3999&lt;=jun!Z$3)*(lentry!$C$3:$C$3999&gt;=jun!Z$3)),lentry!$D$3:$D$3999),IF(WEEKDAY(jun!Z$3,1)=1,"WO","P"))</f>
        <v>WO</v>
      </c>
      <c r="AA33" s="4" t="str">
        <f>IFERROR(LOOKUP(2,1/((lentry!$A$3:$A$3999=jun!$A33)*(lentry!$B$3:$B$3999&lt;=jun!AA$3)*(lentry!$C$3:$C$3999&gt;=jun!AA$3)),lentry!$D$3:$D$3999),IF(WEEKDAY(jun!AA$3,1)=1,"WO","P"))</f>
        <v>P</v>
      </c>
      <c r="AB33" s="4" t="str">
        <f>IFERROR(LOOKUP(2,1/((lentry!$A$3:$A$3999=jun!$A33)*(lentry!$B$3:$B$3999&lt;=jun!AB$3)*(lentry!$C$3:$C$3999&gt;=jun!AB$3)),lentry!$D$3:$D$3999),IF(WEEKDAY(jun!AB$3,1)=1,"WO","P"))</f>
        <v>P</v>
      </c>
      <c r="AC33" s="4" t="str">
        <f>IFERROR(LOOKUP(2,1/((lentry!$A$3:$A$3999=jun!$A33)*(lentry!$B$3:$B$3999&lt;=jun!AC$3)*(lentry!$C$3:$C$3999&gt;=jun!AC$3)),lentry!$D$3:$D$3999),IF(WEEKDAY(jun!AC$3,1)=1,"WO","P"))</f>
        <v>PL</v>
      </c>
      <c r="AD33" s="4" t="str">
        <f>IFERROR(LOOKUP(2,1/((lentry!$A$3:$A$3999=jun!$A33)*(lentry!$B$3:$B$3999&lt;=jun!AD$3)*(lentry!$C$3:$C$3999&gt;=jun!AD$3)),lentry!$D$3:$D$3999),IF(WEEKDAY(jun!AD$3,1)=1,"WO","P"))</f>
        <v>P</v>
      </c>
      <c r="AE33" s="4" t="str">
        <f>IFERROR(LOOKUP(2,1/((lentry!$A$3:$A$3999=jun!$A33)*(lentry!$B$3:$B$3999&lt;=jun!AE$3)*(lentry!$C$3:$C$3999&gt;=jun!AE$3)),lentry!$D$3:$D$3999),IF(WEEKDAY(jun!AE$3,1)=1,"WO","P"))</f>
        <v>P</v>
      </c>
      <c r="AF33" s="4" t="str">
        <f>IFERROR(LOOKUP(2,1/((lentry!$A$3:$A$3999=jun!$A33)*(lentry!$B$3:$B$3999&lt;=jun!AF$3)*(lentry!$C$3:$C$3999&gt;=jun!AF$3)),lentry!$D$3:$D$3999),IF(WEEKDAY(jun!AF$3,1)=1,"WO","P"))</f>
        <v>P</v>
      </c>
      <c r="AG33" s="4" t="str">
        <f>IFERROR(LOOKUP(2,1/((lentry!$A$3:$A$3999=jun!$A33)*(lentry!$B$3:$B$3999&lt;=jun!AG$3)*(lentry!$C$3:$C$3999&gt;=jun!AG$3)),lentry!$D$3:$D$3999),IF(WEEKDAY(jun!AG$3,1)=1,"WO","P"))</f>
        <v>WO</v>
      </c>
      <c r="AH33" s="4" t="str">
        <f>IFERROR(LOOKUP(2,1/((lentry!$A$3:$A$3999=jun!$A33)*(lentry!$B$3:$B$3999&lt;=jun!AH$3)*(lentry!$C$3:$C$3999&gt;=jun!AH$3)),lentry!$D$3:$D$3999),IF(WEEKDAY(jun!AH$3,1)=1,"WO","P"))</f>
        <v>P</v>
      </c>
      <c r="AI33" s="4" t="str">
        <f>IFERROR(LOOKUP(2,1/((lentry!$A$3:$A$3999=jun!$A33)*(lentry!$B$3:$B$3999&lt;=jun!AI$3)*(lentry!$C$3:$C$3999&gt;=jun!AI$3)),lentry!$D$3:$D$3999),IF(WEEKDAY(jun!AI$3,1)=1,"WO","P"))</f>
        <v>P</v>
      </c>
      <c r="AJ33" s="4">
        <f>COUNTIF(jun!$F33:$AI33,"WO")</f>
        <v>4</v>
      </c>
      <c r="AK33" s="4">
        <f>COUNTIF(jun!$F33:$AI33,"H")</f>
        <v>0</v>
      </c>
      <c r="AL33" s="4">
        <f>COUNTIF(jun!$F33:$AI33,"PL")</f>
        <v>1</v>
      </c>
      <c r="AM33" s="4">
        <f>COUNTIF(jun!$F33:$AI33,"LWP")</f>
        <v>0</v>
      </c>
      <c r="AN33" s="4">
        <f>COUNTIF(jun!$F33:$AI33,"HD")</f>
        <v>0</v>
      </c>
      <c r="AO33" s="4">
        <f>COUNTIF(jun!$F33:$AI33,"SL")</f>
        <v>0</v>
      </c>
      <c r="AP33" s="4">
        <f>COUNTIF(jun!$F33:$AI33,"CL")</f>
        <v>0</v>
      </c>
      <c r="AQ33" s="4">
        <f>COUNTIF(jun!$F33:$AI33,"A")</f>
        <v>2</v>
      </c>
      <c r="AR33" s="4">
        <f>COUNTIF(jun!$F33:$AI33,"P")</f>
        <v>23</v>
      </c>
      <c r="AS33" s="4">
        <f t="shared" si="2"/>
        <v>30</v>
      </c>
      <c r="AT33" s="4">
        <f t="shared" si="3"/>
        <v>28</v>
      </c>
      <c r="AU33" s="4">
        <f>SUMIFS(holly!$L$2:$L$122,holly!$I$2:$I$122,mar!$A33,holly!$K$2:$K$122,"Mar")</f>
        <v>5</v>
      </c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</row>
    <row r="34" spans="1:79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IFERROR(LOOKUP(2,1/((lentry!$A$3:$A$3999=jun!$A34)*(lentry!$B$3:$B$3999&lt;=jun!F$3)*(lentry!$C$3:$C$3999&gt;=jun!F$3)),lentry!$D$3:$D$3999),IF(WEEKDAY(jun!F$3,1)=1,"WO","P"))</f>
        <v>P</v>
      </c>
      <c r="G34" s="4" t="str">
        <f>IFERROR(LOOKUP(2,1/((lentry!$A$3:$A$3999=jun!$A34)*(lentry!$B$3:$B$3999&lt;=jun!G$3)*(lentry!$C$3:$C$3999&gt;=jun!G$3)),lentry!$D$3:$D$3999),IF(WEEKDAY(jun!G$3,1)=1,"WO","P"))</f>
        <v>P</v>
      </c>
      <c r="H34" s="4" t="str">
        <f>IFERROR(LOOKUP(2,1/((lentry!$A$3:$A$3999=jun!$A34)*(lentry!$B$3:$B$3999&lt;=jun!H$3)*(lentry!$C$3:$C$3999&gt;=jun!H$3)),lentry!$D$3:$D$3999),IF(WEEKDAY(jun!H$3,1)=1,"WO","P"))</f>
        <v>P</v>
      </c>
      <c r="I34" s="4" t="str">
        <f>IFERROR(LOOKUP(2,1/((lentry!$A$3:$A$3999=jun!$A34)*(lentry!$B$3:$B$3999&lt;=jun!I$3)*(lentry!$C$3:$C$3999&gt;=jun!I$3)),lentry!$D$3:$D$3999),IF(WEEKDAY(jun!I$3,1)=1,"WO","P"))</f>
        <v>P</v>
      </c>
      <c r="J34" s="4" t="str">
        <f>IFERROR(LOOKUP(2,1/((lentry!$A$3:$A$3999=jun!$A34)*(lentry!$B$3:$B$3999&lt;=jun!J$3)*(lentry!$C$3:$C$3999&gt;=jun!J$3)),lentry!$D$3:$D$3999),IF(WEEKDAY(jun!J$3,1)=1,"WO","P"))</f>
        <v>P</v>
      </c>
      <c r="K34" s="4" t="str">
        <f>IFERROR(LOOKUP(2,1/((lentry!$A$3:$A$3999=jun!$A34)*(lentry!$B$3:$B$3999&lt;=jun!K$3)*(lentry!$C$3:$C$3999&gt;=jun!K$3)),lentry!$D$3:$D$3999),IF(WEEKDAY(jun!K$3,1)=1,"WO","P"))</f>
        <v>P</v>
      </c>
      <c r="L34" s="4" t="str">
        <f>IFERROR(LOOKUP(2,1/((lentry!$A$3:$A$3999=jun!$A34)*(lentry!$B$3:$B$3999&lt;=jun!L$3)*(lentry!$C$3:$C$3999&gt;=jun!L$3)),lentry!$D$3:$D$3999),IF(WEEKDAY(jun!L$3,1)=1,"WO","P"))</f>
        <v>WO</v>
      </c>
      <c r="M34" s="4" t="str">
        <f>IFERROR(LOOKUP(2,1/((lentry!$A$3:$A$3999=jun!$A34)*(lentry!$B$3:$B$3999&lt;=jun!M$3)*(lentry!$C$3:$C$3999&gt;=jun!M$3)),lentry!$D$3:$D$3999),IF(WEEKDAY(jun!M$3,1)=1,"WO","P"))</f>
        <v>P</v>
      </c>
      <c r="N34" s="4" t="str">
        <f>IFERROR(LOOKUP(2,1/((lentry!$A$3:$A$3999=jun!$A34)*(lentry!$B$3:$B$3999&lt;=jun!N$3)*(lentry!$C$3:$C$3999&gt;=jun!N$3)),lentry!$D$3:$D$3999),IF(WEEKDAY(jun!N$3,1)=1,"WO","P"))</f>
        <v>P</v>
      </c>
      <c r="O34" s="4" t="str">
        <f>IFERROR(LOOKUP(2,1/((lentry!$A$3:$A$3999=jun!$A34)*(lentry!$B$3:$B$3999&lt;=jun!O$3)*(lentry!$C$3:$C$3999&gt;=jun!O$3)),lentry!$D$3:$D$3999),IF(WEEKDAY(jun!O$3,1)=1,"WO","P"))</f>
        <v>P</v>
      </c>
      <c r="P34" s="4" t="str">
        <f>IFERROR(LOOKUP(2,1/((lentry!$A$3:$A$3999=jun!$A34)*(lentry!$B$3:$B$3999&lt;=jun!P$3)*(lentry!$C$3:$C$3999&gt;=jun!P$3)),lentry!$D$3:$D$3999),IF(WEEKDAY(jun!P$3,1)=1,"WO","P"))</f>
        <v>P</v>
      </c>
      <c r="Q34" s="4" t="str">
        <f>IFERROR(LOOKUP(2,1/((lentry!$A$3:$A$3999=jun!$A34)*(lentry!$B$3:$B$3999&lt;=jun!Q$3)*(lentry!$C$3:$C$3999&gt;=jun!Q$3)),lentry!$D$3:$D$3999),IF(WEEKDAY(jun!Q$3,1)=1,"WO","P"))</f>
        <v>P</v>
      </c>
      <c r="R34" s="4" t="str">
        <f>IFERROR(LOOKUP(2,1/((lentry!$A$3:$A$3999=jun!$A34)*(lentry!$B$3:$B$3999&lt;=jun!R$3)*(lentry!$C$3:$C$3999&gt;=jun!R$3)),lentry!$D$3:$D$3999),IF(WEEKDAY(jun!R$3,1)=1,"WO","P"))</f>
        <v>P</v>
      </c>
      <c r="S34" s="4" t="str">
        <f>IFERROR(LOOKUP(2,1/((lentry!$A$3:$A$3999=jun!$A34)*(lentry!$B$3:$B$3999&lt;=jun!S$3)*(lentry!$C$3:$C$3999&gt;=jun!S$3)),lentry!$D$3:$D$3999),IF(WEEKDAY(jun!S$3,1)=1,"WO","P"))</f>
        <v>WO</v>
      </c>
      <c r="T34" s="4" t="str">
        <f>IFERROR(LOOKUP(2,1/((lentry!$A$3:$A$3999=jun!$A34)*(lentry!$B$3:$B$3999&lt;=jun!T$3)*(lentry!$C$3:$C$3999&gt;=jun!T$3)),lentry!$D$3:$D$3999),IF(WEEKDAY(jun!T$3,1)=1,"WO","P"))</f>
        <v>P</v>
      </c>
      <c r="U34" s="4" t="str">
        <f>IFERROR(LOOKUP(2,1/((lentry!$A$3:$A$3999=jun!$A34)*(lentry!$B$3:$B$3999&lt;=jun!U$3)*(lentry!$C$3:$C$3999&gt;=jun!U$3)),lentry!$D$3:$D$3999),IF(WEEKDAY(jun!U$3,1)=1,"WO","P"))</f>
        <v>P</v>
      </c>
      <c r="V34" s="4" t="str">
        <f>IFERROR(LOOKUP(2,1/((lentry!$A$3:$A$3999=jun!$A34)*(lentry!$B$3:$B$3999&lt;=jun!V$3)*(lentry!$C$3:$C$3999&gt;=jun!V$3)),lentry!$D$3:$D$3999),IF(WEEKDAY(jun!V$3,1)=1,"WO","P"))</f>
        <v>P</v>
      </c>
      <c r="W34" s="4" t="str">
        <f>IFERROR(LOOKUP(2,1/((lentry!$A$3:$A$3999=jun!$A34)*(lentry!$B$3:$B$3999&lt;=jun!W$3)*(lentry!$C$3:$C$3999&gt;=jun!W$3)),lentry!$D$3:$D$3999),IF(WEEKDAY(jun!W$3,1)=1,"WO","P"))</f>
        <v>P</v>
      </c>
      <c r="X34" s="4" t="str">
        <f>IFERROR(LOOKUP(2,1/((lentry!$A$3:$A$3999=jun!$A34)*(lentry!$B$3:$B$3999&lt;=jun!X$3)*(lentry!$C$3:$C$3999&gt;=jun!X$3)),lentry!$D$3:$D$3999),IF(WEEKDAY(jun!X$3,1)=1,"WO","P"))</f>
        <v>P</v>
      </c>
      <c r="Y34" s="4" t="str">
        <f>IFERROR(LOOKUP(2,1/((lentry!$A$3:$A$3999=jun!$A34)*(lentry!$B$3:$B$3999&lt;=jun!Y$3)*(lentry!$C$3:$C$3999&gt;=jun!Y$3)),lentry!$D$3:$D$3999),IF(WEEKDAY(jun!Y$3,1)=1,"WO","P"))</f>
        <v>P</v>
      </c>
      <c r="Z34" s="4" t="str">
        <f>IFERROR(LOOKUP(2,1/((lentry!$A$3:$A$3999=jun!$A34)*(lentry!$B$3:$B$3999&lt;=jun!Z$3)*(lentry!$C$3:$C$3999&gt;=jun!Z$3)),lentry!$D$3:$D$3999),IF(WEEKDAY(jun!Z$3,1)=1,"WO","P"))</f>
        <v>WO</v>
      </c>
      <c r="AA34" s="4" t="str">
        <f>IFERROR(LOOKUP(2,1/((lentry!$A$3:$A$3999=jun!$A34)*(lentry!$B$3:$B$3999&lt;=jun!AA$3)*(lentry!$C$3:$C$3999&gt;=jun!AA$3)),lentry!$D$3:$D$3999),IF(WEEKDAY(jun!AA$3,1)=1,"WO","P"))</f>
        <v>P</v>
      </c>
      <c r="AB34" s="4" t="str">
        <f>IFERROR(LOOKUP(2,1/((lentry!$A$3:$A$3999=jun!$A34)*(lentry!$B$3:$B$3999&lt;=jun!AB$3)*(lentry!$C$3:$C$3999&gt;=jun!AB$3)),lentry!$D$3:$D$3999),IF(WEEKDAY(jun!AB$3,1)=1,"WO","P"))</f>
        <v>P</v>
      </c>
      <c r="AC34" s="4" t="str">
        <f>IFERROR(LOOKUP(2,1/((lentry!$A$3:$A$3999=jun!$A34)*(lentry!$B$3:$B$3999&lt;=jun!AC$3)*(lentry!$C$3:$C$3999&gt;=jun!AC$3)),lentry!$D$3:$D$3999),IF(WEEKDAY(jun!AC$3,1)=1,"WO","P"))</f>
        <v>P</v>
      </c>
      <c r="AD34" s="4" t="str">
        <f>IFERROR(LOOKUP(2,1/((lentry!$A$3:$A$3999=jun!$A34)*(lentry!$B$3:$B$3999&lt;=jun!AD$3)*(lentry!$C$3:$C$3999&gt;=jun!AD$3)),lentry!$D$3:$D$3999),IF(WEEKDAY(jun!AD$3,1)=1,"WO","P"))</f>
        <v>P</v>
      </c>
      <c r="AE34" s="4" t="str">
        <f>IFERROR(LOOKUP(2,1/((lentry!$A$3:$A$3999=jun!$A34)*(lentry!$B$3:$B$3999&lt;=jun!AE$3)*(lentry!$C$3:$C$3999&gt;=jun!AE$3)),lentry!$D$3:$D$3999),IF(WEEKDAY(jun!AE$3,1)=1,"WO","P"))</f>
        <v>P</v>
      </c>
      <c r="AF34" s="4" t="str">
        <f>IFERROR(LOOKUP(2,1/((lentry!$A$3:$A$3999=jun!$A34)*(lentry!$B$3:$B$3999&lt;=jun!AF$3)*(lentry!$C$3:$C$3999&gt;=jun!AF$3)),lentry!$D$3:$D$3999),IF(WEEKDAY(jun!AF$3,1)=1,"WO","P"))</f>
        <v>P</v>
      </c>
      <c r="AG34" s="4" t="str">
        <f>IFERROR(LOOKUP(2,1/((lentry!$A$3:$A$3999=jun!$A34)*(lentry!$B$3:$B$3999&lt;=jun!AG$3)*(lentry!$C$3:$C$3999&gt;=jun!AG$3)),lentry!$D$3:$D$3999),IF(WEEKDAY(jun!AG$3,1)=1,"WO","P"))</f>
        <v>WO</v>
      </c>
      <c r="AH34" s="4" t="str">
        <f>IFERROR(LOOKUP(2,1/((lentry!$A$3:$A$3999=jun!$A34)*(lentry!$B$3:$B$3999&lt;=jun!AH$3)*(lentry!$C$3:$C$3999&gt;=jun!AH$3)),lentry!$D$3:$D$3999),IF(WEEKDAY(jun!AH$3,1)=1,"WO","P"))</f>
        <v>P</v>
      </c>
      <c r="AI34" s="4" t="str">
        <f>IFERROR(LOOKUP(2,1/((lentry!$A$3:$A$3999=jun!$A34)*(lentry!$B$3:$B$3999&lt;=jun!AI$3)*(lentry!$C$3:$C$3999&gt;=jun!AI$3)),lentry!$D$3:$D$3999),IF(WEEKDAY(jun!AI$3,1)=1,"WO","P"))</f>
        <v>P</v>
      </c>
      <c r="AJ34" s="4">
        <f>COUNTIF(jun!$F34:$AI34,"WO")</f>
        <v>4</v>
      </c>
      <c r="AK34" s="4">
        <f>COUNTIF(jun!$F34:$AI34,"H")</f>
        <v>0</v>
      </c>
      <c r="AL34" s="4">
        <f>COUNTIF(jun!$F34:$AI34,"PL")</f>
        <v>0</v>
      </c>
      <c r="AM34" s="4">
        <f>COUNTIF(jun!$F34:$AI34,"LWP")</f>
        <v>0</v>
      </c>
      <c r="AN34" s="4">
        <f>COUNTIF(jun!$F34:$AI34,"HD")</f>
        <v>0</v>
      </c>
      <c r="AO34" s="4">
        <f>COUNTIF(jun!$F34:$AI34,"SL")</f>
        <v>0</v>
      </c>
      <c r="AP34" s="4">
        <f>COUNTIF(jun!$F34:$AI34,"CL")</f>
        <v>0</v>
      </c>
      <c r="AQ34" s="4">
        <f>COUNTIF(jun!$F34:$AI34,"A")</f>
        <v>0</v>
      </c>
      <c r="AR34" s="4">
        <f>COUNTIF(jun!$F34:$AI34,"P")</f>
        <v>26</v>
      </c>
      <c r="AS34" s="4">
        <f t="shared" si="2"/>
        <v>30</v>
      </c>
      <c r="AT34" s="4">
        <f t="shared" si="3"/>
        <v>30</v>
      </c>
      <c r="AU34" s="4">
        <f>SUMIFS(holly!$L$2:$L$122,holly!$I$2:$I$122,mar!$A34,holly!$K$2:$K$122,"Mar")</f>
        <v>0</v>
      </c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</row>
    <row r="35" spans="1:79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IFERROR(LOOKUP(2,1/((lentry!$A$3:$A$3999=jun!$A35)*(lentry!$B$3:$B$3999&lt;=jun!F$3)*(lentry!$C$3:$C$3999&gt;=jun!F$3)),lentry!$D$3:$D$3999),IF(WEEKDAY(jun!F$3,1)=1,"WO","P"))</f>
        <v>P</v>
      </c>
      <c r="G35" s="4" t="str">
        <f>IFERROR(LOOKUP(2,1/((lentry!$A$3:$A$3999=jun!$A35)*(lentry!$B$3:$B$3999&lt;=jun!G$3)*(lentry!$C$3:$C$3999&gt;=jun!G$3)),lentry!$D$3:$D$3999),IF(WEEKDAY(jun!G$3,1)=1,"WO","P"))</f>
        <v>P</v>
      </c>
      <c r="H35" s="4" t="str">
        <f>IFERROR(LOOKUP(2,1/((lentry!$A$3:$A$3999=jun!$A35)*(lentry!$B$3:$B$3999&lt;=jun!H$3)*(lentry!$C$3:$C$3999&gt;=jun!H$3)),lentry!$D$3:$D$3999),IF(WEEKDAY(jun!H$3,1)=1,"WO","P"))</f>
        <v>P</v>
      </c>
      <c r="I35" s="4" t="str">
        <f>IFERROR(LOOKUP(2,1/((lentry!$A$3:$A$3999=jun!$A35)*(lentry!$B$3:$B$3999&lt;=jun!I$3)*(lentry!$C$3:$C$3999&gt;=jun!I$3)),lentry!$D$3:$D$3999),IF(WEEKDAY(jun!I$3,1)=1,"WO","P"))</f>
        <v>P</v>
      </c>
      <c r="J35" s="4" t="str">
        <f>IFERROR(LOOKUP(2,1/((lentry!$A$3:$A$3999=jun!$A35)*(lentry!$B$3:$B$3999&lt;=jun!J$3)*(lentry!$C$3:$C$3999&gt;=jun!J$3)),lentry!$D$3:$D$3999),IF(WEEKDAY(jun!J$3,1)=1,"WO","P"))</f>
        <v>P</v>
      </c>
      <c r="K35" s="4" t="str">
        <f>IFERROR(LOOKUP(2,1/((lentry!$A$3:$A$3999=jun!$A35)*(lentry!$B$3:$B$3999&lt;=jun!K$3)*(lentry!$C$3:$C$3999&gt;=jun!K$3)),lentry!$D$3:$D$3999),IF(WEEKDAY(jun!K$3,1)=1,"WO","P"))</f>
        <v>P</v>
      </c>
      <c r="L35" s="4" t="str">
        <f>IFERROR(LOOKUP(2,1/((lentry!$A$3:$A$3999=jun!$A35)*(lentry!$B$3:$B$3999&lt;=jun!L$3)*(lentry!$C$3:$C$3999&gt;=jun!L$3)),lentry!$D$3:$D$3999),IF(WEEKDAY(jun!L$3,1)=1,"WO","P"))</f>
        <v>WO</v>
      </c>
      <c r="M35" s="4" t="str">
        <f>IFERROR(LOOKUP(2,1/((lentry!$A$3:$A$3999=jun!$A35)*(lentry!$B$3:$B$3999&lt;=jun!M$3)*(lentry!$C$3:$C$3999&gt;=jun!M$3)),lentry!$D$3:$D$3999),IF(WEEKDAY(jun!M$3,1)=1,"WO","P"))</f>
        <v>P</v>
      </c>
      <c r="N35" s="4" t="str">
        <f>IFERROR(LOOKUP(2,1/((lentry!$A$3:$A$3999=jun!$A35)*(lentry!$B$3:$B$3999&lt;=jun!N$3)*(lentry!$C$3:$C$3999&gt;=jun!N$3)),lentry!$D$3:$D$3999),IF(WEEKDAY(jun!N$3,1)=1,"WO","P"))</f>
        <v>P</v>
      </c>
      <c r="O35" s="4" t="str">
        <f>IFERROR(LOOKUP(2,1/((lentry!$A$3:$A$3999=jun!$A35)*(lentry!$B$3:$B$3999&lt;=jun!O$3)*(lentry!$C$3:$C$3999&gt;=jun!O$3)),lentry!$D$3:$D$3999),IF(WEEKDAY(jun!O$3,1)=1,"WO","P"))</f>
        <v>P</v>
      </c>
      <c r="P35" s="4" t="str">
        <f>IFERROR(LOOKUP(2,1/((lentry!$A$3:$A$3999=jun!$A35)*(lentry!$B$3:$B$3999&lt;=jun!P$3)*(lentry!$C$3:$C$3999&gt;=jun!P$3)),lentry!$D$3:$D$3999),IF(WEEKDAY(jun!P$3,1)=1,"WO","P"))</f>
        <v>P</v>
      </c>
      <c r="Q35" s="4" t="str">
        <f>IFERROR(LOOKUP(2,1/((lentry!$A$3:$A$3999=jun!$A35)*(lentry!$B$3:$B$3999&lt;=jun!Q$3)*(lentry!$C$3:$C$3999&gt;=jun!Q$3)),lentry!$D$3:$D$3999),IF(WEEKDAY(jun!Q$3,1)=1,"WO","P"))</f>
        <v>P</v>
      </c>
      <c r="R35" s="4" t="str">
        <f>IFERROR(LOOKUP(2,1/((lentry!$A$3:$A$3999=jun!$A35)*(lentry!$B$3:$B$3999&lt;=jun!R$3)*(lentry!$C$3:$C$3999&gt;=jun!R$3)),lentry!$D$3:$D$3999),IF(WEEKDAY(jun!R$3,1)=1,"WO","P"))</f>
        <v>P</v>
      </c>
      <c r="S35" s="4" t="str">
        <f>IFERROR(LOOKUP(2,1/((lentry!$A$3:$A$3999=jun!$A35)*(lentry!$B$3:$B$3999&lt;=jun!S$3)*(lentry!$C$3:$C$3999&gt;=jun!S$3)),lentry!$D$3:$D$3999),IF(WEEKDAY(jun!S$3,1)=1,"WO","P"))</f>
        <v>WO</v>
      </c>
      <c r="T35" s="4" t="str">
        <f>IFERROR(LOOKUP(2,1/((lentry!$A$3:$A$3999=jun!$A35)*(lentry!$B$3:$B$3999&lt;=jun!T$3)*(lentry!$C$3:$C$3999&gt;=jun!T$3)),lentry!$D$3:$D$3999),IF(WEEKDAY(jun!T$3,1)=1,"WO","P"))</f>
        <v>P</v>
      </c>
      <c r="U35" s="4" t="str">
        <f>IFERROR(LOOKUP(2,1/((lentry!$A$3:$A$3999=jun!$A35)*(lentry!$B$3:$B$3999&lt;=jun!U$3)*(lentry!$C$3:$C$3999&gt;=jun!U$3)),lentry!$D$3:$D$3999),IF(WEEKDAY(jun!U$3,1)=1,"WO","P"))</f>
        <v>P</v>
      </c>
      <c r="V35" s="4" t="str">
        <f>IFERROR(LOOKUP(2,1/((lentry!$A$3:$A$3999=jun!$A35)*(lentry!$B$3:$B$3999&lt;=jun!V$3)*(lentry!$C$3:$C$3999&gt;=jun!V$3)),lentry!$D$3:$D$3999),IF(WEEKDAY(jun!V$3,1)=1,"WO","P"))</f>
        <v>P</v>
      </c>
      <c r="W35" s="4" t="str">
        <f>IFERROR(LOOKUP(2,1/((lentry!$A$3:$A$3999=jun!$A35)*(lentry!$B$3:$B$3999&lt;=jun!W$3)*(lentry!$C$3:$C$3999&gt;=jun!W$3)),lentry!$D$3:$D$3999),IF(WEEKDAY(jun!W$3,1)=1,"WO","P"))</f>
        <v>P</v>
      </c>
      <c r="X35" s="4" t="str">
        <f>IFERROR(LOOKUP(2,1/((lentry!$A$3:$A$3999=jun!$A35)*(lentry!$B$3:$B$3999&lt;=jun!X$3)*(lentry!$C$3:$C$3999&gt;=jun!X$3)),lentry!$D$3:$D$3999),IF(WEEKDAY(jun!X$3,1)=1,"WO","P"))</f>
        <v>P</v>
      </c>
      <c r="Y35" s="4" t="str">
        <f>IFERROR(LOOKUP(2,1/((lentry!$A$3:$A$3999=jun!$A35)*(lentry!$B$3:$B$3999&lt;=jun!Y$3)*(lentry!$C$3:$C$3999&gt;=jun!Y$3)),lentry!$D$3:$D$3999),IF(WEEKDAY(jun!Y$3,1)=1,"WO","P"))</f>
        <v>P</v>
      </c>
      <c r="Z35" s="4" t="str">
        <f>IFERROR(LOOKUP(2,1/((lentry!$A$3:$A$3999=jun!$A35)*(lentry!$B$3:$B$3999&lt;=jun!Z$3)*(lentry!$C$3:$C$3999&gt;=jun!Z$3)),lentry!$D$3:$D$3999),IF(WEEKDAY(jun!Z$3,1)=1,"WO","P"))</f>
        <v>WO</v>
      </c>
      <c r="AA35" s="4" t="str">
        <f>IFERROR(LOOKUP(2,1/((lentry!$A$3:$A$3999=jun!$A35)*(lentry!$B$3:$B$3999&lt;=jun!AA$3)*(lentry!$C$3:$C$3999&gt;=jun!AA$3)),lentry!$D$3:$D$3999),IF(WEEKDAY(jun!AA$3,1)=1,"WO","P"))</f>
        <v>P</v>
      </c>
      <c r="AB35" s="4" t="str">
        <f>IFERROR(LOOKUP(2,1/((lentry!$A$3:$A$3999=jun!$A35)*(lentry!$B$3:$B$3999&lt;=jun!AB$3)*(lentry!$C$3:$C$3999&gt;=jun!AB$3)),lentry!$D$3:$D$3999),IF(WEEKDAY(jun!AB$3,1)=1,"WO","P"))</f>
        <v>P</v>
      </c>
      <c r="AC35" s="4" t="str">
        <f>IFERROR(LOOKUP(2,1/((lentry!$A$3:$A$3999=jun!$A35)*(lentry!$B$3:$B$3999&lt;=jun!AC$3)*(lentry!$C$3:$C$3999&gt;=jun!AC$3)),lentry!$D$3:$D$3999),IF(WEEKDAY(jun!AC$3,1)=1,"WO","P"))</f>
        <v>P</v>
      </c>
      <c r="AD35" s="4" t="str">
        <f>IFERROR(LOOKUP(2,1/((lentry!$A$3:$A$3999=jun!$A35)*(lentry!$B$3:$B$3999&lt;=jun!AD$3)*(lentry!$C$3:$C$3999&gt;=jun!AD$3)),lentry!$D$3:$D$3999),IF(WEEKDAY(jun!AD$3,1)=1,"WO","P"))</f>
        <v>P</v>
      </c>
      <c r="AE35" s="4" t="str">
        <f>IFERROR(LOOKUP(2,1/((lentry!$A$3:$A$3999=jun!$A35)*(lentry!$B$3:$B$3999&lt;=jun!AE$3)*(lentry!$C$3:$C$3999&gt;=jun!AE$3)),lentry!$D$3:$D$3999),IF(WEEKDAY(jun!AE$3,1)=1,"WO","P"))</f>
        <v>P</v>
      </c>
      <c r="AF35" s="4" t="str">
        <f>IFERROR(LOOKUP(2,1/((lentry!$A$3:$A$3999=jun!$A35)*(lentry!$B$3:$B$3999&lt;=jun!AF$3)*(lentry!$C$3:$C$3999&gt;=jun!AF$3)),lentry!$D$3:$D$3999),IF(WEEKDAY(jun!AF$3,1)=1,"WO","P"))</f>
        <v>P</v>
      </c>
      <c r="AG35" s="4" t="str">
        <f>IFERROR(LOOKUP(2,1/((lentry!$A$3:$A$3999=jun!$A35)*(lentry!$B$3:$B$3999&lt;=jun!AG$3)*(lentry!$C$3:$C$3999&gt;=jun!AG$3)),lentry!$D$3:$D$3999),IF(WEEKDAY(jun!AG$3,1)=1,"WO","P"))</f>
        <v>WO</v>
      </c>
      <c r="AH35" s="4" t="str">
        <f>IFERROR(LOOKUP(2,1/((lentry!$A$3:$A$3999=jun!$A35)*(lentry!$B$3:$B$3999&lt;=jun!AH$3)*(lentry!$C$3:$C$3999&gt;=jun!AH$3)),lentry!$D$3:$D$3999),IF(WEEKDAY(jun!AH$3,1)=1,"WO","P"))</f>
        <v>P</v>
      </c>
      <c r="AI35" s="4" t="str">
        <f>IFERROR(LOOKUP(2,1/((lentry!$A$3:$A$3999=jun!$A35)*(lentry!$B$3:$B$3999&lt;=jun!AI$3)*(lentry!$C$3:$C$3999&gt;=jun!AI$3)),lentry!$D$3:$D$3999),IF(WEEKDAY(jun!AI$3,1)=1,"WO","P"))</f>
        <v>P</v>
      </c>
      <c r="AJ35" s="4">
        <f>COUNTIF(jun!$F35:$AI35,"WO")</f>
        <v>4</v>
      </c>
      <c r="AK35" s="4">
        <f>COUNTIF(jun!$F35:$AI35,"H")</f>
        <v>0</v>
      </c>
      <c r="AL35" s="4">
        <f>COUNTIF(jun!$F35:$AI35,"PL")</f>
        <v>0</v>
      </c>
      <c r="AM35" s="4">
        <f>COUNTIF(jun!$F35:$AI35,"LWP")</f>
        <v>0</v>
      </c>
      <c r="AN35" s="4">
        <f>COUNTIF(jun!$F35:$AI35,"HD")</f>
        <v>0</v>
      </c>
      <c r="AO35" s="4">
        <f>COUNTIF(jun!$F35:$AI35,"SL")</f>
        <v>0</v>
      </c>
      <c r="AP35" s="4">
        <f>COUNTIF(jun!$F35:$AI35,"CL")</f>
        <v>0</v>
      </c>
      <c r="AQ35" s="4">
        <f>COUNTIF(jun!$F35:$AI35,"A")</f>
        <v>0</v>
      </c>
      <c r="AR35" s="4">
        <f>COUNTIF(jun!$F35:$AI35,"P")</f>
        <v>26</v>
      </c>
      <c r="AS35" s="4">
        <f t="shared" si="2"/>
        <v>30</v>
      </c>
      <c r="AT35" s="4">
        <f t="shared" si="3"/>
        <v>30</v>
      </c>
      <c r="AU35" s="4">
        <f>SUMIFS(holly!$L$2:$L$122,holly!$I$2:$I$122,mar!$A35,holly!$K$2:$K$122,"Mar")</f>
        <v>0</v>
      </c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</row>
    <row r="36" spans="1:79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IFERROR(LOOKUP(2,1/((lentry!$A$3:$A$3999=jun!$A36)*(lentry!$B$3:$B$3999&lt;=jun!F$3)*(lentry!$C$3:$C$3999&gt;=jun!F$3)),lentry!$D$3:$D$3999),IF(WEEKDAY(jun!F$3,1)=1,"WO","P"))</f>
        <v>P</v>
      </c>
      <c r="G36" s="4" t="str">
        <f>IFERROR(LOOKUP(2,1/((lentry!$A$3:$A$3999=jun!$A36)*(lentry!$B$3:$B$3999&lt;=jun!G$3)*(lentry!$C$3:$C$3999&gt;=jun!G$3)),lentry!$D$3:$D$3999),IF(WEEKDAY(jun!G$3,1)=1,"WO","P"))</f>
        <v>P</v>
      </c>
      <c r="H36" s="4" t="str">
        <f>IFERROR(LOOKUP(2,1/((lentry!$A$3:$A$3999=jun!$A36)*(lentry!$B$3:$B$3999&lt;=jun!H$3)*(lentry!$C$3:$C$3999&gt;=jun!H$3)),lentry!$D$3:$D$3999),IF(WEEKDAY(jun!H$3,1)=1,"WO","P"))</f>
        <v>P</v>
      </c>
      <c r="I36" s="4" t="str">
        <f>IFERROR(LOOKUP(2,1/((lentry!$A$3:$A$3999=jun!$A36)*(lentry!$B$3:$B$3999&lt;=jun!I$3)*(lentry!$C$3:$C$3999&gt;=jun!I$3)),lentry!$D$3:$D$3999),IF(WEEKDAY(jun!I$3,1)=1,"WO","P"))</f>
        <v>P</v>
      </c>
      <c r="J36" s="4" t="str">
        <f>IFERROR(LOOKUP(2,1/((lentry!$A$3:$A$3999=jun!$A36)*(lentry!$B$3:$B$3999&lt;=jun!J$3)*(lentry!$C$3:$C$3999&gt;=jun!J$3)),lentry!$D$3:$D$3999),IF(WEEKDAY(jun!J$3,1)=1,"WO","P"))</f>
        <v>P</v>
      </c>
      <c r="K36" s="4" t="str">
        <f>IFERROR(LOOKUP(2,1/((lentry!$A$3:$A$3999=jun!$A36)*(lentry!$B$3:$B$3999&lt;=jun!K$3)*(lentry!$C$3:$C$3999&gt;=jun!K$3)),lentry!$D$3:$D$3999),IF(WEEKDAY(jun!K$3,1)=1,"WO","P"))</f>
        <v>P</v>
      </c>
      <c r="L36" s="4" t="str">
        <f>IFERROR(LOOKUP(2,1/((lentry!$A$3:$A$3999=jun!$A36)*(lentry!$B$3:$B$3999&lt;=jun!L$3)*(lentry!$C$3:$C$3999&gt;=jun!L$3)),lentry!$D$3:$D$3999),IF(WEEKDAY(jun!L$3,1)=1,"WO","P"))</f>
        <v>WO</v>
      </c>
      <c r="M36" s="4" t="str">
        <f>IFERROR(LOOKUP(2,1/((lentry!$A$3:$A$3999=jun!$A36)*(lentry!$B$3:$B$3999&lt;=jun!M$3)*(lentry!$C$3:$C$3999&gt;=jun!M$3)),lentry!$D$3:$D$3999),IF(WEEKDAY(jun!M$3,1)=1,"WO","P"))</f>
        <v>P</v>
      </c>
      <c r="N36" s="4" t="str">
        <f>IFERROR(LOOKUP(2,1/((lentry!$A$3:$A$3999=jun!$A36)*(lentry!$B$3:$B$3999&lt;=jun!N$3)*(lentry!$C$3:$C$3999&gt;=jun!N$3)),lentry!$D$3:$D$3999),IF(WEEKDAY(jun!N$3,1)=1,"WO","P"))</f>
        <v>P</v>
      </c>
      <c r="O36" s="4" t="str">
        <f>IFERROR(LOOKUP(2,1/((lentry!$A$3:$A$3999=jun!$A36)*(lentry!$B$3:$B$3999&lt;=jun!O$3)*(lentry!$C$3:$C$3999&gt;=jun!O$3)),lentry!$D$3:$D$3999),IF(WEEKDAY(jun!O$3,1)=1,"WO","P"))</f>
        <v>P</v>
      </c>
      <c r="P36" s="4" t="str">
        <f>IFERROR(LOOKUP(2,1/((lentry!$A$3:$A$3999=jun!$A36)*(lentry!$B$3:$B$3999&lt;=jun!P$3)*(lentry!$C$3:$C$3999&gt;=jun!P$3)),lentry!$D$3:$D$3999),IF(WEEKDAY(jun!P$3,1)=1,"WO","P"))</f>
        <v>P</v>
      </c>
      <c r="Q36" s="4" t="str">
        <f>IFERROR(LOOKUP(2,1/((lentry!$A$3:$A$3999=jun!$A36)*(lentry!$B$3:$B$3999&lt;=jun!Q$3)*(lentry!$C$3:$C$3999&gt;=jun!Q$3)),lentry!$D$3:$D$3999),IF(WEEKDAY(jun!Q$3,1)=1,"WO","P"))</f>
        <v>P</v>
      </c>
      <c r="R36" s="4" t="str">
        <f>IFERROR(LOOKUP(2,1/((lentry!$A$3:$A$3999=jun!$A36)*(lentry!$B$3:$B$3999&lt;=jun!R$3)*(lentry!$C$3:$C$3999&gt;=jun!R$3)),lentry!$D$3:$D$3999),IF(WEEKDAY(jun!R$3,1)=1,"WO","P"))</f>
        <v>P</v>
      </c>
      <c r="S36" s="4" t="str">
        <f>IFERROR(LOOKUP(2,1/((lentry!$A$3:$A$3999=jun!$A36)*(lentry!$B$3:$B$3999&lt;=jun!S$3)*(lentry!$C$3:$C$3999&gt;=jun!S$3)),lentry!$D$3:$D$3999),IF(WEEKDAY(jun!S$3,1)=1,"WO","P"))</f>
        <v>WO</v>
      </c>
      <c r="T36" s="4" t="str">
        <f>IFERROR(LOOKUP(2,1/((lentry!$A$3:$A$3999=jun!$A36)*(lentry!$B$3:$B$3999&lt;=jun!T$3)*(lentry!$C$3:$C$3999&gt;=jun!T$3)),lentry!$D$3:$D$3999),IF(WEEKDAY(jun!T$3,1)=1,"WO","P"))</f>
        <v>P</v>
      </c>
      <c r="U36" s="4" t="str">
        <f>IFERROR(LOOKUP(2,1/((lentry!$A$3:$A$3999=jun!$A36)*(lentry!$B$3:$B$3999&lt;=jun!U$3)*(lentry!$C$3:$C$3999&gt;=jun!U$3)),lentry!$D$3:$D$3999),IF(WEEKDAY(jun!U$3,1)=1,"WO","P"))</f>
        <v>P</v>
      </c>
      <c r="V36" s="4" t="str">
        <f>IFERROR(LOOKUP(2,1/((lentry!$A$3:$A$3999=jun!$A36)*(lentry!$B$3:$B$3999&lt;=jun!V$3)*(lentry!$C$3:$C$3999&gt;=jun!V$3)),lentry!$D$3:$D$3999),IF(WEEKDAY(jun!V$3,1)=1,"WO","P"))</f>
        <v>P</v>
      </c>
      <c r="W36" s="4" t="str">
        <f>IFERROR(LOOKUP(2,1/((lentry!$A$3:$A$3999=jun!$A36)*(lentry!$B$3:$B$3999&lt;=jun!W$3)*(lentry!$C$3:$C$3999&gt;=jun!W$3)),lentry!$D$3:$D$3999),IF(WEEKDAY(jun!W$3,1)=1,"WO","P"))</f>
        <v>P</v>
      </c>
      <c r="X36" s="4" t="str">
        <f>IFERROR(LOOKUP(2,1/((lentry!$A$3:$A$3999=jun!$A36)*(lentry!$B$3:$B$3999&lt;=jun!X$3)*(lentry!$C$3:$C$3999&gt;=jun!X$3)),lentry!$D$3:$D$3999),IF(WEEKDAY(jun!X$3,1)=1,"WO","P"))</f>
        <v>P</v>
      </c>
      <c r="Y36" s="4" t="str">
        <f>IFERROR(LOOKUP(2,1/((lentry!$A$3:$A$3999=jun!$A36)*(lentry!$B$3:$B$3999&lt;=jun!Y$3)*(lentry!$C$3:$C$3999&gt;=jun!Y$3)),lentry!$D$3:$D$3999),IF(WEEKDAY(jun!Y$3,1)=1,"WO","P"))</f>
        <v>P</v>
      </c>
      <c r="Z36" s="4" t="str">
        <f>IFERROR(LOOKUP(2,1/((lentry!$A$3:$A$3999=jun!$A36)*(lentry!$B$3:$B$3999&lt;=jun!Z$3)*(lentry!$C$3:$C$3999&gt;=jun!Z$3)),lentry!$D$3:$D$3999),IF(WEEKDAY(jun!Z$3,1)=1,"WO","P"))</f>
        <v>WO</v>
      </c>
      <c r="AA36" s="4" t="str">
        <f>IFERROR(LOOKUP(2,1/((lentry!$A$3:$A$3999=jun!$A36)*(lentry!$B$3:$B$3999&lt;=jun!AA$3)*(lentry!$C$3:$C$3999&gt;=jun!AA$3)),lentry!$D$3:$D$3999),IF(WEEKDAY(jun!AA$3,1)=1,"WO","P"))</f>
        <v>P</v>
      </c>
      <c r="AB36" s="4" t="str">
        <f>IFERROR(LOOKUP(2,1/((lentry!$A$3:$A$3999=jun!$A36)*(lentry!$B$3:$B$3999&lt;=jun!AB$3)*(lentry!$C$3:$C$3999&gt;=jun!AB$3)),lentry!$D$3:$D$3999),IF(WEEKDAY(jun!AB$3,1)=1,"WO","P"))</f>
        <v>P</v>
      </c>
      <c r="AC36" s="4" t="str">
        <f>IFERROR(LOOKUP(2,1/((lentry!$A$3:$A$3999=jun!$A36)*(lentry!$B$3:$B$3999&lt;=jun!AC$3)*(lentry!$C$3:$C$3999&gt;=jun!AC$3)),lentry!$D$3:$D$3999),IF(WEEKDAY(jun!AC$3,1)=1,"WO","P"))</f>
        <v>P</v>
      </c>
      <c r="AD36" s="4" t="str">
        <f>IFERROR(LOOKUP(2,1/((lentry!$A$3:$A$3999=jun!$A36)*(lentry!$B$3:$B$3999&lt;=jun!AD$3)*(lentry!$C$3:$C$3999&gt;=jun!AD$3)),lentry!$D$3:$D$3999),IF(WEEKDAY(jun!AD$3,1)=1,"WO","P"))</f>
        <v>P</v>
      </c>
      <c r="AE36" s="4" t="str">
        <f>IFERROR(LOOKUP(2,1/((lentry!$A$3:$A$3999=jun!$A36)*(lentry!$B$3:$B$3999&lt;=jun!AE$3)*(lentry!$C$3:$C$3999&gt;=jun!AE$3)),lentry!$D$3:$D$3999),IF(WEEKDAY(jun!AE$3,1)=1,"WO","P"))</f>
        <v>P</v>
      </c>
      <c r="AF36" s="4" t="str">
        <f>IFERROR(LOOKUP(2,1/((lentry!$A$3:$A$3999=jun!$A36)*(lentry!$B$3:$B$3999&lt;=jun!AF$3)*(lentry!$C$3:$C$3999&gt;=jun!AF$3)),lentry!$D$3:$D$3999),IF(WEEKDAY(jun!AF$3,1)=1,"WO","P"))</f>
        <v>P</v>
      </c>
      <c r="AG36" s="4" t="str">
        <f>IFERROR(LOOKUP(2,1/((lentry!$A$3:$A$3999=jun!$A36)*(lentry!$B$3:$B$3999&lt;=jun!AG$3)*(lentry!$C$3:$C$3999&gt;=jun!AG$3)),lentry!$D$3:$D$3999),IF(WEEKDAY(jun!AG$3,1)=1,"WO","P"))</f>
        <v>WO</v>
      </c>
      <c r="AH36" s="4" t="str">
        <f>IFERROR(LOOKUP(2,1/((lentry!$A$3:$A$3999=jun!$A36)*(lentry!$B$3:$B$3999&lt;=jun!AH$3)*(lentry!$C$3:$C$3999&gt;=jun!AH$3)),lentry!$D$3:$D$3999),IF(WEEKDAY(jun!AH$3,1)=1,"WO","P"))</f>
        <v>P</v>
      </c>
      <c r="AI36" s="4" t="str">
        <f>IFERROR(LOOKUP(2,1/((lentry!$A$3:$A$3999=jun!$A36)*(lentry!$B$3:$B$3999&lt;=jun!AI$3)*(lentry!$C$3:$C$3999&gt;=jun!AI$3)),lentry!$D$3:$D$3999),IF(WEEKDAY(jun!AI$3,1)=1,"WO","P"))</f>
        <v>P</v>
      </c>
      <c r="AJ36" s="4">
        <f>COUNTIF(jun!$F36:$AI36,"WO")</f>
        <v>4</v>
      </c>
      <c r="AK36" s="4">
        <f>COUNTIF(jun!$F36:$AI36,"H")</f>
        <v>0</v>
      </c>
      <c r="AL36" s="4">
        <f>COUNTIF(jun!$F36:$AI36,"PL")</f>
        <v>0</v>
      </c>
      <c r="AM36" s="4">
        <f>COUNTIF(jun!$F36:$AI36,"LWP")</f>
        <v>0</v>
      </c>
      <c r="AN36" s="4">
        <f>COUNTIF(jun!$F36:$AI36,"HD")</f>
        <v>0</v>
      </c>
      <c r="AO36" s="4">
        <f>COUNTIF(jun!$F36:$AI36,"SL")</f>
        <v>0</v>
      </c>
      <c r="AP36" s="4">
        <f>COUNTIF(jun!$F36:$AI36,"CL")</f>
        <v>0</v>
      </c>
      <c r="AQ36" s="4">
        <f>COUNTIF(jun!$F36:$AI36,"A")</f>
        <v>0</v>
      </c>
      <c r="AR36" s="4">
        <f>COUNTIF(jun!$F36:$AI36,"P")</f>
        <v>26</v>
      </c>
      <c r="AS36" s="4">
        <f t="shared" si="2"/>
        <v>30</v>
      </c>
      <c r="AT36" s="4">
        <f t="shared" si="3"/>
        <v>30</v>
      </c>
      <c r="AU36" s="4">
        <f>SUMIFS(holly!$L$2:$L$122,holly!$I$2:$I$122,mar!$A36,holly!$K$2:$K$122,"Mar")</f>
        <v>0</v>
      </c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</row>
    <row r="37" spans="1:79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IFERROR(LOOKUP(2,1/((lentry!$A$3:$A$3999=jun!$A37)*(lentry!$B$3:$B$3999&lt;=jun!F$3)*(lentry!$C$3:$C$3999&gt;=jun!F$3)),lentry!$D$3:$D$3999),IF(WEEKDAY(jun!F$3,1)=1,"WO","P"))</f>
        <v>P</v>
      </c>
      <c r="G37" s="4" t="s">
        <v>539</v>
      </c>
      <c r="H37" s="4" t="str">
        <f>IFERROR(LOOKUP(2,1/((lentry!$A$3:$A$3999=jun!$A37)*(lentry!$B$3:$B$3999&lt;=jun!H$3)*(lentry!$C$3:$C$3999&gt;=jun!H$3)),lentry!$D$3:$D$3999),IF(WEEKDAY(jun!H$3,1)=1,"WO","P"))</f>
        <v>P</v>
      </c>
      <c r="I37" s="4" t="str">
        <f>IFERROR(LOOKUP(2,1/((lentry!$A$3:$A$3999=jun!$A37)*(lentry!$B$3:$B$3999&lt;=jun!I$3)*(lentry!$C$3:$C$3999&gt;=jun!I$3)),lentry!$D$3:$D$3999),IF(WEEKDAY(jun!I$3,1)=1,"WO","P"))</f>
        <v>P</v>
      </c>
      <c r="J37" s="4" t="str">
        <f>IFERROR(LOOKUP(2,1/((lentry!$A$3:$A$3999=jun!$A37)*(lentry!$B$3:$B$3999&lt;=jun!J$3)*(lentry!$C$3:$C$3999&gt;=jun!J$3)),lentry!$D$3:$D$3999),IF(WEEKDAY(jun!J$3,1)=1,"WO","P"))</f>
        <v>P</v>
      </c>
      <c r="K37" s="4" t="str">
        <f>IFERROR(LOOKUP(2,1/((lentry!$A$3:$A$3999=jun!$A37)*(lentry!$B$3:$B$3999&lt;=jun!K$3)*(lentry!$C$3:$C$3999&gt;=jun!K$3)),lentry!$D$3:$D$3999),IF(WEEKDAY(jun!K$3,1)=1,"WO","P"))</f>
        <v>P</v>
      </c>
      <c r="L37" s="4" t="str">
        <f>IFERROR(LOOKUP(2,1/((lentry!$A$3:$A$3999=jun!$A37)*(lentry!$B$3:$B$3999&lt;=jun!L$3)*(lentry!$C$3:$C$3999&gt;=jun!L$3)),lentry!$D$3:$D$3999),IF(WEEKDAY(jun!L$3,1)=1,"WO","P"))</f>
        <v>WO</v>
      </c>
      <c r="M37" s="4" t="str">
        <f>IFERROR(LOOKUP(2,1/((lentry!$A$3:$A$3999=jun!$A37)*(lentry!$B$3:$B$3999&lt;=jun!M$3)*(lentry!$C$3:$C$3999&gt;=jun!M$3)),lentry!$D$3:$D$3999),IF(WEEKDAY(jun!M$3,1)=1,"WO","P"))</f>
        <v>P</v>
      </c>
      <c r="N37" s="4" t="str">
        <f>IFERROR(LOOKUP(2,1/((lentry!$A$3:$A$3999=jun!$A37)*(lentry!$B$3:$B$3999&lt;=jun!N$3)*(lentry!$C$3:$C$3999&gt;=jun!N$3)),lentry!$D$3:$D$3999),IF(WEEKDAY(jun!N$3,1)=1,"WO","P"))</f>
        <v>P</v>
      </c>
      <c r="O37" s="4" t="str">
        <f>IFERROR(LOOKUP(2,1/((lentry!$A$3:$A$3999=jun!$A37)*(lentry!$B$3:$B$3999&lt;=jun!O$3)*(lentry!$C$3:$C$3999&gt;=jun!O$3)),lentry!$D$3:$D$3999),IF(WEEKDAY(jun!O$3,1)=1,"WO","P"))</f>
        <v>P</v>
      </c>
      <c r="P37" s="4" t="str">
        <f>IFERROR(LOOKUP(2,1/((lentry!$A$3:$A$3999=jun!$A37)*(lentry!$B$3:$B$3999&lt;=jun!P$3)*(lentry!$C$3:$C$3999&gt;=jun!P$3)),lentry!$D$3:$D$3999),IF(WEEKDAY(jun!P$3,1)=1,"WO","P"))</f>
        <v>P</v>
      </c>
      <c r="Q37" s="4" t="str">
        <f>IFERROR(LOOKUP(2,1/((lentry!$A$3:$A$3999=jun!$A37)*(lentry!$B$3:$B$3999&lt;=jun!Q$3)*(lentry!$C$3:$C$3999&gt;=jun!Q$3)),lentry!$D$3:$D$3999),IF(WEEKDAY(jun!Q$3,1)=1,"WO","P"))</f>
        <v>P</v>
      </c>
      <c r="R37" s="4" t="str">
        <f>IFERROR(LOOKUP(2,1/((lentry!$A$3:$A$3999=jun!$A37)*(lentry!$B$3:$B$3999&lt;=jun!R$3)*(lentry!$C$3:$C$3999&gt;=jun!R$3)),lentry!$D$3:$D$3999),IF(WEEKDAY(jun!R$3,1)=1,"WO","P"))</f>
        <v>P</v>
      </c>
      <c r="S37" s="4" t="str">
        <f>IFERROR(LOOKUP(2,1/((lentry!$A$3:$A$3999=jun!$A37)*(lentry!$B$3:$B$3999&lt;=jun!S$3)*(lentry!$C$3:$C$3999&gt;=jun!S$3)),lentry!$D$3:$D$3999),IF(WEEKDAY(jun!S$3,1)=1,"WO","P"))</f>
        <v>WO</v>
      </c>
      <c r="T37" s="4" t="str">
        <f>IFERROR(LOOKUP(2,1/((lentry!$A$3:$A$3999=jun!$A37)*(lentry!$B$3:$B$3999&lt;=jun!T$3)*(lentry!$C$3:$C$3999&gt;=jun!T$3)),lentry!$D$3:$D$3999),IF(WEEKDAY(jun!T$3,1)=1,"WO","P"))</f>
        <v>P</v>
      </c>
      <c r="U37" s="4" t="str">
        <f>IFERROR(LOOKUP(2,1/((lentry!$A$3:$A$3999=jun!$A37)*(lentry!$B$3:$B$3999&lt;=jun!U$3)*(lentry!$C$3:$C$3999&gt;=jun!U$3)),lentry!$D$3:$D$3999),IF(WEEKDAY(jun!U$3,1)=1,"WO","P"))</f>
        <v>P</v>
      </c>
      <c r="V37" s="4" t="str">
        <f>IFERROR(LOOKUP(2,1/((lentry!$A$3:$A$3999=jun!$A37)*(lentry!$B$3:$B$3999&lt;=jun!V$3)*(lentry!$C$3:$C$3999&gt;=jun!V$3)),lentry!$D$3:$D$3999),IF(WEEKDAY(jun!V$3,1)=1,"WO","P"))</f>
        <v>P</v>
      </c>
      <c r="W37" s="4" t="str">
        <f>IFERROR(LOOKUP(2,1/((lentry!$A$3:$A$3999=jun!$A37)*(lentry!$B$3:$B$3999&lt;=jun!W$3)*(lentry!$C$3:$C$3999&gt;=jun!W$3)),lentry!$D$3:$D$3999),IF(WEEKDAY(jun!W$3,1)=1,"WO","P"))</f>
        <v>P</v>
      </c>
      <c r="X37" s="4" t="str">
        <f>IFERROR(LOOKUP(2,1/((lentry!$A$3:$A$3999=jun!$A37)*(lentry!$B$3:$B$3999&lt;=jun!X$3)*(lentry!$C$3:$C$3999&gt;=jun!X$3)),lentry!$D$3:$D$3999),IF(WEEKDAY(jun!X$3,1)=1,"WO","P"))</f>
        <v>P</v>
      </c>
      <c r="Y37" s="4" t="str">
        <f>IFERROR(LOOKUP(2,1/((lentry!$A$3:$A$3999=jun!$A37)*(lentry!$B$3:$B$3999&lt;=jun!Y$3)*(lentry!$C$3:$C$3999&gt;=jun!Y$3)),lentry!$D$3:$D$3999),IF(WEEKDAY(jun!Y$3,1)=1,"WO","P"))</f>
        <v>P</v>
      </c>
      <c r="Z37" s="4" t="str">
        <f>IFERROR(LOOKUP(2,1/((lentry!$A$3:$A$3999=jun!$A37)*(lentry!$B$3:$B$3999&lt;=jun!Z$3)*(lentry!$C$3:$C$3999&gt;=jun!Z$3)),lentry!$D$3:$D$3999),IF(WEEKDAY(jun!Z$3,1)=1,"WO","P"))</f>
        <v>WO</v>
      </c>
      <c r="AA37" s="4" t="str">
        <f>IFERROR(LOOKUP(2,1/((lentry!$A$3:$A$3999=jun!$A37)*(lentry!$B$3:$B$3999&lt;=jun!AA$3)*(lentry!$C$3:$C$3999&gt;=jun!AA$3)),lentry!$D$3:$D$3999),IF(WEEKDAY(jun!AA$3,1)=1,"WO","P"))</f>
        <v>P</v>
      </c>
      <c r="AB37" s="4" t="s">
        <v>539</v>
      </c>
      <c r="AC37" s="4" t="str">
        <f>IFERROR(LOOKUP(2,1/((lentry!$A$3:$A$3999=jun!$A37)*(lentry!$B$3:$B$3999&lt;=jun!AC$3)*(lentry!$C$3:$C$3999&gt;=jun!AC$3)),lentry!$D$3:$D$3999),IF(WEEKDAY(jun!AC$3,1)=1,"WO","P"))</f>
        <v>P</v>
      </c>
      <c r="AD37" s="4" t="str">
        <f>IFERROR(LOOKUP(2,1/((lentry!$A$3:$A$3999=jun!$A37)*(lentry!$B$3:$B$3999&lt;=jun!AD$3)*(lentry!$C$3:$C$3999&gt;=jun!AD$3)),lentry!$D$3:$D$3999),IF(WEEKDAY(jun!AD$3,1)=1,"WO","P"))</f>
        <v>P</v>
      </c>
      <c r="AE37" s="4" t="str">
        <f>IFERROR(LOOKUP(2,1/((lentry!$A$3:$A$3999=jun!$A37)*(lentry!$B$3:$B$3999&lt;=jun!AE$3)*(lentry!$C$3:$C$3999&gt;=jun!AE$3)),lentry!$D$3:$D$3999),IF(WEEKDAY(jun!AE$3,1)=1,"WO","P"))</f>
        <v>P</v>
      </c>
      <c r="AF37" s="4" t="str">
        <f>IFERROR(LOOKUP(2,1/((lentry!$A$3:$A$3999=jun!$A37)*(lentry!$B$3:$B$3999&lt;=jun!AF$3)*(lentry!$C$3:$C$3999&gt;=jun!AF$3)),lentry!$D$3:$D$3999),IF(WEEKDAY(jun!AF$3,1)=1,"WO","P"))</f>
        <v>P</v>
      </c>
      <c r="AG37" s="4" t="str">
        <f>IFERROR(LOOKUP(2,1/((lentry!$A$3:$A$3999=jun!$A37)*(lentry!$B$3:$B$3999&lt;=jun!AG$3)*(lentry!$C$3:$C$3999&gt;=jun!AG$3)),lentry!$D$3:$D$3999),IF(WEEKDAY(jun!AG$3,1)=1,"WO","P"))</f>
        <v>WO</v>
      </c>
      <c r="AH37" s="4" t="str">
        <f>IFERROR(LOOKUP(2,1/((lentry!$A$3:$A$3999=jun!$A37)*(lentry!$B$3:$B$3999&lt;=jun!AH$3)*(lentry!$C$3:$C$3999&gt;=jun!AH$3)),lentry!$D$3:$D$3999),IF(WEEKDAY(jun!AH$3,1)=1,"WO","P"))</f>
        <v>P</v>
      </c>
      <c r="AI37" s="4" t="str">
        <f>IFERROR(LOOKUP(2,1/((lentry!$A$3:$A$3999=jun!$A37)*(lentry!$B$3:$B$3999&lt;=jun!AI$3)*(lentry!$C$3:$C$3999&gt;=jun!AI$3)),lentry!$D$3:$D$3999),IF(WEEKDAY(jun!AI$3,1)=1,"WO","P"))</f>
        <v>P</v>
      </c>
      <c r="AJ37" s="4">
        <f>COUNTIF(jun!$F37:$AI37,"WO")</f>
        <v>4</v>
      </c>
      <c r="AK37" s="4">
        <f>COUNTIF(jun!$F37:$AI37,"H")</f>
        <v>0</v>
      </c>
      <c r="AL37" s="4">
        <f>COUNTIF(jun!$F37:$AI37,"PL")</f>
        <v>0</v>
      </c>
      <c r="AM37" s="4">
        <f>COUNTIF(jun!$F37:$AI37,"LWP")</f>
        <v>0</v>
      </c>
      <c r="AN37" s="4">
        <f>COUNTIF(jun!$F37:$AI37,"HD")</f>
        <v>0</v>
      </c>
      <c r="AO37" s="4">
        <f>COUNTIF(jun!$F37:$AI37,"SL")</f>
        <v>0</v>
      </c>
      <c r="AP37" s="4">
        <f>COUNTIF(jun!$F37:$AI37,"CL")</f>
        <v>0</v>
      </c>
      <c r="AQ37" s="4">
        <f>COUNTIF(jun!$F37:$AI37,"A")</f>
        <v>2</v>
      </c>
      <c r="AR37" s="4">
        <f>COUNTIF(jun!$F37:$AI37,"P")</f>
        <v>24</v>
      </c>
      <c r="AS37" s="4">
        <f t="shared" ref="AS37:AS54" si="4">COUNTA($F37:$AI37)</f>
        <v>30</v>
      </c>
      <c r="AT37" s="4">
        <f t="shared" si="3"/>
        <v>28</v>
      </c>
      <c r="AU37" s="4">
        <f>SUMIFS(holly!$L$2:$L$122,holly!$I$2:$I$122,mar!$A37,holly!$K$2:$K$122,"Mar")</f>
        <v>1</v>
      </c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</row>
    <row r="38" spans="1:79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IFERROR(LOOKUP(2,1/((lentry!$A$3:$A$3999=jun!$A38)*(lentry!$B$3:$B$3999&lt;=jun!F$3)*(lentry!$C$3:$C$3999&gt;=jun!F$3)),lentry!$D$3:$D$3999),IF(WEEKDAY(jun!F$3,1)=1,"WO","P"))</f>
        <v>P</v>
      </c>
      <c r="G38" s="4" t="str">
        <f>IFERROR(LOOKUP(2,1/((lentry!$A$3:$A$3999=jun!$A38)*(lentry!$B$3:$B$3999&lt;=jun!G$3)*(lentry!$C$3:$C$3999&gt;=jun!G$3)),lentry!$D$3:$D$3999),IF(WEEKDAY(jun!G$3,1)=1,"WO","P"))</f>
        <v>P</v>
      </c>
      <c r="H38" s="4" t="str">
        <f>IFERROR(LOOKUP(2,1/((lentry!$A$3:$A$3999=jun!$A38)*(lentry!$B$3:$B$3999&lt;=jun!H$3)*(lentry!$C$3:$C$3999&gt;=jun!H$3)),lentry!$D$3:$D$3999),IF(WEEKDAY(jun!H$3,1)=1,"WO","P"))</f>
        <v>P</v>
      </c>
      <c r="I38" s="4" t="str">
        <f>IFERROR(LOOKUP(2,1/((lentry!$A$3:$A$3999=jun!$A38)*(lentry!$B$3:$B$3999&lt;=jun!I$3)*(lentry!$C$3:$C$3999&gt;=jun!I$3)),lentry!$D$3:$D$3999),IF(WEEKDAY(jun!I$3,1)=1,"WO","P"))</f>
        <v>P</v>
      </c>
      <c r="J38" s="4" t="str">
        <f>IFERROR(LOOKUP(2,1/((lentry!$A$3:$A$3999=jun!$A38)*(lentry!$B$3:$B$3999&lt;=jun!J$3)*(lentry!$C$3:$C$3999&gt;=jun!J$3)),lentry!$D$3:$D$3999),IF(WEEKDAY(jun!J$3,1)=1,"WO","P"))</f>
        <v>P</v>
      </c>
      <c r="K38" s="4" t="str">
        <f>IFERROR(LOOKUP(2,1/((lentry!$A$3:$A$3999=jun!$A38)*(lentry!$B$3:$B$3999&lt;=jun!K$3)*(lentry!$C$3:$C$3999&gt;=jun!K$3)),lentry!$D$3:$D$3999),IF(WEEKDAY(jun!K$3,1)=1,"WO","P"))</f>
        <v>P</v>
      </c>
      <c r="L38" s="4" t="str">
        <f>IFERROR(LOOKUP(2,1/((lentry!$A$3:$A$3999=jun!$A38)*(lentry!$B$3:$B$3999&lt;=jun!L$3)*(lentry!$C$3:$C$3999&gt;=jun!L$3)),lentry!$D$3:$D$3999),IF(WEEKDAY(jun!L$3,1)=1,"WO","P"))</f>
        <v>WO</v>
      </c>
      <c r="M38" s="4" t="str">
        <f>IFERROR(LOOKUP(2,1/((lentry!$A$3:$A$3999=jun!$A38)*(lentry!$B$3:$B$3999&lt;=jun!M$3)*(lentry!$C$3:$C$3999&gt;=jun!M$3)),lentry!$D$3:$D$3999),IF(WEEKDAY(jun!M$3,1)=1,"WO","P"))</f>
        <v>P</v>
      </c>
      <c r="N38" s="4" t="str">
        <f>IFERROR(LOOKUP(2,1/((lentry!$A$3:$A$3999=jun!$A38)*(lentry!$B$3:$B$3999&lt;=jun!N$3)*(lentry!$C$3:$C$3999&gt;=jun!N$3)),lentry!$D$3:$D$3999),IF(WEEKDAY(jun!N$3,1)=1,"WO","P"))</f>
        <v>P</v>
      </c>
      <c r="O38" s="4" t="str">
        <f>IFERROR(LOOKUP(2,1/((lentry!$A$3:$A$3999=jun!$A38)*(lentry!$B$3:$B$3999&lt;=jun!O$3)*(lentry!$C$3:$C$3999&gt;=jun!O$3)),lentry!$D$3:$D$3999),IF(WEEKDAY(jun!O$3,1)=1,"WO","P"))</f>
        <v>P</v>
      </c>
      <c r="P38" s="4" t="str">
        <f>IFERROR(LOOKUP(2,1/((lentry!$A$3:$A$3999=jun!$A38)*(lentry!$B$3:$B$3999&lt;=jun!P$3)*(lentry!$C$3:$C$3999&gt;=jun!P$3)),lentry!$D$3:$D$3999),IF(WEEKDAY(jun!P$3,1)=1,"WO","P"))</f>
        <v>P</v>
      </c>
      <c r="Q38" s="4" t="str">
        <f>IFERROR(LOOKUP(2,1/((lentry!$A$3:$A$3999=jun!$A38)*(lentry!$B$3:$B$3999&lt;=jun!Q$3)*(lentry!$C$3:$C$3999&gt;=jun!Q$3)),lentry!$D$3:$D$3999),IF(WEEKDAY(jun!Q$3,1)=1,"WO","P"))</f>
        <v>P</v>
      </c>
      <c r="R38" s="4" t="str">
        <f>IFERROR(LOOKUP(2,1/((lentry!$A$3:$A$3999=jun!$A38)*(lentry!$B$3:$B$3999&lt;=jun!R$3)*(lentry!$C$3:$C$3999&gt;=jun!R$3)),lentry!$D$3:$D$3999),IF(WEEKDAY(jun!R$3,1)=1,"WO","P"))</f>
        <v>P</v>
      </c>
      <c r="S38" s="4" t="str">
        <f>IFERROR(LOOKUP(2,1/((lentry!$A$3:$A$3999=jun!$A38)*(lentry!$B$3:$B$3999&lt;=jun!S$3)*(lentry!$C$3:$C$3999&gt;=jun!S$3)),lentry!$D$3:$D$3999),IF(WEEKDAY(jun!S$3,1)=1,"WO","P"))</f>
        <v>WO</v>
      </c>
      <c r="T38" s="4" t="str">
        <f>IFERROR(LOOKUP(2,1/((lentry!$A$3:$A$3999=jun!$A38)*(lentry!$B$3:$B$3999&lt;=jun!T$3)*(lentry!$C$3:$C$3999&gt;=jun!T$3)),lentry!$D$3:$D$3999),IF(WEEKDAY(jun!T$3,1)=1,"WO","P"))</f>
        <v>P</v>
      </c>
      <c r="U38" s="4" t="str">
        <f>IFERROR(LOOKUP(2,1/((lentry!$A$3:$A$3999=jun!$A38)*(lentry!$B$3:$B$3999&lt;=jun!U$3)*(lentry!$C$3:$C$3999&gt;=jun!U$3)),lentry!$D$3:$D$3999),IF(WEEKDAY(jun!U$3,1)=1,"WO","P"))</f>
        <v>P</v>
      </c>
      <c r="V38" s="4" t="str">
        <f>IFERROR(LOOKUP(2,1/((lentry!$A$3:$A$3999=jun!$A38)*(lentry!$B$3:$B$3999&lt;=jun!V$3)*(lentry!$C$3:$C$3999&gt;=jun!V$3)),lentry!$D$3:$D$3999),IF(WEEKDAY(jun!V$3,1)=1,"WO","P"))</f>
        <v>P</v>
      </c>
      <c r="W38" s="4" t="str">
        <f>IFERROR(LOOKUP(2,1/((lentry!$A$3:$A$3999=jun!$A38)*(lentry!$B$3:$B$3999&lt;=jun!W$3)*(lentry!$C$3:$C$3999&gt;=jun!W$3)),lentry!$D$3:$D$3999),IF(WEEKDAY(jun!W$3,1)=1,"WO","P"))</f>
        <v>P</v>
      </c>
      <c r="X38" s="4" t="str">
        <f>IFERROR(LOOKUP(2,1/((lentry!$A$3:$A$3999=jun!$A38)*(lentry!$B$3:$B$3999&lt;=jun!X$3)*(lentry!$C$3:$C$3999&gt;=jun!X$3)),lentry!$D$3:$D$3999),IF(WEEKDAY(jun!X$3,1)=1,"WO","P"))</f>
        <v>P</v>
      </c>
      <c r="Y38" s="4" t="str">
        <f>IFERROR(LOOKUP(2,1/((lentry!$A$3:$A$3999=jun!$A38)*(lentry!$B$3:$B$3999&lt;=jun!Y$3)*(lentry!$C$3:$C$3999&gt;=jun!Y$3)),lentry!$D$3:$D$3999),IF(WEEKDAY(jun!Y$3,1)=1,"WO","P"))</f>
        <v>P</v>
      </c>
      <c r="Z38" s="4" t="str">
        <f>IFERROR(LOOKUP(2,1/((lentry!$A$3:$A$3999=jun!$A38)*(lentry!$B$3:$B$3999&lt;=jun!Z$3)*(lentry!$C$3:$C$3999&gt;=jun!Z$3)),lentry!$D$3:$D$3999),IF(WEEKDAY(jun!Z$3,1)=1,"WO","P"))</f>
        <v>WO</v>
      </c>
      <c r="AA38" s="4" t="str">
        <f>IFERROR(LOOKUP(2,1/((lentry!$A$3:$A$3999=jun!$A38)*(lentry!$B$3:$B$3999&lt;=jun!AA$3)*(lentry!$C$3:$C$3999&gt;=jun!AA$3)),lentry!$D$3:$D$3999),IF(WEEKDAY(jun!AA$3,1)=1,"WO","P"))</f>
        <v>P</v>
      </c>
      <c r="AB38" s="4" t="str">
        <f>IFERROR(LOOKUP(2,1/((lentry!$A$3:$A$3999=jun!$A38)*(lentry!$B$3:$B$3999&lt;=jun!AB$3)*(lentry!$C$3:$C$3999&gt;=jun!AB$3)),lentry!$D$3:$D$3999),IF(WEEKDAY(jun!AB$3,1)=1,"WO","P"))</f>
        <v>P</v>
      </c>
      <c r="AC38" s="4" t="str">
        <f>IFERROR(LOOKUP(2,1/((lentry!$A$3:$A$3999=jun!$A38)*(lentry!$B$3:$B$3999&lt;=jun!AC$3)*(lentry!$C$3:$C$3999&gt;=jun!AC$3)),lentry!$D$3:$D$3999),IF(WEEKDAY(jun!AC$3,1)=1,"WO","P"))</f>
        <v>P</v>
      </c>
      <c r="AD38" s="4" t="str">
        <f>IFERROR(LOOKUP(2,1/((lentry!$A$3:$A$3999=jun!$A38)*(lentry!$B$3:$B$3999&lt;=jun!AD$3)*(lentry!$C$3:$C$3999&gt;=jun!AD$3)),lentry!$D$3:$D$3999),IF(WEEKDAY(jun!AD$3,1)=1,"WO","P"))</f>
        <v>P</v>
      </c>
      <c r="AE38" s="4" t="str">
        <f>IFERROR(LOOKUP(2,1/((lentry!$A$3:$A$3999=jun!$A38)*(lentry!$B$3:$B$3999&lt;=jun!AE$3)*(lentry!$C$3:$C$3999&gt;=jun!AE$3)),lentry!$D$3:$D$3999),IF(WEEKDAY(jun!AE$3,1)=1,"WO","P"))</f>
        <v>CL</v>
      </c>
      <c r="AF38" s="4" t="str">
        <f>IFERROR(LOOKUP(2,1/((lentry!$A$3:$A$3999=jun!$A38)*(lentry!$B$3:$B$3999&lt;=jun!AF$3)*(lentry!$C$3:$C$3999&gt;=jun!AF$3)),lentry!$D$3:$D$3999),IF(WEEKDAY(jun!AF$3,1)=1,"WO","P"))</f>
        <v>P</v>
      </c>
      <c r="AG38" s="4" t="str">
        <f>IFERROR(LOOKUP(2,1/((lentry!$A$3:$A$3999=jun!$A38)*(lentry!$B$3:$B$3999&lt;=jun!AG$3)*(lentry!$C$3:$C$3999&gt;=jun!AG$3)),lentry!$D$3:$D$3999),IF(WEEKDAY(jun!AG$3,1)=1,"WO","P"))</f>
        <v>WO</v>
      </c>
      <c r="AH38" s="4" t="str">
        <f>IFERROR(LOOKUP(2,1/((lentry!$A$3:$A$3999=jun!$A38)*(lentry!$B$3:$B$3999&lt;=jun!AH$3)*(lentry!$C$3:$C$3999&gt;=jun!AH$3)),lentry!$D$3:$D$3999),IF(WEEKDAY(jun!AH$3,1)=1,"WO","P"))</f>
        <v>P</v>
      </c>
      <c r="AI38" s="4" t="str">
        <f>IFERROR(LOOKUP(2,1/((lentry!$A$3:$A$3999=jun!$A38)*(lentry!$B$3:$B$3999&lt;=jun!AI$3)*(lentry!$C$3:$C$3999&gt;=jun!AI$3)),lentry!$D$3:$D$3999),IF(WEEKDAY(jun!AI$3,1)=1,"WO","P"))</f>
        <v>P</v>
      </c>
      <c r="AJ38" s="4">
        <f>COUNTIF(jun!$F38:$AI38,"WO")</f>
        <v>4</v>
      </c>
      <c r="AK38" s="4">
        <f>COUNTIF(jun!$F38:$AI38,"H")</f>
        <v>0</v>
      </c>
      <c r="AL38" s="4">
        <f>COUNTIF(jun!$F38:$AI38,"PL")</f>
        <v>0</v>
      </c>
      <c r="AM38" s="4">
        <f>COUNTIF(jun!$F38:$AI38,"LWP")</f>
        <v>0</v>
      </c>
      <c r="AN38" s="4">
        <f>COUNTIF(jun!$F38:$AI38,"HD")</f>
        <v>0</v>
      </c>
      <c r="AO38" s="4">
        <f>COUNTIF(jun!$F38:$AI38,"SL")</f>
        <v>0</v>
      </c>
      <c r="AP38" s="4">
        <f>COUNTIF(jun!$F38:$AI38,"CL")</f>
        <v>1</v>
      </c>
      <c r="AQ38" s="4">
        <f>COUNTIF(jun!$F38:$AI38,"A")</f>
        <v>0</v>
      </c>
      <c r="AR38" s="4">
        <f>COUNTIF(jun!$F38:$AI38,"P")</f>
        <v>25</v>
      </c>
      <c r="AS38" s="4">
        <f t="shared" si="4"/>
        <v>30</v>
      </c>
      <c r="AT38" s="4">
        <f t="shared" si="3"/>
        <v>30</v>
      </c>
      <c r="AU38" s="4">
        <f>SUMIFS(holly!$L$2:$L$122,holly!$I$2:$I$122,mar!$A38,holly!$K$2:$K$122,"Mar")</f>
        <v>0</v>
      </c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</row>
    <row r="39" spans="1:79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IFERROR(LOOKUP(2,1/((lentry!$A$3:$A$3999=jun!$A39)*(lentry!$B$3:$B$3999&lt;=jun!F$3)*(lentry!$C$3:$C$3999&gt;=jun!F$3)),lentry!$D$3:$D$3999),IF(WEEKDAY(jun!F$3,1)=1,"WO","P"))</f>
        <v>P</v>
      </c>
      <c r="G39" s="4" t="str">
        <f>IFERROR(LOOKUP(2,1/((lentry!$A$3:$A$3999=jun!$A39)*(lentry!$B$3:$B$3999&lt;=jun!G$3)*(lentry!$C$3:$C$3999&gt;=jun!G$3)),lentry!$D$3:$D$3999),IF(WEEKDAY(jun!G$3,1)=1,"WO","P"))</f>
        <v>P</v>
      </c>
      <c r="H39" s="4" t="str">
        <f>IFERROR(LOOKUP(2,1/((lentry!$A$3:$A$3999=jun!$A39)*(lentry!$B$3:$B$3999&lt;=jun!H$3)*(lentry!$C$3:$C$3999&gt;=jun!H$3)),lentry!$D$3:$D$3999),IF(WEEKDAY(jun!H$3,1)=1,"WO","P"))</f>
        <v>P</v>
      </c>
      <c r="I39" s="4" t="str">
        <f>IFERROR(LOOKUP(2,1/((lentry!$A$3:$A$3999=jun!$A39)*(lentry!$B$3:$B$3999&lt;=jun!I$3)*(lentry!$C$3:$C$3999&gt;=jun!I$3)),lentry!$D$3:$D$3999),IF(WEEKDAY(jun!I$3,1)=1,"WO","P"))</f>
        <v>P</v>
      </c>
      <c r="J39" s="4" t="str">
        <f>IFERROR(LOOKUP(2,1/((lentry!$A$3:$A$3999=jun!$A39)*(lentry!$B$3:$B$3999&lt;=jun!J$3)*(lentry!$C$3:$C$3999&gt;=jun!J$3)),lentry!$D$3:$D$3999),IF(WEEKDAY(jun!J$3,1)=1,"WO","P"))</f>
        <v>P</v>
      </c>
      <c r="K39" s="4" t="str">
        <f>IFERROR(LOOKUP(2,1/((lentry!$A$3:$A$3999=jun!$A39)*(lentry!$B$3:$B$3999&lt;=jun!K$3)*(lentry!$C$3:$C$3999&gt;=jun!K$3)),lentry!$D$3:$D$3999),IF(WEEKDAY(jun!K$3,1)=1,"WO","P"))</f>
        <v>P</v>
      </c>
      <c r="L39" s="4" t="str">
        <f>IFERROR(LOOKUP(2,1/((lentry!$A$3:$A$3999=jun!$A39)*(lentry!$B$3:$B$3999&lt;=jun!L$3)*(lentry!$C$3:$C$3999&gt;=jun!L$3)),lentry!$D$3:$D$3999),IF(WEEKDAY(jun!L$3,1)=1,"WO","P"))</f>
        <v>WO</v>
      </c>
      <c r="M39" s="4" t="str">
        <f>IFERROR(LOOKUP(2,1/((lentry!$A$3:$A$3999=jun!$A39)*(lentry!$B$3:$B$3999&lt;=jun!M$3)*(lentry!$C$3:$C$3999&gt;=jun!M$3)),lentry!$D$3:$D$3999),IF(WEEKDAY(jun!M$3,1)=1,"WO","P"))</f>
        <v>P</v>
      </c>
      <c r="N39" s="4" t="str">
        <f>IFERROR(LOOKUP(2,1/((lentry!$A$3:$A$3999=jun!$A39)*(lentry!$B$3:$B$3999&lt;=jun!N$3)*(lentry!$C$3:$C$3999&gt;=jun!N$3)),lentry!$D$3:$D$3999),IF(WEEKDAY(jun!N$3,1)=1,"WO","P"))</f>
        <v>P</v>
      </c>
      <c r="O39" s="4" t="str">
        <f>IFERROR(LOOKUP(2,1/((lentry!$A$3:$A$3999=jun!$A39)*(lentry!$B$3:$B$3999&lt;=jun!O$3)*(lentry!$C$3:$C$3999&gt;=jun!O$3)),lentry!$D$3:$D$3999),IF(WEEKDAY(jun!O$3,1)=1,"WO","P"))</f>
        <v>P</v>
      </c>
      <c r="P39" s="4" t="str">
        <f>IFERROR(LOOKUP(2,1/((lentry!$A$3:$A$3999=jun!$A39)*(lentry!$B$3:$B$3999&lt;=jun!P$3)*(lentry!$C$3:$C$3999&gt;=jun!P$3)),lentry!$D$3:$D$3999),IF(WEEKDAY(jun!P$3,1)=1,"WO","P"))</f>
        <v>P</v>
      </c>
      <c r="Q39" s="4" t="str">
        <f>IFERROR(LOOKUP(2,1/((lentry!$A$3:$A$3999=jun!$A39)*(lentry!$B$3:$B$3999&lt;=jun!Q$3)*(lentry!$C$3:$C$3999&gt;=jun!Q$3)),lentry!$D$3:$D$3999),IF(WEEKDAY(jun!Q$3,1)=1,"WO","P"))</f>
        <v>P</v>
      </c>
      <c r="R39" s="4" t="str">
        <f>IFERROR(LOOKUP(2,1/((lentry!$A$3:$A$3999=jun!$A39)*(lentry!$B$3:$B$3999&lt;=jun!R$3)*(lentry!$C$3:$C$3999&gt;=jun!R$3)),lentry!$D$3:$D$3999),IF(WEEKDAY(jun!R$3,1)=1,"WO","P"))</f>
        <v>P</v>
      </c>
      <c r="S39" s="4" t="str">
        <f>IFERROR(LOOKUP(2,1/((lentry!$A$3:$A$3999=jun!$A39)*(lentry!$B$3:$B$3999&lt;=jun!S$3)*(lentry!$C$3:$C$3999&gt;=jun!S$3)),lentry!$D$3:$D$3999),IF(WEEKDAY(jun!S$3,1)=1,"WO","P"))</f>
        <v>WO</v>
      </c>
      <c r="T39" s="4" t="str">
        <f>IFERROR(LOOKUP(2,1/((lentry!$A$3:$A$3999=jun!$A39)*(lentry!$B$3:$B$3999&lt;=jun!T$3)*(lentry!$C$3:$C$3999&gt;=jun!T$3)),lentry!$D$3:$D$3999),IF(WEEKDAY(jun!T$3,1)=1,"WO","P"))</f>
        <v>P</v>
      </c>
      <c r="U39" s="4" t="str">
        <f>IFERROR(LOOKUP(2,1/((lentry!$A$3:$A$3999=jun!$A39)*(lentry!$B$3:$B$3999&lt;=jun!U$3)*(lentry!$C$3:$C$3999&gt;=jun!U$3)),lentry!$D$3:$D$3999),IF(WEEKDAY(jun!U$3,1)=1,"WO","P"))</f>
        <v>P</v>
      </c>
      <c r="V39" s="4" t="str">
        <f>IFERROR(LOOKUP(2,1/((lentry!$A$3:$A$3999=jun!$A39)*(lentry!$B$3:$B$3999&lt;=jun!V$3)*(lentry!$C$3:$C$3999&gt;=jun!V$3)),lentry!$D$3:$D$3999),IF(WEEKDAY(jun!V$3,1)=1,"WO","P"))</f>
        <v>P</v>
      </c>
      <c r="W39" s="4" t="str">
        <f>IFERROR(LOOKUP(2,1/((lentry!$A$3:$A$3999=jun!$A39)*(lentry!$B$3:$B$3999&lt;=jun!W$3)*(lentry!$C$3:$C$3999&gt;=jun!W$3)),lentry!$D$3:$D$3999),IF(WEEKDAY(jun!W$3,1)=1,"WO","P"))</f>
        <v>P</v>
      </c>
      <c r="X39" s="4" t="str">
        <f>IFERROR(LOOKUP(2,1/((lentry!$A$3:$A$3999=jun!$A39)*(lentry!$B$3:$B$3999&lt;=jun!X$3)*(lentry!$C$3:$C$3999&gt;=jun!X$3)),lentry!$D$3:$D$3999),IF(WEEKDAY(jun!X$3,1)=1,"WO","P"))</f>
        <v>P</v>
      </c>
      <c r="Y39" s="4" t="str">
        <f>IFERROR(LOOKUP(2,1/((lentry!$A$3:$A$3999=jun!$A39)*(lentry!$B$3:$B$3999&lt;=jun!Y$3)*(lentry!$C$3:$C$3999&gt;=jun!Y$3)),lentry!$D$3:$D$3999),IF(WEEKDAY(jun!Y$3,1)=1,"WO","P"))</f>
        <v>P</v>
      </c>
      <c r="Z39" s="4" t="str">
        <f>IFERROR(LOOKUP(2,1/((lentry!$A$3:$A$3999=jun!$A39)*(lentry!$B$3:$B$3999&lt;=jun!Z$3)*(lentry!$C$3:$C$3999&gt;=jun!Z$3)),lentry!$D$3:$D$3999),IF(WEEKDAY(jun!Z$3,1)=1,"WO","P"))</f>
        <v>WO</v>
      </c>
      <c r="AA39" s="4" t="str">
        <f>IFERROR(LOOKUP(2,1/((lentry!$A$3:$A$3999=jun!$A39)*(lentry!$B$3:$B$3999&lt;=jun!AA$3)*(lentry!$C$3:$C$3999&gt;=jun!AA$3)),lentry!$D$3:$D$3999),IF(WEEKDAY(jun!AA$3,1)=1,"WO","P"))</f>
        <v>P</v>
      </c>
      <c r="AB39" s="4" t="str">
        <f>IFERROR(LOOKUP(2,1/((lentry!$A$3:$A$3999=jun!$A39)*(lentry!$B$3:$B$3999&lt;=jun!AB$3)*(lentry!$C$3:$C$3999&gt;=jun!AB$3)),lentry!$D$3:$D$3999),IF(WEEKDAY(jun!AB$3,1)=1,"WO","P"))</f>
        <v>P</v>
      </c>
      <c r="AC39" s="4" t="str">
        <f>IFERROR(LOOKUP(2,1/((lentry!$A$3:$A$3999=jun!$A39)*(lentry!$B$3:$B$3999&lt;=jun!AC$3)*(lentry!$C$3:$C$3999&gt;=jun!AC$3)),lentry!$D$3:$D$3999),IF(WEEKDAY(jun!AC$3,1)=1,"WO","P"))</f>
        <v>P</v>
      </c>
      <c r="AD39" s="4" t="str">
        <f>IFERROR(LOOKUP(2,1/((lentry!$A$3:$A$3999=jun!$A39)*(lentry!$B$3:$B$3999&lt;=jun!AD$3)*(lentry!$C$3:$C$3999&gt;=jun!AD$3)),lentry!$D$3:$D$3999),IF(WEEKDAY(jun!AD$3,1)=1,"WO","P"))</f>
        <v>P</v>
      </c>
      <c r="AE39" s="4" t="str">
        <f>IFERROR(LOOKUP(2,1/((lentry!$A$3:$A$3999=jun!$A39)*(lentry!$B$3:$B$3999&lt;=jun!AE$3)*(lentry!$C$3:$C$3999&gt;=jun!AE$3)),lentry!$D$3:$D$3999),IF(WEEKDAY(jun!AE$3,1)=1,"WO","P"))</f>
        <v>P</v>
      </c>
      <c r="AF39" s="4" t="str">
        <f>IFERROR(LOOKUP(2,1/((lentry!$A$3:$A$3999=jun!$A39)*(lentry!$B$3:$B$3999&lt;=jun!AF$3)*(lentry!$C$3:$C$3999&gt;=jun!AF$3)),lentry!$D$3:$D$3999),IF(WEEKDAY(jun!AF$3,1)=1,"WO","P"))</f>
        <v>P</v>
      </c>
      <c r="AG39" s="4" t="str">
        <f>IFERROR(LOOKUP(2,1/((lentry!$A$3:$A$3999=jun!$A39)*(lentry!$B$3:$B$3999&lt;=jun!AG$3)*(lentry!$C$3:$C$3999&gt;=jun!AG$3)),lentry!$D$3:$D$3999),IF(WEEKDAY(jun!AG$3,1)=1,"WO","P"))</f>
        <v>WO</v>
      </c>
      <c r="AH39" s="4" t="str">
        <f>IFERROR(LOOKUP(2,1/((lentry!$A$3:$A$3999=jun!$A39)*(lentry!$B$3:$B$3999&lt;=jun!AH$3)*(lentry!$C$3:$C$3999&gt;=jun!AH$3)),lentry!$D$3:$D$3999),IF(WEEKDAY(jun!AH$3,1)=1,"WO","P"))</f>
        <v>P</v>
      </c>
      <c r="AI39" s="4" t="str">
        <f>IFERROR(LOOKUP(2,1/((lentry!$A$3:$A$3999=jun!$A39)*(lentry!$B$3:$B$3999&lt;=jun!AI$3)*(lentry!$C$3:$C$3999&gt;=jun!AI$3)),lentry!$D$3:$D$3999),IF(WEEKDAY(jun!AI$3,1)=1,"WO","P"))</f>
        <v>P</v>
      </c>
      <c r="AJ39" s="4">
        <f>COUNTIF(jun!$F39:$AI39,"WO")</f>
        <v>4</v>
      </c>
      <c r="AK39" s="4">
        <f>COUNTIF(jun!$F39:$AI39,"H")</f>
        <v>0</v>
      </c>
      <c r="AL39" s="4">
        <f>COUNTIF(jun!$F39:$AI39,"PL")</f>
        <v>0</v>
      </c>
      <c r="AM39" s="4">
        <f>COUNTIF(jun!$F39:$AI39,"LWP")</f>
        <v>0</v>
      </c>
      <c r="AN39" s="4">
        <f>COUNTIF(jun!$F39:$AI39,"HD")</f>
        <v>0</v>
      </c>
      <c r="AO39" s="4">
        <f>COUNTIF(jun!$F39:$AI39,"SL")</f>
        <v>0</v>
      </c>
      <c r="AP39" s="4">
        <f>COUNTIF(jun!$F39:$AI39,"CL")</f>
        <v>0</v>
      </c>
      <c r="AQ39" s="4">
        <f>COUNTIF(jun!$F39:$AI39,"A")</f>
        <v>0</v>
      </c>
      <c r="AR39" s="4">
        <f>COUNTIF(jun!$F39:$AI39,"P")</f>
        <v>26</v>
      </c>
      <c r="AS39" s="4">
        <f t="shared" si="4"/>
        <v>30</v>
      </c>
      <c r="AT39" s="4">
        <f t="shared" si="3"/>
        <v>30</v>
      </c>
      <c r="AU39" s="4">
        <f>SUMIFS(holly!$L$2:$L$122,holly!$I$2:$I$122,mar!$A39,holly!$K$2:$K$122,"Mar")</f>
        <v>0</v>
      </c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</row>
    <row r="40" spans="1:79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IFERROR(LOOKUP(2,1/((lentry!$A$3:$A$3999=jun!$A40)*(lentry!$B$3:$B$3999&lt;=jun!F$3)*(lentry!$C$3:$C$3999&gt;=jun!F$3)),lentry!$D$3:$D$3999),IF(WEEKDAY(jun!F$3,1)=1,"WO","P"))</f>
        <v>P</v>
      </c>
      <c r="G40" s="4" t="str">
        <f>IFERROR(LOOKUP(2,1/((lentry!$A$3:$A$3999=jun!$A40)*(lentry!$B$3:$B$3999&lt;=jun!G$3)*(lentry!$C$3:$C$3999&gt;=jun!G$3)),lentry!$D$3:$D$3999),IF(WEEKDAY(jun!G$3,1)=1,"WO","P"))</f>
        <v>P</v>
      </c>
      <c r="H40" s="4" t="str">
        <f>IFERROR(LOOKUP(2,1/((lentry!$A$3:$A$3999=jun!$A40)*(lentry!$B$3:$B$3999&lt;=jun!H$3)*(lentry!$C$3:$C$3999&gt;=jun!H$3)),lentry!$D$3:$D$3999),IF(WEEKDAY(jun!H$3,1)=1,"WO","P"))</f>
        <v>P</v>
      </c>
      <c r="I40" s="4" t="str">
        <f>IFERROR(LOOKUP(2,1/((lentry!$A$3:$A$3999=jun!$A40)*(lentry!$B$3:$B$3999&lt;=jun!I$3)*(lentry!$C$3:$C$3999&gt;=jun!I$3)),lentry!$D$3:$D$3999),IF(WEEKDAY(jun!I$3,1)=1,"WO","P"))</f>
        <v>P</v>
      </c>
      <c r="J40" s="4" t="s">
        <v>539</v>
      </c>
      <c r="K40" s="4" t="str">
        <f>IFERROR(LOOKUP(2,1/((lentry!$A$3:$A$3999=jun!$A40)*(lentry!$B$3:$B$3999&lt;=jun!K$3)*(lentry!$C$3:$C$3999&gt;=jun!K$3)),lentry!$D$3:$D$3999),IF(WEEKDAY(jun!K$3,1)=1,"WO","P"))</f>
        <v>P</v>
      </c>
      <c r="L40" s="4" t="str">
        <f>IFERROR(LOOKUP(2,1/((lentry!$A$3:$A$3999=jun!$A40)*(lentry!$B$3:$B$3999&lt;=jun!L$3)*(lentry!$C$3:$C$3999&gt;=jun!L$3)),lentry!$D$3:$D$3999),IF(WEEKDAY(jun!L$3,1)=1,"WO","P"))</f>
        <v>WO</v>
      </c>
      <c r="M40" s="4" t="str">
        <f>IFERROR(LOOKUP(2,1/((lentry!$A$3:$A$3999=jun!$A40)*(lentry!$B$3:$B$3999&lt;=jun!M$3)*(lentry!$C$3:$C$3999&gt;=jun!M$3)),lentry!$D$3:$D$3999),IF(WEEKDAY(jun!M$3,1)=1,"WO","P"))</f>
        <v>P</v>
      </c>
      <c r="N40" s="4" t="s">
        <v>539</v>
      </c>
      <c r="O40" s="4" t="str">
        <f>IFERROR(LOOKUP(2,1/((lentry!$A$3:$A$3999=jun!$A40)*(lentry!$B$3:$B$3999&lt;=jun!O$3)*(lentry!$C$3:$C$3999&gt;=jun!O$3)),lentry!$D$3:$D$3999),IF(WEEKDAY(jun!O$3,1)=1,"WO","P"))</f>
        <v>P</v>
      </c>
      <c r="P40" s="4" t="str">
        <f>IFERROR(LOOKUP(2,1/((lentry!$A$3:$A$3999=jun!$A40)*(lentry!$B$3:$B$3999&lt;=jun!P$3)*(lentry!$C$3:$C$3999&gt;=jun!P$3)),lentry!$D$3:$D$3999),IF(WEEKDAY(jun!P$3,1)=1,"WO","P"))</f>
        <v>P</v>
      </c>
      <c r="Q40" s="4" t="str">
        <f>IFERROR(LOOKUP(2,1/((lentry!$A$3:$A$3999=jun!$A40)*(lentry!$B$3:$B$3999&lt;=jun!Q$3)*(lentry!$C$3:$C$3999&gt;=jun!Q$3)),lentry!$D$3:$D$3999),IF(WEEKDAY(jun!Q$3,1)=1,"WO","P"))</f>
        <v>P</v>
      </c>
      <c r="R40" s="4" t="str">
        <f>IFERROR(LOOKUP(2,1/((lentry!$A$3:$A$3999=jun!$A40)*(lentry!$B$3:$B$3999&lt;=jun!R$3)*(lentry!$C$3:$C$3999&gt;=jun!R$3)),lentry!$D$3:$D$3999),IF(WEEKDAY(jun!R$3,1)=1,"WO","P"))</f>
        <v>P</v>
      </c>
      <c r="S40" s="4" t="str">
        <f>IFERROR(LOOKUP(2,1/((lentry!$A$3:$A$3999=jun!$A40)*(lentry!$B$3:$B$3999&lt;=jun!S$3)*(lentry!$C$3:$C$3999&gt;=jun!S$3)),lentry!$D$3:$D$3999),IF(WEEKDAY(jun!S$3,1)=1,"WO","P"))</f>
        <v>WO</v>
      </c>
      <c r="T40" s="4" t="str">
        <f>IFERROR(LOOKUP(2,1/((lentry!$A$3:$A$3999=jun!$A40)*(lentry!$B$3:$B$3999&lt;=jun!T$3)*(lentry!$C$3:$C$3999&gt;=jun!T$3)),lentry!$D$3:$D$3999),IF(WEEKDAY(jun!T$3,1)=1,"WO","P"))</f>
        <v>P</v>
      </c>
      <c r="U40" s="4" t="str">
        <f>IFERROR(LOOKUP(2,1/((lentry!$A$3:$A$3999=jun!$A40)*(lentry!$B$3:$B$3999&lt;=jun!U$3)*(lentry!$C$3:$C$3999&gt;=jun!U$3)),lentry!$D$3:$D$3999),IF(WEEKDAY(jun!U$3,1)=1,"WO","P"))</f>
        <v>P</v>
      </c>
      <c r="V40" s="4" t="str">
        <f>IFERROR(LOOKUP(2,1/((lentry!$A$3:$A$3999=jun!$A40)*(lentry!$B$3:$B$3999&lt;=jun!V$3)*(lentry!$C$3:$C$3999&gt;=jun!V$3)),lentry!$D$3:$D$3999),IF(WEEKDAY(jun!V$3,1)=1,"WO","P"))</f>
        <v>P</v>
      </c>
      <c r="W40" s="4" t="str">
        <f>IFERROR(LOOKUP(2,1/((lentry!$A$3:$A$3999=jun!$A40)*(lentry!$B$3:$B$3999&lt;=jun!W$3)*(lentry!$C$3:$C$3999&gt;=jun!W$3)),lentry!$D$3:$D$3999),IF(WEEKDAY(jun!W$3,1)=1,"WO","P"))</f>
        <v>P</v>
      </c>
      <c r="X40" s="4" t="str">
        <f>IFERROR(LOOKUP(2,1/((lentry!$A$3:$A$3999=jun!$A40)*(lentry!$B$3:$B$3999&lt;=jun!X$3)*(lentry!$C$3:$C$3999&gt;=jun!X$3)),lentry!$D$3:$D$3999),IF(WEEKDAY(jun!X$3,1)=1,"WO","P"))</f>
        <v>P</v>
      </c>
      <c r="Y40" s="4" t="str">
        <f>IFERROR(LOOKUP(2,1/((lentry!$A$3:$A$3999=jun!$A40)*(lentry!$B$3:$B$3999&lt;=jun!Y$3)*(lentry!$C$3:$C$3999&gt;=jun!Y$3)),lentry!$D$3:$D$3999),IF(WEEKDAY(jun!Y$3,1)=1,"WO","P"))</f>
        <v>P</v>
      </c>
      <c r="Z40" s="4" t="str">
        <f>IFERROR(LOOKUP(2,1/((lentry!$A$3:$A$3999=jun!$A40)*(lentry!$B$3:$B$3999&lt;=jun!Z$3)*(lentry!$C$3:$C$3999&gt;=jun!Z$3)),lentry!$D$3:$D$3999),IF(WEEKDAY(jun!Z$3,1)=1,"WO","P"))</f>
        <v>WO</v>
      </c>
      <c r="AA40" s="4" t="str">
        <f>IFERROR(LOOKUP(2,1/((lentry!$A$3:$A$3999=jun!$A40)*(lentry!$B$3:$B$3999&lt;=jun!AA$3)*(lentry!$C$3:$C$3999&gt;=jun!AA$3)),lentry!$D$3:$D$3999),IF(WEEKDAY(jun!AA$3,1)=1,"WO","P"))</f>
        <v>P</v>
      </c>
      <c r="AB40" s="4" t="str">
        <f>IFERROR(LOOKUP(2,1/((lentry!$A$3:$A$3999=jun!$A40)*(lentry!$B$3:$B$3999&lt;=jun!AB$3)*(lentry!$C$3:$C$3999&gt;=jun!AB$3)),lentry!$D$3:$D$3999),IF(WEEKDAY(jun!AB$3,1)=1,"WO","P"))</f>
        <v>P</v>
      </c>
      <c r="AC40" s="4" t="str">
        <f>IFERROR(LOOKUP(2,1/((lentry!$A$3:$A$3999=jun!$A40)*(lentry!$B$3:$B$3999&lt;=jun!AC$3)*(lentry!$C$3:$C$3999&gt;=jun!AC$3)),lentry!$D$3:$D$3999),IF(WEEKDAY(jun!AC$3,1)=1,"WO","P"))</f>
        <v>P</v>
      </c>
      <c r="AD40" s="4" t="str">
        <f>IFERROR(LOOKUP(2,1/((lentry!$A$3:$A$3999=jun!$A40)*(lentry!$B$3:$B$3999&lt;=jun!AD$3)*(lentry!$C$3:$C$3999&gt;=jun!AD$3)),lentry!$D$3:$D$3999),IF(WEEKDAY(jun!AD$3,1)=1,"WO","P"))</f>
        <v>P</v>
      </c>
      <c r="AE40" s="4" t="str">
        <f>IFERROR(LOOKUP(2,1/((lentry!$A$3:$A$3999=jun!$A40)*(lentry!$B$3:$B$3999&lt;=jun!AE$3)*(lentry!$C$3:$C$3999&gt;=jun!AE$3)),lentry!$D$3:$D$3999),IF(WEEKDAY(jun!AE$3,1)=1,"WO","P"))</f>
        <v>P</v>
      </c>
      <c r="AF40" s="4" t="str">
        <f>IFERROR(LOOKUP(2,1/((lentry!$A$3:$A$3999=jun!$A40)*(lentry!$B$3:$B$3999&lt;=jun!AF$3)*(lentry!$C$3:$C$3999&gt;=jun!AF$3)),lentry!$D$3:$D$3999),IF(WEEKDAY(jun!AF$3,1)=1,"WO","P"))</f>
        <v>P</v>
      </c>
      <c r="AG40" s="4" t="str">
        <f>IFERROR(LOOKUP(2,1/((lentry!$A$3:$A$3999=jun!$A40)*(lentry!$B$3:$B$3999&lt;=jun!AG$3)*(lentry!$C$3:$C$3999&gt;=jun!AG$3)),lentry!$D$3:$D$3999),IF(WEEKDAY(jun!AG$3,1)=1,"WO","P"))</f>
        <v>WO</v>
      </c>
      <c r="AH40" s="4" t="str">
        <f>IFERROR(LOOKUP(2,1/((lentry!$A$3:$A$3999=jun!$A40)*(lentry!$B$3:$B$3999&lt;=jun!AH$3)*(lentry!$C$3:$C$3999&gt;=jun!AH$3)),lentry!$D$3:$D$3999),IF(WEEKDAY(jun!AH$3,1)=1,"WO","P"))</f>
        <v>P</v>
      </c>
      <c r="AI40" s="4" t="str">
        <f>IFERROR(LOOKUP(2,1/((lentry!$A$3:$A$3999=jun!$A40)*(lentry!$B$3:$B$3999&lt;=jun!AI$3)*(lentry!$C$3:$C$3999&gt;=jun!AI$3)),lentry!$D$3:$D$3999),IF(WEEKDAY(jun!AI$3,1)=1,"WO","P"))</f>
        <v>P</v>
      </c>
      <c r="AJ40" s="4">
        <f>COUNTIF(jun!$F40:$AI40,"WO")</f>
        <v>4</v>
      </c>
      <c r="AK40" s="4">
        <f>COUNTIF(jun!$F40:$AI40,"H")</f>
        <v>0</v>
      </c>
      <c r="AL40" s="4">
        <f>COUNTIF(jun!$F40:$AI40,"PL")</f>
        <v>0</v>
      </c>
      <c r="AM40" s="4">
        <f>COUNTIF(jun!$F40:$AI40,"LWP")</f>
        <v>0</v>
      </c>
      <c r="AN40" s="4">
        <f>COUNTIF(jun!$F40:$AI40,"HD")</f>
        <v>0</v>
      </c>
      <c r="AO40" s="4">
        <f>COUNTIF(jun!$F40:$AI40,"SL")</f>
        <v>0</v>
      </c>
      <c r="AP40" s="4">
        <f>COUNTIF(jun!$F40:$AI40,"CL")</f>
        <v>0</v>
      </c>
      <c r="AQ40" s="4">
        <f>COUNTIF(jun!$F40:$AI40,"A")</f>
        <v>2</v>
      </c>
      <c r="AR40" s="4">
        <f>COUNTIF(jun!$F40:$AI40,"P")</f>
        <v>24</v>
      </c>
      <c r="AS40" s="4">
        <f t="shared" si="4"/>
        <v>30</v>
      </c>
      <c r="AT40" s="4">
        <f t="shared" si="3"/>
        <v>28</v>
      </c>
      <c r="AU40" s="4">
        <f>SUMIFS(holly!$L$2:$L$122,holly!$I$2:$I$122,mar!$A40,holly!$K$2:$K$122,"Mar")</f>
        <v>0</v>
      </c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</row>
    <row r="41" spans="1:79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IFERROR(LOOKUP(2,1/((lentry!$A$3:$A$3999=jun!$A41)*(lentry!$B$3:$B$3999&lt;=jun!F$3)*(lentry!$C$3:$C$3999&gt;=jun!F$3)),lentry!$D$3:$D$3999),IF(WEEKDAY(jun!F$3,1)=1,"WO","P"))</f>
        <v>P</v>
      </c>
      <c r="G41" s="4" t="str">
        <f>IFERROR(LOOKUP(2,1/((lentry!$A$3:$A$3999=jun!$A41)*(lentry!$B$3:$B$3999&lt;=jun!G$3)*(lentry!$C$3:$C$3999&gt;=jun!G$3)),lentry!$D$3:$D$3999),IF(WEEKDAY(jun!G$3,1)=1,"WO","P"))</f>
        <v>P</v>
      </c>
      <c r="H41" s="4" t="str">
        <f>IFERROR(LOOKUP(2,1/((lentry!$A$3:$A$3999=jun!$A41)*(lentry!$B$3:$B$3999&lt;=jun!H$3)*(lentry!$C$3:$C$3999&gt;=jun!H$3)),lentry!$D$3:$D$3999),IF(WEEKDAY(jun!H$3,1)=1,"WO","P"))</f>
        <v>P</v>
      </c>
      <c r="I41" s="4" t="str">
        <f>IFERROR(LOOKUP(2,1/((lentry!$A$3:$A$3999=jun!$A41)*(lentry!$B$3:$B$3999&lt;=jun!I$3)*(lentry!$C$3:$C$3999&gt;=jun!I$3)),lentry!$D$3:$D$3999),IF(WEEKDAY(jun!I$3,1)=1,"WO","P"))</f>
        <v>P</v>
      </c>
      <c r="J41" s="4" t="str">
        <f>IFERROR(LOOKUP(2,1/((lentry!$A$3:$A$3999=jun!$A41)*(lentry!$B$3:$B$3999&lt;=jun!J$3)*(lentry!$C$3:$C$3999&gt;=jun!J$3)),lentry!$D$3:$D$3999),IF(WEEKDAY(jun!J$3,1)=1,"WO","P"))</f>
        <v>P</v>
      </c>
      <c r="K41" s="4" t="str">
        <f>IFERROR(LOOKUP(2,1/((lentry!$A$3:$A$3999=jun!$A41)*(lentry!$B$3:$B$3999&lt;=jun!K$3)*(lentry!$C$3:$C$3999&gt;=jun!K$3)),lentry!$D$3:$D$3999),IF(WEEKDAY(jun!K$3,1)=1,"WO","P"))</f>
        <v>P</v>
      </c>
      <c r="L41" s="4" t="str">
        <f>IFERROR(LOOKUP(2,1/((lentry!$A$3:$A$3999=jun!$A41)*(lentry!$B$3:$B$3999&lt;=jun!L$3)*(lentry!$C$3:$C$3999&gt;=jun!L$3)),lentry!$D$3:$D$3999),IF(WEEKDAY(jun!L$3,1)=1,"WO","P"))</f>
        <v>WO</v>
      </c>
      <c r="M41" s="4" t="str">
        <f>IFERROR(LOOKUP(2,1/((lentry!$A$3:$A$3999=jun!$A41)*(lentry!$B$3:$B$3999&lt;=jun!M$3)*(lentry!$C$3:$C$3999&gt;=jun!M$3)),lentry!$D$3:$D$3999),IF(WEEKDAY(jun!M$3,1)=1,"WO","P"))</f>
        <v>P</v>
      </c>
      <c r="N41" s="4" t="str">
        <f>IFERROR(LOOKUP(2,1/((lentry!$A$3:$A$3999=jun!$A41)*(lentry!$B$3:$B$3999&lt;=jun!N$3)*(lentry!$C$3:$C$3999&gt;=jun!N$3)),lentry!$D$3:$D$3999),IF(WEEKDAY(jun!N$3,1)=1,"WO","P"))</f>
        <v>P</v>
      </c>
      <c r="O41" s="4" t="str">
        <f>IFERROR(LOOKUP(2,1/((lentry!$A$3:$A$3999=jun!$A41)*(lentry!$B$3:$B$3999&lt;=jun!O$3)*(lentry!$C$3:$C$3999&gt;=jun!O$3)),lentry!$D$3:$D$3999),IF(WEEKDAY(jun!O$3,1)=1,"WO","P"))</f>
        <v>P</v>
      </c>
      <c r="P41" s="4" t="str">
        <f>IFERROR(LOOKUP(2,1/((lentry!$A$3:$A$3999=jun!$A41)*(lentry!$B$3:$B$3999&lt;=jun!P$3)*(lentry!$C$3:$C$3999&gt;=jun!P$3)),lentry!$D$3:$D$3999),IF(WEEKDAY(jun!P$3,1)=1,"WO","P"))</f>
        <v>P</v>
      </c>
      <c r="Q41" s="4" t="str">
        <f>IFERROR(LOOKUP(2,1/((lentry!$A$3:$A$3999=jun!$A41)*(lentry!$B$3:$B$3999&lt;=jun!Q$3)*(lentry!$C$3:$C$3999&gt;=jun!Q$3)),lentry!$D$3:$D$3999),IF(WEEKDAY(jun!Q$3,1)=1,"WO","P"))</f>
        <v>P</v>
      </c>
      <c r="R41" s="4" t="str">
        <f>IFERROR(LOOKUP(2,1/((lentry!$A$3:$A$3999=jun!$A41)*(lentry!$B$3:$B$3999&lt;=jun!R$3)*(lentry!$C$3:$C$3999&gt;=jun!R$3)),lentry!$D$3:$D$3999),IF(WEEKDAY(jun!R$3,1)=1,"WO","P"))</f>
        <v>P</v>
      </c>
      <c r="S41" s="4" t="str">
        <f>IFERROR(LOOKUP(2,1/((lentry!$A$3:$A$3999=jun!$A41)*(lentry!$B$3:$B$3999&lt;=jun!S$3)*(lentry!$C$3:$C$3999&gt;=jun!S$3)),lentry!$D$3:$D$3999),IF(WEEKDAY(jun!S$3,1)=1,"WO","P"))</f>
        <v>WO</v>
      </c>
      <c r="T41" s="4" t="str">
        <f>IFERROR(LOOKUP(2,1/((lentry!$A$3:$A$3999=jun!$A41)*(lentry!$B$3:$B$3999&lt;=jun!T$3)*(lentry!$C$3:$C$3999&gt;=jun!T$3)),lentry!$D$3:$D$3999),IF(WEEKDAY(jun!T$3,1)=1,"WO","P"))</f>
        <v>P</v>
      </c>
      <c r="U41" s="4" t="str">
        <f>IFERROR(LOOKUP(2,1/((lentry!$A$3:$A$3999=jun!$A41)*(lentry!$B$3:$B$3999&lt;=jun!U$3)*(lentry!$C$3:$C$3999&gt;=jun!U$3)),lentry!$D$3:$D$3999),IF(WEEKDAY(jun!U$3,1)=1,"WO","P"))</f>
        <v>P</v>
      </c>
      <c r="V41" s="4" t="str">
        <f>IFERROR(LOOKUP(2,1/((lentry!$A$3:$A$3999=jun!$A41)*(lentry!$B$3:$B$3999&lt;=jun!V$3)*(lentry!$C$3:$C$3999&gt;=jun!V$3)),lentry!$D$3:$D$3999),IF(WEEKDAY(jun!V$3,1)=1,"WO","P"))</f>
        <v>P</v>
      </c>
      <c r="W41" s="4" t="str">
        <f>IFERROR(LOOKUP(2,1/((lentry!$A$3:$A$3999=jun!$A41)*(lentry!$B$3:$B$3999&lt;=jun!W$3)*(lentry!$C$3:$C$3999&gt;=jun!W$3)),lentry!$D$3:$D$3999),IF(WEEKDAY(jun!W$3,1)=1,"WO","P"))</f>
        <v>P</v>
      </c>
      <c r="X41" s="4" t="str">
        <f>IFERROR(LOOKUP(2,1/((lentry!$A$3:$A$3999=jun!$A41)*(lentry!$B$3:$B$3999&lt;=jun!X$3)*(lentry!$C$3:$C$3999&gt;=jun!X$3)),lentry!$D$3:$D$3999),IF(WEEKDAY(jun!X$3,1)=1,"WO","P"))</f>
        <v>P</v>
      </c>
      <c r="Y41" s="4" t="str">
        <f>IFERROR(LOOKUP(2,1/((lentry!$A$3:$A$3999=jun!$A41)*(lentry!$B$3:$B$3999&lt;=jun!Y$3)*(lentry!$C$3:$C$3999&gt;=jun!Y$3)),lentry!$D$3:$D$3999),IF(WEEKDAY(jun!Y$3,1)=1,"WO","P"))</f>
        <v>P</v>
      </c>
      <c r="Z41" s="4" t="str">
        <f>IFERROR(LOOKUP(2,1/((lentry!$A$3:$A$3999=jun!$A41)*(lentry!$B$3:$B$3999&lt;=jun!Z$3)*(lentry!$C$3:$C$3999&gt;=jun!Z$3)),lentry!$D$3:$D$3999),IF(WEEKDAY(jun!Z$3,1)=1,"WO","P"))</f>
        <v>WO</v>
      </c>
      <c r="AA41" s="4" t="str">
        <f>IFERROR(LOOKUP(2,1/((lentry!$A$3:$A$3999=jun!$A41)*(lentry!$B$3:$B$3999&lt;=jun!AA$3)*(lentry!$C$3:$C$3999&gt;=jun!AA$3)),lentry!$D$3:$D$3999),IF(WEEKDAY(jun!AA$3,1)=1,"WO","P"))</f>
        <v>P</v>
      </c>
      <c r="AB41" s="4" t="str">
        <f>IFERROR(LOOKUP(2,1/((lentry!$A$3:$A$3999=jun!$A41)*(lentry!$B$3:$B$3999&lt;=jun!AB$3)*(lentry!$C$3:$C$3999&gt;=jun!AB$3)),lentry!$D$3:$D$3999),IF(WEEKDAY(jun!AB$3,1)=1,"WO","P"))</f>
        <v>P</v>
      </c>
      <c r="AC41" s="4" t="str">
        <f>IFERROR(LOOKUP(2,1/((lentry!$A$3:$A$3999=jun!$A41)*(lentry!$B$3:$B$3999&lt;=jun!AC$3)*(lentry!$C$3:$C$3999&gt;=jun!AC$3)),lentry!$D$3:$D$3999),IF(WEEKDAY(jun!AC$3,1)=1,"WO","P"))</f>
        <v>P</v>
      </c>
      <c r="AD41" s="4" t="str">
        <f>IFERROR(LOOKUP(2,1/((lentry!$A$3:$A$3999=jun!$A41)*(lentry!$B$3:$B$3999&lt;=jun!AD$3)*(lentry!$C$3:$C$3999&gt;=jun!AD$3)),lentry!$D$3:$D$3999),IF(WEEKDAY(jun!AD$3,1)=1,"WO","P"))</f>
        <v>P</v>
      </c>
      <c r="AE41" s="4" t="str">
        <f>IFERROR(LOOKUP(2,1/((lentry!$A$3:$A$3999=jun!$A41)*(lentry!$B$3:$B$3999&lt;=jun!AE$3)*(lentry!$C$3:$C$3999&gt;=jun!AE$3)),lentry!$D$3:$D$3999),IF(WEEKDAY(jun!AE$3,1)=1,"WO","P"))</f>
        <v>P</v>
      </c>
      <c r="AF41" s="4" t="str">
        <f>IFERROR(LOOKUP(2,1/((lentry!$A$3:$A$3999=jun!$A41)*(lentry!$B$3:$B$3999&lt;=jun!AF$3)*(lentry!$C$3:$C$3999&gt;=jun!AF$3)),lentry!$D$3:$D$3999),IF(WEEKDAY(jun!AF$3,1)=1,"WO","P"))</f>
        <v>P</v>
      </c>
      <c r="AG41" s="4" t="str">
        <f>IFERROR(LOOKUP(2,1/((lentry!$A$3:$A$3999=jun!$A41)*(lentry!$B$3:$B$3999&lt;=jun!AG$3)*(lentry!$C$3:$C$3999&gt;=jun!AG$3)),lentry!$D$3:$D$3999),IF(WEEKDAY(jun!AG$3,1)=1,"WO","P"))</f>
        <v>WO</v>
      </c>
      <c r="AH41" s="4" t="str">
        <f>IFERROR(LOOKUP(2,1/((lentry!$A$3:$A$3999=jun!$A41)*(lentry!$B$3:$B$3999&lt;=jun!AH$3)*(lentry!$C$3:$C$3999&gt;=jun!AH$3)),lentry!$D$3:$D$3999),IF(WEEKDAY(jun!AH$3,1)=1,"WO","P"))</f>
        <v>P</v>
      </c>
      <c r="AI41" s="4" t="str">
        <f>IFERROR(LOOKUP(2,1/((lentry!$A$3:$A$3999=jun!$A41)*(lentry!$B$3:$B$3999&lt;=jun!AI$3)*(lentry!$C$3:$C$3999&gt;=jun!AI$3)),lentry!$D$3:$D$3999),IF(WEEKDAY(jun!AI$3,1)=1,"WO","P"))</f>
        <v>P</v>
      </c>
      <c r="AJ41" s="4">
        <f>COUNTIF(jun!$F41:$AI41,"WO")</f>
        <v>4</v>
      </c>
      <c r="AK41" s="4">
        <f>COUNTIF(jun!$F41:$AI41,"H")</f>
        <v>0</v>
      </c>
      <c r="AL41" s="4">
        <f>COUNTIF(jun!$F41:$AI41,"PL")</f>
        <v>0</v>
      </c>
      <c r="AM41" s="4">
        <f>COUNTIF(jun!$F41:$AI41,"LWP")</f>
        <v>0</v>
      </c>
      <c r="AN41" s="4">
        <f>COUNTIF(jun!$F41:$AI41,"HD")</f>
        <v>0</v>
      </c>
      <c r="AO41" s="4">
        <f>COUNTIF(jun!$F41:$AI41,"SL")</f>
        <v>0</v>
      </c>
      <c r="AP41" s="4">
        <f>COUNTIF(jun!$F41:$AI41,"CL")</f>
        <v>0</v>
      </c>
      <c r="AQ41" s="4">
        <f>COUNTIF(jun!$F41:$AI41,"A")</f>
        <v>0</v>
      </c>
      <c r="AR41" s="4">
        <f>COUNTIF(jun!$F41:$AI41,"P")</f>
        <v>26</v>
      </c>
      <c r="AS41" s="4">
        <f t="shared" si="4"/>
        <v>30</v>
      </c>
      <c r="AT41" s="4">
        <f t="shared" si="3"/>
        <v>30</v>
      </c>
      <c r="AU41" s="4">
        <f>SUMIFS(holly!$L$2:$L$122,holly!$I$2:$I$122,mar!$A41,holly!$K$2:$K$122,"Mar")</f>
        <v>0</v>
      </c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</row>
    <row r="42" spans="1:79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IFERROR(LOOKUP(2,1/((lentry!$A$3:$A$3999=jun!$A42)*(lentry!$B$3:$B$3999&lt;=jun!F$3)*(lentry!$C$3:$C$3999&gt;=jun!F$3)),lentry!$D$3:$D$3999),IF(WEEKDAY(jun!F$3,1)=1,"WO","P"))</f>
        <v>P</v>
      </c>
      <c r="G42" s="4" t="str">
        <f>IFERROR(LOOKUP(2,1/((lentry!$A$3:$A$3999=jun!$A42)*(lentry!$B$3:$B$3999&lt;=jun!G$3)*(lentry!$C$3:$C$3999&gt;=jun!G$3)),lentry!$D$3:$D$3999),IF(WEEKDAY(jun!G$3,1)=1,"WO","P"))</f>
        <v>P</v>
      </c>
      <c r="H42" s="4" t="str">
        <f>IFERROR(LOOKUP(2,1/((lentry!$A$3:$A$3999=jun!$A42)*(lentry!$B$3:$B$3999&lt;=jun!H$3)*(lentry!$C$3:$C$3999&gt;=jun!H$3)),lentry!$D$3:$D$3999),IF(WEEKDAY(jun!H$3,1)=1,"WO","P"))</f>
        <v>P</v>
      </c>
      <c r="I42" s="4" t="str">
        <f>IFERROR(LOOKUP(2,1/((lentry!$A$3:$A$3999=jun!$A42)*(lentry!$B$3:$B$3999&lt;=jun!I$3)*(lentry!$C$3:$C$3999&gt;=jun!I$3)),lentry!$D$3:$D$3999),IF(WEEKDAY(jun!I$3,1)=1,"WO","P"))</f>
        <v>P</v>
      </c>
      <c r="J42" s="4" t="str">
        <f>IFERROR(LOOKUP(2,1/((lentry!$A$3:$A$3999=jun!$A42)*(lentry!$B$3:$B$3999&lt;=jun!J$3)*(lentry!$C$3:$C$3999&gt;=jun!J$3)),lentry!$D$3:$D$3999),IF(WEEKDAY(jun!J$3,1)=1,"WO","P"))</f>
        <v>P</v>
      </c>
      <c r="K42" s="4" t="str">
        <f>IFERROR(LOOKUP(2,1/((lentry!$A$3:$A$3999=jun!$A42)*(lentry!$B$3:$B$3999&lt;=jun!K$3)*(lentry!$C$3:$C$3999&gt;=jun!K$3)),lentry!$D$3:$D$3999),IF(WEEKDAY(jun!K$3,1)=1,"WO","P"))</f>
        <v>P</v>
      </c>
      <c r="L42" s="4" t="str">
        <f>IFERROR(LOOKUP(2,1/((lentry!$A$3:$A$3999=jun!$A42)*(lentry!$B$3:$B$3999&lt;=jun!L$3)*(lentry!$C$3:$C$3999&gt;=jun!L$3)),lentry!$D$3:$D$3999),IF(WEEKDAY(jun!L$3,1)=1,"WO","P"))</f>
        <v>WO</v>
      </c>
      <c r="M42" s="4" t="str">
        <f>IFERROR(LOOKUP(2,1/((lentry!$A$3:$A$3999=jun!$A42)*(lentry!$B$3:$B$3999&lt;=jun!M$3)*(lentry!$C$3:$C$3999&gt;=jun!M$3)),lentry!$D$3:$D$3999),IF(WEEKDAY(jun!M$3,1)=1,"WO","P"))</f>
        <v>P</v>
      </c>
      <c r="N42" s="4" t="str">
        <f>IFERROR(LOOKUP(2,1/((lentry!$A$3:$A$3999=jun!$A42)*(lentry!$B$3:$B$3999&lt;=jun!N$3)*(lentry!$C$3:$C$3999&gt;=jun!N$3)),lentry!$D$3:$D$3999),IF(WEEKDAY(jun!N$3,1)=1,"WO","P"))</f>
        <v>P</v>
      </c>
      <c r="O42" s="4" t="str">
        <f>IFERROR(LOOKUP(2,1/((lentry!$A$3:$A$3999=jun!$A42)*(lentry!$B$3:$B$3999&lt;=jun!O$3)*(lentry!$C$3:$C$3999&gt;=jun!O$3)),lentry!$D$3:$D$3999),IF(WEEKDAY(jun!O$3,1)=1,"WO","P"))</f>
        <v>P</v>
      </c>
      <c r="P42" s="4" t="str">
        <f>IFERROR(LOOKUP(2,1/((lentry!$A$3:$A$3999=jun!$A42)*(lentry!$B$3:$B$3999&lt;=jun!P$3)*(lentry!$C$3:$C$3999&gt;=jun!P$3)),lentry!$D$3:$D$3999),IF(WEEKDAY(jun!P$3,1)=1,"WO","P"))</f>
        <v>P</v>
      </c>
      <c r="Q42" s="4" t="str">
        <f>IFERROR(LOOKUP(2,1/((lentry!$A$3:$A$3999=jun!$A42)*(lentry!$B$3:$B$3999&lt;=jun!Q$3)*(lentry!$C$3:$C$3999&gt;=jun!Q$3)),lentry!$D$3:$D$3999),IF(WEEKDAY(jun!Q$3,1)=1,"WO","P"))</f>
        <v>P</v>
      </c>
      <c r="R42" s="4" t="str">
        <f>IFERROR(LOOKUP(2,1/((lentry!$A$3:$A$3999=jun!$A42)*(lentry!$B$3:$B$3999&lt;=jun!R$3)*(lentry!$C$3:$C$3999&gt;=jun!R$3)),lentry!$D$3:$D$3999),IF(WEEKDAY(jun!R$3,1)=1,"WO","P"))</f>
        <v>P</v>
      </c>
      <c r="S42" s="4" t="str">
        <f>IFERROR(LOOKUP(2,1/((lentry!$A$3:$A$3999=jun!$A42)*(lentry!$B$3:$B$3999&lt;=jun!S$3)*(lentry!$C$3:$C$3999&gt;=jun!S$3)),lentry!$D$3:$D$3999),IF(WEEKDAY(jun!S$3,1)=1,"WO","P"))</f>
        <v>WO</v>
      </c>
      <c r="T42" s="4" t="str">
        <f>IFERROR(LOOKUP(2,1/((lentry!$A$3:$A$3999=jun!$A42)*(lentry!$B$3:$B$3999&lt;=jun!T$3)*(lentry!$C$3:$C$3999&gt;=jun!T$3)),lentry!$D$3:$D$3999),IF(WEEKDAY(jun!T$3,1)=1,"WO","P"))</f>
        <v>P</v>
      </c>
      <c r="U42" s="4" t="str">
        <f>IFERROR(LOOKUP(2,1/((lentry!$A$3:$A$3999=jun!$A42)*(lentry!$B$3:$B$3999&lt;=jun!U$3)*(lentry!$C$3:$C$3999&gt;=jun!U$3)),lentry!$D$3:$D$3999),IF(WEEKDAY(jun!U$3,1)=1,"WO","P"))</f>
        <v>P</v>
      </c>
      <c r="V42" s="4" t="s">
        <v>539</v>
      </c>
      <c r="W42" s="4" t="str">
        <f>IFERROR(LOOKUP(2,1/((lentry!$A$3:$A$3999=jun!$A42)*(lentry!$B$3:$B$3999&lt;=jun!W$3)*(lentry!$C$3:$C$3999&gt;=jun!W$3)),lentry!$D$3:$D$3999),IF(WEEKDAY(jun!W$3,1)=1,"WO","P"))</f>
        <v>P</v>
      </c>
      <c r="X42" s="4" t="str">
        <f>IFERROR(LOOKUP(2,1/((lentry!$A$3:$A$3999=jun!$A42)*(lentry!$B$3:$B$3999&lt;=jun!X$3)*(lentry!$C$3:$C$3999&gt;=jun!X$3)),lentry!$D$3:$D$3999),IF(WEEKDAY(jun!X$3,1)=1,"WO","P"))</f>
        <v>P</v>
      </c>
      <c r="Y42" s="4" t="str">
        <f>IFERROR(LOOKUP(2,1/((lentry!$A$3:$A$3999=jun!$A42)*(lentry!$B$3:$B$3999&lt;=jun!Y$3)*(lentry!$C$3:$C$3999&gt;=jun!Y$3)),lentry!$D$3:$D$3999),IF(WEEKDAY(jun!Y$3,1)=1,"WO","P"))</f>
        <v>P</v>
      </c>
      <c r="Z42" s="4" t="str">
        <f>IFERROR(LOOKUP(2,1/((lentry!$A$3:$A$3999=jun!$A42)*(lentry!$B$3:$B$3999&lt;=jun!Z$3)*(lentry!$C$3:$C$3999&gt;=jun!Z$3)),lentry!$D$3:$D$3999),IF(WEEKDAY(jun!Z$3,1)=1,"WO","P"))</f>
        <v>WO</v>
      </c>
      <c r="AA42" s="4" t="str">
        <f>IFERROR(LOOKUP(2,1/((lentry!$A$3:$A$3999=jun!$A42)*(lentry!$B$3:$B$3999&lt;=jun!AA$3)*(lentry!$C$3:$C$3999&gt;=jun!AA$3)),lentry!$D$3:$D$3999),IF(WEEKDAY(jun!AA$3,1)=1,"WO","P"))</f>
        <v>P</v>
      </c>
      <c r="AB42" s="4" t="str">
        <f>IFERROR(LOOKUP(2,1/((lentry!$A$3:$A$3999=jun!$A42)*(lentry!$B$3:$B$3999&lt;=jun!AB$3)*(lentry!$C$3:$C$3999&gt;=jun!AB$3)),lentry!$D$3:$D$3999),IF(WEEKDAY(jun!AB$3,1)=1,"WO","P"))</f>
        <v>P</v>
      </c>
      <c r="AC42" s="4" t="str">
        <f>IFERROR(LOOKUP(2,1/((lentry!$A$3:$A$3999=jun!$A42)*(lentry!$B$3:$B$3999&lt;=jun!AC$3)*(lentry!$C$3:$C$3999&gt;=jun!AC$3)),lentry!$D$3:$D$3999),IF(WEEKDAY(jun!AC$3,1)=1,"WO","P"))</f>
        <v>P</v>
      </c>
      <c r="AD42" s="4" t="str">
        <f>IFERROR(LOOKUP(2,1/((lentry!$A$3:$A$3999=jun!$A42)*(lentry!$B$3:$B$3999&lt;=jun!AD$3)*(lentry!$C$3:$C$3999&gt;=jun!AD$3)),lentry!$D$3:$D$3999),IF(WEEKDAY(jun!AD$3,1)=1,"WO","P"))</f>
        <v>P</v>
      </c>
      <c r="AE42" s="4" t="str">
        <f>IFERROR(LOOKUP(2,1/((lentry!$A$3:$A$3999=jun!$A42)*(lentry!$B$3:$B$3999&lt;=jun!AE$3)*(lentry!$C$3:$C$3999&gt;=jun!AE$3)),lentry!$D$3:$D$3999),IF(WEEKDAY(jun!AE$3,1)=1,"WO","P"))</f>
        <v>P</v>
      </c>
      <c r="AF42" s="4" t="str">
        <f>IFERROR(LOOKUP(2,1/((lentry!$A$3:$A$3999=jun!$A42)*(lentry!$B$3:$B$3999&lt;=jun!AF$3)*(lentry!$C$3:$C$3999&gt;=jun!AF$3)),lentry!$D$3:$D$3999),IF(WEEKDAY(jun!AF$3,1)=1,"WO","P"))</f>
        <v>P</v>
      </c>
      <c r="AG42" s="4" t="str">
        <f>IFERROR(LOOKUP(2,1/((lentry!$A$3:$A$3999=jun!$A42)*(lentry!$B$3:$B$3999&lt;=jun!AG$3)*(lentry!$C$3:$C$3999&gt;=jun!AG$3)),lentry!$D$3:$D$3999),IF(WEEKDAY(jun!AG$3,1)=1,"WO","P"))</f>
        <v>WO</v>
      </c>
      <c r="AH42" s="4" t="str">
        <f>IFERROR(LOOKUP(2,1/((lentry!$A$3:$A$3999=jun!$A42)*(lentry!$B$3:$B$3999&lt;=jun!AH$3)*(lentry!$C$3:$C$3999&gt;=jun!AH$3)),lentry!$D$3:$D$3999),IF(WEEKDAY(jun!AH$3,1)=1,"WO","P"))</f>
        <v>P</v>
      </c>
      <c r="AI42" s="4" t="str">
        <f>IFERROR(LOOKUP(2,1/((lentry!$A$3:$A$3999=jun!$A42)*(lentry!$B$3:$B$3999&lt;=jun!AI$3)*(lentry!$C$3:$C$3999&gt;=jun!AI$3)),lentry!$D$3:$D$3999),IF(WEEKDAY(jun!AI$3,1)=1,"WO","P"))</f>
        <v>P</v>
      </c>
      <c r="AJ42" s="4">
        <f>COUNTIF(jun!$F42:$AI42,"WO")</f>
        <v>4</v>
      </c>
      <c r="AK42" s="4">
        <f>COUNTIF(jun!$F42:$AI42,"H")</f>
        <v>0</v>
      </c>
      <c r="AL42" s="4">
        <f>COUNTIF(jun!$F42:$AI42,"PL")</f>
        <v>0</v>
      </c>
      <c r="AM42" s="4">
        <f>COUNTIF(jun!$F42:$AI42,"LWP")</f>
        <v>0</v>
      </c>
      <c r="AN42" s="4">
        <f>COUNTIF(jun!$F42:$AI42,"HD")</f>
        <v>0</v>
      </c>
      <c r="AO42" s="4">
        <f>COUNTIF(jun!$F42:$AI42,"SL")</f>
        <v>0</v>
      </c>
      <c r="AP42" s="4">
        <f>COUNTIF(jun!$F42:$AI42,"CL")</f>
        <v>0</v>
      </c>
      <c r="AQ42" s="4">
        <f>COUNTIF(jun!$F42:$AI42,"A")</f>
        <v>1</v>
      </c>
      <c r="AR42" s="4">
        <f>COUNTIF(jun!$F42:$AI42,"P")</f>
        <v>25</v>
      </c>
      <c r="AS42" s="4">
        <f t="shared" si="4"/>
        <v>30</v>
      </c>
      <c r="AT42" s="4">
        <f t="shared" si="3"/>
        <v>29</v>
      </c>
      <c r="AU42" s="4">
        <f>SUMIFS(holly!$L$2:$L$122,holly!$I$2:$I$122,mar!$A42,holly!$K$2:$K$122,"Mar")</f>
        <v>2</v>
      </c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</row>
    <row r="43" spans="1:79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IFERROR(LOOKUP(2,1/((lentry!$A$3:$A$3999=jun!$A43)*(lentry!$B$3:$B$3999&lt;=jun!F$3)*(lentry!$C$3:$C$3999&gt;=jun!F$3)),lentry!$D$3:$D$3999),IF(WEEKDAY(jun!F$3,1)=1,"WO","P"))</f>
        <v>P</v>
      </c>
      <c r="G43" s="4" t="str">
        <f>IFERROR(LOOKUP(2,1/((lentry!$A$3:$A$3999=jun!$A43)*(lentry!$B$3:$B$3999&lt;=jun!G$3)*(lentry!$C$3:$C$3999&gt;=jun!G$3)),lentry!$D$3:$D$3999),IF(WEEKDAY(jun!G$3,1)=1,"WO","P"))</f>
        <v>P</v>
      </c>
      <c r="H43" s="4" t="str">
        <f>IFERROR(LOOKUP(2,1/((lentry!$A$3:$A$3999=jun!$A43)*(lentry!$B$3:$B$3999&lt;=jun!H$3)*(lentry!$C$3:$C$3999&gt;=jun!H$3)),lentry!$D$3:$D$3999),IF(WEEKDAY(jun!H$3,1)=1,"WO","P"))</f>
        <v>P</v>
      </c>
      <c r="I43" s="4" t="str">
        <f>IFERROR(LOOKUP(2,1/((lentry!$A$3:$A$3999=jun!$A43)*(lentry!$B$3:$B$3999&lt;=jun!I$3)*(lentry!$C$3:$C$3999&gt;=jun!I$3)),lentry!$D$3:$D$3999),IF(WEEKDAY(jun!I$3,1)=1,"WO","P"))</f>
        <v>P</v>
      </c>
      <c r="J43" s="4" t="str">
        <f>IFERROR(LOOKUP(2,1/((lentry!$A$3:$A$3999=jun!$A43)*(lentry!$B$3:$B$3999&lt;=jun!J$3)*(lentry!$C$3:$C$3999&gt;=jun!J$3)),lentry!$D$3:$D$3999),IF(WEEKDAY(jun!J$3,1)=1,"WO","P"))</f>
        <v>P</v>
      </c>
      <c r="K43" s="4" t="str">
        <f>IFERROR(LOOKUP(2,1/((lentry!$A$3:$A$3999=jun!$A43)*(lentry!$B$3:$B$3999&lt;=jun!K$3)*(lentry!$C$3:$C$3999&gt;=jun!K$3)),lentry!$D$3:$D$3999),IF(WEEKDAY(jun!K$3,1)=1,"WO","P"))</f>
        <v>P</v>
      </c>
      <c r="L43" s="4" t="str">
        <f>IFERROR(LOOKUP(2,1/((lentry!$A$3:$A$3999=jun!$A43)*(lentry!$B$3:$B$3999&lt;=jun!L$3)*(lentry!$C$3:$C$3999&gt;=jun!L$3)),lentry!$D$3:$D$3999),IF(WEEKDAY(jun!L$3,1)=1,"WO","P"))</f>
        <v>WO</v>
      </c>
      <c r="M43" s="4" t="str">
        <f>IFERROR(LOOKUP(2,1/((lentry!$A$3:$A$3999=jun!$A43)*(lentry!$B$3:$B$3999&lt;=jun!M$3)*(lentry!$C$3:$C$3999&gt;=jun!M$3)),lentry!$D$3:$D$3999),IF(WEEKDAY(jun!M$3,1)=1,"WO","P"))</f>
        <v>P</v>
      </c>
      <c r="N43" s="4" t="str">
        <f>IFERROR(LOOKUP(2,1/((lentry!$A$3:$A$3999=jun!$A43)*(lentry!$B$3:$B$3999&lt;=jun!N$3)*(lentry!$C$3:$C$3999&gt;=jun!N$3)),lentry!$D$3:$D$3999),IF(WEEKDAY(jun!N$3,1)=1,"WO","P"))</f>
        <v>P</v>
      </c>
      <c r="O43" s="4" t="str">
        <f>IFERROR(LOOKUP(2,1/((lentry!$A$3:$A$3999=jun!$A43)*(lentry!$B$3:$B$3999&lt;=jun!O$3)*(lentry!$C$3:$C$3999&gt;=jun!O$3)),lentry!$D$3:$D$3999),IF(WEEKDAY(jun!O$3,1)=1,"WO","P"))</f>
        <v>P</v>
      </c>
      <c r="P43" s="4" t="str">
        <f>IFERROR(LOOKUP(2,1/((lentry!$A$3:$A$3999=jun!$A43)*(lentry!$B$3:$B$3999&lt;=jun!P$3)*(lentry!$C$3:$C$3999&gt;=jun!P$3)),lentry!$D$3:$D$3999),IF(WEEKDAY(jun!P$3,1)=1,"WO","P"))</f>
        <v>P</v>
      </c>
      <c r="Q43" s="4" t="str">
        <f>IFERROR(LOOKUP(2,1/((lentry!$A$3:$A$3999=jun!$A43)*(lentry!$B$3:$B$3999&lt;=jun!Q$3)*(lentry!$C$3:$C$3999&gt;=jun!Q$3)),lentry!$D$3:$D$3999),IF(WEEKDAY(jun!Q$3,1)=1,"WO","P"))</f>
        <v>P</v>
      </c>
      <c r="R43" s="4" t="str">
        <f>IFERROR(LOOKUP(2,1/((lentry!$A$3:$A$3999=jun!$A43)*(lentry!$B$3:$B$3999&lt;=jun!R$3)*(lentry!$C$3:$C$3999&gt;=jun!R$3)),lentry!$D$3:$D$3999),IF(WEEKDAY(jun!R$3,1)=1,"WO","P"))</f>
        <v>P</v>
      </c>
      <c r="S43" s="4" t="str">
        <f>IFERROR(LOOKUP(2,1/((lentry!$A$3:$A$3999=jun!$A43)*(lentry!$B$3:$B$3999&lt;=jun!S$3)*(lentry!$C$3:$C$3999&gt;=jun!S$3)),lentry!$D$3:$D$3999),IF(WEEKDAY(jun!S$3,1)=1,"WO","P"))</f>
        <v>WO</v>
      </c>
      <c r="T43" s="4" t="str">
        <f>IFERROR(LOOKUP(2,1/((lentry!$A$3:$A$3999=jun!$A43)*(lentry!$B$3:$B$3999&lt;=jun!T$3)*(lentry!$C$3:$C$3999&gt;=jun!T$3)),lentry!$D$3:$D$3999),IF(WEEKDAY(jun!T$3,1)=1,"WO","P"))</f>
        <v>P</v>
      </c>
      <c r="U43" s="4" t="str">
        <f>IFERROR(LOOKUP(2,1/((lentry!$A$3:$A$3999=jun!$A43)*(lentry!$B$3:$B$3999&lt;=jun!U$3)*(lentry!$C$3:$C$3999&gt;=jun!U$3)),lentry!$D$3:$D$3999),IF(WEEKDAY(jun!U$3,1)=1,"WO","P"))</f>
        <v>P</v>
      </c>
      <c r="V43" s="4" t="str">
        <f>IFERROR(LOOKUP(2,1/((lentry!$A$3:$A$3999=jun!$A43)*(lentry!$B$3:$B$3999&lt;=jun!V$3)*(lentry!$C$3:$C$3999&gt;=jun!V$3)),lentry!$D$3:$D$3999),IF(WEEKDAY(jun!V$3,1)=1,"WO","P"))</f>
        <v>P</v>
      </c>
      <c r="W43" s="4" t="str">
        <f>IFERROR(LOOKUP(2,1/((lentry!$A$3:$A$3999=jun!$A43)*(lentry!$B$3:$B$3999&lt;=jun!W$3)*(lentry!$C$3:$C$3999&gt;=jun!W$3)),lentry!$D$3:$D$3999),IF(WEEKDAY(jun!W$3,1)=1,"WO","P"))</f>
        <v>P</v>
      </c>
      <c r="X43" s="4" t="str">
        <f>IFERROR(LOOKUP(2,1/((lentry!$A$3:$A$3999=jun!$A43)*(lentry!$B$3:$B$3999&lt;=jun!X$3)*(lentry!$C$3:$C$3999&gt;=jun!X$3)),lentry!$D$3:$D$3999),IF(WEEKDAY(jun!X$3,1)=1,"WO","P"))</f>
        <v>P</v>
      </c>
      <c r="Y43" s="4" t="str">
        <f>IFERROR(LOOKUP(2,1/((lentry!$A$3:$A$3999=jun!$A43)*(lentry!$B$3:$B$3999&lt;=jun!Y$3)*(lentry!$C$3:$C$3999&gt;=jun!Y$3)),lentry!$D$3:$D$3999),IF(WEEKDAY(jun!Y$3,1)=1,"WO","P"))</f>
        <v>P</v>
      </c>
      <c r="Z43" s="4" t="str">
        <f>IFERROR(LOOKUP(2,1/((lentry!$A$3:$A$3999=jun!$A43)*(lentry!$B$3:$B$3999&lt;=jun!Z$3)*(lentry!$C$3:$C$3999&gt;=jun!Z$3)),lentry!$D$3:$D$3999),IF(WEEKDAY(jun!Z$3,1)=1,"WO","P"))</f>
        <v>WO</v>
      </c>
      <c r="AA43" s="4" t="str">
        <f>IFERROR(LOOKUP(2,1/((lentry!$A$3:$A$3999=jun!$A43)*(lentry!$B$3:$B$3999&lt;=jun!AA$3)*(lentry!$C$3:$C$3999&gt;=jun!AA$3)),lentry!$D$3:$D$3999),IF(WEEKDAY(jun!AA$3,1)=1,"WO","P"))</f>
        <v>P</v>
      </c>
      <c r="AB43" s="4" t="str">
        <f>IFERROR(LOOKUP(2,1/((lentry!$A$3:$A$3999=jun!$A43)*(lentry!$B$3:$B$3999&lt;=jun!AB$3)*(lentry!$C$3:$C$3999&gt;=jun!AB$3)),lentry!$D$3:$D$3999),IF(WEEKDAY(jun!AB$3,1)=1,"WO","P"))</f>
        <v>P</v>
      </c>
      <c r="AC43" s="4" t="str">
        <f>IFERROR(LOOKUP(2,1/((lentry!$A$3:$A$3999=jun!$A43)*(lentry!$B$3:$B$3999&lt;=jun!AC$3)*(lentry!$C$3:$C$3999&gt;=jun!AC$3)),lentry!$D$3:$D$3999),IF(WEEKDAY(jun!AC$3,1)=1,"WO","P"))</f>
        <v>P</v>
      </c>
      <c r="AD43" s="4" t="s">
        <v>539</v>
      </c>
      <c r="AE43" s="4" t="str">
        <f>IFERROR(LOOKUP(2,1/((lentry!$A$3:$A$3999=jun!$A43)*(lentry!$B$3:$B$3999&lt;=jun!AE$3)*(lentry!$C$3:$C$3999&gt;=jun!AE$3)),lentry!$D$3:$D$3999),IF(WEEKDAY(jun!AE$3,1)=1,"WO","P"))</f>
        <v>P</v>
      </c>
      <c r="AF43" s="4" t="str">
        <f>IFERROR(LOOKUP(2,1/((lentry!$A$3:$A$3999=jun!$A43)*(lentry!$B$3:$B$3999&lt;=jun!AF$3)*(lentry!$C$3:$C$3999&gt;=jun!AF$3)),lentry!$D$3:$D$3999),IF(WEEKDAY(jun!AF$3,1)=1,"WO","P"))</f>
        <v>P</v>
      </c>
      <c r="AG43" s="4" t="str">
        <f>IFERROR(LOOKUP(2,1/((lentry!$A$3:$A$3999=jun!$A43)*(lentry!$B$3:$B$3999&lt;=jun!AG$3)*(lentry!$C$3:$C$3999&gt;=jun!AG$3)),lentry!$D$3:$D$3999),IF(WEEKDAY(jun!AG$3,1)=1,"WO","P"))</f>
        <v>WO</v>
      </c>
      <c r="AH43" s="4" t="str">
        <f>IFERROR(LOOKUP(2,1/((lentry!$A$3:$A$3999=jun!$A43)*(lentry!$B$3:$B$3999&lt;=jun!AH$3)*(lentry!$C$3:$C$3999&gt;=jun!AH$3)),lentry!$D$3:$D$3999),IF(WEEKDAY(jun!AH$3,1)=1,"WO","P"))</f>
        <v>P</v>
      </c>
      <c r="AI43" s="4" t="str">
        <f>IFERROR(LOOKUP(2,1/((lentry!$A$3:$A$3999=jun!$A43)*(lentry!$B$3:$B$3999&lt;=jun!AI$3)*(lentry!$C$3:$C$3999&gt;=jun!AI$3)),lentry!$D$3:$D$3999),IF(WEEKDAY(jun!AI$3,1)=1,"WO","P"))</f>
        <v>P</v>
      </c>
      <c r="AJ43" s="4">
        <f>COUNTIF(jun!$F43:$AI43,"WO")</f>
        <v>4</v>
      </c>
      <c r="AK43" s="4">
        <f>COUNTIF(jun!$F43:$AI43,"H")</f>
        <v>0</v>
      </c>
      <c r="AL43" s="4">
        <f>COUNTIF(jun!$F43:$AI43,"PL")</f>
        <v>0</v>
      </c>
      <c r="AM43" s="4">
        <f>COUNTIF(jun!$F43:$AI43,"LWP")</f>
        <v>0</v>
      </c>
      <c r="AN43" s="4">
        <f>COUNTIF(jun!$F43:$AI43,"HD")</f>
        <v>0</v>
      </c>
      <c r="AO43" s="4">
        <f>COUNTIF(jun!$F43:$AI43,"SL")</f>
        <v>0</v>
      </c>
      <c r="AP43" s="4">
        <f>COUNTIF(jun!$F43:$AI43,"CL")</f>
        <v>0</v>
      </c>
      <c r="AQ43" s="4">
        <f>COUNTIF(jun!$F43:$AI43,"A")</f>
        <v>1</v>
      </c>
      <c r="AR43" s="4">
        <f>COUNTIF(jun!$F43:$AI43,"P")</f>
        <v>25</v>
      </c>
      <c r="AS43" s="4">
        <f t="shared" si="4"/>
        <v>30</v>
      </c>
      <c r="AT43" s="4">
        <f t="shared" si="3"/>
        <v>29</v>
      </c>
      <c r="AU43" s="4">
        <f>SUMIFS(holly!$L$2:$L$122,holly!$I$2:$I$122,mar!$A43,holly!$K$2:$K$122,"Mar")</f>
        <v>0</v>
      </c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</row>
    <row r="44" spans="1:79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">
        <v>539</v>
      </c>
      <c r="G44" s="4" t="str">
        <f>IFERROR(LOOKUP(2,1/((lentry!$A$3:$A$3999=jun!$A44)*(lentry!$B$3:$B$3999&lt;=jun!G$3)*(lentry!$C$3:$C$3999&gt;=jun!G$3)),lentry!$D$3:$D$3999),IF(WEEKDAY(jun!G$3,1)=1,"WO","P"))</f>
        <v>P</v>
      </c>
      <c r="H44" s="4" t="str">
        <f>IFERROR(LOOKUP(2,1/((lentry!$A$3:$A$3999=jun!$A44)*(lentry!$B$3:$B$3999&lt;=jun!H$3)*(lentry!$C$3:$C$3999&gt;=jun!H$3)),lentry!$D$3:$D$3999),IF(WEEKDAY(jun!H$3,1)=1,"WO","P"))</f>
        <v>P</v>
      </c>
      <c r="I44" s="4" t="str">
        <f>IFERROR(LOOKUP(2,1/((lentry!$A$3:$A$3999=jun!$A44)*(lentry!$B$3:$B$3999&lt;=jun!I$3)*(lentry!$C$3:$C$3999&gt;=jun!I$3)),lentry!$D$3:$D$3999),IF(WEEKDAY(jun!I$3,1)=1,"WO","P"))</f>
        <v>P</v>
      </c>
      <c r="J44" s="4" t="str">
        <f>IFERROR(LOOKUP(2,1/((lentry!$A$3:$A$3999=jun!$A44)*(lentry!$B$3:$B$3999&lt;=jun!J$3)*(lentry!$C$3:$C$3999&gt;=jun!J$3)),lentry!$D$3:$D$3999),IF(WEEKDAY(jun!J$3,1)=1,"WO","P"))</f>
        <v>P</v>
      </c>
      <c r="K44" s="4" t="str">
        <f>IFERROR(LOOKUP(2,1/((lentry!$A$3:$A$3999=jun!$A44)*(lentry!$B$3:$B$3999&lt;=jun!K$3)*(lentry!$C$3:$C$3999&gt;=jun!K$3)),lentry!$D$3:$D$3999),IF(WEEKDAY(jun!K$3,1)=1,"WO","P"))</f>
        <v>P</v>
      </c>
      <c r="L44" s="4" t="str">
        <f>IFERROR(LOOKUP(2,1/((lentry!$A$3:$A$3999=jun!$A44)*(lentry!$B$3:$B$3999&lt;=jun!L$3)*(lentry!$C$3:$C$3999&gt;=jun!L$3)),lentry!$D$3:$D$3999),IF(WEEKDAY(jun!L$3,1)=1,"WO","P"))</f>
        <v>WO</v>
      </c>
      <c r="M44" s="4" t="str">
        <f>IFERROR(LOOKUP(2,1/((lentry!$A$3:$A$3999=jun!$A44)*(lentry!$B$3:$B$3999&lt;=jun!M$3)*(lentry!$C$3:$C$3999&gt;=jun!M$3)),lentry!$D$3:$D$3999),IF(WEEKDAY(jun!M$3,1)=1,"WO","P"))</f>
        <v>P</v>
      </c>
      <c r="N44" s="4" t="str">
        <f>IFERROR(LOOKUP(2,1/((lentry!$A$3:$A$3999=jun!$A44)*(lentry!$B$3:$B$3999&lt;=jun!N$3)*(lentry!$C$3:$C$3999&gt;=jun!N$3)),lentry!$D$3:$D$3999),IF(WEEKDAY(jun!N$3,1)=1,"WO","P"))</f>
        <v>P</v>
      </c>
      <c r="O44" s="4" t="str">
        <f>IFERROR(LOOKUP(2,1/((lentry!$A$3:$A$3999=jun!$A44)*(lentry!$B$3:$B$3999&lt;=jun!O$3)*(lentry!$C$3:$C$3999&gt;=jun!O$3)),lentry!$D$3:$D$3999),IF(WEEKDAY(jun!O$3,1)=1,"WO","P"))</f>
        <v>P</v>
      </c>
      <c r="P44" s="4" t="str">
        <f>IFERROR(LOOKUP(2,1/((lentry!$A$3:$A$3999=jun!$A44)*(lentry!$B$3:$B$3999&lt;=jun!P$3)*(lentry!$C$3:$C$3999&gt;=jun!P$3)),lentry!$D$3:$D$3999),IF(WEEKDAY(jun!P$3,1)=1,"WO","P"))</f>
        <v>P</v>
      </c>
      <c r="Q44" s="4" t="str">
        <f>IFERROR(LOOKUP(2,1/((lentry!$A$3:$A$3999=jun!$A44)*(lentry!$B$3:$B$3999&lt;=jun!Q$3)*(lentry!$C$3:$C$3999&gt;=jun!Q$3)),lentry!$D$3:$D$3999),IF(WEEKDAY(jun!Q$3,1)=1,"WO","P"))</f>
        <v>P</v>
      </c>
      <c r="R44" s="4" t="str">
        <f>IFERROR(LOOKUP(2,1/((lentry!$A$3:$A$3999=jun!$A44)*(lentry!$B$3:$B$3999&lt;=jun!R$3)*(lentry!$C$3:$C$3999&gt;=jun!R$3)),lentry!$D$3:$D$3999),IF(WEEKDAY(jun!R$3,1)=1,"WO","P"))</f>
        <v>P</v>
      </c>
      <c r="S44" s="4" t="str">
        <f>IFERROR(LOOKUP(2,1/((lentry!$A$3:$A$3999=jun!$A44)*(lentry!$B$3:$B$3999&lt;=jun!S$3)*(lentry!$C$3:$C$3999&gt;=jun!S$3)),lentry!$D$3:$D$3999),IF(WEEKDAY(jun!S$3,1)=1,"WO","P"))</f>
        <v>WO</v>
      </c>
      <c r="T44" s="4" t="str">
        <f>IFERROR(LOOKUP(2,1/((lentry!$A$3:$A$3999=jun!$A44)*(lentry!$B$3:$B$3999&lt;=jun!T$3)*(lentry!$C$3:$C$3999&gt;=jun!T$3)),lentry!$D$3:$D$3999),IF(WEEKDAY(jun!T$3,1)=1,"WO","P"))</f>
        <v>P</v>
      </c>
      <c r="U44" s="4" t="str">
        <f>IFERROR(LOOKUP(2,1/((lentry!$A$3:$A$3999=jun!$A44)*(lentry!$B$3:$B$3999&lt;=jun!U$3)*(lentry!$C$3:$C$3999&gt;=jun!U$3)),lentry!$D$3:$D$3999),IF(WEEKDAY(jun!U$3,1)=1,"WO","P"))</f>
        <v>P</v>
      </c>
      <c r="V44" s="4" t="str">
        <f>IFERROR(LOOKUP(2,1/((lentry!$A$3:$A$3999=jun!$A44)*(lentry!$B$3:$B$3999&lt;=jun!V$3)*(lentry!$C$3:$C$3999&gt;=jun!V$3)),lentry!$D$3:$D$3999),IF(WEEKDAY(jun!V$3,1)=1,"WO","P"))</f>
        <v>P</v>
      </c>
      <c r="W44" s="4" t="str">
        <f>IFERROR(LOOKUP(2,1/((lentry!$A$3:$A$3999=jun!$A44)*(lentry!$B$3:$B$3999&lt;=jun!W$3)*(lentry!$C$3:$C$3999&gt;=jun!W$3)),lentry!$D$3:$D$3999),IF(WEEKDAY(jun!W$3,1)=1,"WO","P"))</f>
        <v>P</v>
      </c>
      <c r="X44" s="4" t="str">
        <f>IFERROR(LOOKUP(2,1/((lentry!$A$3:$A$3999=jun!$A44)*(lentry!$B$3:$B$3999&lt;=jun!X$3)*(lentry!$C$3:$C$3999&gt;=jun!X$3)),lentry!$D$3:$D$3999),IF(WEEKDAY(jun!X$3,1)=1,"WO","P"))</f>
        <v>P</v>
      </c>
      <c r="Y44" s="4" t="str">
        <f>IFERROR(LOOKUP(2,1/((lentry!$A$3:$A$3999=jun!$A44)*(lentry!$B$3:$B$3999&lt;=jun!Y$3)*(lentry!$C$3:$C$3999&gt;=jun!Y$3)),lentry!$D$3:$D$3999),IF(WEEKDAY(jun!Y$3,1)=1,"WO","P"))</f>
        <v>P</v>
      </c>
      <c r="Z44" s="4" t="str">
        <f>IFERROR(LOOKUP(2,1/((lentry!$A$3:$A$3999=jun!$A44)*(lentry!$B$3:$B$3999&lt;=jun!Z$3)*(lentry!$C$3:$C$3999&gt;=jun!Z$3)),lentry!$D$3:$D$3999),IF(WEEKDAY(jun!Z$3,1)=1,"WO","P"))</f>
        <v>WO</v>
      </c>
      <c r="AA44" s="4" t="str">
        <f>IFERROR(LOOKUP(2,1/((lentry!$A$3:$A$3999=jun!$A44)*(lentry!$B$3:$B$3999&lt;=jun!AA$3)*(lentry!$C$3:$C$3999&gt;=jun!AA$3)),lentry!$D$3:$D$3999),IF(WEEKDAY(jun!AA$3,1)=1,"WO","P"))</f>
        <v>P</v>
      </c>
      <c r="AB44" s="4" t="str">
        <f>IFERROR(LOOKUP(2,1/((lentry!$A$3:$A$3999=jun!$A44)*(lentry!$B$3:$B$3999&lt;=jun!AB$3)*(lentry!$C$3:$C$3999&gt;=jun!AB$3)),lentry!$D$3:$D$3999),IF(WEEKDAY(jun!AB$3,1)=1,"WO","P"))</f>
        <v>P</v>
      </c>
      <c r="AC44" s="4" t="str">
        <f>IFERROR(LOOKUP(2,1/((lentry!$A$3:$A$3999=jun!$A44)*(lentry!$B$3:$B$3999&lt;=jun!AC$3)*(lentry!$C$3:$C$3999&gt;=jun!AC$3)),lentry!$D$3:$D$3999),IF(WEEKDAY(jun!AC$3,1)=1,"WO","P"))</f>
        <v>P</v>
      </c>
      <c r="AD44" s="4" t="str">
        <f>IFERROR(LOOKUP(2,1/((lentry!$A$3:$A$3999=jun!$A44)*(lentry!$B$3:$B$3999&lt;=jun!AD$3)*(lentry!$C$3:$C$3999&gt;=jun!AD$3)),lentry!$D$3:$D$3999),IF(WEEKDAY(jun!AD$3,1)=1,"WO","P"))</f>
        <v>P</v>
      </c>
      <c r="AE44" s="4" t="str">
        <f>IFERROR(LOOKUP(2,1/((lentry!$A$3:$A$3999=jun!$A44)*(lentry!$B$3:$B$3999&lt;=jun!AE$3)*(lentry!$C$3:$C$3999&gt;=jun!AE$3)),lentry!$D$3:$D$3999),IF(WEEKDAY(jun!AE$3,1)=1,"WO","P"))</f>
        <v>P</v>
      </c>
      <c r="AF44" s="4" t="str">
        <f>IFERROR(LOOKUP(2,1/((lentry!$A$3:$A$3999=jun!$A44)*(lentry!$B$3:$B$3999&lt;=jun!AF$3)*(lentry!$C$3:$C$3999&gt;=jun!AF$3)),lentry!$D$3:$D$3999),IF(WEEKDAY(jun!AF$3,1)=1,"WO","P"))</f>
        <v>P</v>
      </c>
      <c r="AG44" s="4" t="str">
        <f>IFERROR(LOOKUP(2,1/((lentry!$A$3:$A$3999=jun!$A44)*(lentry!$B$3:$B$3999&lt;=jun!AG$3)*(lentry!$C$3:$C$3999&gt;=jun!AG$3)),lentry!$D$3:$D$3999),IF(WEEKDAY(jun!AG$3,1)=1,"WO","P"))</f>
        <v>WO</v>
      </c>
      <c r="AH44" s="4" t="str">
        <f>IFERROR(LOOKUP(2,1/((lentry!$A$3:$A$3999=jun!$A44)*(lentry!$B$3:$B$3999&lt;=jun!AH$3)*(lentry!$C$3:$C$3999&gt;=jun!AH$3)),lentry!$D$3:$D$3999),IF(WEEKDAY(jun!AH$3,1)=1,"WO","P"))</f>
        <v>P</v>
      </c>
      <c r="AI44" s="4" t="str">
        <f>IFERROR(LOOKUP(2,1/((lentry!$A$3:$A$3999=jun!$A44)*(lentry!$B$3:$B$3999&lt;=jun!AI$3)*(lentry!$C$3:$C$3999&gt;=jun!AI$3)),lentry!$D$3:$D$3999),IF(WEEKDAY(jun!AI$3,1)=1,"WO","P"))</f>
        <v>P</v>
      </c>
      <c r="AJ44" s="4">
        <f>COUNTIF(jun!$F44:$AI44,"WO")</f>
        <v>4</v>
      </c>
      <c r="AK44" s="4">
        <f>COUNTIF(jun!$F44:$AI44,"H")</f>
        <v>0</v>
      </c>
      <c r="AL44" s="4">
        <f>COUNTIF(jun!$F44:$AI44,"PL")</f>
        <v>0</v>
      </c>
      <c r="AM44" s="4">
        <f>COUNTIF(jun!$F44:$AI44,"LWP")</f>
        <v>0</v>
      </c>
      <c r="AN44" s="4">
        <f>COUNTIF(jun!$F44:$AI44,"HD")</f>
        <v>0</v>
      </c>
      <c r="AO44" s="4">
        <f>COUNTIF(jun!$F44:$AI44,"SL")</f>
        <v>0</v>
      </c>
      <c r="AP44" s="4">
        <f>COUNTIF(jun!$F44:$AI44,"CL")</f>
        <v>0</v>
      </c>
      <c r="AQ44" s="4">
        <f>COUNTIF(jun!$F44:$AI44,"A")</f>
        <v>1</v>
      </c>
      <c r="AR44" s="4">
        <f>COUNTIF(jun!$F44:$AI44,"P")</f>
        <v>25</v>
      </c>
      <c r="AS44" s="4">
        <f t="shared" si="4"/>
        <v>30</v>
      </c>
      <c r="AT44" s="4">
        <f t="shared" si="3"/>
        <v>29</v>
      </c>
      <c r="AU44" s="4">
        <f>SUMIFS(holly!$L$2:$L$122,holly!$I$2:$I$122,mar!$A44,holly!$K$2:$K$122,"Mar")</f>
        <v>0</v>
      </c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</row>
    <row r="45" spans="1:79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IFERROR(LOOKUP(2,1/((lentry!$A$3:$A$3999=jun!$A45)*(lentry!$B$3:$B$3999&lt;=jun!F$3)*(lentry!$C$3:$C$3999&gt;=jun!F$3)),lentry!$D$3:$D$3999),IF(WEEKDAY(jun!F$3,1)=1,"WO","P"))</f>
        <v>P</v>
      </c>
      <c r="G45" s="4" t="str">
        <f>IFERROR(LOOKUP(2,1/((lentry!$A$3:$A$3999=jun!$A45)*(lentry!$B$3:$B$3999&lt;=jun!G$3)*(lentry!$C$3:$C$3999&gt;=jun!G$3)),lentry!$D$3:$D$3999),IF(WEEKDAY(jun!G$3,1)=1,"WO","P"))</f>
        <v>P</v>
      </c>
      <c r="H45" s="4" t="str">
        <f>IFERROR(LOOKUP(2,1/((lentry!$A$3:$A$3999=jun!$A45)*(lentry!$B$3:$B$3999&lt;=jun!H$3)*(lentry!$C$3:$C$3999&gt;=jun!H$3)),lentry!$D$3:$D$3999),IF(WEEKDAY(jun!H$3,1)=1,"WO","P"))</f>
        <v>P</v>
      </c>
      <c r="I45" s="4" t="str">
        <f>IFERROR(LOOKUP(2,1/((lentry!$A$3:$A$3999=jun!$A45)*(lentry!$B$3:$B$3999&lt;=jun!I$3)*(lentry!$C$3:$C$3999&gt;=jun!I$3)),lentry!$D$3:$D$3999),IF(WEEKDAY(jun!I$3,1)=1,"WO","P"))</f>
        <v>P</v>
      </c>
      <c r="J45" s="4" t="str">
        <f>IFERROR(LOOKUP(2,1/((lentry!$A$3:$A$3999=jun!$A45)*(lentry!$B$3:$B$3999&lt;=jun!J$3)*(lentry!$C$3:$C$3999&gt;=jun!J$3)),lentry!$D$3:$D$3999),IF(WEEKDAY(jun!J$3,1)=1,"WO","P"))</f>
        <v>P</v>
      </c>
      <c r="K45" s="4" t="str">
        <f>IFERROR(LOOKUP(2,1/((lentry!$A$3:$A$3999=jun!$A45)*(lentry!$B$3:$B$3999&lt;=jun!K$3)*(lentry!$C$3:$C$3999&gt;=jun!K$3)),lentry!$D$3:$D$3999),IF(WEEKDAY(jun!K$3,1)=1,"WO","P"))</f>
        <v>P</v>
      </c>
      <c r="L45" s="4" t="str">
        <f>IFERROR(LOOKUP(2,1/((lentry!$A$3:$A$3999=jun!$A45)*(lentry!$B$3:$B$3999&lt;=jun!L$3)*(lentry!$C$3:$C$3999&gt;=jun!L$3)),lentry!$D$3:$D$3999),IF(WEEKDAY(jun!L$3,1)=1,"WO","P"))</f>
        <v>WO</v>
      </c>
      <c r="M45" s="4" t="str">
        <f>IFERROR(LOOKUP(2,1/((lentry!$A$3:$A$3999=jun!$A45)*(lentry!$B$3:$B$3999&lt;=jun!M$3)*(lentry!$C$3:$C$3999&gt;=jun!M$3)),lentry!$D$3:$D$3999),IF(WEEKDAY(jun!M$3,1)=1,"WO","P"))</f>
        <v>P</v>
      </c>
      <c r="N45" s="4" t="str">
        <f>IFERROR(LOOKUP(2,1/((lentry!$A$3:$A$3999=jun!$A45)*(lentry!$B$3:$B$3999&lt;=jun!N$3)*(lentry!$C$3:$C$3999&gt;=jun!N$3)),lentry!$D$3:$D$3999),IF(WEEKDAY(jun!N$3,1)=1,"WO","P"))</f>
        <v>P</v>
      </c>
      <c r="O45" s="4" t="str">
        <f>IFERROR(LOOKUP(2,1/((lentry!$A$3:$A$3999=jun!$A45)*(lentry!$B$3:$B$3999&lt;=jun!O$3)*(lentry!$C$3:$C$3999&gt;=jun!O$3)),lentry!$D$3:$D$3999),IF(WEEKDAY(jun!O$3,1)=1,"WO","P"))</f>
        <v>P</v>
      </c>
      <c r="P45" s="4" t="str">
        <f>IFERROR(LOOKUP(2,1/((lentry!$A$3:$A$3999=jun!$A45)*(lentry!$B$3:$B$3999&lt;=jun!P$3)*(lentry!$C$3:$C$3999&gt;=jun!P$3)),lentry!$D$3:$D$3999),IF(WEEKDAY(jun!P$3,1)=1,"WO","P"))</f>
        <v>P</v>
      </c>
      <c r="Q45" s="4" t="str">
        <f>IFERROR(LOOKUP(2,1/((lentry!$A$3:$A$3999=jun!$A45)*(lentry!$B$3:$B$3999&lt;=jun!Q$3)*(lentry!$C$3:$C$3999&gt;=jun!Q$3)),lentry!$D$3:$D$3999),IF(WEEKDAY(jun!Q$3,1)=1,"WO","P"))</f>
        <v>P</v>
      </c>
      <c r="R45" s="4" t="str">
        <f>IFERROR(LOOKUP(2,1/((lentry!$A$3:$A$3999=jun!$A45)*(lentry!$B$3:$B$3999&lt;=jun!R$3)*(lentry!$C$3:$C$3999&gt;=jun!R$3)),lentry!$D$3:$D$3999),IF(WEEKDAY(jun!R$3,1)=1,"WO","P"))</f>
        <v>P</v>
      </c>
      <c r="S45" s="4" t="str">
        <f>IFERROR(LOOKUP(2,1/((lentry!$A$3:$A$3999=jun!$A45)*(lentry!$B$3:$B$3999&lt;=jun!S$3)*(lentry!$C$3:$C$3999&gt;=jun!S$3)),lentry!$D$3:$D$3999),IF(WEEKDAY(jun!S$3,1)=1,"WO","P"))</f>
        <v>WO</v>
      </c>
      <c r="T45" s="4" t="str">
        <f>IFERROR(LOOKUP(2,1/((lentry!$A$3:$A$3999=jun!$A45)*(lentry!$B$3:$B$3999&lt;=jun!T$3)*(lentry!$C$3:$C$3999&gt;=jun!T$3)),lentry!$D$3:$D$3999),IF(WEEKDAY(jun!T$3,1)=1,"WO","P"))</f>
        <v>P</v>
      </c>
      <c r="U45" s="4" t="str">
        <f>IFERROR(LOOKUP(2,1/((lentry!$A$3:$A$3999=jun!$A45)*(lentry!$B$3:$B$3999&lt;=jun!U$3)*(lentry!$C$3:$C$3999&gt;=jun!U$3)),lentry!$D$3:$D$3999),IF(WEEKDAY(jun!U$3,1)=1,"WO","P"))</f>
        <v>P</v>
      </c>
      <c r="V45" s="4" t="str">
        <f>IFERROR(LOOKUP(2,1/((lentry!$A$3:$A$3999=jun!$A45)*(lentry!$B$3:$B$3999&lt;=jun!V$3)*(lentry!$C$3:$C$3999&gt;=jun!V$3)),lentry!$D$3:$D$3999),IF(WEEKDAY(jun!V$3,1)=1,"WO","P"))</f>
        <v>P</v>
      </c>
      <c r="W45" s="4" t="str">
        <f>IFERROR(LOOKUP(2,1/((lentry!$A$3:$A$3999=jun!$A45)*(lentry!$B$3:$B$3999&lt;=jun!W$3)*(lentry!$C$3:$C$3999&gt;=jun!W$3)),lentry!$D$3:$D$3999),IF(WEEKDAY(jun!W$3,1)=1,"WO","P"))</f>
        <v>P</v>
      </c>
      <c r="X45" s="4" t="str">
        <f>IFERROR(LOOKUP(2,1/((lentry!$A$3:$A$3999=jun!$A45)*(lentry!$B$3:$B$3999&lt;=jun!X$3)*(lentry!$C$3:$C$3999&gt;=jun!X$3)),lentry!$D$3:$D$3999),IF(WEEKDAY(jun!X$3,1)=1,"WO","P"))</f>
        <v>P</v>
      </c>
      <c r="Y45" s="4" t="str">
        <f>IFERROR(LOOKUP(2,1/((lentry!$A$3:$A$3999=jun!$A45)*(lentry!$B$3:$B$3999&lt;=jun!Y$3)*(lentry!$C$3:$C$3999&gt;=jun!Y$3)),lentry!$D$3:$D$3999),IF(WEEKDAY(jun!Y$3,1)=1,"WO","P"))</f>
        <v>P</v>
      </c>
      <c r="Z45" s="4" t="str">
        <f>IFERROR(LOOKUP(2,1/((lentry!$A$3:$A$3999=jun!$A45)*(lentry!$B$3:$B$3999&lt;=jun!Z$3)*(lentry!$C$3:$C$3999&gt;=jun!Z$3)),lentry!$D$3:$D$3999),IF(WEEKDAY(jun!Z$3,1)=1,"WO","P"))</f>
        <v>WO</v>
      </c>
      <c r="AA45" s="4" t="str">
        <f>IFERROR(LOOKUP(2,1/((lentry!$A$3:$A$3999=jun!$A45)*(lentry!$B$3:$B$3999&lt;=jun!AA$3)*(lentry!$C$3:$C$3999&gt;=jun!AA$3)),lentry!$D$3:$D$3999),IF(WEEKDAY(jun!AA$3,1)=1,"WO","P"))</f>
        <v>P</v>
      </c>
      <c r="AB45" s="4" t="str">
        <f>IFERROR(LOOKUP(2,1/((lentry!$A$3:$A$3999=jun!$A45)*(lentry!$B$3:$B$3999&lt;=jun!AB$3)*(lentry!$C$3:$C$3999&gt;=jun!AB$3)),lentry!$D$3:$D$3999),IF(WEEKDAY(jun!AB$3,1)=1,"WO","P"))</f>
        <v>P</v>
      </c>
      <c r="AC45" s="4" t="str">
        <f>IFERROR(LOOKUP(2,1/((lentry!$A$3:$A$3999=jun!$A45)*(lentry!$B$3:$B$3999&lt;=jun!AC$3)*(lentry!$C$3:$C$3999&gt;=jun!AC$3)),lentry!$D$3:$D$3999),IF(WEEKDAY(jun!AC$3,1)=1,"WO","P"))</f>
        <v>P</v>
      </c>
      <c r="AD45" s="4" t="str">
        <f>IFERROR(LOOKUP(2,1/((lentry!$A$3:$A$3999=jun!$A45)*(lentry!$B$3:$B$3999&lt;=jun!AD$3)*(lentry!$C$3:$C$3999&gt;=jun!AD$3)),lentry!$D$3:$D$3999),IF(WEEKDAY(jun!AD$3,1)=1,"WO","P"))</f>
        <v>P</v>
      </c>
      <c r="AE45" s="4" t="str">
        <f>IFERROR(LOOKUP(2,1/((lentry!$A$3:$A$3999=jun!$A45)*(lentry!$B$3:$B$3999&lt;=jun!AE$3)*(lentry!$C$3:$C$3999&gt;=jun!AE$3)),lentry!$D$3:$D$3999),IF(WEEKDAY(jun!AE$3,1)=1,"WO","P"))</f>
        <v>P</v>
      </c>
      <c r="AF45" s="4" t="str">
        <f>IFERROR(LOOKUP(2,1/((lentry!$A$3:$A$3999=jun!$A45)*(lentry!$B$3:$B$3999&lt;=jun!AF$3)*(lentry!$C$3:$C$3999&gt;=jun!AF$3)),lentry!$D$3:$D$3999),IF(WEEKDAY(jun!AF$3,1)=1,"WO","P"))</f>
        <v>P</v>
      </c>
      <c r="AG45" s="4" t="str">
        <f>IFERROR(LOOKUP(2,1/((lentry!$A$3:$A$3999=jun!$A45)*(lentry!$B$3:$B$3999&lt;=jun!AG$3)*(lentry!$C$3:$C$3999&gt;=jun!AG$3)),lentry!$D$3:$D$3999),IF(WEEKDAY(jun!AG$3,1)=1,"WO","P"))</f>
        <v>WO</v>
      </c>
      <c r="AH45" s="4" t="str">
        <f>IFERROR(LOOKUP(2,1/((lentry!$A$3:$A$3999=jun!$A45)*(lentry!$B$3:$B$3999&lt;=jun!AH$3)*(lentry!$C$3:$C$3999&gt;=jun!AH$3)),lentry!$D$3:$D$3999),IF(WEEKDAY(jun!AH$3,1)=1,"WO","P"))</f>
        <v>P</v>
      </c>
      <c r="AI45" s="4" t="str">
        <f>IFERROR(LOOKUP(2,1/((lentry!$A$3:$A$3999=jun!$A45)*(lentry!$B$3:$B$3999&lt;=jun!AI$3)*(lentry!$C$3:$C$3999&gt;=jun!AI$3)),lentry!$D$3:$D$3999),IF(WEEKDAY(jun!AI$3,1)=1,"WO","P"))</f>
        <v>P</v>
      </c>
      <c r="AJ45" s="4">
        <f>COUNTIF(jun!$F45:$AI45,"WO")</f>
        <v>4</v>
      </c>
      <c r="AK45" s="4">
        <f>COUNTIF(jun!$F45:$AI45,"H")</f>
        <v>0</v>
      </c>
      <c r="AL45" s="4">
        <f>COUNTIF(jun!$F45:$AI45,"PL")</f>
        <v>0</v>
      </c>
      <c r="AM45" s="4">
        <f>COUNTIF(jun!$F45:$AI45,"LWP")</f>
        <v>0</v>
      </c>
      <c r="AN45" s="4">
        <f>COUNTIF(jun!$F45:$AI45,"HD")</f>
        <v>0</v>
      </c>
      <c r="AO45" s="4">
        <f>COUNTIF(jun!$F45:$AI45,"SL")</f>
        <v>0</v>
      </c>
      <c r="AP45" s="4">
        <f>COUNTIF(jun!$F45:$AI45,"CL")</f>
        <v>0</v>
      </c>
      <c r="AQ45" s="4">
        <f>COUNTIF(jun!$F45:$AI45,"A")</f>
        <v>0</v>
      </c>
      <c r="AR45" s="4">
        <f>COUNTIF(jun!$F45:$AI45,"P")</f>
        <v>26</v>
      </c>
      <c r="AS45" s="4">
        <f t="shared" si="4"/>
        <v>30</v>
      </c>
      <c r="AT45" s="4">
        <f t="shared" si="3"/>
        <v>30</v>
      </c>
      <c r="AU45" s="4">
        <f>SUMIFS(holly!$L$2:$L$122,holly!$I$2:$I$122,mar!$A45,holly!$K$2:$K$122,"Mar")</f>
        <v>0</v>
      </c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</row>
    <row r="46" spans="1:79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IFERROR(LOOKUP(2,1/((lentry!$A$3:$A$3999=jun!$A46)*(lentry!$B$3:$B$3999&lt;=jun!F$3)*(lentry!$C$3:$C$3999&gt;=jun!F$3)),lentry!$D$3:$D$3999),IF(WEEKDAY(jun!F$3,1)=1,"WO","P"))</f>
        <v>P</v>
      </c>
      <c r="G46" s="4" t="str">
        <f>IFERROR(LOOKUP(2,1/((lentry!$A$3:$A$3999=jun!$A46)*(lentry!$B$3:$B$3999&lt;=jun!G$3)*(lentry!$C$3:$C$3999&gt;=jun!G$3)),lentry!$D$3:$D$3999),IF(WEEKDAY(jun!G$3,1)=1,"WO","P"))</f>
        <v>P</v>
      </c>
      <c r="H46" s="4" t="str">
        <f>IFERROR(LOOKUP(2,1/((lentry!$A$3:$A$3999=jun!$A46)*(lentry!$B$3:$B$3999&lt;=jun!H$3)*(lentry!$C$3:$C$3999&gt;=jun!H$3)),lentry!$D$3:$D$3999),IF(WEEKDAY(jun!H$3,1)=1,"WO","P"))</f>
        <v>P</v>
      </c>
      <c r="I46" s="4" t="str">
        <f>IFERROR(LOOKUP(2,1/((lentry!$A$3:$A$3999=jun!$A46)*(lentry!$B$3:$B$3999&lt;=jun!I$3)*(lentry!$C$3:$C$3999&gt;=jun!I$3)),lentry!$D$3:$D$3999),IF(WEEKDAY(jun!I$3,1)=1,"WO","P"))</f>
        <v>P</v>
      </c>
      <c r="J46" s="4" t="str">
        <f>IFERROR(LOOKUP(2,1/((lentry!$A$3:$A$3999=jun!$A46)*(lentry!$B$3:$B$3999&lt;=jun!J$3)*(lentry!$C$3:$C$3999&gt;=jun!J$3)),lentry!$D$3:$D$3999),IF(WEEKDAY(jun!J$3,1)=1,"WO","P"))</f>
        <v>P</v>
      </c>
      <c r="K46" s="4" t="str">
        <f>IFERROR(LOOKUP(2,1/((lentry!$A$3:$A$3999=jun!$A46)*(lentry!$B$3:$B$3999&lt;=jun!K$3)*(lentry!$C$3:$C$3999&gt;=jun!K$3)),lentry!$D$3:$D$3999),IF(WEEKDAY(jun!K$3,1)=1,"WO","P"))</f>
        <v>P</v>
      </c>
      <c r="L46" s="4" t="str">
        <f>IFERROR(LOOKUP(2,1/((lentry!$A$3:$A$3999=jun!$A46)*(lentry!$B$3:$B$3999&lt;=jun!L$3)*(lentry!$C$3:$C$3999&gt;=jun!L$3)),lentry!$D$3:$D$3999),IF(WEEKDAY(jun!L$3,1)=1,"WO","P"))</f>
        <v>WO</v>
      </c>
      <c r="M46" s="4" t="str">
        <f>IFERROR(LOOKUP(2,1/((lentry!$A$3:$A$3999=jun!$A46)*(lentry!$B$3:$B$3999&lt;=jun!M$3)*(lentry!$C$3:$C$3999&gt;=jun!M$3)),lentry!$D$3:$D$3999),IF(WEEKDAY(jun!M$3,1)=1,"WO","P"))</f>
        <v>P</v>
      </c>
      <c r="N46" s="4" t="str">
        <f>IFERROR(LOOKUP(2,1/((lentry!$A$3:$A$3999=jun!$A46)*(lentry!$B$3:$B$3999&lt;=jun!N$3)*(lentry!$C$3:$C$3999&gt;=jun!N$3)),lentry!$D$3:$D$3999),IF(WEEKDAY(jun!N$3,1)=1,"WO","P"))</f>
        <v>P</v>
      </c>
      <c r="O46" s="4" t="str">
        <f>IFERROR(LOOKUP(2,1/((lentry!$A$3:$A$3999=jun!$A46)*(lentry!$B$3:$B$3999&lt;=jun!O$3)*(lentry!$C$3:$C$3999&gt;=jun!O$3)),lentry!$D$3:$D$3999),IF(WEEKDAY(jun!O$3,1)=1,"WO","P"))</f>
        <v>P</v>
      </c>
      <c r="P46" s="4" t="s">
        <v>539</v>
      </c>
      <c r="Q46" s="4" t="str">
        <f>IFERROR(LOOKUP(2,1/((lentry!$A$3:$A$3999=jun!$A46)*(lentry!$B$3:$B$3999&lt;=jun!Q$3)*(lentry!$C$3:$C$3999&gt;=jun!Q$3)),lentry!$D$3:$D$3999),IF(WEEKDAY(jun!Q$3,1)=1,"WO","P"))</f>
        <v>P</v>
      </c>
      <c r="R46" s="4" t="str">
        <f>IFERROR(LOOKUP(2,1/((lentry!$A$3:$A$3999=jun!$A46)*(lentry!$B$3:$B$3999&lt;=jun!R$3)*(lentry!$C$3:$C$3999&gt;=jun!R$3)),lentry!$D$3:$D$3999),IF(WEEKDAY(jun!R$3,1)=1,"WO","P"))</f>
        <v>P</v>
      </c>
      <c r="S46" s="4" t="str">
        <f>IFERROR(LOOKUP(2,1/((lentry!$A$3:$A$3999=jun!$A46)*(lentry!$B$3:$B$3999&lt;=jun!S$3)*(lentry!$C$3:$C$3999&gt;=jun!S$3)),lentry!$D$3:$D$3999),IF(WEEKDAY(jun!S$3,1)=1,"WO","P"))</f>
        <v>WO</v>
      </c>
      <c r="T46" s="4" t="str">
        <f>IFERROR(LOOKUP(2,1/((lentry!$A$3:$A$3999=jun!$A46)*(lentry!$B$3:$B$3999&lt;=jun!T$3)*(lentry!$C$3:$C$3999&gt;=jun!T$3)),lentry!$D$3:$D$3999),IF(WEEKDAY(jun!T$3,1)=1,"WO","P"))</f>
        <v>P</v>
      </c>
      <c r="U46" s="4" t="str">
        <f>IFERROR(LOOKUP(2,1/((lentry!$A$3:$A$3999=jun!$A46)*(lentry!$B$3:$B$3999&lt;=jun!U$3)*(lentry!$C$3:$C$3999&gt;=jun!U$3)),lentry!$D$3:$D$3999),IF(WEEKDAY(jun!U$3,1)=1,"WO","P"))</f>
        <v>P</v>
      </c>
      <c r="V46" s="4" t="str">
        <f>IFERROR(LOOKUP(2,1/((lentry!$A$3:$A$3999=jun!$A46)*(lentry!$B$3:$B$3999&lt;=jun!V$3)*(lentry!$C$3:$C$3999&gt;=jun!V$3)),lentry!$D$3:$D$3999),IF(WEEKDAY(jun!V$3,1)=1,"WO","P"))</f>
        <v>P</v>
      </c>
      <c r="W46" s="4" t="str">
        <f>IFERROR(LOOKUP(2,1/((lentry!$A$3:$A$3999=jun!$A46)*(lentry!$B$3:$B$3999&lt;=jun!W$3)*(lentry!$C$3:$C$3999&gt;=jun!W$3)),lentry!$D$3:$D$3999),IF(WEEKDAY(jun!W$3,1)=1,"WO","P"))</f>
        <v>P</v>
      </c>
      <c r="X46" s="4" t="str">
        <f>IFERROR(LOOKUP(2,1/((lentry!$A$3:$A$3999=jun!$A46)*(lentry!$B$3:$B$3999&lt;=jun!X$3)*(lentry!$C$3:$C$3999&gt;=jun!X$3)),lentry!$D$3:$D$3999),IF(WEEKDAY(jun!X$3,1)=1,"WO","P"))</f>
        <v>P</v>
      </c>
      <c r="Y46" s="4" t="str">
        <f>IFERROR(LOOKUP(2,1/((lentry!$A$3:$A$3999=jun!$A46)*(lentry!$B$3:$B$3999&lt;=jun!Y$3)*(lentry!$C$3:$C$3999&gt;=jun!Y$3)),lentry!$D$3:$D$3999),IF(WEEKDAY(jun!Y$3,1)=1,"WO","P"))</f>
        <v>P</v>
      </c>
      <c r="Z46" s="4" t="str">
        <f>IFERROR(LOOKUP(2,1/((lentry!$A$3:$A$3999=jun!$A46)*(lentry!$B$3:$B$3999&lt;=jun!Z$3)*(lentry!$C$3:$C$3999&gt;=jun!Z$3)),lentry!$D$3:$D$3999),IF(WEEKDAY(jun!Z$3,1)=1,"WO","P"))</f>
        <v>WO</v>
      </c>
      <c r="AA46" s="4" t="str">
        <f>IFERROR(LOOKUP(2,1/((lentry!$A$3:$A$3999=jun!$A46)*(lentry!$B$3:$B$3999&lt;=jun!AA$3)*(lentry!$C$3:$C$3999&gt;=jun!AA$3)),lentry!$D$3:$D$3999),IF(WEEKDAY(jun!AA$3,1)=1,"WO","P"))</f>
        <v>P</v>
      </c>
      <c r="AB46" s="4" t="str">
        <f>IFERROR(LOOKUP(2,1/((lentry!$A$3:$A$3999=jun!$A46)*(lentry!$B$3:$B$3999&lt;=jun!AB$3)*(lentry!$C$3:$C$3999&gt;=jun!AB$3)),lentry!$D$3:$D$3999),IF(WEEKDAY(jun!AB$3,1)=1,"WO","P"))</f>
        <v>P</v>
      </c>
      <c r="AC46" s="4" t="str">
        <f>IFERROR(LOOKUP(2,1/((lentry!$A$3:$A$3999=jun!$A46)*(lentry!$B$3:$B$3999&lt;=jun!AC$3)*(lentry!$C$3:$C$3999&gt;=jun!AC$3)),lentry!$D$3:$D$3999),IF(WEEKDAY(jun!AC$3,1)=1,"WO","P"))</f>
        <v>P</v>
      </c>
      <c r="AD46" s="4" t="str">
        <f>IFERROR(LOOKUP(2,1/((lentry!$A$3:$A$3999=jun!$A46)*(lentry!$B$3:$B$3999&lt;=jun!AD$3)*(lentry!$C$3:$C$3999&gt;=jun!AD$3)),lentry!$D$3:$D$3999),IF(WEEKDAY(jun!AD$3,1)=1,"WO","P"))</f>
        <v>P</v>
      </c>
      <c r="AE46" s="4" t="str">
        <f>IFERROR(LOOKUP(2,1/((lentry!$A$3:$A$3999=jun!$A46)*(lentry!$B$3:$B$3999&lt;=jun!AE$3)*(lentry!$C$3:$C$3999&gt;=jun!AE$3)),lentry!$D$3:$D$3999),IF(WEEKDAY(jun!AE$3,1)=1,"WO","P"))</f>
        <v>P</v>
      </c>
      <c r="AF46" s="4" t="str">
        <f>IFERROR(LOOKUP(2,1/((lentry!$A$3:$A$3999=jun!$A46)*(lentry!$B$3:$B$3999&lt;=jun!AF$3)*(lentry!$C$3:$C$3999&gt;=jun!AF$3)),lentry!$D$3:$D$3999),IF(WEEKDAY(jun!AF$3,1)=1,"WO","P"))</f>
        <v>P</v>
      </c>
      <c r="AG46" s="4" t="str">
        <f>IFERROR(LOOKUP(2,1/((lentry!$A$3:$A$3999=jun!$A46)*(lentry!$B$3:$B$3999&lt;=jun!AG$3)*(lentry!$C$3:$C$3999&gt;=jun!AG$3)),lentry!$D$3:$D$3999),IF(WEEKDAY(jun!AG$3,1)=1,"WO","P"))</f>
        <v>WO</v>
      </c>
      <c r="AH46" s="4" t="str">
        <f>IFERROR(LOOKUP(2,1/((lentry!$A$3:$A$3999=jun!$A46)*(lentry!$B$3:$B$3999&lt;=jun!AH$3)*(lentry!$C$3:$C$3999&gt;=jun!AH$3)),lentry!$D$3:$D$3999),IF(WEEKDAY(jun!AH$3,1)=1,"WO","P"))</f>
        <v>P</v>
      </c>
      <c r="AI46" s="4" t="str">
        <f>IFERROR(LOOKUP(2,1/((lentry!$A$3:$A$3999=jun!$A46)*(lentry!$B$3:$B$3999&lt;=jun!AI$3)*(lentry!$C$3:$C$3999&gt;=jun!AI$3)),lentry!$D$3:$D$3999),IF(WEEKDAY(jun!AI$3,1)=1,"WO","P"))</f>
        <v>P</v>
      </c>
      <c r="AJ46" s="4">
        <f>COUNTIF(jun!$F46:$AI46,"WO")</f>
        <v>4</v>
      </c>
      <c r="AK46" s="4">
        <f>COUNTIF(jun!$F46:$AI46,"H")</f>
        <v>0</v>
      </c>
      <c r="AL46" s="4">
        <f>COUNTIF(jun!$F46:$AI46,"PL")</f>
        <v>0</v>
      </c>
      <c r="AM46" s="4">
        <f>COUNTIF(jun!$F46:$AI46,"LWP")</f>
        <v>0</v>
      </c>
      <c r="AN46" s="4">
        <f>COUNTIF(jun!$F46:$AI46,"HD")</f>
        <v>0</v>
      </c>
      <c r="AO46" s="4">
        <f>COUNTIF(jun!$F46:$AI46,"SL")</f>
        <v>0</v>
      </c>
      <c r="AP46" s="4">
        <f>COUNTIF(jun!$F46:$AI46,"CL")</f>
        <v>0</v>
      </c>
      <c r="AQ46" s="4">
        <f>COUNTIF(jun!$F46:$AI46,"A")</f>
        <v>1</v>
      </c>
      <c r="AR46" s="4">
        <f>COUNTIF(jun!$F46:$AI46,"P")</f>
        <v>25</v>
      </c>
      <c r="AS46" s="4">
        <f t="shared" si="4"/>
        <v>30</v>
      </c>
      <c r="AT46" s="4">
        <f t="shared" si="3"/>
        <v>29</v>
      </c>
      <c r="AU46" s="4">
        <f>SUMIFS(holly!$L$2:$L$122,holly!$I$2:$I$122,mar!$A46,holly!$K$2:$K$122,"Mar")</f>
        <v>1</v>
      </c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</row>
    <row r="47" spans="1:79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IFERROR(LOOKUP(2,1/((lentry!$A$3:$A$3999=jun!$A47)*(lentry!$B$3:$B$3999&lt;=jun!F$3)*(lentry!$C$3:$C$3999&gt;=jun!F$3)),lentry!$D$3:$D$3999),IF(WEEKDAY(jun!F$3,1)=1,"WO","P"))</f>
        <v>P</v>
      </c>
      <c r="G47" s="4" t="str">
        <f>IFERROR(LOOKUP(2,1/((lentry!$A$3:$A$3999=jun!$A47)*(lentry!$B$3:$B$3999&lt;=jun!G$3)*(lentry!$C$3:$C$3999&gt;=jun!G$3)),lentry!$D$3:$D$3999),IF(WEEKDAY(jun!G$3,1)=1,"WO","P"))</f>
        <v>P</v>
      </c>
      <c r="H47" s="4" t="str">
        <f>IFERROR(LOOKUP(2,1/((lentry!$A$3:$A$3999=jun!$A47)*(lentry!$B$3:$B$3999&lt;=jun!H$3)*(lentry!$C$3:$C$3999&gt;=jun!H$3)),lentry!$D$3:$D$3999),IF(WEEKDAY(jun!H$3,1)=1,"WO","P"))</f>
        <v>P</v>
      </c>
      <c r="I47" s="4" t="str">
        <f>IFERROR(LOOKUP(2,1/((lentry!$A$3:$A$3999=jun!$A47)*(lentry!$B$3:$B$3999&lt;=jun!I$3)*(lentry!$C$3:$C$3999&gt;=jun!I$3)),lentry!$D$3:$D$3999),IF(WEEKDAY(jun!I$3,1)=1,"WO","P"))</f>
        <v>P</v>
      </c>
      <c r="J47" s="4" t="str">
        <f>IFERROR(LOOKUP(2,1/((lentry!$A$3:$A$3999=jun!$A47)*(lentry!$B$3:$B$3999&lt;=jun!J$3)*(lentry!$C$3:$C$3999&gt;=jun!J$3)),lentry!$D$3:$D$3999),IF(WEEKDAY(jun!J$3,1)=1,"WO","P"))</f>
        <v>P</v>
      </c>
      <c r="K47" s="4" t="str">
        <f>IFERROR(LOOKUP(2,1/((lentry!$A$3:$A$3999=jun!$A47)*(lentry!$B$3:$B$3999&lt;=jun!K$3)*(lentry!$C$3:$C$3999&gt;=jun!K$3)),lentry!$D$3:$D$3999),IF(WEEKDAY(jun!K$3,1)=1,"WO","P"))</f>
        <v>P</v>
      </c>
      <c r="L47" s="4" t="str">
        <f>IFERROR(LOOKUP(2,1/((lentry!$A$3:$A$3999=jun!$A47)*(lentry!$B$3:$B$3999&lt;=jun!L$3)*(lentry!$C$3:$C$3999&gt;=jun!L$3)),lentry!$D$3:$D$3999),IF(WEEKDAY(jun!L$3,1)=1,"WO","P"))</f>
        <v>WO</v>
      </c>
      <c r="M47" s="4" t="str">
        <f>IFERROR(LOOKUP(2,1/((lentry!$A$3:$A$3999=jun!$A47)*(lentry!$B$3:$B$3999&lt;=jun!M$3)*(lentry!$C$3:$C$3999&gt;=jun!M$3)),lentry!$D$3:$D$3999),IF(WEEKDAY(jun!M$3,1)=1,"WO","P"))</f>
        <v>P</v>
      </c>
      <c r="N47" s="4" t="str">
        <f>IFERROR(LOOKUP(2,1/((lentry!$A$3:$A$3999=jun!$A47)*(lentry!$B$3:$B$3999&lt;=jun!N$3)*(lentry!$C$3:$C$3999&gt;=jun!N$3)),lentry!$D$3:$D$3999),IF(WEEKDAY(jun!N$3,1)=1,"WO","P"))</f>
        <v>P</v>
      </c>
      <c r="O47" s="4" t="str">
        <f>IFERROR(LOOKUP(2,1/((lentry!$A$3:$A$3999=jun!$A47)*(lentry!$B$3:$B$3999&lt;=jun!O$3)*(lentry!$C$3:$C$3999&gt;=jun!O$3)),lentry!$D$3:$D$3999),IF(WEEKDAY(jun!O$3,1)=1,"WO","P"))</f>
        <v>P</v>
      </c>
      <c r="P47" s="4" t="str">
        <f>IFERROR(LOOKUP(2,1/((lentry!$A$3:$A$3999=jun!$A47)*(lentry!$B$3:$B$3999&lt;=jun!P$3)*(lentry!$C$3:$C$3999&gt;=jun!P$3)),lentry!$D$3:$D$3999),IF(WEEKDAY(jun!P$3,1)=1,"WO","P"))</f>
        <v>P</v>
      </c>
      <c r="Q47" s="4" t="str">
        <f>IFERROR(LOOKUP(2,1/((lentry!$A$3:$A$3999=jun!$A47)*(lentry!$B$3:$B$3999&lt;=jun!Q$3)*(lentry!$C$3:$C$3999&gt;=jun!Q$3)),lentry!$D$3:$D$3999),IF(WEEKDAY(jun!Q$3,1)=1,"WO","P"))</f>
        <v>P</v>
      </c>
      <c r="R47" s="4" t="str">
        <f>IFERROR(LOOKUP(2,1/((lentry!$A$3:$A$3999=jun!$A47)*(lentry!$B$3:$B$3999&lt;=jun!R$3)*(lentry!$C$3:$C$3999&gt;=jun!R$3)),lentry!$D$3:$D$3999),IF(WEEKDAY(jun!R$3,1)=1,"WO","P"))</f>
        <v>P</v>
      </c>
      <c r="S47" s="4" t="str">
        <f>IFERROR(LOOKUP(2,1/((lentry!$A$3:$A$3999=jun!$A47)*(lentry!$B$3:$B$3999&lt;=jun!S$3)*(lentry!$C$3:$C$3999&gt;=jun!S$3)),lentry!$D$3:$D$3999),IF(WEEKDAY(jun!S$3,1)=1,"WO","P"))</f>
        <v>WO</v>
      </c>
      <c r="T47" s="4" t="str">
        <f>IFERROR(LOOKUP(2,1/((lentry!$A$3:$A$3999=jun!$A47)*(lentry!$B$3:$B$3999&lt;=jun!T$3)*(lentry!$C$3:$C$3999&gt;=jun!T$3)),lentry!$D$3:$D$3999),IF(WEEKDAY(jun!T$3,1)=1,"WO","P"))</f>
        <v>P</v>
      </c>
      <c r="U47" s="4" t="str">
        <f>IFERROR(LOOKUP(2,1/((lentry!$A$3:$A$3999=jun!$A47)*(lentry!$B$3:$B$3999&lt;=jun!U$3)*(lentry!$C$3:$C$3999&gt;=jun!U$3)),lentry!$D$3:$D$3999),IF(WEEKDAY(jun!U$3,1)=1,"WO","P"))</f>
        <v>P</v>
      </c>
      <c r="V47" s="4" t="str">
        <f>IFERROR(LOOKUP(2,1/((lentry!$A$3:$A$3999=jun!$A47)*(lentry!$B$3:$B$3999&lt;=jun!V$3)*(lentry!$C$3:$C$3999&gt;=jun!V$3)),lentry!$D$3:$D$3999),IF(WEEKDAY(jun!V$3,1)=1,"WO","P"))</f>
        <v>P</v>
      </c>
      <c r="W47" s="4" t="str">
        <f>IFERROR(LOOKUP(2,1/((lentry!$A$3:$A$3999=jun!$A47)*(lentry!$B$3:$B$3999&lt;=jun!W$3)*(lentry!$C$3:$C$3999&gt;=jun!W$3)),lentry!$D$3:$D$3999),IF(WEEKDAY(jun!W$3,1)=1,"WO","P"))</f>
        <v>P</v>
      </c>
      <c r="X47" s="4" t="str">
        <f>IFERROR(LOOKUP(2,1/((lentry!$A$3:$A$3999=jun!$A47)*(lentry!$B$3:$B$3999&lt;=jun!X$3)*(lentry!$C$3:$C$3999&gt;=jun!X$3)),lentry!$D$3:$D$3999),IF(WEEKDAY(jun!X$3,1)=1,"WO","P"))</f>
        <v>P</v>
      </c>
      <c r="Y47" s="4" t="str">
        <f>IFERROR(LOOKUP(2,1/((lentry!$A$3:$A$3999=jun!$A47)*(lentry!$B$3:$B$3999&lt;=jun!Y$3)*(lentry!$C$3:$C$3999&gt;=jun!Y$3)),lentry!$D$3:$D$3999),IF(WEEKDAY(jun!Y$3,1)=1,"WO","P"))</f>
        <v>P</v>
      </c>
      <c r="Z47" s="4" t="str">
        <f>IFERROR(LOOKUP(2,1/((lentry!$A$3:$A$3999=jun!$A47)*(lentry!$B$3:$B$3999&lt;=jun!Z$3)*(lentry!$C$3:$C$3999&gt;=jun!Z$3)),lentry!$D$3:$D$3999),IF(WEEKDAY(jun!Z$3,1)=1,"WO","P"))</f>
        <v>WO</v>
      </c>
      <c r="AA47" s="4" t="str">
        <f>IFERROR(LOOKUP(2,1/((lentry!$A$3:$A$3999=jun!$A47)*(lentry!$B$3:$B$3999&lt;=jun!AA$3)*(lentry!$C$3:$C$3999&gt;=jun!AA$3)),lentry!$D$3:$D$3999),IF(WEEKDAY(jun!AA$3,1)=1,"WO","P"))</f>
        <v>P</v>
      </c>
      <c r="AB47" s="4" t="str">
        <f>IFERROR(LOOKUP(2,1/((lentry!$A$3:$A$3999=jun!$A47)*(lentry!$B$3:$B$3999&lt;=jun!AB$3)*(lentry!$C$3:$C$3999&gt;=jun!AB$3)),lentry!$D$3:$D$3999),IF(WEEKDAY(jun!AB$3,1)=1,"WO","P"))</f>
        <v>P</v>
      </c>
      <c r="AC47" s="4" t="str">
        <f>IFERROR(LOOKUP(2,1/((lentry!$A$3:$A$3999=jun!$A47)*(lentry!$B$3:$B$3999&lt;=jun!AC$3)*(lentry!$C$3:$C$3999&gt;=jun!AC$3)),lentry!$D$3:$D$3999),IF(WEEKDAY(jun!AC$3,1)=1,"WO","P"))</f>
        <v>P</v>
      </c>
      <c r="AD47" s="4" t="s">
        <v>539</v>
      </c>
      <c r="AE47" s="4" t="str">
        <f>IFERROR(LOOKUP(2,1/((lentry!$A$3:$A$3999=jun!$A47)*(lentry!$B$3:$B$3999&lt;=jun!AE$3)*(lentry!$C$3:$C$3999&gt;=jun!AE$3)),lentry!$D$3:$D$3999),IF(WEEKDAY(jun!AE$3,1)=1,"WO","P"))</f>
        <v>P</v>
      </c>
      <c r="AF47" s="4" t="str">
        <f>IFERROR(LOOKUP(2,1/((lentry!$A$3:$A$3999=jun!$A47)*(lentry!$B$3:$B$3999&lt;=jun!AF$3)*(lentry!$C$3:$C$3999&gt;=jun!AF$3)),lentry!$D$3:$D$3999),IF(WEEKDAY(jun!AF$3,1)=1,"WO","P"))</f>
        <v>P</v>
      </c>
      <c r="AG47" s="4" t="str">
        <f>IFERROR(LOOKUP(2,1/((lentry!$A$3:$A$3999=jun!$A47)*(lentry!$B$3:$B$3999&lt;=jun!AG$3)*(lentry!$C$3:$C$3999&gt;=jun!AG$3)),lentry!$D$3:$D$3999),IF(WEEKDAY(jun!AG$3,1)=1,"WO","P"))</f>
        <v>WO</v>
      </c>
      <c r="AH47" s="4" t="str">
        <f>IFERROR(LOOKUP(2,1/((lentry!$A$3:$A$3999=jun!$A47)*(lentry!$B$3:$B$3999&lt;=jun!AH$3)*(lentry!$C$3:$C$3999&gt;=jun!AH$3)),lentry!$D$3:$D$3999),IF(WEEKDAY(jun!AH$3,1)=1,"WO","P"))</f>
        <v>P</v>
      </c>
      <c r="AI47" s="4" t="str">
        <f>IFERROR(LOOKUP(2,1/((lentry!$A$3:$A$3999=jun!$A47)*(lentry!$B$3:$B$3999&lt;=jun!AI$3)*(lentry!$C$3:$C$3999&gt;=jun!AI$3)),lentry!$D$3:$D$3999),IF(WEEKDAY(jun!AI$3,1)=1,"WO","P"))</f>
        <v>P</v>
      </c>
      <c r="AJ47" s="4">
        <f>COUNTIF(jun!$F47:$AI47,"WO")</f>
        <v>4</v>
      </c>
      <c r="AK47" s="4">
        <f>COUNTIF(jun!$F47:$AI47,"H")</f>
        <v>0</v>
      </c>
      <c r="AL47" s="4">
        <f>COUNTIF(jun!$F47:$AI47,"PL")</f>
        <v>0</v>
      </c>
      <c r="AM47" s="4">
        <f>COUNTIF(jun!$F47:$AI47,"LWP")</f>
        <v>0</v>
      </c>
      <c r="AN47" s="4">
        <f>COUNTIF(jun!$F47:$AI47,"HD")</f>
        <v>0</v>
      </c>
      <c r="AO47" s="4">
        <f>COUNTIF(jun!$F47:$AI47,"SL")</f>
        <v>0</v>
      </c>
      <c r="AP47" s="4">
        <f>COUNTIF(jun!$F47:$AI47,"CL")</f>
        <v>0</v>
      </c>
      <c r="AQ47" s="4">
        <f>COUNTIF(jun!$F47:$AI47,"A")</f>
        <v>1</v>
      </c>
      <c r="AR47" s="4">
        <f>COUNTIF(jun!$F47:$AI47,"P")</f>
        <v>25</v>
      </c>
      <c r="AS47" s="4">
        <f t="shared" si="4"/>
        <v>30</v>
      </c>
      <c r="AT47" s="4">
        <f t="shared" si="3"/>
        <v>29</v>
      </c>
      <c r="AU47" s="4">
        <f>SUMIFS(holly!$L$2:$L$122,holly!$I$2:$I$122,mar!$A47,holly!$K$2:$K$122,"Mar")</f>
        <v>0</v>
      </c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</row>
    <row r="48" spans="1:79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IFERROR(LOOKUP(2,1/((lentry!$A$3:$A$3999=jun!$A48)*(lentry!$B$3:$B$3999&lt;=jun!F$3)*(lentry!$C$3:$C$3999&gt;=jun!F$3)),lentry!$D$3:$D$3999),IF(WEEKDAY(jun!F$3,1)=1,"WO","P"))</f>
        <v>P</v>
      </c>
      <c r="G48" s="4" t="str">
        <f>IFERROR(LOOKUP(2,1/((lentry!$A$3:$A$3999=jun!$A48)*(lentry!$B$3:$B$3999&lt;=jun!G$3)*(lentry!$C$3:$C$3999&gt;=jun!G$3)),lentry!$D$3:$D$3999),IF(WEEKDAY(jun!G$3,1)=1,"WO","P"))</f>
        <v>P</v>
      </c>
      <c r="H48" s="4" t="str">
        <f>IFERROR(LOOKUP(2,1/((lentry!$A$3:$A$3999=jun!$A48)*(lentry!$B$3:$B$3999&lt;=jun!H$3)*(lentry!$C$3:$C$3999&gt;=jun!H$3)),lentry!$D$3:$D$3999),IF(WEEKDAY(jun!H$3,1)=1,"WO","P"))</f>
        <v>P</v>
      </c>
      <c r="I48" s="4" t="str">
        <f>IFERROR(LOOKUP(2,1/((lentry!$A$3:$A$3999=jun!$A48)*(lentry!$B$3:$B$3999&lt;=jun!I$3)*(lentry!$C$3:$C$3999&gt;=jun!I$3)),lentry!$D$3:$D$3999),IF(WEEKDAY(jun!I$3,1)=1,"WO","P"))</f>
        <v>P</v>
      </c>
      <c r="J48" s="4" t="str">
        <f>IFERROR(LOOKUP(2,1/((lentry!$A$3:$A$3999=jun!$A48)*(lentry!$B$3:$B$3999&lt;=jun!J$3)*(lentry!$C$3:$C$3999&gt;=jun!J$3)),lentry!$D$3:$D$3999),IF(WEEKDAY(jun!J$3,1)=1,"WO","P"))</f>
        <v>P</v>
      </c>
      <c r="K48" s="4" t="str">
        <f>IFERROR(LOOKUP(2,1/((lentry!$A$3:$A$3999=jun!$A48)*(lentry!$B$3:$B$3999&lt;=jun!K$3)*(lentry!$C$3:$C$3999&gt;=jun!K$3)),lentry!$D$3:$D$3999),IF(WEEKDAY(jun!K$3,1)=1,"WO","P"))</f>
        <v>P</v>
      </c>
      <c r="L48" s="4" t="str">
        <f>IFERROR(LOOKUP(2,1/((lentry!$A$3:$A$3999=jun!$A48)*(lentry!$B$3:$B$3999&lt;=jun!L$3)*(lentry!$C$3:$C$3999&gt;=jun!L$3)),lentry!$D$3:$D$3999),IF(WEEKDAY(jun!L$3,1)=1,"WO","P"))</f>
        <v>WO</v>
      </c>
      <c r="M48" s="4" t="str">
        <f>IFERROR(LOOKUP(2,1/((lentry!$A$3:$A$3999=jun!$A48)*(lentry!$B$3:$B$3999&lt;=jun!M$3)*(lentry!$C$3:$C$3999&gt;=jun!M$3)),lentry!$D$3:$D$3999),IF(WEEKDAY(jun!M$3,1)=1,"WO","P"))</f>
        <v>P</v>
      </c>
      <c r="N48" s="4" t="str">
        <f>IFERROR(LOOKUP(2,1/((lentry!$A$3:$A$3999=jun!$A48)*(lentry!$B$3:$B$3999&lt;=jun!N$3)*(lentry!$C$3:$C$3999&gt;=jun!N$3)),lentry!$D$3:$D$3999),IF(WEEKDAY(jun!N$3,1)=1,"WO","P"))</f>
        <v>P</v>
      </c>
      <c r="O48" s="4" t="str">
        <f>IFERROR(LOOKUP(2,1/((lentry!$A$3:$A$3999=jun!$A48)*(lentry!$B$3:$B$3999&lt;=jun!O$3)*(lentry!$C$3:$C$3999&gt;=jun!O$3)),lentry!$D$3:$D$3999),IF(WEEKDAY(jun!O$3,1)=1,"WO","P"))</f>
        <v>P</v>
      </c>
      <c r="P48" s="4" t="str">
        <f>IFERROR(LOOKUP(2,1/((lentry!$A$3:$A$3999=jun!$A48)*(lentry!$B$3:$B$3999&lt;=jun!P$3)*(lentry!$C$3:$C$3999&gt;=jun!P$3)),lentry!$D$3:$D$3999),IF(WEEKDAY(jun!P$3,1)=1,"WO","P"))</f>
        <v>P</v>
      </c>
      <c r="Q48" s="4" t="str">
        <f>IFERROR(LOOKUP(2,1/((lentry!$A$3:$A$3999=jun!$A48)*(lentry!$B$3:$B$3999&lt;=jun!Q$3)*(lentry!$C$3:$C$3999&gt;=jun!Q$3)),lentry!$D$3:$D$3999),IF(WEEKDAY(jun!Q$3,1)=1,"WO","P"))</f>
        <v>P</v>
      </c>
      <c r="R48" s="4" t="str">
        <f>IFERROR(LOOKUP(2,1/((lentry!$A$3:$A$3999=jun!$A48)*(lentry!$B$3:$B$3999&lt;=jun!R$3)*(lentry!$C$3:$C$3999&gt;=jun!R$3)),lentry!$D$3:$D$3999),IF(WEEKDAY(jun!R$3,1)=1,"WO","P"))</f>
        <v>P</v>
      </c>
      <c r="S48" s="4" t="str">
        <f>IFERROR(LOOKUP(2,1/((lentry!$A$3:$A$3999=jun!$A48)*(lentry!$B$3:$B$3999&lt;=jun!S$3)*(lentry!$C$3:$C$3999&gt;=jun!S$3)),lentry!$D$3:$D$3999),IF(WEEKDAY(jun!S$3,1)=1,"WO","P"))</f>
        <v>WO</v>
      </c>
      <c r="T48" s="4" t="str">
        <f>IFERROR(LOOKUP(2,1/((lentry!$A$3:$A$3999=jun!$A48)*(lentry!$B$3:$B$3999&lt;=jun!T$3)*(lentry!$C$3:$C$3999&gt;=jun!T$3)),lentry!$D$3:$D$3999),IF(WEEKDAY(jun!T$3,1)=1,"WO","P"))</f>
        <v>P</v>
      </c>
      <c r="U48" s="4" t="str">
        <f>IFERROR(LOOKUP(2,1/((lentry!$A$3:$A$3999=jun!$A48)*(lentry!$B$3:$B$3999&lt;=jun!U$3)*(lentry!$C$3:$C$3999&gt;=jun!U$3)),lentry!$D$3:$D$3999),IF(WEEKDAY(jun!U$3,1)=1,"WO","P"))</f>
        <v>P</v>
      </c>
      <c r="V48" s="4" t="str">
        <f>IFERROR(LOOKUP(2,1/((lentry!$A$3:$A$3999=jun!$A48)*(lentry!$B$3:$B$3999&lt;=jun!V$3)*(lentry!$C$3:$C$3999&gt;=jun!V$3)),lentry!$D$3:$D$3999),IF(WEEKDAY(jun!V$3,1)=1,"WO","P"))</f>
        <v>P</v>
      </c>
      <c r="W48" s="4" t="str">
        <f>IFERROR(LOOKUP(2,1/((lentry!$A$3:$A$3999=jun!$A48)*(lentry!$B$3:$B$3999&lt;=jun!W$3)*(lentry!$C$3:$C$3999&gt;=jun!W$3)),lentry!$D$3:$D$3999),IF(WEEKDAY(jun!W$3,1)=1,"WO","P"))</f>
        <v>P</v>
      </c>
      <c r="X48" s="4" t="str">
        <f>IFERROR(LOOKUP(2,1/((lentry!$A$3:$A$3999=jun!$A48)*(lentry!$B$3:$B$3999&lt;=jun!X$3)*(lentry!$C$3:$C$3999&gt;=jun!X$3)),lentry!$D$3:$D$3999),IF(WEEKDAY(jun!X$3,1)=1,"WO","P"))</f>
        <v>P</v>
      </c>
      <c r="Y48" s="4" t="str">
        <f>IFERROR(LOOKUP(2,1/((lentry!$A$3:$A$3999=jun!$A48)*(lentry!$B$3:$B$3999&lt;=jun!Y$3)*(lentry!$C$3:$C$3999&gt;=jun!Y$3)),lentry!$D$3:$D$3999),IF(WEEKDAY(jun!Y$3,1)=1,"WO","P"))</f>
        <v>P</v>
      </c>
      <c r="Z48" s="4" t="str">
        <f>IFERROR(LOOKUP(2,1/((lentry!$A$3:$A$3999=jun!$A48)*(lentry!$B$3:$B$3999&lt;=jun!Z$3)*(lentry!$C$3:$C$3999&gt;=jun!Z$3)),lentry!$D$3:$D$3999),IF(WEEKDAY(jun!Z$3,1)=1,"WO","P"))</f>
        <v>WO</v>
      </c>
      <c r="AA48" s="4" t="str">
        <f>IFERROR(LOOKUP(2,1/((lentry!$A$3:$A$3999=jun!$A48)*(lentry!$B$3:$B$3999&lt;=jun!AA$3)*(lentry!$C$3:$C$3999&gt;=jun!AA$3)),lentry!$D$3:$D$3999),IF(WEEKDAY(jun!AA$3,1)=1,"WO","P"))</f>
        <v>P</v>
      </c>
      <c r="AB48" s="4" t="str">
        <f>IFERROR(LOOKUP(2,1/((lentry!$A$3:$A$3999=jun!$A48)*(lentry!$B$3:$B$3999&lt;=jun!AB$3)*(lentry!$C$3:$C$3999&gt;=jun!AB$3)),lentry!$D$3:$D$3999),IF(WEEKDAY(jun!AB$3,1)=1,"WO","P"))</f>
        <v>P</v>
      </c>
      <c r="AC48" s="4" t="str">
        <f>IFERROR(LOOKUP(2,1/((lentry!$A$3:$A$3999=jun!$A48)*(lentry!$B$3:$B$3999&lt;=jun!AC$3)*(lentry!$C$3:$C$3999&gt;=jun!AC$3)),lentry!$D$3:$D$3999),IF(WEEKDAY(jun!AC$3,1)=1,"WO","P"))</f>
        <v>P</v>
      </c>
      <c r="AD48" s="4" t="str">
        <f>IFERROR(LOOKUP(2,1/((lentry!$A$3:$A$3999=jun!$A48)*(lentry!$B$3:$B$3999&lt;=jun!AD$3)*(lentry!$C$3:$C$3999&gt;=jun!AD$3)),lentry!$D$3:$D$3999),IF(WEEKDAY(jun!AD$3,1)=1,"WO","P"))</f>
        <v>P</v>
      </c>
      <c r="AE48" s="4" t="str">
        <f>IFERROR(LOOKUP(2,1/((lentry!$A$3:$A$3999=jun!$A48)*(lentry!$B$3:$B$3999&lt;=jun!AE$3)*(lentry!$C$3:$C$3999&gt;=jun!AE$3)),lentry!$D$3:$D$3999),IF(WEEKDAY(jun!AE$3,1)=1,"WO","P"))</f>
        <v>P</v>
      </c>
      <c r="AF48" s="4" t="str">
        <f>IFERROR(LOOKUP(2,1/((lentry!$A$3:$A$3999=jun!$A48)*(lentry!$B$3:$B$3999&lt;=jun!AF$3)*(lentry!$C$3:$C$3999&gt;=jun!AF$3)),lentry!$D$3:$D$3999),IF(WEEKDAY(jun!AF$3,1)=1,"WO","P"))</f>
        <v>P</v>
      </c>
      <c r="AG48" s="4" t="str">
        <f>IFERROR(LOOKUP(2,1/((lentry!$A$3:$A$3999=jun!$A48)*(lentry!$B$3:$B$3999&lt;=jun!AG$3)*(lentry!$C$3:$C$3999&gt;=jun!AG$3)),lentry!$D$3:$D$3999),IF(WEEKDAY(jun!AG$3,1)=1,"WO","P"))</f>
        <v>WO</v>
      </c>
      <c r="AH48" s="4" t="str">
        <f>IFERROR(LOOKUP(2,1/((lentry!$A$3:$A$3999=jun!$A48)*(lentry!$B$3:$B$3999&lt;=jun!AH$3)*(lentry!$C$3:$C$3999&gt;=jun!AH$3)),lentry!$D$3:$D$3999),IF(WEEKDAY(jun!AH$3,1)=1,"WO","P"))</f>
        <v>P</v>
      </c>
      <c r="AI48" s="4" t="str">
        <f>IFERROR(LOOKUP(2,1/((lentry!$A$3:$A$3999=jun!$A48)*(lentry!$B$3:$B$3999&lt;=jun!AI$3)*(lentry!$C$3:$C$3999&gt;=jun!AI$3)),lentry!$D$3:$D$3999),IF(WEEKDAY(jun!AI$3,1)=1,"WO","P"))</f>
        <v>P</v>
      </c>
      <c r="AJ48" s="4">
        <f>COUNTIF(jun!$F48:$AI48,"WO")</f>
        <v>4</v>
      </c>
      <c r="AK48" s="4">
        <f>COUNTIF(jun!$F48:$AI48,"H")</f>
        <v>0</v>
      </c>
      <c r="AL48" s="4">
        <f>COUNTIF(jun!$F48:$AI48,"PL")</f>
        <v>0</v>
      </c>
      <c r="AM48" s="4">
        <f>COUNTIF(jun!$F48:$AI48,"LWP")</f>
        <v>0</v>
      </c>
      <c r="AN48" s="4">
        <f>COUNTIF(jun!$F48:$AI48,"HD")</f>
        <v>0</v>
      </c>
      <c r="AO48" s="4">
        <f>COUNTIF(jun!$F48:$AI48,"SL")</f>
        <v>0</v>
      </c>
      <c r="AP48" s="4">
        <f>COUNTIF(jun!$F48:$AI48,"CL")</f>
        <v>0</v>
      </c>
      <c r="AQ48" s="4">
        <f>COUNTIF(jun!$F48:$AI48,"A")</f>
        <v>0</v>
      </c>
      <c r="AR48" s="4">
        <f>COUNTIF(jun!$F48:$AI48,"P")</f>
        <v>26</v>
      </c>
      <c r="AS48" s="4">
        <f t="shared" si="4"/>
        <v>30</v>
      </c>
      <c r="AT48" s="4">
        <f t="shared" si="3"/>
        <v>30</v>
      </c>
      <c r="AU48" s="4">
        <f>SUMIFS(holly!$L$2:$L$122,holly!$I$2:$I$122,mar!$A48,holly!$K$2:$K$122,"Mar")</f>
        <v>0</v>
      </c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</row>
    <row r="49" spans="1:79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IFERROR(LOOKUP(2,1/((lentry!$A$3:$A$3999=jun!$A49)*(lentry!$B$3:$B$3999&lt;=jun!F$3)*(lentry!$C$3:$C$3999&gt;=jun!F$3)),lentry!$D$3:$D$3999),IF(WEEKDAY(jun!F$3,1)=1,"WO","P"))</f>
        <v>P</v>
      </c>
      <c r="G49" s="4" t="str">
        <f>IFERROR(LOOKUP(2,1/((lentry!$A$3:$A$3999=jun!$A49)*(lentry!$B$3:$B$3999&lt;=jun!G$3)*(lentry!$C$3:$C$3999&gt;=jun!G$3)),lentry!$D$3:$D$3999),IF(WEEKDAY(jun!G$3,1)=1,"WO","P"))</f>
        <v>P</v>
      </c>
      <c r="H49" s="4" t="str">
        <f>IFERROR(LOOKUP(2,1/((lentry!$A$3:$A$3999=jun!$A49)*(lentry!$B$3:$B$3999&lt;=jun!H$3)*(lentry!$C$3:$C$3999&gt;=jun!H$3)),lentry!$D$3:$D$3999),IF(WEEKDAY(jun!H$3,1)=1,"WO","P"))</f>
        <v>P</v>
      </c>
      <c r="I49" s="4" t="str">
        <f>IFERROR(LOOKUP(2,1/((lentry!$A$3:$A$3999=jun!$A49)*(lentry!$B$3:$B$3999&lt;=jun!I$3)*(lentry!$C$3:$C$3999&gt;=jun!I$3)),lentry!$D$3:$D$3999),IF(WEEKDAY(jun!I$3,1)=1,"WO","P"))</f>
        <v>LWP</v>
      </c>
      <c r="J49" s="4" t="str">
        <f>IFERROR(LOOKUP(2,1/((lentry!$A$3:$A$3999=jun!$A49)*(lentry!$B$3:$B$3999&lt;=jun!J$3)*(lentry!$C$3:$C$3999&gt;=jun!J$3)),lentry!$D$3:$D$3999),IF(WEEKDAY(jun!J$3,1)=1,"WO","P"))</f>
        <v>P</v>
      </c>
      <c r="K49" s="4" t="str">
        <f>IFERROR(LOOKUP(2,1/((lentry!$A$3:$A$3999=jun!$A49)*(lentry!$B$3:$B$3999&lt;=jun!K$3)*(lentry!$C$3:$C$3999&gt;=jun!K$3)),lentry!$D$3:$D$3999),IF(WEEKDAY(jun!K$3,1)=1,"WO","P"))</f>
        <v>P</v>
      </c>
      <c r="L49" s="4" t="str">
        <f>IFERROR(LOOKUP(2,1/((lentry!$A$3:$A$3999=jun!$A49)*(lentry!$B$3:$B$3999&lt;=jun!L$3)*(lentry!$C$3:$C$3999&gt;=jun!L$3)),lentry!$D$3:$D$3999),IF(WEEKDAY(jun!L$3,1)=1,"WO","P"))</f>
        <v>WO</v>
      </c>
      <c r="M49" s="4" t="str">
        <f>IFERROR(LOOKUP(2,1/((lentry!$A$3:$A$3999=jun!$A49)*(lentry!$B$3:$B$3999&lt;=jun!M$3)*(lentry!$C$3:$C$3999&gt;=jun!M$3)),lentry!$D$3:$D$3999),IF(WEEKDAY(jun!M$3,1)=1,"WO","P"))</f>
        <v>P</v>
      </c>
      <c r="N49" s="4" t="str">
        <f>IFERROR(LOOKUP(2,1/((lentry!$A$3:$A$3999=jun!$A49)*(lentry!$B$3:$B$3999&lt;=jun!N$3)*(lentry!$C$3:$C$3999&gt;=jun!N$3)),lentry!$D$3:$D$3999),IF(WEEKDAY(jun!N$3,1)=1,"WO","P"))</f>
        <v>P</v>
      </c>
      <c r="O49" s="4" t="str">
        <f>IFERROR(LOOKUP(2,1/((lentry!$A$3:$A$3999=jun!$A49)*(lentry!$B$3:$B$3999&lt;=jun!O$3)*(lentry!$C$3:$C$3999&gt;=jun!O$3)),lentry!$D$3:$D$3999),IF(WEEKDAY(jun!O$3,1)=1,"WO","P"))</f>
        <v>P</v>
      </c>
      <c r="P49" s="4" t="str">
        <f>IFERROR(LOOKUP(2,1/((lentry!$A$3:$A$3999=jun!$A49)*(lentry!$B$3:$B$3999&lt;=jun!P$3)*(lentry!$C$3:$C$3999&gt;=jun!P$3)),lentry!$D$3:$D$3999),IF(WEEKDAY(jun!P$3,1)=1,"WO","P"))</f>
        <v>P</v>
      </c>
      <c r="Q49" s="4" t="str">
        <f>IFERROR(LOOKUP(2,1/((lentry!$A$3:$A$3999=jun!$A49)*(lentry!$B$3:$B$3999&lt;=jun!Q$3)*(lentry!$C$3:$C$3999&gt;=jun!Q$3)),lentry!$D$3:$D$3999),IF(WEEKDAY(jun!Q$3,1)=1,"WO","P"))</f>
        <v>P</v>
      </c>
      <c r="R49" s="4" t="str">
        <f>IFERROR(LOOKUP(2,1/((lentry!$A$3:$A$3999=jun!$A49)*(lentry!$B$3:$B$3999&lt;=jun!R$3)*(lentry!$C$3:$C$3999&gt;=jun!R$3)),lentry!$D$3:$D$3999),IF(WEEKDAY(jun!R$3,1)=1,"WO","P"))</f>
        <v>P</v>
      </c>
      <c r="S49" s="4" t="str">
        <f>IFERROR(LOOKUP(2,1/((lentry!$A$3:$A$3999=jun!$A49)*(lentry!$B$3:$B$3999&lt;=jun!S$3)*(lentry!$C$3:$C$3999&gt;=jun!S$3)),lentry!$D$3:$D$3999),IF(WEEKDAY(jun!S$3,1)=1,"WO","P"))</f>
        <v>WO</v>
      </c>
      <c r="T49" s="4" t="str">
        <f>IFERROR(LOOKUP(2,1/((lentry!$A$3:$A$3999=jun!$A49)*(lentry!$B$3:$B$3999&lt;=jun!T$3)*(lentry!$C$3:$C$3999&gt;=jun!T$3)),lentry!$D$3:$D$3999),IF(WEEKDAY(jun!T$3,1)=1,"WO","P"))</f>
        <v>P</v>
      </c>
      <c r="U49" s="4" t="str">
        <f>IFERROR(LOOKUP(2,1/((lentry!$A$3:$A$3999=jun!$A49)*(lentry!$B$3:$B$3999&lt;=jun!U$3)*(lentry!$C$3:$C$3999&gt;=jun!U$3)),lentry!$D$3:$D$3999),IF(WEEKDAY(jun!U$3,1)=1,"WO","P"))</f>
        <v>P</v>
      </c>
      <c r="V49" s="4" t="str">
        <f>IFERROR(LOOKUP(2,1/((lentry!$A$3:$A$3999=jun!$A49)*(lentry!$B$3:$B$3999&lt;=jun!V$3)*(lentry!$C$3:$C$3999&gt;=jun!V$3)),lentry!$D$3:$D$3999),IF(WEEKDAY(jun!V$3,1)=1,"WO","P"))</f>
        <v>P</v>
      </c>
      <c r="W49" s="4" t="str">
        <f>IFERROR(LOOKUP(2,1/((lentry!$A$3:$A$3999=jun!$A49)*(lentry!$B$3:$B$3999&lt;=jun!W$3)*(lentry!$C$3:$C$3999&gt;=jun!W$3)),lentry!$D$3:$D$3999),IF(WEEKDAY(jun!W$3,1)=1,"WO","P"))</f>
        <v>P</v>
      </c>
      <c r="X49" s="4" t="str">
        <f>IFERROR(LOOKUP(2,1/((lentry!$A$3:$A$3999=jun!$A49)*(lentry!$B$3:$B$3999&lt;=jun!X$3)*(lentry!$C$3:$C$3999&gt;=jun!X$3)),lentry!$D$3:$D$3999),IF(WEEKDAY(jun!X$3,1)=1,"WO","P"))</f>
        <v>P</v>
      </c>
      <c r="Y49" s="4" t="str">
        <f>IFERROR(LOOKUP(2,1/((lentry!$A$3:$A$3999=jun!$A49)*(lentry!$B$3:$B$3999&lt;=jun!Y$3)*(lentry!$C$3:$C$3999&gt;=jun!Y$3)),lentry!$D$3:$D$3999),IF(WEEKDAY(jun!Y$3,1)=1,"WO","P"))</f>
        <v>P</v>
      </c>
      <c r="Z49" s="4" t="str">
        <f>IFERROR(LOOKUP(2,1/((lentry!$A$3:$A$3999=jun!$A49)*(lentry!$B$3:$B$3999&lt;=jun!Z$3)*(lentry!$C$3:$C$3999&gt;=jun!Z$3)),lentry!$D$3:$D$3999),IF(WEEKDAY(jun!Z$3,1)=1,"WO","P"))</f>
        <v>WO</v>
      </c>
      <c r="AA49" s="4" t="str">
        <f>IFERROR(LOOKUP(2,1/((lentry!$A$3:$A$3999=jun!$A49)*(lentry!$B$3:$B$3999&lt;=jun!AA$3)*(lentry!$C$3:$C$3999&gt;=jun!AA$3)),lentry!$D$3:$D$3999),IF(WEEKDAY(jun!AA$3,1)=1,"WO","P"))</f>
        <v>P</v>
      </c>
      <c r="AB49" s="4" t="str">
        <f>IFERROR(LOOKUP(2,1/((lentry!$A$3:$A$3999=jun!$A49)*(lentry!$B$3:$B$3999&lt;=jun!AB$3)*(lentry!$C$3:$C$3999&gt;=jun!AB$3)),lentry!$D$3:$D$3999),IF(WEEKDAY(jun!AB$3,1)=1,"WO","P"))</f>
        <v>P</v>
      </c>
      <c r="AC49" s="4" t="str">
        <f>IFERROR(LOOKUP(2,1/((lentry!$A$3:$A$3999=jun!$A49)*(lentry!$B$3:$B$3999&lt;=jun!AC$3)*(lentry!$C$3:$C$3999&gt;=jun!AC$3)),lentry!$D$3:$D$3999),IF(WEEKDAY(jun!AC$3,1)=1,"WO","P"))</f>
        <v>P</v>
      </c>
      <c r="AD49" s="4" t="str">
        <f>IFERROR(LOOKUP(2,1/((lentry!$A$3:$A$3999=jun!$A49)*(lentry!$B$3:$B$3999&lt;=jun!AD$3)*(lentry!$C$3:$C$3999&gt;=jun!AD$3)),lentry!$D$3:$D$3999),IF(WEEKDAY(jun!AD$3,1)=1,"WO","P"))</f>
        <v>P</v>
      </c>
      <c r="AE49" s="4" t="str">
        <f>IFERROR(LOOKUP(2,1/((lentry!$A$3:$A$3999=jun!$A49)*(lentry!$B$3:$B$3999&lt;=jun!AE$3)*(lentry!$C$3:$C$3999&gt;=jun!AE$3)),lentry!$D$3:$D$3999),IF(WEEKDAY(jun!AE$3,1)=1,"WO","P"))</f>
        <v>P</v>
      </c>
      <c r="AF49" s="4" t="str">
        <f>IFERROR(LOOKUP(2,1/((lentry!$A$3:$A$3999=jun!$A49)*(lentry!$B$3:$B$3999&lt;=jun!AF$3)*(lentry!$C$3:$C$3999&gt;=jun!AF$3)),lentry!$D$3:$D$3999),IF(WEEKDAY(jun!AF$3,1)=1,"WO","P"))</f>
        <v>P</v>
      </c>
      <c r="AG49" s="4" t="str">
        <f>IFERROR(LOOKUP(2,1/((lentry!$A$3:$A$3999=jun!$A49)*(lentry!$B$3:$B$3999&lt;=jun!AG$3)*(lentry!$C$3:$C$3999&gt;=jun!AG$3)),lentry!$D$3:$D$3999),IF(WEEKDAY(jun!AG$3,1)=1,"WO","P"))</f>
        <v>WO</v>
      </c>
      <c r="AH49" s="4" t="str">
        <f>IFERROR(LOOKUP(2,1/((lentry!$A$3:$A$3999=jun!$A49)*(lentry!$B$3:$B$3999&lt;=jun!AH$3)*(lentry!$C$3:$C$3999&gt;=jun!AH$3)),lentry!$D$3:$D$3999),IF(WEEKDAY(jun!AH$3,1)=1,"WO","P"))</f>
        <v>P</v>
      </c>
      <c r="AI49" s="4" t="str">
        <f>IFERROR(LOOKUP(2,1/((lentry!$A$3:$A$3999=jun!$A49)*(lentry!$B$3:$B$3999&lt;=jun!AI$3)*(lentry!$C$3:$C$3999&gt;=jun!AI$3)),lentry!$D$3:$D$3999),IF(WEEKDAY(jun!AI$3,1)=1,"WO","P"))</f>
        <v>P</v>
      </c>
      <c r="AJ49" s="4">
        <f>COUNTIF(jun!$F49:$AI49,"WO")</f>
        <v>4</v>
      </c>
      <c r="AK49" s="4">
        <f>COUNTIF(jun!$F49:$AI49,"H")</f>
        <v>0</v>
      </c>
      <c r="AL49" s="4">
        <f>COUNTIF(jun!$F49:$AI49,"PL")</f>
        <v>0</v>
      </c>
      <c r="AM49" s="4">
        <f>COUNTIF(jun!$F49:$AI49,"LWP")</f>
        <v>1</v>
      </c>
      <c r="AN49" s="4">
        <f>COUNTIF(jun!$F49:$AI49,"HD")</f>
        <v>0</v>
      </c>
      <c r="AO49" s="4">
        <f>COUNTIF(jun!$F49:$AI49,"SL")</f>
        <v>0</v>
      </c>
      <c r="AP49" s="4">
        <f>COUNTIF(jun!$F49:$AI49,"CL")</f>
        <v>0</v>
      </c>
      <c r="AQ49" s="4">
        <f>COUNTIF(jun!$F49:$AI49,"A")</f>
        <v>0</v>
      </c>
      <c r="AR49" s="4">
        <f>COUNTIF(jun!$F49:$AI49,"P")</f>
        <v>25</v>
      </c>
      <c r="AS49" s="4">
        <f t="shared" si="4"/>
        <v>30</v>
      </c>
      <c r="AT49" s="4">
        <f t="shared" si="3"/>
        <v>29</v>
      </c>
      <c r="AU49" s="4">
        <f>SUMIFS(holly!$L$2:$L$122,holly!$I$2:$I$122,mar!$A49,holly!$K$2:$K$122,"Mar")</f>
        <v>0</v>
      </c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</row>
    <row r="50" spans="1:79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IFERROR(LOOKUP(2,1/((lentry!$A$3:$A$3999=jun!$A50)*(lentry!$B$3:$B$3999&lt;=jun!F$3)*(lentry!$C$3:$C$3999&gt;=jun!F$3)),lentry!$D$3:$D$3999),IF(WEEKDAY(jun!F$3,1)=1,"WO","P"))</f>
        <v>P</v>
      </c>
      <c r="G50" s="4" t="str">
        <f>IFERROR(LOOKUP(2,1/((lentry!$A$3:$A$3999=jun!$A50)*(lentry!$B$3:$B$3999&lt;=jun!G$3)*(lentry!$C$3:$C$3999&gt;=jun!G$3)),lentry!$D$3:$D$3999),IF(WEEKDAY(jun!G$3,1)=1,"WO","P"))</f>
        <v>P</v>
      </c>
      <c r="H50" s="4" t="str">
        <f>IFERROR(LOOKUP(2,1/((lentry!$A$3:$A$3999=jun!$A50)*(lentry!$B$3:$B$3999&lt;=jun!H$3)*(lentry!$C$3:$C$3999&gt;=jun!H$3)),lentry!$D$3:$D$3999),IF(WEEKDAY(jun!H$3,1)=1,"WO","P"))</f>
        <v>P</v>
      </c>
      <c r="I50" s="4" t="str">
        <f>IFERROR(LOOKUP(2,1/((lentry!$A$3:$A$3999=jun!$A50)*(lentry!$B$3:$B$3999&lt;=jun!I$3)*(lentry!$C$3:$C$3999&gt;=jun!I$3)),lentry!$D$3:$D$3999),IF(WEEKDAY(jun!I$3,1)=1,"WO","P"))</f>
        <v>P</v>
      </c>
      <c r="J50" s="4" t="str">
        <f>IFERROR(LOOKUP(2,1/((lentry!$A$3:$A$3999=jun!$A50)*(lentry!$B$3:$B$3999&lt;=jun!J$3)*(lentry!$C$3:$C$3999&gt;=jun!J$3)),lentry!$D$3:$D$3999),IF(WEEKDAY(jun!J$3,1)=1,"WO","P"))</f>
        <v>P</v>
      </c>
      <c r="K50" s="4" t="str">
        <f>IFERROR(LOOKUP(2,1/((lentry!$A$3:$A$3999=jun!$A50)*(lentry!$B$3:$B$3999&lt;=jun!K$3)*(lentry!$C$3:$C$3999&gt;=jun!K$3)),lentry!$D$3:$D$3999),IF(WEEKDAY(jun!K$3,1)=1,"WO","P"))</f>
        <v>P</v>
      </c>
      <c r="L50" s="4" t="str">
        <f>IFERROR(LOOKUP(2,1/((lentry!$A$3:$A$3999=jun!$A50)*(lentry!$B$3:$B$3999&lt;=jun!L$3)*(lentry!$C$3:$C$3999&gt;=jun!L$3)),lentry!$D$3:$D$3999),IF(WEEKDAY(jun!L$3,1)=1,"WO","P"))</f>
        <v>WO</v>
      </c>
      <c r="M50" s="4" t="str">
        <f>IFERROR(LOOKUP(2,1/((lentry!$A$3:$A$3999=jun!$A50)*(lentry!$B$3:$B$3999&lt;=jun!M$3)*(lentry!$C$3:$C$3999&gt;=jun!M$3)),lentry!$D$3:$D$3999),IF(WEEKDAY(jun!M$3,1)=1,"WO","P"))</f>
        <v>P</v>
      </c>
      <c r="N50" s="4" t="str">
        <f>IFERROR(LOOKUP(2,1/((lentry!$A$3:$A$3999=jun!$A50)*(lentry!$B$3:$B$3999&lt;=jun!N$3)*(lentry!$C$3:$C$3999&gt;=jun!N$3)),lentry!$D$3:$D$3999),IF(WEEKDAY(jun!N$3,1)=1,"WO","P"))</f>
        <v>P</v>
      </c>
      <c r="O50" s="4" t="str">
        <f>IFERROR(LOOKUP(2,1/((lentry!$A$3:$A$3999=jun!$A50)*(lentry!$B$3:$B$3999&lt;=jun!O$3)*(lentry!$C$3:$C$3999&gt;=jun!O$3)),lentry!$D$3:$D$3999),IF(WEEKDAY(jun!O$3,1)=1,"WO","P"))</f>
        <v>P</v>
      </c>
      <c r="P50" s="4" t="str">
        <f>IFERROR(LOOKUP(2,1/((lentry!$A$3:$A$3999=jun!$A50)*(lentry!$B$3:$B$3999&lt;=jun!P$3)*(lentry!$C$3:$C$3999&gt;=jun!P$3)),lentry!$D$3:$D$3999),IF(WEEKDAY(jun!P$3,1)=1,"WO","P"))</f>
        <v>P</v>
      </c>
      <c r="Q50" s="4" t="str">
        <f>IFERROR(LOOKUP(2,1/((lentry!$A$3:$A$3999=jun!$A50)*(lentry!$B$3:$B$3999&lt;=jun!Q$3)*(lentry!$C$3:$C$3999&gt;=jun!Q$3)),lentry!$D$3:$D$3999),IF(WEEKDAY(jun!Q$3,1)=1,"WO","P"))</f>
        <v>P</v>
      </c>
      <c r="R50" s="4" t="str">
        <f>IFERROR(LOOKUP(2,1/((lentry!$A$3:$A$3999=jun!$A50)*(lentry!$B$3:$B$3999&lt;=jun!R$3)*(lentry!$C$3:$C$3999&gt;=jun!R$3)),lentry!$D$3:$D$3999),IF(WEEKDAY(jun!R$3,1)=1,"WO","P"))</f>
        <v>P</v>
      </c>
      <c r="S50" s="4" t="str">
        <f>IFERROR(LOOKUP(2,1/((lentry!$A$3:$A$3999=jun!$A50)*(lentry!$B$3:$B$3999&lt;=jun!S$3)*(lentry!$C$3:$C$3999&gt;=jun!S$3)),lentry!$D$3:$D$3999),IF(WEEKDAY(jun!S$3,1)=1,"WO","P"))</f>
        <v>WO</v>
      </c>
      <c r="T50" s="4" t="str">
        <f>IFERROR(LOOKUP(2,1/((lentry!$A$3:$A$3999=jun!$A50)*(lentry!$B$3:$B$3999&lt;=jun!T$3)*(lentry!$C$3:$C$3999&gt;=jun!T$3)),lentry!$D$3:$D$3999),IF(WEEKDAY(jun!T$3,1)=1,"WO","P"))</f>
        <v>P</v>
      </c>
      <c r="U50" s="4" t="str">
        <f>IFERROR(LOOKUP(2,1/((lentry!$A$3:$A$3999=jun!$A50)*(lentry!$B$3:$B$3999&lt;=jun!U$3)*(lentry!$C$3:$C$3999&gt;=jun!U$3)),lentry!$D$3:$D$3999),IF(WEEKDAY(jun!U$3,1)=1,"WO","P"))</f>
        <v>P</v>
      </c>
      <c r="V50" s="4" t="str">
        <f>IFERROR(LOOKUP(2,1/((lentry!$A$3:$A$3999=jun!$A50)*(lentry!$B$3:$B$3999&lt;=jun!V$3)*(lentry!$C$3:$C$3999&gt;=jun!V$3)),lentry!$D$3:$D$3999),IF(WEEKDAY(jun!V$3,1)=1,"WO","P"))</f>
        <v>P</v>
      </c>
      <c r="W50" s="4" t="str">
        <f>IFERROR(LOOKUP(2,1/((lentry!$A$3:$A$3999=jun!$A50)*(lentry!$B$3:$B$3999&lt;=jun!W$3)*(lentry!$C$3:$C$3999&gt;=jun!W$3)),lentry!$D$3:$D$3999),IF(WEEKDAY(jun!W$3,1)=1,"WO","P"))</f>
        <v>P</v>
      </c>
      <c r="X50" s="4" t="str">
        <f>IFERROR(LOOKUP(2,1/((lentry!$A$3:$A$3999=jun!$A50)*(lentry!$B$3:$B$3999&lt;=jun!X$3)*(lentry!$C$3:$C$3999&gt;=jun!X$3)),lentry!$D$3:$D$3999),IF(WEEKDAY(jun!X$3,1)=1,"WO","P"))</f>
        <v>P</v>
      </c>
      <c r="Y50" s="4" t="str">
        <f>IFERROR(LOOKUP(2,1/((lentry!$A$3:$A$3999=jun!$A50)*(lentry!$B$3:$B$3999&lt;=jun!Y$3)*(lentry!$C$3:$C$3999&gt;=jun!Y$3)),lentry!$D$3:$D$3999),IF(WEEKDAY(jun!Y$3,1)=1,"WO","P"))</f>
        <v>P</v>
      </c>
      <c r="Z50" s="4" t="str">
        <f>IFERROR(LOOKUP(2,1/((lentry!$A$3:$A$3999=jun!$A50)*(lentry!$B$3:$B$3999&lt;=jun!Z$3)*(lentry!$C$3:$C$3999&gt;=jun!Z$3)),lentry!$D$3:$D$3999),IF(WEEKDAY(jun!Z$3,1)=1,"WO","P"))</f>
        <v>WO</v>
      </c>
      <c r="AA50" s="4" t="str">
        <f>IFERROR(LOOKUP(2,1/((lentry!$A$3:$A$3999=jun!$A50)*(lentry!$B$3:$B$3999&lt;=jun!AA$3)*(lentry!$C$3:$C$3999&gt;=jun!AA$3)),lentry!$D$3:$D$3999),IF(WEEKDAY(jun!AA$3,1)=1,"WO","P"))</f>
        <v>P</v>
      </c>
      <c r="AB50" s="4" t="s">
        <v>539</v>
      </c>
      <c r="AC50" s="4" t="str">
        <f>IFERROR(LOOKUP(2,1/((lentry!$A$3:$A$3999=jun!$A50)*(lentry!$B$3:$B$3999&lt;=jun!AC$3)*(lentry!$C$3:$C$3999&gt;=jun!AC$3)),lentry!$D$3:$D$3999),IF(WEEKDAY(jun!AC$3,1)=1,"WO","P"))</f>
        <v>P</v>
      </c>
      <c r="AD50" s="4" t="str">
        <f>IFERROR(LOOKUP(2,1/((lentry!$A$3:$A$3999=jun!$A50)*(lentry!$B$3:$B$3999&lt;=jun!AD$3)*(lentry!$C$3:$C$3999&gt;=jun!AD$3)),lentry!$D$3:$D$3999),IF(WEEKDAY(jun!AD$3,1)=1,"WO","P"))</f>
        <v>P</v>
      </c>
      <c r="AE50" s="4" t="str">
        <f>IFERROR(LOOKUP(2,1/((lentry!$A$3:$A$3999=jun!$A50)*(lentry!$B$3:$B$3999&lt;=jun!AE$3)*(lentry!$C$3:$C$3999&gt;=jun!AE$3)),lentry!$D$3:$D$3999),IF(WEEKDAY(jun!AE$3,1)=1,"WO","P"))</f>
        <v>P</v>
      </c>
      <c r="AF50" s="4" t="str">
        <f>IFERROR(LOOKUP(2,1/((lentry!$A$3:$A$3999=jun!$A50)*(lentry!$B$3:$B$3999&lt;=jun!AF$3)*(lentry!$C$3:$C$3999&gt;=jun!AF$3)),lentry!$D$3:$D$3999),IF(WEEKDAY(jun!AF$3,1)=1,"WO","P"))</f>
        <v>P</v>
      </c>
      <c r="AG50" s="4" t="str">
        <f>IFERROR(LOOKUP(2,1/((lentry!$A$3:$A$3999=jun!$A50)*(lentry!$B$3:$B$3999&lt;=jun!AG$3)*(lentry!$C$3:$C$3999&gt;=jun!AG$3)),lentry!$D$3:$D$3999),IF(WEEKDAY(jun!AG$3,1)=1,"WO","P"))</f>
        <v>WO</v>
      </c>
      <c r="AH50" s="4" t="str">
        <f>IFERROR(LOOKUP(2,1/((lentry!$A$3:$A$3999=jun!$A50)*(lentry!$B$3:$B$3999&lt;=jun!AH$3)*(lentry!$C$3:$C$3999&gt;=jun!AH$3)),lentry!$D$3:$D$3999),IF(WEEKDAY(jun!AH$3,1)=1,"WO","P"))</f>
        <v>P</v>
      </c>
      <c r="AI50" s="4" t="str">
        <f>IFERROR(LOOKUP(2,1/((lentry!$A$3:$A$3999=jun!$A50)*(lentry!$B$3:$B$3999&lt;=jun!AI$3)*(lentry!$C$3:$C$3999&gt;=jun!AI$3)),lentry!$D$3:$D$3999),IF(WEEKDAY(jun!AI$3,1)=1,"WO","P"))</f>
        <v>P</v>
      </c>
      <c r="AJ50" s="4">
        <f>COUNTIF(jun!$F50:$AI50,"WO")</f>
        <v>4</v>
      </c>
      <c r="AK50" s="4">
        <f>COUNTIF(jun!$F50:$AI50,"H")</f>
        <v>0</v>
      </c>
      <c r="AL50" s="4">
        <f>COUNTIF(jun!$F50:$AI50,"PL")</f>
        <v>0</v>
      </c>
      <c r="AM50" s="4">
        <f>COUNTIF(jun!$F50:$AI50,"LWP")</f>
        <v>0</v>
      </c>
      <c r="AN50" s="4">
        <f>COUNTIF(jun!$F50:$AI50,"HD")</f>
        <v>0</v>
      </c>
      <c r="AO50" s="4">
        <f>COUNTIF(jun!$F50:$AI50,"SL")</f>
        <v>0</v>
      </c>
      <c r="AP50" s="4">
        <f>COUNTIF(jun!$F50:$AI50,"CL")</f>
        <v>0</v>
      </c>
      <c r="AQ50" s="4">
        <f>COUNTIF(jun!$F50:$AI50,"A")</f>
        <v>1</v>
      </c>
      <c r="AR50" s="4">
        <f>COUNTIF(jun!$F50:$AI50,"P")</f>
        <v>25</v>
      </c>
      <c r="AS50" s="4">
        <f t="shared" si="4"/>
        <v>30</v>
      </c>
      <c r="AT50" s="4">
        <f t="shared" si="3"/>
        <v>29</v>
      </c>
      <c r="AU50" s="4">
        <f>SUMIFS(holly!$L$2:$L$122,holly!$I$2:$I$122,mar!$A50,holly!$K$2:$K$122,"Mar")</f>
        <v>0</v>
      </c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</row>
    <row r="51" spans="1:79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IFERROR(LOOKUP(2,1/((lentry!$A$3:$A$3999=jun!$A51)*(lentry!$B$3:$B$3999&lt;=jun!F$3)*(lentry!$C$3:$C$3999&gt;=jun!F$3)),lentry!$D$3:$D$3999),IF(WEEKDAY(jun!F$3,1)=1,"WO","P"))</f>
        <v>P</v>
      </c>
      <c r="G51" s="4" t="str">
        <f>IFERROR(LOOKUP(2,1/((lentry!$A$3:$A$3999=jun!$A51)*(lentry!$B$3:$B$3999&lt;=jun!G$3)*(lentry!$C$3:$C$3999&gt;=jun!G$3)),lentry!$D$3:$D$3999),IF(WEEKDAY(jun!G$3,1)=1,"WO","P"))</f>
        <v>P</v>
      </c>
      <c r="H51" s="4" t="str">
        <f>IFERROR(LOOKUP(2,1/((lentry!$A$3:$A$3999=jun!$A51)*(lentry!$B$3:$B$3999&lt;=jun!H$3)*(lentry!$C$3:$C$3999&gt;=jun!H$3)),lentry!$D$3:$D$3999),IF(WEEKDAY(jun!H$3,1)=1,"WO","P"))</f>
        <v>P</v>
      </c>
      <c r="I51" s="4" t="str">
        <f>IFERROR(LOOKUP(2,1/((lentry!$A$3:$A$3999=jun!$A51)*(lentry!$B$3:$B$3999&lt;=jun!I$3)*(lentry!$C$3:$C$3999&gt;=jun!I$3)),lentry!$D$3:$D$3999),IF(WEEKDAY(jun!I$3,1)=1,"WO","P"))</f>
        <v>P</v>
      </c>
      <c r="J51" s="4" t="str">
        <f>IFERROR(LOOKUP(2,1/((lentry!$A$3:$A$3999=jun!$A51)*(lentry!$B$3:$B$3999&lt;=jun!J$3)*(lentry!$C$3:$C$3999&gt;=jun!J$3)),lentry!$D$3:$D$3999),IF(WEEKDAY(jun!J$3,1)=1,"WO","P"))</f>
        <v>P</v>
      </c>
      <c r="K51" s="4" t="str">
        <f>IFERROR(LOOKUP(2,1/((lentry!$A$3:$A$3999=jun!$A51)*(lentry!$B$3:$B$3999&lt;=jun!K$3)*(lentry!$C$3:$C$3999&gt;=jun!K$3)),lentry!$D$3:$D$3999),IF(WEEKDAY(jun!K$3,1)=1,"WO","P"))</f>
        <v>P</v>
      </c>
      <c r="L51" s="4" t="str">
        <f>IFERROR(LOOKUP(2,1/((lentry!$A$3:$A$3999=jun!$A51)*(lentry!$B$3:$B$3999&lt;=jun!L$3)*(lentry!$C$3:$C$3999&gt;=jun!L$3)),lentry!$D$3:$D$3999),IF(WEEKDAY(jun!L$3,1)=1,"WO","P"))</f>
        <v>WO</v>
      </c>
      <c r="M51" s="4" t="str">
        <f>IFERROR(LOOKUP(2,1/((lentry!$A$3:$A$3999=jun!$A51)*(lentry!$B$3:$B$3999&lt;=jun!M$3)*(lentry!$C$3:$C$3999&gt;=jun!M$3)),lentry!$D$3:$D$3999),IF(WEEKDAY(jun!M$3,1)=1,"WO","P"))</f>
        <v>P</v>
      </c>
      <c r="N51" s="4" t="str">
        <f>IFERROR(LOOKUP(2,1/((lentry!$A$3:$A$3999=jun!$A51)*(lentry!$B$3:$B$3999&lt;=jun!N$3)*(lentry!$C$3:$C$3999&gt;=jun!N$3)),lentry!$D$3:$D$3999),IF(WEEKDAY(jun!N$3,1)=1,"WO","P"))</f>
        <v>P</v>
      </c>
      <c r="O51" s="4" t="str">
        <f>IFERROR(LOOKUP(2,1/((lentry!$A$3:$A$3999=jun!$A51)*(lentry!$B$3:$B$3999&lt;=jun!O$3)*(lentry!$C$3:$C$3999&gt;=jun!O$3)),lentry!$D$3:$D$3999),IF(WEEKDAY(jun!O$3,1)=1,"WO","P"))</f>
        <v>P</v>
      </c>
      <c r="P51" s="4" t="str">
        <f>IFERROR(LOOKUP(2,1/((lentry!$A$3:$A$3999=jun!$A51)*(lentry!$B$3:$B$3999&lt;=jun!P$3)*(lentry!$C$3:$C$3999&gt;=jun!P$3)),lentry!$D$3:$D$3999),IF(WEEKDAY(jun!P$3,1)=1,"WO","P"))</f>
        <v>P</v>
      </c>
      <c r="Q51" s="4" t="str">
        <f>IFERROR(LOOKUP(2,1/((lentry!$A$3:$A$3999=jun!$A51)*(lentry!$B$3:$B$3999&lt;=jun!Q$3)*(lentry!$C$3:$C$3999&gt;=jun!Q$3)),lentry!$D$3:$D$3999),IF(WEEKDAY(jun!Q$3,1)=1,"WO","P"))</f>
        <v>P</v>
      </c>
      <c r="R51" s="4" t="str">
        <f>IFERROR(LOOKUP(2,1/((lentry!$A$3:$A$3999=jun!$A51)*(lentry!$B$3:$B$3999&lt;=jun!R$3)*(lentry!$C$3:$C$3999&gt;=jun!R$3)),lentry!$D$3:$D$3999),IF(WEEKDAY(jun!R$3,1)=1,"WO","P"))</f>
        <v>P</v>
      </c>
      <c r="S51" s="4" t="str">
        <f>IFERROR(LOOKUP(2,1/((lentry!$A$3:$A$3999=jun!$A51)*(lentry!$B$3:$B$3999&lt;=jun!S$3)*(lentry!$C$3:$C$3999&gt;=jun!S$3)),lentry!$D$3:$D$3999),IF(WEEKDAY(jun!S$3,1)=1,"WO","P"))</f>
        <v>WO</v>
      </c>
      <c r="T51" s="4" t="str">
        <f>IFERROR(LOOKUP(2,1/((lentry!$A$3:$A$3999=jun!$A51)*(lentry!$B$3:$B$3999&lt;=jun!T$3)*(lentry!$C$3:$C$3999&gt;=jun!T$3)),lentry!$D$3:$D$3999),IF(WEEKDAY(jun!T$3,1)=1,"WO","P"))</f>
        <v>P</v>
      </c>
      <c r="U51" s="4" t="str">
        <f>IFERROR(LOOKUP(2,1/((lentry!$A$3:$A$3999=jun!$A51)*(lentry!$B$3:$B$3999&lt;=jun!U$3)*(lentry!$C$3:$C$3999&gt;=jun!U$3)),lentry!$D$3:$D$3999),IF(WEEKDAY(jun!U$3,1)=1,"WO","P"))</f>
        <v>P</v>
      </c>
      <c r="V51" s="4" t="str">
        <f>IFERROR(LOOKUP(2,1/((lentry!$A$3:$A$3999=jun!$A51)*(lentry!$B$3:$B$3999&lt;=jun!V$3)*(lentry!$C$3:$C$3999&gt;=jun!V$3)),lentry!$D$3:$D$3999),IF(WEEKDAY(jun!V$3,1)=1,"WO","P"))</f>
        <v>P</v>
      </c>
      <c r="W51" s="4" t="str">
        <f>IFERROR(LOOKUP(2,1/((lentry!$A$3:$A$3999=jun!$A51)*(lentry!$B$3:$B$3999&lt;=jun!W$3)*(lentry!$C$3:$C$3999&gt;=jun!W$3)),lentry!$D$3:$D$3999),IF(WEEKDAY(jun!W$3,1)=1,"WO","P"))</f>
        <v>P</v>
      </c>
      <c r="X51" s="4" t="str">
        <f>IFERROR(LOOKUP(2,1/((lentry!$A$3:$A$3999=jun!$A51)*(lentry!$B$3:$B$3999&lt;=jun!X$3)*(lentry!$C$3:$C$3999&gt;=jun!X$3)),lentry!$D$3:$D$3999),IF(WEEKDAY(jun!X$3,1)=1,"WO","P"))</f>
        <v>P</v>
      </c>
      <c r="Y51" s="4" t="str">
        <f>IFERROR(LOOKUP(2,1/((lentry!$A$3:$A$3999=jun!$A51)*(lentry!$B$3:$B$3999&lt;=jun!Y$3)*(lentry!$C$3:$C$3999&gt;=jun!Y$3)),lentry!$D$3:$D$3999),IF(WEEKDAY(jun!Y$3,1)=1,"WO","P"))</f>
        <v>P</v>
      </c>
      <c r="Z51" s="4" t="str">
        <f>IFERROR(LOOKUP(2,1/((lentry!$A$3:$A$3999=jun!$A51)*(lentry!$B$3:$B$3999&lt;=jun!Z$3)*(lentry!$C$3:$C$3999&gt;=jun!Z$3)),lentry!$D$3:$D$3999),IF(WEEKDAY(jun!Z$3,1)=1,"WO","P"))</f>
        <v>WO</v>
      </c>
      <c r="AA51" s="4" t="str">
        <f>IFERROR(LOOKUP(2,1/((lentry!$A$3:$A$3999=jun!$A51)*(lentry!$B$3:$B$3999&lt;=jun!AA$3)*(lentry!$C$3:$C$3999&gt;=jun!AA$3)),lentry!$D$3:$D$3999),IF(WEEKDAY(jun!AA$3,1)=1,"WO","P"))</f>
        <v>P</v>
      </c>
      <c r="AB51" s="4" t="str">
        <f>IFERROR(LOOKUP(2,1/((lentry!$A$3:$A$3999=jun!$A51)*(lentry!$B$3:$B$3999&lt;=jun!AB$3)*(lentry!$C$3:$C$3999&gt;=jun!AB$3)),lentry!$D$3:$D$3999),IF(WEEKDAY(jun!AB$3,1)=1,"WO","P"))</f>
        <v>P</v>
      </c>
      <c r="AC51" s="4" t="str">
        <f>IFERROR(LOOKUP(2,1/((lentry!$A$3:$A$3999=jun!$A51)*(lentry!$B$3:$B$3999&lt;=jun!AC$3)*(lentry!$C$3:$C$3999&gt;=jun!AC$3)),lentry!$D$3:$D$3999),IF(WEEKDAY(jun!AC$3,1)=1,"WO","P"))</f>
        <v>P</v>
      </c>
      <c r="AD51" s="4" t="str">
        <f>IFERROR(LOOKUP(2,1/((lentry!$A$3:$A$3999=jun!$A51)*(lentry!$B$3:$B$3999&lt;=jun!AD$3)*(lentry!$C$3:$C$3999&gt;=jun!AD$3)),lentry!$D$3:$D$3999),IF(WEEKDAY(jun!AD$3,1)=1,"WO","P"))</f>
        <v>P</v>
      </c>
      <c r="AE51" s="4" t="str">
        <f>IFERROR(LOOKUP(2,1/((lentry!$A$3:$A$3999=jun!$A51)*(lentry!$B$3:$B$3999&lt;=jun!AE$3)*(lentry!$C$3:$C$3999&gt;=jun!AE$3)),lentry!$D$3:$D$3999),IF(WEEKDAY(jun!AE$3,1)=1,"WO","P"))</f>
        <v>P</v>
      </c>
      <c r="AF51" s="4" t="str">
        <f>IFERROR(LOOKUP(2,1/((lentry!$A$3:$A$3999=jun!$A51)*(lentry!$B$3:$B$3999&lt;=jun!AF$3)*(lentry!$C$3:$C$3999&gt;=jun!AF$3)),lentry!$D$3:$D$3999),IF(WEEKDAY(jun!AF$3,1)=1,"WO","P"))</f>
        <v>P</v>
      </c>
      <c r="AG51" s="4" t="str">
        <f>IFERROR(LOOKUP(2,1/((lentry!$A$3:$A$3999=jun!$A51)*(lentry!$B$3:$B$3999&lt;=jun!AG$3)*(lentry!$C$3:$C$3999&gt;=jun!AG$3)),lentry!$D$3:$D$3999),IF(WEEKDAY(jun!AG$3,1)=1,"WO","P"))</f>
        <v>WO</v>
      </c>
      <c r="AH51" s="4" t="str">
        <f>IFERROR(LOOKUP(2,1/((lentry!$A$3:$A$3999=jun!$A51)*(lentry!$B$3:$B$3999&lt;=jun!AH$3)*(lentry!$C$3:$C$3999&gt;=jun!AH$3)),lentry!$D$3:$D$3999),IF(WEEKDAY(jun!AH$3,1)=1,"WO","P"))</f>
        <v>P</v>
      </c>
      <c r="AI51" s="4" t="str">
        <f>IFERROR(LOOKUP(2,1/((lentry!$A$3:$A$3999=jun!$A51)*(lentry!$B$3:$B$3999&lt;=jun!AI$3)*(lentry!$C$3:$C$3999&gt;=jun!AI$3)),lentry!$D$3:$D$3999),IF(WEEKDAY(jun!AI$3,1)=1,"WO","P"))</f>
        <v>P</v>
      </c>
      <c r="AJ51" s="4">
        <f>COUNTIF(jun!$F51:$AI51,"WO")</f>
        <v>4</v>
      </c>
      <c r="AK51" s="4">
        <f>COUNTIF(jun!$F51:$AI51,"H")</f>
        <v>0</v>
      </c>
      <c r="AL51" s="4">
        <f>COUNTIF(jun!$F51:$AI51,"PL")</f>
        <v>0</v>
      </c>
      <c r="AM51" s="4">
        <f>COUNTIF(jun!$F51:$AI51,"LWP")</f>
        <v>0</v>
      </c>
      <c r="AN51" s="4">
        <f>COUNTIF(jun!$F51:$AI51,"HD")</f>
        <v>0</v>
      </c>
      <c r="AO51" s="4">
        <f>COUNTIF(jun!$F51:$AI51,"SL")</f>
        <v>0</v>
      </c>
      <c r="AP51" s="4">
        <f>COUNTIF(jun!$F51:$AI51,"CL")</f>
        <v>0</v>
      </c>
      <c r="AQ51" s="4">
        <f>COUNTIF(jun!$F51:$AI51,"A")</f>
        <v>0</v>
      </c>
      <c r="AR51" s="4">
        <f>COUNTIF(jun!$F51:$AI51,"P")</f>
        <v>26</v>
      </c>
      <c r="AS51" s="4">
        <f t="shared" si="4"/>
        <v>30</v>
      </c>
      <c r="AT51" s="4">
        <f t="shared" si="3"/>
        <v>30</v>
      </c>
      <c r="AU51" s="4">
        <f>SUMIFS(holly!$L$2:$L$122,holly!$I$2:$I$122,mar!$A51,holly!$K$2:$K$122,"Mar")</f>
        <v>3</v>
      </c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</row>
    <row r="52" spans="1:79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IFERROR(LOOKUP(2,1/((lentry!$A$3:$A$3999=jun!$A52)*(lentry!$B$3:$B$3999&lt;=jun!F$3)*(lentry!$C$3:$C$3999&gt;=jun!F$3)),lentry!$D$3:$D$3999),IF(WEEKDAY(jun!F$3,1)=1,"WO","P"))</f>
        <v>P</v>
      </c>
      <c r="G52" s="4" t="str">
        <f>IFERROR(LOOKUP(2,1/((lentry!$A$3:$A$3999=jun!$A52)*(lentry!$B$3:$B$3999&lt;=jun!G$3)*(lentry!$C$3:$C$3999&gt;=jun!G$3)),lentry!$D$3:$D$3999),IF(WEEKDAY(jun!G$3,1)=1,"WO","P"))</f>
        <v>P</v>
      </c>
      <c r="H52" s="4" t="str">
        <f>IFERROR(LOOKUP(2,1/((lentry!$A$3:$A$3999=jun!$A52)*(lentry!$B$3:$B$3999&lt;=jun!H$3)*(lentry!$C$3:$C$3999&gt;=jun!H$3)),lentry!$D$3:$D$3999),IF(WEEKDAY(jun!H$3,1)=1,"WO","P"))</f>
        <v>P</v>
      </c>
      <c r="I52" s="4" t="str">
        <f>IFERROR(LOOKUP(2,1/((lentry!$A$3:$A$3999=jun!$A52)*(lentry!$B$3:$B$3999&lt;=jun!I$3)*(lentry!$C$3:$C$3999&gt;=jun!I$3)),lentry!$D$3:$D$3999),IF(WEEKDAY(jun!I$3,1)=1,"WO","P"))</f>
        <v>P</v>
      </c>
      <c r="J52" s="4" t="str">
        <f>IFERROR(LOOKUP(2,1/((lentry!$A$3:$A$3999=jun!$A52)*(lentry!$B$3:$B$3999&lt;=jun!J$3)*(lentry!$C$3:$C$3999&gt;=jun!J$3)),lentry!$D$3:$D$3999),IF(WEEKDAY(jun!J$3,1)=1,"WO","P"))</f>
        <v>P</v>
      </c>
      <c r="K52" s="4" t="str">
        <f>IFERROR(LOOKUP(2,1/((lentry!$A$3:$A$3999=jun!$A52)*(lentry!$B$3:$B$3999&lt;=jun!K$3)*(lentry!$C$3:$C$3999&gt;=jun!K$3)),lentry!$D$3:$D$3999),IF(WEEKDAY(jun!K$3,1)=1,"WO","P"))</f>
        <v>P</v>
      </c>
      <c r="L52" s="4" t="str">
        <f>IFERROR(LOOKUP(2,1/((lentry!$A$3:$A$3999=jun!$A52)*(lentry!$B$3:$B$3999&lt;=jun!L$3)*(lentry!$C$3:$C$3999&gt;=jun!L$3)),lentry!$D$3:$D$3999),IF(WEEKDAY(jun!L$3,1)=1,"WO","P"))</f>
        <v>WO</v>
      </c>
      <c r="M52" s="4" t="str">
        <f>IFERROR(LOOKUP(2,1/((lentry!$A$3:$A$3999=jun!$A52)*(lentry!$B$3:$B$3999&lt;=jun!M$3)*(lentry!$C$3:$C$3999&gt;=jun!M$3)),lentry!$D$3:$D$3999),IF(WEEKDAY(jun!M$3,1)=1,"WO","P"))</f>
        <v>P</v>
      </c>
      <c r="N52" s="4" t="str">
        <f>IFERROR(LOOKUP(2,1/((lentry!$A$3:$A$3999=jun!$A52)*(lentry!$B$3:$B$3999&lt;=jun!N$3)*(lentry!$C$3:$C$3999&gt;=jun!N$3)),lentry!$D$3:$D$3999),IF(WEEKDAY(jun!N$3,1)=1,"WO","P"))</f>
        <v>P</v>
      </c>
      <c r="O52" s="4" t="str">
        <f>IFERROR(LOOKUP(2,1/((lentry!$A$3:$A$3999=jun!$A52)*(lentry!$B$3:$B$3999&lt;=jun!O$3)*(lentry!$C$3:$C$3999&gt;=jun!O$3)),lentry!$D$3:$D$3999),IF(WEEKDAY(jun!O$3,1)=1,"WO","P"))</f>
        <v>P</v>
      </c>
      <c r="P52" s="4" t="str">
        <f>IFERROR(LOOKUP(2,1/((lentry!$A$3:$A$3999=jun!$A52)*(lentry!$B$3:$B$3999&lt;=jun!P$3)*(lentry!$C$3:$C$3999&gt;=jun!P$3)),lentry!$D$3:$D$3999),IF(WEEKDAY(jun!P$3,1)=1,"WO","P"))</f>
        <v>P</v>
      </c>
      <c r="Q52" s="4" t="str">
        <f>IFERROR(LOOKUP(2,1/((lentry!$A$3:$A$3999=jun!$A52)*(lentry!$B$3:$B$3999&lt;=jun!Q$3)*(lentry!$C$3:$C$3999&gt;=jun!Q$3)),lentry!$D$3:$D$3999),IF(WEEKDAY(jun!Q$3,1)=1,"WO","P"))</f>
        <v>P</v>
      </c>
      <c r="R52" s="4" t="str">
        <f>IFERROR(LOOKUP(2,1/((lentry!$A$3:$A$3999=jun!$A52)*(lentry!$B$3:$B$3999&lt;=jun!R$3)*(lentry!$C$3:$C$3999&gt;=jun!R$3)),lentry!$D$3:$D$3999),IF(WEEKDAY(jun!R$3,1)=1,"WO","P"))</f>
        <v>P</v>
      </c>
      <c r="S52" s="4" t="str">
        <f>IFERROR(LOOKUP(2,1/((lentry!$A$3:$A$3999=jun!$A52)*(lentry!$B$3:$B$3999&lt;=jun!S$3)*(lentry!$C$3:$C$3999&gt;=jun!S$3)),lentry!$D$3:$D$3999),IF(WEEKDAY(jun!S$3,1)=1,"WO","P"))</f>
        <v>WO</v>
      </c>
      <c r="T52" s="4" t="str">
        <f>IFERROR(LOOKUP(2,1/((lentry!$A$3:$A$3999=jun!$A52)*(lentry!$B$3:$B$3999&lt;=jun!T$3)*(lentry!$C$3:$C$3999&gt;=jun!T$3)),lentry!$D$3:$D$3999),IF(WEEKDAY(jun!T$3,1)=1,"WO","P"))</f>
        <v>P</v>
      </c>
      <c r="U52" s="4" t="str">
        <f>IFERROR(LOOKUP(2,1/((lentry!$A$3:$A$3999=jun!$A52)*(lentry!$B$3:$B$3999&lt;=jun!U$3)*(lentry!$C$3:$C$3999&gt;=jun!U$3)),lentry!$D$3:$D$3999),IF(WEEKDAY(jun!U$3,1)=1,"WO","P"))</f>
        <v>P</v>
      </c>
      <c r="V52" s="4" t="str">
        <f>IFERROR(LOOKUP(2,1/((lentry!$A$3:$A$3999=jun!$A52)*(lentry!$B$3:$B$3999&lt;=jun!V$3)*(lentry!$C$3:$C$3999&gt;=jun!V$3)),lentry!$D$3:$D$3999),IF(WEEKDAY(jun!V$3,1)=1,"WO","P"))</f>
        <v>P</v>
      </c>
      <c r="W52" s="4" t="s">
        <v>539</v>
      </c>
      <c r="X52" s="4" t="str">
        <f>IFERROR(LOOKUP(2,1/((lentry!$A$3:$A$3999=jun!$A52)*(lentry!$B$3:$B$3999&lt;=jun!X$3)*(lentry!$C$3:$C$3999&gt;=jun!X$3)),lentry!$D$3:$D$3999),IF(WEEKDAY(jun!X$3,1)=1,"WO","P"))</f>
        <v>P</v>
      </c>
      <c r="Y52" s="4" t="str">
        <f>IFERROR(LOOKUP(2,1/((lentry!$A$3:$A$3999=jun!$A52)*(lentry!$B$3:$B$3999&lt;=jun!Y$3)*(lentry!$C$3:$C$3999&gt;=jun!Y$3)),lentry!$D$3:$D$3999),IF(WEEKDAY(jun!Y$3,1)=1,"WO","P"))</f>
        <v>P</v>
      </c>
      <c r="Z52" s="4" t="str">
        <f>IFERROR(LOOKUP(2,1/((lentry!$A$3:$A$3999=jun!$A52)*(lentry!$B$3:$B$3999&lt;=jun!Z$3)*(lentry!$C$3:$C$3999&gt;=jun!Z$3)),lentry!$D$3:$D$3999),IF(WEEKDAY(jun!Z$3,1)=1,"WO","P"))</f>
        <v>WO</v>
      </c>
      <c r="AA52" s="4" t="str">
        <f>IFERROR(LOOKUP(2,1/((lentry!$A$3:$A$3999=jun!$A52)*(lentry!$B$3:$B$3999&lt;=jun!AA$3)*(lentry!$C$3:$C$3999&gt;=jun!AA$3)),lentry!$D$3:$D$3999),IF(WEEKDAY(jun!AA$3,1)=1,"WO","P"))</f>
        <v>P</v>
      </c>
      <c r="AB52" s="4" t="str">
        <f>IFERROR(LOOKUP(2,1/((lentry!$A$3:$A$3999=jun!$A52)*(lentry!$B$3:$B$3999&lt;=jun!AB$3)*(lentry!$C$3:$C$3999&gt;=jun!AB$3)),lentry!$D$3:$D$3999),IF(WEEKDAY(jun!AB$3,1)=1,"WO","P"))</f>
        <v>P</v>
      </c>
      <c r="AC52" s="4" t="str">
        <f>IFERROR(LOOKUP(2,1/((lentry!$A$3:$A$3999=jun!$A52)*(lentry!$B$3:$B$3999&lt;=jun!AC$3)*(lentry!$C$3:$C$3999&gt;=jun!AC$3)),lentry!$D$3:$D$3999),IF(WEEKDAY(jun!AC$3,1)=1,"WO","P"))</f>
        <v>P</v>
      </c>
      <c r="AD52" s="4" t="str">
        <f>IFERROR(LOOKUP(2,1/((lentry!$A$3:$A$3999=jun!$A52)*(lentry!$B$3:$B$3999&lt;=jun!AD$3)*(lentry!$C$3:$C$3999&gt;=jun!AD$3)),lentry!$D$3:$D$3999),IF(WEEKDAY(jun!AD$3,1)=1,"WO","P"))</f>
        <v>P</v>
      </c>
      <c r="AE52" s="4" t="str">
        <f>IFERROR(LOOKUP(2,1/((lentry!$A$3:$A$3999=jun!$A52)*(lentry!$B$3:$B$3999&lt;=jun!AE$3)*(lentry!$C$3:$C$3999&gt;=jun!AE$3)),lentry!$D$3:$D$3999),IF(WEEKDAY(jun!AE$3,1)=1,"WO","P"))</f>
        <v>P</v>
      </c>
      <c r="AF52" s="4" t="str">
        <f>IFERROR(LOOKUP(2,1/((lentry!$A$3:$A$3999=jun!$A52)*(lentry!$B$3:$B$3999&lt;=jun!AF$3)*(lentry!$C$3:$C$3999&gt;=jun!AF$3)),lentry!$D$3:$D$3999),IF(WEEKDAY(jun!AF$3,1)=1,"WO","P"))</f>
        <v>P</v>
      </c>
      <c r="AG52" s="4" t="str">
        <f>IFERROR(LOOKUP(2,1/((lentry!$A$3:$A$3999=jun!$A52)*(lentry!$B$3:$B$3999&lt;=jun!AG$3)*(lentry!$C$3:$C$3999&gt;=jun!AG$3)),lentry!$D$3:$D$3999),IF(WEEKDAY(jun!AG$3,1)=1,"WO","P"))</f>
        <v>WO</v>
      </c>
      <c r="AH52" s="4" t="str">
        <f>IFERROR(LOOKUP(2,1/((lentry!$A$3:$A$3999=jun!$A52)*(lentry!$B$3:$B$3999&lt;=jun!AH$3)*(lentry!$C$3:$C$3999&gt;=jun!AH$3)),lentry!$D$3:$D$3999),IF(WEEKDAY(jun!AH$3,1)=1,"WO","P"))</f>
        <v>P</v>
      </c>
      <c r="AI52" s="4" t="str">
        <f>IFERROR(LOOKUP(2,1/((lentry!$A$3:$A$3999=jun!$A52)*(lentry!$B$3:$B$3999&lt;=jun!AI$3)*(lentry!$C$3:$C$3999&gt;=jun!AI$3)),lentry!$D$3:$D$3999),IF(WEEKDAY(jun!AI$3,1)=1,"WO","P"))</f>
        <v>P</v>
      </c>
      <c r="AJ52" s="4">
        <f>COUNTIF(jun!$F52:$AI52,"WO")</f>
        <v>4</v>
      </c>
      <c r="AK52" s="4">
        <f>COUNTIF(jun!$F52:$AI52,"H")</f>
        <v>0</v>
      </c>
      <c r="AL52" s="4">
        <f>COUNTIF(jun!$F52:$AI52,"PL")</f>
        <v>0</v>
      </c>
      <c r="AM52" s="4">
        <f>COUNTIF(jun!$F52:$AI52,"LWP")</f>
        <v>0</v>
      </c>
      <c r="AN52" s="4">
        <f>COUNTIF(jun!$F52:$AI52,"HD")</f>
        <v>0</v>
      </c>
      <c r="AO52" s="4">
        <f>COUNTIF(jun!$F52:$AI52,"SL")</f>
        <v>0</v>
      </c>
      <c r="AP52" s="4">
        <f>COUNTIF(jun!$F52:$AI52,"CL")</f>
        <v>0</v>
      </c>
      <c r="AQ52" s="4">
        <f>COUNTIF(jun!$F52:$AI52,"A")</f>
        <v>1</v>
      </c>
      <c r="AR52" s="4">
        <f>COUNTIF(jun!$F52:$AI52,"P")</f>
        <v>25</v>
      </c>
      <c r="AS52" s="4">
        <f t="shared" si="4"/>
        <v>30</v>
      </c>
      <c r="AT52" s="4">
        <f t="shared" si="3"/>
        <v>29</v>
      </c>
      <c r="AU52" s="4">
        <f>SUMIFS(holly!$L$2:$L$122,holly!$I$2:$I$122,mar!$A52,holly!$K$2:$K$122,"Mar")</f>
        <v>0</v>
      </c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</row>
    <row r="53" spans="1:79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IFERROR(LOOKUP(2,1/((lentry!$A$3:$A$3999=jun!$A53)*(lentry!$B$3:$B$3999&lt;=jun!F$3)*(lentry!$C$3:$C$3999&gt;=jun!F$3)),lentry!$D$3:$D$3999),IF(WEEKDAY(jun!F$3,1)=1,"WO","P"))</f>
        <v>P</v>
      </c>
      <c r="G53" s="4" t="str">
        <f>IFERROR(LOOKUP(2,1/((lentry!$A$3:$A$3999=jun!$A53)*(lentry!$B$3:$B$3999&lt;=jun!G$3)*(lentry!$C$3:$C$3999&gt;=jun!G$3)),lentry!$D$3:$D$3999),IF(WEEKDAY(jun!G$3,1)=1,"WO","P"))</f>
        <v>P</v>
      </c>
      <c r="H53" s="4" t="str">
        <f>IFERROR(LOOKUP(2,1/((lentry!$A$3:$A$3999=jun!$A53)*(lentry!$B$3:$B$3999&lt;=jun!H$3)*(lentry!$C$3:$C$3999&gt;=jun!H$3)),lentry!$D$3:$D$3999),IF(WEEKDAY(jun!H$3,1)=1,"WO","P"))</f>
        <v>P</v>
      </c>
      <c r="I53" s="4" t="str">
        <f>IFERROR(LOOKUP(2,1/((lentry!$A$3:$A$3999=jun!$A53)*(lentry!$B$3:$B$3999&lt;=jun!I$3)*(lentry!$C$3:$C$3999&gt;=jun!I$3)),lentry!$D$3:$D$3999),IF(WEEKDAY(jun!I$3,1)=1,"WO","P"))</f>
        <v>P</v>
      </c>
      <c r="J53" s="4" t="str">
        <f>IFERROR(LOOKUP(2,1/((lentry!$A$3:$A$3999=jun!$A53)*(lentry!$B$3:$B$3999&lt;=jun!J$3)*(lentry!$C$3:$C$3999&gt;=jun!J$3)),lentry!$D$3:$D$3999),IF(WEEKDAY(jun!J$3,1)=1,"WO","P"))</f>
        <v>P</v>
      </c>
      <c r="K53" s="4" t="str">
        <f>IFERROR(LOOKUP(2,1/((lentry!$A$3:$A$3999=jun!$A53)*(lentry!$B$3:$B$3999&lt;=jun!K$3)*(lentry!$C$3:$C$3999&gt;=jun!K$3)),lentry!$D$3:$D$3999),IF(WEEKDAY(jun!K$3,1)=1,"WO","P"))</f>
        <v>P</v>
      </c>
      <c r="L53" s="4" t="str">
        <f>IFERROR(LOOKUP(2,1/((lentry!$A$3:$A$3999=jun!$A53)*(lentry!$B$3:$B$3999&lt;=jun!L$3)*(lentry!$C$3:$C$3999&gt;=jun!L$3)),lentry!$D$3:$D$3999),IF(WEEKDAY(jun!L$3,1)=1,"WO","P"))</f>
        <v>WO</v>
      </c>
      <c r="M53" s="4" t="str">
        <f>IFERROR(LOOKUP(2,1/((lentry!$A$3:$A$3999=jun!$A53)*(lentry!$B$3:$B$3999&lt;=jun!M$3)*(lentry!$C$3:$C$3999&gt;=jun!M$3)),lentry!$D$3:$D$3999),IF(WEEKDAY(jun!M$3,1)=1,"WO","P"))</f>
        <v>P</v>
      </c>
      <c r="N53" s="4" t="str">
        <f>IFERROR(LOOKUP(2,1/((lentry!$A$3:$A$3999=jun!$A53)*(lentry!$B$3:$B$3999&lt;=jun!N$3)*(lentry!$C$3:$C$3999&gt;=jun!N$3)),lentry!$D$3:$D$3999),IF(WEEKDAY(jun!N$3,1)=1,"WO","P"))</f>
        <v>P</v>
      </c>
      <c r="O53" s="4" t="str">
        <f>IFERROR(LOOKUP(2,1/((lentry!$A$3:$A$3999=jun!$A53)*(lentry!$B$3:$B$3999&lt;=jun!O$3)*(lentry!$C$3:$C$3999&gt;=jun!O$3)),lentry!$D$3:$D$3999),IF(WEEKDAY(jun!O$3,1)=1,"WO","P"))</f>
        <v>P</v>
      </c>
      <c r="P53" s="4" t="str">
        <f>IFERROR(LOOKUP(2,1/((lentry!$A$3:$A$3999=jun!$A53)*(lentry!$B$3:$B$3999&lt;=jun!P$3)*(lentry!$C$3:$C$3999&gt;=jun!P$3)),lentry!$D$3:$D$3999),IF(WEEKDAY(jun!P$3,1)=1,"WO","P"))</f>
        <v>P</v>
      </c>
      <c r="Q53" s="4" t="str">
        <f>IFERROR(LOOKUP(2,1/((lentry!$A$3:$A$3999=jun!$A53)*(lentry!$B$3:$B$3999&lt;=jun!Q$3)*(lentry!$C$3:$C$3999&gt;=jun!Q$3)),lentry!$D$3:$D$3999),IF(WEEKDAY(jun!Q$3,1)=1,"WO","P"))</f>
        <v>P</v>
      </c>
      <c r="R53" s="4" t="str">
        <f>IFERROR(LOOKUP(2,1/((lentry!$A$3:$A$3999=jun!$A53)*(lentry!$B$3:$B$3999&lt;=jun!R$3)*(lentry!$C$3:$C$3999&gt;=jun!R$3)),lentry!$D$3:$D$3999),IF(WEEKDAY(jun!R$3,1)=1,"WO","P"))</f>
        <v>P</v>
      </c>
      <c r="S53" s="4" t="str">
        <f>IFERROR(LOOKUP(2,1/((lentry!$A$3:$A$3999=jun!$A53)*(lentry!$B$3:$B$3999&lt;=jun!S$3)*(lentry!$C$3:$C$3999&gt;=jun!S$3)),lentry!$D$3:$D$3999),IF(WEEKDAY(jun!S$3,1)=1,"WO","P"))</f>
        <v>WO</v>
      </c>
      <c r="T53" s="4" t="str">
        <f>IFERROR(LOOKUP(2,1/((lentry!$A$3:$A$3999=jun!$A53)*(lentry!$B$3:$B$3999&lt;=jun!T$3)*(lentry!$C$3:$C$3999&gt;=jun!T$3)),lentry!$D$3:$D$3999),IF(WEEKDAY(jun!T$3,1)=1,"WO","P"))</f>
        <v>P</v>
      </c>
      <c r="U53" s="4" t="str">
        <f>IFERROR(LOOKUP(2,1/((lentry!$A$3:$A$3999=jun!$A53)*(lentry!$B$3:$B$3999&lt;=jun!U$3)*(lentry!$C$3:$C$3999&gt;=jun!U$3)),lentry!$D$3:$D$3999),IF(WEEKDAY(jun!U$3,1)=1,"WO","P"))</f>
        <v>P</v>
      </c>
      <c r="V53" s="4" t="str">
        <f>IFERROR(LOOKUP(2,1/((lentry!$A$3:$A$3999=jun!$A53)*(lentry!$B$3:$B$3999&lt;=jun!V$3)*(lentry!$C$3:$C$3999&gt;=jun!V$3)),lentry!$D$3:$D$3999),IF(WEEKDAY(jun!V$3,1)=1,"WO","P"))</f>
        <v>P</v>
      </c>
      <c r="W53" s="4" t="str">
        <f>IFERROR(LOOKUP(2,1/((lentry!$A$3:$A$3999=jun!$A53)*(lentry!$B$3:$B$3999&lt;=jun!W$3)*(lentry!$C$3:$C$3999&gt;=jun!W$3)),lentry!$D$3:$D$3999),IF(WEEKDAY(jun!W$3,1)=1,"WO","P"))</f>
        <v>P</v>
      </c>
      <c r="X53" s="4" t="str">
        <f>IFERROR(LOOKUP(2,1/((lentry!$A$3:$A$3999=jun!$A53)*(lentry!$B$3:$B$3999&lt;=jun!X$3)*(lentry!$C$3:$C$3999&gt;=jun!X$3)),lentry!$D$3:$D$3999),IF(WEEKDAY(jun!X$3,1)=1,"WO","P"))</f>
        <v>P</v>
      </c>
      <c r="Y53" s="4" t="str">
        <f>IFERROR(LOOKUP(2,1/((lentry!$A$3:$A$3999=jun!$A53)*(lentry!$B$3:$B$3999&lt;=jun!Y$3)*(lentry!$C$3:$C$3999&gt;=jun!Y$3)),lentry!$D$3:$D$3999),IF(WEEKDAY(jun!Y$3,1)=1,"WO","P"))</f>
        <v>P</v>
      </c>
      <c r="Z53" s="4" t="str">
        <f>IFERROR(LOOKUP(2,1/((lentry!$A$3:$A$3999=jun!$A53)*(lentry!$B$3:$B$3999&lt;=jun!Z$3)*(lentry!$C$3:$C$3999&gt;=jun!Z$3)),lentry!$D$3:$D$3999),IF(WEEKDAY(jun!Z$3,1)=1,"WO","P"))</f>
        <v>WO</v>
      </c>
      <c r="AA53" s="4" t="str">
        <f>IFERROR(LOOKUP(2,1/((lentry!$A$3:$A$3999=jun!$A53)*(lentry!$B$3:$B$3999&lt;=jun!AA$3)*(lentry!$C$3:$C$3999&gt;=jun!AA$3)),lentry!$D$3:$D$3999),IF(WEEKDAY(jun!AA$3,1)=1,"WO","P"))</f>
        <v>P</v>
      </c>
      <c r="AB53" s="4" t="str">
        <f>IFERROR(LOOKUP(2,1/((lentry!$A$3:$A$3999=jun!$A53)*(lentry!$B$3:$B$3999&lt;=jun!AB$3)*(lentry!$C$3:$C$3999&gt;=jun!AB$3)),lentry!$D$3:$D$3999),IF(WEEKDAY(jun!AB$3,1)=1,"WO","P"))</f>
        <v>P</v>
      </c>
      <c r="AC53" s="4" t="str">
        <f>IFERROR(LOOKUP(2,1/((lentry!$A$3:$A$3999=jun!$A53)*(lentry!$B$3:$B$3999&lt;=jun!AC$3)*(lentry!$C$3:$C$3999&gt;=jun!AC$3)),lentry!$D$3:$D$3999),IF(WEEKDAY(jun!AC$3,1)=1,"WO","P"))</f>
        <v>P</v>
      </c>
      <c r="AD53" s="4" t="str">
        <f>IFERROR(LOOKUP(2,1/((lentry!$A$3:$A$3999=jun!$A53)*(lentry!$B$3:$B$3999&lt;=jun!AD$3)*(lentry!$C$3:$C$3999&gt;=jun!AD$3)),lentry!$D$3:$D$3999),IF(WEEKDAY(jun!AD$3,1)=1,"WO","P"))</f>
        <v>P</v>
      </c>
      <c r="AE53" s="4" t="str">
        <f>IFERROR(LOOKUP(2,1/((lentry!$A$3:$A$3999=jun!$A53)*(lentry!$B$3:$B$3999&lt;=jun!AE$3)*(lentry!$C$3:$C$3999&gt;=jun!AE$3)),lentry!$D$3:$D$3999),IF(WEEKDAY(jun!AE$3,1)=1,"WO","P"))</f>
        <v>P</v>
      </c>
      <c r="AF53" s="4" t="str">
        <f>IFERROR(LOOKUP(2,1/((lentry!$A$3:$A$3999=jun!$A53)*(lentry!$B$3:$B$3999&lt;=jun!AF$3)*(lentry!$C$3:$C$3999&gt;=jun!AF$3)),lentry!$D$3:$D$3999),IF(WEEKDAY(jun!AF$3,1)=1,"WO","P"))</f>
        <v>P</v>
      </c>
      <c r="AG53" s="4" t="str">
        <f>IFERROR(LOOKUP(2,1/((lentry!$A$3:$A$3999=jun!$A53)*(lentry!$B$3:$B$3999&lt;=jun!AG$3)*(lentry!$C$3:$C$3999&gt;=jun!AG$3)),lentry!$D$3:$D$3999),IF(WEEKDAY(jun!AG$3,1)=1,"WO","P"))</f>
        <v>WO</v>
      </c>
      <c r="AH53" s="4" t="str">
        <f>IFERROR(LOOKUP(2,1/((lentry!$A$3:$A$3999=jun!$A53)*(lentry!$B$3:$B$3999&lt;=jun!AH$3)*(lentry!$C$3:$C$3999&gt;=jun!AH$3)),lentry!$D$3:$D$3999),IF(WEEKDAY(jun!AH$3,1)=1,"WO","P"))</f>
        <v>P</v>
      </c>
      <c r="AI53" s="4" t="str">
        <f>IFERROR(LOOKUP(2,1/((lentry!$A$3:$A$3999=jun!$A53)*(lentry!$B$3:$B$3999&lt;=jun!AI$3)*(lentry!$C$3:$C$3999&gt;=jun!AI$3)),lentry!$D$3:$D$3999),IF(WEEKDAY(jun!AI$3,1)=1,"WO","P"))</f>
        <v>P</v>
      </c>
      <c r="AJ53" s="4">
        <f>COUNTIF(jun!$F53:$AI53,"WO")</f>
        <v>4</v>
      </c>
      <c r="AK53" s="4">
        <f>COUNTIF(jun!$F53:$AI53,"H")</f>
        <v>0</v>
      </c>
      <c r="AL53" s="4">
        <f>COUNTIF(jun!$F53:$AI53,"PL")</f>
        <v>0</v>
      </c>
      <c r="AM53" s="4">
        <f>COUNTIF(jun!$F53:$AI53,"LWP")</f>
        <v>0</v>
      </c>
      <c r="AN53" s="4">
        <f>COUNTIF(jun!$F53:$AI53,"HD")</f>
        <v>0</v>
      </c>
      <c r="AO53" s="4">
        <f>COUNTIF(jun!$F53:$AI53,"SL")</f>
        <v>0</v>
      </c>
      <c r="AP53" s="4">
        <f>COUNTIF(jun!$F53:$AI53,"CL")</f>
        <v>0</v>
      </c>
      <c r="AQ53" s="4">
        <f>COUNTIF(jun!$F53:$AI53,"A")</f>
        <v>0</v>
      </c>
      <c r="AR53" s="4">
        <f>COUNTIF(jun!$F53:$AI53,"P")</f>
        <v>26</v>
      </c>
      <c r="AS53" s="4">
        <f t="shared" si="4"/>
        <v>30</v>
      </c>
      <c r="AT53" s="4">
        <f t="shared" si="3"/>
        <v>30</v>
      </c>
      <c r="AU53" s="4">
        <f>SUMIFS(holly!$L$2:$L$122,holly!$I$2:$I$122,mar!$A53,holly!$K$2:$K$122,"Mar")</f>
        <v>0</v>
      </c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</row>
    <row r="54" spans="1:79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IFERROR(LOOKUP(2,1/((lentry!$A$3:$A$3999=jun!$A54)*(lentry!$B$3:$B$3999&lt;=jun!F$3)*(lentry!$C$3:$C$3999&gt;=jun!F$3)),lentry!$D$3:$D$3999),IF(WEEKDAY(jun!F$3,1)=1,"WO","P"))</f>
        <v>P</v>
      </c>
      <c r="G54" s="4" t="str">
        <f>IFERROR(LOOKUP(2,1/((lentry!$A$3:$A$3999=jun!$A54)*(lentry!$B$3:$B$3999&lt;=jun!G$3)*(lentry!$C$3:$C$3999&gt;=jun!G$3)),lentry!$D$3:$D$3999),IF(WEEKDAY(jun!G$3,1)=1,"WO","P"))</f>
        <v>P</v>
      </c>
      <c r="H54" s="4" t="str">
        <f>IFERROR(LOOKUP(2,1/((lentry!$A$3:$A$3999=jun!$A54)*(lentry!$B$3:$B$3999&lt;=jun!H$3)*(lentry!$C$3:$C$3999&gt;=jun!H$3)),lentry!$D$3:$D$3999),IF(WEEKDAY(jun!H$3,1)=1,"WO","P"))</f>
        <v>P</v>
      </c>
      <c r="I54" s="4" t="str">
        <f>IFERROR(LOOKUP(2,1/((lentry!$A$3:$A$3999=jun!$A54)*(lentry!$B$3:$B$3999&lt;=jun!I$3)*(lentry!$C$3:$C$3999&gt;=jun!I$3)),lentry!$D$3:$D$3999),IF(WEEKDAY(jun!I$3,1)=1,"WO","P"))</f>
        <v>P</v>
      </c>
      <c r="J54" s="4" t="str">
        <f>IFERROR(LOOKUP(2,1/((lentry!$A$3:$A$3999=jun!$A54)*(lentry!$B$3:$B$3999&lt;=jun!J$3)*(lentry!$C$3:$C$3999&gt;=jun!J$3)),lentry!$D$3:$D$3999),IF(WEEKDAY(jun!J$3,1)=1,"WO","P"))</f>
        <v>P</v>
      </c>
      <c r="K54" s="4" t="str">
        <f>IFERROR(LOOKUP(2,1/((lentry!$A$3:$A$3999=jun!$A54)*(lentry!$B$3:$B$3999&lt;=jun!K$3)*(lentry!$C$3:$C$3999&gt;=jun!K$3)),lentry!$D$3:$D$3999),IF(WEEKDAY(jun!K$3,1)=1,"WO","P"))</f>
        <v>P</v>
      </c>
      <c r="L54" s="4" t="str">
        <f>IFERROR(LOOKUP(2,1/((lentry!$A$3:$A$3999=jun!$A54)*(lentry!$B$3:$B$3999&lt;=jun!L$3)*(lentry!$C$3:$C$3999&gt;=jun!L$3)),lentry!$D$3:$D$3999),IF(WEEKDAY(jun!L$3,1)=1,"WO","P"))</f>
        <v>WO</v>
      </c>
      <c r="M54" s="4" t="str">
        <f>IFERROR(LOOKUP(2,1/((lentry!$A$3:$A$3999=jun!$A54)*(lentry!$B$3:$B$3999&lt;=jun!M$3)*(lentry!$C$3:$C$3999&gt;=jun!M$3)),lentry!$D$3:$D$3999),IF(WEEKDAY(jun!M$3,1)=1,"WO","P"))</f>
        <v>P</v>
      </c>
      <c r="N54" s="4" t="str">
        <f>IFERROR(LOOKUP(2,1/((lentry!$A$3:$A$3999=jun!$A54)*(lentry!$B$3:$B$3999&lt;=jun!N$3)*(lentry!$C$3:$C$3999&gt;=jun!N$3)),lentry!$D$3:$D$3999),IF(WEEKDAY(jun!N$3,1)=1,"WO","P"))</f>
        <v>P</v>
      </c>
      <c r="O54" s="4" t="str">
        <f>IFERROR(LOOKUP(2,1/((lentry!$A$3:$A$3999=jun!$A54)*(lentry!$B$3:$B$3999&lt;=jun!O$3)*(lentry!$C$3:$C$3999&gt;=jun!O$3)),lentry!$D$3:$D$3999),IF(WEEKDAY(jun!O$3,1)=1,"WO","P"))</f>
        <v>P</v>
      </c>
      <c r="P54" s="4" t="str">
        <f>IFERROR(LOOKUP(2,1/((lentry!$A$3:$A$3999=jun!$A54)*(lentry!$B$3:$B$3999&lt;=jun!P$3)*(lentry!$C$3:$C$3999&gt;=jun!P$3)),lentry!$D$3:$D$3999),IF(WEEKDAY(jun!P$3,1)=1,"WO","P"))</f>
        <v>P</v>
      </c>
      <c r="Q54" s="4" t="str">
        <f>IFERROR(LOOKUP(2,1/((lentry!$A$3:$A$3999=jun!$A54)*(lentry!$B$3:$B$3999&lt;=jun!Q$3)*(lentry!$C$3:$C$3999&gt;=jun!Q$3)),lentry!$D$3:$D$3999),IF(WEEKDAY(jun!Q$3,1)=1,"WO","P"))</f>
        <v>P</v>
      </c>
      <c r="R54" s="4" t="str">
        <f>IFERROR(LOOKUP(2,1/((lentry!$A$3:$A$3999=jun!$A54)*(lentry!$B$3:$B$3999&lt;=jun!R$3)*(lentry!$C$3:$C$3999&gt;=jun!R$3)),lentry!$D$3:$D$3999),IF(WEEKDAY(jun!R$3,1)=1,"WO","P"))</f>
        <v>P</v>
      </c>
      <c r="S54" s="4" t="str">
        <f>IFERROR(LOOKUP(2,1/((lentry!$A$3:$A$3999=jun!$A54)*(lentry!$B$3:$B$3999&lt;=jun!S$3)*(lentry!$C$3:$C$3999&gt;=jun!S$3)),lentry!$D$3:$D$3999),IF(WEEKDAY(jun!S$3,1)=1,"WO","P"))</f>
        <v>WO</v>
      </c>
      <c r="T54" s="4" t="str">
        <f>IFERROR(LOOKUP(2,1/((lentry!$A$3:$A$3999=jun!$A54)*(lentry!$B$3:$B$3999&lt;=jun!T$3)*(lentry!$C$3:$C$3999&gt;=jun!T$3)),lentry!$D$3:$D$3999),IF(WEEKDAY(jun!T$3,1)=1,"WO","P"))</f>
        <v>P</v>
      </c>
      <c r="U54" s="4" t="str">
        <f>IFERROR(LOOKUP(2,1/((lentry!$A$3:$A$3999=jun!$A54)*(lentry!$B$3:$B$3999&lt;=jun!U$3)*(lentry!$C$3:$C$3999&gt;=jun!U$3)),lentry!$D$3:$D$3999),IF(WEEKDAY(jun!U$3,1)=1,"WO","P"))</f>
        <v>P</v>
      </c>
      <c r="V54" s="4" t="str">
        <f>IFERROR(LOOKUP(2,1/((lentry!$A$3:$A$3999=jun!$A54)*(lentry!$B$3:$B$3999&lt;=jun!V$3)*(lentry!$C$3:$C$3999&gt;=jun!V$3)),lentry!$D$3:$D$3999),IF(WEEKDAY(jun!V$3,1)=1,"WO","P"))</f>
        <v>P</v>
      </c>
      <c r="W54" s="4" t="str">
        <f>IFERROR(LOOKUP(2,1/((lentry!$A$3:$A$3999=jun!$A54)*(lentry!$B$3:$B$3999&lt;=jun!W$3)*(lentry!$C$3:$C$3999&gt;=jun!W$3)),lentry!$D$3:$D$3999),IF(WEEKDAY(jun!W$3,1)=1,"WO","P"))</f>
        <v>P</v>
      </c>
      <c r="X54" s="4" t="str">
        <f>IFERROR(LOOKUP(2,1/((lentry!$A$3:$A$3999=jun!$A54)*(lentry!$B$3:$B$3999&lt;=jun!X$3)*(lentry!$C$3:$C$3999&gt;=jun!X$3)),lentry!$D$3:$D$3999),IF(WEEKDAY(jun!X$3,1)=1,"WO","P"))</f>
        <v>P</v>
      </c>
      <c r="Y54" s="4" t="str">
        <f>IFERROR(LOOKUP(2,1/((lentry!$A$3:$A$3999=jun!$A54)*(lentry!$B$3:$B$3999&lt;=jun!Y$3)*(lentry!$C$3:$C$3999&gt;=jun!Y$3)),lentry!$D$3:$D$3999),IF(WEEKDAY(jun!Y$3,1)=1,"WO","P"))</f>
        <v>P</v>
      </c>
      <c r="Z54" s="4" t="str">
        <f>IFERROR(LOOKUP(2,1/((lentry!$A$3:$A$3999=jun!$A54)*(lentry!$B$3:$B$3999&lt;=jun!Z$3)*(lentry!$C$3:$C$3999&gt;=jun!Z$3)),lentry!$D$3:$D$3999),IF(WEEKDAY(jun!Z$3,1)=1,"WO","P"))</f>
        <v>WO</v>
      </c>
      <c r="AA54" s="4" t="str">
        <f>IFERROR(LOOKUP(2,1/((lentry!$A$3:$A$3999=jun!$A54)*(lentry!$B$3:$B$3999&lt;=jun!AA$3)*(lentry!$C$3:$C$3999&gt;=jun!AA$3)),lentry!$D$3:$D$3999),IF(WEEKDAY(jun!AA$3,1)=1,"WO","P"))</f>
        <v>P</v>
      </c>
      <c r="AB54" s="4" t="str">
        <f>IFERROR(LOOKUP(2,1/((lentry!$A$3:$A$3999=jun!$A54)*(lentry!$B$3:$B$3999&lt;=jun!AB$3)*(lentry!$C$3:$C$3999&gt;=jun!AB$3)),lentry!$D$3:$D$3999),IF(WEEKDAY(jun!AB$3,1)=1,"WO","P"))</f>
        <v>P</v>
      </c>
      <c r="AC54" s="4" t="str">
        <f>IFERROR(LOOKUP(2,1/((lentry!$A$3:$A$3999=jun!$A54)*(lentry!$B$3:$B$3999&lt;=jun!AC$3)*(lentry!$C$3:$C$3999&gt;=jun!AC$3)),lentry!$D$3:$D$3999),IF(WEEKDAY(jun!AC$3,1)=1,"WO","P"))</f>
        <v>P</v>
      </c>
      <c r="AD54" s="4" t="str">
        <f>IFERROR(LOOKUP(2,1/((lentry!$A$3:$A$3999=jun!$A54)*(lentry!$B$3:$B$3999&lt;=jun!AD$3)*(lentry!$C$3:$C$3999&gt;=jun!AD$3)),lentry!$D$3:$D$3999),IF(WEEKDAY(jun!AD$3,1)=1,"WO","P"))</f>
        <v>P</v>
      </c>
      <c r="AE54" s="4" t="str">
        <f>IFERROR(LOOKUP(2,1/((lentry!$A$3:$A$3999=jun!$A54)*(lentry!$B$3:$B$3999&lt;=jun!AE$3)*(lentry!$C$3:$C$3999&gt;=jun!AE$3)),lentry!$D$3:$D$3999),IF(WEEKDAY(jun!AE$3,1)=1,"WO","P"))</f>
        <v>P</v>
      </c>
      <c r="AF54" s="4" t="str">
        <f>IFERROR(LOOKUP(2,1/((lentry!$A$3:$A$3999=jun!$A54)*(lentry!$B$3:$B$3999&lt;=jun!AF$3)*(lentry!$C$3:$C$3999&gt;=jun!AF$3)),lentry!$D$3:$D$3999),IF(WEEKDAY(jun!AF$3,1)=1,"WO","P"))</f>
        <v>P</v>
      </c>
      <c r="AG54" s="4" t="str">
        <f>IFERROR(LOOKUP(2,1/((lentry!$A$3:$A$3999=jun!$A54)*(lentry!$B$3:$B$3999&lt;=jun!AG$3)*(lentry!$C$3:$C$3999&gt;=jun!AG$3)),lentry!$D$3:$D$3999),IF(WEEKDAY(jun!AG$3,1)=1,"WO","P"))</f>
        <v>WO</v>
      </c>
      <c r="AH54" s="4" t="str">
        <f>IFERROR(LOOKUP(2,1/((lentry!$A$3:$A$3999=jun!$A54)*(lentry!$B$3:$B$3999&lt;=jun!AH$3)*(lentry!$C$3:$C$3999&gt;=jun!AH$3)),lentry!$D$3:$D$3999),IF(WEEKDAY(jun!AH$3,1)=1,"WO","P"))</f>
        <v>P</v>
      </c>
      <c r="AI54" s="4" t="str">
        <f>IFERROR(LOOKUP(2,1/((lentry!$A$3:$A$3999=jun!$A54)*(lentry!$B$3:$B$3999&lt;=jun!AI$3)*(lentry!$C$3:$C$3999&gt;=jun!AI$3)),lentry!$D$3:$D$3999),IF(WEEKDAY(jun!AI$3,1)=1,"WO","P"))</f>
        <v>P</v>
      </c>
      <c r="AJ54" s="4">
        <f>COUNTIF(jun!$F54:$AI54,"WO")</f>
        <v>4</v>
      </c>
      <c r="AK54" s="4">
        <f>COUNTIF(jun!$F54:$AI54,"H")</f>
        <v>0</v>
      </c>
      <c r="AL54" s="4">
        <f>COUNTIF(jun!$F54:$AI54,"PL")</f>
        <v>0</v>
      </c>
      <c r="AM54" s="4">
        <f>COUNTIF(jun!$F54:$AI54,"LWP")</f>
        <v>0</v>
      </c>
      <c r="AN54" s="4">
        <f>COUNTIF(jun!$F54:$AI54,"HD")</f>
        <v>0</v>
      </c>
      <c r="AO54" s="4">
        <f>COUNTIF(jun!$F54:$AI54,"SL")</f>
        <v>0</v>
      </c>
      <c r="AP54" s="4">
        <f>COUNTIF(jun!$F54:$AI54,"CL")</f>
        <v>0</v>
      </c>
      <c r="AQ54" s="4">
        <f>COUNTIF(jun!$F54:$AI54,"A")</f>
        <v>0</v>
      </c>
      <c r="AR54" s="4">
        <f>COUNTIF(jun!$F54:$AI54,"P")</f>
        <v>26</v>
      </c>
      <c r="AS54" s="4">
        <f t="shared" si="4"/>
        <v>30</v>
      </c>
      <c r="AT54" s="4">
        <f t="shared" si="3"/>
        <v>30</v>
      </c>
      <c r="AU54" s="4">
        <f>SUMIFS(holly!$L$2:$L$122,holly!$I$2:$I$122,mar!$A54,holly!$K$2:$K$122,"Mar")</f>
        <v>0</v>
      </c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</row>
  </sheetData>
  <mergeCells count="23">
    <mergeCell ref="A1:AU1"/>
    <mergeCell ref="A2:K2"/>
    <mergeCell ref="L2:O2"/>
    <mergeCell ref="P2:AA2"/>
    <mergeCell ref="AB2:AE2"/>
    <mergeCell ref="AF2:AU2"/>
    <mergeCell ref="AP3:AP4"/>
    <mergeCell ref="A3:A4"/>
    <mergeCell ref="B3:B4"/>
    <mergeCell ref="C3:C4"/>
    <mergeCell ref="D3:D4"/>
    <mergeCell ref="E3:E4"/>
    <mergeCell ref="AJ3:AJ4"/>
    <mergeCell ref="AK3:AK4"/>
    <mergeCell ref="AL3:AL4"/>
    <mergeCell ref="AM3:AM4"/>
    <mergeCell ref="AN3:AN4"/>
    <mergeCell ref="AO3:AO4"/>
    <mergeCell ref="AQ3:AQ4"/>
    <mergeCell ref="AR3:AR4"/>
    <mergeCell ref="AS3:AS4"/>
    <mergeCell ref="AT3:AT4"/>
    <mergeCell ref="AU3:AU4"/>
  </mergeCells>
  <conditionalFormatting sqref="F5:AI54">
    <cfRule type="cellIs" dxfId="66" priority="4" operator="equal">
      <formula>"HD"</formula>
    </cfRule>
    <cfRule type="cellIs" dxfId="65" priority="5" operator="equal">
      <formula>"LWP"</formula>
    </cfRule>
    <cfRule type="cellIs" dxfId="64" priority="6" operator="equal">
      <formula>"PL"</formula>
    </cfRule>
    <cfRule type="cellIs" dxfId="63" priority="7" operator="equal">
      <formula>"H"</formula>
    </cfRule>
    <cfRule type="cellIs" dxfId="62" priority="8" operator="equal">
      <formula>"A"</formula>
    </cfRule>
    <cfRule type="cellIs" dxfId="61" priority="9" operator="equal">
      <formula>"P"</formula>
    </cfRule>
    <cfRule type="expression" dxfId="60" priority="10">
      <formula>F$4="Sun"</formula>
    </cfRule>
  </conditionalFormatting>
  <conditionalFormatting sqref="AU5:AU54">
    <cfRule type="cellIs" dxfId="59" priority="3" operator="greaterThan">
      <formula>0</formula>
    </cfRule>
  </conditionalFormatting>
  <conditionalFormatting sqref="AV5:BZ54">
    <cfRule type="cellIs" dxfId="58" priority="1" operator="equal">
      <formula>"A"</formula>
    </cfRule>
  </conditionalFormatting>
  <conditionalFormatting sqref="AW4:CA4">
    <cfRule type="cellIs" dxfId="57" priority="2" operator="equal">
      <formula>"A"</formula>
    </cfRule>
  </conditionalFormatting>
  <dataValidations count="1">
    <dataValidation type="list" allowBlank="1" showInputMessage="1" showErrorMessage="1" sqref="F5:AI54" xr:uid="{379421C9-A7F8-4C03-BAA7-0D66BE3E1B9C}">
      <formula1>"A,P,WO,H,PL,LWP,HD"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AB33A-AFDD-4E4A-9589-F8656079B44D}">
  <sheetPr codeName="Sheet12"/>
  <dimension ref="A1:CB54"/>
  <sheetViews>
    <sheetView zoomScale="130" zoomScaleNormal="130" workbookViewId="0">
      <pane xSplit="1" topLeftCell="B1" activePane="topRight" state="frozen"/>
      <selection pane="topRight" activeCell="AI31" sqref="AI31"/>
    </sheetView>
  </sheetViews>
  <sheetFormatPr defaultRowHeight="15" x14ac:dyDescent="0.25"/>
  <cols>
    <col min="1" max="1" width="10.140625" bestFit="1" customWidth="1"/>
    <col min="2" max="2" width="17.28515625" customWidth="1"/>
    <col min="3" max="3" width="10.42578125" customWidth="1"/>
    <col min="4" max="4" width="13.28515625" customWidth="1"/>
    <col min="5" max="5" width="21.42578125" customWidth="1"/>
    <col min="6" max="11" width="4.7109375" bestFit="1" customWidth="1"/>
    <col min="12" max="12" width="5.140625" bestFit="1" customWidth="1"/>
    <col min="13" max="36" width="4.7109375" bestFit="1" customWidth="1"/>
    <col min="37" max="39" width="5.140625" customWidth="1"/>
    <col min="40" max="40" width="4.140625" customWidth="1"/>
    <col min="41" max="48" width="5.140625" customWidth="1"/>
    <col min="49" max="49" width="7.85546875" bestFit="1" customWidth="1"/>
    <col min="50" max="50" width="3.140625" bestFit="1" customWidth="1"/>
    <col min="51" max="53" width="2.42578125" bestFit="1" customWidth="1"/>
    <col min="54" max="54" width="4.42578125" bestFit="1" customWidth="1"/>
    <col min="55" max="57" width="2.42578125" bestFit="1" customWidth="1"/>
    <col min="58" max="58" width="3.140625" bestFit="1" customWidth="1"/>
    <col min="59" max="60" width="3.28515625" bestFit="1" customWidth="1"/>
    <col min="61" max="61" width="4.42578125" bestFit="1" customWidth="1"/>
    <col min="62" max="67" width="3.28515625" bestFit="1" customWidth="1"/>
    <col min="68" max="68" width="4.42578125" bestFit="1" customWidth="1"/>
    <col min="69" max="74" width="3.28515625" bestFit="1" customWidth="1"/>
    <col min="75" max="75" width="4.42578125" bestFit="1" customWidth="1"/>
    <col min="76" max="80" width="3.28515625" bestFit="1" customWidth="1"/>
  </cols>
  <sheetData>
    <row r="1" spans="1:80" ht="51" x14ac:dyDescent="0.25">
      <c r="A1" s="79" t="s">
        <v>336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80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Jul</v>
      </c>
      <c r="M2" s="67"/>
      <c r="N2" s="67"/>
      <c r="O2" s="67"/>
      <c r="P2" s="80">
        <f>DATE(2026,7,1)</f>
        <v>46204</v>
      </c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71" t="s">
        <v>337</v>
      </c>
      <c r="AC2" s="71"/>
      <c r="AD2" s="71"/>
      <c r="AE2" s="71"/>
      <c r="AF2" s="80">
        <f>EOMONTH(P2,0)</f>
        <v>46234</v>
      </c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</row>
    <row r="3" spans="1:80" ht="18.75" x14ac:dyDescent="0.25">
      <c r="A3" s="77" t="s">
        <v>338</v>
      </c>
      <c r="B3" s="77" t="s">
        <v>339</v>
      </c>
      <c r="C3" s="77" t="s">
        <v>1</v>
      </c>
      <c r="D3" s="77" t="s">
        <v>340</v>
      </c>
      <c r="E3" s="77" t="s">
        <v>341</v>
      </c>
      <c r="F3" s="7">
        <f>P2</f>
        <v>46204</v>
      </c>
      <c r="G3" s="7">
        <f>IF(F3&lt;$AF$2,F3+1,"")</f>
        <v>46205</v>
      </c>
      <c r="H3" s="7">
        <f t="shared" ref="H3:AJ3" si="0">IF(G3&lt;$AF$2,G3+1,"")</f>
        <v>46206</v>
      </c>
      <c r="I3" s="7">
        <f t="shared" si="0"/>
        <v>46207</v>
      </c>
      <c r="J3" s="7">
        <f t="shared" si="0"/>
        <v>46208</v>
      </c>
      <c r="K3" s="7">
        <f t="shared" si="0"/>
        <v>46209</v>
      </c>
      <c r="L3" s="7">
        <f t="shared" si="0"/>
        <v>46210</v>
      </c>
      <c r="M3" s="7">
        <f t="shared" si="0"/>
        <v>46211</v>
      </c>
      <c r="N3" s="7">
        <f t="shared" si="0"/>
        <v>46212</v>
      </c>
      <c r="O3" s="7">
        <f t="shared" si="0"/>
        <v>46213</v>
      </c>
      <c r="P3" s="7">
        <f t="shared" si="0"/>
        <v>46214</v>
      </c>
      <c r="Q3" s="7">
        <f t="shared" si="0"/>
        <v>46215</v>
      </c>
      <c r="R3" s="7">
        <f t="shared" si="0"/>
        <v>46216</v>
      </c>
      <c r="S3" s="7">
        <f t="shared" si="0"/>
        <v>46217</v>
      </c>
      <c r="T3" s="7">
        <f t="shared" si="0"/>
        <v>46218</v>
      </c>
      <c r="U3" s="7">
        <f t="shared" si="0"/>
        <v>46219</v>
      </c>
      <c r="V3" s="7">
        <f t="shared" si="0"/>
        <v>46220</v>
      </c>
      <c r="W3" s="7">
        <f t="shared" si="0"/>
        <v>46221</v>
      </c>
      <c r="X3" s="7">
        <f t="shared" si="0"/>
        <v>46222</v>
      </c>
      <c r="Y3" s="7">
        <f t="shared" si="0"/>
        <v>46223</v>
      </c>
      <c r="Z3" s="7">
        <f t="shared" si="0"/>
        <v>46224</v>
      </c>
      <c r="AA3" s="7">
        <f t="shared" si="0"/>
        <v>46225</v>
      </c>
      <c r="AB3" s="7">
        <f t="shared" si="0"/>
        <v>46226</v>
      </c>
      <c r="AC3" s="7">
        <f t="shared" si="0"/>
        <v>46227</v>
      </c>
      <c r="AD3" s="7">
        <f t="shared" si="0"/>
        <v>46228</v>
      </c>
      <c r="AE3" s="7">
        <f t="shared" si="0"/>
        <v>46229</v>
      </c>
      <c r="AF3" s="7">
        <f t="shared" si="0"/>
        <v>46230</v>
      </c>
      <c r="AG3" s="7">
        <f t="shared" si="0"/>
        <v>46231</v>
      </c>
      <c r="AH3" s="7">
        <f t="shared" si="0"/>
        <v>46232</v>
      </c>
      <c r="AI3" s="7">
        <f t="shared" si="0"/>
        <v>46233</v>
      </c>
      <c r="AJ3" s="7">
        <f t="shared" si="0"/>
        <v>46234</v>
      </c>
      <c r="AK3" s="76" t="s">
        <v>342</v>
      </c>
      <c r="AL3" s="76" t="s">
        <v>343</v>
      </c>
      <c r="AM3" s="76" t="s">
        <v>344</v>
      </c>
      <c r="AN3" s="78" t="s">
        <v>84</v>
      </c>
      <c r="AO3" s="76" t="s">
        <v>345</v>
      </c>
      <c r="AP3" s="76" t="s">
        <v>351</v>
      </c>
      <c r="AQ3" s="76" t="s">
        <v>352</v>
      </c>
      <c r="AR3" s="76" t="s">
        <v>346</v>
      </c>
      <c r="AS3" s="76" t="s">
        <v>347</v>
      </c>
      <c r="AT3" s="76" t="s">
        <v>348</v>
      </c>
      <c r="AU3" s="76" t="s">
        <v>349</v>
      </c>
      <c r="AV3" s="76" t="s">
        <v>353</v>
      </c>
    </row>
    <row r="4" spans="1:80" ht="78" customHeight="1" x14ac:dyDescent="0.25">
      <c r="A4" s="77"/>
      <c r="B4" s="77"/>
      <c r="C4" s="77"/>
      <c r="D4" s="77"/>
      <c r="E4" s="77"/>
      <c r="F4" s="8" t="str">
        <f>TEXT(F3,"ddd")</f>
        <v>Wed</v>
      </c>
      <c r="G4" s="8" t="str">
        <f t="shared" ref="G4:AJ4" si="1">TEXT(G3,"ddd")</f>
        <v>Thu</v>
      </c>
      <c r="H4" s="8" t="str">
        <f t="shared" si="1"/>
        <v>Fri</v>
      </c>
      <c r="I4" s="8" t="str">
        <f t="shared" si="1"/>
        <v>Sat</v>
      </c>
      <c r="J4" s="8" t="str">
        <f t="shared" si="1"/>
        <v>Sun</v>
      </c>
      <c r="K4" s="8" t="str">
        <f t="shared" si="1"/>
        <v>Mon</v>
      </c>
      <c r="L4" s="8" t="str">
        <f t="shared" si="1"/>
        <v>Tue</v>
      </c>
      <c r="M4" s="8" t="str">
        <f t="shared" si="1"/>
        <v>Wed</v>
      </c>
      <c r="N4" s="8" t="str">
        <f t="shared" si="1"/>
        <v>Thu</v>
      </c>
      <c r="O4" s="8" t="str">
        <f t="shared" si="1"/>
        <v>Fri</v>
      </c>
      <c r="P4" s="8" t="str">
        <f t="shared" si="1"/>
        <v>Sat</v>
      </c>
      <c r="Q4" s="8" t="str">
        <f t="shared" si="1"/>
        <v>Sun</v>
      </c>
      <c r="R4" s="8" t="str">
        <f t="shared" si="1"/>
        <v>Mon</v>
      </c>
      <c r="S4" s="8" t="str">
        <f t="shared" si="1"/>
        <v>Tue</v>
      </c>
      <c r="T4" s="8" t="str">
        <f t="shared" si="1"/>
        <v>Wed</v>
      </c>
      <c r="U4" s="8" t="str">
        <f t="shared" si="1"/>
        <v>Thu</v>
      </c>
      <c r="V4" s="8" t="str">
        <f t="shared" si="1"/>
        <v>Fri</v>
      </c>
      <c r="W4" s="8" t="str">
        <f t="shared" si="1"/>
        <v>Sat</v>
      </c>
      <c r="X4" s="8" t="str">
        <f t="shared" si="1"/>
        <v>Sun</v>
      </c>
      <c r="Y4" s="8" t="str">
        <f t="shared" si="1"/>
        <v>Mon</v>
      </c>
      <c r="Z4" s="8" t="str">
        <f t="shared" si="1"/>
        <v>Tue</v>
      </c>
      <c r="AA4" s="8" t="str">
        <f t="shared" si="1"/>
        <v>Wed</v>
      </c>
      <c r="AB4" s="8" t="str">
        <f t="shared" si="1"/>
        <v>Thu</v>
      </c>
      <c r="AC4" s="8" t="str">
        <f t="shared" si="1"/>
        <v>Fri</v>
      </c>
      <c r="AD4" s="8" t="str">
        <f t="shared" si="1"/>
        <v>Sat</v>
      </c>
      <c r="AE4" s="8" t="str">
        <f t="shared" si="1"/>
        <v>Sun</v>
      </c>
      <c r="AF4" s="8" t="str">
        <f t="shared" si="1"/>
        <v>Mon</v>
      </c>
      <c r="AG4" s="8" t="str">
        <f t="shared" si="1"/>
        <v>Tue</v>
      </c>
      <c r="AH4" s="8" t="str">
        <f t="shared" si="1"/>
        <v>Wed</v>
      </c>
      <c r="AI4" s="8" t="str">
        <f t="shared" si="1"/>
        <v>Thu</v>
      </c>
      <c r="AJ4" s="8" t="str">
        <f t="shared" si="1"/>
        <v>Fri</v>
      </c>
      <c r="AK4" s="76"/>
      <c r="AL4" s="76"/>
      <c r="AM4" s="76"/>
      <c r="AN4" s="78"/>
      <c r="AO4" s="76"/>
      <c r="AP4" s="76"/>
      <c r="AQ4" s="76"/>
      <c r="AR4" s="76"/>
      <c r="AS4" s="76"/>
      <c r="AT4" s="76"/>
      <c r="AU4" s="76"/>
      <c r="AV4" s="76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</row>
    <row r="5" spans="1:80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IFERROR(LOOKUP(2,1/((lentry!$A$3:$A$3999=jul!$A5)*(lentry!$B$3:$B$3999&lt;=jul!F$3)*(lentry!$C$3:$C$3999&gt;=jul!F$3)),lentry!$D$3:$D$3999),IF(WEEKDAY(jul!F$3,1)=1,"WO","P"))</f>
        <v>PL</v>
      </c>
      <c r="G5" s="4" t="str">
        <f>IFERROR(LOOKUP(2,1/((lentry!$A$3:$A$3999=jul!$A5)*(lentry!$B$3:$B$3999&lt;=jul!G$3)*(lentry!$C$3:$C$3999&gt;=jul!G$3)),lentry!$D$3:$D$3999),IF(WEEKDAY(jul!G$3,1)=1,"WO","P"))</f>
        <v>P</v>
      </c>
      <c r="H5" s="4" t="str">
        <f>IFERROR(LOOKUP(2,1/((lentry!$A$3:$A$3999=jul!$A5)*(lentry!$B$3:$B$3999&lt;=jul!H$3)*(lentry!$C$3:$C$3999&gt;=jul!H$3)),lentry!$D$3:$D$3999),IF(WEEKDAY(jul!H$3,1)=1,"WO","P"))</f>
        <v>P</v>
      </c>
      <c r="I5" s="4" t="str">
        <f>IFERROR(LOOKUP(2,1/((lentry!$A$3:$A$3999=jul!$A5)*(lentry!$B$3:$B$3999&lt;=jul!I$3)*(lentry!$C$3:$C$3999&gt;=jul!I$3)),lentry!$D$3:$D$3999),IF(WEEKDAY(jul!I$3,1)=1,"WO","P"))</f>
        <v>P</v>
      </c>
      <c r="J5" s="4" t="str">
        <f>IFERROR(LOOKUP(2,1/((lentry!$A$3:$A$3999=jul!$A5)*(lentry!$B$3:$B$3999&lt;=jul!J$3)*(lentry!$C$3:$C$3999&gt;=jul!J$3)),lentry!$D$3:$D$3999),IF(WEEKDAY(jul!J$3,1)=1,"WO","P"))</f>
        <v>WO</v>
      </c>
      <c r="K5" s="4" t="str">
        <f>IFERROR(LOOKUP(2,1/((lentry!$A$3:$A$3999=jul!$A5)*(lentry!$B$3:$B$3999&lt;=jul!K$3)*(lentry!$C$3:$C$3999&gt;=jul!K$3)),lentry!$D$3:$D$3999),IF(WEEKDAY(jul!K$3,1)=1,"WO","P"))</f>
        <v>P</v>
      </c>
      <c r="L5" s="4" t="str">
        <f>IFERROR(LOOKUP(2,1/((lentry!$A$3:$A$3999=jul!$A5)*(lentry!$B$3:$B$3999&lt;=jul!L$3)*(lentry!$C$3:$C$3999&gt;=jul!L$3)),lentry!$D$3:$D$3999),IF(WEEKDAY(jul!L$3,1)=1,"WO","P"))</f>
        <v>P</v>
      </c>
      <c r="M5" s="4" t="str">
        <f>IFERROR(LOOKUP(2,1/((lentry!$A$3:$A$3999=jul!$A5)*(lentry!$B$3:$B$3999&lt;=jul!M$3)*(lentry!$C$3:$C$3999&gt;=jul!M$3)),lentry!$D$3:$D$3999),IF(WEEKDAY(jul!M$3,1)=1,"WO","P"))</f>
        <v>P</v>
      </c>
      <c r="N5" s="4" t="str">
        <f>IFERROR(LOOKUP(2,1/((lentry!$A$3:$A$3999=jul!$A5)*(lentry!$B$3:$B$3999&lt;=jul!N$3)*(lentry!$C$3:$C$3999&gt;=jul!N$3)),lentry!$D$3:$D$3999),IF(WEEKDAY(jul!N$3,1)=1,"WO","P"))</f>
        <v>P</v>
      </c>
      <c r="O5" s="4" t="str">
        <f>IFERROR(LOOKUP(2,1/((lentry!$A$3:$A$3999=jul!$A5)*(lentry!$B$3:$B$3999&lt;=jul!O$3)*(lentry!$C$3:$C$3999&gt;=jul!O$3)),lentry!$D$3:$D$3999),IF(WEEKDAY(jul!O$3,1)=1,"WO","P"))</f>
        <v>P</v>
      </c>
      <c r="P5" s="4" t="str">
        <f>IFERROR(LOOKUP(2,1/((lentry!$A$3:$A$3999=jul!$A5)*(lentry!$B$3:$B$3999&lt;=jul!P$3)*(lentry!$C$3:$C$3999&gt;=jul!P$3)),lentry!$D$3:$D$3999),IF(WEEKDAY(jul!P$3,1)=1,"WO","P"))</f>
        <v>P</v>
      </c>
      <c r="Q5" s="4" t="str">
        <f>IFERROR(LOOKUP(2,1/((lentry!$A$3:$A$3999=jul!$A5)*(lentry!$B$3:$B$3999&lt;=jul!Q$3)*(lentry!$C$3:$C$3999&gt;=jul!Q$3)),lentry!$D$3:$D$3999),IF(WEEKDAY(jul!Q$3,1)=1,"WO","P"))</f>
        <v>WO</v>
      </c>
      <c r="R5" s="4" t="str">
        <f>IFERROR(LOOKUP(2,1/((lentry!$A$3:$A$3999=jul!$A5)*(lentry!$B$3:$B$3999&lt;=jul!R$3)*(lentry!$C$3:$C$3999&gt;=jul!R$3)),lentry!$D$3:$D$3999),IF(WEEKDAY(jul!R$3,1)=1,"WO","P"))</f>
        <v>P</v>
      </c>
      <c r="S5" s="4" t="str">
        <f>IFERROR(LOOKUP(2,1/((lentry!$A$3:$A$3999=jul!$A5)*(lentry!$B$3:$B$3999&lt;=jul!S$3)*(lentry!$C$3:$C$3999&gt;=jul!S$3)),lentry!$D$3:$D$3999),IF(WEEKDAY(jul!S$3,1)=1,"WO","P"))</f>
        <v>P</v>
      </c>
      <c r="T5" s="4" t="str">
        <f>IFERROR(LOOKUP(2,1/((lentry!$A$3:$A$3999=jul!$A5)*(lentry!$B$3:$B$3999&lt;=jul!T$3)*(lentry!$C$3:$C$3999&gt;=jul!T$3)),lentry!$D$3:$D$3999),IF(WEEKDAY(jul!T$3,1)=1,"WO","P"))</f>
        <v>P</v>
      </c>
      <c r="U5" s="4" t="str">
        <f>IFERROR(LOOKUP(2,1/((lentry!$A$3:$A$3999=jul!$A5)*(lentry!$B$3:$B$3999&lt;=jul!U$3)*(lentry!$C$3:$C$3999&gt;=jul!U$3)),lentry!$D$3:$D$3999),IF(WEEKDAY(jul!U$3,1)=1,"WO","P"))</f>
        <v>P</v>
      </c>
      <c r="V5" s="4" t="str">
        <f>IFERROR(LOOKUP(2,1/((lentry!$A$3:$A$3999=jul!$A5)*(lentry!$B$3:$B$3999&lt;=jul!V$3)*(lentry!$C$3:$C$3999&gt;=jul!V$3)),lentry!$D$3:$D$3999),IF(WEEKDAY(jul!V$3,1)=1,"WO","P"))</f>
        <v>P</v>
      </c>
      <c r="W5" s="4" t="str">
        <f>IFERROR(LOOKUP(2,1/((lentry!$A$3:$A$3999=jul!$A5)*(lentry!$B$3:$B$3999&lt;=jul!W$3)*(lentry!$C$3:$C$3999&gt;=jul!W$3)),lentry!$D$3:$D$3999),IF(WEEKDAY(jul!W$3,1)=1,"WO","P"))</f>
        <v>P</v>
      </c>
      <c r="X5" s="4" t="str">
        <f>IFERROR(LOOKUP(2,1/((lentry!$A$3:$A$3999=jul!$A5)*(lentry!$B$3:$B$3999&lt;=jul!X$3)*(lentry!$C$3:$C$3999&gt;=jul!X$3)),lentry!$D$3:$D$3999),IF(WEEKDAY(jul!X$3,1)=1,"WO","P"))</f>
        <v>WO</v>
      </c>
      <c r="Y5" s="4" t="str">
        <f>IFERROR(LOOKUP(2,1/((lentry!$A$3:$A$3999=jul!$A5)*(lentry!$B$3:$B$3999&lt;=jul!Y$3)*(lentry!$C$3:$C$3999&gt;=jul!Y$3)),lentry!$D$3:$D$3999),IF(WEEKDAY(jul!Y$3,1)=1,"WO","P"))</f>
        <v>P</v>
      </c>
      <c r="Z5" s="4" t="str">
        <f>IFERROR(LOOKUP(2,1/((lentry!$A$3:$A$3999=jul!$A5)*(lentry!$B$3:$B$3999&lt;=jul!Z$3)*(lentry!$C$3:$C$3999&gt;=jul!Z$3)),lentry!$D$3:$D$3999),IF(WEEKDAY(jul!Z$3,1)=1,"WO","P"))</f>
        <v>P</v>
      </c>
      <c r="AA5" s="4" t="str">
        <f>IFERROR(LOOKUP(2,1/((lentry!$A$3:$A$3999=jul!$A5)*(lentry!$B$3:$B$3999&lt;=jul!AA$3)*(lentry!$C$3:$C$3999&gt;=jul!AA$3)),lentry!$D$3:$D$3999),IF(WEEKDAY(jul!AA$3,1)=1,"WO","P"))</f>
        <v>P</v>
      </c>
      <c r="AB5" s="4" t="str">
        <f>IFERROR(LOOKUP(2,1/((lentry!$A$3:$A$3999=jul!$A5)*(lentry!$B$3:$B$3999&lt;=jul!AB$3)*(lentry!$C$3:$C$3999&gt;=jul!AB$3)),lentry!$D$3:$D$3999),IF(WEEKDAY(jul!AB$3,1)=1,"WO","P"))</f>
        <v>P</v>
      </c>
      <c r="AC5" s="4" t="str">
        <f>IFERROR(LOOKUP(2,1/((lentry!$A$3:$A$3999=jul!$A5)*(lentry!$B$3:$B$3999&lt;=jul!AC$3)*(lentry!$C$3:$C$3999&gt;=jul!AC$3)),lentry!$D$3:$D$3999),IF(WEEKDAY(jul!AC$3,1)=1,"WO","P"))</f>
        <v>P</v>
      </c>
      <c r="AD5" s="4" t="str">
        <f>IFERROR(LOOKUP(2,1/((lentry!$A$3:$A$3999=jul!$A5)*(lentry!$B$3:$B$3999&lt;=jul!AD$3)*(lentry!$C$3:$C$3999&gt;=jul!AD$3)),lentry!$D$3:$D$3999),IF(WEEKDAY(jul!AD$3,1)=1,"WO","P"))</f>
        <v>P</v>
      </c>
      <c r="AE5" s="4" t="str">
        <f>IFERROR(LOOKUP(2,1/((lentry!$A$3:$A$3999=jul!$A5)*(lentry!$B$3:$B$3999&lt;=jul!AE$3)*(lentry!$C$3:$C$3999&gt;=jul!AE$3)),lentry!$D$3:$D$3999),IF(WEEKDAY(jul!AE$3,1)=1,"WO","P"))</f>
        <v>WO</v>
      </c>
      <c r="AF5" s="4" t="str">
        <f>IFERROR(LOOKUP(2,1/((lentry!$A$3:$A$3999=jul!$A5)*(lentry!$B$3:$B$3999&lt;=jul!AF$3)*(lentry!$C$3:$C$3999&gt;=jul!AF$3)),lentry!$D$3:$D$3999),IF(WEEKDAY(jul!AF$3,1)=1,"WO","P"))</f>
        <v>P</v>
      </c>
      <c r="AG5" s="4" t="str">
        <f>IFERROR(LOOKUP(2,1/((lentry!$A$3:$A$3999=jul!$A5)*(lentry!$B$3:$B$3999&lt;=jul!AG$3)*(lentry!$C$3:$C$3999&gt;=jul!AG$3)),lentry!$D$3:$D$3999),IF(WEEKDAY(jul!AG$3,1)=1,"WO","P"))</f>
        <v>P</v>
      </c>
      <c r="AH5" s="4" t="str">
        <f>IFERROR(LOOKUP(2,1/((lentry!$A$3:$A$3999=jul!$A5)*(lentry!$B$3:$B$3999&lt;=jul!AH$3)*(lentry!$C$3:$C$3999&gt;=jul!AH$3)),lentry!$D$3:$D$3999),IF(WEEKDAY(jul!AH$3,1)=1,"WO","P"))</f>
        <v>P</v>
      </c>
      <c r="AI5" s="4" t="str">
        <f>IFERROR(LOOKUP(2,1/((lentry!$A$3:$A$3999=jul!$A5)*(lentry!$B$3:$B$3999&lt;=jul!AI$3)*(lentry!$C$3:$C$3999&gt;=jul!AI$3)),lentry!$D$3:$D$3999),IF(WEEKDAY(jul!AI$3,1)=1,"WO","P"))</f>
        <v>P</v>
      </c>
      <c r="AJ5" s="4" t="str">
        <f>IFERROR(LOOKUP(2,1/((lentry!$A$3:$A$3999=jul!$A5)*(lentry!$B$3:$B$3999&lt;=jul!AJ$3)*(lentry!$C$3:$C$3999&gt;=jul!AJ$3)),lentry!$D$3:$D$3999),IF(WEEKDAY(jul!AJ$3,1)=1,"WO","P"))</f>
        <v>P</v>
      </c>
      <c r="AK5" s="4">
        <f>COUNTIF(jul!$F5:$AJ5,"WO")</f>
        <v>4</v>
      </c>
      <c r="AL5" s="4">
        <f>COUNTIF(jul!$F5:$AJ5,"H")</f>
        <v>0</v>
      </c>
      <c r="AM5" s="4">
        <f>COUNTIF(jul!$F5:$AJ5,"pl")</f>
        <v>1</v>
      </c>
      <c r="AN5" s="4">
        <f>COUNTIF(jul!$F5:$AJ5,"LWP")</f>
        <v>0</v>
      </c>
      <c r="AO5" s="4">
        <f>COUNTIF(jul!$F5:$AJ5,"HD")</f>
        <v>0</v>
      </c>
      <c r="AP5" s="4">
        <f>COUNTIF(jul!$F5:$AJ5,"SL")</f>
        <v>0</v>
      </c>
      <c r="AQ5" s="4">
        <f>COUNTIF(jul!$F5:$AJ5,"CL")</f>
        <v>0</v>
      </c>
      <c r="AR5" s="4">
        <f>COUNTIF(jul!$F5:$AJ5,"A")</f>
        <v>0</v>
      </c>
      <c r="AS5" s="4">
        <f>COUNTIF(jul!$F5:$AJ5,"P")</f>
        <v>26</v>
      </c>
      <c r="AT5" s="4">
        <f>COUNTA($F5:$AJ5)</f>
        <v>31</v>
      </c>
      <c r="AU5" s="4">
        <f>AK5+AL5+AM5+AP5+AQ5+AS5+(AO5/2)</f>
        <v>31</v>
      </c>
      <c r="AV5" s="4">
        <f>SUMIFS(holly!$L$2:$L$122,holly!$I$2:$I$122,mar!$A5,holly!$K$2:$K$122,"Mar")</f>
        <v>0</v>
      </c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</row>
    <row r="6" spans="1:80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IFERROR(LOOKUP(2,1/((lentry!$A$3:$A$3999=jul!$A6)*(lentry!$B$3:$B$3999&lt;=jul!F$3)*(lentry!$C$3:$C$3999&gt;=jul!F$3)),lentry!$D$3:$D$3999),IF(WEEKDAY(jul!F$3,1)=1,"WO","P"))</f>
        <v>P</v>
      </c>
      <c r="G6" s="4" t="str">
        <f>IFERROR(LOOKUP(2,1/((lentry!$A$3:$A$3999=jul!$A6)*(lentry!$B$3:$B$3999&lt;=jul!G$3)*(lentry!$C$3:$C$3999&gt;=jul!G$3)),lentry!$D$3:$D$3999),IF(WEEKDAY(jul!G$3,1)=1,"WO","P"))</f>
        <v>P</v>
      </c>
      <c r="H6" s="4" t="s">
        <v>539</v>
      </c>
      <c r="I6" s="4" t="str">
        <f>IFERROR(LOOKUP(2,1/((lentry!$A$3:$A$3999=jul!$A6)*(lentry!$B$3:$B$3999&lt;=jul!I$3)*(lentry!$C$3:$C$3999&gt;=jul!I$3)),lentry!$D$3:$D$3999),IF(WEEKDAY(jul!I$3,1)=1,"WO","P"))</f>
        <v>P</v>
      </c>
      <c r="J6" s="4" t="str">
        <f>IFERROR(LOOKUP(2,1/((lentry!$A$3:$A$3999=jul!$A6)*(lentry!$B$3:$B$3999&lt;=jul!J$3)*(lentry!$C$3:$C$3999&gt;=jul!J$3)),lentry!$D$3:$D$3999),IF(WEEKDAY(jul!J$3,1)=1,"WO","P"))</f>
        <v>WO</v>
      </c>
      <c r="K6" s="4" t="str">
        <f>IFERROR(LOOKUP(2,1/((lentry!$A$3:$A$3999=jul!$A6)*(lentry!$B$3:$B$3999&lt;=jul!K$3)*(lentry!$C$3:$C$3999&gt;=jul!K$3)),lentry!$D$3:$D$3999),IF(WEEKDAY(jul!K$3,1)=1,"WO","P"))</f>
        <v>P</v>
      </c>
      <c r="L6" s="4" t="str">
        <f>IFERROR(LOOKUP(2,1/((lentry!$A$3:$A$3999=jul!$A6)*(lentry!$B$3:$B$3999&lt;=jul!L$3)*(lentry!$C$3:$C$3999&gt;=jul!L$3)),lentry!$D$3:$D$3999),IF(WEEKDAY(jul!L$3,1)=1,"WO","P"))</f>
        <v>P</v>
      </c>
      <c r="M6" s="4" t="str">
        <f>IFERROR(LOOKUP(2,1/((lentry!$A$3:$A$3999=jul!$A6)*(lentry!$B$3:$B$3999&lt;=jul!M$3)*(lentry!$C$3:$C$3999&gt;=jul!M$3)),lentry!$D$3:$D$3999),IF(WEEKDAY(jul!M$3,1)=1,"WO","P"))</f>
        <v>P</v>
      </c>
      <c r="N6" s="4" t="str">
        <f>IFERROR(LOOKUP(2,1/((lentry!$A$3:$A$3999=jul!$A6)*(lentry!$B$3:$B$3999&lt;=jul!N$3)*(lentry!$C$3:$C$3999&gt;=jul!N$3)),lentry!$D$3:$D$3999),IF(WEEKDAY(jul!N$3,1)=1,"WO","P"))</f>
        <v>P</v>
      </c>
      <c r="O6" s="4" t="str">
        <f>IFERROR(LOOKUP(2,1/((lentry!$A$3:$A$3999=jul!$A6)*(lentry!$B$3:$B$3999&lt;=jul!O$3)*(lentry!$C$3:$C$3999&gt;=jul!O$3)),lentry!$D$3:$D$3999),IF(WEEKDAY(jul!O$3,1)=1,"WO","P"))</f>
        <v>P</v>
      </c>
      <c r="P6" s="4" t="str">
        <f>IFERROR(LOOKUP(2,1/((lentry!$A$3:$A$3999=jul!$A6)*(lentry!$B$3:$B$3999&lt;=jul!P$3)*(lentry!$C$3:$C$3999&gt;=jul!P$3)),lentry!$D$3:$D$3999),IF(WEEKDAY(jul!P$3,1)=1,"WO","P"))</f>
        <v>P</v>
      </c>
      <c r="Q6" s="4" t="str">
        <f>IFERROR(LOOKUP(2,1/((lentry!$A$3:$A$3999=jul!$A6)*(lentry!$B$3:$B$3999&lt;=jul!Q$3)*(lentry!$C$3:$C$3999&gt;=jul!Q$3)),lentry!$D$3:$D$3999),IF(WEEKDAY(jul!Q$3,1)=1,"WO","P"))</f>
        <v>WO</v>
      </c>
      <c r="R6" s="4" t="str">
        <f>IFERROR(LOOKUP(2,1/((lentry!$A$3:$A$3999=jul!$A6)*(lentry!$B$3:$B$3999&lt;=jul!R$3)*(lentry!$C$3:$C$3999&gt;=jul!R$3)),lentry!$D$3:$D$3999),IF(WEEKDAY(jul!R$3,1)=1,"WO","P"))</f>
        <v>P</v>
      </c>
      <c r="S6" s="4" t="str">
        <f>IFERROR(LOOKUP(2,1/((lentry!$A$3:$A$3999=jul!$A6)*(lentry!$B$3:$B$3999&lt;=jul!S$3)*(lentry!$C$3:$C$3999&gt;=jul!S$3)),lentry!$D$3:$D$3999),IF(WEEKDAY(jul!S$3,1)=1,"WO","P"))</f>
        <v>P</v>
      </c>
      <c r="T6" s="4" t="str">
        <f>IFERROR(LOOKUP(2,1/((lentry!$A$3:$A$3999=jul!$A6)*(lentry!$B$3:$B$3999&lt;=jul!T$3)*(lentry!$C$3:$C$3999&gt;=jul!T$3)),lentry!$D$3:$D$3999),IF(WEEKDAY(jul!T$3,1)=1,"WO","P"))</f>
        <v>P</v>
      </c>
      <c r="U6" s="4" t="str">
        <f>IFERROR(LOOKUP(2,1/((lentry!$A$3:$A$3999=jul!$A6)*(lentry!$B$3:$B$3999&lt;=jul!U$3)*(lentry!$C$3:$C$3999&gt;=jul!U$3)),lentry!$D$3:$D$3999),IF(WEEKDAY(jul!U$3,1)=1,"WO","P"))</f>
        <v>P</v>
      </c>
      <c r="V6" s="4" t="s">
        <v>539</v>
      </c>
      <c r="W6" s="4" t="str">
        <f>IFERROR(LOOKUP(2,1/((lentry!$A$3:$A$3999=jul!$A6)*(lentry!$B$3:$B$3999&lt;=jul!W$3)*(lentry!$C$3:$C$3999&gt;=jul!W$3)),lentry!$D$3:$D$3999),IF(WEEKDAY(jul!W$3,1)=1,"WO","P"))</f>
        <v>P</v>
      </c>
      <c r="X6" s="4" t="str">
        <f>IFERROR(LOOKUP(2,1/((lentry!$A$3:$A$3999=jul!$A6)*(lentry!$B$3:$B$3999&lt;=jul!X$3)*(lentry!$C$3:$C$3999&gt;=jul!X$3)),lentry!$D$3:$D$3999),IF(WEEKDAY(jul!X$3,1)=1,"WO","P"))</f>
        <v>WO</v>
      </c>
      <c r="Y6" s="4" t="str">
        <f>IFERROR(LOOKUP(2,1/((lentry!$A$3:$A$3999=jul!$A6)*(lentry!$B$3:$B$3999&lt;=jul!Y$3)*(lentry!$C$3:$C$3999&gt;=jul!Y$3)),lentry!$D$3:$D$3999),IF(WEEKDAY(jul!Y$3,1)=1,"WO","P"))</f>
        <v>P</v>
      </c>
      <c r="Z6" s="4" t="str">
        <f>IFERROR(LOOKUP(2,1/((lentry!$A$3:$A$3999=jul!$A6)*(lentry!$B$3:$B$3999&lt;=jul!Z$3)*(lentry!$C$3:$C$3999&gt;=jul!Z$3)),lentry!$D$3:$D$3999),IF(WEEKDAY(jul!Z$3,1)=1,"WO","P"))</f>
        <v>P</v>
      </c>
      <c r="AA6" s="4" t="str">
        <f>IFERROR(LOOKUP(2,1/((lentry!$A$3:$A$3999=jul!$A6)*(lentry!$B$3:$B$3999&lt;=jul!AA$3)*(lentry!$C$3:$C$3999&gt;=jul!AA$3)),lentry!$D$3:$D$3999),IF(WEEKDAY(jul!AA$3,1)=1,"WO","P"))</f>
        <v>P</v>
      </c>
      <c r="AB6" s="4" t="str">
        <f>IFERROR(LOOKUP(2,1/((lentry!$A$3:$A$3999=jul!$A6)*(lentry!$B$3:$B$3999&lt;=jul!AB$3)*(lentry!$C$3:$C$3999&gt;=jul!AB$3)),lentry!$D$3:$D$3999),IF(WEEKDAY(jul!AB$3,1)=1,"WO","P"))</f>
        <v>P</v>
      </c>
      <c r="AC6" s="4" t="str">
        <f>IFERROR(LOOKUP(2,1/((lentry!$A$3:$A$3999=jul!$A6)*(lentry!$B$3:$B$3999&lt;=jul!AC$3)*(lentry!$C$3:$C$3999&gt;=jul!AC$3)),lentry!$D$3:$D$3999),IF(WEEKDAY(jul!AC$3,1)=1,"WO","P"))</f>
        <v>P</v>
      </c>
      <c r="AD6" s="4" t="str">
        <f>IFERROR(LOOKUP(2,1/((lentry!$A$3:$A$3999=jul!$A6)*(lentry!$B$3:$B$3999&lt;=jul!AD$3)*(lentry!$C$3:$C$3999&gt;=jul!AD$3)),lentry!$D$3:$D$3999),IF(WEEKDAY(jul!AD$3,1)=1,"WO","P"))</f>
        <v>P</v>
      </c>
      <c r="AE6" s="4" t="str">
        <f>IFERROR(LOOKUP(2,1/((lentry!$A$3:$A$3999=jul!$A6)*(lentry!$B$3:$B$3999&lt;=jul!AE$3)*(lentry!$C$3:$C$3999&gt;=jul!AE$3)),lentry!$D$3:$D$3999),IF(WEEKDAY(jul!AE$3,1)=1,"WO","P"))</f>
        <v>WO</v>
      </c>
      <c r="AF6" s="4" t="str">
        <f>IFERROR(LOOKUP(2,1/((lentry!$A$3:$A$3999=jul!$A6)*(lentry!$B$3:$B$3999&lt;=jul!AF$3)*(lentry!$C$3:$C$3999&gt;=jul!AF$3)),lentry!$D$3:$D$3999),IF(WEEKDAY(jul!AF$3,1)=1,"WO","P"))</f>
        <v>P</v>
      </c>
      <c r="AG6" s="4" t="str">
        <f>IFERROR(LOOKUP(2,1/((lentry!$A$3:$A$3999=jul!$A6)*(lentry!$B$3:$B$3999&lt;=jul!AG$3)*(lentry!$C$3:$C$3999&gt;=jul!AG$3)),lentry!$D$3:$D$3999),IF(WEEKDAY(jul!AG$3,1)=1,"WO","P"))</f>
        <v>P</v>
      </c>
      <c r="AH6" s="4" t="str">
        <f>IFERROR(LOOKUP(2,1/((lentry!$A$3:$A$3999=jul!$A6)*(lentry!$B$3:$B$3999&lt;=jul!AH$3)*(lentry!$C$3:$C$3999&gt;=jul!AH$3)),lentry!$D$3:$D$3999),IF(WEEKDAY(jul!AH$3,1)=1,"WO","P"))</f>
        <v>P</v>
      </c>
      <c r="AI6" s="4" t="str">
        <f>IFERROR(LOOKUP(2,1/((lentry!$A$3:$A$3999=jul!$A6)*(lentry!$B$3:$B$3999&lt;=jul!AI$3)*(lentry!$C$3:$C$3999&gt;=jul!AI$3)),lentry!$D$3:$D$3999),IF(WEEKDAY(jul!AI$3,1)=1,"WO","P"))</f>
        <v>P</v>
      </c>
      <c r="AJ6" s="4" t="str">
        <f>IFERROR(LOOKUP(2,1/((lentry!$A$3:$A$3999=jul!$A6)*(lentry!$B$3:$B$3999&lt;=jul!AJ$3)*(lentry!$C$3:$C$3999&gt;=jul!AJ$3)),lentry!$D$3:$D$3999),IF(WEEKDAY(jul!AJ$3,1)=1,"WO","P"))</f>
        <v>P</v>
      </c>
      <c r="AK6" s="4">
        <f>COUNTIF(jul!$F6:$AJ6,"WO")</f>
        <v>4</v>
      </c>
      <c r="AL6" s="4">
        <f>COUNTIF(jul!$F6:$AJ6,"H")</f>
        <v>0</v>
      </c>
      <c r="AM6" s="4">
        <f>COUNTIF(jul!$F6:$AJ6,"pl")</f>
        <v>0</v>
      </c>
      <c r="AN6" s="4">
        <f>COUNTIF(jul!$F6:$AJ6,"LWP")</f>
        <v>0</v>
      </c>
      <c r="AO6" s="4">
        <f>COUNTIF(jul!$F6:$AJ6,"HD")</f>
        <v>0</v>
      </c>
      <c r="AP6" s="4">
        <f>COUNTIF(jul!$F6:$AJ6,"SL")</f>
        <v>0</v>
      </c>
      <c r="AQ6" s="4">
        <f>COUNTIF(jul!$F6:$AJ6,"CL")</f>
        <v>0</v>
      </c>
      <c r="AR6" s="4">
        <f>COUNTIF(jul!$F6:$AJ6,"A")</f>
        <v>2</v>
      </c>
      <c r="AS6" s="4">
        <f>COUNTIF(jul!$F6:$AJ6,"P")</f>
        <v>25</v>
      </c>
      <c r="AT6" s="4">
        <f t="shared" ref="AT6:AT54" si="2">COUNTA($F6:$AJ6)</f>
        <v>31</v>
      </c>
      <c r="AU6" s="4">
        <f t="shared" ref="AU6:AU54" si="3">AK6+AL6+AM6+AP6+AQ6+AS6+(AO6/2)</f>
        <v>29</v>
      </c>
      <c r="AV6" s="4">
        <f>SUMIFS(holly!$L$2:$L$122,holly!$I$2:$I$122,mar!$A6,holly!$K$2:$K$122,"Mar")</f>
        <v>0</v>
      </c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</row>
    <row r="7" spans="1:80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IFERROR(LOOKUP(2,1/((lentry!$A$3:$A$3999=jul!$A7)*(lentry!$B$3:$B$3999&lt;=jul!F$3)*(lentry!$C$3:$C$3999&gt;=jul!F$3)),lentry!$D$3:$D$3999),IF(WEEKDAY(jul!F$3,1)=1,"WO","P"))</f>
        <v>P</v>
      </c>
      <c r="G7" s="4" t="str">
        <f>IFERROR(LOOKUP(2,1/((lentry!$A$3:$A$3999=jul!$A7)*(lentry!$B$3:$B$3999&lt;=jul!G$3)*(lentry!$C$3:$C$3999&gt;=jul!G$3)),lentry!$D$3:$D$3999),IF(WEEKDAY(jul!G$3,1)=1,"WO","P"))</f>
        <v>P</v>
      </c>
      <c r="H7" s="4" t="str">
        <f>IFERROR(LOOKUP(2,1/((lentry!$A$3:$A$3999=jul!$A7)*(lentry!$B$3:$B$3999&lt;=jul!H$3)*(lentry!$C$3:$C$3999&gt;=jul!H$3)),lentry!$D$3:$D$3999),IF(WEEKDAY(jul!H$3,1)=1,"WO","P"))</f>
        <v>P</v>
      </c>
      <c r="I7" s="4" t="str">
        <f>IFERROR(LOOKUP(2,1/((lentry!$A$3:$A$3999=jul!$A7)*(lentry!$B$3:$B$3999&lt;=jul!I$3)*(lentry!$C$3:$C$3999&gt;=jul!I$3)),lentry!$D$3:$D$3999),IF(WEEKDAY(jul!I$3,1)=1,"WO","P"))</f>
        <v>P</v>
      </c>
      <c r="J7" s="4" t="str">
        <f>IFERROR(LOOKUP(2,1/((lentry!$A$3:$A$3999=jul!$A7)*(lentry!$B$3:$B$3999&lt;=jul!J$3)*(lentry!$C$3:$C$3999&gt;=jul!J$3)),lentry!$D$3:$D$3999),IF(WEEKDAY(jul!J$3,1)=1,"WO","P"))</f>
        <v>WO</v>
      </c>
      <c r="K7" s="4" t="str">
        <f>IFERROR(LOOKUP(2,1/((lentry!$A$3:$A$3999=jul!$A7)*(lentry!$B$3:$B$3999&lt;=jul!K$3)*(lentry!$C$3:$C$3999&gt;=jul!K$3)),lentry!$D$3:$D$3999),IF(WEEKDAY(jul!K$3,1)=1,"WO","P"))</f>
        <v>P</v>
      </c>
      <c r="L7" s="4" t="str">
        <f>IFERROR(LOOKUP(2,1/((lentry!$A$3:$A$3999=jul!$A7)*(lentry!$B$3:$B$3999&lt;=jul!L$3)*(lentry!$C$3:$C$3999&gt;=jul!L$3)),lentry!$D$3:$D$3999),IF(WEEKDAY(jul!L$3,1)=1,"WO","P"))</f>
        <v>P</v>
      </c>
      <c r="M7" s="4" t="str">
        <f>IFERROR(LOOKUP(2,1/((lentry!$A$3:$A$3999=jul!$A7)*(lentry!$B$3:$B$3999&lt;=jul!M$3)*(lentry!$C$3:$C$3999&gt;=jul!M$3)),lentry!$D$3:$D$3999),IF(WEEKDAY(jul!M$3,1)=1,"WO","P"))</f>
        <v>P</v>
      </c>
      <c r="N7" s="4" t="str">
        <f>IFERROR(LOOKUP(2,1/((lentry!$A$3:$A$3999=jul!$A7)*(lentry!$B$3:$B$3999&lt;=jul!N$3)*(lentry!$C$3:$C$3999&gt;=jul!N$3)),lentry!$D$3:$D$3999),IF(WEEKDAY(jul!N$3,1)=1,"WO","P"))</f>
        <v>CL</v>
      </c>
      <c r="O7" s="4" t="str">
        <f>IFERROR(LOOKUP(2,1/((lentry!$A$3:$A$3999=jul!$A7)*(lentry!$B$3:$B$3999&lt;=jul!O$3)*(lentry!$C$3:$C$3999&gt;=jul!O$3)),lentry!$D$3:$D$3999),IF(WEEKDAY(jul!O$3,1)=1,"WO","P"))</f>
        <v>CL</v>
      </c>
      <c r="P7" s="4" t="str">
        <f>IFERROR(LOOKUP(2,1/((lentry!$A$3:$A$3999=jul!$A7)*(lentry!$B$3:$B$3999&lt;=jul!P$3)*(lentry!$C$3:$C$3999&gt;=jul!P$3)),lentry!$D$3:$D$3999),IF(WEEKDAY(jul!P$3,1)=1,"WO","P"))</f>
        <v>P</v>
      </c>
      <c r="Q7" s="4" t="str">
        <f>IFERROR(LOOKUP(2,1/((lentry!$A$3:$A$3999=jul!$A7)*(lentry!$B$3:$B$3999&lt;=jul!Q$3)*(lentry!$C$3:$C$3999&gt;=jul!Q$3)),lentry!$D$3:$D$3999),IF(WEEKDAY(jul!Q$3,1)=1,"WO","P"))</f>
        <v>WO</v>
      </c>
      <c r="R7" s="4" t="str">
        <f>IFERROR(LOOKUP(2,1/((lentry!$A$3:$A$3999=jul!$A7)*(lentry!$B$3:$B$3999&lt;=jul!R$3)*(lentry!$C$3:$C$3999&gt;=jul!R$3)),lentry!$D$3:$D$3999),IF(WEEKDAY(jul!R$3,1)=1,"WO","P"))</f>
        <v>P</v>
      </c>
      <c r="S7" s="4" t="str">
        <f>IFERROR(LOOKUP(2,1/((lentry!$A$3:$A$3999=jul!$A7)*(lentry!$B$3:$B$3999&lt;=jul!S$3)*(lentry!$C$3:$C$3999&gt;=jul!S$3)),lentry!$D$3:$D$3999),IF(WEEKDAY(jul!S$3,1)=1,"WO","P"))</f>
        <v>P</v>
      </c>
      <c r="T7" s="4" t="str">
        <f>IFERROR(LOOKUP(2,1/((lentry!$A$3:$A$3999=jul!$A7)*(lentry!$B$3:$B$3999&lt;=jul!T$3)*(lentry!$C$3:$C$3999&gt;=jul!T$3)),lentry!$D$3:$D$3999),IF(WEEKDAY(jul!T$3,1)=1,"WO","P"))</f>
        <v>P</v>
      </c>
      <c r="U7" s="4" t="str">
        <f>IFERROR(LOOKUP(2,1/((lentry!$A$3:$A$3999=jul!$A7)*(lentry!$B$3:$B$3999&lt;=jul!U$3)*(lentry!$C$3:$C$3999&gt;=jul!U$3)),lentry!$D$3:$D$3999),IF(WEEKDAY(jul!U$3,1)=1,"WO","P"))</f>
        <v>P</v>
      </c>
      <c r="V7" s="4" t="str">
        <f>IFERROR(LOOKUP(2,1/((lentry!$A$3:$A$3999=jul!$A7)*(lentry!$B$3:$B$3999&lt;=jul!V$3)*(lentry!$C$3:$C$3999&gt;=jul!V$3)),lentry!$D$3:$D$3999),IF(WEEKDAY(jul!V$3,1)=1,"WO","P"))</f>
        <v>P</v>
      </c>
      <c r="W7" s="4" t="str">
        <f>IFERROR(LOOKUP(2,1/((lentry!$A$3:$A$3999=jul!$A7)*(lentry!$B$3:$B$3999&lt;=jul!W$3)*(lentry!$C$3:$C$3999&gt;=jul!W$3)),lentry!$D$3:$D$3999),IF(WEEKDAY(jul!W$3,1)=1,"WO","P"))</f>
        <v>P</v>
      </c>
      <c r="X7" s="4" t="str">
        <f>IFERROR(LOOKUP(2,1/((lentry!$A$3:$A$3999=jul!$A7)*(lentry!$B$3:$B$3999&lt;=jul!X$3)*(lentry!$C$3:$C$3999&gt;=jul!X$3)),lentry!$D$3:$D$3999),IF(WEEKDAY(jul!X$3,1)=1,"WO","P"))</f>
        <v>WO</v>
      </c>
      <c r="Y7" s="4" t="str">
        <f>IFERROR(LOOKUP(2,1/((lentry!$A$3:$A$3999=jul!$A7)*(lentry!$B$3:$B$3999&lt;=jul!Y$3)*(lentry!$C$3:$C$3999&gt;=jul!Y$3)),lentry!$D$3:$D$3999),IF(WEEKDAY(jul!Y$3,1)=1,"WO","P"))</f>
        <v>P</v>
      </c>
      <c r="Z7" s="4" t="str">
        <f>IFERROR(LOOKUP(2,1/((lentry!$A$3:$A$3999=jul!$A7)*(lentry!$B$3:$B$3999&lt;=jul!Z$3)*(lentry!$C$3:$C$3999&gt;=jul!Z$3)),lentry!$D$3:$D$3999),IF(WEEKDAY(jul!Z$3,1)=1,"WO","P"))</f>
        <v>P</v>
      </c>
      <c r="AA7" s="4" t="str">
        <f>IFERROR(LOOKUP(2,1/((lentry!$A$3:$A$3999=jul!$A7)*(lentry!$B$3:$B$3999&lt;=jul!AA$3)*(lentry!$C$3:$C$3999&gt;=jul!AA$3)),lentry!$D$3:$D$3999),IF(WEEKDAY(jul!AA$3,1)=1,"WO","P"))</f>
        <v>P</v>
      </c>
      <c r="AB7" s="4" t="str">
        <f>IFERROR(LOOKUP(2,1/((lentry!$A$3:$A$3999=jul!$A7)*(lentry!$B$3:$B$3999&lt;=jul!AB$3)*(lentry!$C$3:$C$3999&gt;=jul!AB$3)),lentry!$D$3:$D$3999),IF(WEEKDAY(jul!AB$3,1)=1,"WO","P"))</f>
        <v>P</v>
      </c>
      <c r="AC7" s="4" t="str">
        <f>IFERROR(LOOKUP(2,1/((lentry!$A$3:$A$3999=jul!$A7)*(lentry!$B$3:$B$3999&lt;=jul!AC$3)*(lentry!$C$3:$C$3999&gt;=jul!AC$3)),lentry!$D$3:$D$3999),IF(WEEKDAY(jul!AC$3,1)=1,"WO","P"))</f>
        <v>P</v>
      </c>
      <c r="AD7" s="4" t="str">
        <f>IFERROR(LOOKUP(2,1/((lentry!$A$3:$A$3999=jul!$A7)*(lentry!$B$3:$B$3999&lt;=jul!AD$3)*(lentry!$C$3:$C$3999&gt;=jul!AD$3)),lentry!$D$3:$D$3999),IF(WEEKDAY(jul!AD$3,1)=1,"WO","P"))</f>
        <v>P</v>
      </c>
      <c r="AE7" s="4" t="str">
        <f>IFERROR(LOOKUP(2,1/((lentry!$A$3:$A$3999=jul!$A7)*(lentry!$B$3:$B$3999&lt;=jul!AE$3)*(lentry!$C$3:$C$3999&gt;=jul!AE$3)),lentry!$D$3:$D$3999),IF(WEEKDAY(jul!AE$3,1)=1,"WO","P"))</f>
        <v>WO</v>
      </c>
      <c r="AF7" s="4" t="str">
        <f>IFERROR(LOOKUP(2,1/((lentry!$A$3:$A$3999=jul!$A7)*(lentry!$B$3:$B$3999&lt;=jul!AF$3)*(lentry!$C$3:$C$3999&gt;=jul!AF$3)),lentry!$D$3:$D$3999),IF(WEEKDAY(jul!AF$3,1)=1,"WO","P"))</f>
        <v>P</v>
      </c>
      <c r="AG7" s="4" t="str">
        <f>IFERROR(LOOKUP(2,1/((lentry!$A$3:$A$3999=jul!$A7)*(lentry!$B$3:$B$3999&lt;=jul!AG$3)*(lentry!$C$3:$C$3999&gt;=jul!AG$3)),lentry!$D$3:$D$3999),IF(WEEKDAY(jul!AG$3,1)=1,"WO","P"))</f>
        <v>P</v>
      </c>
      <c r="AH7" s="4" t="str">
        <f>IFERROR(LOOKUP(2,1/((lentry!$A$3:$A$3999=jul!$A7)*(lentry!$B$3:$B$3999&lt;=jul!AH$3)*(lentry!$C$3:$C$3999&gt;=jul!AH$3)),lentry!$D$3:$D$3999),IF(WEEKDAY(jul!AH$3,1)=1,"WO","P"))</f>
        <v>P</v>
      </c>
      <c r="AI7" s="4" t="str">
        <f>IFERROR(LOOKUP(2,1/((lentry!$A$3:$A$3999=jul!$A7)*(lentry!$B$3:$B$3999&lt;=jul!AI$3)*(lentry!$C$3:$C$3999&gt;=jul!AI$3)),lentry!$D$3:$D$3999),IF(WEEKDAY(jul!AI$3,1)=1,"WO","P"))</f>
        <v>P</v>
      </c>
      <c r="AJ7" s="4" t="str">
        <f>IFERROR(LOOKUP(2,1/((lentry!$A$3:$A$3999=jul!$A7)*(lentry!$B$3:$B$3999&lt;=jul!AJ$3)*(lentry!$C$3:$C$3999&gt;=jul!AJ$3)),lentry!$D$3:$D$3999),IF(WEEKDAY(jul!AJ$3,1)=1,"WO","P"))</f>
        <v>P</v>
      </c>
      <c r="AK7" s="4">
        <f>COUNTIF(jul!$F7:$AJ7,"WO")</f>
        <v>4</v>
      </c>
      <c r="AL7" s="4">
        <f>COUNTIF(jul!$F7:$AJ7,"H")</f>
        <v>0</v>
      </c>
      <c r="AM7" s="4">
        <f>COUNTIF(jul!$F7:$AJ7,"pl")</f>
        <v>0</v>
      </c>
      <c r="AN7" s="4">
        <f>COUNTIF(jul!$F7:$AJ7,"LWP")</f>
        <v>0</v>
      </c>
      <c r="AO7" s="4">
        <f>COUNTIF(jul!$F7:$AJ7,"HD")</f>
        <v>0</v>
      </c>
      <c r="AP7" s="4">
        <f>COUNTIF(jul!$F7:$AJ7,"SL")</f>
        <v>0</v>
      </c>
      <c r="AQ7" s="4">
        <f>COUNTIF(jul!$F7:$AJ7,"CL")</f>
        <v>2</v>
      </c>
      <c r="AR7" s="4">
        <f>COUNTIF(jul!$F7:$AJ7,"A")</f>
        <v>0</v>
      </c>
      <c r="AS7" s="4">
        <f>COUNTIF(jul!$F7:$AJ7,"P")</f>
        <v>25</v>
      </c>
      <c r="AT7" s="4">
        <f t="shared" si="2"/>
        <v>31</v>
      </c>
      <c r="AU7" s="4">
        <f t="shared" si="3"/>
        <v>31</v>
      </c>
      <c r="AV7" s="4">
        <f>SUMIFS(holly!$L$2:$L$122,holly!$I$2:$I$122,mar!$A7,holly!$K$2:$K$122,"Mar")</f>
        <v>0</v>
      </c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</row>
    <row r="8" spans="1:80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IFERROR(LOOKUP(2,1/((lentry!$A$3:$A$3999=jul!$A8)*(lentry!$B$3:$B$3999&lt;=jul!F$3)*(lentry!$C$3:$C$3999&gt;=jul!F$3)),lentry!$D$3:$D$3999),IF(WEEKDAY(jul!F$3,1)=1,"WO","P"))</f>
        <v>P</v>
      </c>
      <c r="G8" s="4" t="str">
        <f>IFERROR(LOOKUP(2,1/((lentry!$A$3:$A$3999=jul!$A8)*(lentry!$B$3:$B$3999&lt;=jul!G$3)*(lentry!$C$3:$C$3999&gt;=jul!G$3)),lentry!$D$3:$D$3999),IF(WEEKDAY(jul!G$3,1)=1,"WO","P"))</f>
        <v>P</v>
      </c>
      <c r="H8" s="4" t="str">
        <f>IFERROR(LOOKUP(2,1/((lentry!$A$3:$A$3999=jul!$A8)*(lentry!$B$3:$B$3999&lt;=jul!H$3)*(lentry!$C$3:$C$3999&gt;=jul!H$3)),lentry!$D$3:$D$3999),IF(WEEKDAY(jul!H$3,1)=1,"WO","P"))</f>
        <v>P</v>
      </c>
      <c r="I8" s="4" t="str">
        <f>IFERROR(LOOKUP(2,1/((lentry!$A$3:$A$3999=jul!$A8)*(lentry!$B$3:$B$3999&lt;=jul!I$3)*(lentry!$C$3:$C$3999&gt;=jul!I$3)),lentry!$D$3:$D$3999),IF(WEEKDAY(jul!I$3,1)=1,"WO","P"))</f>
        <v>P</v>
      </c>
      <c r="J8" s="4" t="str">
        <f>IFERROR(LOOKUP(2,1/((lentry!$A$3:$A$3999=jul!$A8)*(lentry!$B$3:$B$3999&lt;=jul!J$3)*(lentry!$C$3:$C$3999&gt;=jul!J$3)),lentry!$D$3:$D$3999),IF(WEEKDAY(jul!J$3,1)=1,"WO","P"))</f>
        <v>WO</v>
      </c>
      <c r="K8" s="4" t="str">
        <f>IFERROR(LOOKUP(2,1/((lentry!$A$3:$A$3999=jul!$A8)*(lentry!$B$3:$B$3999&lt;=jul!K$3)*(lentry!$C$3:$C$3999&gt;=jul!K$3)),lentry!$D$3:$D$3999),IF(WEEKDAY(jul!K$3,1)=1,"WO","P"))</f>
        <v>P</v>
      </c>
      <c r="L8" s="4" t="str">
        <f>IFERROR(LOOKUP(2,1/((lentry!$A$3:$A$3999=jul!$A8)*(lentry!$B$3:$B$3999&lt;=jul!L$3)*(lentry!$C$3:$C$3999&gt;=jul!L$3)),lentry!$D$3:$D$3999),IF(WEEKDAY(jul!L$3,1)=1,"WO","P"))</f>
        <v>P</v>
      </c>
      <c r="M8" s="4" t="str">
        <f>IFERROR(LOOKUP(2,1/((lentry!$A$3:$A$3999=jul!$A8)*(lentry!$B$3:$B$3999&lt;=jul!M$3)*(lentry!$C$3:$C$3999&gt;=jul!M$3)),lentry!$D$3:$D$3999),IF(WEEKDAY(jul!M$3,1)=1,"WO","P"))</f>
        <v>P</v>
      </c>
      <c r="N8" s="4" t="str">
        <f>IFERROR(LOOKUP(2,1/((lentry!$A$3:$A$3999=jul!$A8)*(lentry!$B$3:$B$3999&lt;=jul!N$3)*(lentry!$C$3:$C$3999&gt;=jul!N$3)),lentry!$D$3:$D$3999),IF(WEEKDAY(jul!N$3,1)=1,"WO","P"))</f>
        <v>P</v>
      </c>
      <c r="O8" s="4" t="str">
        <f>IFERROR(LOOKUP(2,1/((lentry!$A$3:$A$3999=jul!$A8)*(lentry!$B$3:$B$3999&lt;=jul!O$3)*(lentry!$C$3:$C$3999&gt;=jul!O$3)),lentry!$D$3:$D$3999),IF(WEEKDAY(jul!O$3,1)=1,"WO","P"))</f>
        <v>P</v>
      </c>
      <c r="P8" s="4" t="str">
        <f>IFERROR(LOOKUP(2,1/((lentry!$A$3:$A$3999=jul!$A8)*(lentry!$B$3:$B$3999&lt;=jul!P$3)*(lentry!$C$3:$C$3999&gt;=jul!P$3)),lentry!$D$3:$D$3999),IF(WEEKDAY(jul!P$3,1)=1,"WO","P"))</f>
        <v>P</v>
      </c>
      <c r="Q8" s="4" t="str">
        <f>IFERROR(LOOKUP(2,1/((lentry!$A$3:$A$3999=jul!$A8)*(lentry!$B$3:$B$3999&lt;=jul!Q$3)*(lentry!$C$3:$C$3999&gt;=jul!Q$3)),lentry!$D$3:$D$3999),IF(WEEKDAY(jul!Q$3,1)=1,"WO","P"))</f>
        <v>WO</v>
      </c>
      <c r="R8" s="4" t="str">
        <f>IFERROR(LOOKUP(2,1/((lentry!$A$3:$A$3999=jul!$A8)*(lentry!$B$3:$B$3999&lt;=jul!R$3)*(lentry!$C$3:$C$3999&gt;=jul!R$3)),lentry!$D$3:$D$3999),IF(WEEKDAY(jul!R$3,1)=1,"WO","P"))</f>
        <v>P</v>
      </c>
      <c r="S8" s="4" t="str">
        <f>IFERROR(LOOKUP(2,1/((lentry!$A$3:$A$3999=jul!$A8)*(lentry!$B$3:$B$3999&lt;=jul!S$3)*(lentry!$C$3:$C$3999&gt;=jul!S$3)),lentry!$D$3:$D$3999),IF(WEEKDAY(jul!S$3,1)=1,"WO","P"))</f>
        <v>P</v>
      </c>
      <c r="T8" s="4" t="str">
        <f>IFERROR(LOOKUP(2,1/((lentry!$A$3:$A$3999=jul!$A8)*(lentry!$B$3:$B$3999&lt;=jul!T$3)*(lentry!$C$3:$C$3999&gt;=jul!T$3)),lentry!$D$3:$D$3999),IF(WEEKDAY(jul!T$3,1)=1,"WO","P"))</f>
        <v>P</v>
      </c>
      <c r="U8" s="4" t="str">
        <f>IFERROR(LOOKUP(2,1/((lentry!$A$3:$A$3999=jul!$A8)*(lentry!$B$3:$B$3999&lt;=jul!U$3)*(lentry!$C$3:$C$3999&gt;=jul!U$3)),lentry!$D$3:$D$3999),IF(WEEKDAY(jul!U$3,1)=1,"WO","P"))</f>
        <v>P</v>
      </c>
      <c r="V8" s="4" t="str">
        <f>IFERROR(LOOKUP(2,1/((lentry!$A$3:$A$3999=jul!$A8)*(lentry!$B$3:$B$3999&lt;=jul!V$3)*(lentry!$C$3:$C$3999&gt;=jul!V$3)),lentry!$D$3:$D$3999),IF(WEEKDAY(jul!V$3,1)=1,"WO","P"))</f>
        <v>P</v>
      </c>
      <c r="W8" s="4" t="str">
        <f>IFERROR(LOOKUP(2,1/((lentry!$A$3:$A$3999=jul!$A8)*(lentry!$B$3:$B$3999&lt;=jul!W$3)*(lentry!$C$3:$C$3999&gt;=jul!W$3)),lentry!$D$3:$D$3999),IF(WEEKDAY(jul!W$3,1)=1,"WO","P"))</f>
        <v>P</v>
      </c>
      <c r="X8" s="4" t="str">
        <f>IFERROR(LOOKUP(2,1/((lentry!$A$3:$A$3999=jul!$A8)*(lentry!$B$3:$B$3999&lt;=jul!X$3)*(lentry!$C$3:$C$3999&gt;=jul!X$3)),lentry!$D$3:$D$3999),IF(WEEKDAY(jul!X$3,1)=1,"WO","P"))</f>
        <v>WO</v>
      </c>
      <c r="Y8" s="4" t="str">
        <f>IFERROR(LOOKUP(2,1/((lentry!$A$3:$A$3999=jul!$A8)*(lentry!$B$3:$B$3999&lt;=jul!Y$3)*(lentry!$C$3:$C$3999&gt;=jul!Y$3)),lentry!$D$3:$D$3999),IF(WEEKDAY(jul!Y$3,1)=1,"WO","P"))</f>
        <v>P</v>
      </c>
      <c r="Z8" s="4" t="str">
        <f>IFERROR(LOOKUP(2,1/((lentry!$A$3:$A$3999=jul!$A8)*(lentry!$B$3:$B$3999&lt;=jul!Z$3)*(lentry!$C$3:$C$3999&gt;=jul!Z$3)),lentry!$D$3:$D$3999),IF(WEEKDAY(jul!Z$3,1)=1,"WO","P"))</f>
        <v>P</v>
      </c>
      <c r="AA8" s="4" t="str">
        <f>IFERROR(LOOKUP(2,1/((lentry!$A$3:$A$3999=jul!$A8)*(lentry!$B$3:$B$3999&lt;=jul!AA$3)*(lentry!$C$3:$C$3999&gt;=jul!AA$3)),lentry!$D$3:$D$3999),IF(WEEKDAY(jul!AA$3,1)=1,"WO","P"))</f>
        <v>P</v>
      </c>
      <c r="AB8" s="4" t="str">
        <f>IFERROR(LOOKUP(2,1/((lentry!$A$3:$A$3999=jul!$A8)*(lentry!$B$3:$B$3999&lt;=jul!AB$3)*(lentry!$C$3:$C$3999&gt;=jul!AB$3)),lentry!$D$3:$D$3999),IF(WEEKDAY(jul!AB$3,1)=1,"WO","P"))</f>
        <v>P</v>
      </c>
      <c r="AC8" s="4" t="str">
        <f>IFERROR(LOOKUP(2,1/((lentry!$A$3:$A$3999=jul!$A8)*(lentry!$B$3:$B$3999&lt;=jul!AC$3)*(lentry!$C$3:$C$3999&gt;=jul!AC$3)),lentry!$D$3:$D$3999),IF(WEEKDAY(jul!AC$3,1)=1,"WO","P"))</f>
        <v>P</v>
      </c>
      <c r="AD8" s="4" t="str">
        <f>IFERROR(LOOKUP(2,1/((lentry!$A$3:$A$3999=jul!$A8)*(lentry!$B$3:$B$3999&lt;=jul!AD$3)*(lentry!$C$3:$C$3999&gt;=jul!AD$3)),lentry!$D$3:$D$3999),IF(WEEKDAY(jul!AD$3,1)=1,"WO","P"))</f>
        <v>P</v>
      </c>
      <c r="AE8" s="4" t="str">
        <f>IFERROR(LOOKUP(2,1/((lentry!$A$3:$A$3999=jul!$A8)*(lentry!$B$3:$B$3999&lt;=jul!AE$3)*(lentry!$C$3:$C$3999&gt;=jul!AE$3)),lentry!$D$3:$D$3999),IF(WEEKDAY(jul!AE$3,1)=1,"WO","P"))</f>
        <v>WO</v>
      </c>
      <c r="AF8" s="4" t="str">
        <f>IFERROR(LOOKUP(2,1/((lentry!$A$3:$A$3999=jul!$A8)*(lentry!$B$3:$B$3999&lt;=jul!AF$3)*(lentry!$C$3:$C$3999&gt;=jul!AF$3)),lentry!$D$3:$D$3999),IF(WEEKDAY(jul!AF$3,1)=1,"WO","P"))</f>
        <v>P</v>
      </c>
      <c r="AG8" s="4" t="str">
        <f>IFERROR(LOOKUP(2,1/((lentry!$A$3:$A$3999=jul!$A8)*(lentry!$B$3:$B$3999&lt;=jul!AG$3)*(lentry!$C$3:$C$3999&gt;=jul!AG$3)),lentry!$D$3:$D$3999),IF(WEEKDAY(jul!AG$3,1)=1,"WO","P"))</f>
        <v>P</v>
      </c>
      <c r="AH8" s="4" t="str">
        <f>IFERROR(LOOKUP(2,1/((lentry!$A$3:$A$3999=jul!$A8)*(lentry!$B$3:$B$3999&lt;=jul!AH$3)*(lentry!$C$3:$C$3999&gt;=jul!AH$3)),lentry!$D$3:$D$3999),IF(WEEKDAY(jul!AH$3,1)=1,"WO","P"))</f>
        <v>P</v>
      </c>
      <c r="AI8" s="4" t="str">
        <f>IFERROR(LOOKUP(2,1/((lentry!$A$3:$A$3999=jul!$A8)*(lentry!$B$3:$B$3999&lt;=jul!AI$3)*(lentry!$C$3:$C$3999&gt;=jul!AI$3)),lentry!$D$3:$D$3999),IF(WEEKDAY(jul!AI$3,1)=1,"WO","P"))</f>
        <v>P</v>
      </c>
      <c r="AJ8" s="4" t="str">
        <f>IFERROR(LOOKUP(2,1/((lentry!$A$3:$A$3999=jul!$A8)*(lentry!$B$3:$B$3999&lt;=jul!AJ$3)*(lentry!$C$3:$C$3999&gt;=jul!AJ$3)),lentry!$D$3:$D$3999),IF(WEEKDAY(jul!AJ$3,1)=1,"WO","P"))</f>
        <v>P</v>
      </c>
      <c r="AK8" s="4">
        <f>COUNTIF(jul!$F8:$AJ8,"WO")</f>
        <v>4</v>
      </c>
      <c r="AL8" s="4">
        <f>COUNTIF(jul!$F8:$AJ8,"H")</f>
        <v>0</v>
      </c>
      <c r="AM8" s="4">
        <f>COUNTIF(jul!$F8:$AJ8,"pl")</f>
        <v>0</v>
      </c>
      <c r="AN8" s="4">
        <f>COUNTIF(jul!$F8:$AJ8,"LWP")</f>
        <v>0</v>
      </c>
      <c r="AO8" s="4">
        <f>COUNTIF(jul!$F8:$AJ8,"HD")</f>
        <v>0</v>
      </c>
      <c r="AP8" s="4">
        <f>COUNTIF(jul!$F8:$AJ8,"SL")</f>
        <v>0</v>
      </c>
      <c r="AQ8" s="4">
        <f>COUNTIF(jul!$F8:$AJ8,"CL")</f>
        <v>0</v>
      </c>
      <c r="AR8" s="4">
        <f>COUNTIF(jul!$F8:$AJ8,"A")</f>
        <v>0</v>
      </c>
      <c r="AS8" s="4">
        <f>COUNTIF(jul!$F8:$AJ8,"P")</f>
        <v>27</v>
      </c>
      <c r="AT8" s="4">
        <f t="shared" si="2"/>
        <v>31</v>
      </c>
      <c r="AU8" s="4">
        <f t="shared" si="3"/>
        <v>31</v>
      </c>
      <c r="AV8" s="4">
        <f>SUMIFS(holly!$L$2:$L$122,holly!$I$2:$I$122,mar!$A8,holly!$K$2:$K$122,"Mar")</f>
        <v>2</v>
      </c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</row>
    <row r="9" spans="1:80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IFERROR(LOOKUP(2,1/((lentry!$A$3:$A$3999=jul!$A9)*(lentry!$B$3:$B$3999&lt;=jul!F$3)*(lentry!$C$3:$C$3999&gt;=jul!F$3)),lentry!$D$3:$D$3999),IF(WEEKDAY(jul!F$3,1)=1,"WO","P"))</f>
        <v>P</v>
      </c>
      <c r="G9" s="4" t="str">
        <f>IFERROR(LOOKUP(2,1/((lentry!$A$3:$A$3999=jul!$A9)*(lentry!$B$3:$B$3999&lt;=jul!G$3)*(lentry!$C$3:$C$3999&gt;=jul!G$3)),lentry!$D$3:$D$3999),IF(WEEKDAY(jul!G$3,1)=1,"WO","P"))</f>
        <v>P</v>
      </c>
      <c r="H9" s="4" t="str">
        <f>IFERROR(LOOKUP(2,1/((lentry!$A$3:$A$3999=jul!$A9)*(lentry!$B$3:$B$3999&lt;=jul!H$3)*(lentry!$C$3:$C$3999&gt;=jul!H$3)),lentry!$D$3:$D$3999),IF(WEEKDAY(jul!H$3,1)=1,"WO","P"))</f>
        <v>P</v>
      </c>
      <c r="I9" s="4" t="str">
        <f>IFERROR(LOOKUP(2,1/((lentry!$A$3:$A$3999=jul!$A9)*(lentry!$B$3:$B$3999&lt;=jul!I$3)*(lentry!$C$3:$C$3999&gt;=jul!I$3)),lentry!$D$3:$D$3999),IF(WEEKDAY(jul!I$3,1)=1,"WO","P"))</f>
        <v>P</v>
      </c>
      <c r="J9" s="4" t="str">
        <f>IFERROR(LOOKUP(2,1/((lentry!$A$3:$A$3999=jul!$A9)*(lentry!$B$3:$B$3999&lt;=jul!J$3)*(lentry!$C$3:$C$3999&gt;=jul!J$3)),lentry!$D$3:$D$3999),IF(WEEKDAY(jul!J$3,1)=1,"WO","P"))</f>
        <v>WO</v>
      </c>
      <c r="K9" s="4" t="str">
        <f>IFERROR(LOOKUP(2,1/((lentry!$A$3:$A$3999=jul!$A9)*(lentry!$B$3:$B$3999&lt;=jul!K$3)*(lentry!$C$3:$C$3999&gt;=jul!K$3)),lentry!$D$3:$D$3999),IF(WEEKDAY(jul!K$3,1)=1,"WO","P"))</f>
        <v>P</v>
      </c>
      <c r="L9" s="4" t="str">
        <f>IFERROR(LOOKUP(2,1/((lentry!$A$3:$A$3999=jul!$A9)*(lentry!$B$3:$B$3999&lt;=jul!L$3)*(lentry!$C$3:$C$3999&gt;=jul!L$3)),lentry!$D$3:$D$3999),IF(WEEKDAY(jul!L$3,1)=1,"WO","P"))</f>
        <v>P</v>
      </c>
      <c r="M9" s="4" t="str">
        <f>IFERROR(LOOKUP(2,1/((lentry!$A$3:$A$3999=jul!$A9)*(lentry!$B$3:$B$3999&lt;=jul!M$3)*(lentry!$C$3:$C$3999&gt;=jul!M$3)),lentry!$D$3:$D$3999),IF(WEEKDAY(jul!M$3,1)=1,"WO","P"))</f>
        <v>P</v>
      </c>
      <c r="N9" s="4" t="str">
        <f>IFERROR(LOOKUP(2,1/((lentry!$A$3:$A$3999=jul!$A9)*(lentry!$B$3:$B$3999&lt;=jul!N$3)*(lentry!$C$3:$C$3999&gt;=jul!N$3)),lentry!$D$3:$D$3999),IF(WEEKDAY(jul!N$3,1)=1,"WO","P"))</f>
        <v>P</v>
      </c>
      <c r="O9" s="4" t="str">
        <f>IFERROR(LOOKUP(2,1/((lentry!$A$3:$A$3999=jul!$A9)*(lentry!$B$3:$B$3999&lt;=jul!O$3)*(lentry!$C$3:$C$3999&gt;=jul!O$3)),lentry!$D$3:$D$3999),IF(WEEKDAY(jul!O$3,1)=1,"WO","P"))</f>
        <v>P</v>
      </c>
      <c r="P9" s="4" t="str">
        <f>IFERROR(LOOKUP(2,1/((lentry!$A$3:$A$3999=jul!$A9)*(lentry!$B$3:$B$3999&lt;=jul!P$3)*(lentry!$C$3:$C$3999&gt;=jul!P$3)),lentry!$D$3:$D$3999),IF(WEEKDAY(jul!P$3,1)=1,"WO","P"))</f>
        <v>P</v>
      </c>
      <c r="Q9" s="4" t="str">
        <f>IFERROR(LOOKUP(2,1/((lentry!$A$3:$A$3999=jul!$A9)*(lentry!$B$3:$B$3999&lt;=jul!Q$3)*(lentry!$C$3:$C$3999&gt;=jul!Q$3)),lentry!$D$3:$D$3999),IF(WEEKDAY(jul!Q$3,1)=1,"WO","P"))</f>
        <v>WO</v>
      </c>
      <c r="R9" s="4" t="str">
        <f>IFERROR(LOOKUP(2,1/((lentry!$A$3:$A$3999=jul!$A9)*(lentry!$B$3:$B$3999&lt;=jul!R$3)*(lentry!$C$3:$C$3999&gt;=jul!R$3)),lentry!$D$3:$D$3999),IF(WEEKDAY(jul!R$3,1)=1,"WO","P"))</f>
        <v>P</v>
      </c>
      <c r="S9" s="4" t="str">
        <f>IFERROR(LOOKUP(2,1/((lentry!$A$3:$A$3999=jul!$A9)*(lentry!$B$3:$B$3999&lt;=jul!S$3)*(lentry!$C$3:$C$3999&gt;=jul!S$3)),lentry!$D$3:$D$3999),IF(WEEKDAY(jul!S$3,1)=1,"WO","P"))</f>
        <v>P</v>
      </c>
      <c r="T9" s="4" t="str">
        <f>IFERROR(LOOKUP(2,1/((lentry!$A$3:$A$3999=jul!$A9)*(lentry!$B$3:$B$3999&lt;=jul!T$3)*(lentry!$C$3:$C$3999&gt;=jul!T$3)),lentry!$D$3:$D$3999),IF(WEEKDAY(jul!T$3,1)=1,"WO","P"))</f>
        <v>P</v>
      </c>
      <c r="U9" s="4" t="str">
        <f>IFERROR(LOOKUP(2,1/((lentry!$A$3:$A$3999=jul!$A9)*(lentry!$B$3:$B$3999&lt;=jul!U$3)*(lentry!$C$3:$C$3999&gt;=jul!U$3)),lentry!$D$3:$D$3999),IF(WEEKDAY(jul!U$3,1)=1,"WO","P"))</f>
        <v>P</v>
      </c>
      <c r="V9" s="4" t="str">
        <f>IFERROR(LOOKUP(2,1/((lentry!$A$3:$A$3999=jul!$A9)*(lentry!$B$3:$B$3999&lt;=jul!V$3)*(lentry!$C$3:$C$3999&gt;=jul!V$3)),lentry!$D$3:$D$3999),IF(WEEKDAY(jul!V$3,1)=1,"WO","P"))</f>
        <v>P</v>
      </c>
      <c r="W9" s="4" t="str">
        <f>IFERROR(LOOKUP(2,1/((lentry!$A$3:$A$3999=jul!$A9)*(lentry!$B$3:$B$3999&lt;=jul!W$3)*(lentry!$C$3:$C$3999&gt;=jul!W$3)),lentry!$D$3:$D$3999),IF(WEEKDAY(jul!W$3,1)=1,"WO","P"))</f>
        <v>P</v>
      </c>
      <c r="X9" s="4" t="str">
        <f>IFERROR(LOOKUP(2,1/((lentry!$A$3:$A$3999=jul!$A9)*(lentry!$B$3:$B$3999&lt;=jul!X$3)*(lentry!$C$3:$C$3999&gt;=jul!X$3)),lentry!$D$3:$D$3999),IF(WEEKDAY(jul!X$3,1)=1,"WO","P"))</f>
        <v>WO</v>
      </c>
      <c r="Y9" s="4" t="str">
        <f>IFERROR(LOOKUP(2,1/((lentry!$A$3:$A$3999=jul!$A9)*(lentry!$B$3:$B$3999&lt;=jul!Y$3)*(lentry!$C$3:$C$3999&gt;=jul!Y$3)),lentry!$D$3:$D$3999),IF(WEEKDAY(jul!Y$3,1)=1,"WO","P"))</f>
        <v>P</v>
      </c>
      <c r="Z9" s="4" t="str">
        <f>IFERROR(LOOKUP(2,1/((lentry!$A$3:$A$3999=jul!$A9)*(lentry!$B$3:$B$3999&lt;=jul!Z$3)*(lentry!$C$3:$C$3999&gt;=jul!Z$3)),lentry!$D$3:$D$3999),IF(WEEKDAY(jul!Z$3,1)=1,"WO","P"))</f>
        <v>P</v>
      </c>
      <c r="AA9" s="4" t="str">
        <f>IFERROR(LOOKUP(2,1/((lentry!$A$3:$A$3999=jul!$A9)*(lentry!$B$3:$B$3999&lt;=jul!AA$3)*(lentry!$C$3:$C$3999&gt;=jul!AA$3)),lentry!$D$3:$D$3999),IF(WEEKDAY(jul!AA$3,1)=1,"WO","P"))</f>
        <v>P</v>
      </c>
      <c r="AB9" s="4" t="str">
        <f>IFERROR(LOOKUP(2,1/((lentry!$A$3:$A$3999=jul!$A9)*(lentry!$B$3:$B$3999&lt;=jul!AB$3)*(lentry!$C$3:$C$3999&gt;=jul!AB$3)),lentry!$D$3:$D$3999),IF(WEEKDAY(jul!AB$3,1)=1,"WO","P"))</f>
        <v>P</v>
      </c>
      <c r="AC9" s="4" t="str">
        <f>IFERROR(LOOKUP(2,1/((lentry!$A$3:$A$3999=jul!$A9)*(lentry!$B$3:$B$3999&lt;=jul!AC$3)*(lentry!$C$3:$C$3999&gt;=jul!AC$3)),lentry!$D$3:$D$3999),IF(WEEKDAY(jul!AC$3,1)=1,"WO","P"))</f>
        <v>P</v>
      </c>
      <c r="AD9" s="4" t="str">
        <f>IFERROR(LOOKUP(2,1/((lentry!$A$3:$A$3999=jul!$A9)*(lentry!$B$3:$B$3999&lt;=jul!AD$3)*(lentry!$C$3:$C$3999&gt;=jul!AD$3)),lentry!$D$3:$D$3999),IF(WEEKDAY(jul!AD$3,1)=1,"WO","P"))</f>
        <v>P</v>
      </c>
      <c r="AE9" s="4" t="str">
        <f>IFERROR(LOOKUP(2,1/((lentry!$A$3:$A$3999=jul!$A9)*(lentry!$B$3:$B$3999&lt;=jul!AE$3)*(lentry!$C$3:$C$3999&gt;=jul!AE$3)),lentry!$D$3:$D$3999),IF(WEEKDAY(jul!AE$3,1)=1,"WO","P"))</f>
        <v>WO</v>
      </c>
      <c r="AF9" s="4" t="str">
        <f>IFERROR(LOOKUP(2,1/((lentry!$A$3:$A$3999=jul!$A9)*(lentry!$B$3:$B$3999&lt;=jul!AF$3)*(lentry!$C$3:$C$3999&gt;=jul!AF$3)),lentry!$D$3:$D$3999),IF(WEEKDAY(jul!AF$3,1)=1,"WO","P"))</f>
        <v>P</v>
      </c>
      <c r="AG9" s="4" t="s">
        <v>539</v>
      </c>
      <c r="AH9" s="4" t="str">
        <f>IFERROR(LOOKUP(2,1/((lentry!$A$3:$A$3999=jul!$A9)*(lentry!$B$3:$B$3999&lt;=jul!AH$3)*(lentry!$C$3:$C$3999&gt;=jul!AH$3)),lentry!$D$3:$D$3999),IF(WEEKDAY(jul!AH$3,1)=1,"WO","P"))</f>
        <v>P</v>
      </c>
      <c r="AI9" s="4" t="str">
        <f>IFERROR(LOOKUP(2,1/((lentry!$A$3:$A$3999=jul!$A9)*(lentry!$B$3:$B$3999&lt;=jul!AI$3)*(lentry!$C$3:$C$3999&gt;=jul!AI$3)),lentry!$D$3:$D$3999),IF(WEEKDAY(jul!AI$3,1)=1,"WO","P"))</f>
        <v>P</v>
      </c>
      <c r="AJ9" s="4" t="str">
        <f>IFERROR(LOOKUP(2,1/((lentry!$A$3:$A$3999=jul!$A9)*(lentry!$B$3:$B$3999&lt;=jul!AJ$3)*(lentry!$C$3:$C$3999&gt;=jul!AJ$3)),lentry!$D$3:$D$3999),IF(WEEKDAY(jul!AJ$3,1)=1,"WO","P"))</f>
        <v>P</v>
      </c>
      <c r="AK9" s="4">
        <f>COUNTIF(jul!$F9:$AJ9,"WO")</f>
        <v>4</v>
      </c>
      <c r="AL9" s="4">
        <f>COUNTIF(jul!$F9:$AJ9,"H")</f>
        <v>0</v>
      </c>
      <c r="AM9" s="4">
        <f>COUNTIF(jul!$F9:$AJ9,"pl")</f>
        <v>0</v>
      </c>
      <c r="AN9" s="4">
        <f>COUNTIF(jul!$F9:$AJ9,"LWP")</f>
        <v>0</v>
      </c>
      <c r="AO9" s="4">
        <f>COUNTIF(jul!$F9:$AJ9,"HD")</f>
        <v>0</v>
      </c>
      <c r="AP9" s="4">
        <f>COUNTIF(jul!$F9:$AJ9,"SL")</f>
        <v>0</v>
      </c>
      <c r="AQ9" s="4">
        <f>COUNTIF(jul!$F9:$AJ9,"CL")</f>
        <v>0</v>
      </c>
      <c r="AR9" s="4">
        <f>COUNTIF(jul!$F9:$AJ9,"A")</f>
        <v>1</v>
      </c>
      <c r="AS9" s="4">
        <f>COUNTIF(jul!$F9:$AJ9,"P")</f>
        <v>26</v>
      </c>
      <c r="AT9" s="4">
        <f t="shared" si="2"/>
        <v>31</v>
      </c>
      <c r="AU9" s="4">
        <f t="shared" si="3"/>
        <v>30</v>
      </c>
      <c r="AV9" s="4">
        <f>SUMIFS(holly!$L$2:$L$122,holly!$I$2:$I$122,mar!$A9,holly!$K$2:$K$122,"Mar")</f>
        <v>1</v>
      </c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</row>
    <row r="10" spans="1:80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IFERROR(LOOKUP(2,1/((lentry!$A$3:$A$3999=jul!$A10)*(lentry!$B$3:$B$3999&lt;=jul!F$3)*(lentry!$C$3:$C$3999&gt;=jul!F$3)),lentry!$D$3:$D$3999),IF(WEEKDAY(jul!F$3,1)=1,"WO","P"))</f>
        <v>P</v>
      </c>
      <c r="G10" s="4" t="str">
        <f>IFERROR(LOOKUP(2,1/((lentry!$A$3:$A$3999=jul!$A10)*(lentry!$B$3:$B$3999&lt;=jul!G$3)*(lentry!$C$3:$C$3999&gt;=jul!G$3)),lentry!$D$3:$D$3999),IF(WEEKDAY(jul!G$3,1)=1,"WO","P"))</f>
        <v>P</v>
      </c>
      <c r="H10" s="4" t="str">
        <f>IFERROR(LOOKUP(2,1/((lentry!$A$3:$A$3999=jul!$A10)*(lentry!$B$3:$B$3999&lt;=jul!H$3)*(lentry!$C$3:$C$3999&gt;=jul!H$3)),lentry!$D$3:$D$3999),IF(WEEKDAY(jul!H$3,1)=1,"WO","P"))</f>
        <v>P</v>
      </c>
      <c r="I10" s="4" t="str">
        <f>IFERROR(LOOKUP(2,1/((lentry!$A$3:$A$3999=jul!$A10)*(lentry!$B$3:$B$3999&lt;=jul!I$3)*(lentry!$C$3:$C$3999&gt;=jul!I$3)),lentry!$D$3:$D$3999),IF(WEEKDAY(jul!I$3,1)=1,"WO","P"))</f>
        <v>P</v>
      </c>
      <c r="J10" s="4" t="str">
        <f>IFERROR(LOOKUP(2,1/((lentry!$A$3:$A$3999=jul!$A10)*(lentry!$B$3:$B$3999&lt;=jul!J$3)*(lentry!$C$3:$C$3999&gt;=jul!J$3)),lentry!$D$3:$D$3999),IF(WEEKDAY(jul!J$3,1)=1,"WO","P"))</f>
        <v>WO</v>
      </c>
      <c r="K10" s="4" t="str">
        <f>IFERROR(LOOKUP(2,1/((lentry!$A$3:$A$3999=jul!$A10)*(lentry!$B$3:$B$3999&lt;=jul!K$3)*(lentry!$C$3:$C$3999&gt;=jul!K$3)),lentry!$D$3:$D$3999),IF(WEEKDAY(jul!K$3,1)=1,"WO","P"))</f>
        <v>P</v>
      </c>
      <c r="L10" s="4" t="str">
        <f>IFERROR(LOOKUP(2,1/((lentry!$A$3:$A$3999=jul!$A10)*(lentry!$B$3:$B$3999&lt;=jul!L$3)*(lentry!$C$3:$C$3999&gt;=jul!L$3)),lentry!$D$3:$D$3999),IF(WEEKDAY(jul!L$3,1)=1,"WO","P"))</f>
        <v>P</v>
      </c>
      <c r="M10" s="4" t="str">
        <f>IFERROR(LOOKUP(2,1/((lentry!$A$3:$A$3999=jul!$A10)*(lentry!$B$3:$B$3999&lt;=jul!M$3)*(lentry!$C$3:$C$3999&gt;=jul!M$3)),lentry!$D$3:$D$3999),IF(WEEKDAY(jul!M$3,1)=1,"WO","P"))</f>
        <v>P</v>
      </c>
      <c r="N10" s="4" t="str">
        <f>IFERROR(LOOKUP(2,1/((lentry!$A$3:$A$3999=jul!$A10)*(lentry!$B$3:$B$3999&lt;=jul!N$3)*(lentry!$C$3:$C$3999&gt;=jul!N$3)),lentry!$D$3:$D$3999),IF(WEEKDAY(jul!N$3,1)=1,"WO","P"))</f>
        <v>P</v>
      </c>
      <c r="O10" s="4" t="str">
        <f>IFERROR(LOOKUP(2,1/((lentry!$A$3:$A$3999=jul!$A10)*(lentry!$B$3:$B$3999&lt;=jul!O$3)*(lentry!$C$3:$C$3999&gt;=jul!O$3)),lentry!$D$3:$D$3999),IF(WEEKDAY(jul!O$3,1)=1,"WO","P"))</f>
        <v>P</v>
      </c>
      <c r="P10" s="4" t="str">
        <f>IFERROR(LOOKUP(2,1/((lentry!$A$3:$A$3999=jul!$A10)*(lentry!$B$3:$B$3999&lt;=jul!P$3)*(lentry!$C$3:$C$3999&gt;=jul!P$3)),lentry!$D$3:$D$3999),IF(WEEKDAY(jul!P$3,1)=1,"WO","P"))</f>
        <v>P</v>
      </c>
      <c r="Q10" s="4" t="str">
        <f>IFERROR(LOOKUP(2,1/((lentry!$A$3:$A$3999=jul!$A10)*(lentry!$B$3:$B$3999&lt;=jul!Q$3)*(lentry!$C$3:$C$3999&gt;=jul!Q$3)),lentry!$D$3:$D$3999),IF(WEEKDAY(jul!Q$3,1)=1,"WO","P"))</f>
        <v>WO</v>
      </c>
      <c r="R10" s="4" t="str">
        <f>IFERROR(LOOKUP(2,1/((lentry!$A$3:$A$3999=jul!$A10)*(lentry!$B$3:$B$3999&lt;=jul!R$3)*(lentry!$C$3:$C$3999&gt;=jul!R$3)),lentry!$D$3:$D$3999),IF(WEEKDAY(jul!R$3,1)=1,"WO","P"))</f>
        <v>P</v>
      </c>
      <c r="S10" s="4" t="str">
        <f>IFERROR(LOOKUP(2,1/((lentry!$A$3:$A$3999=jul!$A10)*(lentry!$B$3:$B$3999&lt;=jul!S$3)*(lentry!$C$3:$C$3999&gt;=jul!S$3)),lentry!$D$3:$D$3999),IF(WEEKDAY(jul!S$3,1)=1,"WO","P"))</f>
        <v>P</v>
      </c>
      <c r="T10" s="4" t="s">
        <v>539</v>
      </c>
      <c r="U10" s="4" t="str">
        <f>IFERROR(LOOKUP(2,1/((lentry!$A$3:$A$3999=jul!$A10)*(lentry!$B$3:$B$3999&lt;=jul!U$3)*(lentry!$C$3:$C$3999&gt;=jul!U$3)),lentry!$D$3:$D$3999),IF(WEEKDAY(jul!U$3,1)=1,"WO","P"))</f>
        <v>P</v>
      </c>
      <c r="V10" s="4" t="str">
        <f>IFERROR(LOOKUP(2,1/((lentry!$A$3:$A$3999=jul!$A10)*(lentry!$B$3:$B$3999&lt;=jul!V$3)*(lentry!$C$3:$C$3999&gt;=jul!V$3)),lentry!$D$3:$D$3999),IF(WEEKDAY(jul!V$3,1)=1,"WO","P"))</f>
        <v>P</v>
      </c>
      <c r="W10" s="4" t="str">
        <f>IFERROR(LOOKUP(2,1/((lentry!$A$3:$A$3999=jul!$A10)*(lentry!$B$3:$B$3999&lt;=jul!W$3)*(lentry!$C$3:$C$3999&gt;=jul!W$3)),lentry!$D$3:$D$3999),IF(WEEKDAY(jul!W$3,1)=1,"WO","P"))</f>
        <v>P</v>
      </c>
      <c r="X10" s="4" t="str">
        <f>IFERROR(LOOKUP(2,1/((lentry!$A$3:$A$3999=jul!$A10)*(lentry!$B$3:$B$3999&lt;=jul!X$3)*(lentry!$C$3:$C$3999&gt;=jul!X$3)),lentry!$D$3:$D$3999),IF(WEEKDAY(jul!X$3,1)=1,"WO","P"))</f>
        <v>WO</v>
      </c>
      <c r="Y10" s="4" t="str">
        <f>IFERROR(LOOKUP(2,1/((lentry!$A$3:$A$3999=jul!$A10)*(lentry!$B$3:$B$3999&lt;=jul!Y$3)*(lentry!$C$3:$C$3999&gt;=jul!Y$3)),lentry!$D$3:$D$3999),IF(WEEKDAY(jul!Y$3,1)=1,"WO","P"))</f>
        <v>P</v>
      </c>
      <c r="Z10" s="4" t="str">
        <f>IFERROR(LOOKUP(2,1/((lentry!$A$3:$A$3999=jul!$A10)*(lentry!$B$3:$B$3999&lt;=jul!Z$3)*(lentry!$C$3:$C$3999&gt;=jul!Z$3)),lentry!$D$3:$D$3999),IF(WEEKDAY(jul!Z$3,1)=1,"WO","P"))</f>
        <v>P</v>
      </c>
      <c r="AA10" s="4" t="str">
        <f>IFERROR(LOOKUP(2,1/((lentry!$A$3:$A$3999=jul!$A10)*(lentry!$B$3:$B$3999&lt;=jul!AA$3)*(lentry!$C$3:$C$3999&gt;=jul!AA$3)),lentry!$D$3:$D$3999),IF(WEEKDAY(jul!AA$3,1)=1,"WO","P"))</f>
        <v>P</v>
      </c>
      <c r="AB10" s="4" t="str">
        <f>IFERROR(LOOKUP(2,1/((lentry!$A$3:$A$3999=jul!$A10)*(lentry!$B$3:$B$3999&lt;=jul!AB$3)*(lentry!$C$3:$C$3999&gt;=jul!AB$3)),lentry!$D$3:$D$3999),IF(WEEKDAY(jul!AB$3,1)=1,"WO","P"))</f>
        <v>P</v>
      </c>
      <c r="AC10" s="4" t="str">
        <f>IFERROR(LOOKUP(2,1/((lentry!$A$3:$A$3999=jul!$A10)*(lentry!$B$3:$B$3999&lt;=jul!AC$3)*(lentry!$C$3:$C$3999&gt;=jul!AC$3)),lentry!$D$3:$D$3999),IF(WEEKDAY(jul!AC$3,1)=1,"WO","P"))</f>
        <v>P</v>
      </c>
      <c r="AD10" s="4" t="str">
        <f>IFERROR(LOOKUP(2,1/((lentry!$A$3:$A$3999=jul!$A10)*(lentry!$B$3:$B$3999&lt;=jul!AD$3)*(lentry!$C$3:$C$3999&gt;=jul!AD$3)),lentry!$D$3:$D$3999),IF(WEEKDAY(jul!AD$3,1)=1,"WO","P"))</f>
        <v>P</v>
      </c>
      <c r="AE10" s="4" t="str">
        <f>IFERROR(LOOKUP(2,1/((lentry!$A$3:$A$3999=jul!$A10)*(lentry!$B$3:$B$3999&lt;=jul!AE$3)*(lentry!$C$3:$C$3999&gt;=jul!AE$3)),lentry!$D$3:$D$3999),IF(WEEKDAY(jul!AE$3,1)=1,"WO","P"))</f>
        <v>WO</v>
      </c>
      <c r="AF10" s="4" t="str">
        <f>IFERROR(LOOKUP(2,1/((lentry!$A$3:$A$3999=jul!$A10)*(lentry!$B$3:$B$3999&lt;=jul!AF$3)*(lentry!$C$3:$C$3999&gt;=jul!AF$3)),lentry!$D$3:$D$3999),IF(WEEKDAY(jul!AF$3,1)=1,"WO","P"))</f>
        <v>P</v>
      </c>
      <c r="AG10" s="4" t="str">
        <f>IFERROR(LOOKUP(2,1/((lentry!$A$3:$A$3999=jul!$A10)*(lentry!$B$3:$B$3999&lt;=jul!AG$3)*(lentry!$C$3:$C$3999&gt;=jul!AG$3)),lentry!$D$3:$D$3999),IF(WEEKDAY(jul!AG$3,1)=1,"WO","P"))</f>
        <v>P</v>
      </c>
      <c r="AH10" s="4" t="str">
        <f>IFERROR(LOOKUP(2,1/((lentry!$A$3:$A$3999=jul!$A10)*(lentry!$B$3:$B$3999&lt;=jul!AH$3)*(lentry!$C$3:$C$3999&gt;=jul!AH$3)),lentry!$D$3:$D$3999),IF(WEEKDAY(jul!AH$3,1)=1,"WO","P"))</f>
        <v>P</v>
      </c>
      <c r="AI10" s="4" t="str">
        <f>IFERROR(LOOKUP(2,1/((lentry!$A$3:$A$3999=jul!$A10)*(lentry!$B$3:$B$3999&lt;=jul!AI$3)*(lentry!$C$3:$C$3999&gt;=jul!AI$3)),lentry!$D$3:$D$3999),IF(WEEKDAY(jul!AI$3,1)=1,"WO","P"))</f>
        <v>P</v>
      </c>
      <c r="AJ10" s="4" t="str">
        <f>IFERROR(LOOKUP(2,1/((lentry!$A$3:$A$3999=jul!$A10)*(lentry!$B$3:$B$3999&lt;=jul!AJ$3)*(lentry!$C$3:$C$3999&gt;=jul!AJ$3)),lentry!$D$3:$D$3999),IF(WEEKDAY(jul!AJ$3,1)=1,"WO","P"))</f>
        <v>P</v>
      </c>
      <c r="AK10" s="4">
        <f>COUNTIF(jul!$F10:$AJ10,"WO")</f>
        <v>4</v>
      </c>
      <c r="AL10" s="4">
        <f>COUNTIF(jul!$F10:$AJ10,"H")</f>
        <v>0</v>
      </c>
      <c r="AM10" s="4">
        <f>COUNTIF(jul!$F10:$AJ10,"pl")</f>
        <v>0</v>
      </c>
      <c r="AN10" s="4">
        <f>COUNTIF(jul!$F10:$AJ10,"LWP")</f>
        <v>0</v>
      </c>
      <c r="AO10" s="4">
        <f>COUNTIF(jul!$F10:$AJ10,"HD")</f>
        <v>0</v>
      </c>
      <c r="AP10" s="4">
        <f>COUNTIF(jul!$F10:$AJ10,"SL")</f>
        <v>0</v>
      </c>
      <c r="AQ10" s="4">
        <f>COUNTIF(jul!$F10:$AJ10,"CL")</f>
        <v>0</v>
      </c>
      <c r="AR10" s="4">
        <f>COUNTIF(jul!$F10:$AJ10,"A")</f>
        <v>1</v>
      </c>
      <c r="AS10" s="4">
        <f>COUNTIF(jul!$F10:$AJ10,"P")</f>
        <v>26</v>
      </c>
      <c r="AT10" s="4">
        <f t="shared" si="2"/>
        <v>31</v>
      </c>
      <c r="AU10" s="4">
        <f t="shared" si="3"/>
        <v>30</v>
      </c>
      <c r="AV10" s="4">
        <f>SUMIFS(holly!$L$2:$L$122,holly!$I$2:$I$122,mar!$A10,holly!$K$2:$K$122,"Mar")</f>
        <v>0</v>
      </c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</row>
    <row r="11" spans="1:80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IFERROR(LOOKUP(2,1/((lentry!$A$3:$A$3999=jul!$A11)*(lentry!$B$3:$B$3999&lt;=jul!F$3)*(lentry!$C$3:$C$3999&gt;=jul!F$3)),lentry!$D$3:$D$3999),IF(WEEKDAY(jul!F$3,1)=1,"WO","P"))</f>
        <v>P</v>
      </c>
      <c r="G11" s="4" t="str">
        <f>IFERROR(LOOKUP(2,1/((lentry!$A$3:$A$3999=jul!$A11)*(lentry!$B$3:$B$3999&lt;=jul!G$3)*(lentry!$C$3:$C$3999&gt;=jul!G$3)),lentry!$D$3:$D$3999),IF(WEEKDAY(jul!G$3,1)=1,"WO","P"))</f>
        <v>P</v>
      </c>
      <c r="H11" s="4" t="str">
        <f>IFERROR(LOOKUP(2,1/((lentry!$A$3:$A$3999=jul!$A11)*(lentry!$B$3:$B$3999&lt;=jul!H$3)*(lentry!$C$3:$C$3999&gt;=jul!H$3)),lentry!$D$3:$D$3999),IF(WEEKDAY(jul!H$3,1)=1,"WO","P"))</f>
        <v>P</v>
      </c>
      <c r="I11" s="4" t="str">
        <f>IFERROR(LOOKUP(2,1/((lentry!$A$3:$A$3999=jul!$A11)*(lentry!$B$3:$B$3999&lt;=jul!I$3)*(lentry!$C$3:$C$3999&gt;=jul!I$3)),lentry!$D$3:$D$3999),IF(WEEKDAY(jul!I$3,1)=1,"WO","P"))</f>
        <v>P</v>
      </c>
      <c r="J11" s="4" t="str">
        <f>IFERROR(LOOKUP(2,1/((lentry!$A$3:$A$3999=jul!$A11)*(lentry!$B$3:$B$3999&lt;=jul!J$3)*(lentry!$C$3:$C$3999&gt;=jul!J$3)),lentry!$D$3:$D$3999),IF(WEEKDAY(jul!J$3,1)=1,"WO","P"))</f>
        <v>WO</v>
      </c>
      <c r="K11" s="4" t="str">
        <f>IFERROR(LOOKUP(2,1/((lentry!$A$3:$A$3999=jul!$A11)*(lentry!$B$3:$B$3999&lt;=jul!K$3)*(lentry!$C$3:$C$3999&gt;=jul!K$3)),lentry!$D$3:$D$3999),IF(WEEKDAY(jul!K$3,1)=1,"WO","P"))</f>
        <v>P</v>
      </c>
      <c r="L11" s="4" t="str">
        <f>IFERROR(LOOKUP(2,1/((lentry!$A$3:$A$3999=jul!$A11)*(lentry!$B$3:$B$3999&lt;=jul!L$3)*(lentry!$C$3:$C$3999&gt;=jul!L$3)),lentry!$D$3:$D$3999),IF(WEEKDAY(jul!L$3,1)=1,"WO","P"))</f>
        <v>P</v>
      </c>
      <c r="M11" s="4" t="str">
        <f>IFERROR(LOOKUP(2,1/((lentry!$A$3:$A$3999=jul!$A11)*(lentry!$B$3:$B$3999&lt;=jul!M$3)*(lentry!$C$3:$C$3999&gt;=jul!M$3)),lentry!$D$3:$D$3999),IF(WEEKDAY(jul!M$3,1)=1,"WO","P"))</f>
        <v>P</v>
      </c>
      <c r="N11" s="4" t="str">
        <f>IFERROR(LOOKUP(2,1/((lentry!$A$3:$A$3999=jul!$A11)*(lentry!$B$3:$B$3999&lt;=jul!N$3)*(lentry!$C$3:$C$3999&gt;=jul!N$3)),lentry!$D$3:$D$3999),IF(WEEKDAY(jul!N$3,1)=1,"WO","P"))</f>
        <v>P</v>
      </c>
      <c r="O11" s="4" t="str">
        <f>IFERROR(LOOKUP(2,1/((lentry!$A$3:$A$3999=jul!$A11)*(lentry!$B$3:$B$3999&lt;=jul!O$3)*(lentry!$C$3:$C$3999&gt;=jul!O$3)),lentry!$D$3:$D$3999),IF(WEEKDAY(jul!O$3,1)=1,"WO","P"))</f>
        <v>P</v>
      </c>
      <c r="P11" s="4" t="str">
        <f>IFERROR(LOOKUP(2,1/((lentry!$A$3:$A$3999=jul!$A11)*(lentry!$B$3:$B$3999&lt;=jul!P$3)*(lentry!$C$3:$C$3999&gt;=jul!P$3)),lentry!$D$3:$D$3999),IF(WEEKDAY(jul!P$3,1)=1,"WO","P"))</f>
        <v>P</v>
      </c>
      <c r="Q11" s="4" t="str">
        <f>IFERROR(LOOKUP(2,1/((lentry!$A$3:$A$3999=jul!$A11)*(lentry!$B$3:$B$3999&lt;=jul!Q$3)*(lentry!$C$3:$C$3999&gt;=jul!Q$3)),lentry!$D$3:$D$3999),IF(WEEKDAY(jul!Q$3,1)=1,"WO","P"))</f>
        <v>WO</v>
      </c>
      <c r="R11" s="4" t="str">
        <f>IFERROR(LOOKUP(2,1/((lentry!$A$3:$A$3999=jul!$A11)*(lentry!$B$3:$B$3999&lt;=jul!R$3)*(lentry!$C$3:$C$3999&gt;=jul!R$3)),lentry!$D$3:$D$3999),IF(WEEKDAY(jul!R$3,1)=1,"WO","P"))</f>
        <v>P</v>
      </c>
      <c r="S11" s="4" t="str">
        <f>IFERROR(LOOKUP(2,1/((lentry!$A$3:$A$3999=jul!$A11)*(lentry!$B$3:$B$3999&lt;=jul!S$3)*(lentry!$C$3:$C$3999&gt;=jul!S$3)),lentry!$D$3:$D$3999),IF(WEEKDAY(jul!S$3,1)=1,"WO","P"))</f>
        <v>P</v>
      </c>
      <c r="T11" s="4" t="str">
        <f>IFERROR(LOOKUP(2,1/((lentry!$A$3:$A$3999=jul!$A11)*(lentry!$B$3:$B$3999&lt;=jul!T$3)*(lentry!$C$3:$C$3999&gt;=jul!T$3)),lentry!$D$3:$D$3999),IF(WEEKDAY(jul!T$3,1)=1,"WO","P"))</f>
        <v>P</v>
      </c>
      <c r="U11" s="4" t="str">
        <f>IFERROR(LOOKUP(2,1/((lentry!$A$3:$A$3999=jul!$A11)*(lentry!$B$3:$B$3999&lt;=jul!U$3)*(lentry!$C$3:$C$3999&gt;=jul!U$3)),lentry!$D$3:$D$3999),IF(WEEKDAY(jul!U$3,1)=1,"WO","P"))</f>
        <v>P</v>
      </c>
      <c r="V11" s="4" t="str">
        <f>IFERROR(LOOKUP(2,1/((lentry!$A$3:$A$3999=jul!$A11)*(lentry!$B$3:$B$3999&lt;=jul!V$3)*(lentry!$C$3:$C$3999&gt;=jul!V$3)),lentry!$D$3:$D$3999),IF(WEEKDAY(jul!V$3,1)=1,"WO","P"))</f>
        <v>P</v>
      </c>
      <c r="W11" s="4" t="str">
        <f>IFERROR(LOOKUP(2,1/((lentry!$A$3:$A$3999=jul!$A11)*(lentry!$B$3:$B$3999&lt;=jul!W$3)*(lentry!$C$3:$C$3999&gt;=jul!W$3)),lentry!$D$3:$D$3999),IF(WEEKDAY(jul!W$3,1)=1,"WO","P"))</f>
        <v>P</v>
      </c>
      <c r="X11" s="4" t="str">
        <f>IFERROR(LOOKUP(2,1/((lentry!$A$3:$A$3999=jul!$A11)*(lentry!$B$3:$B$3999&lt;=jul!X$3)*(lentry!$C$3:$C$3999&gt;=jul!X$3)),lentry!$D$3:$D$3999),IF(WEEKDAY(jul!X$3,1)=1,"WO","P"))</f>
        <v>WO</v>
      </c>
      <c r="Y11" s="4" t="str">
        <f>IFERROR(LOOKUP(2,1/((lentry!$A$3:$A$3999=jul!$A11)*(lentry!$B$3:$B$3999&lt;=jul!Y$3)*(lentry!$C$3:$C$3999&gt;=jul!Y$3)),lentry!$D$3:$D$3999),IF(WEEKDAY(jul!Y$3,1)=1,"WO","P"))</f>
        <v>P</v>
      </c>
      <c r="Z11" s="4" t="str">
        <f>IFERROR(LOOKUP(2,1/((lentry!$A$3:$A$3999=jul!$A11)*(lentry!$B$3:$B$3999&lt;=jul!Z$3)*(lentry!$C$3:$C$3999&gt;=jul!Z$3)),lentry!$D$3:$D$3999),IF(WEEKDAY(jul!Z$3,1)=1,"WO","P"))</f>
        <v>P</v>
      </c>
      <c r="AA11" s="4" t="s">
        <v>539</v>
      </c>
      <c r="AB11" s="4" t="str">
        <f>IFERROR(LOOKUP(2,1/((lentry!$A$3:$A$3999=jul!$A11)*(lentry!$B$3:$B$3999&lt;=jul!AB$3)*(lentry!$C$3:$C$3999&gt;=jul!AB$3)),lentry!$D$3:$D$3999),IF(WEEKDAY(jul!AB$3,1)=1,"WO","P"))</f>
        <v>P</v>
      </c>
      <c r="AC11" s="4" t="str">
        <f>IFERROR(LOOKUP(2,1/((lentry!$A$3:$A$3999=jul!$A11)*(lentry!$B$3:$B$3999&lt;=jul!AC$3)*(lentry!$C$3:$C$3999&gt;=jul!AC$3)),lentry!$D$3:$D$3999),IF(WEEKDAY(jul!AC$3,1)=1,"WO","P"))</f>
        <v>P</v>
      </c>
      <c r="AD11" s="4" t="str">
        <f>IFERROR(LOOKUP(2,1/((lentry!$A$3:$A$3999=jul!$A11)*(lentry!$B$3:$B$3999&lt;=jul!AD$3)*(lentry!$C$3:$C$3999&gt;=jul!AD$3)),lentry!$D$3:$D$3999),IF(WEEKDAY(jul!AD$3,1)=1,"WO","P"))</f>
        <v>P</v>
      </c>
      <c r="AE11" s="4" t="str">
        <f>IFERROR(LOOKUP(2,1/((lentry!$A$3:$A$3999=jul!$A11)*(lentry!$B$3:$B$3999&lt;=jul!AE$3)*(lentry!$C$3:$C$3999&gt;=jul!AE$3)),lentry!$D$3:$D$3999),IF(WEEKDAY(jul!AE$3,1)=1,"WO","P"))</f>
        <v>WO</v>
      </c>
      <c r="AF11" s="4" t="str">
        <f>IFERROR(LOOKUP(2,1/((lentry!$A$3:$A$3999=jul!$A11)*(lentry!$B$3:$B$3999&lt;=jul!AF$3)*(lentry!$C$3:$C$3999&gt;=jul!AF$3)),lentry!$D$3:$D$3999),IF(WEEKDAY(jul!AF$3,1)=1,"WO","P"))</f>
        <v>P</v>
      </c>
      <c r="AG11" s="4" t="str">
        <f>IFERROR(LOOKUP(2,1/((lentry!$A$3:$A$3999=jul!$A11)*(lentry!$B$3:$B$3999&lt;=jul!AG$3)*(lentry!$C$3:$C$3999&gt;=jul!AG$3)),lentry!$D$3:$D$3999),IF(WEEKDAY(jul!AG$3,1)=1,"WO","P"))</f>
        <v>P</v>
      </c>
      <c r="AH11" s="4" t="str">
        <f>IFERROR(LOOKUP(2,1/((lentry!$A$3:$A$3999=jul!$A11)*(lentry!$B$3:$B$3999&lt;=jul!AH$3)*(lentry!$C$3:$C$3999&gt;=jul!AH$3)),lentry!$D$3:$D$3999),IF(WEEKDAY(jul!AH$3,1)=1,"WO","P"))</f>
        <v>P</v>
      </c>
      <c r="AI11" s="4" t="str">
        <f>IFERROR(LOOKUP(2,1/((lentry!$A$3:$A$3999=jul!$A11)*(lentry!$B$3:$B$3999&lt;=jul!AI$3)*(lentry!$C$3:$C$3999&gt;=jul!AI$3)),lentry!$D$3:$D$3999),IF(WEEKDAY(jul!AI$3,1)=1,"WO","P"))</f>
        <v>P</v>
      </c>
      <c r="AJ11" s="4" t="str">
        <f>IFERROR(LOOKUP(2,1/((lentry!$A$3:$A$3999=jul!$A11)*(lentry!$B$3:$B$3999&lt;=jul!AJ$3)*(lentry!$C$3:$C$3999&gt;=jul!AJ$3)),lentry!$D$3:$D$3999),IF(WEEKDAY(jul!AJ$3,1)=1,"WO","P"))</f>
        <v>P</v>
      </c>
      <c r="AK11" s="4">
        <f>COUNTIF(jul!$F11:$AJ11,"WO")</f>
        <v>4</v>
      </c>
      <c r="AL11" s="4">
        <f>COUNTIF(jul!$F11:$AJ11,"H")</f>
        <v>0</v>
      </c>
      <c r="AM11" s="4">
        <f>COUNTIF(jul!$F11:$AJ11,"pl")</f>
        <v>0</v>
      </c>
      <c r="AN11" s="4">
        <f>COUNTIF(jul!$F11:$AJ11,"LWP")</f>
        <v>0</v>
      </c>
      <c r="AO11" s="4">
        <f>COUNTIF(jul!$F11:$AJ11,"HD")</f>
        <v>0</v>
      </c>
      <c r="AP11" s="4">
        <f>COUNTIF(jul!$F11:$AJ11,"SL")</f>
        <v>0</v>
      </c>
      <c r="AQ11" s="4">
        <f>COUNTIF(jul!$F11:$AJ11,"CL")</f>
        <v>0</v>
      </c>
      <c r="AR11" s="4">
        <f>COUNTIF(jul!$F11:$AJ11,"A")</f>
        <v>1</v>
      </c>
      <c r="AS11" s="4">
        <f>COUNTIF(jul!$F11:$AJ11,"P")</f>
        <v>26</v>
      </c>
      <c r="AT11" s="4">
        <f t="shared" si="2"/>
        <v>31</v>
      </c>
      <c r="AU11" s="4">
        <f t="shared" si="3"/>
        <v>30</v>
      </c>
      <c r="AV11" s="4">
        <f>SUMIFS(holly!$L$2:$L$122,holly!$I$2:$I$122,mar!$A11,holly!$K$2:$K$122,"Mar")</f>
        <v>0</v>
      </c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</row>
    <row r="12" spans="1:80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IFERROR(LOOKUP(2,1/((lentry!$A$3:$A$3999=jul!$A12)*(lentry!$B$3:$B$3999&lt;=jul!F$3)*(lentry!$C$3:$C$3999&gt;=jul!F$3)),lentry!$D$3:$D$3999),IF(WEEKDAY(jul!F$3,1)=1,"WO","P"))</f>
        <v>P</v>
      </c>
      <c r="G12" s="4" t="str">
        <f>IFERROR(LOOKUP(2,1/((lentry!$A$3:$A$3999=jul!$A12)*(lentry!$B$3:$B$3999&lt;=jul!G$3)*(lentry!$C$3:$C$3999&gt;=jul!G$3)),lentry!$D$3:$D$3999),IF(WEEKDAY(jul!G$3,1)=1,"WO","P"))</f>
        <v>P</v>
      </c>
      <c r="H12" s="4" t="str">
        <f>IFERROR(LOOKUP(2,1/((lentry!$A$3:$A$3999=jul!$A12)*(lentry!$B$3:$B$3999&lt;=jul!H$3)*(lentry!$C$3:$C$3999&gt;=jul!H$3)),lentry!$D$3:$D$3999),IF(WEEKDAY(jul!H$3,1)=1,"WO","P"))</f>
        <v>P</v>
      </c>
      <c r="I12" s="4" t="str">
        <f>IFERROR(LOOKUP(2,1/((lentry!$A$3:$A$3999=jul!$A12)*(lentry!$B$3:$B$3999&lt;=jul!I$3)*(lentry!$C$3:$C$3999&gt;=jul!I$3)),lentry!$D$3:$D$3999),IF(WEEKDAY(jul!I$3,1)=1,"WO","P"))</f>
        <v>P</v>
      </c>
      <c r="J12" s="4" t="str">
        <f>IFERROR(LOOKUP(2,1/((lentry!$A$3:$A$3999=jul!$A12)*(lentry!$B$3:$B$3999&lt;=jul!J$3)*(lentry!$C$3:$C$3999&gt;=jul!J$3)),lentry!$D$3:$D$3999),IF(WEEKDAY(jul!J$3,1)=1,"WO","P"))</f>
        <v>WO</v>
      </c>
      <c r="K12" s="4" t="str">
        <f>IFERROR(LOOKUP(2,1/((lentry!$A$3:$A$3999=jul!$A12)*(lentry!$B$3:$B$3999&lt;=jul!K$3)*(lentry!$C$3:$C$3999&gt;=jul!K$3)),lentry!$D$3:$D$3999),IF(WEEKDAY(jul!K$3,1)=1,"WO","P"))</f>
        <v>P</v>
      </c>
      <c r="L12" s="4" t="str">
        <f>IFERROR(LOOKUP(2,1/((lentry!$A$3:$A$3999=jul!$A12)*(lentry!$B$3:$B$3999&lt;=jul!L$3)*(lentry!$C$3:$C$3999&gt;=jul!L$3)),lentry!$D$3:$D$3999),IF(WEEKDAY(jul!L$3,1)=1,"WO","P"))</f>
        <v>P</v>
      </c>
      <c r="M12" s="4" t="str">
        <f>IFERROR(LOOKUP(2,1/((lentry!$A$3:$A$3999=jul!$A12)*(lentry!$B$3:$B$3999&lt;=jul!M$3)*(lentry!$C$3:$C$3999&gt;=jul!M$3)),lentry!$D$3:$D$3999),IF(WEEKDAY(jul!M$3,1)=1,"WO","P"))</f>
        <v>P</v>
      </c>
      <c r="N12" s="4" t="str">
        <f>IFERROR(LOOKUP(2,1/((lentry!$A$3:$A$3999=jul!$A12)*(lentry!$B$3:$B$3999&lt;=jul!N$3)*(lentry!$C$3:$C$3999&gt;=jul!N$3)),lentry!$D$3:$D$3999),IF(WEEKDAY(jul!N$3,1)=1,"WO","P"))</f>
        <v>P</v>
      </c>
      <c r="O12" s="4" t="str">
        <f>IFERROR(LOOKUP(2,1/((lentry!$A$3:$A$3999=jul!$A12)*(lentry!$B$3:$B$3999&lt;=jul!O$3)*(lentry!$C$3:$C$3999&gt;=jul!O$3)),lentry!$D$3:$D$3999),IF(WEEKDAY(jul!O$3,1)=1,"WO","P"))</f>
        <v>P</v>
      </c>
      <c r="P12" s="4" t="str">
        <f>IFERROR(LOOKUP(2,1/((lentry!$A$3:$A$3999=jul!$A12)*(lentry!$B$3:$B$3999&lt;=jul!P$3)*(lentry!$C$3:$C$3999&gt;=jul!P$3)),lentry!$D$3:$D$3999),IF(WEEKDAY(jul!P$3,1)=1,"WO","P"))</f>
        <v>P</v>
      </c>
      <c r="Q12" s="4" t="str">
        <f>IFERROR(LOOKUP(2,1/((lentry!$A$3:$A$3999=jul!$A12)*(lentry!$B$3:$B$3999&lt;=jul!Q$3)*(lentry!$C$3:$C$3999&gt;=jul!Q$3)),lentry!$D$3:$D$3999),IF(WEEKDAY(jul!Q$3,1)=1,"WO","P"))</f>
        <v>WO</v>
      </c>
      <c r="R12" s="4" t="str">
        <f>IFERROR(LOOKUP(2,1/((lentry!$A$3:$A$3999=jul!$A12)*(lentry!$B$3:$B$3999&lt;=jul!R$3)*(lentry!$C$3:$C$3999&gt;=jul!R$3)),lentry!$D$3:$D$3999),IF(WEEKDAY(jul!R$3,1)=1,"WO","P"))</f>
        <v>P</v>
      </c>
      <c r="S12" s="4" t="str">
        <f>IFERROR(LOOKUP(2,1/((lentry!$A$3:$A$3999=jul!$A12)*(lentry!$B$3:$B$3999&lt;=jul!S$3)*(lentry!$C$3:$C$3999&gt;=jul!S$3)),lentry!$D$3:$D$3999),IF(WEEKDAY(jul!S$3,1)=1,"WO","P"))</f>
        <v>P</v>
      </c>
      <c r="T12" s="4" t="str">
        <f>IFERROR(LOOKUP(2,1/((lentry!$A$3:$A$3999=jul!$A12)*(lentry!$B$3:$B$3999&lt;=jul!T$3)*(lentry!$C$3:$C$3999&gt;=jul!T$3)),lentry!$D$3:$D$3999),IF(WEEKDAY(jul!T$3,1)=1,"WO","P"))</f>
        <v>P</v>
      </c>
      <c r="U12" s="4" t="str">
        <f>IFERROR(LOOKUP(2,1/((lentry!$A$3:$A$3999=jul!$A12)*(lentry!$B$3:$B$3999&lt;=jul!U$3)*(lentry!$C$3:$C$3999&gt;=jul!U$3)),lentry!$D$3:$D$3999),IF(WEEKDAY(jul!U$3,1)=1,"WO","P"))</f>
        <v>P</v>
      </c>
      <c r="V12" s="4" t="str">
        <f>IFERROR(LOOKUP(2,1/((lentry!$A$3:$A$3999=jul!$A12)*(lentry!$B$3:$B$3999&lt;=jul!V$3)*(lentry!$C$3:$C$3999&gt;=jul!V$3)),lentry!$D$3:$D$3999),IF(WEEKDAY(jul!V$3,1)=1,"WO","P"))</f>
        <v>P</v>
      </c>
      <c r="W12" s="4" t="str">
        <f>IFERROR(LOOKUP(2,1/((lentry!$A$3:$A$3999=jul!$A12)*(lentry!$B$3:$B$3999&lt;=jul!W$3)*(lentry!$C$3:$C$3999&gt;=jul!W$3)),lentry!$D$3:$D$3999),IF(WEEKDAY(jul!W$3,1)=1,"WO","P"))</f>
        <v>P</v>
      </c>
      <c r="X12" s="4" t="str">
        <f>IFERROR(LOOKUP(2,1/((lentry!$A$3:$A$3999=jul!$A12)*(lentry!$B$3:$B$3999&lt;=jul!X$3)*(lentry!$C$3:$C$3999&gt;=jul!X$3)),lentry!$D$3:$D$3999),IF(WEEKDAY(jul!X$3,1)=1,"WO","P"))</f>
        <v>WO</v>
      </c>
      <c r="Y12" s="4" t="str">
        <f>IFERROR(LOOKUP(2,1/((lentry!$A$3:$A$3999=jul!$A12)*(lentry!$B$3:$B$3999&lt;=jul!Y$3)*(lentry!$C$3:$C$3999&gt;=jul!Y$3)),lentry!$D$3:$D$3999),IF(WEEKDAY(jul!Y$3,1)=1,"WO","P"))</f>
        <v>P</v>
      </c>
      <c r="Z12" s="4" t="str">
        <f>IFERROR(LOOKUP(2,1/((lentry!$A$3:$A$3999=jul!$A12)*(lentry!$B$3:$B$3999&lt;=jul!Z$3)*(lentry!$C$3:$C$3999&gt;=jul!Z$3)),lentry!$D$3:$D$3999),IF(WEEKDAY(jul!Z$3,1)=1,"WO","P"))</f>
        <v>P</v>
      </c>
      <c r="AA12" s="4" t="str">
        <f>IFERROR(LOOKUP(2,1/((lentry!$A$3:$A$3999=jul!$A12)*(lentry!$B$3:$B$3999&lt;=jul!AA$3)*(lentry!$C$3:$C$3999&gt;=jul!AA$3)),lentry!$D$3:$D$3999),IF(WEEKDAY(jul!AA$3,1)=1,"WO","P"))</f>
        <v>P</v>
      </c>
      <c r="AB12" s="4" t="str">
        <f>IFERROR(LOOKUP(2,1/((lentry!$A$3:$A$3999=jul!$A12)*(lentry!$B$3:$B$3999&lt;=jul!AB$3)*(lentry!$C$3:$C$3999&gt;=jul!AB$3)),lentry!$D$3:$D$3999),IF(WEEKDAY(jul!AB$3,1)=1,"WO","P"))</f>
        <v>P</v>
      </c>
      <c r="AC12" s="4" t="str">
        <f>IFERROR(LOOKUP(2,1/((lentry!$A$3:$A$3999=jul!$A12)*(lentry!$B$3:$B$3999&lt;=jul!AC$3)*(lentry!$C$3:$C$3999&gt;=jul!AC$3)),lentry!$D$3:$D$3999),IF(WEEKDAY(jul!AC$3,1)=1,"WO","P"))</f>
        <v>P</v>
      </c>
      <c r="AD12" s="4" t="str">
        <f>IFERROR(LOOKUP(2,1/((lentry!$A$3:$A$3999=jul!$A12)*(lentry!$B$3:$B$3999&lt;=jul!AD$3)*(lentry!$C$3:$C$3999&gt;=jul!AD$3)),lentry!$D$3:$D$3999),IF(WEEKDAY(jul!AD$3,1)=1,"WO","P"))</f>
        <v>P</v>
      </c>
      <c r="AE12" s="4" t="str">
        <f>IFERROR(LOOKUP(2,1/((lentry!$A$3:$A$3999=jul!$A12)*(lentry!$B$3:$B$3999&lt;=jul!AE$3)*(lentry!$C$3:$C$3999&gt;=jul!AE$3)),lentry!$D$3:$D$3999),IF(WEEKDAY(jul!AE$3,1)=1,"WO","P"))</f>
        <v>WO</v>
      </c>
      <c r="AF12" s="4" t="str">
        <f>IFERROR(LOOKUP(2,1/((lentry!$A$3:$A$3999=jul!$A12)*(lentry!$B$3:$B$3999&lt;=jul!AF$3)*(lentry!$C$3:$C$3999&gt;=jul!AF$3)),lentry!$D$3:$D$3999),IF(WEEKDAY(jul!AF$3,1)=1,"WO","P"))</f>
        <v>P</v>
      </c>
      <c r="AG12" s="4" t="str">
        <f>IFERROR(LOOKUP(2,1/((lentry!$A$3:$A$3999=jul!$A12)*(lentry!$B$3:$B$3999&lt;=jul!AG$3)*(lentry!$C$3:$C$3999&gt;=jul!AG$3)),lentry!$D$3:$D$3999),IF(WEEKDAY(jul!AG$3,1)=1,"WO","P"))</f>
        <v>P</v>
      </c>
      <c r="AH12" s="4" t="str">
        <f>IFERROR(LOOKUP(2,1/((lentry!$A$3:$A$3999=jul!$A12)*(lentry!$B$3:$B$3999&lt;=jul!AH$3)*(lentry!$C$3:$C$3999&gt;=jul!AH$3)),lentry!$D$3:$D$3999),IF(WEEKDAY(jul!AH$3,1)=1,"WO","P"))</f>
        <v>P</v>
      </c>
      <c r="AI12" s="4" t="str">
        <f>IFERROR(LOOKUP(2,1/((lentry!$A$3:$A$3999=jul!$A12)*(lentry!$B$3:$B$3999&lt;=jul!AI$3)*(lentry!$C$3:$C$3999&gt;=jul!AI$3)),lentry!$D$3:$D$3999),IF(WEEKDAY(jul!AI$3,1)=1,"WO","P"))</f>
        <v>P</v>
      </c>
      <c r="AJ12" s="4" t="str">
        <f>IFERROR(LOOKUP(2,1/((lentry!$A$3:$A$3999=jul!$A12)*(lentry!$B$3:$B$3999&lt;=jul!AJ$3)*(lentry!$C$3:$C$3999&gt;=jul!AJ$3)),lentry!$D$3:$D$3999),IF(WEEKDAY(jul!AJ$3,1)=1,"WO","P"))</f>
        <v>P</v>
      </c>
      <c r="AK12" s="4">
        <f>COUNTIF(jul!$F12:$AJ12,"WO")</f>
        <v>4</v>
      </c>
      <c r="AL12" s="4">
        <f>COUNTIF(jul!$F12:$AJ12,"H")</f>
        <v>0</v>
      </c>
      <c r="AM12" s="4">
        <f>COUNTIF(jul!$F12:$AJ12,"pl")</f>
        <v>0</v>
      </c>
      <c r="AN12" s="4">
        <f>COUNTIF(jul!$F12:$AJ12,"LWP")</f>
        <v>0</v>
      </c>
      <c r="AO12" s="4">
        <f>COUNTIF(jul!$F12:$AJ12,"HD")</f>
        <v>0</v>
      </c>
      <c r="AP12" s="4">
        <f>COUNTIF(jul!$F12:$AJ12,"SL")</f>
        <v>0</v>
      </c>
      <c r="AQ12" s="4">
        <f>COUNTIF(jul!$F12:$AJ12,"CL")</f>
        <v>0</v>
      </c>
      <c r="AR12" s="4">
        <f>COUNTIF(jul!$F12:$AJ12,"A")</f>
        <v>0</v>
      </c>
      <c r="AS12" s="4">
        <f>COUNTIF(jul!$F12:$AJ12,"P")</f>
        <v>27</v>
      </c>
      <c r="AT12" s="4">
        <f t="shared" si="2"/>
        <v>31</v>
      </c>
      <c r="AU12" s="4">
        <f t="shared" si="3"/>
        <v>31</v>
      </c>
      <c r="AV12" s="4">
        <f>SUMIFS(holly!$L$2:$L$122,holly!$I$2:$I$122,mar!$A12,holly!$K$2:$K$122,"Mar")</f>
        <v>0</v>
      </c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</row>
    <row r="13" spans="1:80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">
        <v>539</v>
      </c>
      <c r="G13" s="4" t="str">
        <f>IFERROR(LOOKUP(2,1/((lentry!$A$3:$A$3999=jul!$A13)*(lentry!$B$3:$B$3999&lt;=jul!G$3)*(lentry!$C$3:$C$3999&gt;=jul!G$3)),lentry!$D$3:$D$3999),IF(WEEKDAY(jul!G$3,1)=1,"WO","P"))</f>
        <v>P</v>
      </c>
      <c r="H13" s="4" t="str">
        <f>IFERROR(LOOKUP(2,1/((lentry!$A$3:$A$3999=jul!$A13)*(lentry!$B$3:$B$3999&lt;=jul!H$3)*(lentry!$C$3:$C$3999&gt;=jul!H$3)),lentry!$D$3:$D$3999),IF(WEEKDAY(jul!H$3,1)=1,"WO","P"))</f>
        <v>P</v>
      </c>
      <c r="I13" s="4" t="str">
        <f>IFERROR(LOOKUP(2,1/((lentry!$A$3:$A$3999=jul!$A13)*(lentry!$B$3:$B$3999&lt;=jul!I$3)*(lentry!$C$3:$C$3999&gt;=jul!I$3)),lentry!$D$3:$D$3999),IF(WEEKDAY(jul!I$3,1)=1,"WO","P"))</f>
        <v>P</v>
      </c>
      <c r="J13" s="4" t="str">
        <f>IFERROR(LOOKUP(2,1/((lentry!$A$3:$A$3999=jul!$A13)*(lentry!$B$3:$B$3999&lt;=jul!J$3)*(lentry!$C$3:$C$3999&gt;=jul!J$3)),lentry!$D$3:$D$3999),IF(WEEKDAY(jul!J$3,1)=1,"WO","P"))</f>
        <v>WO</v>
      </c>
      <c r="K13" s="4" t="str">
        <f>IFERROR(LOOKUP(2,1/((lentry!$A$3:$A$3999=jul!$A13)*(lentry!$B$3:$B$3999&lt;=jul!K$3)*(lentry!$C$3:$C$3999&gt;=jul!K$3)),lentry!$D$3:$D$3999),IF(WEEKDAY(jul!K$3,1)=1,"WO","P"))</f>
        <v>P</v>
      </c>
      <c r="L13" s="4" t="str">
        <f>IFERROR(LOOKUP(2,1/((lentry!$A$3:$A$3999=jul!$A13)*(lentry!$B$3:$B$3999&lt;=jul!L$3)*(lentry!$C$3:$C$3999&gt;=jul!L$3)),lentry!$D$3:$D$3999),IF(WEEKDAY(jul!L$3,1)=1,"WO","P"))</f>
        <v>P</v>
      </c>
      <c r="M13" s="4" t="str">
        <f>IFERROR(LOOKUP(2,1/((lentry!$A$3:$A$3999=jul!$A13)*(lentry!$B$3:$B$3999&lt;=jul!M$3)*(lentry!$C$3:$C$3999&gt;=jul!M$3)),lentry!$D$3:$D$3999),IF(WEEKDAY(jul!M$3,1)=1,"WO","P"))</f>
        <v>P</v>
      </c>
      <c r="N13" s="4" t="str">
        <f>IFERROR(LOOKUP(2,1/((lentry!$A$3:$A$3999=jul!$A13)*(lentry!$B$3:$B$3999&lt;=jul!N$3)*(lentry!$C$3:$C$3999&gt;=jul!N$3)),lentry!$D$3:$D$3999),IF(WEEKDAY(jul!N$3,1)=1,"WO","P"))</f>
        <v>P</v>
      </c>
      <c r="O13" s="4" t="str">
        <f>IFERROR(LOOKUP(2,1/((lentry!$A$3:$A$3999=jul!$A13)*(lentry!$B$3:$B$3999&lt;=jul!O$3)*(lentry!$C$3:$C$3999&gt;=jul!O$3)),lentry!$D$3:$D$3999),IF(WEEKDAY(jul!O$3,1)=1,"WO","P"))</f>
        <v>P</v>
      </c>
      <c r="P13" s="4" t="str">
        <f>IFERROR(LOOKUP(2,1/((lentry!$A$3:$A$3999=jul!$A13)*(lentry!$B$3:$B$3999&lt;=jul!P$3)*(lentry!$C$3:$C$3999&gt;=jul!P$3)),lentry!$D$3:$D$3999),IF(WEEKDAY(jul!P$3,1)=1,"WO","P"))</f>
        <v>P</v>
      </c>
      <c r="Q13" s="4" t="str">
        <f>IFERROR(LOOKUP(2,1/((lentry!$A$3:$A$3999=jul!$A13)*(lentry!$B$3:$B$3999&lt;=jul!Q$3)*(lentry!$C$3:$C$3999&gt;=jul!Q$3)),lentry!$D$3:$D$3999),IF(WEEKDAY(jul!Q$3,1)=1,"WO","P"))</f>
        <v>WO</v>
      </c>
      <c r="R13" s="4" t="str">
        <f>IFERROR(LOOKUP(2,1/((lentry!$A$3:$A$3999=jul!$A13)*(lentry!$B$3:$B$3999&lt;=jul!R$3)*(lentry!$C$3:$C$3999&gt;=jul!R$3)),lentry!$D$3:$D$3999),IF(WEEKDAY(jul!R$3,1)=1,"WO","P"))</f>
        <v>P</v>
      </c>
      <c r="S13" s="4" t="str">
        <f>IFERROR(LOOKUP(2,1/((lentry!$A$3:$A$3999=jul!$A13)*(lentry!$B$3:$B$3999&lt;=jul!S$3)*(lentry!$C$3:$C$3999&gt;=jul!S$3)),lentry!$D$3:$D$3999),IF(WEEKDAY(jul!S$3,1)=1,"WO","P"))</f>
        <v>P</v>
      </c>
      <c r="T13" s="4" t="str">
        <f>IFERROR(LOOKUP(2,1/((lentry!$A$3:$A$3999=jul!$A13)*(lentry!$B$3:$B$3999&lt;=jul!T$3)*(lentry!$C$3:$C$3999&gt;=jul!T$3)),lentry!$D$3:$D$3999),IF(WEEKDAY(jul!T$3,1)=1,"WO","P"))</f>
        <v>P</v>
      </c>
      <c r="U13" s="4" t="str">
        <f>IFERROR(LOOKUP(2,1/((lentry!$A$3:$A$3999=jul!$A13)*(lentry!$B$3:$B$3999&lt;=jul!U$3)*(lentry!$C$3:$C$3999&gt;=jul!U$3)),lentry!$D$3:$D$3999),IF(WEEKDAY(jul!U$3,1)=1,"WO","P"))</f>
        <v>P</v>
      </c>
      <c r="V13" s="4" t="str">
        <f>IFERROR(LOOKUP(2,1/((lentry!$A$3:$A$3999=jul!$A13)*(lentry!$B$3:$B$3999&lt;=jul!V$3)*(lentry!$C$3:$C$3999&gt;=jul!V$3)),lentry!$D$3:$D$3999),IF(WEEKDAY(jul!V$3,1)=1,"WO","P"))</f>
        <v>P</v>
      </c>
      <c r="W13" s="4" t="str">
        <f>IFERROR(LOOKUP(2,1/((lentry!$A$3:$A$3999=jul!$A13)*(lentry!$B$3:$B$3999&lt;=jul!W$3)*(lentry!$C$3:$C$3999&gt;=jul!W$3)),lentry!$D$3:$D$3999),IF(WEEKDAY(jul!W$3,1)=1,"WO","P"))</f>
        <v>P</v>
      </c>
      <c r="X13" s="4" t="str">
        <f>IFERROR(LOOKUP(2,1/((lentry!$A$3:$A$3999=jul!$A13)*(lentry!$B$3:$B$3999&lt;=jul!X$3)*(lentry!$C$3:$C$3999&gt;=jul!X$3)),lentry!$D$3:$D$3999),IF(WEEKDAY(jul!X$3,1)=1,"WO","P"))</f>
        <v>WO</v>
      </c>
      <c r="Y13" s="4" t="str">
        <f>IFERROR(LOOKUP(2,1/((lentry!$A$3:$A$3999=jul!$A13)*(lentry!$B$3:$B$3999&lt;=jul!Y$3)*(lentry!$C$3:$C$3999&gt;=jul!Y$3)),lentry!$D$3:$D$3999),IF(WEEKDAY(jul!Y$3,1)=1,"WO","P"))</f>
        <v>P</v>
      </c>
      <c r="Z13" s="4" t="str">
        <f>IFERROR(LOOKUP(2,1/((lentry!$A$3:$A$3999=jul!$A13)*(lentry!$B$3:$B$3999&lt;=jul!Z$3)*(lentry!$C$3:$C$3999&gt;=jul!Z$3)),lentry!$D$3:$D$3999),IF(WEEKDAY(jul!Z$3,1)=1,"WO","P"))</f>
        <v>P</v>
      </c>
      <c r="AA13" s="4" t="str">
        <f>IFERROR(LOOKUP(2,1/((lentry!$A$3:$A$3999=jul!$A13)*(lentry!$B$3:$B$3999&lt;=jul!AA$3)*(lentry!$C$3:$C$3999&gt;=jul!AA$3)),lentry!$D$3:$D$3999),IF(WEEKDAY(jul!AA$3,1)=1,"WO","P"))</f>
        <v>P</v>
      </c>
      <c r="AB13" s="4" t="str">
        <f>IFERROR(LOOKUP(2,1/((lentry!$A$3:$A$3999=jul!$A13)*(lentry!$B$3:$B$3999&lt;=jul!AB$3)*(lentry!$C$3:$C$3999&gt;=jul!AB$3)),lentry!$D$3:$D$3999),IF(WEEKDAY(jul!AB$3,1)=1,"WO","P"))</f>
        <v>P</v>
      </c>
      <c r="AC13" s="4" t="str">
        <f>IFERROR(LOOKUP(2,1/((lentry!$A$3:$A$3999=jul!$A13)*(lentry!$B$3:$B$3999&lt;=jul!AC$3)*(lentry!$C$3:$C$3999&gt;=jul!AC$3)),lentry!$D$3:$D$3999),IF(WEEKDAY(jul!AC$3,1)=1,"WO","P"))</f>
        <v>P</v>
      </c>
      <c r="AD13" s="4" t="str">
        <f>IFERROR(LOOKUP(2,1/((lentry!$A$3:$A$3999=jul!$A13)*(lentry!$B$3:$B$3999&lt;=jul!AD$3)*(lentry!$C$3:$C$3999&gt;=jul!AD$3)),lentry!$D$3:$D$3999),IF(WEEKDAY(jul!AD$3,1)=1,"WO","P"))</f>
        <v>P</v>
      </c>
      <c r="AE13" s="4" t="str">
        <f>IFERROR(LOOKUP(2,1/((lentry!$A$3:$A$3999=jul!$A13)*(lentry!$B$3:$B$3999&lt;=jul!AE$3)*(lentry!$C$3:$C$3999&gt;=jul!AE$3)),lentry!$D$3:$D$3999),IF(WEEKDAY(jul!AE$3,1)=1,"WO","P"))</f>
        <v>WO</v>
      </c>
      <c r="AF13" s="4" t="str">
        <f>IFERROR(LOOKUP(2,1/((lentry!$A$3:$A$3999=jul!$A13)*(lentry!$B$3:$B$3999&lt;=jul!AF$3)*(lentry!$C$3:$C$3999&gt;=jul!AF$3)),lentry!$D$3:$D$3999),IF(WEEKDAY(jul!AF$3,1)=1,"WO","P"))</f>
        <v>P</v>
      </c>
      <c r="AG13" s="4" t="str">
        <f>IFERROR(LOOKUP(2,1/((lentry!$A$3:$A$3999=jul!$A13)*(lentry!$B$3:$B$3999&lt;=jul!AG$3)*(lentry!$C$3:$C$3999&gt;=jul!AG$3)),lentry!$D$3:$D$3999),IF(WEEKDAY(jul!AG$3,1)=1,"WO","P"))</f>
        <v>P</v>
      </c>
      <c r="AH13" s="4" t="str">
        <f>IFERROR(LOOKUP(2,1/((lentry!$A$3:$A$3999=jul!$A13)*(lentry!$B$3:$B$3999&lt;=jul!AH$3)*(lentry!$C$3:$C$3999&gt;=jul!AH$3)),lentry!$D$3:$D$3999),IF(WEEKDAY(jul!AH$3,1)=1,"WO","P"))</f>
        <v>P</v>
      </c>
      <c r="AI13" s="4" t="str">
        <f>IFERROR(LOOKUP(2,1/((lentry!$A$3:$A$3999=jul!$A13)*(lentry!$B$3:$B$3999&lt;=jul!AI$3)*(lentry!$C$3:$C$3999&gt;=jul!AI$3)),lentry!$D$3:$D$3999),IF(WEEKDAY(jul!AI$3,1)=1,"WO","P"))</f>
        <v>P</v>
      </c>
      <c r="AJ13" s="4" t="str">
        <f>IFERROR(LOOKUP(2,1/((lentry!$A$3:$A$3999=jul!$A13)*(lentry!$B$3:$B$3999&lt;=jul!AJ$3)*(lentry!$C$3:$C$3999&gt;=jul!AJ$3)),lentry!$D$3:$D$3999),IF(WEEKDAY(jul!AJ$3,1)=1,"WO","P"))</f>
        <v>P</v>
      </c>
      <c r="AK13" s="4">
        <f>COUNTIF(jul!$F13:$AJ13,"WO")</f>
        <v>4</v>
      </c>
      <c r="AL13" s="4">
        <f>COUNTIF(jul!$F13:$AJ13,"H")</f>
        <v>0</v>
      </c>
      <c r="AM13" s="4">
        <f>COUNTIF(jul!$F13:$AJ13,"pl")</f>
        <v>0</v>
      </c>
      <c r="AN13" s="4">
        <f>COUNTIF(jul!$F13:$AJ13,"LWP")</f>
        <v>0</v>
      </c>
      <c r="AO13" s="4">
        <f>COUNTIF(jul!$F13:$AJ13,"HD")</f>
        <v>0</v>
      </c>
      <c r="AP13" s="4">
        <f>COUNTIF(jul!$F13:$AJ13,"SL")</f>
        <v>0</v>
      </c>
      <c r="AQ13" s="4">
        <f>COUNTIF(jul!$F13:$AJ13,"CL")</f>
        <v>0</v>
      </c>
      <c r="AR13" s="4">
        <f>COUNTIF(jul!$F13:$AJ13,"A")</f>
        <v>1</v>
      </c>
      <c r="AS13" s="4">
        <f>COUNTIF(jul!$F13:$AJ13,"P")</f>
        <v>26</v>
      </c>
      <c r="AT13" s="4">
        <f t="shared" si="2"/>
        <v>31</v>
      </c>
      <c r="AU13" s="4">
        <f t="shared" si="3"/>
        <v>30</v>
      </c>
      <c r="AV13" s="4">
        <f>SUMIFS(holly!$L$2:$L$122,holly!$I$2:$I$122,mar!$A13,holly!$K$2:$K$122,"Mar")</f>
        <v>0</v>
      </c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</row>
    <row r="14" spans="1:80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IFERROR(LOOKUP(2,1/((lentry!$A$3:$A$3999=jul!$A14)*(lentry!$B$3:$B$3999&lt;=jul!F$3)*(lentry!$C$3:$C$3999&gt;=jul!F$3)),lentry!$D$3:$D$3999),IF(WEEKDAY(jul!F$3,1)=1,"WO","P"))</f>
        <v>P</v>
      </c>
      <c r="G14" s="4" t="str">
        <f>IFERROR(LOOKUP(2,1/((lentry!$A$3:$A$3999=jul!$A14)*(lentry!$B$3:$B$3999&lt;=jul!G$3)*(lentry!$C$3:$C$3999&gt;=jul!G$3)),lentry!$D$3:$D$3999),IF(WEEKDAY(jul!G$3,1)=1,"WO","P"))</f>
        <v>P</v>
      </c>
      <c r="H14" s="4" t="str">
        <f>IFERROR(LOOKUP(2,1/((lentry!$A$3:$A$3999=jul!$A14)*(lentry!$B$3:$B$3999&lt;=jul!H$3)*(lentry!$C$3:$C$3999&gt;=jul!H$3)),lentry!$D$3:$D$3999),IF(WEEKDAY(jul!H$3,1)=1,"WO","P"))</f>
        <v>P</v>
      </c>
      <c r="I14" s="4" t="str">
        <f>IFERROR(LOOKUP(2,1/((lentry!$A$3:$A$3999=jul!$A14)*(lentry!$B$3:$B$3999&lt;=jul!I$3)*(lentry!$C$3:$C$3999&gt;=jul!I$3)),lentry!$D$3:$D$3999),IF(WEEKDAY(jul!I$3,1)=1,"WO","P"))</f>
        <v>P</v>
      </c>
      <c r="J14" s="4" t="str">
        <f>IFERROR(LOOKUP(2,1/((lentry!$A$3:$A$3999=jul!$A14)*(lentry!$B$3:$B$3999&lt;=jul!J$3)*(lentry!$C$3:$C$3999&gt;=jul!J$3)),lentry!$D$3:$D$3999),IF(WEEKDAY(jul!J$3,1)=1,"WO","P"))</f>
        <v>WO</v>
      </c>
      <c r="K14" s="4" t="str">
        <f>IFERROR(LOOKUP(2,1/((lentry!$A$3:$A$3999=jul!$A14)*(lentry!$B$3:$B$3999&lt;=jul!K$3)*(lentry!$C$3:$C$3999&gt;=jul!K$3)),lentry!$D$3:$D$3999),IF(WEEKDAY(jul!K$3,1)=1,"WO","P"))</f>
        <v>P</v>
      </c>
      <c r="L14" s="4" t="str">
        <f>IFERROR(LOOKUP(2,1/((lentry!$A$3:$A$3999=jul!$A14)*(lentry!$B$3:$B$3999&lt;=jul!L$3)*(lentry!$C$3:$C$3999&gt;=jul!L$3)),lentry!$D$3:$D$3999),IF(WEEKDAY(jul!L$3,1)=1,"WO","P"))</f>
        <v>P</v>
      </c>
      <c r="M14" s="4" t="str">
        <f>IFERROR(LOOKUP(2,1/((lentry!$A$3:$A$3999=jul!$A14)*(lentry!$B$3:$B$3999&lt;=jul!M$3)*(lentry!$C$3:$C$3999&gt;=jul!M$3)),lentry!$D$3:$D$3999),IF(WEEKDAY(jul!M$3,1)=1,"WO","P"))</f>
        <v>P</v>
      </c>
      <c r="N14" s="4" t="str">
        <f>IFERROR(LOOKUP(2,1/((lentry!$A$3:$A$3999=jul!$A14)*(lentry!$B$3:$B$3999&lt;=jul!N$3)*(lentry!$C$3:$C$3999&gt;=jul!N$3)),lentry!$D$3:$D$3999),IF(WEEKDAY(jul!N$3,1)=1,"WO","P"))</f>
        <v>P</v>
      </c>
      <c r="O14" s="4" t="str">
        <f>IFERROR(LOOKUP(2,1/((lentry!$A$3:$A$3999=jul!$A14)*(lentry!$B$3:$B$3999&lt;=jul!O$3)*(lentry!$C$3:$C$3999&gt;=jul!O$3)),lentry!$D$3:$D$3999),IF(WEEKDAY(jul!O$3,1)=1,"WO","P"))</f>
        <v>P</v>
      </c>
      <c r="P14" s="4" t="str">
        <f>IFERROR(LOOKUP(2,1/((lentry!$A$3:$A$3999=jul!$A14)*(lentry!$B$3:$B$3999&lt;=jul!P$3)*(lentry!$C$3:$C$3999&gt;=jul!P$3)),lentry!$D$3:$D$3999),IF(WEEKDAY(jul!P$3,1)=1,"WO","P"))</f>
        <v>P</v>
      </c>
      <c r="Q14" s="4" t="str">
        <f>IFERROR(LOOKUP(2,1/((lentry!$A$3:$A$3999=jul!$A14)*(lentry!$B$3:$B$3999&lt;=jul!Q$3)*(lentry!$C$3:$C$3999&gt;=jul!Q$3)),lentry!$D$3:$D$3999),IF(WEEKDAY(jul!Q$3,1)=1,"WO","P"))</f>
        <v>WO</v>
      </c>
      <c r="R14" s="4" t="str">
        <f>IFERROR(LOOKUP(2,1/((lentry!$A$3:$A$3999=jul!$A14)*(lentry!$B$3:$B$3999&lt;=jul!R$3)*(lentry!$C$3:$C$3999&gt;=jul!R$3)),lentry!$D$3:$D$3999),IF(WEEKDAY(jul!R$3,1)=1,"WO","P"))</f>
        <v>P</v>
      </c>
      <c r="S14" s="4" t="str">
        <f>IFERROR(LOOKUP(2,1/((lentry!$A$3:$A$3999=jul!$A14)*(lentry!$B$3:$B$3999&lt;=jul!S$3)*(lentry!$C$3:$C$3999&gt;=jul!S$3)),lentry!$D$3:$D$3999),IF(WEEKDAY(jul!S$3,1)=1,"WO","P"))</f>
        <v>P</v>
      </c>
      <c r="T14" s="4" t="str">
        <f>IFERROR(LOOKUP(2,1/((lentry!$A$3:$A$3999=jul!$A14)*(lentry!$B$3:$B$3999&lt;=jul!T$3)*(lentry!$C$3:$C$3999&gt;=jul!T$3)),lentry!$D$3:$D$3999),IF(WEEKDAY(jul!T$3,1)=1,"WO","P"))</f>
        <v>P</v>
      </c>
      <c r="U14" s="4" t="str">
        <f>IFERROR(LOOKUP(2,1/((lentry!$A$3:$A$3999=jul!$A14)*(lentry!$B$3:$B$3999&lt;=jul!U$3)*(lentry!$C$3:$C$3999&gt;=jul!U$3)),lentry!$D$3:$D$3999),IF(WEEKDAY(jul!U$3,1)=1,"WO","P"))</f>
        <v>P</v>
      </c>
      <c r="V14" s="4" t="s">
        <v>539</v>
      </c>
      <c r="W14" s="4" t="str">
        <f>IFERROR(LOOKUP(2,1/((lentry!$A$3:$A$3999=jul!$A14)*(lentry!$B$3:$B$3999&lt;=jul!W$3)*(lentry!$C$3:$C$3999&gt;=jul!W$3)),lentry!$D$3:$D$3999),IF(WEEKDAY(jul!W$3,1)=1,"WO","P"))</f>
        <v>P</v>
      </c>
      <c r="X14" s="4" t="str">
        <f>IFERROR(LOOKUP(2,1/((lentry!$A$3:$A$3999=jul!$A14)*(lentry!$B$3:$B$3999&lt;=jul!X$3)*(lentry!$C$3:$C$3999&gt;=jul!X$3)),lentry!$D$3:$D$3999),IF(WEEKDAY(jul!X$3,1)=1,"WO","P"))</f>
        <v>WO</v>
      </c>
      <c r="Y14" s="4" t="str">
        <f>IFERROR(LOOKUP(2,1/((lentry!$A$3:$A$3999=jul!$A14)*(lentry!$B$3:$B$3999&lt;=jul!Y$3)*(lentry!$C$3:$C$3999&gt;=jul!Y$3)),lentry!$D$3:$D$3999),IF(WEEKDAY(jul!Y$3,1)=1,"WO","P"))</f>
        <v>P</v>
      </c>
      <c r="Z14" s="4" t="str">
        <f>IFERROR(LOOKUP(2,1/((lentry!$A$3:$A$3999=jul!$A14)*(lentry!$B$3:$B$3999&lt;=jul!Z$3)*(lentry!$C$3:$C$3999&gt;=jul!Z$3)),lentry!$D$3:$D$3999),IF(WEEKDAY(jul!Z$3,1)=1,"WO","P"))</f>
        <v>P</v>
      </c>
      <c r="AA14" s="4" t="str">
        <f>IFERROR(LOOKUP(2,1/((lentry!$A$3:$A$3999=jul!$A14)*(lentry!$B$3:$B$3999&lt;=jul!AA$3)*(lentry!$C$3:$C$3999&gt;=jul!AA$3)),lentry!$D$3:$D$3999),IF(WEEKDAY(jul!AA$3,1)=1,"WO","P"))</f>
        <v>P</v>
      </c>
      <c r="AB14" s="4" t="str">
        <f>IFERROR(LOOKUP(2,1/((lentry!$A$3:$A$3999=jul!$A14)*(lentry!$B$3:$B$3999&lt;=jul!AB$3)*(lentry!$C$3:$C$3999&gt;=jul!AB$3)),lentry!$D$3:$D$3999),IF(WEEKDAY(jul!AB$3,1)=1,"WO","P"))</f>
        <v>P</v>
      </c>
      <c r="AC14" s="4" t="str">
        <f>IFERROR(LOOKUP(2,1/((lentry!$A$3:$A$3999=jul!$A14)*(lentry!$B$3:$B$3999&lt;=jul!AC$3)*(lentry!$C$3:$C$3999&gt;=jul!AC$3)),lentry!$D$3:$D$3999),IF(WEEKDAY(jul!AC$3,1)=1,"WO","P"))</f>
        <v>P</v>
      </c>
      <c r="AD14" s="4" t="str">
        <f>IFERROR(LOOKUP(2,1/((lentry!$A$3:$A$3999=jul!$A14)*(lentry!$B$3:$B$3999&lt;=jul!AD$3)*(lentry!$C$3:$C$3999&gt;=jul!AD$3)),lentry!$D$3:$D$3999),IF(WEEKDAY(jul!AD$3,1)=1,"WO","P"))</f>
        <v>P</v>
      </c>
      <c r="AE14" s="4" t="str">
        <f>IFERROR(LOOKUP(2,1/((lentry!$A$3:$A$3999=jul!$A14)*(lentry!$B$3:$B$3999&lt;=jul!AE$3)*(lentry!$C$3:$C$3999&gt;=jul!AE$3)),lentry!$D$3:$D$3999),IF(WEEKDAY(jul!AE$3,1)=1,"WO","P"))</f>
        <v>WO</v>
      </c>
      <c r="AF14" s="4" t="str">
        <f>IFERROR(LOOKUP(2,1/((lentry!$A$3:$A$3999=jul!$A14)*(lentry!$B$3:$B$3999&lt;=jul!AF$3)*(lentry!$C$3:$C$3999&gt;=jul!AF$3)),lentry!$D$3:$D$3999),IF(WEEKDAY(jul!AF$3,1)=1,"WO","P"))</f>
        <v>P</v>
      </c>
      <c r="AG14" s="4" t="str">
        <f>IFERROR(LOOKUP(2,1/((lentry!$A$3:$A$3999=jul!$A14)*(lentry!$B$3:$B$3999&lt;=jul!AG$3)*(lentry!$C$3:$C$3999&gt;=jul!AG$3)),lentry!$D$3:$D$3999),IF(WEEKDAY(jul!AG$3,1)=1,"WO","P"))</f>
        <v>P</v>
      </c>
      <c r="AH14" s="4" t="str">
        <f>IFERROR(LOOKUP(2,1/((lentry!$A$3:$A$3999=jul!$A14)*(lentry!$B$3:$B$3999&lt;=jul!AH$3)*(lentry!$C$3:$C$3999&gt;=jul!AH$3)),lentry!$D$3:$D$3999),IF(WEEKDAY(jul!AH$3,1)=1,"WO","P"))</f>
        <v>P</v>
      </c>
      <c r="AI14" s="4" t="str">
        <f>IFERROR(LOOKUP(2,1/((lentry!$A$3:$A$3999=jul!$A14)*(lentry!$B$3:$B$3999&lt;=jul!AI$3)*(lentry!$C$3:$C$3999&gt;=jul!AI$3)),lentry!$D$3:$D$3999),IF(WEEKDAY(jul!AI$3,1)=1,"WO","P"))</f>
        <v>P</v>
      </c>
      <c r="AJ14" s="4" t="str">
        <f>IFERROR(LOOKUP(2,1/((lentry!$A$3:$A$3999=jul!$A14)*(lentry!$B$3:$B$3999&lt;=jul!AJ$3)*(lentry!$C$3:$C$3999&gt;=jul!AJ$3)),lentry!$D$3:$D$3999),IF(WEEKDAY(jul!AJ$3,1)=1,"WO","P"))</f>
        <v>P</v>
      </c>
      <c r="AK14" s="4">
        <f>COUNTIF(jul!$F14:$AJ14,"WO")</f>
        <v>4</v>
      </c>
      <c r="AL14" s="4">
        <f>COUNTIF(jul!$F14:$AJ14,"H")</f>
        <v>0</v>
      </c>
      <c r="AM14" s="4">
        <f>COUNTIF(jul!$F14:$AJ14,"pl")</f>
        <v>0</v>
      </c>
      <c r="AN14" s="4">
        <f>COUNTIF(jul!$F14:$AJ14,"LWP")</f>
        <v>0</v>
      </c>
      <c r="AO14" s="4">
        <f>COUNTIF(jul!$F14:$AJ14,"HD")</f>
        <v>0</v>
      </c>
      <c r="AP14" s="4">
        <f>COUNTIF(jul!$F14:$AJ14,"SL")</f>
        <v>0</v>
      </c>
      <c r="AQ14" s="4">
        <f>COUNTIF(jul!$F14:$AJ14,"CL")</f>
        <v>0</v>
      </c>
      <c r="AR14" s="4">
        <f>COUNTIF(jul!$F14:$AJ14,"A")</f>
        <v>1</v>
      </c>
      <c r="AS14" s="4">
        <f>COUNTIF(jul!$F14:$AJ14,"P")</f>
        <v>26</v>
      </c>
      <c r="AT14" s="4">
        <f t="shared" si="2"/>
        <v>31</v>
      </c>
      <c r="AU14" s="4">
        <f t="shared" si="3"/>
        <v>30</v>
      </c>
      <c r="AV14" s="4">
        <f>SUMIFS(holly!$L$2:$L$122,holly!$I$2:$I$122,mar!$A14,holly!$K$2:$K$122,"Mar")</f>
        <v>4</v>
      </c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</row>
    <row r="15" spans="1:80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IFERROR(LOOKUP(2,1/((lentry!$A$3:$A$3999=jul!$A15)*(lentry!$B$3:$B$3999&lt;=jul!F$3)*(lentry!$C$3:$C$3999&gt;=jul!F$3)),lentry!$D$3:$D$3999),IF(WEEKDAY(jul!F$3,1)=1,"WO","P"))</f>
        <v>P</v>
      </c>
      <c r="G15" s="4" t="str">
        <f>IFERROR(LOOKUP(2,1/((lentry!$A$3:$A$3999=jul!$A15)*(lentry!$B$3:$B$3999&lt;=jul!G$3)*(lentry!$C$3:$C$3999&gt;=jul!G$3)),lentry!$D$3:$D$3999),IF(WEEKDAY(jul!G$3,1)=1,"WO","P"))</f>
        <v>P</v>
      </c>
      <c r="H15" s="4" t="str">
        <f>IFERROR(LOOKUP(2,1/((lentry!$A$3:$A$3999=jul!$A15)*(lentry!$B$3:$B$3999&lt;=jul!H$3)*(lentry!$C$3:$C$3999&gt;=jul!H$3)),lentry!$D$3:$D$3999),IF(WEEKDAY(jul!H$3,1)=1,"WO","P"))</f>
        <v>P</v>
      </c>
      <c r="I15" s="4" t="str">
        <f>IFERROR(LOOKUP(2,1/((lentry!$A$3:$A$3999=jul!$A15)*(lentry!$B$3:$B$3999&lt;=jul!I$3)*(lentry!$C$3:$C$3999&gt;=jul!I$3)),lentry!$D$3:$D$3999),IF(WEEKDAY(jul!I$3,1)=1,"WO","P"))</f>
        <v>P</v>
      </c>
      <c r="J15" s="4" t="str">
        <f>IFERROR(LOOKUP(2,1/((lentry!$A$3:$A$3999=jul!$A15)*(lentry!$B$3:$B$3999&lt;=jul!J$3)*(lentry!$C$3:$C$3999&gt;=jul!J$3)),lentry!$D$3:$D$3999),IF(WEEKDAY(jul!J$3,1)=1,"WO","P"))</f>
        <v>WO</v>
      </c>
      <c r="K15" s="4" t="str">
        <f>IFERROR(LOOKUP(2,1/((lentry!$A$3:$A$3999=jul!$A15)*(lentry!$B$3:$B$3999&lt;=jul!K$3)*(lentry!$C$3:$C$3999&gt;=jul!K$3)),lentry!$D$3:$D$3999),IF(WEEKDAY(jul!K$3,1)=1,"WO","P"))</f>
        <v>P</v>
      </c>
      <c r="L15" s="4" t="s">
        <v>539</v>
      </c>
      <c r="M15" s="4" t="str">
        <f>IFERROR(LOOKUP(2,1/((lentry!$A$3:$A$3999=jul!$A15)*(lentry!$B$3:$B$3999&lt;=jul!M$3)*(lentry!$C$3:$C$3999&gt;=jul!M$3)),lentry!$D$3:$D$3999),IF(WEEKDAY(jul!M$3,1)=1,"WO","P"))</f>
        <v>P</v>
      </c>
      <c r="N15" s="4" t="str">
        <f>IFERROR(LOOKUP(2,1/((lentry!$A$3:$A$3999=jul!$A15)*(lentry!$B$3:$B$3999&lt;=jul!N$3)*(lentry!$C$3:$C$3999&gt;=jul!N$3)),lentry!$D$3:$D$3999),IF(WEEKDAY(jul!N$3,1)=1,"WO","P"))</f>
        <v>P</v>
      </c>
      <c r="O15" s="4" t="str">
        <f>IFERROR(LOOKUP(2,1/((lentry!$A$3:$A$3999=jul!$A15)*(lentry!$B$3:$B$3999&lt;=jul!O$3)*(lentry!$C$3:$C$3999&gt;=jul!O$3)),lentry!$D$3:$D$3999),IF(WEEKDAY(jul!O$3,1)=1,"WO","P"))</f>
        <v>P</v>
      </c>
      <c r="P15" s="4" t="str">
        <f>IFERROR(LOOKUP(2,1/((lentry!$A$3:$A$3999=jul!$A15)*(lentry!$B$3:$B$3999&lt;=jul!P$3)*(lentry!$C$3:$C$3999&gt;=jul!P$3)),lentry!$D$3:$D$3999),IF(WEEKDAY(jul!P$3,1)=1,"WO","P"))</f>
        <v>P</v>
      </c>
      <c r="Q15" s="4" t="str">
        <f>IFERROR(LOOKUP(2,1/((lentry!$A$3:$A$3999=jul!$A15)*(lentry!$B$3:$B$3999&lt;=jul!Q$3)*(lentry!$C$3:$C$3999&gt;=jul!Q$3)),lentry!$D$3:$D$3999),IF(WEEKDAY(jul!Q$3,1)=1,"WO","P"))</f>
        <v>WO</v>
      </c>
      <c r="R15" s="4" t="str">
        <f>IFERROR(LOOKUP(2,1/((lentry!$A$3:$A$3999=jul!$A15)*(lentry!$B$3:$B$3999&lt;=jul!R$3)*(lentry!$C$3:$C$3999&gt;=jul!R$3)),lentry!$D$3:$D$3999),IF(WEEKDAY(jul!R$3,1)=1,"WO","P"))</f>
        <v>P</v>
      </c>
      <c r="S15" s="4" t="str">
        <f>IFERROR(LOOKUP(2,1/((lentry!$A$3:$A$3999=jul!$A15)*(lentry!$B$3:$B$3999&lt;=jul!S$3)*(lentry!$C$3:$C$3999&gt;=jul!S$3)),lentry!$D$3:$D$3999),IF(WEEKDAY(jul!S$3,1)=1,"WO","P"))</f>
        <v>P</v>
      </c>
      <c r="T15" s="4" t="str">
        <f>IFERROR(LOOKUP(2,1/((lentry!$A$3:$A$3999=jul!$A15)*(lentry!$B$3:$B$3999&lt;=jul!T$3)*(lentry!$C$3:$C$3999&gt;=jul!T$3)),lentry!$D$3:$D$3999),IF(WEEKDAY(jul!T$3,1)=1,"WO","P"))</f>
        <v>P</v>
      </c>
      <c r="U15" s="4" t="str">
        <f>IFERROR(LOOKUP(2,1/((lentry!$A$3:$A$3999=jul!$A15)*(lentry!$B$3:$B$3999&lt;=jul!U$3)*(lentry!$C$3:$C$3999&gt;=jul!U$3)),lentry!$D$3:$D$3999),IF(WEEKDAY(jul!U$3,1)=1,"WO","P"))</f>
        <v>P</v>
      </c>
      <c r="V15" s="4" t="str">
        <f>IFERROR(LOOKUP(2,1/((lentry!$A$3:$A$3999=jul!$A15)*(lentry!$B$3:$B$3999&lt;=jul!V$3)*(lentry!$C$3:$C$3999&gt;=jul!V$3)),lentry!$D$3:$D$3999),IF(WEEKDAY(jul!V$3,1)=1,"WO","P"))</f>
        <v>P</v>
      </c>
      <c r="W15" s="4" t="str">
        <f>IFERROR(LOOKUP(2,1/((lentry!$A$3:$A$3999=jul!$A15)*(lentry!$B$3:$B$3999&lt;=jul!W$3)*(lentry!$C$3:$C$3999&gt;=jul!W$3)),lentry!$D$3:$D$3999),IF(WEEKDAY(jul!W$3,1)=1,"WO","P"))</f>
        <v>P</v>
      </c>
      <c r="X15" s="4" t="str">
        <f>IFERROR(LOOKUP(2,1/((lentry!$A$3:$A$3999=jul!$A15)*(lentry!$B$3:$B$3999&lt;=jul!X$3)*(lentry!$C$3:$C$3999&gt;=jul!X$3)),lentry!$D$3:$D$3999),IF(WEEKDAY(jul!X$3,1)=1,"WO","P"))</f>
        <v>WO</v>
      </c>
      <c r="Y15" s="4" t="str">
        <f>IFERROR(LOOKUP(2,1/((lentry!$A$3:$A$3999=jul!$A15)*(lentry!$B$3:$B$3999&lt;=jul!Y$3)*(lentry!$C$3:$C$3999&gt;=jul!Y$3)),lentry!$D$3:$D$3999),IF(WEEKDAY(jul!Y$3,1)=1,"WO","P"))</f>
        <v>P</v>
      </c>
      <c r="Z15" s="4" t="str">
        <f>IFERROR(LOOKUP(2,1/((lentry!$A$3:$A$3999=jul!$A15)*(lentry!$B$3:$B$3999&lt;=jul!Z$3)*(lentry!$C$3:$C$3999&gt;=jul!Z$3)),lentry!$D$3:$D$3999),IF(WEEKDAY(jul!Z$3,1)=1,"WO","P"))</f>
        <v>P</v>
      </c>
      <c r="AA15" s="4" t="str">
        <f>IFERROR(LOOKUP(2,1/((lentry!$A$3:$A$3999=jul!$A15)*(lentry!$B$3:$B$3999&lt;=jul!AA$3)*(lentry!$C$3:$C$3999&gt;=jul!AA$3)),lentry!$D$3:$D$3999),IF(WEEKDAY(jul!AA$3,1)=1,"WO","P"))</f>
        <v>P</v>
      </c>
      <c r="AB15" s="4" t="str">
        <f>IFERROR(LOOKUP(2,1/((lentry!$A$3:$A$3999=jul!$A15)*(lentry!$B$3:$B$3999&lt;=jul!AB$3)*(lentry!$C$3:$C$3999&gt;=jul!AB$3)),lentry!$D$3:$D$3999),IF(WEEKDAY(jul!AB$3,1)=1,"WO","P"))</f>
        <v>P</v>
      </c>
      <c r="AC15" s="4" t="str">
        <f>IFERROR(LOOKUP(2,1/((lentry!$A$3:$A$3999=jul!$A15)*(lentry!$B$3:$B$3999&lt;=jul!AC$3)*(lentry!$C$3:$C$3999&gt;=jul!AC$3)),lentry!$D$3:$D$3999),IF(WEEKDAY(jul!AC$3,1)=1,"WO","P"))</f>
        <v>P</v>
      </c>
      <c r="AD15" s="4" t="str">
        <f>IFERROR(LOOKUP(2,1/((lentry!$A$3:$A$3999=jul!$A15)*(lentry!$B$3:$B$3999&lt;=jul!AD$3)*(lentry!$C$3:$C$3999&gt;=jul!AD$3)),lentry!$D$3:$D$3999),IF(WEEKDAY(jul!AD$3,1)=1,"WO","P"))</f>
        <v>P</v>
      </c>
      <c r="AE15" s="4" t="str">
        <f>IFERROR(LOOKUP(2,1/((lentry!$A$3:$A$3999=jul!$A15)*(lentry!$B$3:$B$3999&lt;=jul!AE$3)*(lentry!$C$3:$C$3999&gt;=jul!AE$3)),lentry!$D$3:$D$3999),IF(WEEKDAY(jul!AE$3,1)=1,"WO","P"))</f>
        <v>WO</v>
      </c>
      <c r="AF15" s="4" t="str">
        <f>IFERROR(LOOKUP(2,1/((lentry!$A$3:$A$3999=jul!$A15)*(lentry!$B$3:$B$3999&lt;=jul!AF$3)*(lentry!$C$3:$C$3999&gt;=jul!AF$3)),lentry!$D$3:$D$3999),IF(WEEKDAY(jul!AF$3,1)=1,"WO","P"))</f>
        <v>P</v>
      </c>
      <c r="AG15" s="4" t="str">
        <f>IFERROR(LOOKUP(2,1/((lentry!$A$3:$A$3999=jul!$A15)*(lentry!$B$3:$B$3999&lt;=jul!AG$3)*(lentry!$C$3:$C$3999&gt;=jul!AG$3)),lentry!$D$3:$D$3999),IF(WEEKDAY(jul!AG$3,1)=1,"WO","P"))</f>
        <v>P</v>
      </c>
      <c r="AH15" s="4" t="str">
        <f>IFERROR(LOOKUP(2,1/((lentry!$A$3:$A$3999=jul!$A15)*(lentry!$B$3:$B$3999&lt;=jul!AH$3)*(lentry!$C$3:$C$3999&gt;=jul!AH$3)),lentry!$D$3:$D$3999),IF(WEEKDAY(jul!AH$3,1)=1,"WO","P"))</f>
        <v>P</v>
      </c>
      <c r="AI15" s="4" t="str">
        <f>IFERROR(LOOKUP(2,1/((lentry!$A$3:$A$3999=jul!$A15)*(lentry!$B$3:$B$3999&lt;=jul!AI$3)*(lentry!$C$3:$C$3999&gt;=jul!AI$3)),lentry!$D$3:$D$3999),IF(WEEKDAY(jul!AI$3,1)=1,"WO","P"))</f>
        <v>P</v>
      </c>
      <c r="AJ15" s="4" t="str">
        <f>IFERROR(LOOKUP(2,1/((lentry!$A$3:$A$3999=jul!$A15)*(lentry!$B$3:$B$3999&lt;=jul!AJ$3)*(lentry!$C$3:$C$3999&gt;=jul!AJ$3)),lentry!$D$3:$D$3999),IF(WEEKDAY(jul!AJ$3,1)=1,"WO","P"))</f>
        <v>P</v>
      </c>
      <c r="AK15" s="4">
        <f>COUNTIF(jul!$F15:$AJ15,"WO")</f>
        <v>4</v>
      </c>
      <c r="AL15" s="4">
        <f>COUNTIF(jul!$F15:$AJ15,"H")</f>
        <v>0</v>
      </c>
      <c r="AM15" s="4">
        <f>COUNTIF(jul!$F15:$AJ15,"pl")</f>
        <v>0</v>
      </c>
      <c r="AN15" s="4">
        <f>COUNTIF(jul!$F15:$AJ15,"LWP")</f>
        <v>0</v>
      </c>
      <c r="AO15" s="4">
        <f>COUNTIF(jul!$F15:$AJ15,"HD")</f>
        <v>0</v>
      </c>
      <c r="AP15" s="4">
        <f>COUNTIF(jul!$F15:$AJ15,"SL")</f>
        <v>0</v>
      </c>
      <c r="AQ15" s="4">
        <f>COUNTIF(jul!$F15:$AJ15,"CL")</f>
        <v>0</v>
      </c>
      <c r="AR15" s="4">
        <f>COUNTIF(jul!$F15:$AJ15,"A")</f>
        <v>1</v>
      </c>
      <c r="AS15" s="4">
        <f>COUNTIF(jul!$F15:$AJ15,"P")</f>
        <v>26</v>
      </c>
      <c r="AT15" s="4">
        <f t="shared" si="2"/>
        <v>31</v>
      </c>
      <c r="AU15" s="4">
        <f t="shared" si="3"/>
        <v>30</v>
      </c>
      <c r="AV15" s="4">
        <f>SUMIFS(holly!$L$2:$L$122,holly!$I$2:$I$122,mar!$A15,holly!$K$2:$K$122,"Mar")</f>
        <v>1</v>
      </c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</row>
    <row r="16" spans="1:80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IFERROR(LOOKUP(2,1/((lentry!$A$3:$A$3999=jul!$A16)*(lentry!$B$3:$B$3999&lt;=jul!F$3)*(lentry!$C$3:$C$3999&gt;=jul!F$3)),lentry!$D$3:$D$3999),IF(WEEKDAY(jul!F$3,1)=1,"WO","P"))</f>
        <v>P</v>
      </c>
      <c r="G16" s="4" t="str">
        <f>IFERROR(LOOKUP(2,1/((lentry!$A$3:$A$3999=jul!$A16)*(lentry!$B$3:$B$3999&lt;=jul!G$3)*(lentry!$C$3:$C$3999&gt;=jul!G$3)),lentry!$D$3:$D$3999),IF(WEEKDAY(jul!G$3,1)=1,"WO","P"))</f>
        <v>P</v>
      </c>
      <c r="H16" s="4" t="str">
        <f>IFERROR(LOOKUP(2,1/((lentry!$A$3:$A$3999=jul!$A16)*(lentry!$B$3:$B$3999&lt;=jul!H$3)*(lentry!$C$3:$C$3999&gt;=jul!H$3)),lentry!$D$3:$D$3999),IF(WEEKDAY(jul!H$3,1)=1,"WO","P"))</f>
        <v>P</v>
      </c>
      <c r="I16" s="4" t="str">
        <f>IFERROR(LOOKUP(2,1/((lentry!$A$3:$A$3999=jul!$A16)*(lentry!$B$3:$B$3999&lt;=jul!I$3)*(lentry!$C$3:$C$3999&gt;=jul!I$3)),lentry!$D$3:$D$3999),IF(WEEKDAY(jul!I$3,1)=1,"WO","P"))</f>
        <v>P</v>
      </c>
      <c r="J16" s="4" t="str">
        <f>IFERROR(LOOKUP(2,1/((lentry!$A$3:$A$3999=jul!$A16)*(lentry!$B$3:$B$3999&lt;=jul!J$3)*(lentry!$C$3:$C$3999&gt;=jul!J$3)),lentry!$D$3:$D$3999),IF(WEEKDAY(jul!J$3,1)=1,"WO","P"))</f>
        <v>WO</v>
      </c>
      <c r="K16" s="4" t="str">
        <f>IFERROR(LOOKUP(2,1/((lentry!$A$3:$A$3999=jul!$A16)*(lentry!$B$3:$B$3999&lt;=jul!K$3)*(lentry!$C$3:$C$3999&gt;=jul!K$3)),lentry!$D$3:$D$3999),IF(WEEKDAY(jul!K$3,1)=1,"WO","P"))</f>
        <v>P</v>
      </c>
      <c r="L16" s="4" t="str">
        <f>IFERROR(LOOKUP(2,1/((lentry!$A$3:$A$3999=jul!$A16)*(lentry!$B$3:$B$3999&lt;=jul!L$3)*(lentry!$C$3:$C$3999&gt;=jul!L$3)),lentry!$D$3:$D$3999),IF(WEEKDAY(jul!L$3,1)=1,"WO","P"))</f>
        <v>P</v>
      </c>
      <c r="M16" s="4" t="str">
        <f>IFERROR(LOOKUP(2,1/((lentry!$A$3:$A$3999=jul!$A16)*(lentry!$B$3:$B$3999&lt;=jul!M$3)*(lentry!$C$3:$C$3999&gt;=jul!M$3)),lentry!$D$3:$D$3999),IF(WEEKDAY(jul!M$3,1)=1,"WO","P"))</f>
        <v>P</v>
      </c>
      <c r="N16" s="4" t="str">
        <f>IFERROR(LOOKUP(2,1/((lentry!$A$3:$A$3999=jul!$A16)*(lentry!$B$3:$B$3999&lt;=jul!N$3)*(lentry!$C$3:$C$3999&gt;=jul!N$3)),lentry!$D$3:$D$3999),IF(WEEKDAY(jul!N$3,1)=1,"WO","P"))</f>
        <v>P</v>
      </c>
      <c r="O16" s="4" t="str">
        <f>IFERROR(LOOKUP(2,1/((lentry!$A$3:$A$3999=jul!$A16)*(lentry!$B$3:$B$3999&lt;=jul!O$3)*(lentry!$C$3:$C$3999&gt;=jul!O$3)),lentry!$D$3:$D$3999),IF(WEEKDAY(jul!O$3,1)=1,"WO","P"))</f>
        <v>P</v>
      </c>
      <c r="P16" s="4" t="str">
        <f>IFERROR(LOOKUP(2,1/((lentry!$A$3:$A$3999=jul!$A16)*(lentry!$B$3:$B$3999&lt;=jul!P$3)*(lentry!$C$3:$C$3999&gt;=jul!P$3)),lentry!$D$3:$D$3999),IF(WEEKDAY(jul!P$3,1)=1,"WO","P"))</f>
        <v>P</v>
      </c>
      <c r="Q16" s="4" t="str">
        <f>IFERROR(LOOKUP(2,1/((lentry!$A$3:$A$3999=jul!$A16)*(lentry!$B$3:$B$3999&lt;=jul!Q$3)*(lentry!$C$3:$C$3999&gt;=jul!Q$3)),lentry!$D$3:$D$3999),IF(WEEKDAY(jul!Q$3,1)=1,"WO","P"))</f>
        <v>WO</v>
      </c>
      <c r="R16" s="4" t="str">
        <f>IFERROR(LOOKUP(2,1/((lentry!$A$3:$A$3999=jul!$A16)*(lentry!$B$3:$B$3999&lt;=jul!R$3)*(lentry!$C$3:$C$3999&gt;=jul!R$3)),lentry!$D$3:$D$3999),IF(WEEKDAY(jul!R$3,1)=1,"WO","P"))</f>
        <v>P</v>
      </c>
      <c r="S16" s="4" t="str">
        <f>IFERROR(LOOKUP(2,1/((lentry!$A$3:$A$3999=jul!$A16)*(lentry!$B$3:$B$3999&lt;=jul!S$3)*(lentry!$C$3:$C$3999&gt;=jul!S$3)),lentry!$D$3:$D$3999),IF(WEEKDAY(jul!S$3,1)=1,"WO","P"))</f>
        <v>P</v>
      </c>
      <c r="T16" s="4" t="str">
        <f>IFERROR(LOOKUP(2,1/((lentry!$A$3:$A$3999=jul!$A16)*(lentry!$B$3:$B$3999&lt;=jul!T$3)*(lentry!$C$3:$C$3999&gt;=jul!T$3)),lentry!$D$3:$D$3999),IF(WEEKDAY(jul!T$3,1)=1,"WO","P"))</f>
        <v>P</v>
      </c>
      <c r="U16" s="4" t="str">
        <f>IFERROR(LOOKUP(2,1/((lentry!$A$3:$A$3999=jul!$A16)*(lentry!$B$3:$B$3999&lt;=jul!U$3)*(lentry!$C$3:$C$3999&gt;=jul!U$3)),lentry!$D$3:$D$3999),IF(WEEKDAY(jul!U$3,1)=1,"WO","P"))</f>
        <v>P</v>
      </c>
      <c r="V16" s="4" t="str">
        <f>IFERROR(LOOKUP(2,1/((lentry!$A$3:$A$3999=jul!$A16)*(lentry!$B$3:$B$3999&lt;=jul!V$3)*(lentry!$C$3:$C$3999&gt;=jul!V$3)),lentry!$D$3:$D$3999),IF(WEEKDAY(jul!V$3,1)=1,"WO","P"))</f>
        <v>P</v>
      </c>
      <c r="W16" s="4" t="str">
        <f>IFERROR(LOOKUP(2,1/((lentry!$A$3:$A$3999=jul!$A16)*(lentry!$B$3:$B$3999&lt;=jul!W$3)*(lentry!$C$3:$C$3999&gt;=jul!W$3)),lentry!$D$3:$D$3999),IF(WEEKDAY(jul!W$3,1)=1,"WO","P"))</f>
        <v>P</v>
      </c>
      <c r="X16" s="4" t="str">
        <f>IFERROR(LOOKUP(2,1/((lentry!$A$3:$A$3999=jul!$A16)*(lentry!$B$3:$B$3999&lt;=jul!X$3)*(lentry!$C$3:$C$3999&gt;=jul!X$3)),lentry!$D$3:$D$3999),IF(WEEKDAY(jul!X$3,1)=1,"WO","P"))</f>
        <v>WO</v>
      </c>
      <c r="Y16" s="4" t="str">
        <f>IFERROR(LOOKUP(2,1/((lentry!$A$3:$A$3999=jul!$A16)*(lentry!$B$3:$B$3999&lt;=jul!Y$3)*(lentry!$C$3:$C$3999&gt;=jul!Y$3)),lentry!$D$3:$D$3999),IF(WEEKDAY(jul!Y$3,1)=1,"WO","P"))</f>
        <v>P</v>
      </c>
      <c r="Z16" s="4" t="str">
        <f>IFERROR(LOOKUP(2,1/((lentry!$A$3:$A$3999=jul!$A16)*(lentry!$B$3:$B$3999&lt;=jul!Z$3)*(lentry!$C$3:$C$3999&gt;=jul!Z$3)),lentry!$D$3:$D$3999),IF(WEEKDAY(jul!Z$3,1)=1,"WO","P"))</f>
        <v>P</v>
      </c>
      <c r="AA16" s="4" t="str">
        <f>IFERROR(LOOKUP(2,1/((lentry!$A$3:$A$3999=jul!$A16)*(lentry!$B$3:$B$3999&lt;=jul!AA$3)*(lentry!$C$3:$C$3999&gt;=jul!AA$3)),lentry!$D$3:$D$3999),IF(WEEKDAY(jul!AA$3,1)=1,"WO","P"))</f>
        <v>P</v>
      </c>
      <c r="AB16" s="4" t="str">
        <f>IFERROR(LOOKUP(2,1/((lentry!$A$3:$A$3999=jul!$A16)*(lentry!$B$3:$B$3999&lt;=jul!AB$3)*(lentry!$C$3:$C$3999&gt;=jul!AB$3)),lentry!$D$3:$D$3999),IF(WEEKDAY(jul!AB$3,1)=1,"WO","P"))</f>
        <v>P</v>
      </c>
      <c r="AC16" s="4" t="str">
        <f>IFERROR(LOOKUP(2,1/((lentry!$A$3:$A$3999=jul!$A16)*(lentry!$B$3:$B$3999&lt;=jul!AC$3)*(lentry!$C$3:$C$3999&gt;=jul!AC$3)),lentry!$D$3:$D$3999),IF(WEEKDAY(jul!AC$3,1)=1,"WO","P"))</f>
        <v>P</v>
      </c>
      <c r="AD16" s="4" t="str">
        <f>IFERROR(LOOKUP(2,1/((lentry!$A$3:$A$3999=jul!$A16)*(lentry!$B$3:$B$3999&lt;=jul!AD$3)*(lentry!$C$3:$C$3999&gt;=jul!AD$3)),lentry!$D$3:$D$3999),IF(WEEKDAY(jul!AD$3,1)=1,"WO","P"))</f>
        <v>P</v>
      </c>
      <c r="AE16" s="4" t="str">
        <f>IFERROR(LOOKUP(2,1/((lentry!$A$3:$A$3999=jul!$A16)*(lentry!$B$3:$B$3999&lt;=jul!AE$3)*(lentry!$C$3:$C$3999&gt;=jul!AE$3)),lentry!$D$3:$D$3999),IF(WEEKDAY(jul!AE$3,1)=1,"WO","P"))</f>
        <v>WO</v>
      </c>
      <c r="AF16" s="4" t="str">
        <f>IFERROR(LOOKUP(2,1/((lentry!$A$3:$A$3999=jul!$A16)*(lentry!$B$3:$B$3999&lt;=jul!AF$3)*(lentry!$C$3:$C$3999&gt;=jul!AF$3)),lentry!$D$3:$D$3999),IF(WEEKDAY(jul!AF$3,1)=1,"WO","P"))</f>
        <v>P</v>
      </c>
      <c r="AG16" s="4" t="str">
        <f>IFERROR(LOOKUP(2,1/((lentry!$A$3:$A$3999=jul!$A16)*(lentry!$B$3:$B$3999&lt;=jul!AG$3)*(lentry!$C$3:$C$3999&gt;=jul!AG$3)),lentry!$D$3:$D$3999),IF(WEEKDAY(jul!AG$3,1)=1,"WO","P"))</f>
        <v>P</v>
      </c>
      <c r="AH16" s="4" t="str">
        <f>IFERROR(LOOKUP(2,1/((lentry!$A$3:$A$3999=jul!$A16)*(lentry!$B$3:$B$3999&lt;=jul!AH$3)*(lentry!$C$3:$C$3999&gt;=jul!AH$3)),lentry!$D$3:$D$3999),IF(WEEKDAY(jul!AH$3,1)=1,"WO","P"))</f>
        <v>P</v>
      </c>
      <c r="AI16" s="4" t="str">
        <f>IFERROR(LOOKUP(2,1/((lentry!$A$3:$A$3999=jul!$A16)*(lentry!$B$3:$B$3999&lt;=jul!AI$3)*(lentry!$C$3:$C$3999&gt;=jul!AI$3)),lentry!$D$3:$D$3999),IF(WEEKDAY(jul!AI$3,1)=1,"WO","P"))</f>
        <v>P</v>
      </c>
      <c r="AJ16" s="4" t="str">
        <f>IFERROR(LOOKUP(2,1/((lentry!$A$3:$A$3999=jul!$A16)*(lentry!$B$3:$B$3999&lt;=jul!AJ$3)*(lentry!$C$3:$C$3999&gt;=jul!AJ$3)),lentry!$D$3:$D$3999),IF(WEEKDAY(jul!AJ$3,1)=1,"WO","P"))</f>
        <v>PL</v>
      </c>
      <c r="AK16" s="4">
        <f>COUNTIF(jul!$F16:$AJ16,"WO")</f>
        <v>4</v>
      </c>
      <c r="AL16" s="4">
        <f>COUNTIF(jul!$F16:$AJ16,"H")</f>
        <v>0</v>
      </c>
      <c r="AM16" s="4">
        <f>COUNTIF(jul!$F16:$AJ16,"pl")</f>
        <v>1</v>
      </c>
      <c r="AN16" s="4">
        <f>COUNTIF(jul!$F16:$AJ16,"LWP")</f>
        <v>0</v>
      </c>
      <c r="AO16" s="4">
        <f>COUNTIF(jul!$F16:$AJ16,"HD")</f>
        <v>0</v>
      </c>
      <c r="AP16" s="4">
        <f>COUNTIF(jul!$F16:$AJ16,"SL")</f>
        <v>0</v>
      </c>
      <c r="AQ16" s="4">
        <f>COUNTIF(jul!$F16:$AJ16,"CL")</f>
        <v>0</v>
      </c>
      <c r="AR16" s="4">
        <f>COUNTIF(jul!$F16:$AJ16,"A")</f>
        <v>0</v>
      </c>
      <c r="AS16" s="4">
        <f>COUNTIF(jul!$F16:$AJ16,"P")</f>
        <v>26</v>
      </c>
      <c r="AT16" s="4">
        <f t="shared" si="2"/>
        <v>31</v>
      </c>
      <c r="AU16" s="4">
        <f t="shared" si="3"/>
        <v>31</v>
      </c>
      <c r="AV16" s="4">
        <f>SUMIFS(holly!$L$2:$L$122,holly!$I$2:$I$122,mar!$A16,holly!$K$2:$K$122,"Mar")</f>
        <v>0</v>
      </c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</row>
    <row r="17" spans="1:80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IFERROR(LOOKUP(2,1/((lentry!$A$3:$A$3999=jul!$A17)*(lentry!$B$3:$B$3999&lt;=jul!F$3)*(lentry!$C$3:$C$3999&gt;=jul!F$3)),lentry!$D$3:$D$3999),IF(WEEKDAY(jul!F$3,1)=1,"WO","P"))</f>
        <v>P</v>
      </c>
      <c r="G17" s="4" t="str">
        <f>IFERROR(LOOKUP(2,1/((lentry!$A$3:$A$3999=jul!$A17)*(lentry!$B$3:$B$3999&lt;=jul!G$3)*(lentry!$C$3:$C$3999&gt;=jul!G$3)),lentry!$D$3:$D$3999),IF(WEEKDAY(jul!G$3,1)=1,"WO","P"))</f>
        <v>P</v>
      </c>
      <c r="H17" s="4" t="str">
        <f>IFERROR(LOOKUP(2,1/((lentry!$A$3:$A$3999=jul!$A17)*(lentry!$B$3:$B$3999&lt;=jul!H$3)*(lentry!$C$3:$C$3999&gt;=jul!H$3)),lentry!$D$3:$D$3999),IF(WEEKDAY(jul!H$3,1)=1,"WO","P"))</f>
        <v>P</v>
      </c>
      <c r="I17" s="4" t="str">
        <f>IFERROR(LOOKUP(2,1/((lentry!$A$3:$A$3999=jul!$A17)*(lentry!$B$3:$B$3999&lt;=jul!I$3)*(lentry!$C$3:$C$3999&gt;=jul!I$3)),lentry!$D$3:$D$3999),IF(WEEKDAY(jul!I$3,1)=1,"WO","P"))</f>
        <v>P</v>
      </c>
      <c r="J17" s="4" t="str">
        <f>IFERROR(LOOKUP(2,1/((lentry!$A$3:$A$3999=jul!$A17)*(lentry!$B$3:$B$3999&lt;=jul!J$3)*(lentry!$C$3:$C$3999&gt;=jul!J$3)),lentry!$D$3:$D$3999),IF(WEEKDAY(jul!J$3,1)=1,"WO","P"))</f>
        <v>WO</v>
      </c>
      <c r="K17" s="4" t="str">
        <f>IFERROR(LOOKUP(2,1/((lentry!$A$3:$A$3999=jul!$A17)*(lentry!$B$3:$B$3999&lt;=jul!K$3)*(lentry!$C$3:$C$3999&gt;=jul!K$3)),lentry!$D$3:$D$3999),IF(WEEKDAY(jul!K$3,1)=1,"WO","P"))</f>
        <v>P</v>
      </c>
      <c r="L17" s="4" t="str">
        <f>IFERROR(LOOKUP(2,1/((lentry!$A$3:$A$3999=jul!$A17)*(lentry!$B$3:$B$3999&lt;=jul!L$3)*(lentry!$C$3:$C$3999&gt;=jul!L$3)),lentry!$D$3:$D$3999),IF(WEEKDAY(jul!L$3,1)=1,"WO","P"))</f>
        <v>P</v>
      </c>
      <c r="M17" s="4" t="str">
        <f>IFERROR(LOOKUP(2,1/((lentry!$A$3:$A$3999=jul!$A17)*(lentry!$B$3:$B$3999&lt;=jul!M$3)*(lentry!$C$3:$C$3999&gt;=jul!M$3)),lentry!$D$3:$D$3999),IF(WEEKDAY(jul!M$3,1)=1,"WO","P"))</f>
        <v>P</v>
      </c>
      <c r="N17" s="4" t="str">
        <f>IFERROR(LOOKUP(2,1/((lentry!$A$3:$A$3999=jul!$A17)*(lentry!$B$3:$B$3999&lt;=jul!N$3)*(lentry!$C$3:$C$3999&gt;=jul!N$3)),lentry!$D$3:$D$3999),IF(WEEKDAY(jul!N$3,1)=1,"WO","P"))</f>
        <v>P</v>
      </c>
      <c r="O17" s="4" t="str">
        <f>IFERROR(LOOKUP(2,1/((lentry!$A$3:$A$3999=jul!$A17)*(lentry!$B$3:$B$3999&lt;=jul!O$3)*(lentry!$C$3:$C$3999&gt;=jul!O$3)),lentry!$D$3:$D$3999),IF(WEEKDAY(jul!O$3,1)=1,"WO","P"))</f>
        <v>P</v>
      </c>
      <c r="P17" s="4" t="str">
        <f>IFERROR(LOOKUP(2,1/((lentry!$A$3:$A$3999=jul!$A17)*(lentry!$B$3:$B$3999&lt;=jul!P$3)*(lentry!$C$3:$C$3999&gt;=jul!P$3)),lentry!$D$3:$D$3999),IF(WEEKDAY(jul!P$3,1)=1,"WO","P"))</f>
        <v>P</v>
      </c>
      <c r="Q17" s="4" t="str">
        <f>IFERROR(LOOKUP(2,1/((lentry!$A$3:$A$3999=jul!$A17)*(lentry!$B$3:$B$3999&lt;=jul!Q$3)*(lentry!$C$3:$C$3999&gt;=jul!Q$3)),lentry!$D$3:$D$3999),IF(WEEKDAY(jul!Q$3,1)=1,"WO","P"))</f>
        <v>WO</v>
      </c>
      <c r="R17" s="4" t="str">
        <f>IFERROR(LOOKUP(2,1/((lentry!$A$3:$A$3999=jul!$A17)*(lentry!$B$3:$B$3999&lt;=jul!R$3)*(lentry!$C$3:$C$3999&gt;=jul!R$3)),lentry!$D$3:$D$3999),IF(WEEKDAY(jul!R$3,1)=1,"WO","P"))</f>
        <v>P</v>
      </c>
      <c r="S17" s="4" t="str">
        <f>IFERROR(LOOKUP(2,1/((lentry!$A$3:$A$3999=jul!$A17)*(lentry!$B$3:$B$3999&lt;=jul!S$3)*(lentry!$C$3:$C$3999&gt;=jul!S$3)),lentry!$D$3:$D$3999),IF(WEEKDAY(jul!S$3,1)=1,"WO","P"))</f>
        <v>P</v>
      </c>
      <c r="T17" s="4" t="str">
        <f>IFERROR(LOOKUP(2,1/((lentry!$A$3:$A$3999=jul!$A17)*(lentry!$B$3:$B$3999&lt;=jul!T$3)*(lentry!$C$3:$C$3999&gt;=jul!T$3)),lentry!$D$3:$D$3999),IF(WEEKDAY(jul!T$3,1)=1,"WO","P"))</f>
        <v>P</v>
      </c>
      <c r="U17" s="4" t="str">
        <f>IFERROR(LOOKUP(2,1/((lentry!$A$3:$A$3999=jul!$A17)*(lentry!$B$3:$B$3999&lt;=jul!U$3)*(lentry!$C$3:$C$3999&gt;=jul!U$3)),lentry!$D$3:$D$3999),IF(WEEKDAY(jul!U$3,1)=1,"WO","P"))</f>
        <v>P</v>
      </c>
      <c r="V17" s="4" t="str">
        <f>IFERROR(LOOKUP(2,1/((lentry!$A$3:$A$3999=jul!$A17)*(lentry!$B$3:$B$3999&lt;=jul!V$3)*(lentry!$C$3:$C$3999&gt;=jul!V$3)),lentry!$D$3:$D$3999),IF(WEEKDAY(jul!V$3,1)=1,"WO","P"))</f>
        <v>P</v>
      </c>
      <c r="W17" s="4" t="str">
        <f>IFERROR(LOOKUP(2,1/((lentry!$A$3:$A$3999=jul!$A17)*(lentry!$B$3:$B$3999&lt;=jul!W$3)*(lentry!$C$3:$C$3999&gt;=jul!W$3)),lentry!$D$3:$D$3999),IF(WEEKDAY(jul!W$3,1)=1,"WO","P"))</f>
        <v>P</v>
      </c>
      <c r="X17" s="4" t="str">
        <f>IFERROR(LOOKUP(2,1/((lentry!$A$3:$A$3999=jul!$A17)*(lentry!$B$3:$B$3999&lt;=jul!X$3)*(lentry!$C$3:$C$3999&gt;=jul!X$3)),lentry!$D$3:$D$3999),IF(WEEKDAY(jul!X$3,1)=1,"WO","P"))</f>
        <v>WO</v>
      </c>
      <c r="Y17" s="4" t="str">
        <f>IFERROR(LOOKUP(2,1/((lentry!$A$3:$A$3999=jul!$A17)*(lentry!$B$3:$B$3999&lt;=jul!Y$3)*(lentry!$C$3:$C$3999&gt;=jul!Y$3)),lentry!$D$3:$D$3999),IF(WEEKDAY(jul!Y$3,1)=1,"WO","P"))</f>
        <v>P</v>
      </c>
      <c r="Z17" s="4" t="str">
        <f>IFERROR(LOOKUP(2,1/((lentry!$A$3:$A$3999=jul!$A17)*(lentry!$B$3:$B$3999&lt;=jul!Z$3)*(lentry!$C$3:$C$3999&gt;=jul!Z$3)),lentry!$D$3:$D$3999),IF(WEEKDAY(jul!Z$3,1)=1,"WO","P"))</f>
        <v>P</v>
      </c>
      <c r="AA17" s="4" t="str">
        <f>IFERROR(LOOKUP(2,1/((lentry!$A$3:$A$3999=jul!$A17)*(lentry!$B$3:$B$3999&lt;=jul!AA$3)*(lentry!$C$3:$C$3999&gt;=jul!AA$3)),lentry!$D$3:$D$3999),IF(WEEKDAY(jul!AA$3,1)=1,"WO","P"))</f>
        <v>P</v>
      </c>
      <c r="AB17" s="4" t="str">
        <f>IFERROR(LOOKUP(2,1/((lentry!$A$3:$A$3999=jul!$A17)*(lentry!$B$3:$B$3999&lt;=jul!AB$3)*(lentry!$C$3:$C$3999&gt;=jul!AB$3)),lentry!$D$3:$D$3999),IF(WEEKDAY(jul!AB$3,1)=1,"WO","P"))</f>
        <v>P</v>
      </c>
      <c r="AC17" s="4" t="str">
        <f>IFERROR(LOOKUP(2,1/((lentry!$A$3:$A$3999=jul!$A17)*(lentry!$B$3:$B$3999&lt;=jul!AC$3)*(lentry!$C$3:$C$3999&gt;=jul!AC$3)),lentry!$D$3:$D$3999),IF(WEEKDAY(jul!AC$3,1)=1,"WO","P"))</f>
        <v>P</v>
      </c>
      <c r="AD17" s="4" t="str">
        <f>IFERROR(LOOKUP(2,1/((lentry!$A$3:$A$3999=jul!$A17)*(lentry!$B$3:$B$3999&lt;=jul!AD$3)*(lentry!$C$3:$C$3999&gt;=jul!AD$3)),lentry!$D$3:$D$3999),IF(WEEKDAY(jul!AD$3,1)=1,"WO","P"))</f>
        <v>P</v>
      </c>
      <c r="AE17" s="4" t="str">
        <f>IFERROR(LOOKUP(2,1/((lentry!$A$3:$A$3999=jul!$A17)*(lentry!$B$3:$B$3999&lt;=jul!AE$3)*(lentry!$C$3:$C$3999&gt;=jul!AE$3)),lentry!$D$3:$D$3999),IF(WEEKDAY(jul!AE$3,1)=1,"WO","P"))</f>
        <v>WO</v>
      </c>
      <c r="AF17" s="4" t="str">
        <f>IFERROR(LOOKUP(2,1/((lentry!$A$3:$A$3999=jul!$A17)*(lentry!$B$3:$B$3999&lt;=jul!AF$3)*(lentry!$C$3:$C$3999&gt;=jul!AF$3)),lentry!$D$3:$D$3999),IF(WEEKDAY(jul!AF$3,1)=1,"WO","P"))</f>
        <v>P</v>
      </c>
      <c r="AG17" s="4" t="str">
        <f>IFERROR(LOOKUP(2,1/((lentry!$A$3:$A$3999=jul!$A17)*(lentry!$B$3:$B$3999&lt;=jul!AG$3)*(lentry!$C$3:$C$3999&gt;=jul!AG$3)),lentry!$D$3:$D$3999),IF(WEEKDAY(jul!AG$3,1)=1,"WO","P"))</f>
        <v>P</v>
      </c>
      <c r="AH17" s="4" t="str">
        <f>IFERROR(LOOKUP(2,1/((lentry!$A$3:$A$3999=jul!$A17)*(lentry!$B$3:$B$3999&lt;=jul!AH$3)*(lentry!$C$3:$C$3999&gt;=jul!AH$3)),lentry!$D$3:$D$3999),IF(WEEKDAY(jul!AH$3,1)=1,"WO","P"))</f>
        <v>P</v>
      </c>
      <c r="AI17" s="4" t="str">
        <f>IFERROR(LOOKUP(2,1/((lentry!$A$3:$A$3999=jul!$A17)*(lentry!$B$3:$B$3999&lt;=jul!AI$3)*(lentry!$C$3:$C$3999&gt;=jul!AI$3)),lentry!$D$3:$D$3999),IF(WEEKDAY(jul!AI$3,1)=1,"WO","P"))</f>
        <v>P</v>
      </c>
      <c r="AJ17" s="4" t="str">
        <f>IFERROR(LOOKUP(2,1/((lentry!$A$3:$A$3999=jul!$A17)*(lentry!$B$3:$B$3999&lt;=jul!AJ$3)*(lentry!$C$3:$C$3999&gt;=jul!AJ$3)),lentry!$D$3:$D$3999),IF(WEEKDAY(jul!AJ$3,1)=1,"WO","P"))</f>
        <v>P</v>
      </c>
      <c r="AK17" s="4">
        <f>COUNTIF(jul!$F17:$AJ17,"WO")</f>
        <v>4</v>
      </c>
      <c r="AL17" s="4">
        <f>COUNTIF(jul!$F17:$AJ17,"H")</f>
        <v>0</v>
      </c>
      <c r="AM17" s="4">
        <f>COUNTIF(jul!$F17:$AJ17,"pl")</f>
        <v>0</v>
      </c>
      <c r="AN17" s="4">
        <f>COUNTIF(jul!$F17:$AJ17,"LWP")</f>
        <v>0</v>
      </c>
      <c r="AO17" s="4">
        <f>COUNTIF(jul!$F17:$AJ17,"HD")</f>
        <v>0</v>
      </c>
      <c r="AP17" s="4">
        <f>COUNTIF(jul!$F17:$AJ17,"SL")</f>
        <v>0</v>
      </c>
      <c r="AQ17" s="4">
        <f>COUNTIF(jul!$F17:$AJ17,"CL")</f>
        <v>0</v>
      </c>
      <c r="AR17" s="4">
        <f>COUNTIF(jul!$F17:$AJ17,"A")</f>
        <v>0</v>
      </c>
      <c r="AS17" s="4">
        <f>COUNTIF(jul!$F17:$AJ17,"P")</f>
        <v>27</v>
      </c>
      <c r="AT17" s="4">
        <f t="shared" si="2"/>
        <v>31</v>
      </c>
      <c r="AU17" s="4">
        <f t="shared" si="3"/>
        <v>31</v>
      </c>
      <c r="AV17" s="4">
        <f>SUMIFS(holly!$L$2:$L$122,holly!$I$2:$I$122,mar!$A17,holly!$K$2:$K$122,"Mar")</f>
        <v>0</v>
      </c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</row>
    <row r="18" spans="1:80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IFERROR(LOOKUP(2,1/((lentry!$A$3:$A$3999=jul!$A18)*(lentry!$B$3:$B$3999&lt;=jul!F$3)*(lentry!$C$3:$C$3999&gt;=jul!F$3)),lentry!$D$3:$D$3999),IF(WEEKDAY(jul!F$3,1)=1,"WO","P"))</f>
        <v>SL</v>
      </c>
      <c r="G18" s="4" t="str">
        <f>IFERROR(LOOKUP(2,1/((lentry!$A$3:$A$3999=jul!$A18)*(lentry!$B$3:$B$3999&lt;=jul!G$3)*(lentry!$C$3:$C$3999&gt;=jul!G$3)),lentry!$D$3:$D$3999),IF(WEEKDAY(jul!G$3,1)=1,"WO","P"))</f>
        <v>P</v>
      </c>
      <c r="H18" s="4" t="str">
        <f>IFERROR(LOOKUP(2,1/((lentry!$A$3:$A$3999=jul!$A18)*(lentry!$B$3:$B$3999&lt;=jul!H$3)*(lentry!$C$3:$C$3999&gt;=jul!H$3)),lentry!$D$3:$D$3999),IF(WEEKDAY(jul!H$3,1)=1,"WO","P"))</f>
        <v>P</v>
      </c>
      <c r="I18" s="4" t="str">
        <f>IFERROR(LOOKUP(2,1/((lentry!$A$3:$A$3999=jul!$A18)*(lentry!$B$3:$B$3999&lt;=jul!I$3)*(lentry!$C$3:$C$3999&gt;=jul!I$3)),lentry!$D$3:$D$3999),IF(WEEKDAY(jul!I$3,1)=1,"WO","P"))</f>
        <v>P</v>
      </c>
      <c r="J18" s="4" t="str">
        <f>IFERROR(LOOKUP(2,1/((lentry!$A$3:$A$3999=jul!$A18)*(lentry!$B$3:$B$3999&lt;=jul!J$3)*(lentry!$C$3:$C$3999&gt;=jul!J$3)),lentry!$D$3:$D$3999),IF(WEEKDAY(jul!J$3,1)=1,"WO","P"))</f>
        <v>WO</v>
      </c>
      <c r="K18" s="4" t="str">
        <f>IFERROR(LOOKUP(2,1/((lentry!$A$3:$A$3999=jul!$A18)*(lentry!$B$3:$B$3999&lt;=jul!K$3)*(lentry!$C$3:$C$3999&gt;=jul!K$3)),lentry!$D$3:$D$3999),IF(WEEKDAY(jul!K$3,1)=1,"WO","P"))</f>
        <v>P</v>
      </c>
      <c r="L18" s="4" t="str">
        <f>IFERROR(LOOKUP(2,1/((lentry!$A$3:$A$3999=jul!$A18)*(lentry!$B$3:$B$3999&lt;=jul!L$3)*(lentry!$C$3:$C$3999&gt;=jul!L$3)),lentry!$D$3:$D$3999),IF(WEEKDAY(jul!L$3,1)=1,"WO","P"))</f>
        <v>P</v>
      </c>
      <c r="M18" s="4" t="str">
        <f>IFERROR(LOOKUP(2,1/((lentry!$A$3:$A$3999=jul!$A18)*(lentry!$B$3:$B$3999&lt;=jul!M$3)*(lentry!$C$3:$C$3999&gt;=jul!M$3)),lentry!$D$3:$D$3999),IF(WEEKDAY(jul!M$3,1)=1,"WO","P"))</f>
        <v>P</v>
      </c>
      <c r="N18" s="4" t="str">
        <f>IFERROR(LOOKUP(2,1/((lentry!$A$3:$A$3999=jul!$A18)*(lentry!$B$3:$B$3999&lt;=jul!N$3)*(lentry!$C$3:$C$3999&gt;=jul!N$3)),lentry!$D$3:$D$3999),IF(WEEKDAY(jul!N$3,1)=1,"WO","P"))</f>
        <v>P</v>
      </c>
      <c r="O18" s="4" t="str">
        <f>IFERROR(LOOKUP(2,1/((lentry!$A$3:$A$3999=jul!$A18)*(lentry!$B$3:$B$3999&lt;=jul!O$3)*(lentry!$C$3:$C$3999&gt;=jul!O$3)),lentry!$D$3:$D$3999),IF(WEEKDAY(jul!O$3,1)=1,"WO","P"))</f>
        <v>P</v>
      </c>
      <c r="P18" s="4" t="str">
        <f>IFERROR(LOOKUP(2,1/((lentry!$A$3:$A$3999=jul!$A18)*(lentry!$B$3:$B$3999&lt;=jul!P$3)*(lentry!$C$3:$C$3999&gt;=jul!P$3)),lentry!$D$3:$D$3999),IF(WEEKDAY(jul!P$3,1)=1,"WO","P"))</f>
        <v>P</v>
      </c>
      <c r="Q18" s="4" t="str">
        <f>IFERROR(LOOKUP(2,1/((lentry!$A$3:$A$3999=jul!$A18)*(lentry!$B$3:$B$3999&lt;=jul!Q$3)*(lentry!$C$3:$C$3999&gt;=jul!Q$3)),lentry!$D$3:$D$3999),IF(WEEKDAY(jul!Q$3,1)=1,"WO","P"))</f>
        <v>WO</v>
      </c>
      <c r="R18" s="4" t="str">
        <f>IFERROR(LOOKUP(2,1/((lentry!$A$3:$A$3999=jul!$A18)*(lentry!$B$3:$B$3999&lt;=jul!R$3)*(lentry!$C$3:$C$3999&gt;=jul!R$3)),lentry!$D$3:$D$3999),IF(WEEKDAY(jul!R$3,1)=1,"WO","P"))</f>
        <v>P</v>
      </c>
      <c r="S18" s="4" t="str">
        <f>IFERROR(LOOKUP(2,1/((lentry!$A$3:$A$3999=jul!$A18)*(lentry!$B$3:$B$3999&lt;=jul!S$3)*(lentry!$C$3:$C$3999&gt;=jul!S$3)),lentry!$D$3:$D$3999),IF(WEEKDAY(jul!S$3,1)=1,"WO","P"))</f>
        <v>P</v>
      </c>
      <c r="T18" s="4" t="str">
        <f>IFERROR(LOOKUP(2,1/((lentry!$A$3:$A$3999=jul!$A18)*(lentry!$B$3:$B$3999&lt;=jul!T$3)*(lentry!$C$3:$C$3999&gt;=jul!T$3)),lentry!$D$3:$D$3999),IF(WEEKDAY(jul!T$3,1)=1,"WO","P"))</f>
        <v>P</v>
      </c>
      <c r="U18" s="4" t="str">
        <f>IFERROR(LOOKUP(2,1/((lentry!$A$3:$A$3999=jul!$A18)*(lentry!$B$3:$B$3999&lt;=jul!U$3)*(lentry!$C$3:$C$3999&gt;=jul!U$3)),lentry!$D$3:$D$3999),IF(WEEKDAY(jul!U$3,1)=1,"WO","P"))</f>
        <v>P</v>
      </c>
      <c r="V18" s="4" t="str">
        <f>IFERROR(LOOKUP(2,1/((lentry!$A$3:$A$3999=jul!$A18)*(lentry!$B$3:$B$3999&lt;=jul!V$3)*(lentry!$C$3:$C$3999&gt;=jul!V$3)),lentry!$D$3:$D$3999),IF(WEEKDAY(jul!V$3,1)=1,"WO","P"))</f>
        <v>P</v>
      </c>
      <c r="W18" s="4" t="str">
        <f>IFERROR(LOOKUP(2,1/((lentry!$A$3:$A$3999=jul!$A18)*(lentry!$B$3:$B$3999&lt;=jul!W$3)*(lentry!$C$3:$C$3999&gt;=jul!W$3)),lentry!$D$3:$D$3999),IF(WEEKDAY(jul!W$3,1)=1,"WO","P"))</f>
        <v>P</v>
      </c>
      <c r="X18" s="4" t="str">
        <f>IFERROR(LOOKUP(2,1/((lentry!$A$3:$A$3999=jul!$A18)*(lentry!$B$3:$B$3999&lt;=jul!X$3)*(lentry!$C$3:$C$3999&gt;=jul!X$3)),lentry!$D$3:$D$3999),IF(WEEKDAY(jul!X$3,1)=1,"WO","P"))</f>
        <v>WO</v>
      </c>
      <c r="Y18" s="4" t="str">
        <f>IFERROR(LOOKUP(2,1/((lentry!$A$3:$A$3999=jul!$A18)*(lentry!$B$3:$B$3999&lt;=jul!Y$3)*(lentry!$C$3:$C$3999&gt;=jul!Y$3)),lentry!$D$3:$D$3999),IF(WEEKDAY(jul!Y$3,1)=1,"WO","P"))</f>
        <v>P</v>
      </c>
      <c r="Z18" s="4" t="str">
        <f>IFERROR(LOOKUP(2,1/((lentry!$A$3:$A$3999=jul!$A18)*(lentry!$B$3:$B$3999&lt;=jul!Z$3)*(lentry!$C$3:$C$3999&gt;=jul!Z$3)),lentry!$D$3:$D$3999),IF(WEEKDAY(jul!Z$3,1)=1,"WO","P"))</f>
        <v>P</v>
      </c>
      <c r="AA18" s="4" t="str">
        <f>IFERROR(LOOKUP(2,1/((lentry!$A$3:$A$3999=jul!$A18)*(lentry!$B$3:$B$3999&lt;=jul!AA$3)*(lentry!$C$3:$C$3999&gt;=jul!AA$3)),lentry!$D$3:$D$3999),IF(WEEKDAY(jul!AA$3,1)=1,"WO","P"))</f>
        <v>P</v>
      </c>
      <c r="AB18" s="4" t="str">
        <f>IFERROR(LOOKUP(2,1/((lentry!$A$3:$A$3999=jul!$A18)*(lentry!$B$3:$B$3999&lt;=jul!AB$3)*(lentry!$C$3:$C$3999&gt;=jul!AB$3)),lentry!$D$3:$D$3999),IF(WEEKDAY(jul!AB$3,1)=1,"WO","P"))</f>
        <v>P</v>
      </c>
      <c r="AC18" s="4" t="str">
        <f>IFERROR(LOOKUP(2,1/((lentry!$A$3:$A$3999=jul!$A18)*(lentry!$B$3:$B$3999&lt;=jul!AC$3)*(lentry!$C$3:$C$3999&gt;=jul!AC$3)),lentry!$D$3:$D$3999),IF(WEEKDAY(jul!AC$3,1)=1,"WO","P"))</f>
        <v>P</v>
      </c>
      <c r="AD18" s="4" t="str">
        <f>IFERROR(LOOKUP(2,1/((lentry!$A$3:$A$3999=jul!$A18)*(lentry!$B$3:$B$3999&lt;=jul!AD$3)*(lentry!$C$3:$C$3999&gt;=jul!AD$3)),lentry!$D$3:$D$3999),IF(WEEKDAY(jul!AD$3,1)=1,"WO","P"))</f>
        <v>P</v>
      </c>
      <c r="AE18" s="4" t="str">
        <f>IFERROR(LOOKUP(2,1/((lentry!$A$3:$A$3999=jul!$A18)*(lentry!$B$3:$B$3999&lt;=jul!AE$3)*(lentry!$C$3:$C$3999&gt;=jul!AE$3)),lentry!$D$3:$D$3999),IF(WEEKDAY(jul!AE$3,1)=1,"WO","P"))</f>
        <v>WO</v>
      </c>
      <c r="AF18" s="4" t="str">
        <f>IFERROR(LOOKUP(2,1/((lentry!$A$3:$A$3999=jul!$A18)*(lentry!$B$3:$B$3999&lt;=jul!AF$3)*(lentry!$C$3:$C$3999&gt;=jul!AF$3)),lentry!$D$3:$D$3999),IF(WEEKDAY(jul!AF$3,1)=1,"WO","P"))</f>
        <v>P</v>
      </c>
      <c r="AG18" s="4" t="str">
        <f>IFERROR(LOOKUP(2,1/((lentry!$A$3:$A$3999=jul!$A18)*(lentry!$B$3:$B$3999&lt;=jul!AG$3)*(lentry!$C$3:$C$3999&gt;=jul!AG$3)),lentry!$D$3:$D$3999),IF(WEEKDAY(jul!AG$3,1)=1,"WO","P"))</f>
        <v>P</v>
      </c>
      <c r="AH18" s="4" t="str">
        <f>IFERROR(LOOKUP(2,1/((lentry!$A$3:$A$3999=jul!$A18)*(lentry!$B$3:$B$3999&lt;=jul!AH$3)*(lentry!$C$3:$C$3999&gt;=jul!AH$3)),lentry!$D$3:$D$3999),IF(WEEKDAY(jul!AH$3,1)=1,"WO","P"))</f>
        <v>P</v>
      </c>
      <c r="AI18" s="4" t="str">
        <f>IFERROR(LOOKUP(2,1/((lentry!$A$3:$A$3999=jul!$A18)*(lentry!$B$3:$B$3999&lt;=jul!AI$3)*(lentry!$C$3:$C$3999&gt;=jul!AI$3)),lentry!$D$3:$D$3999),IF(WEEKDAY(jul!AI$3,1)=1,"WO","P"))</f>
        <v>P</v>
      </c>
      <c r="AJ18" s="4" t="str">
        <f>IFERROR(LOOKUP(2,1/((lentry!$A$3:$A$3999=jul!$A18)*(lentry!$B$3:$B$3999&lt;=jul!AJ$3)*(lentry!$C$3:$C$3999&gt;=jul!AJ$3)),lentry!$D$3:$D$3999),IF(WEEKDAY(jul!AJ$3,1)=1,"WO","P"))</f>
        <v>P</v>
      </c>
      <c r="AK18" s="4">
        <f>COUNTIF(jul!$F18:$AJ18,"WO")</f>
        <v>4</v>
      </c>
      <c r="AL18" s="4">
        <f>COUNTIF(jul!$F18:$AJ18,"H")</f>
        <v>0</v>
      </c>
      <c r="AM18" s="4">
        <f>COUNTIF(jul!$F18:$AJ18,"pl")</f>
        <v>0</v>
      </c>
      <c r="AN18" s="4">
        <f>COUNTIF(jul!$F18:$AJ18,"LWP")</f>
        <v>0</v>
      </c>
      <c r="AO18" s="4">
        <f>COUNTIF(jul!$F18:$AJ18,"HD")</f>
        <v>0</v>
      </c>
      <c r="AP18" s="4">
        <f>COUNTIF(jul!$F18:$AJ18,"SL")</f>
        <v>1</v>
      </c>
      <c r="AQ18" s="4">
        <f>COUNTIF(jul!$F18:$AJ18,"CL")</f>
        <v>0</v>
      </c>
      <c r="AR18" s="4">
        <f>COUNTIF(jul!$F18:$AJ18,"A")</f>
        <v>0</v>
      </c>
      <c r="AS18" s="4">
        <f>COUNTIF(jul!$F18:$AJ18,"P")</f>
        <v>26</v>
      </c>
      <c r="AT18" s="4">
        <f t="shared" si="2"/>
        <v>31</v>
      </c>
      <c r="AU18" s="4">
        <f t="shared" si="3"/>
        <v>31</v>
      </c>
      <c r="AV18" s="4">
        <f>SUMIFS(holly!$L$2:$L$122,holly!$I$2:$I$122,mar!$A18,holly!$K$2:$K$122,"Mar")</f>
        <v>0</v>
      </c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</row>
    <row r="19" spans="1:80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IFERROR(LOOKUP(2,1/((lentry!$A$3:$A$3999=jul!$A19)*(lentry!$B$3:$B$3999&lt;=jul!F$3)*(lentry!$C$3:$C$3999&gt;=jul!F$3)),lentry!$D$3:$D$3999),IF(WEEKDAY(jul!F$3,1)=1,"WO","P"))</f>
        <v>P</v>
      </c>
      <c r="G19" s="4" t="str">
        <f>IFERROR(LOOKUP(2,1/((lentry!$A$3:$A$3999=jul!$A19)*(lentry!$B$3:$B$3999&lt;=jul!G$3)*(lentry!$C$3:$C$3999&gt;=jul!G$3)),lentry!$D$3:$D$3999),IF(WEEKDAY(jul!G$3,1)=1,"WO","P"))</f>
        <v>P</v>
      </c>
      <c r="H19" s="4" t="str">
        <f>IFERROR(LOOKUP(2,1/((lentry!$A$3:$A$3999=jul!$A19)*(lentry!$B$3:$B$3999&lt;=jul!H$3)*(lentry!$C$3:$C$3999&gt;=jul!H$3)),lentry!$D$3:$D$3999),IF(WEEKDAY(jul!H$3,1)=1,"WO","P"))</f>
        <v>P</v>
      </c>
      <c r="I19" s="4" t="str">
        <f>IFERROR(LOOKUP(2,1/((lentry!$A$3:$A$3999=jul!$A19)*(lentry!$B$3:$B$3999&lt;=jul!I$3)*(lentry!$C$3:$C$3999&gt;=jul!I$3)),lentry!$D$3:$D$3999),IF(WEEKDAY(jul!I$3,1)=1,"WO","P"))</f>
        <v>P</v>
      </c>
      <c r="J19" s="4" t="str">
        <f>IFERROR(LOOKUP(2,1/((lentry!$A$3:$A$3999=jul!$A19)*(lentry!$B$3:$B$3999&lt;=jul!J$3)*(lentry!$C$3:$C$3999&gt;=jul!J$3)),lentry!$D$3:$D$3999),IF(WEEKDAY(jul!J$3,1)=1,"WO","P"))</f>
        <v>WO</v>
      </c>
      <c r="K19" s="4" t="str">
        <f>IFERROR(LOOKUP(2,1/((lentry!$A$3:$A$3999=jul!$A19)*(lentry!$B$3:$B$3999&lt;=jul!K$3)*(lentry!$C$3:$C$3999&gt;=jul!K$3)),lentry!$D$3:$D$3999),IF(WEEKDAY(jul!K$3,1)=1,"WO","P"))</f>
        <v>P</v>
      </c>
      <c r="L19" s="4" t="str">
        <f>IFERROR(LOOKUP(2,1/((lentry!$A$3:$A$3999=jul!$A19)*(lentry!$B$3:$B$3999&lt;=jul!L$3)*(lentry!$C$3:$C$3999&gt;=jul!L$3)),lentry!$D$3:$D$3999),IF(WEEKDAY(jul!L$3,1)=1,"WO","P"))</f>
        <v>P</v>
      </c>
      <c r="M19" s="4" t="str">
        <f>IFERROR(LOOKUP(2,1/((lentry!$A$3:$A$3999=jul!$A19)*(lentry!$B$3:$B$3999&lt;=jul!M$3)*(lentry!$C$3:$C$3999&gt;=jul!M$3)),lentry!$D$3:$D$3999),IF(WEEKDAY(jul!M$3,1)=1,"WO","P"))</f>
        <v>P</v>
      </c>
      <c r="N19" s="4" t="str">
        <f>IFERROR(LOOKUP(2,1/((lentry!$A$3:$A$3999=jul!$A19)*(lentry!$B$3:$B$3999&lt;=jul!N$3)*(lentry!$C$3:$C$3999&gt;=jul!N$3)),lentry!$D$3:$D$3999),IF(WEEKDAY(jul!N$3,1)=1,"WO","P"))</f>
        <v>P</v>
      </c>
      <c r="O19" s="4" t="str">
        <f>IFERROR(LOOKUP(2,1/((lentry!$A$3:$A$3999=jul!$A19)*(lentry!$B$3:$B$3999&lt;=jul!O$3)*(lentry!$C$3:$C$3999&gt;=jul!O$3)),lentry!$D$3:$D$3999),IF(WEEKDAY(jul!O$3,1)=1,"WO","P"))</f>
        <v>P</v>
      </c>
      <c r="P19" s="4" t="str">
        <f>IFERROR(LOOKUP(2,1/((lentry!$A$3:$A$3999=jul!$A19)*(lentry!$B$3:$B$3999&lt;=jul!P$3)*(lentry!$C$3:$C$3999&gt;=jul!P$3)),lentry!$D$3:$D$3999),IF(WEEKDAY(jul!P$3,1)=1,"WO","P"))</f>
        <v>P</v>
      </c>
      <c r="Q19" s="4" t="str">
        <f>IFERROR(LOOKUP(2,1/((lentry!$A$3:$A$3999=jul!$A19)*(lentry!$B$3:$B$3999&lt;=jul!Q$3)*(lentry!$C$3:$C$3999&gt;=jul!Q$3)),lentry!$D$3:$D$3999),IF(WEEKDAY(jul!Q$3,1)=1,"WO","P"))</f>
        <v>WO</v>
      </c>
      <c r="R19" s="4" t="str">
        <f>IFERROR(LOOKUP(2,1/((lentry!$A$3:$A$3999=jul!$A19)*(lentry!$B$3:$B$3999&lt;=jul!R$3)*(lentry!$C$3:$C$3999&gt;=jul!R$3)),lentry!$D$3:$D$3999),IF(WEEKDAY(jul!R$3,1)=1,"WO","P"))</f>
        <v>P</v>
      </c>
      <c r="S19" s="4" t="str">
        <f>IFERROR(LOOKUP(2,1/((lentry!$A$3:$A$3999=jul!$A19)*(lentry!$B$3:$B$3999&lt;=jul!S$3)*(lentry!$C$3:$C$3999&gt;=jul!S$3)),lentry!$D$3:$D$3999),IF(WEEKDAY(jul!S$3,1)=1,"WO","P"))</f>
        <v>P</v>
      </c>
      <c r="T19" s="4" t="str">
        <f>IFERROR(LOOKUP(2,1/((lentry!$A$3:$A$3999=jul!$A19)*(lentry!$B$3:$B$3999&lt;=jul!T$3)*(lentry!$C$3:$C$3999&gt;=jul!T$3)),lentry!$D$3:$D$3999),IF(WEEKDAY(jul!T$3,1)=1,"WO","P"))</f>
        <v>P</v>
      </c>
      <c r="U19" s="4" t="str">
        <f>IFERROR(LOOKUP(2,1/((lentry!$A$3:$A$3999=jul!$A19)*(lentry!$B$3:$B$3999&lt;=jul!U$3)*(lentry!$C$3:$C$3999&gt;=jul!U$3)),lentry!$D$3:$D$3999),IF(WEEKDAY(jul!U$3,1)=1,"WO","P"))</f>
        <v>P</v>
      </c>
      <c r="V19" s="4" t="str">
        <f>IFERROR(LOOKUP(2,1/((lentry!$A$3:$A$3999=jul!$A19)*(lentry!$B$3:$B$3999&lt;=jul!V$3)*(lentry!$C$3:$C$3999&gt;=jul!V$3)),lentry!$D$3:$D$3999),IF(WEEKDAY(jul!V$3,1)=1,"WO","P"))</f>
        <v>P</v>
      </c>
      <c r="W19" s="4" t="str">
        <f>IFERROR(LOOKUP(2,1/((lentry!$A$3:$A$3999=jul!$A19)*(lentry!$B$3:$B$3999&lt;=jul!W$3)*(lentry!$C$3:$C$3999&gt;=jul!W$3)),lentry!$D$3:$D$3999),IF(WEEKDAY(jul!W$3,1)=1,"WO","P"))</f>
        <v>P</v>
      </c>
      <c r="X19" s="4" t="str">
        <f>IFERROR(LOOKUP(2,1/((lentry!$A$3:$A$3999=jul!$A19)*(lentry!$B$3:$B$3999&lt;=jul!X$3)*(lentry!$C$3:$C$3999&gt;=jul!X$3)),lentry!$D$3:$D$3999),IF(WEEKDAY(jul!X$3,1)=1,"WO","P"))</f>
        <v>WO</v>
      </c>
      <c r="Y19" s="4" t="str">
        <f>IFERROR(LOOKUP(2,1/((lentry!$A$3:$A$3999=jul!$A19)*(lentry!$B$3:$B$3999&lt;=jul!Y$3)*(lentry!$C$3:$C$3999&gt;=jul!Y$3)),lentry!$D$3:$D$3999),IF(WEEKDAY(jul!Y$3,1)=1,"WO","P"))</f>
        <v>P</v>
      </c>
      <c r="Z19" s="4" t="str">
        <f>IFERROR(LOOKUP(2,1/((lentry!$A$3:$A$3999=jul!$A19)*(lentry!$B$3:$B$3999&lt;=jul!Z$3)*(lentry!$C$3:$C$3999&gt;=jul!Z$3)),lentry!$D$3:$D$3999),IF(WEEKDAY(jul!Z$3,1)=1,"WO","P"))</f>
        <v>P</v>
      </c>
      <c r="AA19" s="4" t="str">
        <f>IFERROR(LOOKUP(2,1/((lentry!$A$3:$A$3999=jul!$A19)*(lentry!$B$3:$B$3999&lt;=jul!AA$3)*(lentry!$C$3:$C$3999&gt;=jul!AA$3)),lentry!$D$3:$D$3999),IF(WEEKDAY(jul!AA$3,1)=1,"WO","P"))</f>
        <v>P</v>
      </c>
      <c r="AB19" s="4" t="str">
        <f>IFERROR(LOOKUP(2,1/((lentry!$A$3:$A$3999=jul!$A19)*(lentry!$B$3:$B$3999&lt;=jul!AB$3)*(lentry!$C$3:$C$3999&gt;=jul!AB$3)),lentry!$D$3:$D$3999),IF(WEEKDAY(jul!AB$3,1)=1,"WO","P"))</f>
        <v>P</v>
      </c>
      <c r="AC19" s="4" t="str">
        <f>IFERROR(LOOKUP(2,1/((lentry!$A$3:$A$3999=jul!$A19)*(lentry!$B$3:$B$3999&lt;=jul!AC$3)*(lentry!$C$3:$C$3999&gt;=jul!AC$3)),lentry!$D$3:$D$3999),IF(WEEKDAY(jul!AC$3,1)=1,"WO","P"))</f>
        <v>P</v>
      </c>
      <c r="AD19" s="4" t="str">
        <f>IFERROR(LOOKUP(2,1/((lentry!$A$3:$A$3999=jul!$A19)*(lentry!$B$3:$B$3999&lt;=jul!AD$3)*(lentry!$C$3:$C$3999&gt;=jul!AD$3)),lentry!$D$3:$D$3999),IF(WEEKDAY(jul!AD$3,1)=1,"WO","P"))</f>
        <v>P</v>
      </c>
      <c r="AE19" s="4" t="str">
        <f>IFERROR(LOOKUP(2,1/((lentry!$A$3:$A$3999=jul!$A19)*(lentry!$B$3:$B$3999&lt;=jul!AE$3)*(lentry!$C$3:$C$3999&gt;=jul!AE$3)),lentry!$D$3:$D$3999),IF(WEEKDAY(jul!AE$3,1)=1,"WO","P"))</f>
        <v>WO</v>
      </c>
      <c r="AF19" s="4" t="str">
        <f>IFERROR(LOOKUP(2,1/((lentry!$A$3:$A$3999=jul!$A19)*(lentry!$B$3:$B$3999&lt;=jul!AF$3)*(lentry!$C$3:$C$3999&gt;=jul!AF$3)),lentry!$D$3:$D$3999),IF(WEEKDAY(jul!AF$3,1)=1,"WO","P"))</f>
        <v>P</v>
      </c>
      <c r="AG19" s="4" t="str">
        <f>IFERROR(LOOKUP(2,1/((lentry!$A$3:$A$3999=jul!$A19)*(lentry!$B$3:$B$3999&lt;=jul!AG$3)*(lentry!$C$3:$C$3999&gt;=jul!AG$3)),lentry!$D$3:$D$3999),IF(WEEKDAY(jul!AG$3,1)=1,"WO","P"))</f>
        <v>P</v>
      </c>
      <c r="AH19" s="4" t="str">
        <f>IFERROR(LOOKUP(2,1/((lentry!$A$3:$A$3999=jul!$A19)*(lentry!$B$3:$B$3999&lt;=jul!AH$3)*(lentry!$C$3:$C$3999&gt;=jul!AH$3)),lentry!$D$3:$D$3999),IF(WEEKDAY(jul!AH$3,1)=1,"WO","P"))</f>
        <v>P</v>
      </c>
      <c r="AI19" s="4" t="str">
        <f>IFERROR(LOOKUP(2,1/((lentry!$A$3:$A$3999=jul!$A19)*(lentry!$B$3:$B$3999&lt;=jul!AI$3)*(lentry!$C$3:$C$3999&gt;=jul!AI$3)),lentry!$D$3:$D$3999),IF(WEEKDAY(jul!AI$3,1)=1,"WO","P"))</f>
        <v>P</v>
      </c>
      <c r="AJ19" s="4" t="str">
        <f>IFERROR(LOOKUP(2,1/((lentry!$A$3:$A$3999=jul!$A19)*(lentry!$B$3:$B$3999&lt;=jul!AJ$3)*(lentry!$C$3:$C$3999&gt;=jul!AJ$3)),lentry!$D$3:$D$3999),IF(WEEKDAY(jul!AJ$3,1)=1,"WO","P"))</f>
        <v>P</v>
      </c>
      <c r="AK19" s="4">
        <f>COUNTIF(jul!$F19:$AJ19,"WO")</f>
        <v>4</v>
      </c>
      <c r="AL19" s="4">
        <f>COUNTIF(jul!$F19:$AJ19,"H")</f>
        <v>0</v>
      </c>
      <c r="AM19" s="4">
        <f>COUNTIF(jul!$F19:$AJ19,"pl")</f>
        <v>0</v>
      </c>
      <c r="AN19" s="4">
        <f>COUNTIF(jul!$F19:$AJ19,"LWP")</f>
        <v>0</v>
      </c>
      <c r="AO19" s="4">
        <f>COUNTIF(jul!$F19:$AJ19,"HD")</f>
        <v>0</v>
      </c>
      <c r="AP19" s="4">
        <f>COUNTIF(jul!$F19:$AJ19,"SL")</f>
        <v>0</v>
      </c>
      <c r="AQ19" s="4">
        <f>COUNTIF(jul!$F19:$AJ19,"CL")</f>
        <v>0</v>
      </c>
      <c r="AR19" s="4">
        <f>COUNTIF(jul!$F19:$AJ19,"A")</f>
        <v>0</v>
      </c>
      <c r="AS19" s="4">
        <f>COUNTIF(jul!$F19:$AJ19,"P")</f>
        <v>27</v>
      </c>
      <c r="AT19" s="4">
        <f t="shared" si="2"/>
        <v>31</v>
      </c>
      <c r="AU19" s="4">
        <f t="shared" si="3"/>
        <v>31</v>
      </c>
      <c r="AV19" s="4">
        <f>SUMIFS(holly!$L$2:$L$122,holly!$I$2:$I$122,mar!$A19,holly!$K$2:$K$122,"Mar")</f>
        <v>0</v>
      </c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</row>
    <row r="20" spans="1:80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IFERROR(LOOKUP(2,1/((lentry!$A$3:$A$3999=jul!$A20)*(lentry!$B$3:$B$3999&lt;=jul!F$3)*(lentry!$C$3:$C$3999&gt;=jul!F$3)),lentry!$D$3:$D$3999),IF(WEEKDAY(jul!F$3,1)=1,"WO","P"))</f>
        <v>P</v>
      </c>
      <c r="G20" s="4" t="str">
        <f>IFERROR(LOOKUP(2,1/((lentry!$A$3:$A$3999=jul!$A20)*(lentry!$B$3:$B$3999&lt;=jul!G$3)*(lentry!$C$3:$C$3999&gt;=jul!G$3)),lentry!$D$3:$D$3999),IF(WEEKDAY(jul!G$3,1)=1,"WO","P"))</f>
        <v>P</v>
      </c>
      <c r="H20" s="4" t="str">
        <f>IFERROR(LOOKUP(2,1/((lentry!$A$3:$A$3999=jul!$A20)*(lentry!$B$3:$B$3999&lt;=jul!H$3)*(lentry!$C$3:$C$3999&gt;=jul!H$3)),lentry!$D$3:$D$3999),IF(WEEKDAY(jul!H$3,1)=1,"WO","P"))</f>
        <v>P</v>
      </c>
      <c r="I20" s="4" t="str">
        <f>IFERROR(LOOKUP(2,1/((lentry!$A$3:$A$3999=jul!$A20)*(lentry!$B$3:$B$3999&lt;=jul!I$3)*(lentry!$C$3:$C$3999&gt;=jul!I$3)),lentry!$D$3:$D$3999),IF(WEEKDAY(jul!I$3,1)=1,"WO","P"))</f>
        <v>P</v>
      </c>
      <c r="J20" s="4" t="str">
        <f>IFERROR(LOOKUP(2,1/((lentry!$A$3:$A$3999=jul!$A20)*(lentry!$B$3:$B$3999&lt;=jul!J$3)*(lentry!$C$3:$C$3999&gt;=jul!J$3)),lentry!$D$3:$D$3999),IF(WEEKDAY(jul!J$3,1)=1,"WO","P"))</f>
        <v>WO</v>
      </c>
      <c r="K20" s="4" t="str">
        <f>IFERROR(LOOKUP(2,1/((lentry!$A$3:$A$3999=jul!$A20)*(lentry!$B$3:$B$3999&lt;=jul!K$3)*(lentry!$C$3:$C$3999&gt;=jul!K$3)),lentry!$D$3:$D$3999),IF(WEEKDAY(jul!K$3,1)=1,"WO","P"))</f>
        <v>P</v>
      </c>
      <c r="L20" s="4" t="str">
        <f>IFERROR(LOOKUP(2,1/((lentry!$A$3:$A$3999=jul!$A20)*(lentry!$B$3:$B$3999&lt;=jul!L$3)*(lentry!$C$3:$C$3999&gt;=jul!L$3)),lentry!$D$3:$D$3999),IF(WEEKDAY(jul!L$3,1)=1,"WO","P"))</f>
        <v>P</v>
      </c>
      <c r="M20" s="4" t="str">
        <f>IFERROR(LOOKUP(2,1/((lentry!$A$3:$A$3999=jul!$A20)*(lentry!$B$3:$B$3999&lt;=jul!M$3)*(lentry!$C$3:$C$3999&gt;=jul!M$3)),lentry!$D$3:$D$3999),IF(WEEKDAY(jul!M$3,1)=1,"WO","P"))</f>
        <v>P</v>
      </c>
      <c r="N20" s="4" t="str">
        <f>IFERROR(LOOKUP(2,1/((lentry!$A$3:$A$3999=jul!$A20)*(lentry!$B$3:$B$3999&lt;=jul!N$3)*(lentry!$C$3:$C$3999&gt;=jul!N$3)),lentry!$D$3:$D$3999),IF(WEEKDAY(jul!N$3,1)=1,"WO","P"))</f>
        <v>P</v>
      </c>
      <c r="O20" s="4" t="s">
        <v>539</v>
      </c>
      <c r="P20" s="4" t="str">
        <f>IFERROR(LOOKUP(2,1/((lentry!$A$3:$A$3999=jul!$A20)*(lentry!$B$3:$B$3999&lt;=jul!P$3)*(lentry!$C$3:$C$3999&gt;=jul!P$3)),lentry!$D$3:$D$3999),IF(WEEKDAY(jul!P$3,1)=1,"WO","P"))</f>
        <v>P</v>
      </c>
      <c r="Q20" s="4" t="str">
        <f>IFERROR(LOOKUP(2,1/((lentry!$A$3:$A$3999=jul!$A20)*(lentry!$B$3:$B$3999&lt;=jul!Q$3)*(lentry!$C$3:$C$3999&gt;=jul!Q$3)),lentry!$D$3:$D$3999),IF(WEEKDAY(jul!Q$3,1)=1,"WO","P"))</f>
        <v>WO</v>
      </c>
      <c r="R20" s="4" t="str">
        <f>IFERROR(LOOKUP(2,1/((lentry!$A$3:$A$3999=jul!$A20)*(lentry!$B$3:$B$3999&lt;=jul!R$3)*(lentry!$C$3:$C$3999&gt;=jul!R$3)),lentry!$D$3:$D$3999),IF(WEEKDAY(jul!R$3,1)=1,"WO","P"))</f>
        <v>P</v>
      </c>
      <c r="S20" s="4" t="s">
        <v>539</v>
      </c>
      <c r="T20" s="4" t="str">
        <f>IFERROR(LOOKUP(2,1/((lentry!$A$3:$A$3999=jul!$A20)*(lentry!$B$3:$B$3999&lt;=jul!T$3)*(lentry!$C$3:$C$3999&gt;=jul!T$3)),lentry!$D$3:$D$3999),IF(WEEKDAY(jul!T$3,1)=1,"WO","P"))</f>
        <v>P</v>
      </c>
      <c r="U20" s="4" t="str">
        <f>IFERROR(LOOKUP(2,1/((lentry!$A$3:$A$3999=jul!$A20)*(lentry!$B$3:$B$3999&lt;=jul!U$3)*(lentry!$C$3:$C$3999&gt;=jul!U$3)),lentry!$D$3:$D$3999),IF(WEEKDAY(jul!U$3,1)=1,"WO","P"))</f>
        <v>P</v>
      </c>
      <c r="V20" s="4" t="str">
        <f>IFERROR(LOOKUP(2,1/((lentry!$A$3:$A$3999=jul!$A20)*(lentry!$B$3:$B$3999&lt;=jul!V$3)*(lentry!$C$3:$C$3999&gt;=jul!V$3)),lentry!$D$3:$D$3999),IF(WEEKDAY(jul!V$3,1)=1,"WO","P"))</f>
        <v>P</v>
      </c>
      <c r="W20" s="4" t="str">
        <f>IFERROR(LOOKUP(2,1/((lentry!$A$3:$A$3999=jul!$A20)*(lentry!$B$3:$B$3999&lt;=jul!W$3)*(lentry!$C$3:$C$3999&gt;=jul!W$3)),lentry!$D$3:$D$3999),IF(WEEKDAY(jul!W$3,1)=1,"WO","P"))</f>
        <v>P</v>
      </c>
      <c r="X20" s="4" t="str">
        <f>IFERROR(LOOKUP(2,1/((lentry!$A$3:$A$3999=jul!$A20)*(lentry!$B$3:$B$3999&lt;=jul!X$3)*(lentry!$C$3:$C$3999&gt;=jul!X$3)),lentry!$D$3:$D$3999),IF(WEEKDAY(jul!X$3,1)=1,"WO","P"))</f>
        <v>WO</v>
      </c>
      <c r="Y20" s="4" t="str">
        <f>IFERROR(LOOKUP(2,1/((lentry!$A$3:$A$3999=jul!$A20)*(lentry!$B$3:$B$3999&lt;=jul!Y$3)*(lentry!$C$3:$C$3999&gt;=jul!Y$3)),lentry!$D$3:$D$3999),IF(WEEKDAY(jul!Y$3,1)=1,"WO","P"))</f>
        <v>P</v>
      </c>
      <c r="Z20" s="4" t="str">
        <f>IFERROR(LOOKUP(2,1/((lentry!$A$3:$A$3999=jul!$A20)*(lentry!$B$3:$B$3999&lt;=jul!Z$3)*(lentry!$C$3:$C$3999&gt;=jul!Z$3)),lentry!$D$3:$D$3999),IF(WEEKDAY(jul!Z$3,1)=1,"WO","P"))</f>
        <v>P</v>
      </c>
      <c r="AA20" s="4" t="str">
        <f>IFERROR(LOOKUP(2,1/((lentry!$A$3:$A$3999=jul!$A20)*(lentry!$B$3:$B$3999&lt;=jul!AA$3)*(lentry!$C$3:$C$3999&gt;=jul!AA$3)),lentry!$D$3:$D$3999),IF(WEEKDAY(jul!AA$3,1)=1,"WO","P"))</f>
        <v>P</v>
      </c>
      <c r="AB20" s="4" t="str">
        <f>IFERROR(LOOKUP(2,1/((lentry!$A$3:$A$3999=jul!$A20)*(lentry!$B$3:$B$3999&lt;=jul!AB$3)*(lentry!$C$3:$C$3999&gt;=jul!AB$3)),lentry!$D$3:$D$3999),IF(WEEKDAY(jul!AB$3,1)=1,"WO","P"))</f>
        <v>P</v>
      </c>
      <c r="AC20" s="4" t="str">
        <f>IFERROR(LOOKUP(2,1/((lentry!$A$3:$A$3999=jul!$A20)*(lentry!$B$3:$B$3999&lt;=jul!AC$3)*(lentry!$C$3:$C$3999&gt;=jul!AC$3)),lentry!$D$3:$D$3999),IF(WEEKDAY(jul!AC$3,1)=1,"WO","P"))</f>
        <v>P</v>
      </c>
      <c r="AD20" s="4" t="str">
        <f>IFERROR(LOOKUP(2,1/((lentry!$A$3:$A$3999=jul!$A20)*(lentry!$B$3:$B$3999&lt;=jul!AD$3)*(lentry!$C$3:$C$3999&gt;=jul!AD$3)),lentry!$D$3:$D$3999),IF(WEEKDAY(jul!AD$3,1)=1,"WO","P"))</f>
        <v>P</v>
      </c>
      <c r="AE20" s="4" t="str">
        <f>IFERROR(LOOKUP(2,1/((lentry!$A$3:$A$3999=jul!$A20)*(lentry!$B$3:$B$3999&lt;=jul!AE$3)*(lentry!$C$3:$C$3999&gt;=jul!AE$3)),lentry!$D$3:$D$3999),IF(WEEKDAY(jul!AE$3,1)=1,"WO","P"))</f>
        <v>WO</v>
      </c>
      <c r="AF20" s="4" t="str">
        <f>IFERROR(LOOKUP(2,1/((lentry!$A$3:$A$3999=jul!$A20)*(lentry!$B$3:$B$3999&lt;=jul!AF$3)*(lentry!$C$3:$C$3999&gt;=jul!AF$3)),lentry!$D$3:$D$3999),IF(WEEKDAY(jul!AF$3,1)=1,"WO","P"))</f>
        <v>P</v>
      </c>
      <c r="AG20" s="4" t="str">
        <f>IFERROR(LOOKUP(2,1/((lentry!$A$3:$A$3999=jul!$A20)*(lentry!$B$3:$B$3999&lt;=jul!AG$3)*(lentry!$C$3:$C$3999&gt;=jul!AG$3)),lentry!$D$3:$D$3999),IF(WEEKDAY(jul!AG$3,1)=1,"WO","P"))</f>
        <v>P</v>
      </c>
      <c r="AH20" s="4" t="s">
        <v>539</v>
      </c>
      <c r="AI20" s="4" t="str">
        <f>IFERROR(LOOKUP(2,1/((lentry!$A$3:$A$3999=jul!$A20)*(lentry!$B$3:$B$3999&lt;=jul!AI$3)*(lentry!$C$3:$C$3999&gt;=jul!AI$3)),lentry!$D$3:$D$3999),IF(WEEKDAY(jul!AI$3,1)=1,"WO","P"))</f>
        <v>P</v>
      </c>
      <c r="AJ20" s="4" t="str">
        <f>IFERROR(LOOKUP(2,1/((lentry!$A$3:$A$3999=jul!$A20)*(lentry!$B$3:$B$3999&lt;=jul!AJ$3)*(lentry!$C$3:$C$3999&gt;=jul!AJ$3)),lentry!$D$3:$D$3999),IF(WEEKDAY(jul!AJ$3,1)=1,"WO","P"))</f>
        <v>P</v>
      </c>
      <c r="AK20" s="4">
        <f>COUNTIF(jul!$F20:$AJ20,"WO")</f>
        <v>4</v>
      </c>
      <c r="AL20" s="4">
        <f>COUNTIF(jul!$F20:$AJ20,"H")</f>
        <v>0</v>
      </c>
      <c r="AM20" s="4">
        <f>COUNTIF(jul!$F20:$AJ20,"pl")</f>
        <v>0</v>
      </c>
      <c r="AN20" s="4">
        <f>COUNTIF(jul!$F20:$AJ20,"LWP")</f>
        <v>0</v>
      </c>
      <c r="AO20" s="4">
        <f>COUNTIF(jul!$F20:$AJ20,"HD")</f>
        <v>0</v>
      </c>
      <c r="AP20" s="4">
        <f>COUNTIF(jul!$F20:$AJ20,"SL")</f>
        <v>0</v>
      </c>
      <c r="AQ20" s="4">
        <f>COUNTIF(jul!$F20:$AJ20,"CL")</f>
        <v>0</v>
      </c>
      <c r="AR20" s="4">
        <f>COUNTIF(jul!$F20:$AJ20,"A")</f>
        <v>3</v>
      </c>
      <c r="AS20" s="4">
        <f>COUNTIF(jul!$F20:$AJ20,"P")</f>
        <v>24</v>
      </c>
      <c r="AT20" s="4">
        <f t="shared" si="2"/>
        <v>31</v>
      </c>
      <c r="AU20" s="4">
        <f t="shared" si="3"/>
        <v>28</v>
      </c>
      <c r="AV20" s="4">
        <f>SUMIFS(holly!$L$2:$L$122,holly!$I$2:$I$122,mar!$A20,holly!$K$2:$K$122,"Mar")</f>
        <v>4</v>
      </c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</row>
    <row r="21" spans="1:80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IFERROR(LOOKUP(2,1/((lentry!$A$3:$A$3999=jul!$A21)*(lentry!$B$3:$B$3999&lt;=jul!F$3)*(lentry!$C$3:$C$3999&gt;=jul!F$3)),lentry!$D$3:$D$3999),IF(WEEKDAY(jul!F$3,1)=1,"WO","P"))</f>
        <v>P</v>
      </c>
      <c r="G21" s="4" t="str">
        <f>IFERROR(LOOKUP(2,1/((lentry!$A$3:$A$3999=jul!$A21)*(lentry!$B$3:$B$3999&lt;=jul!G$3)*(lentry!$C$3:$C$3999&gt;=jul!G$3)),lentry!$D$3:$D$3999),IF(WEEKDAY(jul!G$3,1)=1,"WO","P"))</f>
        <v>P</v>
      </c>
      <c r="H21" s="4" t="str">
        <f>IFERROR(LOOKUP(2,1/((lentry!$A$3:$A$3999=jul!$A21)*(lentry!$B$3:$B$3999&lt;=jul!H$3)*(lentry!$C$3:$C$3999&gt;=jul!H$3)),lentry!$D$3:$D$3999),IF(WEEKDAY(jul!H$3,1)=1,"WO","P"))</f>
        <v>P</v>
      </c>
      <c r="I21" s="4" t="str">
        <f>IFERROR(LOOKUP(2,1/((lentry!$A$3:$A$3999=jul!$A21)*(lentry!$B$3:$B$3999&lt;=jul!I$3)*(lentry!$C$3:$C$3999&gt;=jul!I$3)),lentry!$D$3:$D$3999),IF(WEEKDAY(jul!I$3,1)=1,"WO","P"))</f>
        <v>P</v>
      </c>
      <c r="J21" s="4" t="str">
        <f>IFERROR(LOOKUP(2,1/((lentry!$A$3:$A$3999=jul!$A21)*(lentry!$B$3:$B$3999&lt;=jul!J$3)*(lentry!$C$3:$C$3999&gt;=jul!J$3)),lentry!$D$3:$D$3999),IF(WEEKDAY(jul!J$3,1)=1,"WO","P"))</f>
        <v>WO</v>
      </c>
      <c r="K21" s="4" t="str">
        <f>IFERROR(LOOKUP(2,1/((lentry!$A$3:$A$3999=jul!$A21)*(lentry!$B$3:$B$3999&lt;=jul!K$3)*(lentry!$C$3:$C$3999&gt;=jul!K$3)),lentry!$D$3:$D$3999),IF(WEEKDAY(jul!K$3,1)=1,"WO","P"))</f>
        <v>P</v>
      </c>
      <c r="L21" s="4" t="str">
        <f>IFERROR(LOOKUP(2,1/((lentry!$A$3:$A$3999=jul!$A21)*(lentry!$B$3:$B$3999&lt;=jul!L$3)*(lentry!$C$3:$C$3999&gt;=jul!L$3)),lentry!$D$3:$D$3999),IF(WEEKDAY(jul!L$3,1)=1,"WO","P"))</f>
        <v>P</v>
      </c>
      <c r="M21" s="4" t="str">
        <f>IFERROR(LOOKUP(2,1/((lentry!$A$3:$A$3999=jul!$A21)*(lentry!$B$3:$B$3999&lt;=jul!M$3)*(lentry!$C$3:$C$3999&gt;=jul!M$3)),lentry!$D$3:$D$3999),IF(WEEKDAY(jul!M$3,1)=1,"WO","P"))</f>
        <v>P</v>
      </c>
      <c r="N21" s="4" t="str">
        <f>IFERROR(LOOKUP(2,1/((lentry!$A$3:$A$3999=jul!$A21)*(lentry!$B$3:$B$3999&lt;=jul!N$3)*(lentry!$C$3:$C$3999&gt;=jul!N$3)),lentry!$D$3:$D$3999),IF(WEEKDAY(jul!N$3,1)=1,"WO","P"))</f>
        <v>P</v>
      </c>
      <c r="O21" s="4" t="str">
        <f>IFERROR(LOOKUP(2,1/((lentry!$A$3:$A$3999=jul!$A21)*(lentry!$B$3:$B$3999&lt;=jul!O$3)*(lentry!$C$3:$C$3999&gt;=jul!O$3)),lentry!$D$3:$D$3999),IF(WEEKDAY(jul!O$3,1)=1,"WO","P"))</f>
        <v>P</v>
      </c>
      <c r="P21" s="4" t="str">
        <f>IFERROR(LOOKUP(2,1/((lentry!$A$3:$A$3999=jul!$A21)*(lentry!$B$3:$B$3999&lt;=jul!P$3)*(lentry!$C$3:$C$3999&gt;=jul!P$3)),lentry!$D$3:$D$3999),IF(WEEKDAY(jul!P$3,1)=1,"WO","P"))</f>
        <v>P</v>
      </c>
      <c r="Q21" s="4" t="str">
        <f>IFERROR(LOOKUP(2,1/((lentry!$A$3:$A$3999=jul!$A21)*(lentry!$B$3:$B$3999&lt;=jul!Q$3)*(lentry!$C$3:$C$3999&gt;=jul!Q$3)),lentry!$D$3:$D$3999),IF(WEEKDAY(jul!Q$3,1)=1,"WO","P"))</f>
        <v>WO</v>
      </c>
      <c r="R21" s="4" t="str">
        <f>IFERROR(LOOKUP(2,1/((lentry!$A$3:$A$3999=jul!$A21)*(lentry!$B$3:$B$3999&lt;=jul!R$3)*(lentry!$C$3:$C$3999&gt;=jul!R$3)),lentry!$D$3:$D$3999),IF(WEEKDAY(jul!R$3,1)=1,"WO","P"))</f>
        <v>P</v>
      </c>
      <c r="S21" s="4" t="str">
        <f>IFERROR(LOOKUP(2,1/((lentry!$A$3:$A$3999=jul!$A21)*(lentry!$B$3:$B$3999&lt;=jul!S$3)*(lentry!$C$3:$C$3999&gt;=jul!S$3)),lentry!$D$3:$D$3999),IF(WEEKDAY(jul!S$3,1)=1,"WO","P"))</f>
        <v>P</v>
      </c>
      <c r="T21" s="4" t="str">
        <f>IFERROR(LOOKUP(2,1/((lentry!$A$3:$A$3999=jul!$A21)*(lentry!$B$3:$B$3999&lt;=jul!T$3)*(lentry!$C$3:$C$3999&gt;=jul!T$3)),lentry!$D$3:$D$3999),IF(WEEKDAY(jul!T$3,1)=1,"WO","P"))</f>
        <v>P</v>
      </c>
      <c r="U21" s="4" t="str">
        <f>IFERROR(LOOKUP(2,1/((lentry!$A$3:$A$3999=jul!$A21)*(lentry!$B$3:$B$3999&lt;=jul!U$3)*(lentry!$C$3:$C$3999&gt;=jul!U$3)),lentry!$D$3:$D$3999),IF(WEEKDAY(jul!U$3,1)=1,"WO","P"))</f>
        <v>P</v>
      </c>
      <c r="V21" s="4" t="str">
        <f>IFERROR(LOOKUP(2,1/((lentry!$A$3:$A$3999=jul!$A21)*(lentry!$B$3:$B$3999&lt;=jul!V$3)*(lentry!$C$3:$C$3999&gt;=jul!V$3)),lentry!$D$3:$D$3999),IF(WEEKDAY(jul!V$3,1)=1,"WO","P"))</f>
        <v>P</v>
      </c>
      <c r="W21" s="4" t="str">
        <f>IFERROR(LOOKUP(2,1/((lentry!$A$3:$A$3999=jul!$A21)*(lentry!$B$3:$B$3999&lt;=jul!W$3)*(lentry!$C$3:$C$3999&gt;=jul!W$3)),lentry!$D$3:$D$3999),IF(WEEKDAY(jul!W$3,1)=1,"WO","P"))</f>
        <v>P</v>
      </c>
      <c r="X21" s="4" t="str">
        <f>IFERROR(LOOKUP(2,1/((lentry!$A$3:$A$3999=jul!$A21)*(lentry!$B$3:$B$3999&lt;=jul!X$3)*(lentry!$C$3:$C$3999&gt;=jul!X$3)),lentry!$D$3:$D$3999),IF(WEEKDAY(jul!X$3,1)=1,"WO","P"))</f>
        <v>WO</v>
      </c>
      <c r="Y21" s="4" t="str">
        <f>IFERROR(LOOKUP(2,1/((lentry!$A$3:$A$3999=jul!$A21)*(lentry!$B$3:$B$3999&lt;=jul!Y$3)*(lentry!$C$3:$C$3999&gt;=jul!Y$3)),lentry!$D$3:$D$3999),IF(WEEKDAY(jul!Y$3,1)=1,"WO","P"))</f>
        <v>P</v>
      </c>
      <c r="Z21" s="4" t="s">
        <v>539</v>
      </c>
      <c r="AA21" s="4" t="str">
        <f>IFERROR(LOOKUP(2,1/((lentry!$A$3:$A$3999=jul!$A21)*(lentry!$B$3:$B$3999&lt;=jul!AA$3)*(lentry!$C$3:$C$3999&gt;=jul!AA$3)),lentry!$D$3:$D$3999),IF(WEEKDAY(jul!AA$3,1)=1,"WO","P"))</f>
        <v>P</v>
      </c>
      <c r="AB21" s="4" t="str">
        <f>IFERROR(LOOKUP(2,1/((lentry!$A$3:$A$3999=jul!$A21)*(lentry!$B$3:$B$3999&lt;=jul!AB$3)*(lentry!$C$3:$C$3999&gt;=jul!AB$3)),lentry!$D$3:$D$3999),IF(WEEKDAY(jul!AB$3,1)=1,"WO","P"))</f>
        <v>P</v>
      </c>
      <c r="AC21" s="4" t="str">
        <f>IFERROR(LOOKUP(2,1/((lentry!$A$3:$A$3999=jul!$A21)*(lentry!$B$3:$B$3999&lt;=jul!AC$3)*(lentry!$C$3:$C$3999&gt;=jul!AC$3)),lentry!$D$3:$D$3999),IF(WEEKDAY(jul!AC$3,1)=1,"WO","P"))</f>
        <v>P</v>
      </c>
      <c r="AD21" s="4" t="str">
        <f>IFERROR(LOOKUP(2,1/((lentry!$A$3:$A$3999=jul!$A21)*(lentry!$B$3:$B$3999&lt;=jul!AD$3)*(lentry!$C$3:$C$3999&gt;=jul!AD$3)),lentry!$D$3:$D$3999),IF(WEEKDAY(jul!AD$3,1)=1,"WO","P"))</f>
        <v>P</v>
      </c>
      <c r="AE21" s="4" t="str">
        <f>IFERROR(LOOKUP(2,1/((lentry!$A$3:$A$3999=jul!$A21)*(lentry!$B$3:$B$3999&lt;=jul!AE$3)*(lentry!$C$3:$C$3999&gt;=jul!AE$3)),lentry!$D$3:$D$3999),IF(WEEKDAY(jul!AE$3,1)=1,"WO","P"))</f>
        <v>WO</v>
      </c>
      <c r="AF21" s="4" t="str">
        <f>IFERROR(LOOKUP(2,1/((lentry!$A$3:$A$3999=jul!$A21)*(lentry!$B$3:$B$3999&lt;=jul!AF$3)*(lentry!$C$3:$C$3999&gt;=jul!AF$3)),lentry!$D$3:$D$3999),IF(WEEKDAY(jul!AF$3,1)=1,"WO","P"))</f>
        <v>P</v>
      </c>
      <c r="AG21" s="4" t="str">
        <f>IFERROR(LOOKUP(2,1/((lentry!$A$3:$A$3999=jul!$A21)*(lentry!$B$3:$B$3999&lt;=jul!AG$3)*(lentry!$C$3:$C$3999&gt;=jul!AG$3)),lentry!$D$3:$D$3999),IF(WEEKDAY(jul!AG$3,1)=1,"WO","P"))</f>
        <v>P</v>
      </c>
      <c r="AH21" s="4" t="str">
        <f>IFERROR(LOOKUP(2,1/((lentry!$A$3:$A$3999=jul!$A21)*(lentry!$B$3:$B$3999&lt;=jul!AH$3)*(lentry!$C$3:$C$3999&gt;=jul!AH$3)),lentry!$D$3:$D$3999),IF(WEEKDAY(jul!AH$3,1)=1,"WO","P"))</f>
        <v>P</v>
      </c>
      <c r="AI21" s="4" t="str">
        <f>IFERROR(LOOKUP(2,1/((lentry!$A$3:$A$3999=jul!$A21)*(lentry!$B$3:$B$3999&lt;=jul!AI$3)*(lentry!$C$3:$C$3999&gt;=jul!AI$3)),lentry!$D$3:$D$3999),IF(WEEKDAY(jul!AI$3,1)=1,"WO","P"))</f>
        <v>P</v>
      </c>
      <c r="AJ21" s="4" t="str">
        <f>IFERROR(LOOKUP(2,1/((lentry!$A$3:$A$3999=jul!$A21)*(lentry!$B$3:$B$3999&lt;=jul!AJ$3)*(lentry!$C$3:$C$3999&gt;=jul!AJ$3)),lentry!$D$3:$D$3999),IF(WEEKDAY(jul!AJ$3,1)=1,"WO","P"))</f>
        <v>P</v>
      </c>
      <c r="AK21" s="4">
        <f>COUNTIF(jul!$F21:$AJ21,"WO")</f>
        <v>4</v>
      </c>
      <c r="AL21" s="4">
        <f>COUNTIF(jul!$F21:$AJ21,"H")</f>
        <v>0</v>
      </c>
      <c r="AM21" s="4">
        <f>COUNTIF(jul!$F21:$AJ21,"pl")</f>
        <v>0</v>
      </c>
      <c r="AN21" s="4">
        <f>COUNTIF(jul!$F21:$AJ21,"LWP")</f>
        <v>0</v>
      </c>
      <c r="AO21" s="4">
        <f>COUNTIF(jul!$F21:$AJ21,"HD")</f>
        <v>0</v>
      </c>
      <c r="AP21" s="4">
        <f>COUNTIF(jul!$F21:$AJ21,"SL")</f>
        <v>0</v>
      </c>
      <c r="AQ21" s="4">
        <f>COUNTIF(jul!$F21:$AJ21,"CL")</f>
        <v>0</v>
      </c>
      <c r="AR21" s="4">
        <f>COUNTIF(jul!$F21:$AJ21,"A")</f>
        <v>1</v>
      </c>
      <c r="AS21" s="4">
        <f>COUNTIF(jul!$F21:$AJ21,"P")</f>
        <v>26</v>
      </c>
      <c r="AT21" s="4">
        <f t="shared" si="2"/>
        <v>31</v>
      </c>
      <c r="AU21" s="4">
        <f t="shared" si="3"/>
        <v>30</v>
      </c>
      <c r="AV21" s="4">
        <f>SUMIFS(holly!$L$2:$L$122,holly!$I$2:$I$122,mar!$A21,holly!$K$2:$K$122,"Mar")</f>
        <v>0</v>
      </c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</row>
    <row r="22" spans="1:80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IFERROR(LOOKUP(2,1/((lentry!$A$3:$A$3999=jul!$A22)*(lentry!$B$3:$B$3999&lt;=jul!F$3)*(lentry!$C$3:$C$3999&gt;=jul!F$3)),lentry!$D$3:$D$3999),IF(WEEKDAY(jul!F$3,1)=1,"WO","P"))</f>
        <v>P</v>
      </c>
      <c r="G22" s="4" t="str">
        <f>IFERROR(LOOKUP(2,1/((lentry!$A$3:$A$3999=jul!$A22)*(lentry!$B$3:$B$3999&lt;=jul!G$3)*(lentry!$C$3:$C$3999&gt;=jul!G$3)),lentry!$D$3:$D$3999),IF(WEEKDAY(jul!G$3,1)=1,"WO","P"))</f>
        <v>P</v>
      </c>
      <c r="H22" s="4" t="str">
        <f>IFERROR(LOOKUP(2,1/((lentry!$A$3:$A$3999=jul!$A22)*(lentry!$B$3:$B$3999&lt;=jul!H$3)*(lentry!$C$3:$C$3999&gt;=jul!H$3)),lentry!$D$3:$D$3999),IF(WEEKDAY(jul!H$3,1)=1,"WO","P"))</f>
        <v>P</v>
      </c>
      <c r="I22" s="4" t="str">
        <f>IFERROR(LOOKUP(2,1/((lentry!$A$3:$A$3999=jul!$A22)*(lentry!$B$3:$B$3999&lt;=jul!I$3)*(lentry!$C$3:$C$3999&gt;=jul!I$3)),lentry!$D$3:$D$3999),IF(WEEKDAY(jul!I$3,1)=1,"WO","P"))</f>
        <v>P</v>
      </c>
      <c r="J22" s="4" t="str">
        <f>IFERROR(LOOKUP(2,1/((lentry!$A$3:$A$3999=jul!$A22)*(lentry!$B$3:$B$3999&lt;=jul!J$3)*(lentry!$C$3:$C$3999&gt;=jul!J$3)),lentry!$D$3:$D$3999),IF(WEEKDAY(jul!J$3,1)=1,"WO","P"))</f>
        <v>WO</v>
      </c>
      <c r="K22" s="4" t="str">
        <f>IFERROR(LOOKUP(2,1/((lentry!$A$3:$A$3999=jul!$A22)*(lentry!$B$3:$B$3999&lt;=jul!K$3)*(lentry!$C$3:$C$3999&gt;=jul!K$3)),lentry!$D$3:$D$3999),IF(WEEKDAY(jul!K$3,1)=1,"WO","P"))</f>
        <v>P</v>
      </c>
      <c r="L22" s="4" t="str">
        <f>IFERROR(LOOKUP(2,1/((lentry!$A$3:$A$3999=jul!$A22)*(lentry!$B$3:$B$3999&lt;=jul!L$3)*(lentry!$C$3:$C$3999&gt;=jul!L$3)),lentry!$D$3:$D$3999),IF(WEEKDAY(jul!L$3,1)=1,"WO","P"))</f>
        <v>P</v>
      </c>
      <c r="M22" s="4" t="str">
        <f>IFERROR(LOOKUP(2,1/((lentry!$A$3:$A$3999=jul!$A22)*(lentry!$B$3:$B$3999&lt;=jul!M$3)*(lentry!$C$3:$C$3999&gt;=jul!M$3)),lentry!$D$3:$D$3999),IF(WEEKDAY(jul!M$3,1)=1,"WO","P"))</f>
        <v>P</v>
      </c>
      <c r="N22" s="4" t="str">
        <f>IFERROR(LOOKUP(2,1/((lentry!$A$3:$A$3999=jul!$A22)*(lentry!$B$3:$B$3999&lt;=jul!N$3)*(lentry!$C$3:$C$3999&gt;=jul!N$3)),lentry!$D$3:$D$3999),IF(WEEKDAY(jul!N$3,1)=1,"WO","P"))</f>
        <v>P</v>
      </c>
      <c r="O22" s="4" t="str">
        <f>IFERROR(LOOKUP(2,1/((lentry!$A$3:$A$3999=jul!$A22)*(lentry!$B$3:$B$3999&lt;=jul!O$3)*(lentry!$C$3:$C$3999&gt;=jul!O$3)),lentry!$D$3:$D$3999),IF(WEEKDAY(jul!O$3,1)=1,"WO","P"))</f>
        <v>P</v>
      </c>
      <c r="P22" s="4" t="str">
        <f>IFERROR(LOOKUP(2,1/((lentry!$A$3:$A$3999=jul!$A22)*(lentry!$B$3:$B$3999&lt;=jul!P$3)*(lentry!$C$3:$C$3999&gt;=jul!P$3)),lentry!$D$3:$D$3999),IF(WEEKDAY(jul!P$3,1)=1,"WO","P"))</f>
        <v>P</v>
      </c>
      <c r="Q22" s="4" t="str">
        <f>IFERROR(LOOKUP(2,1/((lentry!$A$3:$A$3999=jul!$A22)*(lentry!$B$3:$B$3999&lt;=jul!Q$3)*(lentry!$C$3:$C$3999&gt;=jul!Q$3)),lentry!$D$3:$D$3999),IF(WEEKDAY(jul!Q$3,1)=1,"WO","P"))</f>
        <v>WO</v>
      </c>
      <c r="R22" s="4" t="str">
        <f>IFERROR(LOOKUP(2,1/((lentry!$A$3:$A$3999=jul!$A22)*(lentry!$B$3:$B$3999&lt;=jul!R$3)*(lentry!$C$3:$C$3999&gt;=jul!R$3)),lentry!$D$3:$D$3999),IF(WEEKDAY(jul!R$3,1)=1,"WO","P"))</f>
        <v>P</v>
      </c>
      <c r="S22" s="4" t="str">
        <f>IFERROR(LOOKUP(2,1/((lentry!$A$3:$A$3999=jul!$A22)*(lentry!$B$3:$B$3999&lt;=jul!S$3)*(lentry!$C$3:$C$3999&gt;=jul!S$3)),lentry!$D$3:$D$3999),IF(WEEKDAY(jul!S$3,1)=1,"WO","P"))</f>
        <v>P</v>
      </c>
      <c r="T22" s="4" t="str">
        <f>IFERROR(LOOKUP(2,1/((lentry!$A$3:$A$3999=jul!$A22)*(lentry!$B$3:$B$3999&lt;=jul!T$3)*(lentry!$C$3:$C$3999&gt;=jul!T$3)),lentry!$D$3:$D$3999),IF(WEEKDAY(jul!T$3,1)=1,"WO","P"))</f>
        <v>P</v>
      </c>
      <c r="U22" s="4" t="str">
        <f>IFERROR(LOOKUP(2,1/((lentry!$A$3:$A$3999=jul!$A22)*(lentry!$B$3:$B$3999&lt;=jul!U$3)*(lentry!$C$3:$C$3999&gt;=jul!U$3)),lentry!$D$3:$D$3999),IF(WEEKDAY(jul!U$3,1)=1,"WO","P"))</f>
        <v>P</v>
      </c>
      <c r="V22" s="4" t="str">
        <f>IFERROR(LOOKUP(2,1/((lentry!$A$3:$A$3999=jul!$A22)*(lentry!$B$3:$B$3999&lt;=jul!V$3)*(lentry!$C$3:$C$3999&gt;=jul!V$3)),lentry!$D$3:$D$3999),IF(WEEKDAY(jul!V$3,1)=1,"WO","P"))</f>
        <v>P</v>
      </c>
      <c r="W22" s="4" t="str">
        <f>IFERROR(LOOKUP(2,1/((lentry!$A$3:$A$3999=jul!$A22)*(lentry!$B$3:$B$3999&lt;=jul!W$3)*(lentry!$C$3:$C$3999&gt;=jul!W$3)),lentry!$D$3:$D$3999),IF(WEEKDAY(jul!W$3,1)=1,"WO","P"))</f>
        <v>P</v>
      </c>
      <c r="X22" s="4" t="str">
        <f>IFERROR(LOOKUP(2,1/((lentry!$A$3:$A$3999=jul!$A22)*(lentry!$B$3:$B$3999&lt;=jul!X$3)*(lentry!$C$3:$C$3999&gt;=jul!X$3)),lentry!$D$3:$D$3999),IF(WEEKDAY(jul!X$3,1)=1,"WO","P"))</f>
        <v>WO</v>
      </c>
      <c r="Y22" s="4" t="str">
        <f>IFERROR(LOOKUP(2,1/((lentry!$A$3:$A$3999=jul!$A22)*(lentry!$B$3:$B$3999&lt;=jul!Y$3)*(lentry!$C$3:$C$3999&gt;=jul!Y$3)),lentry!$D$3:$D$3999),IF(WEEKDAY(jul!Y$3,1)=1,"WO","P"))</f>
        <v>P</v>
      </c>
      <c r="Z22" s="4" t="str">
        <f>IFERROR(LOOKUP(2,1/((lentry!$A$3:$A$3999=jul!$A22)*(lentry!$B$3:$B$3999&lt;=jul!Z$3)*(lentry!$C$3:$C$3999&gt;=jul!Z$3)),lentry!$D$3:$D$3999),IF(WEEKDAY(jul!Z$3,1)=1,"WO","P"))</f>
        <v>P</v>
      </c>
      <c r="AA22" s="4" t="str">
        <f>IFERROR(LOOKUP(2,1/((lentry!$A$3:$A$3999=jul!$A22)*(lentry!$B$3:$B$3999&lt;=jul!AA$3)*(lentry!$C$3:$C$3999&gt;=jul!AA$3)),lentry!$D$3:$D$3999),IF(WEEKDAY(jul!AA$3,1)=1,"WO","P"))</f>
        <v>P</v>
      </c>
      <c r="AB22" s="4" t="str">
        <f>IFERROR(LOOKUP(2,1/((lentry!$A$3:$A$3999=jul!$A22)*(lentry!$B$3:$B$3999&lt;=jul!AB$3)*(lentry!$C$3:$C$3999&gt;=jul!AB$3)),lentry!$D$3:$D$3999),IF(WEEKDAY(jul!AB$3,1)=1,"WO","P"))</f>
        <v>P</v>
      </c>
      <c r="AC22" s="4" t="str">
        <f>IFERROR(LOOKUP(2,1/((lentry!$A$3:$A$3999=jul!$A22)*(lentry!$B$3:$B$3999&lt;=jul!AC$3)*(lentry!$C$3:$C$3999&gt;=jul!AC$3)),lentry!$D$3:$D$3999),IF(WEEKDAY(jul!AC$3,1)=1,"WO","P"))</f>
        <v>P</v>
      </c>
      <c r="AD22" s="4" t="str">
        <f>IFERROR(LOOKUP(2,1/((lentry!$A$3:$A$3999=jul!$A22)*(lentry!$B$3:$B$3999&lt;=jul!AD$3)*(lentry!$C$3:$C$3999&gt;=jul!AD$3)),lentry!$D$3:$D$3999),IF(WEEKDAY(jul!AD$3,1)=1,"WO","P"))</f>
        <v>P</v>
      </c>
      <c r="AE22" s="4" t="str">
        <f>IFERROR(LOOKUP(2,1/((lentry!$A$3:$A$3999=jul!$A22)*(lentry!$B$3:$B$3999&lt;=jul!AE$3)*(lentry!$C$3:$C$3999&gt;=jul!AE$3)),lentry!$D$3:$D$3999),IF(WEEKDAY(jul!AE$3,1)=1,"WO","P"))</f>
        <v>WO</v>
      </c>
      <c r="AF22" s="4" t="str">
        <f>IFERROR(LOOKUP(2,1/((lentry!$A$3:$A$3999=jul!$A22)*(lentry!$B$3:$B$3999&lt;=jul!AF$3)*(lentry!$C$3:$C$3999&gt;=jul!AF$3)),lentry!$D$3:$D$3999),IF(WEEKDAY(jul!AF$3,1)=1,"WO","P"))</f>
        <v>P</v>
      </c>
      <c r="AG22" s="4" t="str">
        <f>IFERROR(LOOKUP(2,1/((lentry!$A$3:$A$3999=jul!$A22)*(lentry!$B$3:$B$3999&lt;=jul!AG$3)*(lentry!$C$3:$C$3999&gt;=jul!AG$3)),lentry!$D$3:$D$3999),IF(WEEKDAY(jul!AG$3,1)=1,"WO","P"))</f>
        <v>P</v>
      </c>
      <c r="AH22" s="4" t="str">
        <f>IFERROR(LOOKUP(2,1/((lentry!$A$3:$A$3999=jul!$A22)*(lentry!$B$3:$B$3999&lt;=jul!AH$3)*(lentry!$C$3:$C$3999&gt;=jul!AH$3)),lentry!$D$3:$D$3999),IF(WEEKDAY(jul!AH$3,1)=1,"WO","P"))</f>
        <v>P</v>
      </c>
      <c r="AI22" s="4" t="str">
        <f>IFERROR(LOOKUP(2,1/((lentry!$A$3:$A$3999=jul!$A22)*(lentry!$B$3:$B$3999&lt;=jul!AI$3)*(lentry!$C$3:$C$3999&gt;=jul!AI$3)),lentry!$D$3:$D$3999),IF(WEEKDAY(jul!AI$3,1)=1,"WO","P"))</f>
        <v>P</v>
      </c>
      <c r="AJ22" s="4" t="str">
        <f>IFERROR(LOOKUP(2,1/((lentry!$A$3:$A$3999=jul!$A22)*(lentry!$B$3:$B$3999&lt;=jul!AJ$3)*(lentry!$C$3:$C$3999&gt;=jul!AJ$3)),lentry!$D$3:$D$3999),IF(WEEKDAY(jul!AJ$3,1)=1,"WO","P"))</f>
        <v>P</v>
      </c>
      <c r="AK22" s="4">
        <f>COUNTIF(jul!$F22:$AJ22,"WO")</f>
        <v>4</v>
      </c>
      <c r="AL22" s="4">
        <f>COUNTIF(jul!$F22:$AJ22,"H")</f>
        <v>0</v>
      </c>
      <c r="AM22" s="4">
        <f>COUNTIF(jul!$F22:$AJ22,"pl")</f>
        <v>0</v>
      </c>
      <c r="AN22" s="4">
        <f>COUNTIF(jul!$F22:$AJ22,"LWP")</f>
        <v>0</v>
      </c>
      <c r="AO22" s="4">
        <f>COUNTIF(jul!$F22:$AJ22,"HD")</f>
        <v>0</v>
      </c>
      <c r="AP22" s="4">
        <f>COUNTIF(jul!$F22:$AJ22,"SL")</f>
        <v>0</v>
      </c>
      <c r="AQ22" s="4">
        <f>COUNTIF(jul!$F22:$AJ22,"CL")</f>
        <v>0</v>
      </c>
      <c r="AR22" s="4">
        <f>COUNTIF(jul!$F22:$AJ22,"A")</f>
        <v>0</v>
      </c>
      <c r="AS22" s="4">
        <f>COUNTIF(jul!$F22:$AJ22,"P")</f>
        <v>27</v>
      </c>
      <c r="AT22" s="4">
        <f t="shared" si="2"/>
        <v>31</v>
      </c>
      <c r="AU22" s="4">
        <f t="shared" si="3"/>
        <v>31</v>
      </c>
      <c r="AV22" s="4">
        <f>SUMIFS(holly!$L$2:$L$122,holly!$I$2:$I$122,mar!$A22,holly!$K$2:$K$122,"Mar")</f>
        <v>1</v>
      </c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</row>
    <row r="23" spans="1:80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IFERROR(LOOKUP(2,1/((lentry!$A$3:$A$3999=jul!$A23)*(lentry!$B$3:$B$3999&lt;=jul!F$3)*(lentry!$C$3:$C$3999&gt;=jul!F$3)),lentry!$D$3:$D$3999),IF(WEEKDAY(jul!F$3,1)=1,"WO","P"))</f>
        <v>P</v>
      </c>
      <c r="G23" s="4" t="str">
        <f>IFERROR(LOOKUP(2,1/((lentry!$A$3:$A$3999=jul!$A23)*(lentry!$B$3:$B$3999&lt;=jul!G$3)*(lentry!$C$3:$C$3999&gt;=jul!G$3)),lentry!$D$3:$D$3999),IF(WEEKDAY(jul!G$3,1)=1,"WO","P"))</f>
        <v>P</v>
      </c>
      <c r="H23" s="4" t="str">
        <f>IFERROR(LOOKUP(2,1/((lentry!$A$3:$A$3999=jul!$A23)*(lentry!$B$3:$B$3999&lt;=jul!H$3)*(lentry!$C$3:$C$3999&gt;=jul!H$3)),lentry!$D$3:$D$3999),IF(WEEKDAY(jul!H$3,1)=1,"WO","P"))</f>
        <v>P</v>
      </c>
      <c r="I23" s="4" t="str">
        <f>IFERROR(LOOKUP(2,1/((lentry!$A$3:$A$3999=jul!$A23)*(lentry!$B$3:$B$3999&lt;=jul!I$3)*(lentry!$C$3:$C$3999&gt;=jul!I$3)),lentry!$D$3:$D$3999),IF(WEEKDAY(jul!I$3,1)=1,"WO","P"))</f>
        <v>P</v>
      </c>
      <c r="J23" s="4" t="str">
        <f>IFERROR(LOOKUP(2,1/((lentry!$A$3:$A$3999=jul!$A23)*(lentry!$B$3:$B$3999&lt;=jul!J$3)*(lentry!$C$3:$C$3999&gt;=jul!J$3)),lentry!$D$3:$D$3999),IF(WEEKDAY(jul!J$3,1)=1,"WO","P"))</f>
        <v>WO</v>
      </c>
      <c r="K23" s="4" t="str">
        <f>IFERROR(LOOKUP(2,1/((lentry!$A$3:$A$3999=jul!$A23)*(lentry!$B$3:$B$3999&lt;=jul!K$3)*(lentry!$C$3:$C$3999&gt;=jul!K$3)),lentry!$D$3:$D$3999),IF(WEEKDAY(jul!K$3,1)=1,"WO","P"))</f>
        <v>P</v>
      </c>
      <c r="L23" s="4" t="str">
        <f>IFERROR(LOOKUP(2,1/((lentry!$A$3:$A$3999=jul!$A23)*(lentry!$B$3:$B$3999&lt;=jul!L$3)*(lentry!$C$3:$C$3999&gt;=jul!L$3)),lentry!$D$3:$D$3999),IF(WEEKDAY(jul!L$3,1)=1,"WO","P"))</f>
        <v>P</v>
      </c>
      <c r="M23" s="4" t="str">
        <f>IFERROR(LOOKUP(2,1/((lentry!$A$3:$A$3999=jul!$A23)*(lentry!$B$3:$B$3999&lt;=jul!M$3)*(lentry!$C$3:$C$3999&gt;=jul!M$3)),lentry!$D$3:$D$3999),IF(WEEKDAY(jul!M$3,1)=1,"WO","P"))</f>
        <v>P</v>
      </c>
      <c r="N23" s="4" t="str">
        <f>IFERROR(LOOKUP(2,1/((lentry!$A$3:$A$3999=jul!$A23)*(lentry!$B$3:$B$3999&lt;=jul!N$3)*(lentry!$C$3:$C$3999&gt;=jul!N$3)),lentry!$D$3:$D$3999),IF(WEEKDAY(jul!N$3,1)=1,"WO","P"))</f>
        <v>P</v>
      </c>
      <c r="O23" s="4" t="str">
        <f>IFERROR(LOOKUP(2,1/((lentry!$A$3:$A$3999=jul!$A23)*(lentry!$B$3:$B$3999&lt;=jul!O$3)*(lentry!$C$3:$C$3999&gt;=jul!O$3)),lentry!$D$3:$D$3999),IF(WEEKDAY(jul!O$3,1)=1,"WO","P"))</f>
        <v>P</v>
      </c>
      <c r="P23" s="4" t="str">
        <f>IFERROR(LOOKUP(2,1/((lentry!$A$3:$A$3999=jul!$A23)*(lentry!$B$3:$B$3999&lt;=jul!P$3)*(lentry!$C$3:$C$3999&gt;=jul!P$3)),lentry!$D$3:$D$3999),IF(WEEKDAY(jul!P$3,1)=1,"WO","P"))</f>
        <v>P</v>
      </c>
      <c r="Q23" s="4" t="str">
        <f>IFERROR(LOOKUP(2,1/((lentry!$A$3:$A$3999=jul!$A23)*(lentry!$B$3:$B$3999&lt;=jul!Q$3)*(lentry!$C$3:$C$3999&gt;=jul!Q$3)),lentry!$D$3:$D$3999),IF(WEEKDAY(jul!Q$3,1)=1,"WO","P"))</f>
        <v>WO</v>
      </c>
      <c r="R23" s="4" t="str">
        <f>IFERROR(LOOKUP(2,1/((lentry!$A$3:$A$3999=jul!$A23)*(lentry!$B$3:$B$3999&lt;=jul!R$3)*(lentry!$C$3:$C$3999&gt;=jul!R$3)),lentry!$D$3:$D$3999),IF(WEEKDAY(jul!R$3,1)=1,"WO","P"))</f>
        <v>P</v>
      </c>
      <c r="S23" s="4" t="str">
        <f>IFERROR(LOOKUP(2,1/((lentry!$A$3:$A$3999=jul!$A23)*(lentry!$B$3:$B$3999&lt;=jul!S$3)*(lentry!$C$3:$C$3999&gt;=jul!S$3)),lentry!$D$3:$D$3999),IF(WEEKDAY(jul!S$3,1)=1,"WO","P"))</f>
        <v>P</v>
      </c>
      <c r="T23" s="4" t="s">
        <v>539</v>
      </c>
      <c r="U23" s="4" t="str">
        <f>IFERROR(LOOKUP(2,1/((lentry!$A$3:$A$3999=jul!$A23)*(lentry!$B$3:$B$3999&lt;=jul!U$3)*(lentry!$C$3:$C$3999&gt;=jul!U$3)),lentry!$D$3:$D$3999),IF(WEEKDAY(jul!U$3,1)=1,"WO","P"))</f>
        <v>P</v>
      </c>
      <c r="V23" s="4" t="str">
        <f>IFERROR(LOOKUP(2,1/((lentry!$A$3:$A$3999=jul!$A23)*(lentry!$B$3:$B$3999&lt;=jul!V$3)*(lentry!$C$3:$C$3999&gt;=jul!V$3)),lentry!$D$3:$D$3999),IF(WEEKDAY(jul!V$3,1)=1,"WO","P"))</f>
        <v>P</v>
      </c>
      <c r="W23" s="4" t="str">
        <f>IFERROR(LOOKUP(2,1/((lentry!$A$3:$A$3999=jul!$A23)*(lentry!$B$3:$B$3999&lt;=jul!W$3)*(lentry!$C$3:$C$3999&gt;=jul!W$3)),lentry!$D$3:$D$3999),IF(WEEKDAY(jul!W$3,1)=1,"WO","P"))</f>
        <v>P</v>
      </c>
      <c r="X23" s="4" t="str">
        <f>IFERROR(LOOKUP(2,1/((lentry!$A$3:$A$3999=jul!$A23)*(lentry!$B$3:$B$3999&lt;=jul!X$3)*(lentry!$C$3:$C$3999&gt;=jul!X$3)),lentry!$D$3:$D$3999),IF(WEEKDAY(jul!X$3,1)=1,"WO","P"))</f>
        <v>WO</v>
      </c>
      <c r="Y23" s="4" t="str">
        <f>IFERROR(LOOKUP(2,1/((lentry!$A$3:$A$3999=jul!$A23)*(lentry!$B$3:$B$3999&lt;=jul!Y$3)*(lentry!$C$3:$C$3999&gt;=jul!Y$3)),lentry!$D$3:$D$3999),IF(WEEKDAY(jul!Y$3,1)=1,"WO","P"))</f>
        <v>P</v>
      </c>
      <c r="Z23" s="4" t="str">
        <f>IFERROR(LOOKUP(2,1/((lentry!$A$3:$A$3999=jul!$A23)*(lentry!$B$3:$B$3999&lt;=jul!Z$3)*(lentry!$C$3:$C$3999&gt;=jul!Z$3)),lentry!$D$3:$D$3999),IF(WEEKDAY(jul!Z$3,1)=1,"WO","P"))</f>
        <v>P</v>
      </c>
      <c r="AA23" s="4" t="str">
        <f>IFERROR(LOOKUP(2,1/((lentry!$A$3:$A$3999=jul!$A23)*(lentry!$B$3:$B$3999&lt;=jul!AA$3)*(lentry!$C$3:$C$3999&gt;=jul!AA$3)),lentry!$D$3:$D$3999),IF(WEEKDAY(jul!AA$3,1)=1,"WO","P"))</f>
        <v>P</v>
      </c>
      <c r="AB23" s="4" t="str">
        <f>IFERROR(LOOKUP(2,1/((lentry!$A$3:$A$3999=jul!$A23)*(lentry!$B$3:$B$3999&lt;=jul!AB$3)*(lentry!$C$3:$C$3999&gt;=jul!AB$3)),lentry!$D$3:$D$3999),IF(WEEKDAY(jul!AB$3,1)=1,"WO","P"))</f>
        <v>P</v>
      </c>
      <c r="AC23" s="4" t="str">
        <f>IFERROR(LOOKUP(2,1/((lentry!$A$3:$A$3999=jul!$A23)*(lentry!$B$3:$B$3999&lt;=jul!AC$3)*(lentry!$C$3:$C$3999&gt;=jul!AC$3)),lentry!$D$3:$D$3999),IF(WEEKDAY(jul!AC$3,1)=1,"WO","P"))</f>
        <v>P</v>
      </c>
      <c r="AD23" s="4" t="str">
        <f>IFERROR(LOOKUP(2,1/((lentry!$A$3:$A$3999=jul!$A23)*(lentry!$B$3:$B$3999&lt;=jul!AD$3)*(lentry!$C$3:$C$3999&gt;=jul!AD$3)),lentry!$D$3:$D$3999),IF(WEEKDAY(jul!AD$3,1)=1,"WO","P"))</f>
        <v>P</v>
      </c>
      <c r="AE23" s="4" t="str">
        <f>IFERROR(LOOKUP(2,1/((lentry!$A$3:$A$3999=jul!$A23)*(lentry!$B$3:$B$3999&lt;=jul!AE$3)*(lentry!$C$3:$C$3999&gt;=jul!AE$3)),lentry!$D$3:$D$3999),IF(WEEKDAY(jul!AE$3,1)=1,"WO","P"))</f>
        <v>WO</v>
      </c>
      <c r="AF23" s="4" t="s">
        <v>539</v>
      </c>
      <c r="AG23" s="4" t="str">
        <f>IFERROR(LOOKUP(2,1/((lentry!$A$3:$A$3999=jul!$A23)*(lentry!$B$3:$B$3999&lt;=jul!AG$3)*(lentry!$C$3:$C$3999&gt;=jul!AG$3)),lentry!$D$3:$D$3999),IF(WEEKDAY(jul!AG$3,1)=1,"WO","P"))</f>
        <v>P</v>
      </c>
      <c r="AH23" s="4" t="str">
        <f>IFERROR(LOOKUP(2,1/((lentry!$A$3:$A$3999=jul!$A23)*(lentry!$B$3:$B$3999&lt;=jul!AH$3)*(lentry!$C$3:$C$3999&gt;=jul!AH$3)),lentry!$D$3:$D$3999),IF(WEEKDAY(jul!AH$3,1)=1,"WO","P"))</f>
        <v>P</v>
      </c>
      <c r="AI23" s="4" t="str">
        <f>IFERROR(LOOKUP(2,1/((lentry!$A$3:$A$3999=jul!$A23)*(lentry!$B$3:$B$3999&lt;=jul!AI$3)*(lentry!$C$3:$C$3999&gt;=jul!AI$3)),lentry!$D$3:$D$3999),IF(WEEKDAY(jul!AI$3,1)=1,"WO","P"))</f>
        <v>P</v>
      </c>
      <c r="AJ23" s="4" t="str">
        <f>IFERROR(LOOKUP(2,1/((lentry!$A$3:$A$3999=jul!$A23)*(lentry!$B$3:$B$3999&lt;=jul!AJ$3)*(lentry!$C$3:$C$3999&gt;=jul!AJ$3)),lentry!$D$3:$D$3999),IF(WEEKDAY(jul!AJ$3,1)=1,"WO","P"))</f>
        <v>P</v>
      </c>
      <c r="AK23" s="4">
        <f>COUNTIF(jul!$F23:$AJ23,"WO")</f>
        <v>4</v>
      </c>
      <c r="AL23" s="4">
        <f>COUNTIF(jul!$F23:$AJ23,"H")</f>
        <v>0</v>
      </c>
      <c r="AM23" s="4">
        <f>COUNTIF(jul!$F23:$AJ23,"pl")</f>
        <v>0</v>
      </c>
      <c r="AN23" s="4">
        <f>COUNTIF(jul!$F23:$AJ23,"LWP")</f>
        <v>0</v>
      </c>
      <c r="AO23" s="4">
        <f>COUNTIF(jul!$F23:$AJ23,"HD")</f>
        <v>0</v>
      </c>
      <c r="AP23" s="4">
        <f>COUNTIF(jul!$F23:$AJ23,"SL")</f>
        <v>0</v>
      </c>
      <c r="AQ23" s="4">
        <f>COUNTIF(jul!$F23:$AJ23,"CL")</f>
        <v>0</v>
      </c>
      <c r="AR23" s="4">
        <f>COUNTIF(jul!$F23:$AJ23,"A")</f>
        <v>2</v>
      </c>
      <c r="AS23" s="4">
        <f>COUNTIF(jul!$F23:$AJ23,"P")</f>
        <v>25</v>
      </c>
      <c r="AT23" s="4">
        <f t="shared" si="2"/>
        <v>31</v>
      </c>
      <c r="AU23" s="4">
        <f t="shared" si="3"/>
        <v>29</v>
      </c>
      <c r="AV23" s="4">
        <f>SUMIFS(holly!$L$2:$L$122,holly!$I$2:$I$122,mar!$A23,holly!$K$2:$K$122,"Mar")</f>
        <v>0</v>
      </c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</row>
    <row r="24" spans="1:80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IFERROR(LOOKUP(2,1/((lentry!$A$3:$A$3999=jul!$A24)*(lentry!$B$3:$B$3999&lt;=jul!F$3)*(lentry!$C$3:$C$3999&gt;=jul!F$3)),lentry!$D$3:$D$3999),IF(WEEKDAY(jul!F$3,1)=1,"WO","P"))</f>
        <v>P</v>
      </c>
      <c r="G24" s="4" t="str">
        <f>IFERROR(LOOKUP(2,1/((lentry!$A$3:$A$3999=jul!$A24)*(lentry!$B$3:$B$3999&lt;=jul!G$3)*(lentry!$C$3:$C$3999&gt;=jul!G$3)),lentry!$D$3:$D$3999),IF(WEEKDAY(jul!G$3,1)=1,"WO","P"))</f>
        <v>P</v>
      </c>
      <c r="H24" s="4" t="str">
        <f>IFERROR(LOOKUP(2,1/((lentry!$A$3:$A$3999=jul!$A24)*(lentry!$B$3:$B$3999&lt;=jul!H$3)*(lentry!$C$3:$C$3999&gt;=jul!H$3)),lentry!$D$3:$D$3999),IF(WEEKDAY(jul!H$3,1)=1,"WO","P"))</f>
        <v>P</v>
      </c>
      <c r="I24" s="4" t="str">
        <f>IFERROR(LOOKUP(2,1/((lentry!$A$3:$A$3999=jul!$A24)*(lentry!$B$3:$B$3999&lt;=jul!I$3)*(lentry!$C$3:$C$3999&gt;=jul!I$3)),lentry!$D$3:$D$3999),IF(WEEKDAY(jul!I$3,1)=1,"WO","P"))</f>
        <v>P</v>
      </c>
      <c r="J24" s="4" t="str">
        <f>IFERROR(LOOKUP(2,1/((lentry!$A$3:$A$3999=jul!$A24)*(lentry!$B$3:$B$3999&lt;=jul!J$3)*(lentry!$C$3:$C$3999&gt;=jul!J$3)),lentry!$D$3:$D$3999),IF(WEEKDAY(jul!J$3,1)=1,"WO","P"))</f>
        <v>WO</v>
      </c>
      <c r="K24" s="4" t="str">
        <f>IFERROR(LOOKUP(2,1/((lentry!$A$3:$A$3999=jul!$A24)*(lentry!$B$3:$B$3999&lt;=jul!K$3)*(lentry!$C$3:$C$3999&gt;=jul!K$3)),lentry!$D$3:$D$3999),IF(WEEKDAY(jul!K$3,1)=1,"WO","P"))</f>
        <v>P</v>
      </c>
      <c r="L24" s="4" t="str">
        <f>IFERROR(LOOKUP(2,1/((lentry!$A$3:$A$3999=jul!$A24)*(lentry!$B$3:$B$3999&lt;=jul!L$3)*(lentry!$C$3:$C$3999&gt;=jul!L$3)),lentry!$D$3:$D$3999),IF(WEEKDAY(jul!L$3,1)=1,"WO","P"))</f>
        <v>P</v>
      </c>
      <c r="M24" s="4" t="str">
        <f>IFERROR(LOOKUP(2,1/((lentry!$A$3:$A$3999=jul!$A24)*(lentry!$B$3:$B$3999&lt;=jul!M$3)*(lentry!$C$3:$C$3999&gt;=jul!M$3)),lentry!$D$3:$D$3999),IF(WEEKDAY(jul!M$3,1)=1,"WO","P"))</f>
        <v>P</v>
      </c>
      <c r="N24" s="4" t="str">
        <f>IFERROR(LOOKUP(2,1/((lentry!$A$3:$A$3999=jul!$A24)*(lentry!$B$3:$B$3999&lt;=jul!N$3)*(lentry!$C$3:$C$3999&gt;=jul!N$3)),lentry!$D$3:$D$3999),IF(WEEKDAY(jul!N$3,1)=1,"WO","P"))</f>
        <v>P</v>
      </c>
      <c r="O24" s="4" t="str">
        <f>IFERROR(LOOKUP(2,1/((lentry!$A$3:$A$3999=jul!$A24)*(lentry!$B$3:$B$3999&lt;=jul!O$3)*(lentry!$C$3:$C$3999&gt;=jul!O$3)),lentry!$D$3:$D$3999),IF(WEEKDAY(jul!O$3,1)=1,"WO","P"))</f>
        <v>P</v>
      </c>
      <c r="P24" s="4" t="str">
        <f>IFERROR(LOOKUP(2,1/((lentry!$A$3:$A$3999=jul!$A24)*(lentry!$B$3:$B$3999&lt;=jul!P$3)*(lentry!$C$3:$C$3999&gt;=jul!P$3)),lentry!$D$3:$D$3999),IF(WEEKDAY(jul!P$3,1)=1,"WO","P"))</f>
        <v>P</v>
      </c>
      <c r="Q24" s="4" t="str">
        <f>IFERROR(LOOKUP(2,1/((lentry!$A$3:$A$3999=jul!$A24)*(lentry!$B$3:$B$3999&lt;=jul!Q$3)*(lentry!$C$3:$C$3999&gt;=jul!Q$3)),lentry!$D$3:$D$3999),IF(WEEKDAY(jul!Q$3,1)=1,"WO","P"))</f>
        <v>WO</v>
      </c>
      <c r="R24" s="4" t="str">
        <f>IFERROR(LOOKUP(2,1/((lentry!$A$3:$A$3999=jul!$A24)*(lentry!$B$3:$B$3999&lt;=jul!R$3)*(lentry!$C$3:$C$3999&gt;=jul!R$3)),lentry!$D$3:$D$3999),IF(WEEKDAY(jul!R$3,1)=1,"WO","P"))</f>
        <v>P</v>
      </c>
      <c r="S24" s="4" t="str">
        <f>IFERROR(LOOKUP(2,1/((lentry!$A$3:$A$3999=jul!$A24)*(lentry!$B$3:$B$3999&lt;=jul!S$3)*(lentry!$C$3:$C$3999&gt;=jul!S$3)),lentry!$D$3:$D$3999),IF(WEEKDAY(jul!S$3,1)=1,"WO","P"))</f>
        <v>P</v>
      </c>
      <c r="T24" s="4" t="str">
        <f>IFERROR(LOOKUP(2,1/((lentry!$A$3:$A$3999=jul!$A24)*(lentry!$B$3:$B$3999&lt;=jul!T$3)*(lentry!$C$3:$C$3999&gt;=jul!T$3)),lentry!$D$3:$D$3999),IF(WEEKDAY(jul!T$3,1)=1,"WO","P"))</f>
        <v>P</v>
      </c>
      <c r="U24" s="4" t="str">
        <f>IFERROR(LOOKUP(2,1/((lentry!$A$3:$A$3999=jul!$A24)*(lentry!$B$3:$B$3999&lt;=jul!U$3)*(lentry!$C$3:$C$3999&gt;=jul!U$3)),lentry!$D$3:$D$3999),IF(WEEKDAY(jul!U$3,1)=1,"WO","P"))</f>
        <v>P</v>
      </c>
      <c r="V24" s="4" t="str">
        <f>IFERROR(LOOKUP(2,1/((lentry!$A$3:$A$3999=jul!$A24)*(lentry!$B$3:$B$3999&lt;=jul!V$3)*(lentry!$C$3:$C$3999&gt;=jul!V$3)),lentry!$D$3:$D$3999),IF(WEEKDAY(jul!V$3,1)=1,"WO","P"))</f>
        <v>P</v>
      </c>
      <c r="W24" s="4" t="str">
        <f>IFERROR(LOOKUP(2,1/((lentry!$A$3:$A$3999=jul!$A24)*(lentry!$B$3:$B$3999&lt;=jul!W$3)*(lentry!$C$3:$C$3999&gt;=jul!W$3)),lentry!$D$3:$D$3999),IF(WEEKDAY(jul!W$3,1)=1,"WO","P"))</f>
        <v>P</v>
      </c>
      <c r="X24" s="4" t="str">
        <f>IFERROR(LOOKUP(2,1/((lentry!$A$3:$A$3999=jul!$A24)*(lentry!$B$3:$B$3999&lt;=jul!X$3)*(lentry!$C$3:$C$3999&gt;=jul!X$3)),lentry!$D$3:$D$3999),IF(WEEKDAY(jul!X$3,1)=1,"WO","P"))</f>
        <v>WO</v>
      </c>
      <c r="Y24" s="4" t="str">
        <f>IFERROR(LOOKUP(2,1/((lentry!$A$3:$A$3999=jul!$A24)*(lentry!$B$3:$B$3999&lt;=jul!Y$3)*(lentry!$C$3:$C$3999&gt;=jul!Y$3)),lentry!$D$3:$D$3999),IF(WEEKDAY(jul!Y$3,1)=1,"WO","P"))</f>
        <v>P</v>
      </c>
      <c r="Z24" s="4" t="str">
        <f>IFERROR(LOOKUP(2,1/((lentry!$A$3:$A$3999=jul!$A24)*(lentry!$B$3:$B$3999&lt;=jul!Z$3)*(lentry!$C$3:$C$3999&gt;=jul!Z$3)),lentry!$D$3:$D$3999),IF(WEEKDAY(jul!Z$3,1)=1,"WO","P"))</f>
        <v>P</v>
      </c>
      <c r="AA24" s="4" t="str">
        <f>IFERROR(LOOKUP(2,1/((lentry!$A$3:$A$3999=jul!$A24)*(lentry!$B$3:$B$3999&lt;=jul!AA$3)*(lentry!$C$3:$C$3999&gt;=jul!AA$3)),lentry!$D$3:$D$3999),IF(WEEKDAY(jul!AA$3,1)=1,"WO","P"))</f>
        <v>P</v>
      </c>
      <c r="AB24" s="4" t="str">
        <f>IFERROR(LOOKUP(2,1/((lentry!$A$3:$A$3999=jul!$A24)*(lentry!$B$3:$B$3999&lt;=jul!AB$3)*(lentry!$C$3:$C$3999&gt;=jul!AB$3)),lentry!$D$3:$D$3999),IF(WEEKDAY(jul!AB$3,1)=1,"WO","P"))</f>
        <v>P</v>
      </c>
      <c r="AC24" s="4" t="str">
        <f>IFERROR(LOOKUP(2,1/((lentry!$A$3:$A$3999=jul!$A24)*(lentry!$B$3:$B$3999&lt;=jul!AC$3)*(lentry!$C$3:$C$3999&gt;=jul!AC$3)),lentry!$D$3:$D$3999),IF(WEEKDAY(jul!AC$3,1)=1,"WO","P"))</f>
        <v>P</v>
      </c>
      <c r="AD24" s="4" t="s">
        <v>539</v>
      </c>
      <c r="AE24" s="4" t="str">
        <f>IFERROR(LOOKUP(2,1/((lentry!$A$3:$A$3999=jul!$A24)*(lentry!$B$3:$B$3999&lt;=jul!AE$3)*(lentry!$C$3:$C$3999&gt;=jul!AE$3)),lentry!$D$3:$D$3999),IF(WEEKDAY(jul!AE$3,1)=1,"WO","P"))</f>
        <v>WO</v>
      </c>
      <c r="AF24" s="4" t="str">
        <f>IFERROR(LOOKUP(2,1/((lentry!$A$3:$A$3999=jul!$A24)*(lentry!$B$3:$B$3999&lt;=jul!AF$3)*(lentry!$C$3:$C$3999&gt;=jul!AF$3)),lentry!$D$3:$D$3999),IF(WEEKDAY(jul!AF$3,1)=1,"WO","P"))</f>
        <v>P</v>
      </c>
      <c r="AG24" s="4" t="str">
        <f>IFERROR(LOOKUP(2,1/((lentry!$A$3:$A$3999=jul!$A24)*(lentry!$B$3:$B$3999&lt;=jul!AG$3)*(lentry!$C$3:$C$3999&gt;=jul!AG$3)),lentry!$D$3:$D$3999),IF(WEEKDAY(jul!AG$3,1)=1,"WO","P"))</f>
        <v>P</v>
      </c>
      <c r="AH24" s="4" t="str">
        <f>IFERROR(LOOKUP(2,1/((lentry!$A$3:$A$3999=jul!$A24)*(lentry!$B$3:$B$3999&lt;=jul!AH$3)*(lentry!$C$3:$C$3999&gt;=jul!AH$3)),lentry!$D$3:$D$3999),IF(WEEKDAY(jul!AH$3,1)=1,"WO","P"))</f>
        <v>P</v>
      </c>
      <c r="AI24" s="4" t="str">
        <f>IFERROR(LOOKUP(2,1/((lentry!$A$3:$A$3999=jul!$A24)*(lentry!$B$3:$B$3999&lt;=jul!AI$3)*(lentry!$C$3:$C$3999&gt;=jul!AI$3)),lentry!$D$3:$D$3999),IF(WEEKDAY(jul!AI$3,1)=1,"WO","P"))</f>
        <v>P</v>
      </c>
      <c r="AJ24" s="4" t="str">
        <f>IFERROR(LOOKUP(2,1/((lentry!$A$3:$A$3999=jul!$A24)*(lentry!$B$3:$B$3999&lt;=jul!AJ$3)*(lentry!$C$3:$C$3999&gt;=jul!AJ$3)),lentry!$D$3:$D$3999),IF(WEEKDAY(jul!AJ$3,1)=1,"WO","P"))</f>
        <v>P</v>
      </c>
      <c r="AK24" s="4">
        <f>COUNTIF(jul!$F24:$AJ24,"WO")</f>
        <v>4</v>
      </c>
      <c r="AL24" s="4">
        <f>COUNTIF(jul!$F24:$AJ24,"H")</f>
        <v>0</v>
      </c>
      <c r="AM24" s="4">
        <f>COUNTIF(jul!$F24:$AJ24,"pl")</f>
        <v>0</v>
      </c>
      <c r="AN24" s="4">
        <f>COUNTIF(jul!$F24:$AJ24,"LWP")</f>
        <v>0</v>
      </c>
      <c r="AO24" s="4">
        <f>COUNTIF(jul!$F24:$AJ24,"HD")</f>
        <v>0</v>
      </c>
      <c r="AP24" s="4">
        <f>COUNTIF(jul!$F24:$AJ24,"SL")</f>
        <v>0</v>
      </c>
      <c r="AQ24" s="4">
        <f>COUNTIF(jul!$F24:$AJ24,"CL")</f>
        <v>0</v>
      </c>
      <c r="AR24" s="4">
        <f>COUNTIF(jul!$F24:$AJ24,"A")</f>
        <v>1</v>
      </c>
      <c r="AS24" s="4">
        <f>COUNTIF(jul!$F24:$AJ24,"P")</f>
        <v>26</v>
      </c>
      <c r="AT24" s="4">
        <f t="shared" si="2"/>
        <v>31</v>
      </c>
      <c r="AU24" s="4">
        <f t="shared" si="3"/>
        <v>30</v>
      </c>
      <c r="AV24" s="4">
        <f>SUMIFS(holly!$L$2:$L$122,holly!$I$2:$I$122,mar!$A24,holly!$K$2:$K$122,"Mar")</f>
        <v>0</v>
      </c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</row>
    <row r="25" spans="1:80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IFERROR(LOOKUP(2,1/((lentry!$A$3:$A$3999=jul!$A25)*(lentry!$B$3:$B$3999&lt;=jul!F$3)*(lentry!$C$3:$C$3999&gt;=jul!F$3)),lentry!$D$3:$D$3999),IF(WEEKDAY(jul!F$3,1)=1,"WO","P"))</f>
        <v>P</v>
      </c>
      <c r="G25" s="4" t="str">
        <f>IFERROR(LOOKUP(2,1/((lentry!$A$3:$A$3999=jul!$A25)*(lentry!$B$3:$B$3999&lt;=jul!G$3)*(lentry!$C$3:$C$3999&gt;=jul!G$3)),lentry!$D$3:$D$3999),IF(WEEKDAY(jul!G$3,1)=1,"WO","P"))</f>
        <v>P</v>
      </c>
      <c r="H25" s="4" t="str">
        <f>IFERROR(LOOKUP(2,1/((lentry!$A$3:$A$3999=jul!$A25)*(lentry!$B$3:$B$3999&lt;=jul!H$3)*(lentry!$C$3:$C$3999&gt;=jul!H$3)),lentry!$D$3:$D$3999),IF(WEEKDAY(jul!H$3,1)=1,"WO","P"))</f>
        <v>P</v>
      </c>
      <c r="I25" s="4" t="str">
        <f>IFERROR(LOOKUP(2,1/((lentry!$A$3:$A$3999=jul!$A25)*(lentry!$B$3:$B$3999&lt;=jul!I$3)*(lentry!$C$3:$C$3999&gt;=jul!I$3)),lentry!$D$3:$D$3999),IF(WEEKDAY(jul!I$3,1)=1,"WO","P"))</f>
        <v>P</v>
      </c>
      <c r="J25" s="4" t="str">
        <f>IFERROR(LOOKUP(2,1/((lentry!$A$3:$A$3999=jul!$A25)*(lentry!$B$3:$B$3999&lt;=jul!J$3)*(lentry!$C$3:$C$3999&gt;=jul!J$3)),lentry!$D$3:$D$3999),IF(WEEKDAY(jul!J$3,1)=1,"WO","P"))</f>
        <v>WO</v>
      </c>
      <c r="K25" s="4" t="str">
        <f>IFERROR(LOOKUP(2,1/((lentry!$A$3:$A$3999=jul!$A25)*(lentry!$B$3:$B$3999&lt;=jul!K$3)*(lentry!$C$3:$C$3999&gt;=jul!K$3)),lentry!$D$3:$D$3999),IF(WEEKDAY(jul!K$3,1)=1,"WO","P"))</f>
        <v>P</v>
      </c>
      <c r="L25" s="4" t="str">
        <f>IFERROR(LOOKUP(2,1/((lentry!$A$3:$A$3999=jul!$A25)*(lentry!$B$3:$B$3999&lt;=jul!L$3)*(lentry!$C$3:$C$3999&gt;=jul!L$3)),lentry!$D$3:$D$3999),IF(WEEKDAY(jul!L$3,1)=1,"WO","P"))</f>
        <v>P</v>
      </c>
      <c r="M25" s="4" t="str">
        <f>IFERROR(LOOKUP(2,1/((lentry!$A$3:$A$3999=jul!$A25)*(lentry!$B$3:$B$3999&lt;=jul!M$3)*(lentry!$C$3:$C$3999&gt;=jul!M$3)),lentry!$D$3:$D$3999),IF(WEEKDAY(jul!M$3,1)=1,"WO","P"))</f>
        <v>P</v>
      </c>
      <c r="N25" s="4" t="str">
        <f>IFERROR(LOOKUP(2,1/((lentry!$A$3:$A$3999=jul!$A25)*(lentry!$B$3:$B$3999&lt;=jul!N$3)*(lentry!$C$3:$C$3999&gt;=jul!N$3)),lentry!$D$3:$D$3999),IF(WEEKDAY(jul!N$3,1)=1,"WO","P"))</f>
        <v>P</v>
      </c>
      <c r="O25" s="4" t="str">
        <f>IFERROR(LOOKUP(2,1/((lentry!$A$3:$A$3999=jul!$A25)*(lentry!$B$3:$B$3999&lt;=jul!O$3)*(lentry!$C$3:$C$3999&gt;=jul!O$3)),lentry!$D$3:$D$3999),IF(WEEKDAY(jul!O$3,1)=1,"WO","P"))</f>
        <v>P</v>
      </c>
      <c r="P25" s="4" t="str">
        <f>IFERROR(LOOKUP(2,1/((lentry!$A$3:$A$3999=jul!$A25)*(lentry!$B$3:$B$3999&lt;=jul!P$3)*(lentry!$C$3:$C$3999&gt;=jul!P$3)),lentry!$D$3:$D$3999),IF(WEEKDAY(jul!P$3,1)=1,"WO","P"))</f>
        <v>P</v>
      </c>
      <c r="Q25" s="4" t="str">
        <f>IFERROR(LOOKUP(2,1/((lentry!$A$3:$A$3999=jul!$A25)*(lentry!$B$3:$B$3999&lt;=jul!Q$3)*(lentry!$C$3:$C$3999&gt;=jul!Q$3)),lentry!$D$3:$D$3999),IF(WEEKDAY(jul!Q$3,1)=1,"WO","P"))</f>
        <v>WO</v>
      </c>
      <c r="R25" s="4" t="str">
        <f>IFERROR(LOOKUP(2,1/((lentry!$A$3:$A$3999=jul!$A25)*(lentry!$B$3:$B$3999&lt;=jul!R$3)*(lentry!$C$3:$C$3999&gt;=jul!R$3)),lentry!$D$3:$D$3999),IF(WEEKDAY(jul!R$3,1)=1,"WO","P"))</f>
        <v>P</v>
      </c>
      <c r="S25" s="4" t="str">
        <f>IFERROR(LOOKUP(2,1/((lentry!$A$3:$A$3999=jul!$A25)*(lentry!$B$3:$B$3999&lt;=jul!S$3)*(lentry!$C$3:$C$3999&gt;=jul!S$3)),lentry!$D$3:$D$3999),IF(WEEKDAY(jul!S$3,1)=1,"WO","P"))</f>
        <v>P</v>
      </c>
      <c r="T25" s="4" t="str">
        <f>IFERROR(LOOKUP(2,1/((lentry!$A$3:$A$3999=jul!$A25)*(lentry!$B$3:$B$3999&lt;=jul!T$3)*(lentry!$C$3:$C$3999&gt;=jul!T$3)),lentry!$D$3:$D$3999),IF(WEEKDAY(jul!T$3,1)=1,"WO","P"))</f>
        <v>P</v>
      </c>
      <c r="U25" s="4" t="str">
        <f>IFERROR(LOOKUP(2,1/((lentry!$A$3:$A$3999=jul!$A25)*(lentry!$B$3:$B$3999&lt;=jul!U$3)*(lentry!$C$3:$C$3999&gt;=jul!U$3)),lentry!$D$3:$D$3999),IF(WEEKDAY(jul!U$3,1)=1,"WO","P"))</f>
        <v>P</v>
      </c>
      <c r="V25" s="4" t="str">
        <f>IFERROR(LOOKUP(2,1/((lentry!$A$3:$A$3999=jul!$A25)*(lentry!$B$3:$B$3999&lt;=jul!V$3)*(lentry!$C$3:$C$3999&gt;=jul!V$3)),lentry!$D$3:$D$3999),IF(WEEKDAY(jul!V$3,1)=1,"WO","P"))</f>
        <v>P</v>
      </c>
      <c r="W25" s="4" t="str">
        <f>IFERROR(LOOKUP(2,1/((lentry!$A$3:$A$3999=jul!$A25)*(lentry!$B$3:$B$3999&lt;=jul!W$3)*(lentry!$C$3:$C$3999&gt;=jul!W$3)),lentry!$D$3:$D$3999),IF(WEEKDAY(jul!W$3,1)=1,"WO","P"))</f>
        <v>P</v>
      </c>
      <c r="X25" s="4" t="str">
        <f>IFERROR(LOOKUP(2,1/((lentry!$A$3:$A$3999=jul!$A25)*(lentry!$B$3:$B$3999&lt;=jul!X$3)*(lentry!$C$3:$C$3999&gt;=jul!X$3)),lentry!$D$3:$D$3999),IF(WEEKDAY(jul!X$3,1)=1,"WO","P"))</f>
        <v>WO</v>
      </c>
      <c r="Y25" s="4" t="str">
        <f>IFERROR(LOOKUP(2,1/((lentry!$A$3:$A$3999=jul!$A25)*(lentry!$B$3:$B$3999&lt;=jul!Y$3)*(lentry!$C$3:$C$3999&gt;=jul!Y$3)),lentry!$D$3:$D$3999),IF(WEEKDAY(jul!Y$3,1)=1,"WO","P"))</f>
        <v>P</v>
      </c>
      <c r="Z25" s="4" t="str">
        <f>IFERROR(LOOKUP(2,1/((lentry!$A$3:$A$3999=jul!$A25)*(lentry!$B$3:$B$3999&lt;=jul!Z$3)*(lentry!$C$3:$C$3999&gt;=jul!Z$3)),lentry!$D$3:$D$3999),IF(WEEKDAY(jul!Z$3,1)=1,"WO","P"))</f>
        <v>P</v>
      </c>
      <c r="AA25" s="4" t="str">
        <f>IFERROR(LOOKUP(2,1/((lentry!$A$3:$A$3999=jul!$A25)*(lentry!$B$3:$B$3999&lt;=jul!AA$3)*(lentry!$C$3:$C$3999&gt;=jul!AA$3)),lentry!$D$3:$D$3999),IF(WEEKDAY(jul!AA$3,1)=1,"WO","P"))</f>
        <v>P</v>
      </c>
      <c r="AB25" s="4" t="str">
        <f>IFERROR(LOOKUP(2,1/((lentry!$A$3:$A$3999=jul!$A25)*(lentry!$B$3:$B$3999&lt;=jul!AB$3)*(lentry!$C$3:$C$3999&gt;=jul!AB$3)),lentry!$D$3:$D$3999),IF(WEEKDAY(jul!AB$3,1)=1,"WO","P"))</f>
        <v>P</v>
      </c>
      <c r="AC25" s="4" t="str">
        <f>IFERROR(LOOKUP(2,1/((lentry!$A$3:$A$3999=jul!$A25)*(lentry!$B$3:$B$3999&lt;=jul!AC$3)*(lentry!$C$3:$C$3999&gt;=jul!AC$3)),lentry!$D$3:$D$3999),IF(WEEKDAY(jul!AC$3,1)=1,"WO","P"))</f>
        <v>P</v>
      </c>
      <c r="AD25" s="4" t="str">
        <f>IFERROR(LOOKUP(2,1/((lentry!$A$3:$A$3999=jul!$A25)*(lentry!$B$3:$B$3999&lt;=jul!AD$3)*(lentry!$C$3:$C$3999&gt;=jul!AD$3)),lentry!$D$3:$D$3999),IF(WEEKDAY(jul!AD$3,1)=1,"WO","P"))</f>
        <v>P</v>
      </c>
      <c r="AE25" s="4" t="str">
        <f>IFERROR(LOOKUP(2,1/((lentry!$A$3:$A$3999=jul!$A25)*(lentry!$B$3:$B$3999&lt;=jul!AE$3)*(lentry!$C$3:$C$3999&gt;=jul!AE$3)),lentry!$D$3:$D$3999),IF(WEEKDAY(jul!AE$3,1)=1,"WO","P"))</f>
        <v>WO</v>
      </c>
      <c r="AF25" s="4" t="str">
        <f>IFERROR(LOOKUP(2,1/((lentry!$A$3:$A$3999=jul!$A25)*(lentry!$B$3:$B$3999&lt;=jul!AF$3)*(lentry!$C$3:$C$3999&gt;=jul!AF$3)),lentry!$D$3:$D$3999),IF(WEEKDAY(jul!AF$3,1)=1,"WO","P"))</f>
        <v>P</v>
      </c>
      <c r="AG25" s="4" t="str">
        <f>IFERROR(LOOKUP(2,1/((lentry!$A$3:$A$3999=jul!$A25)*(lentry!$B$3:$B$3999&lt;=jul!AG$3)*(lentry!$C$3:$C$3999&gt;=jul!AG$3)),lentry!$D$3:$D$3999),IF(WEEKDAY(jul!AG$3,1)=1,"WO","P"))</f>
        <v>P</v>
      </c>
      <c r="AH25" s="4" t="str">
        <f>IFERROR(LOOKUP(2,1/((lentry!$A$3:$A$3999=jul!$A25)*(lentry!$B$3:$B$3999&lt;=jul!AH$3)*(lentry!$C$3:$C$3999&gt;=jul!AH$3)),lentry!$D$3:$D$3999),IF(WEEKDAY(jul!AH$3,1)=1,"WO","P"))</f>
        <v>P</v>
      </c>
      <c r="AI25" s="4" t="str">
        <f>IFERROR(LOOKUP(2,1/((lentry!$A$3:$A$3999=jul!$A25)*(lentry!$B$3:$B$3999&lt;=jul!AI$3)*(lentry!$C$3:$C$3999&gt;=jul!AI$3)),lentry!$D$3:$D$3999),IF(WEEKDAY(jul!AI$3,1)=1,"WO","P"))</f>
        <v>P</v>
      </c>
      <c r="AJ25" s="4" t="str">
        <f>IFERROR(LOOKUP(2,1/((lentry!$A$3:$A$3999=jul!$A25)*(lentry!$B$3:$B$3999&lt;=jul!AJ$3)*(lentry!$C$3:$C$3999&gt;=jul!AJ$3)),lentry!$D$3:$D$3999),IF(WEEKDAY(jul!AJ$3,1)=1,"WO","P"))</f>
        <v>P</v>
      </c>
      <c r="AK25" s="4">
        <f>COUNTIF(jul!$F25:$AJ25,"WO")</f>
        <v>4</v>
      </c>
      <c r="AL25" s="4">
        <f>COUNTIF(jul!$F25:$AJ25,"H")</f>
        <v>0</v>
      </c>
      <c r="AM25" s="4">
        <f>COUNTIF(jul!$F25:$AJ25,"pl")</f>
        <v>0</v>
      </c>
      <c r="AN25" s="4">
        <f>COUNTIF(jul!$F25:$AJ25,"LWP")</f>
        <v>0</v>
      </c>
      <c r="AO25" s="4">
        <f>COUNTIF(jul!$F25:$AJ25,"HD")</f>
        <v>0</v>
      </c>
      <c r="AP25" s="4">
        <f>COUNTIF(jul!$F25:$AJ25,"SL")</f>
        <v>0</v>
      </c>
      <c r="AQ25" s="4">
        <f>COUNTIF(jul!$F25:$AJ25,"CL")</f>
        <v>0</v>
      </c>
      <c r="AR25" s="4">
        <f>COUNTIF(jul!$F25:$AJ25,"A")</f>
        <v>0</v>
      </c>
      <c r="AS25" s="4">
        <f>COUNTIF(jul!$F25:$AJ25,"P")</f>
        <v>27</v>
      </c>
      <c r="AT25" s="4">
        <f t="shared" si="2"/>
        <v>31</v>
      </c>
      <c r="AU25" s="4">
        <f t="shared" si="3"/>
        <v>31</v>
      </c>
      <c r="AV25" s="4">
        <f>SUMIFS(holly!$L$2:$L$122,holly!$I$2:$I$122,mar!$A25,holly!$K$2:$K$122,"Mar")</f>
        <v>0</v>
      </c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</row>
    <row r="26" spans="1:80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IFERROR(LOOKUP(2,1/((lentry!$A$3:$A$3999=jul!$A26)*(lentry!$B$3:$B$3999&lt;=jul!F$3)*(lentry!$C$3:$C$3999&gt;=jul!F$3)),lentry!$D$3:$D$3999),IF(WEEKDAY(jul!F$3,1)=1,"WO","P"))</f>
        <v>P</v>
      </c>
      <c r="G26" s="4" t="str">
        <f>IFERROR(LOOKUP(2,1/((lentry!$A$3:$A$3999=jul!$A26)*(lentry!$B$3:$B$3999&lt;=jul!G$3)*(lentry!$C$3:$C$3999&gt;=jul!G$3)),lentry!$D$3:$D$3999),IF(WEEKDAY(jul!G$3,1)=1,"WO","P"))</f>
        <v>P</v>
      </c>
      <c r="H26" s="4" t="str">
        <f>IFERROR(LOOKUP(2,1/((lentry!$A$3:$A$3999=jul!$A26)*(lentry!$B$3:$B$3999&lt;=jul!H$3)*(lentry!$C$3:$C$3999&gt;=jul!H$3)),lentry!$D$3:$D$3999),IF(WEEKDAY(jul!H$3,1)=1,"WO","P"))</f>
        <v>P</v>
      </c>
      <c r="I26" s="4" t="str">
        <f>IFERROR(LOOKUP(2,1/((lentry!$A$3:$A$3999=jul!$A26)*(lentry!$B$3:$B$3999&lt;=jul!I$3)*(lentry!$C$3:$C$3999&gt;=jul!I$3)),lentry!$D$3:$D$3999),IF(WEEKDAY(jul!I$3,1)=1,"WO","P"))</f>
        <v>P</v>
      </c>
      <c r="J26" s="4" t="str">
        <f>IFERROR(LOOKUP(2,1/((lentry!$A$3:$A$3999=jul!$A26)*(lentry!$B$3:$B$3999&lt;=jul!J$3)*(lentry!$C$3:$C$3999&gt;=jul!J$3)),lentry!$D$3:$D$3999),IF(WEEKDAY(jul!J$3,1)=1,"WO","P"))</f>
        <v>WO</v>
      </c>
      <c r="K26" s="4" t="str">
        <f>IFERROR(LOOKUP(2,1/((lentry!$A$3:$A$3999=jul!$A26)*(lentry!$B$3:$B$3999&lt;=jul!K$3)*(lentry!$C$3:$C$3999&gt;=jul!K$3)),lentry!$D$3:$D$3999),IF(WEEKDAY(jul!K$3,1)=1,"WO","P"))</f>
        <v>P</v>
      </c>
      <c r="L26" s="4" t="str">
        <f>IFERROR(LOOKUP(2,1/((lentry!$A$3:$A$3999=jul!$A26)*(lentry!$B$3:$B$3999&lt;=jul!L$3)*(lentry!$C$3:$C$3999&gt;=jul!L$3)),lentry!$D$3:$D$3999),IF(WEEKDAY(jul!L$3,1)=1,"WO","P"))</f>
        <v>P</v>
      </c>
      <c r="M26" s="4" t="str">
        <f>IFERROR(LOOKUP(2,1/((lentry!$A$3:$A$3999=jul!$A26)*(lentry!$B$3:$B$3999&lt;=jul!M$3)*(lentry!$C$3:$C$3999&gt;=jul!M$3)),lentry!$D$3:$D$3999),IF(WEEKDAY(jul!M$3,1)=1,"WO","P"))</f>
        <v>P</v>
      </c>
      <c r="N26" s="4" t="str">
        <f>IFERROR(LOOKUP(2,1/((lentry!$A$3:$A$3999=jul!$A26)*(lentry!$B$3:$B$3999&lt;=jul!N$3)*(lentry!$C$3:$C$3999&gt;=jul!N$3)),lentry!$D$3:$D$3999),IF(WEEKDAY(jul!N$3,1)=1,"WO","P"))</f>
        <v>P</v>
      </c>
      <c r="O26" s="4" t="str">
        <f>IFERROR(LOOKUP(2,1/((lentry!$A$3:$A$3999=jul!$A26)*(lentry!$B$3:$B$3999&lt;=jul!O$3)*(lentry!$C$3:$C$3999&gt;=jul!O$3)),lentry!$D$3:$D$3999),IF(WEEKDAY(jul!O$3,1)=1,"WO","P"))</f>
        <v>P</v>
      </c>
      <c r="P26" s="4" t="str">
        <f>IFERROR(LOOKUP(2,1/((lentry!$A$3:$A$3999=jul!$A26)*(lentry!$B$3:$B$3999&lt;=jul!P$3)*(lentry!$C$3:$C$3999&gt;=jul!P$3)),lentry!$D$3:$D$3999),IF(WEEKDAY(jul!P$3,1)=1,"WO","P"))</f>
        <v>P</v>
      </c>
      <c r="Q26" s="4" t="str">
        <f>IFERROR(LOOKUP(2,1/((lentry!$A$3:$A$3999=jul!$A26)*(lentry!$B$3:$B$3999&lt;=jul!Q$3)*(lentry!$C$3:$C$3999&gt;=jul!Q$3)),lentry!$D$3:$D$3999),IF(WEEKDAY(jul!Q$3,1)=1,"WO","P"))</f>
        <v>WO</v>
      </c>
      <c r="R26" s="4" t="str">
        <f>IFERROR(LOOKUP(2,1/((lentry!$A$3:$A$3999=jul!$A26)*(lentry!$B$3:$B$3999&lt;=jul!R$3)*(lentry!$C$3:$C$3999&gt;=jul!R$3)),lentry!$D$3:$D$3999),IF(WEEKDAY(jul!R$3,1)=1,"WO","P"))</f>
        <v>P</v>
      </c>
      <c r="S26" s="4" t="str">
        <f>IFERROR(LOOKUP(2,1/((lentry!$A$3:$A$3999=jul!$A26)*(lentry!$B$3:$B$3999&lt;=jul!S$3)*(lentry!$C$3:$C$3999&gt;=jul!S$3)),lentry!$D$3:$D$3999),IF(WEEKDAY(jul!S$3,1)=1,"WO","P"))</f>
        <v>P</v>
      </c>
      <c r="T26" s="4" t="str">
        <f>IFERROR(LOOKUP(2,1/((lentry!$A$3:$A$3999=jul!$A26)*(lentry!$B$3:$B$3999&lt;=jul!T$3)*(lentry!$C$3:$C$3999&gt;=jul!T$3)),lentry!$D$3:$D$3999),IF(WEEKDAY(jul!T$3,1)=1,"WO","P"))</f>
        <v>P</v>
      </c>
      <c r="U26" s="4" t="str">
        <f>IFERROR(LOOKUP(2,1/((lentry!$A$3:$A$3999=jul!$A26)*(lentry!$B$3:$B$3999&lt;=jul!U$3)*(lentry!$C$3:$C$3999&gt;=jul!U$3)),lentry!$D$3:$D$3999),IF(WEEKDAY(jul!U$3,1)=1,"WO","P"))</f>
        <v>P</v>
      </c>
      <c r="V26" s="4" t="str">
        <f>IFERROR(LOOKUP(2,1/((lentry!$A$3:$A$3999=jul!$A26)*(lentry!$B$3:$B$3999&lt;=jul!V$3)*(lentry!$C$3:$C$3999&gt;=jul!V$3)),lentry!$D$3:$D$3999),IF(WEEKDAY(jul!V$3,1)=1,"WO","P"))</f>
        <v>P</v>
      </c>
      <c r="W26" s="4" t="str">
        <f>IFERROR(LOOKUP(2,1/((lentry!$A$3:$A$3999=jul!$A26)*(lentry!$B$3:$B$3999&lt;=jul!W$3)*(lentry!$C$3:$C$3999&gt;=jul!W$3)),lentry!$D$3:$D$3999),IF(WEEKDAY(jul!W$3,1)=1,"WO","P"))</f>
        <v>P</v>
      </c>
      <c r="X26" s="4" t="str">
        <f>IFERROR(LOOKUP(2,1/((lentry!$A$3:$A$3999=jul!$A26)*(lentry!$B$3:$B$3999&lt;=jul!X$3)*(lentry!$C$3:$C$3999&gt;=jul!X$3)),lentry!$D$3:$D$3999),IF(WEEKDAY(jul!X$3,1)=1,"WO","P"))</f>
        <v>WO</v>
      </c>
      <c r="Y26" s="4" t="str">
        <f>IFERROR(LOOKUP(2,1/((lentry!$A$3:$A$3999=jul!$A26)*(lentry!$B$3:$B$3999&lt;=jul!Y$3)*(lentry!$C$3:$C$3999&gt;=jul!Y$3)),lentry!$D$3:$D$3999),IF(WEEKDAY(jul!Y$3,1)=1,"WO","P"))</f>
        <v>P</v>
      </c>
      <c r="Z26" s="4" t="str">
        <f>IFERROR(LOOKUP(2,1/((lentry!$A$3:$A$3999=jul!$A26)*(lentry!$B$3:$B$3999&lt;=jul!Z$3)*(lentry!$C$3:$C$3999&gt;=jul!Z$3)),lentry!$D$3:$D$3999),IF(WEEKDAY(jul!Z$3,1)=1,"WO","P"))</f>
        <v>P</v>
      </c>
      <c r="AA26" s="4" t="str">
        <f>IFERROR(LOOKUP(2,1/((lentry!$A$3:$A$3999=jul!$A26)*(lentry!$B$3:$B$3999&lt;=jul!AA$3)*(lentry!$C$3:$C$3999&gt;=jul!AA$3)),lentry!$D$3:$D$3999),IF(WEEKDAY(jul!AA$3,1)=1,"WO","P"))</f>
        <v>P</v>
      </c>
      <c r="AB26" s="4" t="str">
        <f>IFERROR(LOOKUP(2,1/((lentry!$A$3:$A$3999=jul!$A26)*(lentry!$B$3:$B$3999&lt;=jul!AB$3)*(lentry!$C$3:$C$3999&gt;=jul!AB$3)),lentry!$D$3:$D$3999),IF(WEEKDAY(jul!AB$3,1)=1,"WO","P"))</f>
        <v>P</v>
      </c>
      <c r="AC26" s="4" t="str">
        <f>IFERROR(LOOKUP(2,1/((lentry!$A$3:$A$3999=jul!$A26)*(lentry!$B$3:$B$3999&lt;=jul!AC$3)*(lentry!$C$3:$C$3999&gt;=jul!AC$3)),lentry!$D$3:$D$3999),IF(WEEKDAY(jul!AC$3,1)=1,"WO","P"))</f>
        <v>P</v>
      </c>
      <c r="AD26" s="4" t="str">
        <f>IFERROR(LOOKUP(2,1/((lentry!$A$3:$A$3999=jul!$A26)*(lentry!$B$3:$B$3999&lt;=jul!AD$3)*(lentry!$C$3:$C$3999&gt;=jul!AD$3)),lentry!$D$3:$D$3999),IF(WEEKDAY(jul!AD$3,1)=1,"WO","P"))</f>
        <v>P</v>
      </c>
      <c r="AE26" s="4" t="str">
        <f>IFERROR(LOOKUP(2,1/((lentry!$A$3:$A$3999=jul!$A26)*(lentry!$B$3:$B$3999&lt;=jul!AE$3)*(lentry!$C$3:$C$3999&gt;=jul!AE$3)),lentry!$D$3:$D$3999),IF(WEEKDAY(jul!AE$3,1)=1,"WO","P"))</f>
        <v>WO</v>
      </c>
      <c r="AF26" s="4" t="str">
        <f>IFERROR(LOOKUP(2,1/((lentry!$A$3:$A$3999=jul!$A26)*(lentry!$B$3:$B$3999&lt;=jul!AF$3)*(lentry!$C$3:$C$3999&gt;=jul!AF$3)),lentry!$D$3:$D$3999),IF(WEEKDAY(jul!AF$3,1)=1,"WO","P"))</f>
        <v>P</v>
      </c>
      <c r="AG26" s="4" t="str">
        <f>IFERROR(LOOKUP(2,1/((lentry!$A$3:$A$3999=jul!$A26)*(lentry!$B$3:$B$3999&lt;=jul!AG$3)*(lentry!$C$3:$C$3999&gt;=jul!AG$3)),lentry!$D$3:$D$3999),IF(WEEKDAY(jul!AG$3,1)=1,"WO","P"))</f>
        <v>P</v>
      </c>
      <c r="AH26" s="4" t="str">
        <f>IFERROR(LOOKUP(2,1/((lentry!$A$3:$A$3999=jul!$A26)*(lentry!$B$3:$B$3999&lt;=jul!AH$3)*(lentry!$C$3:$C$3999&gt;=jul!AH$3)),lentry!$D$3:$D$3999),IF(WEEKDAY(jul!AH$3,1)=1,"WO","P"))</f>
        <v>P</v>
      </c>
      <c r="AI26" s="4" t="str">
        <f>IFERROR(LOOKUP(2,1/((lentry!$A$3:$A$3999=jul!$A26)*(lentry!$B$3:$B$3999&lt;=jul!AI$3)*(lentry!$C$3:$C$3999&gt;=jul!AI$3)),lentry!$D$3:$D$3999),IF(WEEKDAY(jul!AI$3,1)=1,"WO","P"))</f>
        <v>P</v>
      </c>
      <c r="AJ26" s="4" t="str">
        <f>IFERROR(LOOKUP(2,1/((lentry!$A$3:$A$3999=jul!$A26)*(lentry!$B$3:$B$3999&lt;=jul!AJ$3)*(lentry!$C$3:$C$3999&gt;=jul!AJ$3)),lentry!$D$3:$D$3999),IF(WEEKDAY(jul!AJ$3,1)=1,"WO","P"))</f>
        <v>P</v>
      </c>
      <c r="AK26" s="4">
        <f>COUNTIF(jul!$F26:$AJ26,"WO")</f>
        <v>4</v>
      </c>
      <c r="AL26" s="4">
        <f>COUNTIF(jul!$F26:$AJ26,"H")</f>
        <v>0</v>
      </c>
      <c r="AM26" s="4">
        <f>COUNTIF(jul!$F26:$AJ26,"pl")</f>
        <v>0</v>
      </c>
      <c r="AN26" s="4">
        <f>COUNTIF(jul!$F26:$AJ26,"LWP")</f>
        <v>0</v>
      </c>
      <c r="AO26" s="4">
        <f>COUNTIF(jul!$F26:$AJ26,"HD")</f>
        <v>0</v>
      </c>
      <c r="AP26" s="4">
        <f>COUNTIF(jul!$F26:$AJ26,"SL")</f>
        <v>0</v>
      </c>
      <c r="AQ26" s="4">
        <f>COUNTIF(jul!$F26:$AJ26,"CL")</f>
        <v>0</v>
      </c>
      <c r="AR26" s="4">
        <f>COUNTIF(jul!$F26:$AJ26,"A")</f>
        <v>0</v>
      </c>
      <c r="AS26" s="4">
        <f>COUNTIF(jul!$F26:$AJ26,"P")</f>
        <v>27</v>
      </c>
      <c r="AT26" s="4">
        <f t="shared" si="2"/>
        <v>31</v>
      </c>
      <c r="AU26" s="4">
        <f t="shared" si="3"/>
        <v>31</v>
      </c>
      <c r="AV26" s="4">
        <f>SUMIFS(holly!$L$2:$L$122,holly!$I$2:$I$122,mar!$A26,holly!$K$2:$K$122,"Mar")</f>
        <v>0</v>
      </c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</row>
    <row r="27" spans="1:80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IFERROR(LOOKUP(2,1/((lentry!$A$3:$A$3999=jul!$A27)*(lentry!$B$3:$B$3999&lt;=jul!F$3)*(lentry!$C$3:$C$3999&gt;=jul!F$3)),lentry!$D$3:$D$3999),IF(WEEKDAY(jul!F$3,1)=1,"WO","P"))</f>
        <v>P</v>
      </c>
      <c r="G27" s="4" t="str">
        <f>IFERROR(LOOKUP(2,1/((lentry!$A$3:$A$3999=jul!$A27)*(lentry!$B$3:$B$3999&lt;=jul!G$3)*(lentry!$C$3:$C$3999&gt;=jul!G$3)),lentry!$D$3:$D$3999),IF(WEEKDAY(jul!G$3,1)=1,"WO","P"))</f>
        <v>P</v>
      </c>
      <c r="H27" s="4" t="str">
        <f>IFERROR(LOOKUP(2,1/((lentry!$A$3:$A$3999=jul!$A27)*(lentry!$B$3:$B$3999&lt;=jul!H$3)*(lentry!$C$3:$C$3999&gt;=jul!H$3)),lentry!$D$3:$D$3999),IF(WEEKDAY(jul!H$3,1)=1,"WO","P"))</f>
        <v>P</v>
      </c>
      <c r="I27" s="4" t="str">
        <f>IFERROR(LOOKUP(2,1/((lentry!$A$3:$A$3999=jul!$A27)*(lentry!$B$3:$B$3999&lt;=jul!I$3)*(lentry!$C$3:$C$3999&gt;=jul!I$3)),lentry!$D$3:$D$3999),IF(WEEKDAY(jul!I$3,1)=1,"WO","P"))</f>
        <v>P</v>
      </c>
      <c r="J27" s="4" t="str">
        <f>IFERROR(LOOKUP(2,1/((lentry!$A$3:$A$3999=jul!$A27)*(lentry!$B$3:$B$3999&lt;=jul!J$3)*(lentry!$C$3:$C$3999&gt;=jul!J$3)),lentry!$D$3:$D$3999),IF(WEEKDAY(jul!J$3,1)=1,"WO","P"))</f>
        <v>WO</v>
      </c>
      <c r="K27" s="4" t="str">
        <f>IFERROR(LOOKUP(2,1/((lentry!$A$3:$A$3999=jul!$A27)*(lentry!$B$3:$B$3999&lt;=jul!K$3)*(lentry!$C$3:$C$3999&gt;=jul!K$3)),lentry!$D$3:$D$3999),IF(WEEKDAY(jul!K$3,1)=1,"WO","P"))</f>
        <v>P</v>
      </c>
      <c r="L27" s="4" t="str">
        <f>IFERROR(LOOKUP(2,1/((lentry!$A$3:$A$3999=jul!$A27)*(lentry!$B$3:$B$3999&lt;=jul!L$3)*(lentry!$C$3:$C$3999&gt;=jul!L$3)),lentry!$D$3:$D$3999),IF(WEEKDAY(jul!L$3,1)=1,"WO","P"))</f>
        <v>P</v>
      </c>
      <c r="M27" s="4" t="str">
        <f>IFERROR(LOOKUP(2,1/((lentry!$A$3:$A$3999=jul!$A27)*(lentry!$B$3:$B$3999&lt;=jul!M$3)*(lentry!$C$3:$C$3999&gt;=jul!M$3)),lentry!$D$3:$D$3999),IF(WEEKDAY(jul!M$3,1)=1,"WO","P"))</f>
        <v>P</v>
      </c>
      <c r="N27" s="4" t="str">
        <f>IFERROR(LOOKUP(2,1/((lentry!$A$3:$A$3999=jul!$A27)*(lentry!$B$3:$B$3999&lt;=jul!N$3)*(lentry!$C$3:$C$3999&gt;=jul!N$3)),lentry!$D$3:$D$3999),IF(WEEKDAY(jul!N$3,1)=1,"WO","P"))</f>
        <v>P</v>
      </c>
      <c r="O27" s="4" t="str">
        <f>IFERROR(LOOKUP(2,1/((lentry!$A$3:$A$3999=jul!$A27)*(lentry!$B$3:$B$3999&lt;=jul!O$3)*(lentry!$C$3:$C$3999&gt;=jul!O$3)),lentry!$D$3:$D$3999),IF(WEEKDAY(jul!O$3,1)=1,"WO","P"))</f>
        <v>P</v>
      </c>
      <c r="P27" s="4" t="str">
        <f>IFERROR(LOOKUP(2,1/((lentry!$A$3:$A$3999=jul!$A27)*(lentry!$B$3:$B$3999&lt;=jul!P$3)*(lentry!$C$3:$C$3999&gt;=jul!P$3)),lentry!$D$3:$D$3999),IF(WEEKDAY(jul!P$3,1)=1,"WO","P"))</f>
        <v>P</v>
      </c>
      <c r="Q27" s="4" t="str">
        <f>IFERROR(LOOKUP(2,1/((lentry!$A$3:$A$3999=jul!$A27)*(lentry!$B$3:$B$3999&lt;=jul!Q$3)*(lentry!$C$3:$C$3999&gt;=jul!Q$3)),lentry!$D$3:$D$3999),IF(WEEKDAY(jul!Q$3,1)=1,"WO","P"))</f>
        <v>WO</v>
      </c>
      <c r="R27" s="4" t="str">
        <f>IFERROR(LOOKUP(2,1/((lentry!$A$3:$A$3999=jul!$A27)*(lentry!$B$3:$B$3999&lt;=jul!R$3)*(lentry!$C$3:$C$3999&gt;=jul!R$3)),lentry!$D$3:$D$3999),IF(WEEKDAY(jul!R$3,1)=1,"WO","P"))</f>
        <v>P</v>
      </c>
      <c r="S27" s="4" t="str">
        <f>IFERROR(LOOKUP(2,1/((lentry!$A$3:$A$3999=jul!$A27)*(lentry!$B$3:$B$3999&lt;=jul!S$3)*(lentry!$C$3:$C$3999&gt;=jul!S$3)),lentry!$D$3:$D$3999),IF(WEEKDAY(jul!S$3,1)=1,"WO","P"))</f>
        <v>P</v>
      </c>
      <c r="T27" s="4" t="str">
        <f>IFERROR(LOOKUP(2,1/((lentry!$A$3:$A$3999=jul!$A27)*(lentry!$B$3:$B$3999&lt;=jul!T$3)*(lentry!$C$3:$C$3999&gt;=jul!T$3)),lentry!$D$3:$D$3999),IF(WEEKDAY(jul!T$3,1)=1,"WO","P"))</f>
        <v>P</v>
      </c>
      <c r="U27" s="4" t="str">
        <f>IFERROR(LOOKUP(2,1/((lentry!$A$3:$A$3999=jul!$A27)*(lentry!$B$3:$B$3999&lt;=jul!U$3)*(lentry!$C$3:$C$3999&gt;=jul!U$3)),lentry!$D$3:$D$3999),IF(WEEKDAY(jul!U$3,1)=1,"WO","P"))</f>
        <v>P</v>
      </c>
      <c r="V27" s="4" t="str">
        <f>IFERROR(LOOKUP(2,1/((lentry!$A$3:$A$3999=jul!$A27)*(lentry!$B$3:$B$3999&lt;=jul!V$3)*(lentry!$C$3:$C$3999&gt;=jul!V$3)),lentry!$D$3:$D$3999),IF(WEEKDAY(jul!V$3,1)=1,"WO","P"))</f>
        <v>P</v>
      </c>
      <c r="W27" s="4" t="str">
        <f>IFERROR(LOOKUP(2,1/((lentry!$A$3:$A$3999=jul!$A27)*(lentry!$B$3:$B$3999&lt;=jul!W$3)*(lentry!$C$3:$C$3999&gt;=jul!W$3)),lentry!$D$3:$D$3999),IF(WEEKDAY(jul!W$3,1)=1,"WO","P"))</f>
        <v>P</v>
      </c>
      <c r="X27" s="4" t="str">
        <f>IFERROR(LOOKUP(2,1/((lentry!$A$3:$A$3999=jul!$A27)*(lentry!$B$3:$B$3999&lt;=jul!X$3)*(lentry!$C$3:$C$3999&gt;=jul!X$3)),lentry!$D$3:$D$3999),IF(WEEKDAY(jul!X$3,1)=1,"WO","P"))</f>
        <v>WO</v>
      </c>
      <c r="Y27" s="4" t="str">
        <f>IFERROR(LOOKUP(2,1/((lentry!$A$3:$A$3999=jul!$A27)*(lentry!$B$3:$B$3999&lt;=jul!Y$3)*(lentry!$C$3:$C$3999&gt;=jul!Y$3)),lentry!$D$3:$D$3999),IF(WEEKDAY(jul!Y$3,1)=1,"WO","P"))</f>
        <v>P</v>
      </c>
      <c r="Z27" s="4" t="str">
        <f>IFERROR(LOOKUP(2,1/((lentry!$A$3:$A$3999=jul!$A27)*(lentry!$B$3:$B$3999&lt;=jul!Z$3)*(lentry!$C$3:$C$3999&gt;=jul!Z$3)),lentry!$D$3:$D$3999),IF(WEEKDAY(jul!Z$3,1)=1,"WO","P"))</f>
        <v>P</v>
      </c>
      <c r="AA27" s="4" t="str">
        <f>IFERROR(LOOKUP(2,1/((lentry!$A$3:$A$3999=jul!$A27)*(lentry!$B$3:$B$3999&lt;=jul!AA$3)*(lentry!$C$3:$C$3999&gt;=jul!AA$3)),lentry!$D$3:$D$3999),IF(WEEKDAY(jul!AA$3,1)=1,"WO","P"))</f>
        <v>P</v>
      </c>
      <c r="AB27" s="4" t="str">
        <f>IFERROR(LOOKUP(2,1/((lentry!$A$3:$A$3999=jul!$A27)*(lentry!$B$3:$B$3999&lt;=jul!AB$3)*(lentry!$C$3:$C$3999&gt;=jul!AB$3)),lentry!$D$3:$D$3999),IF(WEEKDAY(jul!AB$3,1)=1,"WO","P"))</f>
        <v>P</v>
      </c>
      <c r="AC27" s="4" t="str">
        <f>IFERROR(LOOKUP(2,1/((lentry!$A$3:$A$3999=jul!$A27)*(lentry!$B$3:$B$3999&lt;=jul!AC$3)*(lentry!$C$3:$C$3999&gt;=jul!AC$3)),lentry!$D$3:$D$3999),IF(WEEKDAY(jul!AC$3,1)=1,"WO","P"))</f>
        <v>P</v>
      </c>
      <c r="AD27" s="4" t="str">
        <f>IFERROR(LOOKUP(2,1/((lentry!$A$3:$A$3999=jul!$A27)*(lentry!$B$3:$B$3999&lt;=jul!AD$3)*(lentry!$C$3:$C$3999&gt;=jul!AD$3)),lentry!$D$3:$D$3999),IF(WEEKDAY(jul!AD$3,1)=1,"WO","P"))</f>
        <v>P</v>
      </c>
      <c r="AE27" s="4" t="str">
        <f>IFERROR(LOOKUP(2,1/((lentry!$A$3:$A$3999=jul!$A27)*(lentry!$B$3:$B$3999&lt;=jul!AE$3)*(lentry!$C$3:$C$3999&gt;=jul!AE$3)),lentry!$D$3:$D$3999),IF(WEEKDAY(jul!AE$3,1)=1,"WO","P"))</f>
        <v>WO</v>
      </c>
      <c r="AF27" s="4" t="str">
        <f>IFERROR(LOOKUP(2,1/((lentry!$A$3:$A$3999=jul!$A27)*(lentry!$B$3:$B$3999&lt;=jul!AF$3)*(lentry!$C$3:$C$3999&gt;=jul!AF$3)),lentry!$D$3:$D$3999),IF(WEEKDAY(jul!AF$3,1)=1,"WO","P"))</f>
        <v>P</v>
      </c>
      <c r="AG27" s="4" t="str">
        <f>IFERROR(LOOKUP(2,1/((lentry!$A$3:$A$3999=jul!$A27)*(lentry!$B$3:$B$3999&lt;=jul!AG$3)*(lentry!$C$3:$C$3999&gt;=jul!AG$3)),lentry!$D$3:$D$3999),IF(WEEKDAY(jul!AG$3,1)=1,"WO","P"))</f>
        <v>P</v>
      </c>
      <c r="AH27" s="4" t="str">
        <f>IFERROR(LOOKUP(2,1/((lentry!$A$3:$A$3999=jul!$A27)*(lentry!$B$3:$B$3999&lt;=jul!AH$3)*(lentry!$C$3:$C$3999&gt;=jul!AH$3)),lentry!$D$3:$D$3999),IF(WEEKDAY(jul!AH$3,1)=1,"WO","P"))</f>
        <v>P</v>
      </c>
      <c r="AI27" s="4" t="str">
        <f>IFERROR(LOOKUP(2,1/((lentry!$A$3:$A$3999=jul!$A27)*(lentry!$B$3:$B$3999&lt;=jul!AI$3)*(lentry!$C$3:$C$3999&gt;=jul!AI$3)),lentry!$D$3:$D$3999),IF(WEEKDAY(jul!AI$3,1)=1,"WO","P"))</f>
        <v>P</v>
      </c>
      <c r="AJ27" s="4" t="str">
        <f>IFERROR(LOOKUP(2,1/((lentry!$A$3:$A$3999=jul!$A27)*(lentry!$B$3:$B$3999&lt;=jul!AJ$3)*(lentry!$C$3:$C$3999&gt;=jul!AJ$3)),lentry!$D$3:$D$3999),IF(WEEKDAY(jul!AJ$3,1)=1,"WO","P"))</f>
        <v>P</v>
      </c>
      <c r="AK27" s="4">
        <f>COUNTIF(jul!$F27:$AJ27,"WO")</f>
        <v>4</v>
      </c>
      <c r="AL27" s="4">
        <f>COUNTIF(jul!$F27:$AJ27,"H")</f>
        <v>0</v>
      </c>
      <c r="AM27" s="4">
        <f>COUNTIF(jul!$F27:$AJ27,"pl")</f>
        <v>0</v>
      </c>
      <c r="AN27" s="4">
        <f>COUNTIF(jul!$F27:$AJ27,"LWP")</f>
        <v>0</v>
      </c>
      <c r="AO27" s="4">
        <f>COUNTIF(jul!$F27:$AJ27,"HD")</f>
        <v>0</v>
      </c>
      <c r="AP27" s="4">
        <f>COUNTIF(jul!$F27:$AJ27,"SL")</f>
        <v>0</v>
      </c>
      <c r="AQ27" s="4">
        <f>COUNTIF(jul!$F27:$AJ27,"CL")</f>
        <v>0</v>
      </c>
      <c r="AR27" s="4">
        <f>COUNTIF(jul!$F27:$AJ27,"A")</f>
        <v>0</v>
      </c>
      <c r="AS27" s="4">
        <f>COUNTIF(jul!$F27:$AJ27,"P")</f>
        <v>27</v>
      </c>
      <c r="AT27" s="4">
        <f t="shared" si="2"/>
        <v>31</v>
      </c>
      <c r="AU27" s="4">
        <f t="shared" si="3"/>
        <v>31</v>
      </c>
      <c r="AV27" s="4">
        <f>SUMIFS(holly!$L$2:$L$122,holly!$I$2:$I$122,mar!$A27,holly!$K$2:$K$122,"Mar")</f>
        <v>0</v>
      </c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</row>
    <row r="28" spans="1:80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IFERROR(LOOKUP(2,1/((lentry!$A$3:$A$3999=jul!$A28)*(lentry!$B$3:$B$3999&lt;=jul!F$3)*(lentry!$C$3:$C$3999&gt;=jul!F$3)),lentry!$D$3:$D$3999),IF(WEEKDAY(jul!F$3,1)=1,"WO","P"))</f>
        <v>P</v>
      </c>
      <c r="G28" s="4" t="str">
        <f>IFERROR(LOOKUP(2,1/((lentry!$A$3:$A$3999=jul!$A28)*(lentry!$B$3:$B$3999&lt;=jul!G$3)*(lentry!$C$3:$C$3999&gt;=jul!G$3)),lentry!$D$3:$D$3999),IF(WEEKDAY(jul!G$3,1)=1,"WO","P"))</f>
        <v>P</v>
      </c>
      <c r="H28" s="4" t="str">
        <f>IFERROR(LOOKUP(2,1/((lentry!$A$3:$A$3999=jul!$A28)*(lentry!$B$3:$B$3999&lt;=jul!H$3)*(lentry!$C$3:$C$3999&gt;=jul!H$3)),lentry!$D$3:$D$3999),IF(WEEKDAY(jul!H$3,1)=1,"WO","P"))</f>
        <v>P</v>
      </c>
      <c r="I28" s="4" t="str">
        <f>IFERROR(LOOKUP(2,1/((lentry!$A$3:$A$3999=jul!$A28)*(lentry!$B$3:$B$3999&lt;=jul!I$3)*(lentry!$C$3:$C$3999&gt;=jul!I$3)),lentry!$D$3:$D$3999),IF(WEEKDAY(jul!I$3,1)=1,"WO","P"))</f>
        <v>P</v>
      </c>
      <c r="J28" s="4" t="str">
        <f>IFERROR(LOOKUP(2,1/((lentry!$A$3:$A$3999=jul!$A28)*(lentry!$B$3:$B$3999&lt;=jul!J$3)*(lentry!$C$3:$C$3999&gt;=jul!J$3)),lentry!$D$3:$D$3999),IF(WEEKDAY(jul!J$3,1)=1,"WO","P"))</f>
        <v>WO</v>
      </c>
      <c r="K28" s="4" t="str">
        <f>IFERROR(LOOKUP(2,1/((lentry!$A$3:$A$3999=jul!$A28)*(lentry!$B$3:$B$3999&lt;=jul!K$3)*(lentry!$C$3:$C$3999&gt;=jul!K$3)),lentry!$D$3:$D$3999),IF(WEEKDAY(jul!K$3,1)=1,"WO","P"))</f>
        <v>P</v>
      </c>
      <c r="L28" s="4" t="str">
        <f>IFERROR(LOOKUP(2,1/((lentry!$A$3:$A$3999=jul!$A28)*(lentry!$B$3:$B$3999&lt;=jul!L$3)*(lentry!$C$3:$C$3999&gt;=jul!L$3)),lentry!$D$3:$D$3999),IF(WEEKDAY(jul!L$3,1)=1,"WO","P"))</f>
        <v>P</v>
      </c>
      <c r="M28" s="4" t="str">
        <f>IFERROR(LOOKUP(2,1/((lentry!$A$3:$A$3999=jul!$A28)*(lentry!$B$3:$B$3999&lt;=jul!M$3)*(lentry!$C$3:$C$3999&gt;=jul!M$3)),lentry!$D$3:$D$3999),IF(WEEKDAY(jul!M$3,1)=1,"WO","P"))</f>
        <v>P</v>
      </c>
      <c r="N28" s="4" t="str">
        <f>IFERROR(LOOKUP(2,1/((lentry!$A$3:$A$3999=jul!$A28)*(lentry!$B$3:$B$3999&lt;=jul!N$3)*(lentry!$C$3:$C$3999&gt;=jul!N$3)),lentry!$D$3:$D$3999),IF(WEEKDAY(jul!N$3,1)=1,"WO","P"))</f>
        <v>P</v>
      </c>
      <c r="O28" s="4" t="str">
        <f>IFERROR(LOOKUP(2,1/((lentry!$A$3:$A$3999=jul!$A28)*(lentry!$B$3:$B$3999&lt;=jul!O$3)*(lentry!$C$3:$C$3999&gt;=jul!O$3)),lentry!$D$3:$D$3999),IF(WEEKDAY(jul!O$3,1)=1,"WO","P"))</f>
        <v>P</v>
      </c>
      <c r="P28" s="4" t="str">
        <f>IFERROR(LOOKUP(2,1/((lentry!$A$3:$A$3999=jul!$A28)*(lentry!$B$3:$B$3999&lt;=jul!P$3)*(lentry!$C$3:$C$3999&gt;=jul!P$3)),lentry!$D$3:$D$3999),IF(WEEKDAY(jul!P$3,1)=1,"WO","P"))</f>
        <v>P</v>
      </c>
      <c r="Q28" s="4" t="str">
        <f>IFERROR(LOOKUP(2,1/((lentry!$A$3:$A$3999=jul!$A28)*(lentry!$B$3:$B$3999&lt;=jul!Q$3)*(lentry!$C$3:$C$3999&gt;=jul!Q$3)),lentry!$D$3:$D$3999),IF(WEEKDAY(jul!Q$3,1)=1,"WO","P"))</f>
        <v>WO</v>
      </c>
      <c r="R28" s="4" t="str">
        <f>IFERROR(LOOKUP(2,1/((lentry!$A$3:$A$3999=jul!$A28)*(lentry!$B$3:$B$3999&lt;=jul!R$3)*(lentry!$C$3:$C$3999&gt;=jul!R$3)),lentry!$D$3:$D$3999),IF(WEEKDAY(jul!R$3,1)=1,"WO","P"))</f>
        <v>P</v>
      </c>
      <c r="S28" s="4" t="str">
        <f>IFERROR(LOOKUP(2,1/((lentry!$A$3:$A$3999=jul!$A28)*(lentry!$B$3:$B$3999&lt;=jul!S$3)*(lentry!$C$3:$C$3999&gt;=jul!S$3)),lentry!$D$3:$D$3999),IF(WEEKDAY(jul!S$3,1)=1,"WO","P"))</f>
        <v>P</v>
      </c>
      <c r="T28" s="4" t="str">
        <f>IFERROR(LOOKUP(2,1/((lentry!$A$3:$A$3999=jul!$A28)*(lentry!$B$3:$B$3999&lt;=jul!T$3)*(lentry!$C$3:$C$3999&gt;=jul!T$3)),lentry!$D$3:$D$3999),IF(WEEKDAY(jul!T$3,1)=1,"WO","P"))</f>
        <v>P</v>
      </c>
      <c r="U28" s="4" t="str">
        <f>IFERROR(LOOKUP(2,1/((lentry!$A$3:$A$3999=jul!$A28)*(lentry!$B$3:$B$3999&lt;=jul!U$3)*(lentry!$C$3:$C$3999&gt;=jul!U$3)),lentry!$D$3:$D$3999),IF(WEEKDAY(jul!U$3,1)=1,"WO","P"))</f>
        <v>P</v>
      </c>
      <c r="V28" s="4" t="str">
        <f>IFERROR(LOOKUP(2,1/((lentry!$A$3:$A$3999=jul!$A28)*(lentry!$B$3:$B$3999&lt;=jul!V$3)*(lentry!$C$3:$C$3999&gt;=jul!V$3)),lentry!$D$3:$D$3999),IF(WEEKDAY(jul!V$3,1)=1,"WO","P"))</f>
        <v>P</v>
      </c>
      <c r="W28" s="4" t="str">
        <f>IFERROR(LOOKUP(2,1/((lentry!$A$3:$A$3999=jul!$A28)*(lentry!$B$3:$B$3999&lt;=jul!W$3)*(lentry!$C$3:$C$3999&gt;=jul!W$3)),lentry!$D$3:$D$3999),IF(WEEKDAY(jul!W$3,1)=1,"WO","P"))</f>
        <v>P</v>
      </c>
      <c r="X28" s="4" t="str">
        <f>IFERROR(LOOKUP(2,1/((lentry!$A$3:$A$3999=jul!$A28)*(lentry!$B$3:$B$3999&lt;=jul!X$3)*(lentry!$C$3:$C$3999&gt;=jul!X$3)),lentry!$D$3:$D$3999),IF(WEEKDAY(jul!X$3,1)=1,"WO","P"))</f>
        <v>WO</v>
      </c>
      <c r="Y28" s="4" t="str">
        <f>IFERROR(LOOKUP(2,1/((lentry!$A$3:$A$3999=jul!$A28)*(lentry!$B$3:$B$3999&lt;=jul!Y$3)*(lentry!$C$3:$C$3999&gt;=jul!Y$3)),lentry!$D$3:$D$3999),IF(WEEKDAY(jul!Y$3,1)=1,"WO","P"))</f>
        <v>P</v>
      </c>
      <c r="Z28" s="4" t="str">
        <f>IFERROR(LOOKUP(2,1/((lentry!$A$3:$A$3999=jul!$A28)*(lentry!$B$3:$B$3999&lt;=jul!Z$3)*(lentry!$C$3:$C$3999&gt;=jul!Z$3)),lentry!$D$3:$D$3999),IF(WEEKDAY(jul!Z$3,1)=1,"WO","P"))</f>
        <v>P</v>
      </c>
      <c r="AA28" s="4" t="str">
        <f>IFERROR(LOOKUP(2,1/((lentry!$A$3:$A$3999=jul!$A28)*(lentry!$B$3:$B$3999&lt;=jul!AA$3)*(lentry!$C$3:$C$3999&gt;=jul!AA$3)),lentry!$D$3:$D$3999),IF(WEEKDAY(jul!AA$3,1)=1,"WO","P"))</f>
        <v>P</v>
      </c>
      <c r="AB28" s="4" t="str">
        <f>IFERROR(LOOKUP(2,1/((lentry!$A$3:$A$3999=jul!$A28)*(lentry!$B$3:$B$3999&lt;=jul!AB$3)*(lentry!$C$3:$C$3999&gt;=jul!AB$3)),lentry!$D$3:$D$3999),IF(WEEKDAY(jul!AB$3,1)=1,"WO","P"))</f>
        <v>P</v>
      </c>
      <c r="AC28" s="4" t="str">
        <f>IFERROR(LOOKUP(2,1/((lentry!$A$3:$A$3999=jul!$A28)*(lentry!$B$3:$B$3999&lt;=jul!AC$3)*(lentry!$C$3:$C$3999&gt;=jul!AC$3)),lentry!$D$3:$D$3999),IF(WEEKDAY(jul!AC$3,1)=1,"WO","P"))</f>
        <v>P</v>
      </c>
      <c r="AD28" s="4" t="str">
        <f>IFERROR(LOOKUP(2,1/((lentry!$A$3:$A$3999=jul!$A28)*(lentry!$B$3:$B$3999&lt;=jul!AD$3)*(lentry!$C$3:$C$3999&gt;=jul!AD$3)),lentry!$D$3:$D$3999),IF(WEEKDAY(jul!AD$3,1)=1,"WO","P"))</f>
        <v>P</v>
      </c>
      <c r="AE28" s="4" t="str">
        <f>IFERROR(LOOKUP(2,1/((lentry!$A$3:$A$3999=jul!$A28)*(lentry!$B$3:$B$3999&lt;=jul!AE$3)*(lentry!$C$3:$C$3999&gt;=jul!AE$3)),lentry!$D$3:$D$3999),IF(WEEKDAY(jul!AE$3,1)=1,"WO","P"))</f>
        <v>WO</v>
      </c>
      <c r="AF28" s="4" t="str">
        <f>IFERROR(LOOKUP(2,1/((lentry!$A$3:$A$3999=jul!$A28)*(lentry!$B$3:$B$3999&lt;=jul!AF$3)*(lentry!$C$3:$C$3999&gt;=jul!AF$3)),lentry!$D$3:$D$3999),IF(WEEKDAY(jul!AF$3,1)=1,"WO","P"))</f>
        <v>P</v>
      </c>
      <c r="AG28" s="4" t="str">
        <f>IFERROR(LOOKUP(2,1/((lentry!$A$3:$A$3999=jul!$A28)*(lentry!$B$3:$B$3999&lt;=jul!AG$3)*(lentry!$C$3:$C$3999&gt;=jul!AG$3)),lentry!$D$3:$D$3999),IF(WEEKDAY(jul!AG$3,1)=1,"WO","P"))</f>
        <v>P</v>
      </c>
      <c r="AH28" s="4" t="str">
        <f>IFERROR(LOOKUP(2,1/((lentry!$A$3:$A$3999=jul!$A28)*(lentry!$B$3:$B$3999&lt;=jul!AH$3)*(lentry!$C$3:$C$3999&gt;=jul!AH$3)),lentry!$D$3:$D$3999),IF(WEEKDAY(jul!AH$3,1)=1,"WO","P"))</f>
        <v>P</v>
      </c>
      <c r="AI28" s="4" t="str">
        <f>IFERROR(LOOKUP(2,1/((lentry!$A$3:$A$3999=jul!$A28)*(lentry!$B$3:$B$3999&lt;=jul!AI$3)*(lentry!$C$3:$C$3999&gt;=jul!AI$3)),lentry!$D$3:$D$3999),IF(WEEKDAY(jul!AI$3,1)=1,"WO","P"))</f>
        <v>P</v>
      </c>
      <c r="AJ28" s="4" t="str">
        <f>IFERROR(LOOKUP(2,1/((lentry!$A$3:$A$3999=jul!$A28)*(lentry!$B$3:$B$3999&lt;=jul!AJ$3)*(lentry!$C$3:$C$3999&gt;=jul!AJ$3)),lentry!$D$3:$D$3999),IF(WEEKDAY(jul!AJ$3,1)=1,"WO","P"))</f>
        <v>P</v>
      </c>
      <c r="AK28" s="4">
        <f>COUNTIF(jul!$F28:$AJ28,"WO")</f>
        <v>4</v>
      </c>
      <c r="AL28" s="4">
        <f>COUNTIF(jul!$F28:$AJ28,"H")</f>
        <v>0</v>
      </c>
      <c r="AM28" s="4">
        <f>COUNTIF(jul!$F28:$AJ28,"pl")</f>
        <v>0</v>
      </c>
      <c r="AN28" s="4">
        <f>COUNTIF(jul!$F28:$AJ28,"LWP")</f>
        <v>0</v>
      </c>
      <c r="AO28" s="4">
        <f>COUNTIF(jul!$F28:$AJ28,"HD")</f>
        <v>0</v>
      </c>
      <c r="AP28" s="4">
        <f>COUNTIF(jul!$F28:$AJ28,"SL")</f>
        <v>0</v>
      </c>
      <c r="AQ28" s="4">
        <f>COUNTIF(jul!$F28:$AJ28,"CL")</f>
        <v>0</v>
      </c>
      <c r="AR28" s="4">
        <f>COUNTIF(jul!$F28:$AJ28,"A")</f>
        <v>0</v>
      </c>
      <c r="AS28" s="4">
        <f>COUNTIF(jul!$F28:$AJ28,"P")</f>
        <v>27</v>
      </c>
      <c r="AT28" s="4">
        <f t="shared" si="2"/>
        <v>31</v>
      </c>
      <c r="AU28" s="4">
        <f t="shared" si="3"/>
        <v>31</v>
      </c>
      <c r="AV28" s="4">
        <f>SUMIFS(holly!$L$2:$L$122,holly!$I$2:$I$122,mar!$A28,holly!$K$2:$K$122,"Mar")</f>
        <v>0</v>
      </c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</row>
    <row r="29" spans="1:80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IFERROR(LOOKUP(2,1/((lentry!$A$3:$A$3999=jul!$A29)*(lentry!$B$3:$B$3999&lt;=jul!F$3)*(lentry!$C$3:$C$3999&gt;=jul!F$3)),lentry!$D$3:$D$3999),IF(WEEKDAY(jul!F$3,1)=1,"WO","P"))</f>
        <v>P</v>
      </c>
      <c r="G29" s="4" t="s">
        <v>539</v>
      </c>
      <c r="H29" s="4" t="str">
        <f>IFERROR(LOOKUP(2,1/((lentry!$A$3:$A$3999=jul!$A29)*(lentry!$B$3:$B$3999&lt;=jul!H$3)*(lentry!$C$3:$C$3999&gt;=jul!H$3)),lentry!$D$3:$D$3999),IF(WEEKDAY(jul!H$3,1)=1,"WO","P"))</f>
        <v>P</v>
      </c>
      <c r="I29" s="4" t="str">
        <f>IFERROR(LOOKUP(2,1/((lentry!$A$3:$A$3999=jul!$A29)*(lentry!$B$3:$B$3999&lt;=jul!I$3)*(lentry!$C$3:$C$3999&gt;=jul!I$3)),lentry!$D$3:$D$3999),IF(WEEKDAY(jul!I$3,1)=1,"WO","P"))</f>
        <v>P</v>
      </c>
      <c r="J29" s="4" t="str">
        <f>IFERROR(LOOKUP(2,1/((lentry!$A$3:$A$3999=jul!$A29)*(lentry!$B$3:$B$3999&lt;=jul!J$3)*(lentry!$C$3:$C$3999&gt;=jul!J$3)),lentry!$D$3:$D$3999),IF(WEEKDAY(jul!J$3,1)=1,"WO","P"))</f>
        <v>WO</v>
      </c>
      <c r="K29" s="4" t="str">
        <f>IFERROR(LOOKUP(2,1/((lentry!$A$3:$A$3999=jul!$A29)*(lentry!$B$3:$B$3999&lt;=jul!K$3)*(lentry!$C$3:$C$3999&gt;=jul!K$3)),lentry!$D$3:$D$3999),IF(WEEKDAY(jul!K$3,1)=1,"WO","P"))</f>
        <v>P</v>
      </c>
      <c r="L29" s="4" t="str">
        <f>IFERROR(LOOKUP(2,1/((lentry!$A$3:$A$3999=jul!$A29)*(lentry!$B$3:$B$3999&lt;=jul!L$3)*(lentry!$C$3:$C$3999&gt;=jul!L$3)),lentry!$D$3:$D$3999),IF(WEEKDAY(jul!L$3,1)=1,"WO","P"))</f>
        <v>P</v>
      </c>
      <c r="M29" s="4" t="str">
        <f>IFERROR(LOOKUP(2,1/((lentry!$A$3:$A$3999=jul!$A29)*(lentry!$B$3:$B$3999&lt;=jul!M$3)*(lentry!$C$3:$C$3999&gt;=jul!M$3)),lentry!$D$3:$D$3999),IF(WEEKDAY(jul!M$3,1)=1,"WO","P"))</f>
        <v>P</v>
      </c>
      <c r="N29" s="4" t="str">
        <f>IFERROR(LOOKUP(2,1/((lentry!$A$3:$A$3999=jul!$A29)*(lentry!$B$3:$B$3999&lt;=jul!N$3)*(lentry!$C$3:$C$3999&gt;=jul!N$3)),lentry!$D$3:$D$3999),IF(WEEKDAY(jul!N$3,1)=1,"WO","P"))</f>
        <v>P</v>
      </c>
      <c r="O29" s="4" t="str">
        <f>IFERROR(LOOKUP(2,1/((lentry!$A$3:$A$3999=jul!$A29)*(lentry!$B$3:$B$3999&lt;=jul!O$3)*(lentry!$C$3:$C$3999&gt;=jul!O$3)),lentry!$D$3:$D$3999),IF(WEEKDAY(jul!O$3,1)=1,"WO","P"))</f>
        <v>P</v>
      </c>
      <c r="P29" s="4" t="str">
        <f>IFERROR(LOOKUP(2,1/((lentry!$A$3:$A$3999=jul!$A29)*(lentry!$B$3:$B$3999&lt;=jul!P$3)*(lentry!$C$3:$C$3999&gt;=jul!P$3)),lentry!$D$3:$D$3999),IF(WEEKDAY(jul!P$3,1)=1,"WO","P"))</f>
        <v>P</v>
      </c>
      <c r="Q29" s="4" t="str">
        <f>IFERROR(LOOKUP(2,1/((lentry!$A$3:$A$3999=jul!$A29)*(lentry!$B$3:$B$3999&lt;=jul!Q$3)*(lentry!$C$3:$C$3999&gt;=jul!Q$3)),lentry!$D$3:$D$3999),IF(WEEKDAY(jul!Q$3,1)=1,"WO","P"))</f>
        <v>WO</v>
      </c>
      <c r="R29" s="4" t="str">
        <f>IFERROR(LOOKUP(2,1/((lentry!$A$3:$A$3999=jul!$A29)*(lentry!$B$3:$B$3999&lt;=jul!R$3)*(lentry!$C$3:$C$3999&gt;=jul!R$3)),lentry!$D$3:$D$3999),IF(WEEKDAY(jul!R$3,1)=1,"WO","P"))</f>
        <v>P</v>
      </c>
      <c r="S29" s="4" t="str">
        <f>IFERROR(LOOKUP(2,1/((lentry!$A$3:$A$3999=jul!$A29)*(lentry!$B$3:$B$3999&lt;=jul!S$3)*(lentry!$C$3:$C$3999&gt;=jul!S$3)),lentry!$D$3:$D$3999),IF(WEEKDAY(jul!S$3,1)=1,"WO","P"))</f>
        <v>P</v>
      </c>
      <c r="T29" s="4" t="str">
        <f>IFERROR(LOOKUP(2,1/((lentry!$A$3:$A$3999=jul!$A29)*(lentry!$B$3:$B$3999&lt;=jul!T$3)*(lentry!$C$3:$C$3999&gt;=jul!T$3)),lentry!$D$3:$D$3999),IF(WEEKDAY(jul!T$3,1)=1,"WO","P"))</f>
        <v>P</v>
      </c>
      <c r="U29" s="4" t="str">
        <f>IFERROR(LOOKUP(2,1/((lentry!$A$3:$A$3999=jul!$A29)*(lentry!$B$3:$B$3999&lt;=jul!U$3)*(lentry!$C$3:$C$3999&gt;=jul!U$3)),lentry!$D$3:$D$3999),IF(WEEKDAY(jul!U$3,1)=1,"WO","P"))</f>
        <v>P</v>
      </c>
      <c r="V29" s="4" t="str">
        <f>IFERROR(LOOKUP(2,1/((lentry!$A$3:$A$3999=jul!$A29)*(lentry!$B$3:$B$3999&lt;=jul!V$3)*(lentry!$C$3:$C$3999&gt;=jul!V$3)),lentry!$D$3:$D$3999),IF(WEEKDAY(jul!V$3,1)=1,"WO","P"))</f>
        <v>P</v>
      </c>
      <c r="W29" s="4" t="str">
        <f>IFERROR(LOOKUP(2,1/((lentry!$A$3:$A$3999=jul!$A29)*(lentry!$B$3:$B$3999&lt;=jul!W$3)*(lentry!$C$3:$C$3999&gt;=jul!W$3)),lentry!$D$3:$D$3999),IF(WEEKDAY(jul!W$3,1)=1,"WO","P"))</f>
        <v>P</v>
      </c>
      <c r="X29" s="4" t="str">
        <f>IFERROR(LOOKUP(2,1/((lentry!$A$3:$A$3999=jul!$A29)*(lentry!$B$3:$B$3999&lt;=jul!X$3)*(lentry!$C$3:$C$3999&gt;=jul!X$3)),lentry!$D$3:$D$3999),IF(WEEKDAY(jul!X$3,1)=1,"WO","P"))</f>
        <v>WO</v>
      </c>
      <c r="Y29" s="4" t="str">
        <f>IFERROR(LOOKUP(2,1/((lentry!$A$3:$A$3999=jul!$A29)*(lentry!$B$3:$B$3999&lt;=jul!Y$3)*(lentry!$C$3:$C$3999&gt;=jul!Y$3)),lentry!$D$3:$D$3999),IF(WEEKDAY(jul!Y$3,1)=1,"WO","P"))</f>
        <v>P</v>
      </c>
      <c r="Z29" s="4" t="str">
        <f>IFERROR(LOOKUP(2,1/((lentry!$A$3:$A$3999=jul!$A29)*(lentry!$B$3:$B$3999&lt;=jul!Z$3)*(lentry!$C$3:$C$3999&gt;=jul!Z$3)),lentry!$D$3:$D$3999),IF(WEEKDAY(jul!Z$3,1)=1,"WO","P"))</f>
        <v>P</v>
      </c>
      <c r="AA29" s="4" t="str">
        <f>IFERROR(LOOKUP(2,1/((lentry!$A$3:$A$3999=jul!$A29)*(lentry!$B$3:$B$3999&lt;=jul!AA$3)*(lentry!$C$3:$C$3999&gt;=jul!AA$3)),lentry!$D$3:$D$3999),IF(WEEKDAY(jul!AA$3,1)=1,"WO","P"))</f>
        <v>P</v>
      </c>
      <c r="AB29" s="4" t="str">
        <f>IFERROR(LOOKUP(2,1/((lentry!$A$3:$A$3999=jul!$A29)*(lentry!$B$3:$B$3999&lt;=jul!AB$3)*(lentry!$C$3:$C$3999&gt;=jul!AB$3)),lentry!$D$3:$D$3999),IF(WEEKDAY(jul!AB$3,1)=1,"WO","P"))</f>
        <v>P</v>
      </c>
      <c r="AC29" s="4" t="str">
        <f>IFERROR(LOOKUP(2,1/((lentry!$A$3:$A$3999=jul!$A29)*(lentry!$B$3:$B$3999&lt;=jul!AC$3)*(lentry!$C$3:$C$3999&gt;=jul!AC$3)),lentry!$D$3:$D$3999),IF(WEEKDAY(jul!AC$3,1)=1,"WO","P"))</f>
        <v>P</v>
      </c>
      <c r="AD29" s="4" t="str">
        <f>IFERROR(LOOKUP(2,1/((lentry!$A$3:$A$3999=jul!$A29)*(lentry!$B$3:$B$3999&lt;=jul!AD$3)*(lentry!$C$3:$C$3999&gt;=jul!AD$3)),lentry!$D$3:$D$3999),IF(WEEKDAY(jul!AD$3,1)=1,"WO","P"))</f>
        <v>P</v>
      </c>
      <c r="AE29" s="4" t="str">
        <f>IFERROR(LOOKUP(2,1/((lentry!$A$3:$A$3999=jul!$A29)*(lentry!$B$3:$B$3999&lt;=jul!AE$3)*(lentry!$C$3:$C$3999&gt;=jul!AE$3)),lentry!$D$3:$D$3999),IF(WEEKDAY(jul!AE$3,1)=1,"WO","P"))</f>
        <v>WO</v>
      </c>
      <c r="AF29" s="4" t="str">
        <f>IFERROR(LOOKUP(2,1/((lentry!$A$3:$A$3999=jul!$A29)*(lentry!$B$3:$B$3999&lt;=jul!AF$3)*(lentry!$C$3:$C$3999&gt;=jul!AF$3)),lentry!$D$3:$D$3999),IF(WEEKDAY(jul!AF$3,1)=1,"WO","P"))</f>
        <v>P</v>
      </c>
      <c r="AG29" s="4" t="str">
        <f>IFERROR(LOOKUP(2,1/((lentry!$A$3:$A$3999=jul!$A29)*(lentry!$B$3:$B$3999&lt;=jul!AG$3)*(lentry!$C$3:$C$3999&gt;=jul!AG$3)),lentry!$D$3:$D$3999),IF(WEEKDAY(jul!AG$3,1)=1,"WO","P"))</f>
        <v>P</v>
      </c>
      <c r="AH29" s="4" t="str">
        <f>IFERROR(LOOKUP(2,1/((lentry!$A$3:$A$3999=jul!$A29)*(lentry!$B$3:$B$3999&lt;=jul!AH$3)*(lentry!$C$3:$C$3999&gt;=jul!AH$3)),lentry!$D$3:$D$3999),IF(WEEKDAY(jul!AH$3,1)=1,"WO","P"))</f>
        <v>P</v>
      </c>
      <c r="AI29" s="4" t="str">
        <f>IFERROR(LOOKUP(2,1/((lentry!$A$3:$A$3999=jul!$A29)*(lentry!$B$3:$B$3999&lt;=jul!AI$3)*(lentry!$C$3:$C$3999&gt;=jul!AI$3)),lentry!$D$3:$D$3999),IF(WEEKDAY(jul!AI$3,1)=1,"WO","P"))</f>
        <v>P</v>
      </c>
      <c r="AJ29" s="4" t="str">
        <f>IFERROR(LOOKUP(2,1/((lentry!$A$3:$A$3999=jul!$A29)*(lentry!$B$3:$B$3999&lt;=jul!AJ$3)*(lentry!$C$3:$C$3999&gt;=jul!AJ$3)),lentry!$D$3:$D$3999),IF(WEEKDAY(jul!AJ$3,1)=1,"WO","P"))</f>
        <v>P</v>
      </c>
      <c r="AK29" s="4">
        <f>COUNTIF(jul!$F29:$AJ29,"WO")</f>
        <v>4</v>
      </c>
      <c r="AL29" s="4">
        <f>COUNTIF(jul!$F29:$AJ29,"H")</f>
        <v>0</v>
      </c>
      <c r="AM29" s="4">
        <f>COUNTIF(jul!$F29:$AJ29,"pl")</f>
        <v>0</v>
      </c>
      <c r="AN29" s="4">
        <f>COUNTIF(jul!$F29:$AJ29,"LWP")</f>
        <v>0</v>
      </c>
      <c r="AO29" s="4">
        <f>COUNTIF(jul!$F29:$AJ29,"HD")</f>
        <v>0</v>
      </c>
      <c r="AP29" s="4">
        <f>COUNTIF(jul!$F29:$AJ29,"SL")</f>
        <v>0</v>
      </c>
      <c r="AQ29" s="4">
        <f>COUNTIF(jul!$F29:$AJ29,"CL")</f>
        <v>0</v>
      </c>
      <c r="AR29" s="4">
        <f>COUNTIF(jul!$F29:$AJ29,"A")</f>
        <v>1</v>
      </c>
      <c r="AS29" s="4">
        <f>COUNTIF(jul!$F29:$AJ29,"P")</f>
        <v>26</v>
      </c>
      <c r="AT29" s="4">
        <f t="shared" si="2"/>
        <v>31</v>
      </c>
      <c r="AU29" s="4">
        <f t="shared" si="3"/>
        <v>30</v>
      </c>
      <c r="AV29" s="4">
        <f>SUMIFS(holly!$L$2:$L$122,holly!$I$2:$I$122,mar!$A29,holly!$K$2:$K$122,"Mar")</f>
        <v>0</v>
      </c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</row>
    <row r="30" spans="1:80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IFERROR(LOOKUP(2,1/((lentry!$A$3:$A$3999=jul!$A30)*(lentry!$B$3:$B$3999&lt;=jul!F$3)*(lentry!$C$3:$C$3999&gt;=jul!F$3)),lentry!$D$3:$D$3999),IF(WEEKDAY(jul!F$3,1)=1,"WO","P"))</f>
        <v>P</v>
      </c>
      <c r="G30" s="4" t="str">
        <f>IFERROR(LOOKUP(2,1/((lentry!$A$3:$A$3999=jul!$A30)*(lentry!$B$3:$B$3999&lt;=jul!G$3)*(lentry!$C$3:$C$3999&gt;=jul!G$3)),lentry!$D$3:$D$3999),IF(WEEKDAY(jul!G$3,1)=1,"WO","P"))</f>
        <v>P</v>
      </c>
      <c r="H30" s="4" t="str">
        <f>IFERROR(LOOKUP(2,1/((lentry!$A$3:$A$3999=jul!$A30)*(lentry!$B$3:$B$3999&lt;=jul!H$3)*(lentry!$C$3:$C$3999&gt;=jul!H$3)),lentry!$D$3:$D$3999),IF(WEEKDAY(jul!H$3,1)=1,"WO","P"))</f>
        <v>P</v>
      </c>
      <c r="I30" s="4" t="str">
        <f>IFERROR(LOOKUP(2,1/((lentry!$A$3:$A$3999=jul!$A30)*(lentry!$B$3:$B$3999&lt;=jul!I$3)*(lentry!$C$3:$C$3999&gt;=jul!I$3)),lentry!$D$3:$D$3999),IF(WEEKDAY(jul!I$3,1)=1,"WO","P"))</f>
        <v>P</v>
      </c>
      <c r="J30" s="4" t="str">
        <f>IFERROR(LOOKUP(2,1/((lentry!$A$3:$A$3999=jul!$A30)*(lentry!$B$3:$B$3999&lt;=jul!J$3)*(lentry!$C$3:$C$3999&gt;=jul!J$3)),lentry!$D$3:$D$3999),IF(WEEKDAY(jul!J$3,1)=1,"WO","P"))</f>
        <v>WO</v>
      </c>
      <c r="K30" s="4" t="str">
        <f>IFERROR(LOOKUP(2,1/((lentry!$A$3:$A$3999=jul!$A30)*(lentry!$B$3:$B$3999&lt;=jul!K$3)*(lentry!$C$3:$C$3999&gt;=jul!K$3)),lentry!$D$3:$D$3999),IF(WEEKDAY(jul!K$3,1)=1,"WO","P"))</f>
        <v>P</v>
      </c>
      <c r="L30" s="4" t="str">
        <f>IFERROR(LOOKUP(2,1/((lentry!$A$3:$A$3999=jul!$A30)*(lentry!$B$3:$B$3999&lt;=jul!L$3)*(lentry!$C$3:$C$3999&gt;=jul!L$3)),lentry!$D$3:$D$3999),IF(WEEKDAY(jul!L$3,1)=1,"WO","P"))</f>
        <v>P</v>
      </c>
      <c r="M30" s="4" t="str">
        <f>IFERROR(LOOKUP(2,1/((lentry!$A$3:$A$3999=jul!$A30)*(lentry!$B$3:$B$3999&lt;=jul!M$3)*(lentry!$C$3:$C$3999&gt;=jul!M$3)),lentry!$D$3:$D$3999),IF(WEEKDAY(jul!M$3,1)=1,"WO","P"))</f>
        <v>P</v>
      </c>
      <c r="N30" s="4" t="str">
        <f>IFERROR(LOOKUP(2,1/((lentry!$A$3:$A$3999=jul!$A30)*(lentry!$B$3:$B$3999&lt;=jul!N$3)*(lentry!$C$3:$C$3999&gt;=jul!N$3)),lentry!$D$3:$D$3999),IF(WEEKDAY(jul!N$3,1)=1,"WO","P"))</f>
        <v>P</v>
      </c>
      <c r="O30" s="4" t="str">
        <f>IFERROR(LOOKUP(2,1/((lentry!$A$3:$A$3999=jul!$A30)*(lentry!$B$3:$B$3999&lt;=jul!O$3)*(lentry!$C$3:$C$3999&gt;=jul!O$3)),lentry!$D$3:$D$3999),IF(WEEKDAY(jul!O$3,1)=1,"WO","P"))</f>
        <v>P</v>
      </c>
      <c r="P30" s="4" t="str">
        <f>IFERROR(LOOKUP(2,1/((lentry!$A$3:$A$3999=jul!$A30)*(lentry!$B$3:$B$3999&lt;=jul!P$3)*(lentry!$C$3:$C$3999&gt;=jul!P$3)),lentry!$D$3:$D$3999),IF(WEEKDAY(jul!P$3,1)=1,"WO","P"))</f>
        <v>P</v>
      </c>
      <c r="Q30" s="4" t="str">
        <f>IFERROR(LOOKUP(2,1/((lentry!$A$3:$A$3999=jul!$A30)*(lentry!$B$3:$B$3999&lt;=jul!Q$3)*(lentry!$C$3:$C$3999&gt;=jul!Q$3)),lentry!$D$3:$D$3999),IF(WEEKDAY(jul!Q$3,1)=1,"WO","P"))</f>
        <v>WO</v>
      </c>
      <c r="R30" s="4" t="str">
        <f>IFERROR(LOOKUP(2,1/((lentry!$A$3:$A$3999=jul!$A30)*(lentry!$B$3:$B$3999&lt;=jul!R$3)*(lentry!$C$3:$C$3999&gt;=jul!R$3)),lentry!$D$3:$D$3999),IF(WEEKDAY(jul!R$3,1)=1,"WO","P"))</f>
        <v>P</v>
      </c>
      <c r="S30" s="4" t="s">
        <v>539</v>
      </c>
      <c r="T30" s="4" t="str">
        <f>IFERROR(LOOKUP(2,1/((lentry!$A$3:$A$3999=jul!$A30)*(lentry!$B$3:$B$3999&lt;=jul!T$3)*(lentry!$C$3:$C$3999&gt;=jul!T$3)),lentry!$D$3:$D$3999),IF(WEEKDAY(jul!T$3,1)=1,"WO","P"))</f>
        <v>P</v>
      </c>
      <c r="U30" s="4" t="str">
        <f>IFERROR(LOOKUP(2,1/((lentry!$A$3:$A$3999=jul!$A30)*(lentry!$B$3:$B$3999&lt;=jul!U$3)*(lentry!$C$3:$C$3999&gt;=jul!U$3)),lentry!$D$3:$D$3999),IF(WEEKDAY(jul!U$3,1)=1,"WO","P"))</f>
        <v>P</v>
      </c>
      <c r="V30" s="4" t="str">
        <f>IFERROR(LOOKUP(2,1/((lentry!$A$3:$A$3999=jul!$A30)*(lentry!$B$3:$B$3999&lt;=jul!V$3)*(lentry!$C$3:$C$3999&gt;=jul!V$3)),lentry!$D$3:$D$3999),IF(WEEKDAY(jul!V$3,1)=1,"WO","P"))</f>
        <v>P</v>
      </c>
      <c r="W30" s="4" t="str">
        <f>IFERROR(LOOKUP(2,1/((lentry!$A$3:$A$3999=jul!$A30)*(lentry!$B$3:$B$3999&lt;=jul!W$3)*(lentry!$C$3:$C$3999&gt;=jul!W$3)),lentry!$D$3:$D$3999),IF(WEEKDAY(jul!W$3,1)=1,"WO","P"))</f>
        <v>P</v>
      </c>
      <c r="X30" s="4" t="str">
        <f>IFERROR(LOOKUP(2,1/((lentry!$A$3:$A$3999=jul!$A30)*(lentry!$B$3:$B$3999&lt;=jul!X$3)*(lentry!$C$3:$C$3999&gt;=jul!X$3)),lentry!$D$3:$D$3999),IF(WEEKDAY(jul!X$3,1)=1,"WO","P"))</f>
        <v>WO</v>
      </c>
      <c r="Y30" s="4" t="str">
        <f>IFERROR(LOOKUP(2,1/((lentry!$A$3:$A$3999=jul!$A30)*(lentry!$B$3:$B$3999&lt;=jul!Y$3)*(lentry!$C$3:$C$3999&gt;=jul!Y$3)),lentry!$D$3:$D$3999),IF(WEEKDAY(jul!Y$3,1)=1,"WO","P"))</f>
        <v>P</v>
      </c>
      <c r="Z30" s="4" t="str">
        <f>IFERROR(LOOKUP(2,1/((lentry!$A$3:$A$3999=jul!$A30)*(lentry!$B$3:$B$3999&lt;=jul!Z$3)*(lentry!$C$3:$C$3999&gt;=jul!Z$3)),lentry!$D$3:$D$3999),IF(WEEKDAY(jul!Z$3,1)=1,"WO","P"))</f>
        <v>P</v>
      </c>
      <c r="AA30" s="4" t="str">
        <f>IFERROR(LOOKUP(2,1/((lentry!$A$3:$A$3999=jul!$A30)*(lentry!$B$3:$B$3999&lt;=jul!AA$3)*(lentry!$C$3:$C$3999&gt;=jul!AA$3)),lentry!$D$3:$D$3999),IF(WEEKDAY(jul!AA$3,1)=1,"WO","P"))</f>
        <v>P</v>
      </c>
      <c r="AB30" s="4" t="str">
        <f>IFERROR(LOOKUP(2,1/((lentry!$A$3:$A$3999=jul!$A30)*(lentry!$B$3:$B$3999&lt;=jul!AB$3)*(lentry!$C$3:$C$3999&gt;=jul!AB$3)),lentry!$D$3:$D$3999),IF(WEEKDAY(jul!AB$3,1)=1,"WO","P"))</f>
        <v>P</v>
      </c>
      <c r="AC30" s="4" t="str">
        <f>IFERROR(LOOKUP(2,1/((lentry!$A$3:$A$3999=jul!$A30)*(lentry!$B$3:$B$3999&lt;=jul!AC$3)*(lentry!$C$3:$C$3999&gt;=jul!AC$3)),lentry!$D$3:$D$3999),IF(WEEKDAY(jul!AC$3,1)=1,"WO","P"))</f>
        <v>P</v>
      </c>
      <c r="AD30" s="4" t="str">
        <f>IFERROR(LOOKUP(2,1/((lentry!$A$3:$A$3999=jul!$A30)*(lentry!$B$3:$B$3999&lt;=jul!AD$3)*(lentry!$C$3:$C$3999&gt;=jul!AD$3)),lentry!$D$3:$D$3999),IF(WEEKDAY(jul!AD$3,1)=1,"WO","P"))</f>
        <v>P</v>
      </c>
      <c r="AE30" s="4" t="str">
        <f>IFERROR(LOOKUP(2,1/((lentry!$A$3:$A$3999=jul!$A30)*(lentry!$B$3:$B$3999&lt;=jul!AE$3)*(lentry!$C$3:$C$3999&gt;=jul!AE$3)),lentry!$D$3:$D$3999),IF(WEEKDAY(jul!AE$3,1)=1,"WO","P"))</f>
        <v>WO</v>
      </c>
      <c r="AF30" s="4" t="str">
        <f>IFERROR(LOOKUP(2,1/((lentry!$A$3:$A$3999=jul!$A30)*(lentry!$B$3:$B$3999&lt;=jul!AF$3)*(lentry!$C$3:$C$3999&gt;=jul!AF$3)),lentry!$D$3:$D$3999),IF(WEEKDAY(jul!AF$3,1)=1,"WO","P"))</f>
        <v>P</v>
      </c>
      <c r="AG30" s="4" t="str">
        <f>IFERROR(LOOKUP(2,1/((lentry!$A$3:$A$3999=jul!$A30)*(lentry!$B$3:$B$3999&lt;=jul!AG$3)*(lentry!$C$3:$C$3999&gt;=jul!AG$3)),lentry!$D$3:$D$3999),IF(WEEKDAY(jul!AG$3,1)=1,"WO","P"))</f>
        <v>P</v>
      </c>
      <c r="AH30" s="4" t="str">
        <f>IFERROR(LOOKUP(2,1/((lentry!$A$3:$A$3999=jul!$A30)*(lentry!$B$3:$B$3999&lt;=jul!AH$3)*(lentry!$C$3:$C$3999&gt;=jul!AH$3)),lentry!$D$3:$D$3999),IF(WEEKDAY(jul!AH$3,1)=1,"WO","P"))</f>
        <v>P</v>
      </c>
      <c r="AI30" s="4" t="str">
        <f>IFERROR(LOOKUP(2,1/((lentry!$A$3:$A$3999=jul!$A30)*(lentry!$B$3:$B$3999&lt;=jul!AI$3)*(lentry!$C$3:$C$3999&gt;=jul!AI$3)),lentry!$D$3:$D$3999),IF(WEEKDAY(jul!AI$3,1)=1,"WO","P"))</f>
        <v>P</v>
      </c>
      <c r="AJ30" s="4" t="str">
        <f>IFERROR(LOOKUP(2,1/((lentry!$A$3:$A$3999=jul!$A30)*(lentry!$B$3:$B$3999&lt;=jul!AJ$3)*(lentry!$C$3:$C$3999&gt;=jul!AJ$3)),lentry!$D$3:$D$3999),IF(WEEKDAY(jul!AJ$3,1)=1,"WO","P"))</f>
        <v>P</v>
      </c>
      <c r="AK30" s="4">
        <f>COUNTIF(jul!$F30:$AJ30,"WO")</f>
        <v>4</v>
      </c>
      <c r="AL30" s="4">
        <f>COUNTIF(jul!$F30:$AJ30,"H")</f>
        <v>0</v>
      </c>
      <c r="AM30" s="4">
        <f>COUNTIF(jul!$F30:$AJ30,"pl")</f>
        <v>0</v>
      </c>
      <c r="AN30" s="4">
        <f>COUNTIF(jul!$F30:$AJ30,"LWP")</f>
        <v>0</v>
      </c>
      <c r="AO30" s="4">
        <f>COUNTIF(jul!$F30:$AJ30,"HD")</f>
        <v>0</v>
      </c>
      <c r="AP30" s="4">
        <f>COUNTIF(jul!$F30:$AJ30,"SL")</f>
        <v>0</v>
      </c>
      <c r="AQ30" s="4">
        <f>COUNTIF(jul!$F30:$AJ30,"CL")</f>
        <v>0</v>
      </c>
      <c r="AR30" s="4">
        <f>COUNTIF(jul!$F30:$AJ30,"A")</f>
        <v>1</v>
      </c>
      <c r="AS30" s="4">
        <f>COUNTIF(jul!$F30:$AJ30,"P")</f>
        <v>26</v>
      </c>
      <c r="AT30" s="4">
        <f t="shared" si="2"/>
        <v>31</v>
      </c>
      <c r="AU30" s="4">
        <f t="shared" si="3"/>
        <v>30</v>
      </c>
      <c r="AV30" s="4">
        <f>SUMIFS(holly!$L$2:$L$122,holly!$I$2:$I$122,mar!$A30,holly!$K$2:$K$122,"Mar")</f>
        <v>0</v>
      </c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</row>
    <row r="31" spans="1:80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IFERROR(LOOKUP(2,1/((lentry!$A$3:$A$3999=jul!$A31)*(lentry!$B$3:$B$3999&lt;=jul!F$3)*(lentry!$C$3:$C$3999&gt;=jul!F$3)),lentry!$D$3:$D$3999),IF(WEEKDAY(jul!F$3,1)=1,"WO","P"))</f>
        <v>P</v>
      </c>
      <c r="G31" s="4" t="str">
        <f>IFERROR(LOOKUP(2,1/((lentry!$A$3:$A$3999=jul!$A31)*(lentry!$B$3:$B$3999&lt;=jul!G$3)*(lentry!$C$3:$C$3999&gt;=jul!G$3)),lentry!$D$3:$D$3999),IF(WEEKDAY(jul!G$3,1)=1,"WO","P"))</f>
        <v>P</v>
      </c>
      <c r="H31" s="4" t="str">
        <f>IFERROR(LOOKUP(2,1/((lentry!$A$3:$A$3999=jul!$A31)*(lentry!$B$3:$B$3999&lt;=jul!H$3)*(lentry!$C$3:$C$3999&gt;=jul!H$3)),lentry!$D$3:$D$3999),IF(WEEKDAY(jul!H$3,1)=1,"WO","P"))</f>
        <v>P</v>
      </c>
      <c r="I31" s="4" t="str">
        <f>IFERROR(LOOKUP(2,1/((lentry!$A$3:$A$3999=jul!$A31)*(lentry!$B$3:$B$3999&lt;=jul!I$3)*(lentry!$C$3:$C$3999&gt;=jul!I$3)),lentry!$D$3:$D$3999),IF(WEEKDAY(jul!I$3,1)=1,"WO","P"))</f>
        <v>P</v>
      </c>
      <c r="J31" s="4" t="str">
        <f>IFERROR(LOOKUP(2,1/((lentry!$A$3:$A$3999=jul!$A31)*(lentry!$B$3:$B$3999&lt;=jul!J$3)*(lentry!$C$3:$C$3999&gt;=jul!J$3)),lentry!$D$3:$D$3999),IF(WEEKDAY(jul!J$3,1)=1,"WO","P"))</f>
        <v>WO</v>
      </c>
      <c r="K31" s="4" t="str">
        <f>IFERROR(LOOKUP(2,1/((lentry!$A$3:$A$3999=jul!$A31)*(lentry!$B$3:$B$3999&lt;=jul!K$3)*(lentry!$C$3:$C$3999&gt;=jul!K$3)),lentry!$D$3:$D$3999),IF(WEEKDAY(jul!K$3,1)=1,"WO","P"))</f>
        <v>P</v>
      </c>
      <c r="L31" s="4" t="str">
        <f>IFERROR(LOOKUP(2,1/((lentry!$A$3:$A$3999=jul!$A31)*(lentry!$B$3:$B$3999&lt;=jul!L$3)*(lentry!$C$3:$C$3999&gt;=jul!L$3)),lentry!$D$3:$D$3999),IF(WEEKDAY(jul!L$3,1)=1,"WO","P"))</f>
        <v>P</v>
      </c>
      <c r="M31" s="4" t="str">
        <f>IFERROR(LOOKUP(2,1/((lentry!$A$3:$A$3999=jul!$A31)*(lentry!$B$3:$B$3999&lt;=jul!M$3)*(lentry!$C$3:$C$3999&gt;=jul!M$3)),lentry!$D$3:$D$3999),IF(WEEKDAY(jul!M$3,1)=1,"WO","P"))</f>
        <v>P</v>
      </c>
      <c r="N31" s="4" t="str">
        <f>IFERROR(LOOKUP(2,1/((lentry!$A$3:$A$3999=jul!$A31)*(lentry!$B$3:$B$3999&lt;=jul!N$3)*(lentry!$C$3:$C$3999&gt;=jul!N$3)),lentry!$D$3:$D$3999),IF(WEEKDAY(jul!N$3,1)=1,"WO","P"))</f>
        <v>P</v>
      </c>
      <c r="O31" s="4" t="str">
        <f>IFERROR(LOOKUP(2,1/((lentry!$A$3:$A$3999=jul!$A31)*(lentry!$B$3:$B$3999&lt;=jul!O$3)*(lentry!$C$3:$C$3999&gt;=jul!O$3)),lentry!$D$3:$D$3999),IF(WEEKDAY(jul!O$3,1)=1,"WO","P"))</f>
        <v>P</v>
      </c>
      <c r="P31" s="4" t="str">
        <f>IFERROR(LOOKUP(2,1/((lentry!$A$3:$A$3999=jul!$A31)*(lentry!$B$3:$B$3999&lt;=jul!P$3)*(lentry!$C$3:$C$3999&gt;=jul!P$3)),lentry!$D$3:$D$3999),IF(WEEKDAY(jul!P$3,1)=1,"WO","P"))</f>
        <v>P</v>
      </c>
      <c r="Q31" s="4" t="str">
        <f>IFERROR(LOOKUP(2,1/((lentry!$A$3:$A$3999=jul!$A31)*(lentry!$B$3:$B$3999&lt;=jul!Q$3)*(lentry!$C$3:$C$3999&gt;=jul!Q$3)),lentry!$D$3:$D$3999),IF(WEEKDAY(jul!Q$3,1)=1,"WO","P"))</f>
        <v>WO</v>
      </c>
      <c r="R31" s="4" t="str">
        <f>IFERROR(LOOKUP(2,1/((lentry!$A$3:$A$3999=jul!$A31)*(lentry!$B$3:$B$3999&lt;=jul!R$3)*(lentry!$C$3:$C$3999&gt;=jul!R$3)),lentry!$D$3:$D$3999),IF(WEEKDAY(jul!R$3,1)=1,"WO","P"))</f>
        <v>P</v>
      </c>
      <c r="S31" s="4" t="str">
        <f>IFERROR(LOOKUP(2,1/((lentry!$A$3:$A$3999=jul!$A31)*(lentry!$B$3:$B$3999&lt;=jul!S$3)*(lentry!$C$3:$C$3999&gt;=jul!S$3)),lentry!$D$3:$D$3999),IF(WEEKDAY(jul!S$3,1)=1,"WO","P"))</f>
        <v>P</v>
      </c>
      <c r="T31" s="4" t="str">
        <f>IFERROR(LOOKUP(2,1/((lentry!$A$3:$A$3999=jul!$A31)*(lentry!$B$3:$B$3999&lt;=jul!T$3)*(lentry!$C$3:$C$3999&gt;=jul!T$3)),lentry!$D$3:$D$3999),IF(WEEKDAY(jul!T$3,1)=1,"WO","P"))</f>
        <v>P</v>
      </c>
      <c r="U31" s="4" t="str">
        <f>IFERROR(LOOKUP(2,1/((lentry!$A$3:$A$3999=jul!$A31)*(lentry!$B$3:$B$3999&lt;=jul!U$3)*(lentry!$C$3:$C$3999&gt;=jul!U$3)),lentry!$D$3:$D$3999),IF(WEEKDAY(jul!U$3,1)=1,"WO","P"))</f>
        <v>P</v>
      </c>
      <c r="V31" s="4" t="str">
        <f>IFERROR(LOOKUP(2,1/((lentry!$A$3:$A$3999=jul!$A31)*(lentry!$B$3:$B$3999&lt;=jul!V$3)*(lentry!$C$3:$C$3999&gt;=jul!V$3)),lentry!$D$3:$D$3999),IF(WEEKDAY(jul!V$3,1)=1,"WO","P"))</f>
        <v>P</v>
      </c>
      <c r="W31" s="4" t="str">
        <f>IFERROR(LOOKUP(2,1/((lentry!$A$3:$A$3999=jul!$A31)*(lentry!$B$3:$B$3999&lt;=jul!W$3)*(lentry!$C$3:$C$3999&gt;=jul!W$3)),lentry!$D$3:$D$3999),IF(WEEKDAY(jul!W$3,1)=1,"WO","P"))</f>
        <v>P</v>
      </c>
      <c r="X31" s="4" t="str">
        <f>IFERROR(LOOKUP(2,1/((lentry!$A$3:$A$3999=jul!$A31)*(lentry!$B$3:$B$3999&lt;=jul!X$3)*(lentry!$C$3:$C$3999&gt;=jul!X$3)),lentry!$D$3:$D$3999),IF(WEEKDAY(jul!X$3,1)=1,"WO","P"))</f>
        <v>WO</v>
      </c>
      <c r="Y31" s="4" t="str">
        <f>IFERROR(LOOKUP(2,1/((lentry!$A$3:$A$3999=jul!$A31)*(lentry!$B$3:$B$3999&lt;=jul!Y$3)*(lentry!$C$3:$C$3999&gt;=jul!Y$3)),lentry!$D$3:$D$3999),IF(WEEKDAY(jul!Y$3,1)=1,"WO","P"))</f>
        <v>P</v>
      </c>
      <c r="Z31" s="4" t="str">
        <f>IFERROR(LOOKUP(2,1/((lentry!$A$3:$A$3999=jul!$A31)*(lentry!$B$3:$B$3999&lt;=jul!Z$3)*(lentry!$C$3:$C$3999&gt;=jul!Z$3)),lentry!$D$3:$D$3999),IF(WEEKDAY(jul!Z$3,1)=1,"WO","P"))</f>
        <v>P</v>
      </c>
      <c r="AA31" s="4" t="str">
        <f>IFERROR(LOOKUP(2,1/((lentry!$A$3:$A$3999=jul!$A31)*(lentry!$B$3:$B$3999&lt;=jul!AA$3)*(lentry!$C$3:$C$3999&gt;=jul!AA$3)),lentry!$D$3:$D$3999),IF(WEEKDAY(jul!AA$3,1)=1,"WO","P"))</f>
        <v>P</v>
      </c>
      <c r="AB31" s="4" t="str">
        <f>IFERROR(LOOKUP(2,1/((lentry!$A$3:$A$3999=jul!$A31)*(lentry!$B$3:$B$3999&lt;=jul!AB$3)*(lentry!$C$3:$C$3999&gt;=jul!AB$3)),lentry!$D$3:$D$3999),IF(WEEKDAY(jul!AB$3,1)=1,"WO","P"))</f>
        <v>P</v>
      </c>
      <c r="AC31" s="4" t="str">
        <f>IFERROR(LOOKUP(2,1/((lentry!$A$3:$A$3999=jul!$A31)*(lentry!$B$3:$B$3999&lt;=jul!AC$3)*(lentry!$C$3:$C$3999&gt;=jul!AC$3)),lentry!$D$3:$D$3999),IF(WEEKDAY(jul!AC$3,1)=1,"WO","P"))</f>
        <v>P</v>
      </c>
      <c r="AD31" s="4" t="str">
        <f>IFERROR(LOOKUP(2,1/((lentry!$A$3:$A$3999=jul!$A31)*(lentry!$B$3:$B$3999&lt;=jul!AD$3)*(lentry!$C$3:$C$3999&gt;=jul!AD$3)),lentry!$D$3:$D$3999),IF(WEEKDAY(jul!AD$3,1)=1,"WO","P"))</f>
        <v>P</v>
      </c>
      <c r="AE31" s="4" t="str">
        <f>IFERROR(LOOKUP(2,1/((lentry!$A$3:$A$3999=jul!$A31)*(lentry!$B$3:$B$3999&lt;=jul!AE$3)*(lentry!$C$3:$C$3999&gt;=jul!AE$3)),lentry!$D$3:$D$3999),IF(WEEKDAY(jul!AE$3,1)=1,"WO","P"))</f>
        <v>WO</v>
      </c>
      <c r="AF31" s="4" t="str">
        <f>IFERROR(LOOKUP(2,1/((lentry!$A$3:$A$3999=jul!$A31)*(lentry!$B$3:$B$3999&lt;=jul!AF$3)*(lentry!$C$3:$C$3999&gt;=jul!AF$3)),lentry!$D$3:$D$3999),IF(WEEKDAY(jul!AF$3,1)=1,"WO","P"))</f>
        <v>P</v>
      </c>
      <c r="AG31" s="4" t="str">
        <f>IFERROR(LOOKUP(2,1/((lentry!$A$3:$A$3999=jul!$A31)*(lentry!$B$3:$B$3999&lt;=jul!AG$3)*(lentry!$C$3:$C$3999&gt;=jul!AG$3)),lentry!$D$3:$D$3999),IF(WEEKDAY(jul!AG$3,1)=1,"WO","P"))</f>
        <v>P</v>
      </c>
      <c r="AH31" s="4" t="str">
        <f>IFERROR(LOOKUP(2,1/((lentry!$A$3:$A$3999=jul!$A31)*(lentry!$B$3:$B$3999&lt;=jul!AH$3)*(lentry!$C$3:$C$3999&gt;=jul!AH$3)),lentry!$D$3:$D$3999),IF(WEEKDAY(jul!AH$3,1)=1,"WO","P"))</f>
        <v>P</v>
      </c>
      <c r="AI31" s="4" t="s">
        <v>539</v>
      </c>
      <c r="AJ31" s="4" t="str">
        <f>IFERROR(LOOKUP(2,1/((lentry!$A$3:$A$3999=jul!$A31)*(lentry!$B$3:$B$3999&lt;=jul!AJ$3)*(lentry!$C$3:$C$3999&gt;=jul!AJ$3)),lentry!$D$3:$D$3999),IF(WEEKDAY(jul!AJ$3,1)=1,"WO","P"))</f>
        <v>P</v>
      </c>
      <c r="AK31" s="4">
        <f>COUNTIF(jul!$F31:$AJ31,"WO")</f>
        <v>4</v>
      </c>
      <c r="AL31" s="4">
        <f>COUNTIF(jul!$F31:$AJ31,"H")</f>
        <v>0</v>
      </c>
      <c r="AM31" s="4">
        <f>COUNTIF(jul!$F31:$AJ31,"pl")</f>
        <v>0</v>
      </c>
      <c r="AN31" s="4">
        <f>COUNTIF(jul!$F31:$AJ31,"LWP")</f>
        <v>0</v>
      </c>
      <c r="AO31" s="4">
        <f>COUNTIF(jul!$F31:$AJ31,"HD")</f>
        <v>0</v>
      </c>
      <c r="AP31" s="4">
        <f>COUNTIF(jul!$F31:$AJ31,"SL")</f>
        <v>0</v>
      </c>
      <c r="AQ31" s="4">
        <f>COUNTIF(jul!$F31:$AJ31,"CL")</f>
        <v>0</v>
      </c>
      <c r="AR31" s="4">
        <f>COUNTIF(jul!$F31:$AJ31,"A")</f>
        <v>1</v>
      </c>
      <c r="AS31" s="4">
        <f>COUNTIF(jul!$F31:$AJ31,"P")</f>
        <v>26</v>
      </c>
      <c r="AT31" s="4">
        <f t="shared" si="2"/>
        <v>31</v>
      </c>
      <c r="AU31" s="4">
        <f t="shared" si="3"/>
        <v>30</v>
      </c>
      <c r="AV31" s="4">
        <f>SUMIFS(holly!$L$2:$L$122,holly!$I$2:$I$122,mar!$A31,holly!$K$2:$K$122,"Mar")</f>
        <v>0</v>
      </c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</row>
    <row r="32" spans="1:80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IFERROR(LOOKUP(2,1/((lentry!$A$3:$A$3999=jul!$A32)*(lentry!$B$3:$B$3999&lt;=jul!F$3)*(lentry!$C$3:$C$3999&gt;=jul!F$3)),lentry!$D$3:$D$3999),IF(WEEKDAY(jul!F$3,1)=1,"WO","P"))</f>
        <v>P</v>
      </c>
      <c r="G32" s="4" t="str">
        <f>IFERROR(LOOKUP(2,1/((lentry!$A$3:$A$3999=jul!$A32)*(lentry!$B$3:$B$3999&lt;=jul!G$3)*(lentry!$C$3:$C$3999&gt;=jul!G$3)),lentry!$D$3:$D$3999),IF(WEEKDAY(jul!G$3,1)=1,"WO","P"))</f>
        <v>P</v>
      </c>
      <c r="H32" s="4" t="str">
        <f>IFERROR(LOOKUP(2,1/((lentry!$A$3:$A$3999=jul!$A32)*(lentry!$B$3:$B$3999&lt;=jul!H$3)*(lentry!$C$3:$C$3999&gt;=jul!H$3)),lentry!$D$3:$D$3999),IF(WEEKDAY(jul!H$3,1)=1,"WO","P"))</f>
        <v>P</v>
      </c>
      <c r="I32" s="4" t="str">
        <f>IFERROR(LOOKUP(2,1/((lentry!$A$3:$A$3999=jul!$A32)*(lentry!$B$3:$B$3999&lt;=jul!I$3)*(lentry!$C$3:$C$3999&gt;=jul!I$3)),lentry!$D$3:$D$3999),IF(WEEKDAY(jul!I$3,1)=1,"WO","P"))</f>
        <v>P</v>
      </c>
      <c r="J32" s="4" t="str">
        <f>IFERROR(LOOKUP(2,1/((lentry!$A$3:$A$3999=jul!$A32)*(lentry!$B$3:$B$3999&lt;=jul!J$3)*(lentry!$C$3:$C$3999&gt;=jul!J$3)),lentry!$D$3:$D$3999),IF(WEEKDAY(jul!J$3,1)=1,"WO","P"))</f>
        <v>WO</v>
      </c>
      <c r="K32" s="4" t="str">
        <f>IFERROR(LOOKUP(2,1/((lentry!$A$3:$A$3999=jul!$A32)*(lentry!$B$3:$B$3999&lt;=jul!K$3)*(lentry!$C$3:$C$3999&gt;=jul!K$3)),lentry!$D$3:$D$3999),IF(WEEKDAY(jul!K$3,1)=1,"WO","P"))</f>
        <v>P</v>
      </c>
      <c r="L32" s="4" t="str">
        <f>IFERROR(LOOKUP(2,1/((lentry!$A$3:$A$3999=jul!$A32)*(lentry!$B$3:$B$3999&lt;=jul!L$3)*(lentry!$C$3:$C$3999&gt;=jul!L$3)),lentry!$D$3:$D$3999),IF(WEEKDAY(jul!L$3,1)=1,"WO","P"))</f>
        <v>P</v>
      </c>
      <c r="M32" s="4" t="str">
        <f>IFERROR(LOOKUP(2,1/((lentry!$A$3:$A$3999=jul!$A32)*(lentry!$B$3:$B$3999&lt;=jul!M$3)*(lentry!$C$3:$C$3999&gt;=jul!M$3)),lentry!$D$3:$D$3999),IF(WEEKDAY(jul!M$3,1)=1,"WO","P"))</f>
        <v>P</v>
      </c>
      <c r="N32" s="4" t="str">
        <f>IFERROR(LOOKUP(2,1/((lentry!$A$3:$A$3999=jul!$A32)*(lentry!$B$3:$B$3999&lt;=jul!N$3)*(lentry!$C$3:$C$3999&gt;=jul!N$3)),lentry!$D$3:$D$3999),IF(WEEKDAY(jul!N$3,1)=1,"WO","P"))</f>
        <v>P</v>
      </c>
      <c r="O32" s="4" t="str">
        <f>IFERROR(LOOKUP(2,1/((lentry!$A$3:$A$3999=jul!$A32)*(lentry!$B$3:$B$3999&lt;=jul!O$3)*(lentry!$C$3:$C$3999&gt;=jul!O$3)),lentry!$D$3:$D$3999),IF(WEEKDAY(jul!O$3,1)=1,"WO","P"))</f>
        <v>P</v>
      </c>
      <c r="P32" s="4" t="str">
        <f>IFERROR(LOOKUP(2,1/((lentry!$A$3:$A$3999=jul!$A32)*(lentry!$B$3:$B$3999&lt;=jul!P$3)*(lentry!$C$3:$C$3999&gt;=jul!P$3)),lentry!$D$3:$D$3999),IF(WEEKDAY(jul!P$3,1)=1,"WO","P"))</f>
        <v>P</v>
      </c>
      <c r="Q32" s="4" t="str">
        <f>IFERROR(LOOKUP(2,1/((lentry!$A$3:$A$3999=jul!$A32)*(lentry!$B$3:$B$3999&lt;=jul!Q$3)*(lentry!$C$3:$C$3999&gt;=jul!Q$3)),lentry!$D$3:$D$3999),IF(WEEKDAY(jul!Q$3,1)=1,"WO","P"))</f>
        <v>WO</v>
      </c>
      <c r="R32" s="4" t="str">
        <f>IFERROR(LOOKUP(2,1/((lentry!$A$3:$A$3999=jul!$A32)*(lentry!$B$3:$B$3999&lt;=jul!R$3)*(lentry!$C$3:$C$3999&gt;=jul!R$3)),lentry!$D$3:$D$3999),IF(WEEKDAY(jul!R$3,1)=1,"WO","P"))</f>
        <v>P</v>
      </c>
      <c r="S32" s="4" t="str">
        <f>IFERROR(LOOKUP(2,1/((lentry!$A$3:$A$3999=jul!$A32)*(lentry!$B$3:$B$3999&lt;=jul!S$3)*(lentry!$C$3:$C$3999&gt;=jul!S$3)),lentry!$D$3:$D$3999),IF(WEEKDAY(jul!S$3,1)=1,"WO","P"))</f>
        <v>P</v>
      </c>
      <c r="T32" s="4" t="str">
        <f>IFERROR(LOOKUP(2,1/((lentry!$A$3:$A$3999=jul!$A32)*(lentry!$B$3:$B$3999&lt;=jul!T$3)*(lentry!$C$3:$C$3999&gt;=jul!T$3)),lentry!$D$3:$D$3999),IF(WEEKDAY(jul!T$3,1)=1,"WO","P"))</f>
        <v>P</v>
      </c>
      <c r="U32" s="4" t="str">
        <f>IFERROR(LOOKUP(2,1/((lentry!$A$3:$A$3999=jul!$A32)*(lentry!$B$3:$B$3999&lt;=jul!U$3)*(lentry!$C$3:$C$3999&gt;=jul!U$3)),lentry!$D$3:$D$3999),IF(WEEKDAY(jul!U$3,1)=1,"WO","P"))</f>
        <v>P</v>
      </c>
      <c r="V32" s="4" t="str">
        <f>IFERROR(LOOKUP(2,1/((lentry!$A$3:$A$3999=jul!$A32)*(lentry!$B$3:$B$3999&lt;=jul!V$3)*(lentry!$C$3:$C$3999&gt;=jul!V$3)),lentry!$D$3:$D$3999),IF(WEEKDAY(jul!V$3,1)=1,"WO","P"))</f>
        <v>P</v>
      </c>
      <c r="W32" s="4" t="str">
        <f>IFERROR(LOOKUP(2,1/((lentry!$A$3:$A$3999=jul!$A32)*(lentry!$B$3:$B$3999&lt;=jul!W$3)*(lentry!$C$3:$C$3999&gt;=jul!W$3)),lentry!$D$3:$D$3999),IF(WEEKDAY(jul!W$3,1)=1,"WO","P"))</f>
        <v>P</v>
      </c>
      <c r="X32" s="4" t="str">
        <f>IFERROR(LOOKUP(2,1/((lentry!$A$3:$A$3999=jul!$A32)*(lentry!$B$3:$B$3999&lt;=jul!X$3)*(lentry!$C$3:$C$3999&gt;=jul!X$3)),lentry!$D$3:$D$3999),IF(WEEKDAY(jul!X$3,1)=1,"WO","P"))</f>
        <v>WO</v>
      </c>
      <c r="Y32" s="4" t="str">
        <f>IFERROR(LOOKUP(2,1/((lentry!$A$3:$A$3999=jul!$A32)*(lentry!$B$3:$B$3999&lt;=jul!Y$3)*(lentry!$C$3:$C$3999&gt;=jul!Y$3)),lentry!$D$3:$D$3999),IF(WEEKDAY(jul!Y$3,1)=1,"WO","P"))</f>
        <v>P</v>
      </c>
      <c r="Z32" s="4" t="s">
        <v>539</v>
      </c>
      <c r="AA32" s="4" t="str">
        <f>IFERROR(LOOKUP(2,1/((lentry!$A$3:$A$3999=jul!$A32)*(lentry!$B$3:$B$3999&lt;=jul!AA$3)*(lentry!$C$3:$C$3999&gt;=jul!AA$3)),lentry!$D$3:$D$3999),IF(WEEKDAY(jul!AA$3,1)=1,"WO","P"))</f>
        <v>P</v>
      </c>
      <c r="AB32" s="4" t="str">
        <f>IFERROR(LOOKUP(2,1/((lentry!$A$3:$A$3999=jul!$A32)*(lentry!$B$3:$B$3999&lt;=jul!AB$3)*(lentry!$C$3:$C$3999&gt;=jul!AB$3)),lentry!$D$3:$D$3999),IF(WEEKDAY(jul!AB$3,1)=1,"WO","P"))</f>
        <v>P</v>
      </c>
      <c r="AC32" s="4" t="str">
        <f>IFERROR(LOOKUP(2,1/((lentry!$A$3:$A$3999=jul!$A32)*(lentry!$B$3:$B$3999&lt;=jul!AC$3)*(lentry!$C$3:$C$3999&gt;=jul!AC$3)),lentry!$D$3:$D$3999),IF(WEEKDAY(jul!AC$3,1)=1,"WO","P"))</f>
        <v>P</v>
      </c>
      <c r="AD32" s="4" t="str">
        <f>IFERROR(LOOKUP(2,1/((lentry!$A$3:$A$3999=jul!$A32)*(lentry!$B$3:$B$3999&lt;=jul!AD$3)*(lentry!$C$3:$C$3999&gt;=jul!AD$3)),lentry!$D$3:$D$3999),IF(WEEKDAY(jul!AD$3,1)=1,"WO","P"))</f>
        <v>P</v>
      </c>
      <c r="AE32" s="4" t="str">
        <f>IFERROR(LOOKUP(2,1/((lentry!$A$3:$A$3999=jul!$A32)*(lentry!$B$3:$B$3999&lt;=jul!AE$3)*(lentry!$C$3:$C$3999&gt;=jul!AE$3)),lentry!$D$3:$D$3999),IF(WEEKDAY(jul!AE$3,1)=1,"WO","P"))</f>
        <v>WO</v>
      </c>
      <c r="AF32" s="4" t="str">
        <f>IFERROR(LOOKUP(2,1/((lentry!$A$3:$A$3999=jul!$A32)*(lentry!$B$3:$B$3999&lt;=jul!AF$3)*(lentry!$C$3:$C$3999&gt;=jul!AF$3)),lentry!$D$3:$D$3999),IF(WEEKDAY(jul!AF$3,1)=1,"WO","P"))</f>
        <v>P</v>
      </c>
      <c r="AG32" s="4" t="str">
        <f>IFERROR(LOOKUP(2,1/((lentry!$A$3:$A$3999=jul!$A32)*(lentry!$B$3:$B$3999&lt;=jul!AG$3)*(lentry!$C$3:$C$3999&gt;=jul!AG$3)),lentry!$D$3:$D$3999),IF(WEEKDAY(jul!AG$3,1)=1,"WO","P"))</f>
        <v>P</v>
      </c>
      <c r="AH32" s="4" t="str">
        <f>IFERROR(LOOKUP(2,1/((lentry!$A$3:$A$3999=jul!$A32)*(lentry!$B$3:$B$3999&lt;=jul!AH$3)*(lentry!$C$3:$C$3999&gt;=jul!AH$3)),lentry!$D$3:$D$3999),IF(WEEKDAY(jul!AH$3,1)=1,"WO","P"))</f>
        <v>P</v>
      </c>
      <c r="AI32" s="4" t="str">
        <f>IFERROR(LOOKUP(2,1/((lentry!$A$3:$A$3999=jul!$A32)*(lentry!$B$3:$B$3999&lt;=jul!AI$3)*(lentry!$C$3:$C$3999&gt;=jul!AI$3)),lentry!$D$3:$D$3999),IF(WEEKDAY(jul!AI$3,1)=1,"WO","P"))</f>
        <v>P</v>
      </c>
      <c r="AJ32" s="4" t="str">
        <f>IFERROR(LOOKUP(2,1/((lentry!$A$3:$A$3999=jul!$A32)*(lentry!$B$3:$B$3999&lt;=jul!AJ$3)*(lentry!$C$3:$C$3999&gt;=jul!AJ$3)),lentry!$D$3:$D$3999),IF(WEEKDAY(jul!AJ$3,1)=1,"WO","P"))</f>
        <v>P</v>
      </c>
      <c r="AK32" s="4">
        <f>COUNTIF(jul!$F32:$AJ32,"WO")</f>
        <v>4</v>
      </c>
      <c r="AL32" s="4">
        <f>COUNTIF(jul!$F32:$AJ32,"H")</f>
        <v>0</v>
      </c>
      <c r="AM32" s="4">
        <f>COUNTIF(jul!$F32:$AJ32,"pl")</f>
        <v>0</v>
      </c>
      <c r="AN32" s="4">
        <f>COUNTIF(jul!$F32:$AJ32,"LWP")</f>
        <v>0</v>
      </c>
      <c r="AO32" s="4">
        <f>COUNTIF(jul!$F32:$AJ32,"HD")</f>
        <v>0</v>
      </c>
      <c r="AP32" s="4">
        <f>COUNTIF(jul!$F32:$AJ32,"SL")</f>
        <v>0</v>
      </c>
      <c r="AQ32" s="4">
        <f>COUNTIF(jul!$F32:$AJ32,"CL")</f>
        <v>0</v>
      </c>
      <c r="AR32" s="4">
        <f>COUNTIF(jul!$F32:$AJ32,"A")</f>
        <v>1</v>
      </c>
      <c r="AS32" s="4">
        <f>COUNTIF(jul!$F32:$AJ32,"P")</f>
        <v>26</v>
      </c>
      <c r="AT32" s="4">
        <f t="shared" si="2"/>
        <v>31</v>
      </c>
      <c r="AU32" s="4">
        <f t="shared" si="3"/>
        <v>30</v>
      </c>
      <c r="AV32" s="4">
        <f>SUMIFS(holly!$L$2:$L$122,holly!$I$2:$I$122,mar!$A32,holly!$K$2:$K$122,"Mar")</f>
        <v>0</v>
      </c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</row>
    <row r="33" spans="1:80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IFERROR(LOOKUP(2,1/((lentry!$A$3:$A$3999=jul!$A33)*(lentry!$B$3:$B$3999&lt;=jul!F$3)*(lentry!$C$3:$C$3999&gt;=jul!F$3)),lentry!$D$3:$D$3999),IF(WEEKDAY(jul!F$3,1)=1,"WO","P"))</f>
        <v>P</v>
      </c>
      <c r="G33" s="4" t="str">
        <f>IFERROR(LOOKUP(2,1/((lentry!$A$3:$A$3999=jul!$A33)*(lentry!$B$3:$B$3999&lt;=jul!G$3)*(lentry!$C$3:$C$3999&gt;=jul!G$3)),lentry!$D$3:$D$3999),IF(WEEKDAY(jul!G$3,1)=1,"WO","P"))</f>
        <v>P</v>
      </c>
      <c r="H33" s="4" t="str">
        <f>IFERROR(LOOKUP(2,1/((lentry!$A$3:$A$3999=jul!$A33)*(lentry!$B$3:$B$3999&lt;=jul!H$3)*(lentry!$C$3:$C$3999&gt;=jul!H$3)),lentry!$D$3:$D$3999),IF(WEEKDAY(jul!H$3,1)=1,"WO","P"))</f>
        <v>P</v>
      </c>
      <c r="I33" s="4" t="str">
        <f>IFERROR(LOOKUP(2,1/((lentry!$A$3:$A$3999=jul!$A33)*(lentry!$B$3:$B$3999&lt;=jul!I$3)*(lentry!$C$3:$C$3999&gt;=jul!I$3)),lentry!$D$3:$D$3999),IF(WEEKDAY(jul!I$3,1)=1,"WO","P"))</f>
        <v>P</v>
      </c>
      <c r="J33" s="4" t="str">
        <f>IFERROR(LOOKUP(2,1/((lentry!$A$3:$A$3999=jul!$A33)*(lentry!$B$3:$B$3999&lt;=jul!J$3)*(lentry!$C$3:$C$3999&gt;=jul!J$3)),lentry!$D$3:$D$3999),IF(WEEKDAY(jul!J$3,1)=1,"WO","P"))</f>
        <v>WO</v>
      </c>
      <c r="K33" s="4" t="str">
        <f>IFERROR(LOOKUP(2,1/((lentry!$A$3:$A$3999=jul!$A33)*(lentry!$B$3:$B$3999&lt;=jul!K$3)*(lentry!$C$3:$C$3999&gt;=jul!K$3)),lentry!$D$3:$D$3999),IF(WEEKDAY(jul!K$3,1)=1,"WO","P"))</f>
        <v>P</v>
      </c>
      <c r="L33" s="4" t="str">
        <f>IFERROR(LOOKUP(2,1/((lentry!$A$3:$A$3999=jul!$A33)*(lentry!$B$3:$B$3999&lt;=jul!L$3)*(lentry!$C$3:$C$3999&gt;=jul!L$3)),lentry!$D$3:$D$3999),IF(WEEKDAY(jul!L$3,1)=1,"WO","P"))</f>
        <v>P</v>
      </c>
      <c r="M33" s="4" t="str">
        <f>IFERROR(LOOKUP(2,1/((lentry!$A$3:$A$3999=jul!$A33)*(lentry!$B$3:$B$3999&lt;=jul!M$3)*(lentry!$C$3:$C$3999&gt;=jul!M$3)),lentry!$D$3:$D$3999),IF(WEEKDAY(jul!M$3,1)=1,"WO","P"))</f>
        <v>P</v>
      </c>
      <c r="N33" s="4" t="str">
        <f>IFERROR(LOOKUP(2,1/((lentry!$A$3:$A$3999=jul!$A33)*(lentry!$B$3:$B$3999&lt;=jul!N$3)*(lentry!$C$3:$C$3999&gt;=jul!N$3)),lentry!$D$3:$D$3999),IF(WEEKDAY(jul!N$3,1)=1,"WO","P"))</f>
        <v>P</v>
      </c>
      <c r="O33" s="4" t="s">
        <v>539</v>
      </c>
      <c r="P33" s="4" t="str">
        <f>IFERROR(LOOKUP(2,1/((lentry!$A$3:$A$3999=jul!$A33)*(lentry!$B$3:$B$3999&lt;=jul!P$3)*(lentry!$C$3:$C$3999&gt;=jul!P$3)),lentry!$D$3:$D$3999),IF(WEEKDAY(jul!P$3,1)=1,"WO","P"))</f>
        <v>P</v>
      </c>
      <c r="Q33" s="4" t="str">
        <f>IFERROR(LOOKUP(2,1/((lentry!$A$3:$A$3999=jul!$A33)*(lentry!$B$3:$B$3999&lt;=jul!Q$3)*(lentry!$C$3:$C$3999&gt;=jul!Q$3)),lentry!$D$3:$D$3999),IF(WEEKDAY(jul!Q$3,1)=1,"WO","P"))</f>
        <v>WO</v>
      </c>
      <c r="R33" s="4" t="str">
        <f>IFERROR(LOOKUP(2,1/((lentry!$A$3:$A$3999=jul!$A33)*(lentry!$B$3:$B$3999&lt;=jul!R$3)*(lentry!$C$3:$C$3999&gt;=jul!R$3)),lentry!$D$3:$D$3999),IF(WEEKDAY(jul!R$3,1)=1,"WO","P"))</f>
        <v>P</v>
      </c>
      <c r="S33" s="4" t="str">
        <f>IFERROR(LOOKUP(2,1/((lentry!$A$3:$A$3999=jul!$A33)*(lentry!$B$3:$B$3999&lt;=jul!S$3)*(lentry!$C$3:$C$3999&gt;=jul!S$3)),lentry!$D$3:$D$3999),IF(WEEKDAY(jul!S$3,1)=1,"WO","P"))</f>
        <v>P</v>
      </c>
      <c r="T33" s="4" t="str">
        <f>IFERROR(LOOKUP(2,1/((lentry!$A$3:$A$3999=jul!$A33)*(lentry!$B$3:$B$3999&lt;=jul!T$3)*(lentry!$C$3:$C$3999&gt;=jul!T$3)),lentry!$D$3:$D$3999),IF(WEEKDAY(jul!T$3,1)=1,"WO","P"))</f>
        <v>P</v>
      </c>
      <c r="U33" s="4" t="str">
        <f>IFERROR(LOOKUP(2,1/((lentry!$A$3:$A$3999=jul!$A33)*(lentry!$B$3:$B$3999&lt;=jul!U$3)*(lentry!$C$3:$C$3999&gt;=jul!U$3)),lentry!$D$3:$D$3999),IF(WEEKDAY(jul!U$3,1)=1,"WO","P"))</f>
        <v>P</v>
      </c>
      <c r="V33" s="4" t="str">
        <f>IFERROR(LOOKUP(2,1/((lentry!$A$3:$A$3999=jul!$A33)*(lentry!$B$3:$B$3999&lt;=jul!V$3)*(lentry!$C$3:$C$3999&gt;=jul!V$3)),lentry!$D$3:$D$3999),IF(WEEKDAY(jul!V$3,1)=1,"WO","P"))</f>
        <v>P</v>
      </c>
      <c r="W33" s="4" t="str">
        <f>IFERROR(LOOKUP(2,1/((lentry!$A$3:$A$3999=jul!$A33)*(lentry!$B$3:$B$3999&lt;=jul!W$3)*(lentry!$C$3:$C$3999&gt;=jul!W$3)),lentry!$D$3:$D$3999),IF(WEEKDAY(jul!W$3,1)=1,"WO","P"))</f>
        <v>P</v>
      </c>
      <c r="X33" s="4" t="str">
        <f>IFERROR(LOOKUP(2,1/((lentry!$A$3:$A$3999=jul!$A33)*(lentry!$B$3:$B$3999&lt;=jul!X$3)*(lentry!$C$3:$C$3999&gt;=jul!X$3)),lentry!$D$3:$D$3999),IF(WEEKDAY(jul!X$3,1)=1,"WO","P"))</f>
        <v>WO</v>
      </c>
      <c r="Y33" s="4" t="str">
        <f>IFERROR(LOOKUP(2,1/((lentry!$A$3:$A$3999=jul!$A33)*(lentry!$B$3:$B$3999&lt;=jul!Y$3)*(lentry!$C$3:$C$3999&gt;=jul!Y$3)),lentry!$D$3:$D$3999),IF(WEEKDAY(jul!Y$3,1)=1,"WO","P"))</f>
        <v>P</v>
      </c>
      <c r="Z33" s="4" t="str">
        <f>IFERROR(LOOKUP(2,1/((lentry!$A$3:$A$3999=jul!$A33)*(lentry!$B$3:$B$3999&lt;=jul!Z$3)*(lentry!$C$3:$C$3999&gt;=jul!Z$3)),lentry!$D$3:$D$3999),IF(WEEKDAY(jul!Z$3,1)=1,"WO","P"))</f>
        <v>P</v>
      </c>
      <c r="AA33" s="4" t="str">
        <f>IFERROR(LOOKUP(2,1/((lentry!$A$3:$A$3999=jul!$A33)*(lentry!$B$3:$B$3999&lt;=jul!AA$3)*(lentry!$C$3:$C$3999&gt;=jul!AA$3)),lentry!$D$3:$D$3999),IF(WEEKDAY(jul!AA$3,1)=1,"WO","P"))</f>
        <v>P</v>
      </c>
      <c r="AB33" s="4" t="str">
        <f>IFERROR(LOOKUP(2,1/((lentry!$A$3:$A$3999=jul!$A33)*(lentry!$B$3:$B$3999&lt;=jul!AB$3)*(lentry!$C$3:$C$3999&gt;=jul!AB$3)),lentry!$D$3:$D$3999),IF(WEEKDAY(jul!AB$3,1)=1,"WO","P"))</f>
        <v>P</v>
      </c>
      <c r="AC33" s="4" t="str">
        <f>IFERROR(LOOKUP(2,1/((lentry!$A$3:$A$3999=jul!$A33)*(lentry!$B$3:$B$3999&lt;=jul!AC$3)*(lentry!$C$3:$C$3999&gt;=jul!AC$3)),lentry!$D$3:$D$3999),IF(WEEKDAY(jul!AC$3,1)=1,"WO","P"))</f>
        <v>P</v>
      </c>
      <c r="AD33" s="4" t="str">
        <f>IFERROR(LOOKUP(2,1/((lentry!$A$3:$A$3999=jul!$A33)*(lentry!$B$3:$B$3999&lt;=jul!AD$3)*(lentry!$C$3:$C$3999&gt;=jul!AD$3)),lentry!$D$3:$D$3999),IF(WEEKDAY(jul!AD$3,1)=1,"WO","P"))</f>
        <v>P</v>
      </c>
      <c r="AE33" s="4" t="str">
        <f>IFERROR(LOOKUP(2,1/((lentry!$A$3:$A$3999=jul!$A33)*(lentry!$B$3:$B$3999&lt;=jul!AE$3)*(lentry!$C$3:$C$3999&gt;=jul!AE$3)),lentry!$D$3:$D$3999),IF(WEEKDAY(jul!AE$3,1)=1,"WO","P"))</f>
        <v>WO</v>
      </c>
      <c r="AF33" s="4" t="str">
        <f>IFERROR(LOOKUP(2,1/((lentry!$A$3:$A$3999=jul!$A33)*(lentry!$B$3:$B$3999&lt;=jul!AF$3)*(lentry!$C$3:$C$3999&gt;=jul!AF$3)),lentry!$D$3:$D$3999),IF(WEEKDAY(jul!AF$3,1)=1,"WO","P"))</f>
        <v>P</v>
      </c>
      <c r="AG33" s="4" t="str">
        <f>IFERROR(LOOKUP(2,1/((lentry!$A$3:$A$3999=jul!$A33)*(lentry!$B$3:$B$3999&lt;=jul!AG$3)*(lentry!$C$3:$C$3999&gt;=jul!AG$3)),lentry!$D$3:$D$3999),IF(WEEKDAY(jul!AG$3,1)=1,"WO","P"))</f>
        <v>P</v>
      </c>
      <c r="AH33" s="4" t="str">
        <f>IFERROR(LOOKUP(2,1/((lentry!$A$3:$A$3999=jul!$A33)*(lentry!$B$3:$B$3999&lt;=jul!AH$3)*(lentry!$C$3:$C$3999&gt;=jul!AH$3)),lentry!$D$3:$D$3999),IF(WEEKDAY(jul!AH$3,1)=1,"WO","P"))</f>
        <v>P</v>
      </c>
      <c r="AI33" s="4" t="str">
        <f>IFERROR(LOOKUP(2,1/((lentry!$A$3:$A$3999=jul!$A33)*(lentry!$B$3:$B$3999&lt;=jul!AI$3)*(lentry!$C$3:$C$3999&gt;=jul!AI$3)),lentry!$D$3:$D$3999),IF(WEEKDAY(jul!AI$3,1)=1,"WO","P"))</f>
        <v>P</v>
      </c>
      <c r="AJ33" s="4" t="str">
        <f>IFERROR(LOOKUP(2,1/((lentry!$A$3:$A$3999=jul!$A33)*(lentry!$B$3:$B$3999&lt;=jul!AJ$3)*(lentry!$C$3:$C$3999&gt;=jul!AJ$3)),lentry!$D$3:$D$3999),IF(WEEKDAY(jul!AJ$3,1)=1,"WO","P"))</f>
        <v>P</v>
      </c>
      <c r="AK33" s="4">
        <f>COUNTIF(jul!$F33:$AJ33,"WO")</f>
        <v>4</v>
      </c>
      <c r="AL33" s="4">
        <f>COUNTIF(jul!$F33:$AJ33,"H")</f>
        <v>0</v>
      </c>
      <c r="AM33" s="4">
        <f>COUNTIF(jul!$F33:$AJ33,"pl")</f>
        <v>0</v>
      </c>
      <c r="AN33" s="4">
        <f>COUNTIF(jul!$F33:$AJ33,"LWP")</f>
        <v>0</v>
      </c>
      <c r="AO33" s="4">
        <f>COUNTIF(jul!$F33:$AJ33,"HD")</f>
        <v>0</v>
      </c>
      <c r="AP33" s="4">
        <f>COUNTIF(jul!$F33:$AJ33,"SL")</f>
        <v>0</v>
      </c>
      <c r="AQ33" s="4">
        <f>COUNTIF(jul!$F33:$AJ33,"CL")</f>
        <v>0</v>
      </c>
      <c r="AR33" s="4">
        <f>COUNTIF(jul!$F33:$AJ33,"A")</f>
        <v>1</v>
      </c>
      <c r="AS33" s="4">
        <f>COUNTIF(jul!$F33:$AJ33,"P")</f>
        <v>26</v>
      </c>
      <c r="AT33" s="4">
        <f t="shared" si="2"/>
        <v>31</v>
      </c>
      <c r="AU33" s="4">
        <f t="shared" si="3"/>
        <v>30</v>
      </c>
      <c r="AV33" s="4">
        <f>SUMIFS(holly!$L$2:$L$122,holly!$I$2:$I$122,mar!$A33,holly!$K$2:$K$122,"Mar")</f>
        <v>5</v>
      </c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</row>
    <row r="34" spans="1:80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IFERROR(LOOKUP(2,1/((lentry!$A$3:$A$3999=jul!$A34)*(lentry!$B$3:$B$3999&lt;=jul!F$3)*(lentry!$C$3:$C$3999&gt;=jul!F$3)),lentry!$D$3:$D$3999),IF(WEEKDAY(jul!F$3,1)=1,"WO","P"))</f>
        <v>P</v>
      </c>
      <c r="G34" s="4" t="str">
        <f>IFERROR(LOOKUP(2,1/((lentry!$A$3:$A$3999=jul!$A34)*(lentry!$B$3:$B$3999&lt;=jul!G$3)*(lentry!$C$3:$C$3999&gt;=jul!G$3)),lentry!$D$3:$D$3999),IF(WEEKDAY(jul!G$3,1)=1,"WO","P"))</f>
        <v>P</v>
      </c>
      <c r="H34" s="4" t="str">
        <f>IFERROR(LOOKUP(2,1/((lentry!$A$3:$A$3999=jul!$A34)*(lentry!$B$3:$B$3999&lt;=jul!H$3)*(lentry!$C$3:$C$3999&gt;=jul!H$3)),lentry!$D$3:$D$3999),IF(WEEKDAY(jul!H$3,1)=1,"WO","P"))</f>
        <v>P</v>
      </c>
      <c r="I34" s="4" t="str">
        <f>IFERROR(LOOKUP(2,1/((lentry!$A$3:$A$3999=jul!$A34)*(lentry!$B$3:$B$3999&lt;=jul!I$3)*(lentry!$C$3:$C$3999&gt;=jul!I$3)),lentry!$D$3:$D$3999),IF(WEEKDAY(jul!I$3,1)=1,"WO","P"))</f>
        <v>P</v>
      </c>
      <c r="J34" s="4" t="str">
        <f>IFERROR(LOOKUP(2,1/((lentry!$A$3:$A$3999=jul!$A34)*(lentry!$B$3:$B$3999&lt;=jul!J$3)*(lentry!$C$3:$C$3999&gt;=jul!J$3)),lentry!$D$3:$D$3999),IF(WEEKDAY(jul!J$3,1)=1,"WO","P"))</f>
        <v>WO</v>
      </c>
      <c r="K34" s="4" t="str">
        <f>IFERROR(LOOKUP(2,1/((lentry!$A$3:$A$3999=jul!$A34)*(lentry!$B$3:$B$3999&lt;=jul!K$3)*(lentry!$C$3:$C$3999&gt;=jul!K$3)),lentry!$D$3:$D$3999),IF(WEEKDAY(jul!K$3,1)=1,"WO","P"))</f>
        <v>P</v>
      </c>
      <c r="L34" s="4" t="str">
        <f>IFERROR(LOOKUP(2,1/((lentry!$A$3:$A$3999=jul!$A34)*(lentry!$B$3:$B$3999&lt;=jul!L$3)*(lentry!$C$3:$C$3999&gt;=jul!L$3)),lentry!$D$3:$D$3999),IF(WEEKDAY(jul!L$3,1)=1,"WO","P"))</f>
        <v>P</v>
      </c>
      <c r="M34" s="4" t="str">
        <f>IFERROR(LOOKUP(2,1/((lentry!$A$3:$A$3999=jul!$A34)*(lentry!$B$3:$B$3999&lt;=jul!M$3)*(lentry!$C$3:$C$3999&gt;=jul!M$3)),lentry!$D$3:$D$3999),IF(WEEKDAY(jul!M$3,1)=1,"WO","P"))</f>
        <v>P</v>
      </c>
      <c r="N34" s="4" t="str">
        <f>IFERROR(LOOKUP(2,1/((lentry!$A$3:$A$3999=jul!$A34)*(lentry!$B$3:$B$3999&lt;=jul!N$3)*(lentry!$C$3:$C$3999&gt;=jul!N$3)),lentry!$D$3:$D$3999),IF(WEEKDAY(jul!N$3,1)=1,"WO","P"))</f>
        <v>P</v>
      </c>
      <c r="O34" s="4" t="str">
        <f>IFERROR(LOOKUP(2,1/((lentry!$A$3:$A$3999=jul!$A34)*(lentry!$B$3:$B$3999&lt;=jul!O$3)*(lentry!$C$3:$C$3999&gt;=jul!O$3)),lentry!$D$3:$D$3999),IF(WEEKDAY(jul!O$3,1)=1,"WO","P"))</f>
        <v>P</v>
      </c>
      <c r="P34" s="4" t="str">
        <f>IFERROR(LOOKUP(2,1/((lentry!$A$3:$A$3999=jul!$A34)*(lentry!$B$3:$B$3999&lt;=jul!P$3)*(lentry!$C$3:$C$3999&gt;=jul!P$3)),lentry!$D$3:$D$3999),IF(WEEKDAY(jul!P$3,1)=1,"WO","P"))</f>
        <v>P</v>
      </c>
      <c r="Q34" s="4" t="str">
        <f>IFERROR(LOOKUP(2,1/((lentry!$A$3:$A$3999=jul!$A34)*(lentry!$B$3:$B$3999&lt;=jul!Q$3)*(lentry!$C$3:$C$3999&gt;=jul!Q$3)),lentry!$D$3:$D$3999),IF(WEEKDAY(jul!Q$3,1)=1,"WO","P"))</f>
        <v>WO</v>
      </c>
      <c r="R34" s="4" t="str">
        <f>IFERROR(LOOKUP(2,1/((lentry!$A$3:$A$3999=jul!$A34)*(lentry!$B$3:$B$3999&lt;=jul!R$3)*(lentry!$C$3:$C$3999&gt;=jul!R$3)),lentry!$D$3:$D$3999),IF(WEEKDAY(jul!R$3,1)=1,"WO","P"))</f>
        <v>P</v>
      </c>
      <c r="S34" s="4" t="str">
        <f>IFERROR(LOOKUP(2,1/((lentry!$A$3:$A$3999=jul!$A34)*(lentry!$B$3:$B$3999&lt;=jul!S$3)*(lentry!$C$3:$C$3999&gt;=jul!S$3)),lentry!$D$3:$D$3999),IF(WEEKDAY(jul!S$3,1)=1,"WO","P"))</f>
        <v>P</v>
      </c>
      <c r="T34" s="4" t="str">
        <f>IFERROR(LOOKUP(2,1/((lentry!$A$3:$A$3999=jul!$A34)*(lentry!$B$3:$B$3999&lt;=jul!T$3)*(lentry!$C$3:$C$3999&gt;=jul!T$3)),lentry!$D$3:$D$3999),IF(WEEKDAY(jul!T$3,1)=1,"WO","P"))</f>
        <v>P</v>
      </c>
      <c r="U34" s="4" t="str">
        <f>IFERROR(LOOKUP(2,1/((lentry!$A$3:$A$3999=jul!$A34)*(lentry!$B$3:$B$3999&lt;=jul!U$3)*(lentry!$C$3:$C$3999&gt;=jul!U$3)),lentry!$D$3:$D$3999),IF(WEEKDAY(jul!U$3,1)=1,"WO","P"))</f>
        <v>P</v>
      </c>
      <c r="V34" s="4" t="str">
        <f>IFERROR(LOOKUP(2,1/((lentry!$A$3:$A$3999=jul!$A34)*(lentry!$B$3:$B$3999&lt;=jul!V$3)*(lentry!$C$3:$C$3999&gt;=jul!V$3)),lentry!$D$3:$D$3999),IF(WEEKDAY(jul!V$3,1)=1,"WO","P"))</f>
        <v>P</v>
      </c>
      <c r="W34" s="4" t="str">
        <f>IFERROR(LOOKUP(2,1/((lentry!$A$3:$A$3999=jul!$A34)*(lentry!$B$3:$B$3999&lt;=jul!W$3)*(lentry!$C$3:$C$3999&gt;=jul!W$3)),lentry!$D$3:$D$3999),IF(WEEKDAY(jul!W$3,1)=1,"WO","P"))</f>
        <v>P</v>
      </c>
      <c r="X34" s="4" t="str">
        <f>IFERROR(LOOKUP(2,1/((lentry!$A$3:$A$3999=jul!$A34)*(lentry!$B$3:$B$3999&lt;=jul!X$3)*(lentry!$C$3:$C$3999&gt;=jul!X$3)),lentry!$D$3:$D$3999),IF(WEEKDAY(jul!X$3,1)=1,"WO","P"))</f>
        <v>WO</v>
      </c>
      <c r="Y34" s="4" t="str">
        <f>IFERROR(LOOKUP(2,1/((lentry!$A$3:$A$3999=jul!$A34)*(lentry!$B$3:$B$3999&lt;=jul!Y$3)*(lentry!$C$3:$C$3999&gt;=jul!Y$3)),lentry!$D$3:$D$3999),IF(WEEKDAY(jul!Y$3,1)=1,"WO","P"))</f>
        <v>P</v>
      </c>
      <c r="Z34" s="4" t="str">
        <f>IFERROR(LOOKUP(2,1/((lentry!$A$3:$A$3999=jul!$A34)*(lentry!$B$3:$B$3999&lt;=jul!Z$3)*(lentry!$C$3:$C$3999&gt;=jul!Z$3)),lentry!$D$3:$D$3999),IF(WEEKDAY(jul!Z$3,1)=1,"WO","P"))</f>
        <v>P</v>
      </c>
      <c r="AA34" s="4" t="str">
        <f>IFERROR(LOOKUP(2,1/((lentry!$A$3:$A$3999=jul!$A34)*(lentry!$B$3:$B$3999&lt;=jul!AA$3)*(lentry!$C$3:$C$3999&gt;=jul!AA$3)),lentry!$D$3:$D$3999),IF(WEEKDAY(jul!AA$3,1)=1,"WO","P"))</f>
        <v>P</v>
      </c>
      <c r="AB34" s="4" t="str">
        <f>IFERROR(LOOKUP(2,1/((lentry!$A$3:$A$3999=jul!$A34)*(lentry!$B$3:$B$3999&lt;=jul!AB$3)*(lentry!$C$3:$C$3999&gt;=jul!AB$3)),lentry!$D$3:$D$3999),IF(WEEKDAY(jul!AB$3,1)=1,"WO","P"))</f>
        <v>P</v>
      </c>
      <c r="AC34" s="4" t="str">
        <f>IFERROR(LOOKUP(2,1/((lentry!$A$3:$A$3999=jul!$A34)*(lentry!$B$3:$B$3999&lt;=jul!AC$3)*(lentry!$C$3:$C$3999&gt;=jul!AC$3)),lentry!$D$3:$D$3999),IF(WEEKDAY(jul!AC$3,1)=1,"WO","P"))</f>
        <v>P</v>
      </c>
      <c r="AD34" s="4" t="str">
        <f>IFERROR(LOOKUP(2,1/((lentry!$A$3:$A$3999=jul!$A34)*(lentry!$B$3:$B$3999&lt;=jul!AD$3)*(lentry!$C$3:$C$3999&gt;=jul!AD$3)),lentry!$D$3:$D$3999),IF(WEEKDAY(jul!AD$3,1)=1,"WO","P"))</f>
        <v>P</v>
      </c>
      <c r="AE34" s="4" t="str">
        <f>IFERROR(LOOKUP(2,1/((lentry!$A$3:$A$3999=jul!$A34)*(lentry!$B$3:$B$3999&lt;=jul!AE$3)*(lentry!$C$3:$C$3999&gt;=jul!AE$3)),lentry!$D$3:$D$3999),IF(WEEKDAY(jul!AE$3,1)=1,"WO","P"))</f>
        <v>WO</v>
      </c>
      <c r="AF34" s="4" t="str">
        <f>IFERROR(LOOKUP(2,1/((lentry!$A$3:$A$3999=jul!$A34)*(lentry!$B$3:$B$3999&lt;=jul!AF$3)*(lentry!$C$3:$C$3999&gt;=jul!AF$3)),lentry!$D$3:$D$3999),IF(WEEKDAY(jul!AF$3,1)=1,"WO","P"))</f>
        <v>P</v>
      </c>
      <c r="AG34" s="4" t="str">
        <f>IFERROR(LOOKUP(2,1/((lentry!$A$3:$A$3999=jul!$A34)*(lentry!$B$3:$B$3999&lt;=jul!AG$3)*(lentry!$C$3:$C$3999&gt;=jul!AG$3)),lentry!$D$3:$D$3999),IF(WEEKDAY(jul!AG$3,1)=1,"WO","P"))</f>
        <v>P</v>
      </c>
      <c r="AH34" s="4" t="str">
        <f>IFERROR(LOOKUP(2,1/((lentry!$A$3:$A$3999=jul!$A34)*(lentry!$B$3:$B$3999&lt;=jul!AH$3)*(lentry!$C$3:$C$3999&gt;=jul!AH$3)),lentry!$D$3:$D$3999),IF(WEEKDAY(jul!AH$3,1)=1,"WO","P"))</f>
        <v>P</v>
      </c>
      <c r="AI34" s="4" t="str">
        <f>IFERROR(LOOKUP(2,1/((lentry!$A$3:$A$3999=jul!$A34)*(lentry!$B$3:$B$3999&lt;=jul!AI$3)*(lentry!$C$3:$C$3999&gt;=jul!AI$3)),lentry!$D$3:$D$3999),IF(WEEKDAY(jul!AI$3,1)=1,"WO","P"))</f>
        <v>P</v>
      </c>
      <c r="AJ34" s="4" t="str">
        <f>IFERROR(LOOKUP(2,1/((lentry!$A$3:$A$3999=jul!$A34)*(lentry!$B$3:$B$3999&lt;=jul!AJ$3)*(lentry!$C$3:$C$3999&gt;=jul!AJ$3)),lentry!$D$3:$D$3999),IF(WEEKDAY(jul!AJ$3,1)=1,"WO","P"))</f>
        <v>P</v>
      </c>
      <c r="AK34" s="4">
        <f>COUNTIF(jul!$F34:$AJ34,"WO")</f>
        <v>4</v>
      </c>
      <c r="AL34" s="4">
        <f>COUNTIF(jul!$F34:$AJ34,"H")</f>
        <v>0</v>
      </c>
      <c r="AM34" s="4">
        <f>COUNTIF(jul!$F34:$AJ34,"pl")</f>
        <v>0</v>
      </c>
      <c r="AN34" s="4">
        <f>COUNTIF(jul!$F34:$AJ34,"LWP")</f>
        <v>0</v>
      </c>
      <c r="AO34" s="4">
        <f>COUNTIF(jul!$F34:$AJ34,"HD")</f>
        <v>0</v>
      </c>
      <c r="AP34" s="4">
        <f>COUNTIF(jul!$F34:$AJ34,"SL")</f>
        <v>0</v>
      </c>
      <c r="AQ34" s="4">
        <f>COUNTIF(jul!$F34:$AJ34,"CL")</f>
        <v>0</v>
      </c>
      <c r="AR34" s="4">
        <f>COUNTIF(jul!$F34:$AJ34,"A")</f>
        <v>0</v>
      </c>
      <c r="AS34" s="4">
        <f>COUNTIF(jul!$F34:$AJ34,"P")</f>
        <v>27</v>
      </c>
      <c r="AT34" s="4">
        <f t="shared" si="2"/>
        <v>31</v>
      </c>
      <c r="AU34" s="4">
        <f t="shared" si="3"/>
        <v>31</v>
      </c>
      <c r="AV34" s="4">
        <f>SUMIFS(holly!$L$2:$L$122,holly!$I$2:$I$122,mar!$A34,holly!$K$2:$K$122,"Mar")</f>
        <v>0</v>
      </c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</row>
    <row r="35" spans="1:80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IFERROR(LOOKUP(2,1/((lentry!$A$3:$A$3999=jul!$A35)*(lentry!$B$3:$B$3999&lt;=jul!F$3)*(lentry!$C$3:$C$3999&gt;=jul!F$3)),lentry!$D$3:$D$3999),IF(WEEKDAY(jul!F$3,1)=1,"WO","P"))</f>
        <v>P</v>
      </c>
      <c r="G35" s="4" t="str">
        <f>IFERROR(LOOKUP(2,1/((lentry!$A$3:$A$3999=jul!$A35)*(lentry!$B$3:$B$3999&lt;=jul!G$3)*(lentry!$C$3:$C$3999&gt;=jul!G$3)),lentry!$D$3:$D$3999),IF(WEEKDAY(jul!G$3,1)=1,"WO","P"))</f>
        <v>P</v>
      </c>
      <c r="H35" s="4" t="s">
        <v>539</v>
      </c>
      <c r="I35" s="4" t="str">
        <f>IFERROR(LOOKUP(2,1/((lentry!$A$3:$A$3999=jul!$A35)*(lentry!$B$3:$B$3999&lt;=jul!I$3)*(lentry!$C$3:$C$3999&gt;=jul!I$3)),lentry!$D$3:$D$3999),IF(WEEKDAY(jul!I$3,1)=1,"WO","P"))</f>
        <v>P</v>
      </c>
      <c r="J35" s="4" t="str">
        <f>IFERROR(LOOKUP(2,1/((lentry!$A$3:$A$3999=jul!$A35)*(lentry!$B$3:$B$3999&lt;=jul!J$3)*(lentry!$C$3:$C$3999&gt;=jul!J$3)),lentry!$D$3:$D$3999),IF(WEEKDAY(jul!J$3,1)=1,"WO","P"))</f>
        <v>WO</v>
      </c>
      <c r="K35" s="4" t="str">
        <f>IFERROR(LOOKUP(2,1/((lentry!$A$3:$A$3999=jul!$A35)*(lentry!$B$3:$B$3999&lt;=jul!K$3)*(lentry!$C$3:$C$3999&gt;=jul!K$3)),lentry!$D$3:$D$3999),IF(WEEKDAY(jul!K$3,1)=1,"WO","P"))</f>
        <v>P</v>
      </c>
      <c r="L35" s="4" t="str">
        <f>IFERROR(LOOKUP(2,1/((lentry!$A$3:$A$3999=jul!$A35)*(lentry!$B$3:$B$3999&lt;=jul!L$3)*(lentry!$C$3:$C$3999&gt;=jul!L$3)),lentry!$D$3:$D$3999),IF(WEEKDAY(jul!L$3,1)=1,"WO","P"))</f>
        <v>P</v>
      </c>
      <c r="M35" s="4" t="str">
        <f>IFERROR(LOOKUP(2,1/((lentry!$A$3:$A$3999=jul!$A35)*(lentry!$B$3:$B$3999&lt;=jul!M$3)*(lentry!$C$3:$C$3999&gt;=jul!M$3)),lentry!$D$3:$D$3999),IF(WEEKDAY(jul!M$3,1)=1,"WO","P"))</f>
        <v>P</v>
      </c>
      <c r="N35" s="4" t="str">
        <f>IFERROR(LOOKUP(2,1/((lentry!$A$3:$A$3999=jul!$A35)*(lentry!$B$3:$B$3999&lt;=jul!N$3)*(lentry!$C$3:$C$3999&gt;=jul!N$3)),lentry!$D$3:$D$3999),IF(WEEKDAY(jul!N$3,1)=1,"WO","P"))</f>
        <v>P</v>
      </c>
      <c r="O35" s="4" t="str">
        <f>IFERROR(LOOKUP(2,1/((lentry!$A$3:$A$3999=jul!$A35)*(lentry!$B$3:$B$3999&lt;=jul!O$3)*(lentry!$C$3:$C$3999&gt;=jul!O$3)),lentry!$D$3:$D$3999),IF(WEEKDAY(jul!O$3,1)=1,"WO","P"))</f>
        <v>P</v>
      </c>
      <c r="P35" s="4" t="str">
        <f>IFERROR(LOOKUP(2,1/((lentry!$A$3:$A$3999=jul!$A35)*(lentry!$B$3:$B$3999&lt;=jul!P$3)*(lentry!$C$3:$C$3999&gt;=jul!P$3)),lentry!$D$3:$D$3999),IF(WEEKDAY(jul!P$3,1)=1,"WO","P"))</f>
        <v>P</v>
      </c>
      <c r="Q35" s="4" t="str">
        <f>IFERROR(LOOKUP(2,1/((lentry!$A$3:$A$3999=jul!$A35)*(lentry!$B$3:$B$3999&lt;=jul!Q$3)*(lentry!$C$3:$C$3999&gt;=jul!Q$3)),lentry!$D$3:$D$3999),IF(WEEKDAY(jul!Q$3,1)=1,"WO","P"))</f>
        <v>WO</v>
      </c>
      <c r="R35" s="4" t="str">
        <f>IFERROR(LOOKUP(2,1/((lentry!$A$3:$A$3999=jul!$A35)*(lentry!$B$3:$B$3999&lt;=jul!R$3)*(lentry!$C$3:$C$3999&gt;=jul!R$3)),lentry!$D$3:$D$3999),IF(WEEKDAY(jul!R$3,1)=1,"WO","P"))</f>
        <v>P</v>
      </c>
      <c r="S35" s="4" t="str">
        <f>IFERROR(LOOKUP(2,1/((lentry!$A$3:$A$3999=jul!$A35)*(lentry!$B$3:$B$3999&lt;=jul!S$3)*(lentry!$C$3:$C$3999&gt;=jul!S$3)),lentry!$D$3:$D$3999),IF(WEEKDAY(jul!S$3,1)=1,"WO","P"))</f>
        <v>P</v>
      </c>
      <c r="T35" s="4" t="str">
        <f>IFERROR(LOOKUP(2,1/((lentry!$A$3:$A$3999=jul!$A35)*(lentry!$B$3:$B$3999&lt;=jul!T$3)*(lentry!$C$3:$C$3999&gt;=jul!T$3)),lentry!$D$3:$D$3999),IF(WEEKDAY(jul!T$3,1)=1,"WO","P"))</f>
        <v>P</v>
      </c>
      <c r="U35" s="4" t="str">
        <f>IFERROR(LOOKUP(2,1/((lentry!$A$3:$A$3999=jul!$A35)*(lentry!$B$3:$B$3999&lt;=jul!U$3)*(lentry!$C$3:$C$3999&gt;=jul!U$3)),lentry!$D$3:$D$3999),IF(WEEKDAY(jul!U$3,1)=1,"WO","P"))</f>
        <v>P</v>
      </c>
      <c r="V35" s="4" t="str">
        <f>IFERROR(LOOKUP(2,1/((lentry!$A$3:$A$3999=jul!$A35)*(lentry!$B$3:$B$3999&lt;=jul!V$3)*(lentry!$C$3:$C$3999&gt;=jul!V$3)),lentry!$D$3:$D$3999),IF(WEEKDAY(jul!V$3,1)=1,"WO","P"))</f>
        <v>P</v>
      </c>
      <c r="W35" s="4" t="str">
        <f>IFERROR(LOOKUP(2,1/((lentry!$A$3:$A$3999=jul!$A35)*(lentry!$B$3:$B$3999&lt;=jul!W$3)*(lentry!$C$3:$C$3999&gt;=jul!W$3)),lentry!$D$3:$D$3999),IF(WEEKDAY(jul!W$3,1)=1,"WO","P"))</f>
        <v>P</v>
      </c>
      <c r="X35" s="4" t="str">
        <f>IFERROR(LOOKUP(2,1/((lentry!$A$3:$A$3999=jul!$A35)*(lentry!$B$3:$B$3999&lt;=jul!X$3)*(lentry!$C$3:$C$3999&gt;=jul!X$3)),lentry!$D$3:$D$3999),IF(WEEKDAY(jul!X$3,1)=1,"WO","P"))</f>
        <v>WO</v>
      </c>
      <c r="Y35" s="4" t="str">
        <f>IFERROR(LOOKUP(2,1/((lentry!$A$3:$A$3999=jul!$A35)*(lentry!$B$3:$B$3999&lt;=jul!Y$3)*(lentry!$C$3:$C$3999&gt;=jul!Y$3)),lentry!$D$3:$D$3999),IF(WEEKDAY(jul!Y$3,1)=1,"WO","P"))</f>
        <v>P</v>
      </c>
      <c r="Z35" s="4" t="str">
        <f>IFERROR(LOOKUP(2,1/((lentry!$A$3:$A$3999=jul!$A35)*(lentry!$B$3:$B$3999&lt;=jul!Z$3)*(lentry!$C$3:$C$3999&gt;=jul!Z$3)),lentry!$D$3:$D$3999),IF(WEEKDAY(jul!Z$3,1)=1,"WO","P"))</f>
        <v>P</v>
      </c>
      <c r="AA35" s="4" t="str">
        <f>IFERROR(LOOKUP(2,1/((lentry!$A$3:$A$3999=jul!$A35)*(lentry!$B$3:$B$3999&lt;=jul!AA$3)*(lentry!$C$3:$C$3999&gt;=jul!AA$3)),lentry!$D$3:$D$3999),IF(WEEKDAY(jul!AA$3,1)=1,"WO","P"))</f>
        <v>P</v>
      </c>
      <c r="AB35" s="4" t="str">
        <f>IFERROR(LOOKUP(2,1/((lentry!$A$3:$A$3999=jul!$A35)*(lentry!$B$3:$B$3999&lt;=jul!AB$3)*(lentry!$C$3:$C$3999&gt;=jul!AB$3)),lentry!$D$3:$D$3999),IF(WEEKDAY(jul!AB$3,1)=1,"WO","P"))</f>
        <v>P</v>
      </c>
      <c r="AC35" s="4" t="str">
        <f>IFERROR(LOOKUP(2,1/((lentry!$A$3:$A$3999=jul!$A35)*(lentry!$B$3:$B$3999&lt;=jul!AC$3)*(lentry!$C$3:$C$3999&gt;=jul!AC$3)),lentry!$D$3:$D$3999),IF(WEEKDAY(jul!AC$3,1)=1,"WO","P"))</f>
        <v>P</v>
      </c>
      <c r="AD35" s="4" t="str">
        <f>IFERROR(LOOKUP(2,1/((lentry!$A$3:$A$3999=jul!$A35)*(lentry!$B$3:$B$3999&lt;=jul!AD$3)*(lentry!$C$3:$C$3999&gt;=jul!AD$3)),lentry!$D$3:$D$3999),IF(WEEKDAY(jul!AD$3,1)=1,"WO","P"))</f>
        <v>P</v>
      </c>
      <c r="AE35" s="4" t="str">
        <f>IFERROR(LOOKUP(2,1/((lentry!$A$3:$A$3999=jul!$A35)*(lentry!$B$3:$B$3999&lt;=jul!AE$3)*(lentry!$C$3:$C$3999&gt;=jul!AE$3)),lentry!$D$3:$D$3999),IF(WEEKDAY(jul!AE$3,1)=1,"WO","P"))</f>
        <v>WO</v>
      </c>
      <c r="AF35" s="4" t="str">
        <f>IFERROR(LOOKUP(2,1/((lentry!$A$3:$A$3999=jul!$A35)*(lentry!$B$3:$B$3999&lt;=jul!AF$3)*(lentry!$C$3:$C$3999&gt;=jul!AF$3)),lentry!$D$3:$D$3999),IF(WEEKDAY(jul!AF$3,1)=1,"WO","P"))</f>
        <v>P</v>
      </c>
      <c r="AG35" s="4" t="s">
        <v>539</v>
      </c>
      <c r="AH35" s="4" t="str">
        <f>IFERROR(LOOKUP(2,1/((lentry!$A$3:$A$3999=jul!$A35)*(lentry!$B$3:$B$3999&lt;=jul!AH$3)*(lentry!$C$3:$C$3999&gt;=jul!AH$3)),lentry!$D$3:$D$3999),IF(WEEKDAY(jul!AH$3,1)=1,"WO","P"))</f>
        <v>P</v>
      </c>
      <c r="AI35" s="4" t="str">
        <f>IFERROR(LOOKUP(2,1/((lentry!$A$3:$A$3999=jul!$A35)*(lentry!$B$3:$B$3999&lt;=jul!AI$3)*(lentry!$C$3:$C$3999&gt;=jul!AI$3)),lentry!$D$3:$D$3999),IF(WEEKDAY(jul!AI$3,1)=1,"WO","P"))</f>
        <v>P</v>
      </c>
      <c r="AJ35" s="4" t="str">
        <f>IFERROR(LOOKUP(2,1/((lentry!$A$3:$A$3999=jul!$A35)*(lentry!$B$3:$B$3999&lt;=jul!AJ$3)*(lentry!$C$3:$C$3999&gt;=jul!AJ$3)),lentry!$D$3:$D$3999),IF(WEEKDAY(jul!AJ$3,1)=1,"WO","P"))</f>
        <v>P</v>
      </c>
      <c r="AK35" s="4">
        <f>COUNTIF(jul!$F35:$AJ35,"WO")</f>
        <v>4</v>
      </c>
      <c r="AL35" s="4">
        <f>COUNTIF(jul!$F35:$AJ35,"H")</f>
        <v>0</v>
      </c>
      <c r="AM35" s="4">
        <f>COUNTIF(jul!$F35:$AJ35,"pl")</f>
        <v>0</v>
      </c>
      <c r="AN35" s="4">
        <f>COUNTIF(jul!$F35:$AJ35,"LWP")</f>
        <v>0</v>
      </c>
      <c r="AO35" s="4">
        <f>COUNTIF(jul!$F35:$AJ35,"HD")</f>
        <v>0</v>
      </c>
      <c r="AP35" s="4">
        <f>COUNTIF(jul!$F35:$AJ35,"SL")</f>
        <v>0</v>
      </c>
      <c r="AQ35" s="4">
        <f>COUNTIF(jul!$F35:$AJ35,"CL")</f>
        <v>0</v>
      </c>
      <c r="AR35" s="4">
        <f>COUNTIF(jul!$F35:$AJ35,"A")</f>
        <v>2</v>
      </c>
      <c r="AS35" s="4">
        <f>COUNTIF(jul!$F35:$AJ35,"P")</f>
        <v>25</v>
      </c>
      <c r="AT35" s="4">
        <f t="shared" si="2"/>
        <v>31</v>
      </c>
      <c r="AU35" s="4">
        <f t="shared" si="3"/>
        <v>29</v>
      </c>
      <c r="AV35" s="4">
        <f>SUMIFS(holly!$L$2:$L$122,holly!$I$2:$I$122,mar!$A35,holly!$K$2:$K$122,"Mar")</f>
        <v>0</v>
      </c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</row>
    <row r="36" spans="1:80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IFERROR(LOOKUP(2,1/((lentry!$A$3:$A$3999=jul!$A36)*(lentry!$B$3:$B$3999&lt;=jul!F$3)*(lentry!$C$3:$C$3999&gt;=jul!F$3)),lentry!$D$3:$D$3999),IF(WEEKDAY(jul!F$3,1)=1,"WO","P"))</f>
        <v>P</v>
      </c>
      <c r="G36" s="4" t="str">
        <f>IFERROR(LOOKUP(2,1/((lentry!$A$3:$A$3999=jul!$A36)*(lentry!$B$3:$B$3999&lt;=jul!G$3)*(lentry!$C$3:$C$3999&gt;=jul!G$3)),lentry!$D$3:$D$3999),IF(WEEKDAY(jul!G$3,1)=1,"WO","P"))</f>
        <v>P</v>
      </c>
      <c r="H36" s="4" t="str">
        <f>IFERROR(LOOKUP(2,1/((lentry!$A$3:$A$3999=jul!$A36)*(lentry!$B$3:$B$3999&lt;=jul!H$3)*(lentry!$C$3:$C$3999&gt;=jul!H$3)),lentry!$D$3:$D$3999),IF(WEEKDAY(jul!H$3,1)=1,"WO","P"))</f>
        <v>P</v>
      </c>
      <c r="I36" s="4" t="str">
        <f>IFERROR(LOOKUP(2,1/((lentry!$A$3:$A$3999=jul!$A36)*(lentry!$B$3:$B$3999&lt;=jul!I$3)*(lentry!$C$3:$C$3999&gt;=jul!I$3)),lentry!$D$3:$D$3999),IF(WEEKDAY(jul!I$3,1)=1,"WO","P"))</f>
        <v>P</v>
      </c>
      <c r="J36" s="4" t="str">
        <f>IFERROR(LOOKUP(2,1/((lentry!$A$3:$A$3999=jul!$A36)*(lentry!$B$3:$B$3999&lt;=jul!J$3)*(lentry!$C$3:$C$3999&gt;=jul!J$3)),lentry!$D$3:$D$3999),IF(WEEKDAY(jul!J$3,1)=1,"WO","P"))</f>
        <v>WO</v>
      </c>
      <c r="K36" s="4" t="str">
        <f>IFERROR(LOOKUP(2,1/((lentry!$A$3:$A$3999=jul!$A36)*(lentry!$B$3:$B$3999&lt;=jul!K$3)*(lentry!$C$3:$C$3999&gt;=jul!K$3)),lentry!$D$3:$D$3999),IF(WEEKDAY(jul!K$3,1)=1,"WO","P"))</f>
        <v>P</v>
      </c>
      <c r="L36" s="4" t="str">
        <f>IFERROR(LOOKUP(2,1/((lentry!$A$3:$A$3999=jul!$A36)*(lentry!$B$3:$B$3999&lt;=jul!L$3)*(lentry!$C$3:$C$3999&gt;=jul!L$3)),lentry!$D$3:$D$3999),IF(WEEKDAY(jul!L$3,1)=1,"WO","P"))</f>
        <v>P</v>
      </c>
      <c r="M36" s="4" t="str">
        <f>IFERROR(LOOKUP(2,1/((lentry!$A$3:$A$3999=jul!$A36)*(lentry!$B$3:$B$3999&lt;=jul!M$3)*(lentry!$C$3:$C$3999&gt;=jul!M$3)),lentry!$D$3:$D$3999),IF(WEEKDAY(jul!M$3,1)=1,"WO","P"))</f>
        <v>P</v>
      </c>
      <c r="N36" s="4" t="str">
        <f>IFERROR(LOOKUP(2,1/((lentry!$A$3:$A$3999=jul!$A36)*(lentry!$B$3:$B$3999&lt;=jul!N$3)*(lentry!$C$3:$C$3999&gt;=jul!N$3)),lentry!$D$3:$D$3999),IF(WEEKDAY(jul!N$3,1)=1,"WO","P"))</f>
        <v>P</v>
      </c>
      <c r="O36" s="4" t="str">
        <f>IFERROR(LOOKUP(2,1/((lentry!$A$3:$A$3999=jul!$A36)*(lentry!$B$3:$B$3999&lt;=jul!O$3)*(lentry!$C$3:$C$3999&gt;=jul!O$3)),lentry!$D$3:$D$3999),IF(WEEKDAY(jul!O$3,1)=1,"WO","P"))</f>
        <v>P</v>
      </c>
      <c r="P36" s="4" t="str">
        <f>IFERROR(LOOKUP(2,1/((lentry!$A$3:$A$3999=jul!$A36)*(lentry!$B$3:$B$3999&lt;=jul!P$3)*(lentry!$C$3:$C$3999&gt;=jul!P$3)),lentry!$D$3:$D$3999),IF(WEEKDAY(jul!P$3,1)=1,"WO","P"))</f>
        <v>P</v>
      </c>
      <c r="Q36" s="4" t="str">
        <f>IFERROR(LOOKUP(2,1/((lentry!$A$3:$A$3999=jul!$A36)*(lentry!$B$3:$B$3999&lt;=jul!Q$3)*(lentry!$C$3:$C$3999&gt;=jul!Q$3)),lentry!$D$3:$D$3999),IF(WEEKDAY(jul!Q$3,1)=1,"WO","P"))</f>
        <v>WO</v>
      </c>
      <c r="R36" s="4" t="str">
        <f>IFERROR(LOOKUP(2,1/((lentry!$A$3:$A$3999=jul!$A36)*(lentry!$B$3:$B$3999&lt;=jul!R$3)*(lentry!$C$3:$C$3999&gt;=jul!R$3)),lentry!$D$3:$D$3999),IF(WEEKDAY(jul!R$3,1)=1,"WO","P"))</f>
        <v>P</v>
      </c>
      <c r="S36" s="4" t="str">
        <f>IFERROR(LOOKUP(2,1/((lentry!$A$3:$A$3999=jul!$A36)*(lentry!$B$3:$B$3999&lt;=jul!S$3)*(lentry!$C$3:$C$3999&gt;=jul!S$3)),lentry!$D$3:$D$3999),IF(WEEKDAY(jul!S$3,1)=1,"WO","P"))</f>
        <v>P</v>
      </c>
      <c r="T36" s="4" t="str">
        <f>IFERROR(LOOKUP(2,1/((lentry!$A$3:$A$3999=jul!$A36)*(lentry!$B$3:$B$3999&lt;=jul!T$3)*(lentry!$C$3:$C$3999&gt;=jul!T$3)),lentry!$D$3:$D$3999),IF(WEEKDAY(jul!T$3,1)=1,"WO","P"))</f>
        <v>P</v>
      </c>
      <c r="U36" s="4" t="str">
        <f>IFERROR(LOOKUP(2,1/((lentry!$A$3:$A$3999=jul!$A36)*(lentry!$B$3:$B$3999&lt;=jul!U$3)*(lentry!$C$3:$C$3999&gt;=jul!U$3)),lentry!$D$3:$D$3999),IF(WEEKDAY(jul!U$3,1)=1,"WO","P"))</f>
        <v>P</v>
      </c>
      <c r="V36" s="4" t="str">
        <f>IFERROR(LOOKUP(2,1/((lentry!$A$3:$A$3999=jul!$A36)*(lentry!$B$3:$B$3999&lt;=jul!V$3)*(lentry!$C$3:$C$3999&gt;=jul!V$3)),lentry!$D$3:$D$3999),IF(WEEKDAY(jul!V$3,1)=1,"WO","P"))</f>
        <v>P</v>
      </c>
      <c r="W36" s="4" t="str">
        <f>IFERROR(LOOKUP(2,1/((lentry!$A$3:$A$3999=jul!$A36)*(lentry!$B$3:$B$3999&lt;=jul!W$3)*(lentry!$C$3:$C$3999&gt;=jul!W$3)),lentry!$D$3:$D$3999),IF(WEEKDAY(jul!W$3,1)=1,"WO","P"))</f>
        <v>P</v>
      </c>
      <c r="X36" s="4" t="str">
        <f>IFERROR(LOOKUP(2,1/((lentry!$A$3:$A$3999=jul!$A36)*(lentry!$B$3:$B$3999&lt;=jul!X$3)*(lentry!$C$3:$C$3999&gt;=jul!X$3)),lentry!$D$3:$D$3999),IF(WEEKDAY(jul!X$3,1)=1,"WO","P"))</f>
        <v>WO</v>
      </c>
      <c r="Y36" s="4" t="str">
        <f>IFERROR(LOOKUP(2,1/((lentry!$A$3:$A$3999=jul!$A36)*(lentry!$B$3:$B$3999&lt;=jul!Y$3)*(lentry!$C$3:$C$3999&gt;=jul!Y$3)),lentry!$D$3:$D$3999),IF(WEEKDAY(jul!Y$3,1)=1,"WO","P"))</f>
        <v>P</v>
      </c>
      <c r="Z36" s="4" t="str">
        <f>IFERROR(LOOKUP(2,1/((lentry!$A$3:$A$3999=jul!$A36)*(lentry!$B$3:$B$3999&lt;=jul!Z$3)*(lentry!$C$3:$C$3999&gt;=jul!Z$3)),lentry!$D$3:$D$3999),IF(WEEKDAY(jul!Z$3,1)=1,"WO","P"))</f>
        <v>P</v>
      </c>
      <c r="AA36" s="4" t="str">
        <f>IFERROR(LOOKUP(2,1/((lentry!$A$3:$A$3999=jul!$A36)*(lentry!$B$3:$B$3999&lt;=jul!AA$3)*(lentry!$C$3:$C$3999&gt;=jul!AA$3)),lentry!$D$3:$D$3999),IF(WEEKDAY(jul!AA$3,1)=1,"WO","P"))</f>
        <v>P</v>
      </c>
      <c r="AB36" s="4" t="str">
        <f>IFERROR(LOOKUP(2,1/((lentry!$A$3:$A$3999=jul!$A36)*(lentry!$B$3:$B$3999&lt;=jul!AB$3)*(lentry!$C$3:$C$3999&gt;=jul!AB$3)),lentry!$D$3:$D$3999),IF(WEEKDAY(jul!AB$3,1)=1,"WO","P"))</f>
        <v>P</v>
      </c>
      <c r="AC36" s="4" t="str">
        <f>IFERROR(LOOKUP(2,1/((lentry!$A$3:$A$3999=jul!$A36)*(lentry!$B$3:$B$3999&lt;=jul!AC$3)*(lentry!$C$3:$C$3999&gt;=jul!AC$3)),lentry!$D$3:$D$3999),IF(WEEKDAY(jul!AC$3,1)=1,"WO","P"))</f>
        <v>PL</v>
      </c>
      <c r="AD36" s="4" t="str">
        <f>IFERROR(LOOKUP(2,1/((lentry!$A$3:$A$3999=jul!$A36)*(lentry!$B$3:$B$3999&lt;=jul!AD$3)*(lentry!$C$3:$C$3999&gt;=jul!AD$3)),lentry!$D$3:$D$3999),IF(WEEKDAY(jul!AD$3,1)=1,"WO","P"))</f>
        <v>P</v>
      </c>
      <c r="AE36" s="4" t="str">
        <f>IFERROR(LOOKUP(2,1/((lentry!$A$3:$A$3999=jul!$A36)*(lentry!$B$3:$B$3999&lt;=jul!AE$3)*(lentry!$C$3:$C$3999&gt;=jul!AE$3)),lentry!$D$3:$D$3999),IF(WEEKDAY(jul!AE$3,1)=1,"WO","P"))</f>
        <v>WO</v>
      </c>
      <c r="AF36" s="4" t="str">
        <f>IFERROR(LOOKUP(2,1/((lentry!$A$3:$A$3999=jul!$A36)*(lentry!$B$3:$B$3999&lt;=jul!AF$3)*(lentry!$C$3:$C$3999&gt;=jul!AF$3)),lentry!$D$3:$D$3999),IF(WEEKDAY(jul!AF$3,1)=1,"WO","P"))</f>
        <v>P</v>
      </c>
      <c r="AG36" s="4" t="str">
        <f>IFERROR(LOOKUP(2,1/((lentry!$A$3:$A$3999=jul!$A36)*(lentry!$B$3:$B$3999&lt;=jul!AG$3)*(lentry!$C$3:$C$3999&gt;=jul!AG$3)),lentry!$D$3:$D$3999),IF(WEEKDAY(jul!AG$3,1)=1,"WO","P"))</f>
        <v>P</v>
      </c>
      <c r="AH36" s="4" t="str">
        <f>IFERROR(LOOKUP(2,1/((lentry!$A$3:$A$3999=jul!$A36)*(lentry!$B$3:$B$3999&lt;=jul!AH$3)*(lentry!$C$3:$C$3999&gt;=jul!AH$3)),lentry!$D$3:$D$3999),IF(WEEKDAY(jul!AH$3,1)=1,"WO","P"))</f>
        <v>P</v>
      </c>
      <c r="AI36" s="4" t="str">
        <f>IFERROR(LOOKUP(2,1/((lentry!$A$3:$A$3999=jul!$A36)*(lentry!$B$3:$B$3999&lt;=jul!AI$3)*(lentry!$C$3:$C$3999&gt;=jul!AI$3)),lentry!$D$3:$D$3999),IF(WEEKDAY(jul!AI$3,1)=1,"WO","P"))</f>
        <v>P</v>
      </c>
      <c r="AJ36" s="4" t="str">
        <f>IFERROR(LOOKUP(2,1/((lentry!$A$3:$A$3999=jul!$A36)*(lentry!$B$3:$B$3999&lt;=jul!AJ$3)*(lentry!$C$3:$C$3999&gt;=jul!AJ$3)),lentry!$D$3:$D$3999),IF(WEEKDAY(jul!AJ$3,1)=1,"WO","P"))</f>
        <v>P</v>
      </c>
      <c r="AK36" s="4">
        <f>COUNTIF(jul!$F36:$AJ36,"WO")</f>
        <v>4</v>
      </c>
      <c r="AL36" s="4">
        <f>COUNTIF(jul!$F36:$AJ36,"H")</f>
        <v>0</v>
      </c>
      <c r="AM36" s="4">
        <f>COUNTIF(jul!$F36:$AJ36,"pl")</f>
        <v>1</v>
      </c>
      <c r="AN36" s="4">
        <f>COUNTIF(jul!$F36:$AJ36,"LWP")</f>
        <v>0</v>
      </c>
      <c r="AO36" s="4">
        <f>COUNTIF(jul!$F36:$AJ36,"HD")</f>
        <v>0</v>
      </c>
      <c r="AP36" s="4">
        <f>COUNTIF(jul!$F36:$AJ36,"SL")</f>
        <v>0</v>
      </c>
      <c r="AQ36" s="4">
        <f>COUNTIF(jul!$F36:$AJ36,"CL")</f>
        <v>0</v>
      </c>
      <c r="AR36" s="4">
        <f>COUNTIF(jul!$F36:$AJ36,"A")</f>
        <v>0</v>
      </c>
      <c r="AS36" s="4">
        <f>COUNTIF(jul!$F36:$AJ36,"P")</f>
        <v>26</v>
      </c>
      <c r="AT36" s="4">
        <f t="shared" si="2"/>
        <v>31</v>
      </c>
      <c r="AU36" s="4">
        <f t="shared" si="3"/>
        <v>31</v>
      </c>
      <c r="AV36" s="4">
        <f>SUMIFS(holly!$L$2:$L$122,holly!$I$2:$I$122,mar!$A36,holly!$K$2:$K$122,"Mar")</f>
        <v>0</v>
      </c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</row>
    <row r="37" spans="1:80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IFERROR(LOOKUP(2,1/((lentry!$A$3:$A$3999=jul!$A37)*(lentry!$B$3:$B$3999&lt;=jul!F$3)*(lentry!$C$3:$C$3999&gt;=jul!F$3)),lentry!$D$3:$D$3999),IF(WEEKDAY(jul!F$3,1)=1,"WO","P"))</f>
        <v>P</v>
      </c>
      <c r="G37" s="4" t="str">
        <f>IFERROR(LOOKUP(2,1/((lentry!$A$3:$A$3999=jul!$A37)*(lentry!$B$3:$B$3999&lt;=jul!G$3)*(lentry!$C$3:$C$3999&gt;=jul!G$3)),lentry!$D$3:$D$3999),IF(WEEKDAY(jul!G$3,1)=1,"WO","P"))</f>
        <v>P</v>
      </c>
      <c r="H37" s="4" t="str">
        <f>IFERROR(LOOKUP(2,1/((lentry!$A$3:$A$3999=jul!$A37)*(lentry!$B$3:$B$3999&lt;=jul!H$3)*(lentry!$C$3:$C$3999&gt;=jul!H$3)),lentry!$D$3:$D$3999),IF(WEEKDAY(jul!H$3,1)=1,"WO","P"))</f>
        <v>P</v>
      </c>
      <c r="I37" s="4" t="str">
        <f>IFERROR(LOOKUP(2,1/((lentry!$A$3:$A$3999=jul!$A37)*(lentry!$B$3:$B$3999&lt;=jul!I$3)*(lentry!$C$3:$C$3999&gt;=jul!I$3)),lentry!$D$3:$D$3999),IF(WEEKDAY(jul!I$3,1)=1,"WO","P"))</f>
        <v>P</v>
      </c>
      <c r="J37" s="4" t="str">
        <f>IFERROR(LOOKUP(2,1/((lentry!$A$3:$A$3999=jul!$A37)*(lentry!$B$3:$B$3999&lt;=jul!J$3)*(lentry!$C$3:$C$3999&gt;=jul!J$3)),lentry!$D$3:$D$3999),IF(WEEKDAY(jul!J$3,1)=1,"WO","P"))</f>
        <v>WO</v>
      </c>
      <c r="K37" s="4" t="str">
        <f>IFERROR(LOOKUP(2,1/((lentry!$A$3:$A$3999=jul!$A37)*(lentry!$B$3:$B$3999&lt;=jul!K$3)*(lentry!$C$3:$C$3999&gt;=jul!K$3)),lentry!$D$3:$D$3999),IF(WEEKDAY(jul!K$3,1)=1,"WO","P"))</f>
        <v>P</v>
      </c>
      <c r="L37" s="4" t="str">
        <f>IFERROR(LOOKUP(2,1/((lentry!$A$3:$A$3999=jul!$A37)*(lentry!$B$3:$B$3999&lt;=jul!L$3)*(lentry!$C$3:$C$3999&gt;=jul!L$3)),lentry!$D$3:$D$3999),IF(WEEKDAY(jul!L$3,1)=1,"WO","P"))</f>
        <v>P</v>
      </c>
      <c r="M37" s="4" t="str">
        <f>IFERROR(LOOKUP(2,1/((lentry!$A$3:$A$3999=jul!$A37)*(lentry!$B$3:$B$3999&lt;=jul!M$3)*(lentry!$C$3:$C$3999&gt;=jul!M$3)),lentry!$D$3:$D$3999),IF(WEEKDAY(jul!M$3,1)=1,"WO","P"))</f>
        <v>P</v>
      </c>
      <c r="N37" s="4" t="str">
        <f>IFERROR(LOOKUP(2,1/((lentry!$A$3:$A$3999=jul!$A37)*(lentry!$B$3:$B$3999&lt;=jul!N$3)*(lentry!$C$3:$C$3999&gt;=jul!N$3)),lentry!$D$3:$D$3999),IF(WEEKDAY(jul!N$3,1)=1,"WO","P"))</f>
        <v>P</v>
      </c>
      <c r="O37" s="4" t="str">
        <f>IFERROR(LOOKUP(2,1/((lentry!$A$3:$A$3999=jul!$A37)*(lentry!$B$3:$B$3999&lt;=jul!O$3)*(lentry!$C$3:$C$3999&gt;=jul!O$3)),lentry!$D$3:$D$3999),IF(WEEKDAY(jul!O$3,1)=1,"WO","P"))</f>
        <v>P</v>
      </c>
      <c r="P37" s="4" t="str">
        <f>IFERROR(LOOKUP(2,1/((lentry!$A$3:$A$3999=jul!$A37)*(lentry!$B$3:$B$3999&lt;=jul!P$3)*(lentry!$C$3:$C$3999&gt;=jul!P$3)),lentry!$D$3:$D$3999),IF(WEEKDAY(jul!P$3,1)=1,"WO","P"))</f>
        <v>P</v>
      </c>
      <c r="Q37" s="4" t="str">
        <f>IFERROR(LOOKUP(2,1/((lentry!$A$3:$A$3999=jul!$A37)*(lentry!$B$3:$B$3999&lt;=jul!Q$3)*(lentry!$C$3:$C$3999&gt;=jul!Q$3)),lentry!$D$3:$D$3999),IF(WEEKDAY(jul!Q$3,1)=1,"WO","P"))</f>
        <v>WO</v>
      </c>
      <c r="R37" s="4" t="str">
        <f>IFERROR(LOOKUP(2,1/((lentry!$A$3:$A$3999=jul!$A37)*(lentry!$B$3:$B$3999&lt;=jul!R$3)*(lentry!$C$3:$C$3999&gt;=jul!R$3)),lentry!$D$3:$D$3999),IF(WEEKDAY(jul!R$3,1)=1,"WO","P"))</f>
        <v>P</v>
      </c>
      <c r="S37" s="4" t="str">
        <f>IFERROR(LOOKUP(2,1/((lentry!$A$3:$A$3999=jul!$A37)*(lentry!$B$3:$B$3999&lt;=jul!S$3)*(lentry!$C$3:$C$3999&gt;=jul!S$3)),lentry!$D$3:$D$3999),IF(WEEKDAY(jul!S$3,1)=1,"WO","P"))</f>
        <v>P</v>
      </c>
      <c r="T37" s="4" t="str">
        <f>IFERROR(LOOKUP(2,1/((lentry!$A$3:$A$3999=jul!$A37)*(lentry!$B$3:$B$3999&lt;=jul!T$3)*(lentry!$C$3:$C$3999&gt;=jul!T$3)),lentry!$D$3:$D$3999),IF(WEEKDAY(jul!T$3,1)=1,"WO","P"))</f>
        <v>P</v>
      </c>
      <c r="U37" s="4" t="str">
        <f>IFERROR(LOOKUP(2,1/((lentry!$A$3:$A$3999=jul!$A37)*(lentry!$B$3:$B$3999&lt;=jul!U$3)*(lentry!$C$3:$C$3999&gt;=jul!U$3)),lentry!$D$3:$D$3999),IF(WEEKDAY(jul!U$3,1)=1,"WO","P"))</f>
        <v>P</v>
      </c>
      <c r="V37" s="4" t="str">
        <f>IFERROR(LOOKUP(2,1/((lentry!$A$3:$A$3999=jul!$A37)*(lentry!$B$3:$B$3999&lt;=jul!V$3)*(lentry!$C$3:$C$3999&gt;=jul!V$3)),lentry!$D$3:$D$3999),IF(WEEKDAY(jul!V$3,1)=1,"WO","P"))</f>
        <v>P</v>
      </c>
      <c r="W37" s="4" t="str">
        <f>IFERROR(LOOKUP(2,1/((lentry!$A$3:$A$3999=jul!$A37)*(lentry!$B$3:$B$3999&lt;=jul!W$3)*(lentry!$C$3:$C$3999&gt;=jul!W$3)),lentry!$D$3:$D$3999),IF(WEEKDAY(jul!W$3,1)=1,"WO","P"))</f>
        <v>P</v>
      </c>
      <c r="X37" s="4" t="str">
        <f>IFERROR(LOOKUP(2,1/((lentry!$A$3:$A$3999=jul!$A37)*(lentry!$B$3:$B$3999&lt;=jul!X$3)*(lentry!$C$3:$C$3999&gt;=jul!X$3)),lentry!$D$3:$D$3999),IF(WEEKDAY(jul!X$3,1)=1,"WO","P"))</f>
        <v>WO</v>
      </c>
      <c r="Y37" s="4" t="str">
        <f>IFERROR(LOOKUP(2,1/((lentry!$A$3:$A$3999=jul!$A37)*(lentry!$B$3:$B$3999&lt;=jul!Y$3)*(lentry!$C$3:$C$3999&gt;=jul!Y$3)),lentry!$D$3:$D$3999),IF(WEEKDAY(jul!Y$3,1)=1,"WO","P"))</f>
        <v>P</v>
      </c>
      <c r="Z37" s="4" t="str">
        <f>IFERROR(LOOKUP(2,1/((lentry!$A$3:$A$3999=jul!$A37)*(lentry!$B$3:$B$3999&lt;=jul!Z$3)*(lentry!$C$3:$C$3999&gt;=jul!Z$3)),lentry!$D$3:$D$3999),IF(WEEKDAY(jul!Z$3,1)=1,"WO","P"))</f>
        <v>P</v>
      </c>
      <c r="AA37" s="4" t="str">
        <f>IFERROR(LOOKUP(2,1/((lentry!$A$3:$A$3999=jul!$A37)*(lentry!$B$3:$B$3999&lt;=jul!AA$3)*(lentry!$C$3:$C$3999&gt;=jul!AA$3)),lentry!$D$3:$D$3999),IF(WEEKDAY(jul!AA$3,1)=1,"WO","P"))</f>
        <v>P</v>
      </c>
      <c r="AB37" s="4" t="str">
        <f>IFERROR(LOOKUP(2,1/((lentry!$A$3:$A$3999=jul!$A37)*(lentry!$B$3:$B$3999&lt;=jul!AB$3)*(lentry!$C$3:$C$3999&gt;=jul!AB$3)),lentry!$D$3:$D$3999),IF(WEEKDAY(jul!AB$3,1)=1,"WO","P"))</f>
        <v>P</v>
      </c>
      <c r="AC37" s="4" t="str">
        <f>IFERROR(LOOKUP(2,1/((lentry!$A$3:$A$3999=jul!$A37)*(lentry!$B$3:$B$3999&lt;=jul!AC$3)*(lentry!$C$3:$C$3999&gt;=jul!AC$3)),lentry!$D$3:$D$3999),IF(WEEKDAY(jul!AC$3,1)=1,"WO","P"))</f>
        <v>P</v>
      </c>
      <c r="AD37" s="4" t="str">
        <f>IFERROR(LOOKUP(2,1/((lentry!$A$3:$A$3999=jul!$A37)*(lentry!$B$3:$B$3999&lt;=jul!AD$3)*(lentry!$C$3:$C$3999&gt;=jul!AD$3)),lentry!$D$3:$D$3999),IF(WEEKDAY(jul!AD$3,1)=1,"WO","P"))</f>
        <v>P</v>
      </c>
      <c r="AE37" s="4" t="str">
        <f>IFERROR(LOOKUP(2,1/((lentry!$A$3:$A$3999=jul!$A37)*(lentry!$B$3:$B$3999&lt;=jul!AE$3)*(lentry!$C$3:$C$3999&gt;=jul!AE$3)),lentry!$D$3:$D$3999),IF(WEEKDAY(jul!AE$3,1)=1,"WO","P"))</f>
        <v>WO</v>
      </c>
      <c r="AF37" s="4" t="str">
        <f>IFERROR(LOOKUP(2,1/((lentry!$A$3:$A$3999=jul!$A37)*(lentry!$B$3:$B$3999&lt;=jul!AF$3)*(lentry!$C$3:$C$3999&gt;=jul!AF$3)),lentry!$D$3:$D$3999),IF(WEEKDAY(jul!AF$3,1)=1,"WO","P"))</f>
        <v>P</v>
      </c>
      <c r="AG37" s="4" t="str">
        <f>IFERROR(LOOKUP(2,1/((lentry!$A$3:$A$3999=jul!$A37)*(lentry!$B$3:$B$3999&lt;=jul!AG$3)*(lentry!$C$3:$C$3999&gt;=jul!AG$3)),lentry!$D$3:$D$3999),IF(WEEKDAY(jul!AG$3,1)=1,"WO","P"))</f>
        <v>P</v>
      </c>
      <c r="AH37" s="4" t="str">
        <f>IFERROR(LOOKUP(2,1/((lentry!$A$3:$A$3999=jul!$A37)*(lentry!$B$3:$B$3999&lt;=jul!AH$3)*(lentry!$C$3:$C$3999&gt;=jul!AH$3)),lentry!$D$3:$D$3999),IF(WEEKDAY(jul!AH$3,1)=1,"WO","P"))</f>
        <v>P</v>
      </c>
      <c r="AI37" s="4" t="str">
        <f>IFERROR(LOOKUP(2,1/((lentry!$A$3:$A$3999=jul!$A37)*(lentry!$B$3:$B$3999&lt;=jul!AI$3)*(lentry!$C$3:$C$3999&gt;=jul!AI$3)),lentry!$D$3:$D$3999),IF(WEEKDAY(jul!AI$3,1)=1,"WO","P"))</f>
        <v>P</v>
      </c>
      <c r="AJ37" s="4" t="str">
        <f>IFERROR(LOOKUP(2,1/((lentry!$A$3:$A$3999=jul!$A37)*(lentry!$B$3:$B$3999&lt;=jul!AJ$3)*(lentry!$C$3:$C$3999&gt;=jul!AJ$3)),lentry!$D$3:$D$3999),IF(WEEKDAY(jul!AJ$3,1)=1,"WO","P"))</f>
        <v>P</v>
      </c>
      <c r="AK37" s="4">
        <f>COUNTIF(jul!$F37:$AJ37,"WO")</f>
        <v>4</v>
      </c>
      <c r="AL37" s="4">
        <f>COUNTIF(jul!$F37:$AJ37,"H")</f>
        <v>0</v>
      </c>
      <c r="AM37" s="4">
        <f>COUNTIF(jul!$F37:$AJ37,"pl")</f>
        <v>0</v>
      </c>
      <c r="AN37" s="4">
        <f>COUNTIF(jul!$F37:$AJ37,"LWP")</f>
        <v>0</v>
      </c>
      <c r="AO37" s="4">
        <f>COUNTIF(jul!$F37:$AJ37,"HD")</f>
        <v>0</v>
      </c>
      <c r="AP37" s="4">
        <f>COUNTIF(jul!$F37:$AJ37,"SL")</f>
        <v>0</v>
      </c>
      <c r="AQ37" s="4">
        <f>COUNTIF(jul!$F37:$AJ37,"CL")</f>
        <v>0</v>
      </c>
      <c r="AR37" s="4">
        <f>COUNTIF(jul!$F37:$AJ37,"A")</f>
        <v>0</v>
      </c>
      <c r="AS37" s="4">
        <f>COUNTIF(jul!$F37:$AJ37,"P")</f>
        <v>27</v>
      </c>
      <c r="AT37" s="4">
        <f t="shared" si="2"/>
        <v>31</v>
      </c>
      <c r="AU37" s="4">
        <f t="shared" si="3"/>
        <v>31</v>
      </c>
      <c r="AV37" s="4">
        <f>SUMIFS(holly!$L$2:$L$122,holly!$I$2:$I$122,mar!$A37,holly!$K$2:$K$122,"Mar")</f>
        <v>1</v>
      </c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</row>
    <row r="38" spans="1:80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IFERROR(LOOKUP(2,1/((lentry!$A$3:$A$3999=jul!$A38)*(lentry!$B$3:$B$3999&lt;=jul!F$3)*(lentry!$C$3:$C$3999&gt;=jul!F$3)),lentry!$D$3:$D$3999),IF(WEEKDAY(jul!F$3,1)=1,"WO","P"))</f>
        <v>P</v>
      </c>
      <c r="G38" s="4" t="str">
        <f>IFERROR(LOOKUP(2,1/((lentry!$A$3:$A$3999=jul!$A38)*(lentry!$B$3:$B$3999&lt;=jul!G$3)*(lentry!$C$3:$C$3999&gt;=jul!G$3)),lentry!$D$3:$D$3999),IF(WEEKDAY(jul!G$3,1)=1,"WO","P"))</f>
        <v>P</v>
      </c>
      <c r="H38" s="4" t="str">
        <f>IFERROR(LOOKUP(2,1/((lentry!$A$3:$A$3999=jul!$A38)*(lentry!$B$3:$B$3999&lt;=jul!H$3)*(lentry!$C$3:$C$3999&gt;=jul!H$3)),lentry!$D$3:$D$3999),IF(WEEKDAY(jul!H$3,1)=1,"WO","P"))</f>
        <v>P</v>
      </c>
      <c r="I38" s="4" t="str">
        <f>IFERROR(LOOKUP(2,1/((lentry!$A$3:$A$3999=jul!$A38)*(lentry!$B$3:$B$3999&lt;=jul!I$3)*(lentry!$C$3:$C$3999&gt;=jul!I$3)),lentry!$D$3:$D$3999),IF(WEEKDAY(jul!I$3,1)=1,"WO","P"))</f>
        <v>P</v>
      </c>
      <c r="J38" s="4" t="str">
        <f>IFERROR(LOOKUP(2,1/((lentry!$A$3:$A$3999=jul!$A38)*(lentry!$B$3:$B$3999&lt;=jul!J$3)*(lentry!$C$3:$C$3999&gt;=jul!J$3)),lentry!$D$3:$D$3999),IF(WEEKDAY(jul!J$3,1)=1,"WO","P"))</f>
        <v>WO</v>
      </c>
      <c r="K38" s="4" t="str">
        <f>IFERROR(LOOKUP(2,1/((lentry!$A$3:$A$3999=jul!$A38)*(lentry!$B$3:$B$3999&lt;=jul!K$3)*(lentry!$C$3:$C$3999&gt;=jul!K$3)),lentry!$D$3:$D$3999),IF(WEEKDAY(jul!K$3,1)=1,"WO","P"))</f>
        <v>P</v>
      </c>
      <c r="L38" s="4" t="s">
        <v>539</v>
      </c>
      <c r="M38" s="4" t="str">
        <f>IFERROR(LOOKUP(2,1/((lentry!$A$3:$A$3999=jul!$A38)*(lentry!$B$3:$B$3999&lt;=jul!M$3)*(lentry!$C$3:$C$3999&gt;=jul!M$3)),lentry!$D$3:$D$3999),IF(WEEKDAY(jul!M$3,1)=1,"WO","P"))</f>
        <v>P</v>
      </c>
      <c r="N38" s="4" t="str">
        <f>IFERROR(LOOKUP(2,1/((lentry!$A$3:$A$3999=jul!$A38)*(lentry!$B$3:$B$3999&lt;=jul!N$3)*(lentry!$C$3:$C$3999&gt;=jul!N$3)),lentry!$D$3:$D$3999),IF(WEEKDAY(jul!N$3,1)=1,"WO","P"))</f>
        <v>P</v>
      </c>
      <c r="O38" s="4" t="str">
        <f>IFERROR(LOOKUP(2,1/((lentry!$A$3:$A$3999=jul!$A38)*(lentry!$B$3:$B$3999&lt;=jul!O$3)*(lentry!$C$3:$C$3999&gt;=jul!O$3)),lentry!$D$3:$D$3999),IF(WEEKDAY(jul!O$3,1)=1,"WO","P"))</f>
        <v>P</v>
      </c>
      <c r="P38" s="4" t="str">
        <f>IFERROR(LOOKUP(2,1/((lentry!$A$3:$A$3999=jul!$A38)*(lentry!$B$3:$B$3999&lt;=jul!P$3)*(lentry!$C$3:$C$3999&gt;=jul!P$3)),lentry!$D$3:$D$3999),IF(WEEKDAY(jul!P$3,1)=1,"WO","P"))</f>
        <v>P</v>
      </c>
      <c r="Q38" s="4" t="str">
        <f>IFERROR(LOOKUP(2,1/((lentry!$A$3:$A$3999=jul!$A38)*(lentry!$B$3:$B$3999&lt;=jul!Q$3)*(lentry!$C$3:$C$3999&gt;=jul!Q$3)),lentry!$D$3:$D$3999),IF(WEEKDAY(jul!Q$3,1)=1,"WO","P"))</f>
        <v>WO</v>
      </c>
      <c r="R38" s="4" t="str">
        <f>IFERROR(LOOKUP(2,1/((lentry!$A$3:$A$3999=jul!$A38)*(lentry!$B$3:$B$3999&lt;=jul!R$3)*(lentry!$C$3:$C$3999&gt;=jul!R$3)),lentry!$D$3:$D$3999),IF(WEEKDAY(jul!R$3,1)=1,"WO","P"))</f>
        <v>P</v>
      </c>
      <c r="S38" s="4" t="str">
        <f>IFERROR(LOOKUP(2,1/((lentry!$A$3:$A$3999=jul!$A38)*(lentry!$B$3:$B$3999&lt;=jul!S$3)*(lentry!$C$3:$C$3999&gt;=jul!S$3)),lentry!$D$3:$D$3999),IF(WEEKDAY(jul!S$3,1)=1,"WO","P"))</f>
        <v>P</v>
      </c>
      <c r="T38" s="4" t="str">
        <f>IFERROR(LOOKUP(2,1/((lentry!$A$3:$A$3999=jul!$A38)*(lentry!$B$3:$B$3999&lt;=jul!T$3)*(lentry!$C$3:$C$3999&gt;=jul!T$3)),lentry!$D$3:$D$3999),IF(WEEKDAY(jul!T$3,1)=1,"WO","P"))</f>
        <v>P</v>
      </c>
      <c r="U38" s="4" t="str">
        <f>IFERROR(LOOKUP(2,1/((lentry!$A$3:$A$3999=jul!$A38)*(lentry!$B$3:$B$3999&lt;=jul!U$3)*(lentry!$C$3:$C$3999&gt;=jul!U$3)),lentry!$D$3:$D$3999),IF(WEEKDAY(jul!U$3,1)=1,"WO","P"))</f>
        <v>P</v>
      </c>
      <c r="V38" s="4" t="s">
        <v>539</v>
      </c>
      <c r="W38" s="4" t="str">
        <f>IFERROR(LOOKUP(2,1/((lentry!$A$3:$A$3999=jul!$A38)*(lentry!$B$3:$B$3999&lt;=jul!W$3)*(lentry!$C$3:$C$3999&gt;=jul!W$3)),lentry!$D$3:$D$3999),IF(WEEKDAY(jul!W$3,1)=1,"WO","P"))</f>
        <v>P</v>
      </c>
      <c r="X38" s="4" t="str">
        <f>IFERROR(LOOKUP(2,1/((lentry!$A$3:$A$3999=jul!$A38)*(lentry!$B$3:$B$3999&lt;=jul!X$3)*(lentry!$C$3:$C$3999&gt;=jul!X$3)),lentry!$D$3:$D$3999),IF(WEEKDAY(jul!X$3,1)=1,"WO","P"))</f>
        <v>WO</v>
      </c>
      <c r="Y38" s="4" t="str">
        <f>IFERROR(LOOKUP(2,1/((lentry!$A$3:$A$3999=jul!$A38)*(lentry!$B$3:$B$3999&lt;=jul!Y$3)*(lentry!$C$3:$C$3999&gt;=jul!Y$3)),lentry!$D$3:$D$3999),IF(WEEKDAY(jul!Y$3,1)=1,"WO","P"))</f>
        <v>P</v>
      </c>
      <c r="Z38" s="4" t="str">
        <f>IFERROR(LOOKUP(2,1/((lentry!$A$3:$A$3999=jul!$A38)*(lentry!$B$3:$B$3999&lt;=jul!Z$3)*(lentry!$C$3:$C$3999&gt;=jul!Z$3)),lentry!$D$3:$D$3999),IF(WEEKDAY(jul!Z$3,1)=1,"WO","P"))</f>
        <v>P</v>
      </c>
      <c r="AA38" s="4" t="str">
        <f>IFERROR(LOOKUP(2,1/((lentry!$A$3:$A$3999=jul!$A38)*(lentry!$B$3:$B$3999&lt;=jul!AA$3)*(lentry!$C$3:$C$3999&gt;=jul!AA$3)),lentry!$D$3:$D$3999),IF(WEEKDAY(jul!AA$3,1)=1,"WO","P"))</f>
        <v>P</v>
      </c>
      <c r="AB38" s="4" t="str">
        <f>IFERROR(LOOKUP(2,1/((lentry!$A$3:$A$3999=jul!$A38)*(lentry!$B$3:$B$3999&lt;=jul!AB$3)*(lentry!$C$3:$C$3999&gt;=jul!AB$3)),lentry!$D$3:$D$3999),IF(WEEKDAY(jul!AB$3,1)=1,"WO","P"))</f>
        <v>P</v>
      </c>
      <c r="AC38" s="4" t="str">
        <f>IFERROR(LOOKUP(2,1/((lentry!$A$3:$A$3999=jul!$A38)*(lentry!$B$3:$B$3999&lt;=jul!AC$3)*(lentry!$C$3:$C$3999&gt;=jul!AC$3)),lentry!$D$3:$D$3999),IF(WEEKDAY(jul!AC$3,1)=1,"WO","P"))</f>
        <v>P</v>
      </c>
      <c r="AD38" s="4" t="s">
        <v>539</v>
      </c>
      <c r="AE38" s="4" t="str">
        <f>IFERROR(LOOKUP(2,1/((lentry!$A$3:$A$3999=jul!$A38)*(lentry!$B$3:$B$3999&lt;=jul!AE$3)*(lentry!$C$3:$C$3999&gt;=jul!AE$3)),lentry!$D$3:$D$3999),IF(WEEKDAY(jul!AE$3,1)=1,"WO","P"))</f>
        <v>WO</v>
      </c>
      <c r="AF38" s="4" t="str">
        <f>IFERROR(LOOKUP(2,1/((lentry!$A$3:$A$3999=jul!$A38)*(lentry!$B$3:$B$3999&lt;=jul!AF$3)*(lentry!$C$3:$C$3999&gt;=jul!AF$3)),lentry!$D$3:$D$3999),IF(WEEKDAY(jul!AF$3,1)=1,"WO","P"))</f>
        <v>P</v>
      </c>
      <c r="AG38" s="4" t="str">
        <f>IFERROR(LOOKUP(2,1/((lentry!$A$3:$A$3999=jul!$A38)*(lentry!$B$3:$B$3999&lt;=jul!AG$3)*(lentry!$C$3:$C$3999&gt;=jul!AG$3)),lentry!$D$3:$D$3999),IF(WEEKDAY(jul!AG$3,1)=1,"WO","P"))</f>
        <v>P</v>
      </c>
      <c r="AH38" s="4" t="str">
        <f>IFERROR(LOOKUP(2,1/((lentry!$A$3:$A$3999=jul!$A38)*(lentry!$B$3:$B$3999&lt;=jul!AH$3)*(lentry!$C$3:$C$3999&gt;=jul!AH$3)),lentry!$D$3:$D$3999),IF(WEEKDAY(jul!AH$3,1)=1,"WO","P"))</f>
        <v>P</v>
      </c>
      <c r="AI38" s="4" t="str">
        <f>IFERROR(LOOKUP(2,1/((lentry!$A$3:$A$3999=jul!$A38)*(lentry!$B$3:$B$3999&lt;=jul!AI$3)*(lentry!$C$3:$C$3999&gt;=jul!AI$3)),lentry!$D$3:$D$3999),IF(WEEKDAY(jul!AI$3,1)=1,"WO","P"))</f>
        <v>P</v>
      </c>
      <c r="AJ38" s="4" t="str">
        <f>IFERROR(LOOKUP(2,1/((lentry!$A$3:$A$3999=jul!$A38)*(lentry!$B$3:$B$3999&lt;=jul!AJ$3)*(lentry!$C$3:$C$3999&gt;=jul!AJ$3)),lentry!$D$3:$D$3999),IF(WEEKDAY(jul!AJ$3,1)=1,"WO","P"))</f>
        <v>P</v>
      </c>
      <c r="AK38" s="4">
        <f>COUNTIF(jul!$F38:$AJ38,"WO")</f>
        <v>4</v>
      </c>
      <c r="AL38" s="4">
        <f>COUNTIF(jul!$F38:$AJ38,"H")</f>
        <v>0</v>
      </c>
      <c r="AM38" s="4">
        <f>COUNTIF(jul!$F38:$AJ38,"pl")</f>
        <v>0</v>
      </c>
      <c r="AN38" s="4">
        <f>COUNTIF(jul!$F38:$AJ38,"LWP")</f>
        <v>0</v>
      </c>
      <c r="AO38" s="4">
        <f>COUNTIF(jul!$F38:$AJ38,"HD")</f>
        <v>0</v>
      </c>
      <c r="AP38" s="4">
        <f>COUNTIF(jul!$F38:$AJ38,"SL")</f>
        <v>0</v>
      </c>
      <c r="AQ38" s="4">
        <f>COUNTIF(jul!$F38:$AJ38,"CL")</f>
        <v>0</v>
      </c>
      <c r="AR38" s="4">
        <f>COUNTIF(jul!$F38:$AJ38,"A")</f>
        <v>3</v>
      </c>
      <c r="AS38" s="4">
        <f>COUNTIF(jul!$F38:$AJ38,"P")</f>
        <v>24</v>
      </c>
      <c r="AT38" s="4">
        <f t="shared" si="2"/>
        <v>31</v>
      </c>
      <c r="AU38" s="4">
        <f t="shared" si="3"/>
        <v>28</v>
      </c>
      <c r="AV38" s="4">
        <f>SUMIFS(holly!$L$2:$L$122,holly!$I$2:$I$122,mar!$A38,holly!$K$2:$K$122,"Mar")</f>
        <v>0</v>
      </c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</row>
    <row r="39" spans="1:80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IFERROR(LOOKUP(2,1/((lentry!$A$3:$A$3999=jul!$A39)*(lentry!$B$3:$B$3999&lt;=jul!F$3)*(lentry!$C$3:$C$3999&gt;=jul!F$3)),lentry!$D$3:$D$3999),IF(WEEKDAY(jul!F$3,1)=1,"WO","P"))</f>
        <v>P</v>
      </c>
      <c r="G39" s="4" t="str">
        <f>IFERROR(LOOKUP(2,1/((lentry!$A$3:$A$3999=jul!$A39)*(lentry!$B$3:$B$3999&lt;=jul!G$3)*(lentry!$C$3:$C$3999&gt;=jul!G$3)),lentry!$D$3:$D$3999),IF(WEEKDAY(jul!G$3,1)=1,"WO","P"))</f>
        <v>P</v>
      </c>
      <c r="H39" s="4" t="str">
        <f>IFERROR(LOOKUP(2,1/((lentry!$A$3:$A$3999=jul!$A39)*(lentry!$B$3:$B$3999&lt;=jul!H$3)*(lentry!$C$3:$C$3999&gt;=jul!H$3)),lentry!$D$3:$D$3999),IF(WEEKDAY(jul!H$3,1)=1,"WO","P"))</f>
        <v>P</v>
      </c>
      <c r="I39" s="4" t="str">
        <f>IFERROR(LOOKUP(2,1/((lentry!$A$3:$A$3999=jul!$A39)*(lentry!$B$3:$B$3999&lt;=jul!I$3)*(lentry!$C$3:$C$3999&gt;=jul!I$3)),lentry!$D$3:$D$3999),IF(WEEKDAY(jul!I$3,1)=1,"WO","P"))</f>
        <v>P</v>
      </c>
      <c r="J39" s="4" t="str">
        <f>IFERROR(LOOKUP(2,1/((lentry!$A$3:$A$3999=jul!$A39)*(lentry!$B$3:$B$3999&lt;=jul!J$3)*(lentry!$C$3:$C$3999&gt;=jul!J$3)),lentry!$D$3:$D$3999),IF(WEEKDAY(jul!J$3,1)=1,"WO","P"))</f>
        <v>WO</v>
      </c>
      <c r="K39" s="4" t="str">
        <f>IFERROR(LOOKUP(2,1/((lentry!$A$3:$A$3999=jul!$A39)*(lentry!$B$3:$B$3999&lt;=jul!K$3)*(lentry!$C$3:$C$3999&gt;=jul!K$3)),lentry!$D$3:$D$3999),IF(WEEKDAY(jul!K$3,1)=1,"WO","P"))</f>
        <v>P</v>
      </c>
      <c r="L39" s="4" t="str">
        <f>IFERROR(LOOKUP(2,1/((lentry!$A$3:$A$3999=jul!$A39)*(lentry!$B$3:$B$3999&lt;=jul!L$3)*(lentry!$C$3:$C$3999&gt;=jul!L$3)),lentry!$D$3:$D$3999),IF(WEEKDAY(jul!L$3,1)=1,"WO","P"))</f>
        <v>P</v>
      </c>
      <c r="M39" s="4" t="str">
        <f>IFERROR(LOOKUP(2,1/((lentry!$A$3:$A$3999=jul!$A39)*(lentry!$B$3:$B$3999&lt;=jul!M$3)*(lentry!$C$3:$C$3999&gt;=jul!M$3)),lentry!$D$3:$D$3999),IF(WEEKDAY(jul!M$3,1)=1,"WO","P"))</f>
        <v>P</v>
      </c>
      <c r="N39" s="4" t="str">
        <f>IFERROR(LOOKUP(2,1/((lentry!$A$3:$A$3999=jul!$A39)*(lentry!$B$3:$B$3999&lt;=jul!N$3)*(lentry!$C$3:$C$3999&gt;=jul!N$3)),lentry!$D$3:$D$3999),IF(WEEKDAY(jul!N$3,1)=1,"WO","P"))</f>
        <v>P</v>
      </c>
      <c r="O39" s="4" t="str">
        <f>IFERROR(LOOKUP(2,1/((lentry!$A$3:$A$3999=jul!$A39)*(lentry!$B$3:$B$3999&lt;=jul!O$3)*(lentry!$C$3:$C$3999&gt;=jul!O$3)),lentry!$D$3:$D$3999),IF(WEEKDAY(jul!O$3,1)=1,"WO","P"))</f>
        <v>P</v>
      </c>
      <c r="P39" s="4" t="str">
        <f>IFERROR(LOOKUP(2,1/((lentry!$A$3:$A$3999=jul!$A39)*(lentry!$B$3:$B$3999&lt;=jul!P$3)*(lentry!$C$3:$C$3999&gt;=jul!P$3)),lentry!$D$3:$D$3999),IF(WEEKDAY(jul!P$3,1)=1,"WO","P"))</f>
        <v>P</v>
      </c>
      <c r="Q39" s="4" t="str">
        <f>IFERROR(LOOKUP(2,1/((lentry!$A$3:$A$3999=jul!$A39)*(lentry!$B$3:$B$3999&lt;=jul!Q$3)*(lentry!$C$3:$C$3999&gt;=jul!Q$3)),lentry!$D$3:$D$3999),IF(WEEKDAY(jul!Q$3,1)=1,"WO","P"))</f>
        <v>WO</v>
      </c>
      <c r="R39" s="4" t="str">
        <f>IFERROR(LOOKUP(2,1/((lentry!$A$3:$A$3999=jul!$A39)*(lentry!$B$3:$B$3999&lt;=jul!R$3)*(lentry!$C$3:$C$3999&gt;=jul!R$3)),lentry!$D$3:$D$3999),IF(WEEKDAY(jul!R$3,1)=1,"WO","P"))</f>
        <v>P</v>
      </c>
      <c r="S39" s="4" t="str">
        <f>IFERROR(LOOKUP(2,1/((lentry!$A$3:$A$3999=jul!$A39)*(lentry!$B$3:$B$3999&lt;=jul!S$3)*(lentry!$C$3:$C$3999&gt;=jul!S$3)),lentry!$D$3:$D$3999),IF(WEEKDAY(jul!S$3,1)=1,"WO","P"))</f>
        <v>P</v>
      </c>
      <c r="T39" s="4" t="str">
        <f>IFERROR(LOOKUP(2,1/((lentry!$A$3:$A$3999=jul!$A39)*(lentry!$B$3:$B$3999&lt;=jul!T$3)*(lentry!$C$3:$C$3999&gt;=jul!T$3)),lentry!$D$3:$D$3999),IF(WEEKDAY(jul!T$3,1)=1,"WO","P"))</f>
        <v>P</v>
      </c>
      <c r="U39" s="4" t="str">
        <f>IFERROR(LOOKUP(2,1/((lentry!$A$3:$A$3999=jul!$A39)*(lentry!$B$3:$B$3999&lt;=jul!U$3)*(lentry!$C$3:$C$3999&gt;=jul!U$3)),lentry!$D$3:$D$3999),IF(WEEKDAY(jul!U$3,1)=1,"WO","P"))</f>
        <v>P</v>
      </c>
      <c r="V39" s="4" t="str">
        <f>IFERROR(LOOKUP(2,1/((lentry!$A$3:$A$3999=jul!$A39)*(lentry!$B$3:$B$3999&lt;=jul!V$3)*(lentry!$C$3:$C$3999&gt;=jul!V$3)),lentry!$D$3:$D$3999),IF(WEEKDAY(jul!V$3,1)=1,"WO","P"))</f>
        <v>P</v>
      </c>
      <c r="W39" s="4" t="str">
        <f>IFERROR(LOOKUP(2,1/((lentry!$A$3:$A$3999=jul!$A39)*(lentry!$B$3:$B$3999&lt;=jul!W$3)*(lentry!$C$3:$C$3999&gt;=jul!W$3)),lentry!$D$3:$D$3999),IF(WEEKDAY(jul!W$3,1)=1,"WO","P"))</f>
        <v>P</v>
      </c>
      <c r="X39" s="4" t="str">
        <f>IFERROR(LOOKUP(2,1/((lentry!$A$3:$A$3999=jul!$A39)*(lentry!$B$3:$B$3999&lt;=jul!X$3)*(lentry!$C$3:$C$3999&gt;=jul!X$3)),lentry!$D$3:$D$3999),IF(WEEKDAY(jul!X$3,1)=1,"WO","P"))</f>
        <v>WO</v>
      </c>
      <c r="Y39" s="4" t="str">
        <f>IFERROR(LOOKUP(2,1/((lentry!$A$3:$A$3999=jul!$A39)*(lentry!$B$3:$B$3999&lt;=jul!Y$3)*(lentry!$C$3:$C$3999&gt;=jul!Y$3)),lentry!$D$3:$D$3999),IF(WEEKDAY(jul!Y$3,1)=1,"WO","P"))</f>
        <v>P</v>
      </c>
      <c r="Z39" s="4" t="str">
        <f>IFERROR(LOOKUP(2,1/((lentry!$A$3:$A$3999=jul!$A39)*(lentry!$B$3:$B$3999&lt;=jul!Z$3)*(lentry!$C$3:$C$3999&gt;=jul!Z$3)),lentry!$D$3:$D$3999),IF(WEEKDAY(jul!Z$3,1)=1,"WO","P"))</f>
        <v>P</v>
      </c>
      <c r="AA39" s="4" t="str">
        <f>IFERROR(LOOKUP(2,1/((lentry!$A$3:$A$3999=jul!$A39)*(lentry!$B$3:$B$3999&lt;=jul!AA$3)*(lentry!$C$3:$C$3999&gt;=jul!AA$3)),lentry!$D$3:$D$3999),IF(WEEKDAY(jul!AA$3,1)=1,"WO","P"))</f>
        <v>P</v>
      </c>
      <c r="AB39" s="4" t="str">
        <f>IFERROR(LOOKUP(2,1/((lentry!$A$3:$A$3999=jul!$A39)*(lentry!$B$3:$B$3999&lt;=jul!AB$3)*(lentry!$C$3:$C$3999&gt;=jul!AB$3)),lentry!$D$3:$D$3999),IF(WEEKDAY(jul!AB$3,1)=1,"WO","P"))</f>
        <v>P</v>
      </c>
      <c r="AC39" s="4" t="str">
        <f>IFERROR(LOOKUP(2,1/((lentry!$A$3:$A$3999=jul!$A39)*(lentry!$B$3:$B$3999&lt;=jul!AC$3)*(lentry!$C$3:$C$3999&gt;=jul!AC$3)),lentry!$D$3:$D$3999),IF(WEEKDAY(jul!AC$3,1)=1,"WO","P"))</f>
        <v>P</v>
      </c>
      <c r="AD39" s="4" t="str">
        <f>IFERROR(LOOKUP(2,1/((lentry!$A$3:$A$3999=jul!$A39)*(lentry!$B$3:$B$3999&lt;=jul!AD$3)*(lentry!$C$3:$C$3999&gt;=jul!AD$3)),lentry!$D$3:$D$3999),IF(WEEKDAY(jul!AD$3,1)=1,"WO","P"))</f>
        <v>P</v>
      </c>
      <c r="AE39" s="4" t="str">
        <f>IFERROR(LOOKUP(2,1/((lentry!$A$3:$A$3999=jul!$A39)*(lentry!$B$3:$B$3999&lt;=jul!AE$3)*(lentry!$C$3:$C$3999&gt;=jul!AE$3)),lentry!$D$3:$D$3999),IF(WEEKDAY(jul!AE$3,1)=1,"WO","P"))</f>
        <v>WO</v>
      </c>
      <c r="AF39" s="4" t="str">
        <f>IFERROR(LOOKUP(2,1/((lentry!$A$3:$A$3999=jul!$A39)*(lentry!$B$3:$B$3999&lt;=jul!AF$3)*(lentry!$C$3:$C$3999&gt;=jul!AF$3)),lentry!$D$3:$D$3999),IF(WEEKDAY(jul!AF$3,1)=1,"WO","P"))</f>
        <v>P</v>
      </c>
      <c r="AG39" s="4" t="str">
        <f>IFERROR(LOOKUP(2,1/((lentry!$A$3:$A$3999=jul!$A39)*(lentry!$B$3:$B$3999&lt;=jul!AG$3)*(lentry!$C$3:$C$3999&gt;=jul!AG$3)),lentry!$D$3:$D$3999),IF(WEEKDAY(jul!AG$3,1)=1,"WO","P"))</f>
        <v>P</v>
      </c>
      <c r="AH39" s="4" t="str">
        <f>IFERROR(LOOKUP(2,1/((lentry!$A$3:$A$3999=jul!$A39)*(lentry!$B$3:$B$3999&lt;=jul!AH$3)*(lentry!$C$3:$C$3999&gt;=jul!AH$3)),lentry!$D$3:$D$3999),IF(WEEKDAY(jul!AH$3,1)=1,"WO","P"))</f>
        <v>P</v>
      </c>
      <c r="AI39" s="4" t="str">
        <f>IFERROR(LOOKUP(2,1/((lentry!$A$3:$A$3999=jul!$A39)*(lentry!$B$3:$B$3999&lt;=jul!AI$3)*(lentry!$C$3:$C$3999&gt;=jul!AI$3)),lentry!$D$3:$D$3999),IF(WEEKDAY(jul!AI$3,1)=1,"WO","P"))</f>
        <v>P</v>
      </c>
      <c r="AJ39" s="4" t="str">
        <f>IFERROR(LOOKUP(2,1/((lentry!$A$3:$A$3999=jul!$A39)*(lentry!$B$3:$B$3999&lt;=jul!AJ$3)*(lentry!$C$3:$C$3999&gt;=jul!AJ$3)),lentry!$D$3:$D$3999),IF(WEEKDAY(jul!AJ$3,1)=1,"WO","P"))</f>
        <v>P</v>
      </c>
      <c r="AK39" s="4">
        <f>COUNTIF(jul!$F39:$AJ39,"WO")</f>
        <v>4</v>
      </c>
      <c r="AL39" s="4">
        <f>COUNTIF(jul!$F39:$AJ39,"H")</f>
        <v>0</v>
      </c>
      <c r="AM39" s="4">
        <f>COUNTIF(jul!$F39:$AJ39,"pl")</f>
        <v>0</v>
      </c>
      <c r="AN39" s="4">
        <f>COUNTIF(jul!$F39:$AJ39,"LWP")</f>
        <v>0</v>
      </c>
      <c r="AO39" s="4">
        <f>COUNTIF(jul!$F39:$AJ39,"HD")</f>
        <v>0</v>
      </c>
      <c r="AP39" s="4">
        <f>COUNTIF(jul!$F39:$AJ39,"SL")</f>
        <v>0</v>
      </c>
      <c r="AQ39" s="4">
        <f>COUNTIF(jul!$F39:$AJ39,"CL")</f>
        <v>0</v>
      </c>
      <c r="AR39" s="4">
        <f>COUNTIF(jul!$F39:$AJ39,"A")</f>
        <v>0</v>
      </c>
      <c r="AS39" s="4">
        <f>COUNTIF(jul!$F39:$AJ39,"P")</f>
        <v>27</v>
      </c>
      <c r="AT39" s="4">
        <f t="shared" si="2"/>
        <v>31</v>
      </c>
      <c r="AU39" s="4">
        <f t="shared" si="3"/>
        <v>31</v>
      </c>
      <c r="AV39" s="4">
        <f>SUMIFS(holly!$L$2:$L$122,holly!$I$2:$I$122,mar!$A39,holly!$K$2:$K$122,"Mar")</f>
        <v>0</v>
      </c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</row>
    <row r="40" spans="1:80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IFERROR(LOOKUP(2,1/((lentry!$A$3:$A$3999=jul!$A40)*(lentry!$B$3:$B$3999&lt;=jul!F$3)*(lentry!$C$3:$C$3999&gt;=jul!F$3)),lentry!$D$3:$D$3999),IF(WEEKDAY(jul!F$3,1)=1,"WO","P"))</f>
        <v>P</v>
      </c>
      <c r="G40" s="4" t="str">
        <f>IFERROR(LOOKUP(2,1/((lentry!$A$3:$A$3999=jul!$A40)*(lentry!$B$3:$B$3999&lt;=jul!G$3)*(lentry!$C$3:$C$3999&gt;=jul!G$3)),lentry!$D$3:$D$3999),IF(WEEKDAY(jul!G$3,1)=1,"WO","P"))</f>
        <v>P</v>
      </c>
      <c r="H40" s="4" t="str">
        <f>IFERROR(LOOKUP(2,1/((lentry!$A$3:$A$3999=jul!$A40)*(lentry!$B$3:$B$3999&lt;=jul!H$3)*(lentry!$C$3:$C$3999&gt;=jul!H$3)),lentry!$D$3:$D$3999),IF(WEEKDAY(jul!H$3,1)=1,"WO","P"))</f>
        <v>P</v>
      </c>
      <c r="I40" s="4" t="str">
        <f>IFERROR(LOOKUP(2,1/((lentry!$A$3:$A$3999=jul!$A40)*(lentry!$B$3:$B$3999&lt;=jul!I$3)*(lentry!$C$3:$C$3999&gt;=jul!I$3)),lentry!$D$3:$D$3999),IF(WEEKDAY(jul!I$3,1)=1,"WO","P"))</f>
        <v>P</v>
      </c>
      <c r="J40" s="4" t="str">
        <f>IFERROR(LOOKUP(2,1/((lentry!$A$3:$A$3999=jul!$A40)*(lentry!$B$3:$B$3999&lt;=jul!J$3)*(lentry!$C$3:$C$3999&gt;=jul!J$3)),lentry!$D$3:$D$3999),IF(WEEKDAY(jul!J$3,1)=1,"WO","P"))</f>
        <v>WO</v>
      </c>
      <c r="K40" s="4" t="str">
        <f>IFERROR(LOOKUP(2,1/((lentry!$A$3:$A$3999=jul!$A40)*(lentry!$B$3:$B$3999&lt;=jul!K$3)*(lentry!$C$3:$C$3999&gt;=jul!K$3)),lentry!$D$3:$D$3999),IF(WEEKDAY(jul!K$3,1)=1,"WO","P"))</f>
        <v>P</v>
      </c>
      <c r="L40" s="4" t="str">
        <f>IFERROR(LOOKUP(2,1/((lentry!$A$3:$A$3999=jul!$A40)*(lentry!$B$3:$B$3999&lt;=jul!L$3)*(lentry!$C$3:$C$3999&gt;=jul!L$3)),lentry!$D$3:$D$3999),IF(WEEKDAY(jul!L$3,1)=1,"WO","P"))</f>
        <v>P</v>
      </c>
      <c r="M40" s="4" t="str">
        <f>IFERROR(LOOKUP(2,1/((lentry!$A$3:$A$3999=jul!$A40)*(lentry!$B$3:$B$3999&lt;=jul!M$3)*(lentry!$C$3:$C$3999&gt;=jul!M$3)),lentry!$D$3:$D$3999),IF(WEEKDAY(jul!M$3,1)=1,"WO","P"))</f>
        <v>P</v>
      </c>
      <c r="N40" s="4" t="str">
        <f>IFERROR(LOOKUP(2,1/((lentry!$A$3:$A$3999=jul!$A40)*(lentry!$B$3:$B$3999&lt;=jul!N$3)*(lentry!$C$3:$C$3999&gt;=jul!N$3)),lentry!$D$3:$D$3999),IF(WEEKDAY(jul!N$3,1)=1,"WO","P"))</f>
        <v>P</v>
      </c>
      <c r="O40" s="4" t="str">
        <f>IFERROR(LOOKUP(2,1/((lentry!$A$3:$A$3999=jul!$A40)*(lentry!$B$3:$B$3999&lt;=jul!O$3)*(lentry!$C$3:$C$3999&gt;=jul!O$3)),lentry!$D$3:$D$3999),IF(WEEKDAY(jul!O$3,1)=1,"WO","P"))</f>
        <v>P</v>
      </c>
      <c r="P40" s="4" t="str">
        <f>IFERROR(LOOKUP(2,1/((lentry!$A$3:$A$3999=jul!$A40)*(lentry!$B$3:$B$3999&lt;=jul!P$3)*(lentry!$C$3:$C$3999&gt;=jul!P$3)),lentry!$D$3:$D$3999),IF(WEEKDAY(jul!P$3,1)=1,"WO","P"))</f>
        <v>P</v>
      </c>
      <c r="Q40" s="4" t="str">
        <f>IFERROR(LOOKUP(2,1/((lentry!$A$3:$A$3999=jul!$A40)*(lentry!$B$3:$B$3999&lt;=jul!Q$3)*(lentry!$C$3:$C$3999&gt;=jul!Q$3)),lentry!$D$3:$D$3999),IF(WEEKDAY(jul!Q$3,1)=1,"WO","P"))</f>
        <v>WO</v>
      </c>
      <c r="R40" s="4" t="str">
        <f>IFERROR(LOOKUP(2,1/((lentry!$A$3:$A$3999=jul!$A40)*(lentry!$B$3:$B$3999&lt;=jul!R$3)*(lentry!$C$3:$C$3999&gt;=jul!R$3)),lentry!$D$3:$D$3999),IF(WEEKDAY(jul!R$3,1)=1,"WO","P"))</f>
        <v>P</v>
      </c>
      <c r="S40" s="4" t="str">
        <f>IFERROR(LOOKUP(2,1/((lentry!$A$3:$A$3999=jul!$A40)*(lentry!$B$3:$B$3999&lt;=jul!S$3)*(lentry!$C$3:$C$3999&gt;=jul!S$3)),lentry!$D$3:$D$3999),IF(WEEKDAY(jul!S$3,1)=1,"WO","P"))</f>
        <v>P</v>
      </c>
      <c r="T40" s="4" t="str">
        <f>IFERROR(LOOKUP(2,1/((lentry!$A$3:$A$3999=jul!$A40)*(lentry!$B$3:$B$3999&lt;=jul!T$3)*(lentry!$C$3:$C$3999&gt;=jul!T$3)),lentry!$D$3:$D$3999),IF(WEEKDAY(jul!T$3,1)=1,"WO","P"))</f>
        <v>P</v>
      </c>
      <c r="U40" s="4" t="str">
        <f>IFERROR(LOOKUP(2,1/((lentry!$A$3:$A$3999=jul!$A40)*(lentry!$B$3:$B$3999&lt;=jul!U$3)*(lentry!$C$3:$C$3999&gt;=jul!U$3)),lentry!$D$3:$D$3999),IF(WEEKDAY(jul!U$3,1)=1,"WO","P"))</f>
        <v>P</v>
      </c>
      <c r="V40" s="4" t="str">
        <f>IFERROR(LOOKUP(2,1/((lentry!$A$3:$A$3999=jul!$A40)*(lentry!$B$3:$B$3999&lt;=jul!V$3)*(lentry!$C$3:$C$3999&gt;=jul!V$3)),lentry!$D$3:$D$3999),IF(WEEKDAY(jul!V$3,1)=1,"WO","P"))</f>
        <v>P</v>
      </c>
      <c r="W40" s="4" t="str">
        <f>IFERROR(LOOKUP(2,1/((lentry!$A$3:$A$3999=jul!$A40)*(lentry!$B$3:$B$3999&lt;=jul!W$3)*(lentry!$C$3:$C$3999&gt;=jul!W$3)),lentry!$D$3:$D$3999),IF(WEEKDAY(jul!W$3,1)=1,"WO","P"))</f>
        <v>P</v>
      </c>
      <c r="X40" s="4" t="str">
        <f>IFERROR(LOOKUP(2,1/((lentry!$A$3:$A$3999=jul!$A40)*(lentry!$B$3:$B$3999&lt;=jul!X$3)*(lentry!$C$3:$C$3999&gt;=jul!X$3)),lentry!$D$3:$D$3999),IF(WEEKDAY(jul!X$3,1)=1,"WO","P"))</f>
        <v>WO</v>
      </c>
      <c r="Y40" s="4" t="str">
        <f>IFERROR(LOOKUP(2,1/((lentry!$A$3:$A$3999=jul!$A40)*(lentry!$B$3:$B$3999&lt;=jul!Y$3)*(lentry!$C$3:$C$3999&gt;=jul!Y$3)),lentry!$D$3:$D$3999),IF(WEEKDAY(jul!Y$3,1)=1,"WO","P"))</f>
        <v>P</v>
      </c>
      <c r="Z40" s="4" t="str">
        <f>IFERROR(LOOKUP(2,1/((lentry!$A$3:$A$3999=jul!$A40)*(lentry!$B$3:$B$3999&lt;=jul!Z$3)*(lentry!$C$3:$C$3999&gt;=jul!Z$3)),lentry!$D$3:$D$3999),IF(WEEKDAY(jul!Z$3,1)=1,"WO","P"))</f>
        <v>P</v>
      </c>
      <c r="AA40" s="4" t="str">
        <f>IFERROR(LOOKUP(2,1/((lentry!$A$3:$A$3999=jul!$A40)*(lentry!$B$3:$B$3999&lt;=jul!AA$3)*(lentry!$C$3:$C$3999&gt;=jul!AA$3)),lentry!$D$3:$D$3999),IF(WEEKDAY(jul!AA$3,1)=1,"WO","P"))</f>
        <v>P</v>
      </c>
      <c r="AB40" s="4" t="str">
        <f>IFERROR(LOOKUP(2,1/((lentry!$A$3:$A$3999=jul!$A40)*(lentry!$B$3:$B$3999&lt;=jul!AB$3)*(lentry!$C$3:$C$3999&gt;=jul!AB$3)),lentry!$D$3:$D$3999),IF(WEEKDAY(jul!AB$3,1)=1,"WO","P"))</f>
        <v>P</v>
      </c>
      <c r="AC40" s="4" t="str">
        <f>IFERROR(LOOKUP(2,1/((lentry!$A$3:$A$3999=jul!$A40)*(lentry!$B$3:$B$3999&lt;=jul!AC$3)*(lentry!$C$3:$C$3999&gt;=jul!AC$3)),lentry!$D$3:$D$3999),IF(WEEKDAY(jul!AC$3,1)=1,"WO","P"))</f>
        <v>P</v>
      </c>
      <c r="AD40" s="4" t="str">
        <f>IFERROR(LOOKUP(2,1/((lentry!$A$3:$A$3999=jul!$A40)*(lentry!$B$3:$B$3999&lt;=jul!AD$3)*(lentry!$C$3:$C$3999&gt;=jul!AD$3)),lentry!$D$3:$D$3999),IF(WEEKDAY(jul!AD$3,1)=1,"WO","P"))</f>
        <v>P</v>
      </c>
      <c r="AE40" s="4" t="str">
        <f>IFERROR(LOOKUP(2,1/((lentry!$A$3:$A$3999=jul!$A40)*(lentry!$B$3:$B$3999&lt;=jul!AE$3)*(lentry!$C$3:$C$3999&gt;=jul!AE$3)),lentry!$D$3:$D$3999),IF(WEEKDAY(jul!AE$3,1)=1,"WO","P"))</f>
        <v>WO</v>
      </c>
      <c r="AF40" s="4" t="str">
        <f>IFERROR(LOOKUP(2,1/((lentry!$A$3:$A$3999=jul!$A40)*(lentry!$B$3:$B$3999&lt;=jul!AF$3)*(lentry!$C$3:$C$3999&gt;=jul!AF$3)),lentry!$D$3:$D$3999),IF(WEEKDAY(jul!AF$3,1)=1,"WO","P"))</f>
        <v>P</v>
      </c>
      <c r="AG40" s="4" t="str">
        <f>IFERROR(LOOKUP(2,1/((lentry!$A$3:$A$3999=jul!$A40)*(lentry!$B$3:$B$3999&lt;=jul!AG$3)*(lentry!$C$3:$C$3999&gt;=jul!AG$3)),lentry!$D$3:$D$3999),IF(WEEKDAY(jul!AG$3,1)=1,"WO","P"))</f>
        <v>P</v>
      </c>
      <c r="AH40" s="4" t="str">
        <f>IFERROR(LOOKUP(2,1/((lentry!$A$3:$A$3999=jul!$A40)*(lentry!$B$3:$B$3999&lt;=jul!AH$3)*(lentry!$C$3:$C$3999&gt;=jul!AH$3)),lentry!$D$3:$D$3999),IF(WEEKDAY(jul!AH$3,1)=1,"WO","P"))</f>
        <v>P</v>
      </c>
      <c r="AI40" s="4" t="str">
        <f>IFERROR(LOOKUP(2,1/((lentry!$A$3:$A$3999=jul!$A40)*(lentry!$B$3:$B$3999&lt;=jul!AI$3)*(lentry!$C$3:$C$3999&gt;=jul!AI$3)),lentry!$D$3:$D$3999),IF(WEEKDAY(jul!AI$3,1)=1,"WO","P"))</f>
        <v>P</v>
      </c>
      <c r="AJ40" s="4" t="str">
        <f>IFERROR(LOOKUP(2,1/((lentry!$A$3:$A$3999=jul!$A40)*(lentry!$B$3:$B$3999&lt;=jul!AJ$3)*(lentry!$C$3:$C$3999&gt;=jul!AJ$3)),lentry!$D$3:$D$3999),IF(WEEKDAY(jul!AJ$3,1)=1,"WO","P"))</f>
        <v>P</v>
      </c>
      <c r="AK40" s="4">
        <f>COUNTIF(jul!$F40:$AJ40,"WO")</f>
        <v>4</v>
      </c>
      <c r="AL40" s="4">
        <f>COUNTIF(jul!$F40:$AJ40,"H")</f>
        <v>0</v>
      </c>
      <c r="AM40" s="4">
        <f>COUNTIF(jul!$F40:$AJ40,"pl")</f>
        <v>0</v>
      </c>
      <c r="AN40" s="4">
        <f>COUNTIF(jul!$F40:$AJ40,"LWP")</f>
        <v>0</v>
      </c>
      <c r="AO40" s="4">
        <f>COUNTIF(jul!$F40:$AJ40,"HD")</f>
        <v>0</v>
      </c>
      <c r="AP40" s="4">
        <f>COUNTIF(jul!$F40:$AJ40,"SL")</f>
        <v>0</v>
      </c>
      <c r="AQ40" s="4">
        <f>COUNTIF(jul!$F40:$AJ40,"CL")</f>
        <v>0</v>
      </c>
      <c r="AR40" s="4">
        <f>COUNTIF(jul!$F40:$AJ40,"A")</f>
        <v>0</v>
      </c>
      <c r="AS40" s="4">
        <f>COUNTIF(jul!$F40:$AJ40,"P")</f>
        <v>27</v>
      </c>
      <c r="AT40" s="4">
        <f t="shared" si="2"/>
        <v>31</v>
      </c>
      <c r="AU40" s="4">
        <f t="shared" si="3"/>
        <v>31</v>
      </c>
      <c r="AV40" s="4">
        <f>SUMIFS(holly!$L$2:$L$122,holly!$I$2:$I$122,mar!$A40,holly!$K$2:$K$122,"Mar")</f>
        <v>0</v>
      </c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</row>
    <row r="41" spans="1:80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IFERROR(LOOKUP(2,1/((lentry!$A$3:$A$3999=jul!$A41)*(lentry!$B$3:$B$3999&lt;=jul!F$3)*(lentry!$C$3:$C$3999&gt;=jul!F$3)),lentry!$D$3:$D$3999),IF(WEEKDAY(jul!F$3,1)=1,"WO","P"))</f>
        <v>P</v>
      </c>
      <c r="G41" s="4" t="str">
        <f>IFERROR(LOOKUP(2,1/((lentry!$A$3:$A$3999=jul!$A41)*(lentry!$B$3:$B$3999&lt;=jul!G$3)*(lentry!$C$3:$C$3999&gt;=jul!G$3)),lentry!$D$3:$D$3999),IF(WEEKDAY(jul!G$3,1)=1,"WO","P"))</f>
        <v>P</v>
      </c>
      <c r="H41" s="4" t="str">
        <f>IFERROR(LOOKUP(2,1/((lentry!$A$3:$A$3999=jul!$A41)*(lentry!$B$3:$B$3999&lt;=jul!H$3)*(lentry!$C$3:$C$3999&gt;=jul!H$3)),lentry!$D$3:$D$3999),IF(WEEKDAY(jul!H$3,1)=1,"WO","P"))</f>
        <v>P</v>
      </c>
      <c r="I41" s="4" t="str">
        <f>IFERROR(LOOKUP(2,1/((lentry!$A$3:$A$3999=jul!$A41)*(lentry!$B$3:$B$3999&lt;=jul!I$3)*(lentry!$C$3:$C$3999&gt;=jul!I$3)),lentry!$D$3:$D$3999),IF(WEEKDAY(jul!I$3,1)=1,"WO","P"))</f>
        <v>P</v>
      </c>
      <c r="J41" s="4" t="str">
        <f>IFERROR(LOOKUP(2,1/((lentry!$A$3:$A$3999=jul!$A41)*(lentry!$B$3:$B$3999&lt;=jul!J$3)*(lentry!$C$3:$C$3999&gt;=jul!J$3)),lentry!$D$3:$D$3999),IF(WEEKDAY(jul!J$3,1)=1,"WO","P"))</f>
        <v>WO</v>
      </c>
      <c r="K41" s="4" t="str">
        <f>IFERROR(LOOKUP(2,1/((lentry!$A$3:$A$3999=jul!$A41)*(lentry!$B$3:$B$3999&lt;=jul!K$3)*(lentry!$C$3:$C$3999&gt;=jul!K$3)),lentry!$D$3:$D$3999),IF(WEEKDAY(jul!K$3,1)=1,"WO","P"))</f>
        <v>P</v>
      </c>
      <c r="L41" s="4" t="str">
        <f>IFERROR(LOOKUP(2,1/((lentry!$A$3:$A$3999=jul!$A41)*(lentry!$B$3:$B$3999&lt;=jul!L$3)*(lentry!$C$3:$C$3999&gt;=jul!L$3)),lentry!$D$3:$D$3999),IF(WEEKDAY(jul!L$3,1)=1,"WO","P"))</f>
        <v>P</v>
      </c>
      <c r="M41" s="4" t="str">
        <f>IFERROR(LOOKUP(2,1/((lentry!$A$3:$A$3999=jul!$A41)*(lentry!$B$3:$B$3999&lt;=jul!M$3)*(lentry!$C$3:$C$3999&gt;=jul!M$3)),lentry!$D$3:$D$3999),IF(WEEKDAY(jul!M$3,1)=1,"WO","P"))</f>
        <v>P</v>
      </c>
      <c r="N41" s="4" t="str">
        <f>IFERROR(LOOKUP(2,1/((lentry!$A$3:$A$3999=jul!$A41)*(lentry!$B$3:$B$3999&lt;=jul!N$3)*(lentry!$C$3:$C$3999&gt;=jul!N$3)),lentry!$D$3:$D$3999),IF(WEEKDAY(jul!N$3,1)=1,"WO","P"))</f>
        <v>P</v>
      </c>
      <c r="O41" s="4" t="str">
        <f>IFERROR(LOOKUP(2,1/((lentry!$A$3:$A$3999=jul!$A41)*(lentry!$B$3:$B$3999&lt;=jul!O$3)*(lentry!$C$3:$C$3999&gt;=jul!O$3)),lentry!$D$3:$D$3999),IF(WEEKDAY(jul!O$3,1)=1,"WO","P"))</f>
        <v>P</v>
      </c>
      <c r="P41" s="4" t="str">
        <f>IFERROR(LOOKUP(2,1/((lentry!$A$3:$A$3999=jul!$A41)*(lentry!$B$3:$B$3999&lt;=jul!P$3)*(lentry!$C$3:$C$3999&gt;=jul!P$3)),lentry!$D$3:$D$3999),IF(WEEKDAY(jul!P$3,1)=1,"WO","P"))</f>
        <v>P</v>
      </c>
      <c r="Q41" s="4" t="str">
        <f>IFERROR(LOOKUP(2,1/((lentry!$A$3:$A$3999=jul!$A41)*(lentry!$B$3:$B$3999&lt;=jul!Q$3)*(lentry!$C$3:$C$3999&gt;=jul!Q$3)),lentry!$D$3:$D$3999),IF(WEEKDAY(jul!Q$3,1)=1,"WO","P"))</f>
        <v>WO</v>
      </c>
      <c r="R41" s="4" t="str">
        <f>IFERROR(LOOKUP(2,1/((lentry!$A$3:$A$3999=jul!$A41)*(lentry!$B$3:$B$3999&lt;=jul!R$3)*(lentry!$C$3:$C$3999&gt;=jul!R$3)),lentry!$D$3:$D$3999),IF(WEEKDAY(jul!R$3,1)=1,"WO","P"))</f>
        <v>P</v>
      </c>
      <c r="S41" s="4" t="str">
        <f>IFERROR(LOOKUP(2,1/((lentry!$A$3:$A$3999=jul!$A41)*(lentry!$B$3:$B$3999&lt;=jul!S$3)*(lentry!$C$3:$C$3999&gt;=jul!S$3)),lentry!$D$3:$D$3999),IF(WEEKDAY(jul!S$3,1)=1,"WO","P"))</f>
        <v>P</v>
      </c>
      <c r="T41" s="4" t="str">
        <f>IFERROR(LOOKUP(2,1/((lentry!$A$3:$A$3999=jul!$A41)*(lentry!$B$3:$B$3999&lt;=jul!T$3)*(lentry!$C$3:$C$3999&gt;=jul!T$3)),lentry!$D$3:$D$3999),IF(WEEKDAY(jul!T$3,1)=1,"WO","P"))</f>
        <v>P</v>
      </c>
      <c r="U41" s="4" t="str">
        <f>IFERROR(LOOKUP(2,1/((lentry!$A$3:$A$3999=jul!$A41)*(lentry!$B$3:$B$3999&lt;=jul!U$3)*(lentry!$C$3:$C$3999&gt;=jul!U$3)),lentry!$D$3:$D$3999),IF(WEEKDAY(jul!U$3,1)=1,"WO","P"))</f>
        <v>P</v>
      </c>
      <c r="V41" s="4" t="str">
        <f>IFERROR(LOOKUP(2,1/((lentry!$A$3:$A$3999=jul!$A41)*(lentry!$B$3:$B$3999&lt;=jul!V$3)*(lentry!$C$3:$C$3999&gt;=jul!V$3)),lentry!$D$3:$D$3999),IF(WEEKDAY(jul!V$3,1)=1,"WO","P"))</f>
        <v>P</v>
      </c>
      <c r="W41" s="4" t="str">
        <f>IFERROR(LOOKUP(2,1/((lentry!$A$3:$A$3999=jul!$A41)*(lentry!$B$3:$B$3999&lt;=jul!W$3)*(lentry!$C$3:$C$3999&gt;=jul!W$3)),lentry!$D$3:$D$3999),IF(WEEKDAY(jul!W$3,1)=1,"WO","P"))</f>
        <v>P</v>
      </c>
      <c r="X41" s="4" t="str">
        <f>IFERROR(LOOKUP(2,1/((lentry!$A$3:$A$3999=jul!$A41)*(lentry!$B$3:$B$3999&lt;=jul!X$3)*(lentry!$C$3:$C$3999&gt;=jul!X$3)),lentry!$D$3:$D$3999),IF(WEEKDAY(jul!X$3,1)=1,"WO","P"))</f>
        <v>WO</v>
      </c>
      <c r="Y41" s="4" t="str">
        <f>IFERROR(LOOKUP(2,1/((lentry!$A$3:$A$3999=jul!$A41)*(lentry!$B$3:$B$3999&lt;=jul!Y$3)*(lentry!$C$3:$C$3999&gt;=jul!Y$3)),lentry!$D$3:$D$3999),IF(WEEKDAY(jul!Y$3,1)=1,"WO","P"))</f>
        <v>P</v>
      </c>
      <c r="Z41" s="4" t="str">
        <f>IFERROR(LOOKUP(2,1/((lentry!$A$3:$A$3999=jul!$A41)*(lentry!$B$3:$B$3999&lt;=jul!Z$3)*(lentry!$C$3:$C$3999&gt;=jul!Z$3)),lentry!$D$3:$D$3999),IF(WEEKDAY(jul!Z$3,1)=1,"WO","P"))</f>
        <v>P</v>
      </c>
      <c r="AA41" s="4" t="str">
        <f>IFERROR(LOOKUP(2,1/((lentry!$A$3:$A$3999=jul!$A41)*(lentry!$B$3:$B$3999&lt;=jul!AA$3)*(lentry!$C$3:$C$3999&gt;=jul!AA$3)),lentry!$D$3:$D$3999),IF(WEEKDAY(jul!AA$3,1)=1,"WO","P"))</f>
        <v>P</v>
      </c>
      <c r="AB41" s="4" t="str">
        <f>IFERROR(LOOKUP(2,1/((lentry!$A$3:$A$3999=jul!$A41)*(lentry!$B$3:$B$3999&lt;=jul!AB$3)*(lentry!$C$3:$C$3999&gt;=jul!AB$3)),lentry!$D$3:$D$3999),IF(WEEKDAY(jul!AB$3,1)=1,"WO","P"))</f>
        <v>P</v>
      </c>
      <c r="AC41" s="4" t="str">
        <f>IFERROR(LOOKUP(2,1/((lentry!$A$3:$A$3999=jul!$A41)*(lentry!$B$3:$B$3999&lt;=jul!AC$3)*(lentry!$C$3:$C$3999&gt;=jul!AC$3)),lentry!$D$3:$D$3999),IF(WEEKDAY(jul!AC$3,1)=1,"WO","P"))</f>
        <v>P</v>
      </c>
      <c r="AD41" s="4" t="str">
        <f>IFERROR(LOOKUP(2,1/((lentry!$A$3:$A$3999=jul!$A41)*(lentry!$B$3:$B$3999&lt;=jul!AD$3)*(lentry!$C$3:$C$3999&gt;=jul!AD$3)),lentry!$D$3:$D$3999),IF(WEEKDAY(jul!AD$3,1)=1,"WO","P"))</f>
        <v>P</v>
      </c>
      <c r="AE41" s="4" t="str">
        <f>IFERROR(LOOKUP(2,1/((lentry!$A$3:$A$3999=jul!$A41)*(lentry!$B$3:$B$3999&lt;=jul!AE$3)*(lentry!$C$3:$C$3999&gt;=jul!AE$3)),lentry!$D$3:$D$3999),IF(WEEKDAY(jul!AE$3,1)=1,"WO","P"))</f>
        <v>WO</v>
      </c>
      <c r="AF41" s="4" t="str">
        <f>IFERROR(LOOKUP(2,1/((lentry!$A$3:$A$3999=jul!$A41)*(lentry!$B$3:$B$3999&lt;=jul!AF$3)*(lentry!$C$3:$C$3999&gt;=jul!AF$3)),lentry!$D$3:$D$3999),IF(WEEKDAY(jul!AF$3,1)=1,"WO","P"))</f>
        <v>P</v>
      </c>
      <c r="AG41" s="4" t="str">
        <f>IFERROR(LOOKUP(2,1/((lentry!$A$3:$A$3999=jul!$A41)*(lentry!$B$3:$B$3999&lt;=jul!AG$3)*(lentry!$C$3:$C$3999&gt;=jul!AG$3)),lentry!$D$3:$D$3999),IF(WEEKDAY(jul!AG$3,1)=1,"WO","P"))</f>
        <v>P</v>
      </c>
      <c r="AH41" s="4" t="str">
        <f>IFERROR(LOOKUP(2,1/((lentry!$A$3:$A$3999=jul!$A41)*(lentry!$B$3:$B$3999&lt;=jul!AH$3)*(lentry!$C$3:$C$3999&gt;=jul!AH$3)),lentry!$D$3:$D$3999),IF(WEEKDAY(jul!AH$3,1)=1,"WO","P"))</f>
        <v>P</v>
      </c>
      <c r="AI41" s="4" t="str">
        <f>IFERROR(LOOKUP(2,1/((lentry!$A$3:$A$3999=jul!$A41)*(lentry!$B$3:$B$3999&lt;=jul!AI$3)*(lentry!$C$3:$C$3999&gt;=jul!AI$3)),lentry!$D$3:$D$3999),IF(WEEKDAY(jul!AI$3,1)=1,"WO","P"))</f>
        <v>P</v>
      </c>
      <c r="AJ41" s="4" t="str">
        <f>IFERROR(LOOKUP(2,1/((lentry!$A$3:$A$3999=jul!$A41)*(lentry!$B$3:$B$3999&lt;=jul!AJ$3)*(lentry!$C$3:$C$3999&gt;=jul!AJ$3)),lentry!$D$3:$D$3999),IF(WEEKDAY(jul!AJ$3,1)=1,"WO","P"))</f>
        <v>P</v>
      </c>
      <c r="AK41" s="4">
        <f>COUNTIF(jul!$F41:$AJ41,"WO")</f>
        <v>4</v>
      </c>
      <c r="AL41" s="4">
        <f>COUNTIF(jul!$F41:$AJ41,"H")</f>
        <v>0</v>
      </c>
      <c r="AM41" s="4">
        <f>COUNTIF(jul!$F41:$AJ41,"pl")</f>
        <v>0</v>
      </c>
      <c r="AN41" s="4">
        <f>COUNTIF(jul!$F41:$AJ41,"LWP")</f>
        <v>0</v>
      </c>
      <c r="AO41" s="4">
        <f>COUNTIF(jul!$F41:$AJ41,"HD")</f>
        <v>0</v>
      </c>
      <c r="AP41" s="4">
        <f>COUNTIF(jul!$F41:$AJ41,"SL")</f>
        <v>0</v>
      </c>
      <c r="AQ41" s="4">
        <f>COUNTIF(jul!$F41:$AJ41,"CL")</f>
        <v>0</v>
      </c>
      <c r="AR41" s="4">
        <f>COUNTIF(jul!$F41:$AJ41,"A")</f>
        <v>0</v>
      </c>
      <c r="AS41" s="4">
        <f>COUNTIF(jul!$F41:$AJ41,"P")</f>
        <v>27</v>
      </c>
      <c r="AT41" s="4">
        <f t="shared" si="2"/>
        <v>31</v>
      </c>
      <c r="AU41" s="4">
        <f t="shared" si="3"/>
        <v>31</v>
      </c>
      <c r="AV41" s="4">
        <f>SUMIFS(holly!$L$2:$L$122,holly!$I$2:$I$122,mar!$A41,holly!$K$2:$K$122,"Mar")</f>
        <v>0</v>
      </c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</row>
    <row r="42" spans="1:80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IFERROR(LOOKUP(2,1/((lentry!$A$3:$A$3999=jul!$A42)*(lentry!$B$3:$B$3999&lt;=jul!F$3)*(lentry!$C$3:$C$3999&gt;=jul!F$3)),lentry!$D$3:$D$3999),IF(WEEKDAY(jul!F$3,1)=1,"WO","P"))</f>
        <v>P</v>
      </c>
      <c r="G42" s="4" t="str">
        <f>IFERROR(LOOKUP(2,1/((lentry!$A$3:$A$3999=jul!$A42)*(lentry!$B$3:$B$3999&lt;=jul!G$3)*(lentry!$C$3:$C$3999&gt;=jul!G$3)),lentry!$D$3:$D$3999),IF(WEEKDAY(jul!G$3,1)=1,"WO","P"))</f>
        <v>P</v>
      </c>
      <c r="H42" s="4" t="str">
        <f>IFERROR(LOOKUP(2,1/((lentry!$A$3:$A$3999=jul!$A42)*(lentry!$B$3:$B$3999&lt;=jul!H$3)*(lentry!$C$3:$C$3999&gt;=jul!H$3)),lentry!$D$3:$D$3999),IF(WEEKDAY(jul!H$3,1)=1,"WO","P"))</f>
        <v>P</v>
      </c>
      <c r="I42" s="4" t="str">
        <f>IFERROR(LOOKUP(2,1/((lentry!$A$3:$A$3999=jul!$A42)*(lentry!$B$3:$B$3999&lt;=jul!I$3)*(lentry!$C$3:$C$3999&gt;=jul!I$3)),lentry!$D$3:$D$3999),IF(WEEKDAY(jul!I$3,1)=1,"WO","P"))</f>
        <v>P</v>
      </c>
      <c r="J42" s="4" t="str">
        <f>IFERROR(LOOKUP(2,1/((lentry!$A$3:$A$3999=jul!$A42)*(lentry!$B$3:$B$3999&lt;=jul!J$3)*(lentry!$C$3:$C$3999&gt;=jul!J$3)),lentry!$D$3:$D$3999),IF(WEEKDAY(jul!J$3,1)=1,"WO","P"))</f>
        <v>WO</v>
      </c>
      <c r="K42" s="4" t="str">
        <f>IFERROR(LOOKUP(2,1/((lentry!$A$3:$A$3999=jul!$A42)*(lentry!$B$3:$B$3999&lt;=jul!K$3)*(lentry!$C$3:$C$3999&gt;=jul!K$3)),lentry!$D$3:$D$3999),IF(WEEKDAY(jul!K$3,1)=1,"WO","P"))</f>
        <v>P</v>
      </c>
      <c r="L42" s="4" t="str">
        <f>IFERROR(LOOKUP(2,1/((lentry!$A$3:$A$3999=jul!$A42)*(lentry!$B$3:$B$3999&lt;=jul!L$3)*(lentry!$C$3:$C$3999&gt;=jul!L$3)),lentry!$D$3:$D$3999),IF(WEEKDAY(jul!L$3,1)=1,"WO","P"))</f>
        <v>P</v>
      </c>
      <c r="M42" s="4" t="str">
        <f>IFERROR(LOOKUP(2,1/((lentry!$A$3:$A$3999=jul!$A42)*(lentry!$B$3:$B$3999&lt;=jul!M$3)*(lentry!$C$3:$C$3999&gt;=jul!M$3)),lentry!$D$3:$D$3999),IF(WEEKDAY(jul!M$3,1)=1,"WO","P"))</f>
        <v>P</v>
      </c>
      <c r="N42" s="4" t="str">
        <f>IFERROR(LOOKUP(2,1/((lentry!$A$3:$A$3999=jul!$A42)*(lentry!$B$3:$B$3999&lt;=jul!N$3)*(lentry!$C$3:$C$3999&gt;=jul!N$3)),lentry!$D$3:$D$3999),IF(WEEKDAY(jul!N$3,1)=1,"WO","P"))</f>
        <v>P</v>
      </c>
      <c r="O42" s="4" t="str">
        <f>IFERROR(LOOKUP(2,1/((lentry!$A$3:$A$3999=jul!$A42)*(lentry!$B$3:$B$3999&lt;=jul!O$3)*(lentry!$C$3:$C$3999&gt;=jul!O$3)),lentry!$D$3:$D$3999),IF(WEEKDAY(jul!O$3,1)=1,"WO","P"))</f>
        <v>P</v>
      </c>
      <c r="P42" s="4" t="str">
        <f>IFERROR(LOOKUP(2,1/((lentry!$A$3:$A$3999=jul!$A42)*(lentry!$B$3:$B$3999&lt;=jul!P$3)*(lentry!$C$3:$C$3999&gt;=jul!P$3)),lentry!$D$3:$D$3999),IF(WEEKDAY(jul!P$3,1)=1,"WO","P"))</f>
        <v>P</v>
      </c>
      <c r="Q42" s="4" t="str">
        <f>IFERROR(LOOKUP(2,1/((lentry!$A$3:$A$3999=jul!$A42)*(lentry!$B$3:$B$3999&lt;=jul!Q$3)*(lentry!$C$3:$C$3999&gt;=jul!Q$3)),lentry!$D$3:$D$3999),IF(WEEKDAY(jul!Q$3,1)=1,"WO","P"))</f>
        <v>WO</v>
      </c>
      <c r="R42" s="4" t="str">
        <f>IFERROR(LOOKUP(2,1/((lentry!$A$3:$A$3999=jul!$A42)*(lentry!$B$3:$B$3999&lt;=jul!R$3)*(lentry!$C$3:$C$3999&gt;=jul!R$3)),lentry!$D$3:$D$3999),IF(WEEKDAY(jul!R$3,1)=1,"WO","P"))</f>
        <v>P</v>
      </c>
      <c r="S42" s="4" t="str">
        <f>IFERROR(LOOKUP(2,1/((lentry!$A$3:$A$3999=jul!$A42)*(lentry!$B$3:$B$3999&lt;=jul!S$3)*(lentry!$C$3:$C$3999&gt;=jul!S$3)),lentry!$D$3:$D$3999),IF(WEEKDAY(jul!S$3,1)=1,"WO","P"))</f>
        <v>P</v>
      </c>
      <c r="T42" s="4" t="str">
        <f>IFERROR(LOOKUP(2,1/((lentry!$A$3:$A$3999=jul!$A42)*(lentry!$B$3:$B$3999&lt;=jul!T$3)*(lentry!$C$3:$C$3999&gt;=jul!T$3)),lentry!$D$3:$D$3999),IF(WEEKDAY(jul!T$3,1)=1,"WO","P"))</f>
        <v>P</v>
      </c>
      <c r="U42" s="4" t="str">
        <f>IFERROR(LOOKUP(2,1/((lentry!$A$3:$A$3999=jul!$A42)*(lentry!$B$3:$B$3999&lt;=jul!U$3)*(lentry!$C$3:$C$3999&gt;=jul!U$3)),lentry!$D$3:$D$3999),IF(WEEKDAY(jul!U$3,1)=1,"WO","P"))</f>
        <v>P</v>
      </c>
      <c r="V42" s="4" t="str">
        <f>IFERROR(LOOKUP(2,1/((lentry!$A$3:$A$3999=jul!$A42)*(lentry!$B$3:$B$3999&lt;=jul!V$3)*(lentry!$C$3:$C$3999&gt;=jul!V$3)),lentry!$D$3:$D$3999),IF(WEEKDAY(jul!V$3,1)=1,"WO","P"))</f>
        <v>P</v>
      </c>
      <c r="W42" s="4" t="s">
        <v>539</v>
      </c>
      <c r="X42" s="4" t="str">
        <f>IFERROR(LOOKUP(2,1/((lentry!$A$3:$A$3999=jul!$A42)*(lentry!$B$3:$B$3999&lt;=jul!X$3)*(lentry!$C$3:$C$3999&gt;=jul!X$3)),lentry!$D$3:$D$3999),IF(WEEKDAY(jul!X$3,1)=1,"WO","P"))</f>
        <v>WO</v>
      </c>
      <c r="Y42" s="4" t="str">
        <f>IFERROR(LOOKUP(2,1/((lentry!$A$3:$A$3999=jul!$A42)*(lentry!$B$3:$B$3999&lt;=jul!Y$3)*(lentry!$C$3:$C$3999&gt;=jul!Y$3)),lentry!$D$3:$D$3999),IF(WEEKDAY(jul!Y$3,1)=1,"WO","P"))</f>
        <v>P</v>
      </c>
      <c r="Z42" s="4" t="str">
        <f>IFERROR(LOOKUP(2,1/((lentry!$A$3:$A$3999=jul!$A42)*(lentry!$B$3:$B$3999&lt;=jul!Z$3)*(lentry!$C$3:$C$3999&gt;=jul!Z$3)),lentry!$D$3:$D$3999),IF(WEEKDAY(jul!Z$3,1)=1,"WO","P"))</f>
        <v>P</v>
      </c>
      <c r="AA42" s="4" t="str">
        <f>IFERROR(LOOKUP(2,1/((lentry!$A$3:$A$3999=jul!$A42)*(lentry!$B$3:$B$3999&lt;=jul!AA$3)*(lentry!$C$3:$C$3999&gt;=jul!AA$3)),lentry!$D$3:$D$3999),IF(WEEKDAY(jul!AA$3,1)=1,"WO","P"))</f>
        <v>P</v>
      </c>
      <c r="AB42" s="4" t="str">
        <f>IFERROR(LOOKUP(2,1/((lentry!$A$3:$A$3999=jul!$A42)*(lentry!$B$3:$B$3999&lt;=jul!AB$3)*(lentry!$C$3:$C$3999&gt;=jul!AB$3)),lentry!$D$3:$D$3999),IF(WEEKDAY(jul!AB$3,1)=1,"WO","P"))</f>
        <v>P</v>
      </c>
      <c r="AC42" s="4" t="str">
        <f>IFERROR(LOOKUP(2,1/((lentry!$A$3:$A$3999=jul!$A42)*(lentry!$B$3:$B$3999&lt;=jul!AC$3)*(lentry!$C$3:$C$3999&gt;=jul!AC$3)),lentry!$D$3:$D$3999),IF(WEEKDAY(jul!AC$3,1)=1,"WO","P"))</f>
        <v>P</v>
      </c>
      <c r="AD42" s="4" t="str">
        <f>IFERROR(LOOKUP(2,1/((lentry!$A$3:$A$3999=jul!$A42)*(lentry!$B$3:$B$3999&lt;=jul!AD$3)*(lentry!$C$3:$C$3999&gt;=jul!AD$3)),lentry!$D$3:$D$3999),IF(WEEKDAY(jul!AD$3,1)=1,"WO","P"))</f>
        <v>P</v>
      </c>
      <c r="AE42" s="4" t="str">
        <f>IFERROR(LOOKUP(2,1/((lentry!$A$3:$A$3999=jul!$A42)*(lentry!$B$3:$B$3999&lt;=jul!AE$3)*(lentry!$C$3:$C$3999&gt;=jul!AE$3)),lentry!$D$3:$D$3999),IF(WEEKDAY(jul!AE$3,1)=1,"WO","P"))</f>
        <v>WO</v>
      </c>
      <c r="AF42" s="4" t="str">
        <f>IFERROR(LOOKUP(2,1/((lentry!$A$3:$A$3999=jul!$A42)*(lentry!$B$3:$B$3999&lt;=jul!AF$3)*(lentry!$C$3:$C$3999&gt;=jul!AF$3)),lentry!$D$3:$D$3999),IF(WEEKDAY(jul!AF$3,1)=1,"WO","P"))</f>
        <v>P</v>
      </c>
      <c r="AG42" s="4" t="str">
        <f>IFERROR(LOOKUP(2,1/((lentry!$A$3:$A$3999=jul!$A42)*(lentry!$B$3:$B$3999&lt;=jul!AG$3)*(lentry!$C$3:$C$3999&gt;=jul!AG$3)),lentry!$D$3:$D$3999),IF(WEEKDAY(jul!AG$3,1)=1,"WO","P"))</f>
        <v>P</v>
      </c>
      <c r="AH42" s="4" t="str">
        <f>IFERROR(LOOKUP(2,1/((lentry!$A$3:$A$3999=jul!$A42)*(lentry!$B$3:$B$3999&lt;=jul!AH$3)*(lentry!$C$3:$C$3999&gt;=jul!AH$3)),lentry!$D$3:$D$3999),IF(WEEKDAY(jul!AH$3,1)=1,"WO","P"))</f>
        <v>P</v>
      </c>
      <c r="AI42" s="4" t="str">
        <f>IFERROR(LOOKUP(2,1/((lentry!$A$3:$A$3999=jul!$A42)*(lentry!$B$3:$B$3999&lt;=jul!AI$3)*(lentry!$C$3:$C$3999&gt;=jul!AI$3)),lentry!$D$3:$D$3999),IF(WEEKDAY(jul!AI$3,1)=1,"WO","P"))</f>
        <v>P</v>
      </c>
      <c r="AJ42" s="4" t="str">
        <f>IFERROR(LOOKUP(2,1/((lentry!$A$3:$A$3999=jul!$A42)*(lentry!$B$3:$B$3999&lt;=jul!AJ$3)*(lentry!$C$3:$C$3999&gt;=jul!AJ$3)),lentry!$D$3:$D$3999),IF(WEEKDAY(jul!AJ$3,1)=1,"WO","P"))</f>
        <v>P</v>
      </c>
      <c r="AK42" s="4">
        <f>COUNTIF(jul!$F42:$AJ42,"WO")</f>
        <v>4</v>
      </c>
      <c r="AL42" s="4">
        <f>COUNTIF(jul!$F42:$AJ42,"H")</f>
        <v>0</v>
      </c>
      <c r="AM42" s="4">
        <f>COUNTIF(jul!$F42:$AJ42,"pl")</f>
        <v>0</v>
      </c>
      <c r="AN42" s="4">
        <f>COUNTIF(jul!$F42:$AJ42,"LWP")</f>
        <v>0</v>
      </c>
      <c r="AO42" s="4">
        <f>COUNTIF(jul!$F42:$AJ42,"HD")</f>
        <v>0</v>
      </c>
      <c r="AP42" s="4">
        <f>COUNTIF(jul!$F42:$AJ42,"SL")</f>
        <v>0</v>
      </c>
      <c r="AQ42" s="4">
        <f>COUNTIF(jul!$F42:$AJ42,"CL")</f>
        <v>0</v>
      </c>
      <c r="AR42" s="4">
        <f>COUNTIF(jul!$F42:$AJ42,"A")</f>
        <v>1</v>
      </c>
      <c r="AS42" s="4">
        <f>COUNTIF(jul!$F42:$AJ42,"P")</f>
        <v>26</v>
      </c>
      <c r="AT42" s="4">
        <f t="shared" si="2"/>
        <v>31</v>
      </c>
      <c r="AU42" s="4">
        <f t="shared" si="3"/>
        <v>30</v>
      </c>
      <c r="AV42" s="4">
        <f>SUMIFS(holly!$L$2:$L$122,holly!$I$2:$I$122,mar!$A42,holly!$K$2:$K$122,"Mar")</f>
        <v>2</v>
      </c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</row>
    <row r="43" spans="1:80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IFERROR(LOOKUP(2,1/((lentry!$A$3:$A$3999=jul!$A43)*(lentry!$B$3:$B$3999&lt;=jul!F$3)*(lentry!$C$3:$C$3999&gt;=jul!F$3)),lentry!$D$3:$D$3999),IF(WEEKDAY(jul!F$3,1)=1,"WO","P"))</f>
        <v>P</v>
      </c>
      <c r="G43" s="4" t="str">
        <f>IFERROR(LOOKUP(2,1/((lentry!$A$3:$A$3999=jul!$A43)*(lentry!$B$3:$B$3999&lt;=jul!G$3)*(lentry!$C$3:$C$3999&gt;=jul!G$3)),lentry!$D$3:$D$3999),IF(WEEKDAY(jul!G$3,1)=1,"WO","P"))</f>
        <v>P</v>
      </c>
      <c r="H43" s="4" t="str">
        <f>IFERROR(LOOKUP(2,1/((lentry!$A$3:$A$3999=jul!$A43)*(lentry!$B$3:$B$3999&lt;=jul!H$3)*(lentry!$C$3:$C$3999&gt;=jul!H$3)),lentry!$D$3:$D$3999),IF(WEEKDAY(jul!H$3,1)=1,"WO","P"))</f>
        <v>P</v>
      </c>
      <c r="I43" s="4" t="str">
        <f>IFERROR(LOOKUP(2,1/((lentry!$A$3:$A$3999=jul!$A43)*(lentry!$B$3:$B$3999&lt;=jul!I$3)*(lentry!$C$3:$C$3999&gt;=jul!I$3)),lentry!$D$3:$D$3999),IF(WEEKDAY(jul!I$3,1)=1,"WO","P"))</f>
        <v>P</v>
      </c>
      <c r="J43" s="4" t="str">
        <f>IFERROR(LOOKUP(2,1/((lentry!$A$3:$A$3999=jul!$A43)*(lentry!$B$3:$B$3999&lt;=jul!J$3)*(lentry!$C$3:$C$3999&gt;=jul!J$3)),lentry!$D$3:$D$3999),IF(WEEKDAY(jul!J$3,1)=1,"WO","P"))</f>
        <v>WO</v>
      </c>
      <c r="K43" s="4" t="str">
        <f>IFERROR(LOOKUP(2,1/((lentry!$A$3:$A$3999=jul!$A43)*(lentry!$B$3:$B$3999&lt;=jul!K$3)*(lentry!$C$3:$C$3999&gt;=jul!K$3)),lentry!$D$3:$D$3999),IF(WEEKDAY(jul!K$3,1)=1,"WO","P"))</f>
        <v>P</v>
      </c>
      <c r="L43" s="4" t="str">
        <f>IFERROR(LOOKUP(2,1/((lentry!$A$3:$A$3999=jul!$A43)*(lentry!$B$3:$B$3999&lt;=jul!L$3)*(lentry!$C$3:$C$3999&gt;=jul!L$3)),lentry!$D$3:$D$3999),IF(WEEKDAY(jul!L$3,1)=1,"WO","P"))</f>
        <v>P</v>
      </c>
      <c r="M43" s="4" t="str">
        <f>IFERROR(LOOKUP(2,1/((lentry!$A$3:$A$3999=jul!$A43)*(lentry!$B$3:$B$3999&lt;=jul!M$3)*(lentry!$C$3:$C$3999&gt;=jul!M$3)),lentry!$D$3:$D$3999),IF(WEEKDAY(jul!M$3,1)=1,"WO","P"))</f>
        <v>P</v>
      </c>
      <c r="N43" s="4" t="str">
        <f>IFERROR(LOOKUP(2,1/((lentry!$A$3:$A$3999=jul!$A43)*(lentry!$B$3:$B$3999&lt;=jul!N$3)*(lentry!$C$3:$C$3999&gt;=jul!N$3)),lentry!$D$3:$D$3999),IF(WEEKDAY(jul!N$3,1)=1,"WO","P"))</f>
        <v>P</v>
      </c>
      <c r="O43" s="4" t="str">
        <f>IFERROR(LOOKUP(2,1/((lentry!$A$3:$A$3999=jul!$A43)*(lentry!$B$3:$B$3999&lt;=jul!O$3)*(lentry!$C$3:$C$3999&gt;=jul!O$3)),lentry!$D$3:$D$3999),IF(WEEKDAY(jul!O$3,1)=1,"WO","P"))</f>
        <v>P</v>
      </c>
      <c r="P43" s="4" t="str">
        <f>IFERROR(LOOKUP(2,1/((lentry!$A$3:$A$3999=jul!$A43)*(lentry!$B$3:$B$3999&lt;=jul!P$3)*(lentry!$C$3:$C$3999&gt;=jul!P$3)),lentry!$D$3:$D$3999),IF(WEEKDAY(jul!P$3,1)=1,"WO","P"))</f>
        <v>P</v>
      </c>
      <c r="Q43" s="4" t="str">
        <f>IFERROR(LOOKUP(2,1/((lentry!$A$3:$A$3999=jul!$A43)*(lentry!$B$3:$B$3999&lt;=jul!Q$3)*(lentry!$C$3:$C$3999&gt;=jul!Q$3)),lentry!$D$3:$D$3999),IF(WEEKDAY(jul!Q$3,1)=1,"WO","P"))</f>
        <v>WO</v>
      </c>
      <c r="R43" s="4" t="str">
        <f>IFERROR(LOOKUP(2,1/((lentry!$A$3:$A$3999=jul!$A43)*(lentry!$B$3:$B$3999&lt;=jul!R$3)*(lentry!$C$3:$C$3999&gt;=jul!R$3)),lentry!$D$3:$D$3999),IF(WEEKDAY(jul!R$3,1)=1,"WO","P"))</f>
        <v>P</v>
      </c>
      <c r="S43" s="4" t="str">
        <f>IFERROR(LOOKUP(2,1/((lentry!$A$3:$A$3999=jul!$A43)*(lentry!$B$3:$B$3999&lt;=jul!S$3)*(lentry!$C$3:$C$3999&gt;=jul!S$3)),lentry!$D$3:$D$3999),IF(WEEKDAY(jul!S$3,1)=1,"WO","P"))</f>
        <v>P</v>
      </c>
      <c r="T43" s="4" t="str">
        <f>IFERROR(LOOKUP(2,1/((lentry!$A$3:$A$3999=jul!$A43)*(lentry!$B$3:$B$3999&lt;=jul!T$3)*(lentry!$C$3:$C$3999&gt;=jul!T$3)),lentry!$D$3:$D$3999),IF(WEEKDAY(jul!T$3,1)=1,"WO","P"))</f>
        <v>P</v>
      </c>
      <c r="U43" s="4" t="str">
        <f>IFERROR(LOOKUP(2,1/((lentry!$A$3:$A$3999=jul!$A43)*(lentry!$B$3:$B$3999&lt;=jul!U$3)*(lentry!$C$3:$C$3999&gt;=jul!U$3)),lentry!$D$3:$D$3999),IF(WEEKDAY(jul!U$3,1)=1,"WO","P"))</f>
        <v>P</v>
      </c>
      <c r="V43" s="4" t="str">
        <f>IFERROR(LOOKUP(2,1/((lentry!$A$3:$A$3999=jul!$A43)*(lentry!$B$3:$B$3999&lt;=jul!V$3)*(lentry!$C$3:$C$3999&gt;=jul!V$3)),lentry!$D$3:$D$3999),IF(WEEKDAY(jul!V$3,1)=1,"WO","P"))</f>
        <v>P</v>
      </c>
      <c r="W43" s="4" t="str">
        <f>IFERROR(LOOKUP(2,1/((lentry!$A$3:$A$3999=jul!$A43)*(lentry!$B$3:$B$3999&lt;=jul!W$3)*(lentry!$C$3:$C$3999&gt;=jul!W$3)),lentry!$D$3:$D$3999),IF(WEEKDAY(jul!W$3,1)=1,"WO","P"))</f>
        <v>P</v>
      </c>
      <c r="X43" s="4" t="str">
        <f>IFERROR(LOOKUP(2,1/((lentry!$A$3:$A$3999=jul!$A43)*(lentry!$B$3:$B$3999&lt;=jul!X$3)*(lentry!$C$3:$C$3999&gt;=jul!X$3)),lentry!$D$3:$D$3999),IF(WEEKDAY(jul!X$3,1)=1,"WO","P"))</f>
        <v>WO</v>
      </c>
      <c r="Y43" s="4" t="str">
        <f>IFERROR(LOOKUP(2,1/((lentry!$A$3:$A$3999=jul!$A43)*(lentry!$B$3:$B$3999&lt;=jul!Y$3)*(lentry!$C$3:$C$3999&gt;=jul!Y$3)),lentry!$D$3:$D$3999),IF(WEEKDAY(jul!Y$3,1)=1,"WO","P"))</f>
        <v>P</v>
      </c>
      <c r="Z43" s="4" t="str">
        <f>IFERROR(LOOKUP(2,1/((lentry!$A$3:$A$3999=jul!$A43)*(lentry!$B$3:$B$3999&lt;=jul!Z$3)*(lentry!$C$3:$C$3999&gt;=jul!Z$3)),lentry!$D$3:$D$3999),IF(WEEKDAY(jul!Z$3,1)=1,"WO","P"))</f>
        <v>P</v>
      </c>
      <c r="AA43" s="4" t="str">
        <f>IFERROR(LOOKUP(2,1/((lentry!$A$3:$A$3999=jul!$A43)*(lentry!$B$3:$B$3999&lt;=jul!AA$3)*(lentry!$C$3:$C$3999&gt;=jul!AA$3)),lentry!$D$3:$D$3999),IF(WEEKDAY(jul!AA$3,1)=1,"WO","P"))</f>
        <v>P</v>
      </c>
      <c r="AB43" s="4" t="str">
        <f>IFERROR(LOOKUP(2,1/((lentry!$A$3:$A$3999=jul!$A43)*(lentry!$B$3:$B$3999&lt;=jul!AB$3)*(lentry!$C$3:$C$3999&gt;=jul!AB$3)),lentry!$D$3:$D$3999),IF(WEEKDAY(jul!AB$3,1)=1,"WO","P"))</f>
        <v>P</v>
      </c>
      <c r="AC43" s="4" t="str">
        <f>IFERROR(LOOKUP(2,1/((lentry!$A$3:$A$3999=jul!$A43)*(lentry!$B$3:$B$3999&lt;=jul!AC$3)*(lentry!$C$3:$C$3999&gt;=jul!AC$3)),lentry!$D$3:$D$3999),IF(WEEKDAY(jul!AC$3,1)=1,"WO","P"))</f>
        <v>P</v>
      </c>
      <c r="AD43" s="4" t="str">
        <f>IFERROR(LOOKUP(2,1/((lentry!$A$3:$A$3999=jul!$A43)*(lentry!$B$3:$B$3999&lt;=jul!AD$3)*(lentry!$C$3:$C$3999&gt;=jul!AD$3)),lentry!$D$3:$D$3999),IF(WEEKDAY(jul!AD$3,1)=1,"WO","P"))</f>
        <v>P</v>
      </c>
      <c r="AE43" s="4" t="str">
        <f>IFERROR(LOOKUP(2,1/((lentry!$A$3:$A$3999=jul!$A43)*(lentry!$B$3:$B$3999&lt;=jul!AE$3)*(lentry!$C$3:$C$3999&gt;=jul!AE$3)),lentry!$D$3:$D$3999),IF(WEEKDAY(jul!AE$3,1)=1,"WO","P"))</f>
        <v>WO</v>
      </c>
      <c r="AF43" s="4" t="str">
        <f>IFERROR(LOOKUP(2,1/((lentry!$A$3:$A$3999=jul!$A43)*(lentry!$B$3:$B$3999&lt;=jul!AF$3)*(lentry!$C$3:$C$3999&gt;=jul!AF$3)),lentry!$D$3:$D$3999),IF(WEEKDAY(jul!AF$3,1)=1,"WO","P"))</f>
        <v>P</v>
      </c>
      <c r="AG43" s="4" t="str">
        <f>IFERROR(LOOKUP(2,1/((lentry!$A$3:$A$3999=jul!$A43)*(lentry!$B$3:$B$3999&lt;=jul!AG$3)*(lentry!$C$3:$C$3999&gt;=jul!AG$3)),lentry!$D$3:$D$3999),IF(WEEKDAY(jul!AG$3,1)=1,"WO","P"))</f>
        <v>P</v>
      </c>
      <c r="AH43" s="4" t="str">
        <f>IFERROR(LOOKUP(2,1/((lentry!$A$3:$A$3999=jul!$A43)*(lentry!$B$3:$B$3999&lt;=jul!AH$3)*(lentry!$C$3:$C$3999&gt;=jul!AH$3)),lentry!$D$3:$D$3999),IF(WEEKDAY(jul!AH$3,1)=1,"WO","P"))</f>
        <v>P</v>
      </c>
      <c r="AI43" s="4" t="str">
        <f>IFERROR(LOOKUP(2,1/((lentry!$A$3:$A$3999=jul!$A43)*(lentry!$B$3:$B$3999&lt;=jul!AI$3)*(lentry!$C$3:$C$3999&gt;=jul!AI$3)),lentry!$D$3:$D$3999),IF(WEEKDAY(jul!AI$3,1)=1,"WO","P"))</f>
        <v>P</v>
      </c>
      <c r="AJ43" s="4" t="str">
        <f>IFERROR(LOOKUP(2,1/((lentry!$A$3:$A$3999=jul!$A43)*(lentry!$B$3:$B$3999&lt;=jul!AJ$3)*(lentry!$C$3:$C$3999&gt;=jul!AJ$3)),lentry!$D$3:$D$3999),IF(WEEKDAY(jul!AJ$3,1)=1,"WO","P"))</f>
        <v>P</v>
      </c>
      <c r="AK43" s="4">
        <f>COUNTIF(jul!$F43:$AJ43,"WO")</f>
        <v>4</v>
      </c>
      <c r="AL43" s="4">
        <f>COUNTIF(jul!$F43:$AJ43,"H")</f>
        <v>0</v>
      </c>
      <c r="AM43" s="4">
        <f>COUNTIF(jul!$F43:$AJ43,"pl")</f>
        <v>0</v>
      </c>
      <c r="AN43" s="4">
        <f>COUNTIF(jul!$F43:$AJ43,"LWP")</f>
        <v>0</v>
      </c>
      <c r="AO43" s="4">
        <f>COUNTIF(jul!$F43:$AJ43,"HD")</f>
        <v>0</v>
      </c>
      <c r="AP43" s="4">
        <f>COUNTIF(jul!$F43:$AJ43,"SL")</f>
        <v>0</v>
      </c>
      <c r="AQ43" s="4">
        <f>COUNTIF(jul!$F43:$AJ43,"CL")</f>
        <v>0</v>
      </c>
      <c r="AR43" s="4">
        <f>COUNTIF(jul!$F43:$AJ43,"A")</f>
        <v>0</v>
      </c>
      <c r="AS43" s="4">
        <f>COUNTIF(jul!$F43:$AJ43,"P")</f>
        <v>27</v>
      </c>
      <c r="AT43" s="4">
        <f t="shared" si="2"/>
        <v>31</v>
      </c>
      <c r="AU43" s="4">
        <f t="shared" si="3"/>
        <v>31</v>
      </c>
      <c r="AV43" s="4">
        <f>SUMIFS(holly!$L$2:$L$122,holly!$I$2:$I$122,mar!$A43,holly!$K$2:$K$122,"Mar")</f>
        <v>0</v>
      </c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</row>
    <row r="44" spans="1:80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IFERROR(LOOKUP(2,1/((lentry!$A$3:$A$3999=jul!$A44)*(lentry!$B$3:$B$3999&lt;=jul!F$3)*(lentry!$C$3:$C$3999&gt;=jul!F$3)),lentry!$D$3:$D$3999),IF(WEEKDAY(jul!F$3,1)=1,"WO","P"))</f>
        <v>P</v>
      </c>
      <c r="G44" s="4" t="str">
        <f>IFERROR(LOOKUP(2,1/((lentry!$A$3:$A$3999=jul!$A44)*(lentry!$B$3:$B$3999&lt;=jul!G$3)*(lentry!$C$3:$C$3999&gt;=jul!G$3)),lentry!$D$3:$D$3999),IF(WEEKDAY(jul!G$3,1)=1,"WO","P"))</f>
        <v>P</v>
      </c>
      <c r="H44" s="4" t="str">
        <f>IFERROR(LOOKUP(2,1/((lentry!$A$3:$A$3999=jul!$A44)*(lentry!$B$3:$B$3999&lt;=jul!H$3)*(lentry!$C$3:$C$3999&gt;=jul!H$3)),lentry!$D$3:$D$3999),IF(WEEKDAY(jul!H$3,1)=1,"WO","P"))</f>
        <v>P</v>
      </c>
      <c r="I44" s="4" t="str">
        <f>IFERROR(LOOKUP(2,1/((lentry!$A$3:$A$3999=jul!$A44)*(lentry!$B$3:$B$3999&lt;=jul!I$3)*(lentry!$C$3:$C$3999&gt;=jul!I$3)),lentry!$D$3:$D$3999),IF(WEEKDAY(jul!I$3,1)=1,"WO","P"))</f>
        <v>P</v>
      </c>
      <c r="J44" s="4" t="str">
        <f>IFERROR(LOOKUP(2,1/((lentry!$A$3:$A$3999=jul!$A44)*(lentry!$B$3:$B$3999&lt;=jul!J$3)*(lentry!$C$3:$C$3999&gt;=jul!J$3)),lentry!$D$3:$D$3999),IF(WEEKDAY(jul!J$3,1)=1,"WO","P"))</f>
        <v>WO</v>
      </c>
      <c r="K44" s="4" t="str">
        <f>IFERROR(LOOKUP(2,1/((lentry!$A$3:$A$3999=jul!$A44)*(lentry!$B$3:$B$3999&lt;=jul!K$3)*(lentry!$C$3:$C$3999&gt;=jul!K$3)),lentry!$D$3:$D$3999),IF(WEEKDAY(jul!K$3,1)=1,"WO","P"))</f>
        <v>P</v>
      </c>
      <c r="L44" s="4" t="str">
        <f>IFERROR(LOOKUP(2,1/((lentry!$A$3:$A$3999=jul!$A44)*(lentry!$B$3:$B$3999&lt;=jul!L$3)*(lentry!$C$3:$C$3999&gt;=jul!L$3)),lentry!$D$3:$D$3999),IF(WEEKDAY(jul!L$3,1)=1,"WO","P"))</f>
        <v>P</v>
      </c>
      <c r="M44" s="4" t="str">
        <f>IFERROR(LOOKUP(2,1/((lentry!$A$3:$A$3999=jul!$A44)*(lentry!$B$3:$B$3999&lt;=jul!M$3)*(lentry!$C$3:$C$3999&gt;=jul!M$3)),lentry!$D$3:$D$3999),IF(WEEKDAY(jul!M$3,1)=1,"WO","P"))</f>
        <v>P</v>
      </c>
      <c r="N44" s="4" t="str">
        <f>IFERROR(LOOKUP(2,1/((lentry!$A$3:$A$3999=jul!$A44)*(lentry!$B$3:$B$3999&lt;=jul!N$3)*(lentry!$C$3:$C$3999&gt;=jul!N$3)),lentry!$D$3:$D$3999),IF(WEEKDAY(jul!N$3,1)=1,"WO","P"))</f>
        <v>P</v>
      </c>
      <c r="O44" s="4" t="str">
        <f>IFERROR(LOOKUP(2,1/((lentry!$A$3:$A$3999=jul!$A44)*(lentry!$B$3:$B$3999&lt;=jul!O$3)*(lentry!$C$3:$C$3999&gt;=jul!O$3)),lentry!$D$3:$D$3999),IF(WEEKDAY(jul!O$3,1)=1,"WO","P"))</f>
        <v>P</v>
      </c>
      <c r="P44" s="4" t="str">
        <f>IFERROR(LOOKUP(2,1/((lentry!$A$3:$A$3999=jul!$A44)*(lentry!$B$3:$B$3999&lt;=jul!P$3)*(lentry!$C$3:$C$3999&gt;=jul!P$3)),lentry!$D$3:$D$3999),IF(WEEKDAY(jul!P$3,1)=1,"WO","P"))</f>
        <v>P</v>
      </c>
      <c r="Q44" s="4" t="str">
        <f>IFERROR(LOOKUP(2,1/((lentry!$A$3:$A$3999=jul!$A44)*(lentry!$B$3:$B$3999&lt;=jul!Q$3)*(lentry!$C$3:$C$3999&gt;=jul!Q$3)),lentry!$D$3:$D$3999),IF(WEEKDAY(jul!Q$3,1)=1,"WO","P"))</f>
        <v>WO</v>
      </c>
      <c r="R44" s="4" t="str">
        <f>IFERROR(LOOKUP(2,1/((lentry!$A$3:$A$3999=jul!$A44)*(lentry!$B$3:$B$3999&lt;=jul!R$3)*(lentry!$C$3:$C$3999&gt;=jul!R$3)),lentry!$D$3:$D$3999),IF(WEEKDAY(jul!R$3,1)=1,"WO","P"))</f>
        <v>P</v>
      </c>
      <c r="S44" s="4" t="str">
        <f>IFERROR(LOOKUP(2,1/((lentry!$A$3:$A$3999=jul!$A44)*(lentry!$B$3:$B$3999&lt;=jul!S$3)*(lentry!$C$3:$C$3999&gt;=jul!S$3)),lentry!$D$3:$D$3999),IF(WEEKDAY(jul!S$3,1)=1,"WO","P"))</f>
        <v>P</v>
      </c>
      <c r="T44" s="4" t="str">
        <f>IFERROR(LOOKUP(2,1/((lentry!$A$3:$A$3999=jul!$A44)*(lentry!$B$3:$B$3999&lt;=jul!T$3)*(lentry!$C$3:$C$3999&gt;=jul!T$3)),lentry!$D$3:$D$3999),IF(WEEKDAY(jul!T$3,1)=1,"WO","P"))</f>
        <v>P</v>
      </c>
      <c r="U44" s="4" t="str">
        <f>IFERROR(LOOKUP(2,1/((lentry!$A$3:$A$3999=jul!$A44)*(lentry!$B$3:$B$3999&lt;=jul!U$3)*(lentry!$C$3:$C$3999&gt;=jul!U$3)),lentry!$D$3:$D$3999),IF(WEEKDAY(jul!U$3,1)=1,"WO","P"))</f>
        <v>P</v>
      </c>
      <c r="V44" s="4" t="str">
        <f>IFERROR(LOOKUP(2,1/((lentry!$A$3:$A$3999=jul!$A44)*(lentry!$B$3:$B$3999&lt;=jul!V$3)*(lentry!$C$3:$C$3999&gt;=jul!V$3)),lentry!$D$3:$D$3999),IF(WEEKDAY(jul!V$3,1)=1,"WO","P"))</f>
        <v>P</v>
      </c>
      <c r="W44" s="4" t="str">
        <f>IFERROR(LOOKUP(2,1/((lentry!$A$3:$A$3999=jul!$A44)*(lentry!$B$3:$B$3999&lt;=jul!W$3)*(lentry!$C$3:$C$3999&gt;=jul!W$3)),lentry!$D$3:$D$3999),IF(WEEKDAY(jul!W$3,1)=1,"WO","P"))</f>
        <v>P</v>
      </c>
      <c r="X44" s="4" t="str">
        <f>IFERROR(LOOKUP(2,1/((lentry!$A$3:$A$3999=jul!$A44)*(lentry!$B$3:$B$3999&lt;=jul!X$3)*(lentry!$C$3:$C$3999&gt;=jul!X$3)),lentry!$D$3:$D$3999),IF(WEEKDAY(jul!X$3,1)=1,"WO","P"))</f>
        <v>WO</v>
      </c>
      <c r="Y44" s="4" t="str">
        <f>IFERROR(LOOKUP(2,1/((lentry!$A$3:$A$3999=jul!$A44)*(lentry!$B$3:$B$3999&lt;=jul!Y$3)*(lentry!$C$3:$C$3999&gt;=jul!Y$3)),lentry!$D$3:$D$3999),IF(WEEKDAY(jul!Y$3,1)=1,"WO","P"))</f>
        <v>P</v>
      </c>
      <c r="Z44" s="4" t="str">
        <f>IFERROR(LOOKUP(2,1/((lentry!$A$3:$A$3999=jul!$A44)*(lentry!$B$3:$B$3999&lt;=jul!Z$3)*(lentry!$C$3:$C$3999&gt;=jul!Z$3)),lentry!$D$3:$D$3999),IF(WEEKDAY(jul!Z$3,1)=1,"WO","P"))</f>
        <v>P</v>
      </c>
      <c r="AA44" s="4" t="str">
        <f>IFERROR(LOOKUP(2,1/((lentry!$A$3:$A$3999=jul!$A44)*(lentry!$B$3:$B$3999&lt;=jul!AA$3)*(lentry!$C$3:$C$3999&gt;=jul!AA$3)),lentry!$D$3:$D$3999),IF(WEEKDAY(jul!AA$3,1)=1,"WO","P"))</f>
        <v>P</v>
      </c>
      <c r="AB44" s="4" t="str">
        <f>IFERROR(LOOKUP(2,1/((lentry!$A$3:$A$3999=jul!$A44)*(lentry!$B$3:$B$3999&lt;=jul!AB$3)*(lentry!$C$3:$C$3999&gt;=jul!AB$3)),lentry!$D$3:$D$3999),IF(WEEKDAY(jul!AB$3,1)=1,"WO","P"))</f>
        <v>P</v>
      </c>
      <c r="AC44" s="4" t="str">
        <f>IFERROR(LOOKUP(2,1/((lentry!$A$3:$A$3999=jul!$A44)*(lentry!$B$3:$B$3999&lt;=jul!AC$3)*(lentry!$C$3:$C$3999&gt;=jul!AC$3)),lentry!$D$3:$D$3999),IF(WEEKDAY(jul!AC$3,1)=1,"WO","P"))</f>
        <v>P</v>
      </c>
      <c r="AD44" s="4" t="str">
        <f>IFERROR(LOOKUP(2,1/((lentry!$A$3:$A$3999=jul!$A44)*(lentry!$B$3:$B$3999&lt;=jul!AD$3)*(lentry!$C$3:$C$3999&gt;=jul!AD$3)),lentry!$D$3:$D$3999),IF(WEEKDAY(jul!AD$3,1)=1,"WO","P"))</f>
        <v>P</v>
      </c>
      <c r="AE44" s="4" t="str">
        <f>IFERROR(LOOKUP(2,1/((lentry!$A$3:$A$3999=jul!$A44)*(lentry!$B$3:$B$3999&lt;=jul!AE$3)*(lentry!$C$3:$C$3999&gt;=jul!AE$3)),lentry!$D$3:$D$3999),IF(WEEKDAY(jul!AE$3,1)=1,"WO","P"))</f>
        <v>WO</v>
      </c>
      <c r="AF44" s="4" t="str">
        <f>IFERROR(LOOKUP(2,1/((lentry!$A$3:$A$3999=jul!$A44)*(lentry!$B$3:$B$3999&lt;=jul!AF$3)*(lentry!$C$3:$C$3999&gt;=jul!AF$3)),lentry!$D$3:$D$3999),IF(WEEKDAY(jul!AF$3,1)=1,"WO","P"))</f>
        <v>P</v>
      </c>
      <c r="AG44" s="4" t="str">
        <f>IFERROR(LOOKUP(2,1/((lentry!$A$3:$A$3999=jul!$A44)*(lentry!$B$3:$B$3999&lt;=jul!AG$3)*(lentry!$C$3:$C$3999&gt;=jul!AG$3)),lentry!$D$3:$D$3999),IF(WEEKDAY(jul!AG$3,1)=1,"WO","P"))</f>
        <v>P</v>
      </c>
      <c r="AH44" s="4" t="str">
        <f>IFERROR(LOOKUP(2,1/((lentry!$A$3:$A$3999=jul!$A44)*(lentry!$B$3:$B$3999&lt;=jul!AH$3)*(lentry!$C$3:$C$3999&gt;=jul!AH$3)),lentry!$D$3:$D$3999),IF(WEEKDAY(jul!AH$3,1)=1,"WO","P"))</f>
        <v>P</v>
      </c>
      <c r="AI44" s="4" t="str">
        <f>IFERROR(LOOKUP(2,1/((lentry!$A$3:$A$3999=jul!$A44)*(lentry!$B$3:$B$3999&lt;=jul!AI$3)*(lentry!$C$3:$C$3999&gt;=jul!AI$3)),lentry!$D$3:$D$3999),IF(WEEKDAY(jul!AI$3,1)=1,"WO","P"))</f>
        <v>P</v>
      </c>
      <c r="AJ44" s="4" t="str">
        <f>IFERROR(LOOKUP(2,1/((lentry!$A$3:$A$3999=jul!$A44)*(lentry!$B$3:$B$3999&lt;=jul!AJ$3)*(lentry!$C$3:$C$3999&gt;=jul!AJ$3)),lentry!$D$3:$D$3999),IF(WEEKDAY(jul!AJ$3,1)=1,"WO","P"))</f>
        <v>P</v>
      </c>
      <c r="AK44" s="4">
        <f>COUNTIF(jul!$F44:$AJ44,"WO")</f>
        <v>4</v>
      </c>
      <c r="AL44" s="4">
        <f>COUNTIF(jul!$F44:$AJ44,"H")</f>
        <v>0</v>
      </c>
      <c r="AM44" s="4">
        <f>COUNTIF(jul!$F44:$AJ44,"pl")</f>
        <v>0</v>
      </c>
      <c r="AN44" s="4">
        <f>COUNTIF(jul!$F44:$AJ44,"LWP")</f>
        <v>0</v>
      </c>
      <c r="AO44" s="4">
        <f>COUNTIF(jul!$F44:$AJ44,"HD")</f>
        <v>0</v>
      </c>
      <c r="AP44" s="4">
        <f>COUNTIF(jul!$F44:$AJ44,"SL")</f>
        <v>0</v>
      </c>
      <c r="AQ44" s="4">
        <f>COUNTIF(jul!$F44:$AJ44,"CL")</f>
        <v>0</v>
      </c>
      <c r="AR44" s="4">
        <f>COUNTIF(jul!$F44:$AJ44,"A")</f>
        <v>0</v>
      </c>
      <c r="AS44" s="4">
        <f>COUNTIF(jul!$F44:$AJ44,"P")</f>
        <v>27</v>
      </c>
      <c r="AT44" s="4">
        <f t="shared" si="2"/>
        <v>31</v>
      </c>
      <c r="AU44" s="4">
        <f t="shared" si="3"/>
        <v>31</v>
      </c>
      <c r="AV44" s="4">
        <f>SUMIFS(holly!$L$2:$L$122,holly!$I$2:$I$122,mar!$A44,holly!$K$2:$K$122,"Mar")</f>
        <v>0</v>
      </c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</row>
    <row r="45" spans="1:80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IFERROR(LOOKUP(2,1/((lentry!$A$3:$A$3999=jul!$A45)*(lentry!$B$3:$B$3999&lt;=jul!F$3)*(lentry!$C$3:$C$3999&gt;=jul!F$3)),lentry!$D$3:$D$3999),IF(WEEKDAY(jul!F$3,1)=1,"WO","P"))</f>
        <v>P</v>
      </c>
      <c r="G45" s="4" t="str">
        <f>IFERROR(LOOKUP(2,1/((lentry!$A$3:$A$3999=jul!$A45)*(lentry!$B$3:$B$3999&lt;=jul!G$3)*(lentry!$C$3:$C$3999&gt;=jul!G$3)),lentry!$D$3:$D$3999),IF(WEEKDAY(jul!G$3,1)=1,"WO","P"))</f>
        <v>P</v>
      </c>
      <c r="H45" s="4" t="str">
        <f>IFERROR(LOOKUP(2,1/((lentry!$A$3:$A$3999=jul!$A45)*(lentry!$B$3:$B$3999&lt;=jul!H$3)*(lentry!$C$3:$C$3999&gt;=jul!H$3)),lentry!$D$3:$D$3999),IF(WEEKDAY(jul!H$3,1)=1,"WO","P"))</f>
        <v>P</v>
      </c>
      <c r="I45" s="4" t="str">
        <f>IFERROR(LOOKUP(2,1/((lentry!$A$3:$A$3999=jul!$A45)*(lentry!$B$3:$B$3999&lt;=jul!I$3)*(lentry!$C$3:$C$3999&gt;=jul!I$3)),lentry!$D$3:$D$3999),IF(WEEKDAY(jul!I$3,1)=1,"WO","P"))</f>
        <v>P</v>
      </c>
      <c r="J45" s="4" t="str">
        <f>IFERROR(LOOKUP(2,1/((lentry!$A$3:$A$3999=jul!$A45)*(lentry!$B$3:$B$3999&lt;=jul!J$3)*(lentry!$C$3:$C$3999&gt;=jul!J$3)),lentry!$D$3:$D$3999),IF(WEEKDAY(jul!J$3,1)=1,"WO","P"))</f>
        <v>WO</v>
      </c>
      <c r="K45" s="4" t="str">
        <f>IFERROR(LOOKUP(2,1/((lentry!$A$3:$A$3999=jul!$A45)*(lentry!$B$3:$B$3999&lt;=jul!K$3)*(lentry!$C$3:$C$3999&gt;=jul!K$3)),lentry!$D$3:$D$3999),IF(WEEKDAY(jul!K$3,1)=1,"WO","P"))</f>
        <v>P</v>
      </c>
      <c r="L45" s="4" t="str">
        <f>IFERROR(LOOKUP(2,1/((lentry!$A$3:$A$3999=jul!$A45)*(lentry!$B$3:$B$3999&lt;=jul!L$3)*(lentry!$C$3:$C$3999&gt;=jul!L$3)),lentry!$D$3:$D$3999),IF(WEEKDAY(jul!L$3,1)=1,"WO","P"))</f>
        <v>P</v>
      </c>
      <c r="M45" s="4" t="str">
        <f>IFERROR(LOOKUP(2,1/((lentry!$A$3:$A$3999=jul!$A45)*(lentry!$B$3:$B$3999&lt;=jul!M$3)*(lentry!$C$3:$C$3999&gt;=jul!M$3)),lentry!$D$3:$D$3999),IF(WEEKDAY(jul!M$3,1)=1,"WO","P"))</f>
        <v>P</v>
      </c>
      <c r="N45" s="4" t="str">
        <f>IFERROR(LOOKUP(2,1/((lentry!$A$3:$A$3999=jul!$A45)*(lentry!$B$3:$B$3999&lt;=jul!N$3)*(lentry!$C$3:$C$3999&gt;=jul!N$3)),lentry!$D$3:$D$3999),IF(WEEKDAY(jul!N$3,1)=1,"WO","P"))</f>
        <v>P</v>
      </c>
      <c r="O45" s="4" t="str">
        <f>IFERROR(LOOKUP(2,1/((lentry!$A$3:$A$3999=jul!$A45)*(lentry!$B$3:$B$3999&lt;=jul!O$3)*(lentry!$C$3:$C$3999&gt;=jul!O$3)),lentry!$D$3:$D$3999),IF(WEEKDAY(jul!O$3,1)=1,"WO","P"))</f>
        <v>P</v>
      </c>
      <c r="P45" s="4" t="str">
        <f>IFERROR(LOOKUP(2,1/((lentry!$A$3:$A$3999=jul!$A45)*(lentry!$B$3:$B$3999&lt;=jul!P$3)*(lentry!$C$3:$C$3999&gt;=jul!P$3)),lentry!$D$3:$D$3999),IF(WEEKDAY(jul!P$3,1)=1,"WO","P"))</f>
        <v>P</v>
      </c>
      <c r="Q45" s="4" t="str">
        <f>IFERROR(LOOKUP(2,1/((lentry!$A$3:$A$3999=jul!$A45)*(lentry!$B$3:$B$3999&lt;=jul!Q$3)*(lentry!$C$3:$C$3999&gt;=jul!Q$3)),lentry!$D$3:$D$3999),IF(WEEKDAY(jul!Q$3,1)=1,"WO","P"))</f>
        <v>WO</v>
      </c>
      <c r="R45" s="4" t="str">
        <f>IFERROR(LOOKUP(2,1/((lentry!$A$3:$A$3999=jul!$A45)*(lentry!$B$3:$B$3999&lt;=jul!R$3)*(lentry!$C$3:$C$3999&gt;=jul!R$3)),lentry!$D$3:$D$3999),IF(WEEKDAY(jul!R$3,1)=1,"WO","P"))</f>
        <v>P</v>
      </c>
      <c r="S45" s="4" t="str">
        <f>IFERROR(LOOKUP(2,1/((lentry!$A$3:$A$3999=jul!$A45)*(lentry!$B$3:$B$3999&lt;=jul!S$3)*(lentry!$C$3:$C$3999&gt;=jul!S$3)),lentry!$D$3:$D$3999),IF(WEEKDAY(jul!S$3,1)=1,"WO","P"))</f>
        <v>P</v>
      </c>
      <c r="T45" s="4" t="str">
        <f>IFERROR(LOOKUP(2,1/((lentry!$A$3:$A$3999=jul!$A45)*(lentry!$B$3:$B$3999&lt;=jul!T$3)*(lentry!$C$3:$C$3999&gt;=jul!T$3)),lentry!$D$3:$D$3999),IF(WEEKDAY(jul!T$3,1)=1,"WO","P"))</f>
        <v>P</v>
      </c>
      <c r="U45" s="4" t="str">
        <f>IFERROR(LOOKUP(2,1/((lentry!$A$3:$A$3999=jul!$A45)*(lentry!$B$3:$B$3999&lt;=jul!U$3)*(lentry!$C$3:$C$3999&gt;=jul!U$3)),lentry!$D$3:$D$3999),IF(WEEKDAY(jul!U$3,1)=1,"WO","P"))</f>
        <v>P</v>
      </c>
      <c r="V45" s="4" t="str">
        <f>IFERROR(LOOKUP(2,1/((lentry!$A$3:$A$3999=jul!$A45)*(lentry!$B$3:$B$3999&lt;=jul!V$3)*(lentry!$C$3:$C$3999&gt;=jul!V$3)),lentry!$D$3:$D$3999),IF(WEEKDAY(jul!V$3,1)=1,"WO","P"))</f>
        <v>P</v>
      </c>
      <c r="W45" s="4" t="str">
        <f>IFERROR(LOOKUP(2,1/((lentry!$A$3:$A$3999=jul!$A45)*(lentry!$B$3:$B$3999&lt;=jul!W$3)*(lentry!$C$3:$C$3999&gt;=jul!W$3)),lentry!$D$3:$D$3999),IF(WEEKDAY(jul!W$3,1)=1,"WO","P"))</f>
        <v>P</v>
      </c>
      <c r="X45" s="4" t="str">
        <f>IFERROR(LOOKUP(2,1/((lentry!$A$3:$A$3999=jul!$A45)*(lentry!$B$3:$B$3999&lt;=jul!X$3)*(lentry!$C$3:$C$3999&gt;=jul!X$3)),lentry!$D$3:$D$3999),IF(WEEKDAY(jul!X$3,1)=1,"WO","P"))</f>
        <v>WO</v>
      </c>
      <c r="Y45" s="4" t="str">
        <f>IFERROR(LOOKUP(2,1/((lentry!$A$3:$A$3999=jul!$A45)*(lentry!$B$3:$B$3999&lt;=jul!Y$3)*(lentry!$C$3:$C$3999&gt;=jul!Y$3)),lentry!$D$3:$D$3999),IF(WEEKDAY(jul!Y$3,1)=1,"WO","P"))</f>
        <v>P</v>
      </c>
      <c r="Z45" s="4" t="str">
        <f>IFERROR(LOOKUP(2,1/((lentry!$A$3:$A$3999=jul!$A45)*(lentry!$B$3:$B$3999&lt;=jul!Z$3)*(lentry!$C$3:$C$3999&gt;=jul!Z$3)),lentry!$D$3:$D$3999),IF(WEEKDAY(jul!Z$3,1)=1,"WO","P"))</f>
        <v>P</v>
      </c>
      <c r="AA45" s="4" t="str">
        <f>IFERROR(LOOKUP(2,1/((lentry!$A$3:$A$3999=jul!$A45)*(lentry!$B$3:$B$3999&lt;=jul!AA$3)*(lentry!$C$3:$C$3999&gt;=jul!AA$3)),lentry!$D$3:$D$3999),IF(WEEKDAY(jul!AA$3,1)=1,"WO","P"))</f>
        <v>P</v>
      </c>
      <c r="AB45" s="4" t="str">
        <f>IFERROR(LOOKUP(2,1/((lentry!$A$3:$A$3999=jul!$A45)*(lentry!$B$3:$B$3999&lt;=jul!AB$3)*(lentry!$C$3:$C$3999&gt;=jul!AB$3)),lentry!$D$3:$D$3999),IF(WEEKDAY(jul!AB$3,1)=1,"WO","P"))</f>
        <v>P</v>
      </c>
      <c r="AC45" s="4" t="str">
        <f>IFERROR(LOOKUP(2,1/((lentry!$A$3:$A$3999=jul!$A45)*(lentry!$B$3:$B$3999&lt;=jul!AC$3)*(lentry!$C$3:$C$3999&gt;=jul!AC$3)),lentry!$D$3:$D$3999),IF(WEEKDAY(jul!AC$3,1)=1,"WO","P"))</f>
        <v>P</v>
      </c>
      <c r="AD45" s="4" t="str">
        <f>IFERROR(LOOKUP(2,1/((lentry!$A$3:$A$3999=jul!$A45)*(lentry!$B$3:$B$3999&lt;=jul!AD$3)*(lentry!$C$3:$C$3999&gt;=jul!AD$3)),lentry!$D$3:$D$3999),IF(WEEKDAY(jul!AD$3,1)=1,"WO","P"))</f>
        <v>P</v>
      </c>
      <c r="AE45" s="4" t="str">
        <f>IFERROR(LOOKUP(2,1/((lentry!$A$3:$A$3999=jul!$A45)*(lentry!$B$3:$B$3999&lt;=jul!AE$3)*(lentry!$C$3:$C$3999&gt;=jul!AE$3)),lentry!$D$3:$D$3999),IF(WEEKDAY(jul!AE$3,1)=1,"WO","P"))</f>
        <v>WO</v>
      </c>
      <c r="AF45" s="4" t="str">
        <f>IFERROR(LOOKUP(2,1/((lentry!$A$3:$A$3999=jul!$A45)*(lentry!$B$3:$B$3999&lt;=jul!AF$3)*(lentry!$C$3:$C$3999&gt;=jul!AF$3)),lentry!$D$3:$D$3999),IF(WEEKDAY(jul!AF$3,1)=1,"WO","P"))</f>
        <v>P</v>
      </c>
      <c r="AG45" s="4" t="str">
        <f>IFERROR(LOOKUP(2,1/((lentry!$A$3:$A$3999=jul!$A45)*(lentry!$B$3:$B$3999&lt;=jul!AG$3)*(lentry!$C$3:$C$3999&gt;=jul!AG$3)),lentry!$D$3:$D$3999),IF(WEEKDAY(jul!AG$3,1)=1,"WO","P"))</f>
        <v>P</v>
      </c>
      <c r="AH45" s="4" t="str">
        <f>IFERROR(LOOKUP(2,1/((lentry!$A$3:$A$3999=jul!$A45)*(lentry!$B$3:$B$3999&lt;=jul!AH$3)*(lentry!$C$3:$C$3999&gt;=jul!AH$3)),lentry!$D$3:$D$3999),IF(WEEKDAY(jul!AH$3,1)=1,"WO","P"))</f>
        <v>P</v>
      </c>
      <c r="AI45" s="4" t="str">
        <f>IFERROR(LOOKUP(2,1/((lentry!$A$3:$A$3999=jul!$A45)*(lentry!$B$3:$B$3999&lt;=jul!AI$3)*(lentry!$C$3:$C$3999&gt;=jul!AI$3)),lentry!$D$3:$D$3999),IF(WEEKDAY(jul!AI$3,1)=1,"WO","P"))</f>
        <v>P</v>
      </c>
      <c r="AJ45" s="4" t="str">
        <f>IFERROR(LOOKUP(2,1/((lentry!$A$3:$A$3999=jul!$A45)*(lentry!$B$3:$B$3999&lt;=jul!AJ$3)*(lentry!$C$3:$C$3999&gt;=jul!AJ$3)),lentry!$D$3:$D$3999),IF(WEEKDAY(jul!AJ$3,1)=1,"WO","P"))</f>
        <v>P</v>
      </c>
      <c r="AK45" s="4">
        <f>COUNTIF(jul!$F45:$AJ45,"WO")</f>
        <v>4</v>
      </c>
      <c r="AL45" s="4">
        <f>COUNTIF(jul!$F45:$AJ45,"H")</f>
        <v>0</v>
      </c>
      <c r="AM45" s="4">
        <f>COUNTIF(jul!$F45:$AJ45,"pl")</f>
        <v>0</v>
      </c>
      <c r="AN45" s="4">
        <f>COUNTIF(jul!$F45:$AJ45,"LWP")</f>
        <v>0</v>
      </c>
      <c r="AO45" s="4">
        <f>COUNTIF(jul!$F45:$AJ45,"HD")</f>
        <v>0</v>
      </c>
      <c r="AP45" s="4">
        <f>COUNTIF(jul!$F45:$AJ45,"SL")</f>
        <v>0</v>
      </c>
      <c r="AQ45" s="4">
        <f>COUNTIF(jul!$F45:$AJ45,"CL")</f>
        <v>0</v>
      </c>
      <c r="AR45" s="4">
        <f>COUNTIF(jul!$F45:$AJ45,"A")</f>
        <v>0</v>
      </c>
      <c r="AS45" s="4">
        <f>COUNTIF(jul!$F45:$AJ45,"P")</f>
        <v>27</v>
      </c>
      <c r="AT45" s="4">
        <f t="shared" si="2"/>
        <v>31</v>
      </c>
      <c r="AU45" s="4">
        <f t="shared" si="3"/>
        <v>31</v>
      </c>
      <c r="AV45" s="4">
        <f>SUMIFS(holly!$L$2:$L$122,holly!$I$2:$I$122,mar!$A45,holly!$K$2:$K$122,"Mar")</f>
        <v>0</v>
      </c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</row>
    <row r="46" spans="1:80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IFERROR(LOOKUP(2,1/((lentry!$A$3:$A$3999=jul!$A46)*(lentry!$B$3:$B$3999&lt;=jul!F$3)*(lentry!$C$3:$C$3999&gt;=jul!F$3)),lentry!$D$3:$D$3999),IF(WEEKDAY(jul!F$3,1)=1,"WO","P"))</f>
        <v>P</v>
      </c>
      <c r="G46" s="4" t="str">
        <f>IFERROR(LOOKUP(2,1/((lentry!$A$3:$A$3999=jul!$A46)*(lentry!$B$3:$B$3999&lt;=jul!G$3)*(lentry!$C$3:$C$3999&gt;=jul!G$3)),lentry!$D$3:$D$3999),IF(WEEKDAY(jul!G$3,1)=1,"WO","P"))</f>
        <v>P</v>
      </c>
      <c r="H46" s="4" t="str">
        <f>IFERROR(LOOKUP(2,1/((lentry!$A$3:$A$3999=jul!$A46)*(lentry!$B$3:$B$3999&lt;=jul!H$3)*(lentry!$C$3:$C$3999&gt;=jul!H$3)),lentry!$D$3:$D$3999),IF(WEEKDAY(jul!H$3,1)=1,"WO","P"))</f>
        <v>P</v>
      </c>
      <c r="I46" s="4" t="str">
        <f>IFERROR(LOOKUP(2,1/((lentry!$A$3:$A$3999=jul!$A46)*(lentry!$B$3:$B$3999&lt;=jul!I$3)*(lentry!$C$3:$C$3999&gt;=jul!I$3)),lentry!$D$3:$D$3999),IF(WEEKDAY(jul!I$3,1)=1,"WO","P"))</f>
        <v>P</v>
      </c>
      <c r="J46" s="4" t="str">
        <f>IFERROR(LOOKUP(2,1/((lentry!$A$3:$A$3999=jul!$A46)*(lentry!$B$3:$B$3999&lt;=jul!J$3)*(lentry!$C$3:$C$3999&gt;=jul!J$3)),lentry!$D$3:$D$3999),IF(WEEKDAY(jul!J$3,1)=1,"WO","P"))</f>
        <v>WO</v>
      </c>
      <c r="K46" s="4" t="str">
        <f>IFERROR(LOOKUP(2,1/((lentry!$A$3:$A$3999=jul!$A46)*(lentry!$B$3:$B$3999&lt;=jul!K$3)*(lentry!$C$3:$C$3999&gt;=jul!K$3)),lentry!$D$3:$D$3999),IF(WEEKDAY(jul!K$3,1)=1,"WO","P"))</f>
        <v>P</v>
      </c>
      <c r="L46" s="4" t="str">
        <f>IFERROR(LOOKUP(2,1/((lentry!$A$3:$A$3999=jul!$A46)*(lentry!$B$3:$B$3999&lt;=jul!L$3)*(lentry!$C$3:$C$3999&gt;=jul!L$3)),lentry!$D$3:$D$3999),IF(WEEKDAY(jul!L$3,1)=1,"WO","P"))</f>
        <v>P</v>
      </c>
      <c r="M46" s="4" t="str">
        <f>IFERROR(LOOKUP(2,1/((lentry!$A$3:$A$3999=jul!$A46)*(lentry!$B$3:$B$3999&lt;=jul!M$3)*(lentry!$C$3:$C$3999&gt;=jul!M$3)),lentry!$D$3:$D$3999),IF(WEEKDAY(jul!M$3,1)=1,"WO","P"))</f>
        <v>P</v>
      </c>
      <c r="N46" s="4" t="str">
        <f>IFERROR(LOOKUP(2,1/((lentry!$A$3:$A$3999=jul!$A46)*(lentry!$B$3:$B$3999&lt;=jul!N$3)*(lentry!$C$3:$C$3999&gt;=jul!N$3)),lentry!$D$3:$D$3999),IF(WEEKDAY(jul!N$3,1)=1,"WO","P"))</f>
        <v>P</v>
      </c>
      <c r="O46" s="4" t="str">
        <f>IFERROR(LOOKUP(2,1/((lentry!$A$3:$A$3999=jul!$A46)*(lentry!$B$3:$B$3999&lt;=jul!O$3)*(lentry!$C$3:$C$3999&gt;=jul!O$3)),lentry!$D$3:$D$3999),IF(WEEKDAY(jul!O$3,1)=1,"WO","P"))</f>
        <v>P</v>
      </c>
      <c r="P46" s="4" t="str">
        <f>IFERROR(LOOKUP(2,1/((lentry!$A$3:$A$3999=jul!$A46)*(lentry!$B$3:$B$3999&lt;=jul!P$3)*(lentry!$C$3:$C$3999&gt;=jul!P$3)),lentry!$D$3:$D$3999),IF(WEEKDAY(jul!P$3,1)=1,"WO","P"))</f>
        <v>P</v>
      </c>
      <c r="Q46" s="4" t="str">
        <f>IFERROR(LOOKUP(2,1/((lentry!$A$3:$A$3999=jul!$A46)*(lentry!$B$3:$B$3999&lt;=jul!Q$3)*(lentry!$C$3:$C$3999&gt;=jul!Q$3)),lentry!$D$3:$D$3999),IF(WEEKDAY(jul!Q$3,1)=1,"WO","P"))</f>
        <v>WO</v>
      </c>
      <c r="R46" s="4" t="str">
        <f>IFERROR(LOOKUP(2,1/((lentry!$A$3:$A$3999=jul!$A46)*(lentry!$B$3:$B$3999&lt;=jul!R$3)*(lentry!$C$3:$C$3999&gt;=jul!R$3)),lentry!$D$3:$D$3999),IF(WEEKDAY(jul!R$3,1)=1,"WO","P"))</f>
        <v>P</v>
      </c>
      <c r="S46" s="4" t="str">
        <f>IFERROR(LOOKUP(2,1/((lentry!$A$3:$A$3999=jul!$A46)*(lentry!$B$3:$B$3999&lt;=jul!S$3)*(lentry!$C$3:$C$3999&gt;=jul!S$3)),lentry!$D$3:$D$3999),IF(WEEKDAY(jul!S$3,1)=1,"WO","P"))</f>
        <v>P</v>
      </c>
      <c r="T46" s="4" t="str">
        <f>IFERROR(LOOKUP(2,1/((lentry!$A$3:$A$3999=jul!$A46)*(lentry!$B$3:$B$3999&lt;=jul!T$3)*(lentry!$C$3:$C$3999&gt;=jul!T$3)),lentry!$D$3:$D$3999),IF(WEEKDAY(jul!T$3,1)=1,"WO","P"))</f>
        <v>P</v>
      </c>
      <c r="U46" s="4" t="str">
        <f>IFERROR(LOOKUP(2,1/((lentry!$A$3:$A$3999=jul!$A46)*(lentry!$B$3:$B$3999&lt;=jul!U$3)*(lentry!$C$3:$C$3999&gt;=jul!U$3)),lentry!$D$3:$D$3999),IF(WEEKDAY(jul!U$3,1)=1,"WO","P"))</f>
        <v>P</v>
      </c>
      <c r="V46" s="4" t="str">
        <f>IFERROR(LOOKUP(2,1/((lentry!$A$3:$A$3999=jul!$A46)*(lentry!$B$3:$B$3999&lt;=jul!V$3)*(lentry!$C$3:$C$3999&gt;=jul!V$3)),lentry!$D$3:$D$3999),IF(WEEKDAY(jul!V$3,1)=1,"WO","P"))</f>
        <v>P</v>
      </c>
      <c r="W46" s="4" t="str">
        <f>IFERROR(LOOKUP(2,1/((lentry!$A$3:$A$3999=jul!$A46)*(lentry!$B$3:$B$3999&lt;=jul!W$3)*(lentry!$C$3:$C$3999&gt;=jul!W$3)),lentry!$D$3:$D$3999),IF(WEEKDAY(jul!W$3,1)=1,"WO","P"))</f>
        <v>P</v>
      </c>
      <c r="X46" s="4" t="str">
        <f>IFERROR(LOOKUP(2,1/((lentry!$A$3:$A$3999=jul!$A46)*(lentry!$B$3:$B$3999&lt;=jul!X$3)*(lentry!$C$3:$C$3999&gt;=jul!X$3)),lentry!$D$3:$D$3999),IF(WEEKDAY(jul!X$3,1)=1,"WO","P"))</f>
        <v>WO</v>
      </c>
      <c r="Y46" s="4" t="str">
        <f>IFERROR(LOOKUP(2,1/((lentry!$A$3:$A$3999=jul!$A46)*(lentry!$B$3:$B$3999&lt;=jul!Y$3)*(lentry!$C$3:$C$3999&gt;=jul!Y$3)),lentry!$D$3:$D$3999),IF(WEEKDAY(jul!Y$3,1)=1,"WO","P"))</f>
        <v>P</v>
      </c>
      <c r="Z46" s="4" t="str">
        <f>IFERROR(LOOKUP(2,1/((lentry!$A$3:$A$3999=jul!$A46)*(lentry!$B$3:$B$3999&lt;=jul!Z$3)*(lentry!$C$3:$C$3999&gt;=jul!Z$3)),lentry!$D$3:$D$3999),IF(WEEKDAY(jul!Z$3,1)=1,"WO","P"))</f>
        <v>P</v>
      </c>
      <c r="AA46" s="4" t="str">
        <f>IFERROR(LOOKUP(2,1/((lentry!$A$3:$A$3999=jul!$A46)*(lentry!$B$3:$B$3999&lt;=jul!AA$3)*(lentry!$C$3:$C$3999&gt;=jul!AA$3)),lentry!$D$3:$D$3999),IF(WEEKDAY(jul!AA$3,1)=1,"WO","P"))</f>
        <v>P</v>
      </c>
      <c r="AB46" s="4" t="str">
        <f>IFERROR(LOOKUP(2,1/((lentry!$A$3:$A$3999=jul!$A46)*(lentry!$B$3:$B$3999&lt;=jul!AB$3)*(lentry!$C$3:$C$3999&gt;=jul!AB$3)),lentry!$D$3:$D$3999),IF(WEEKDAY(jul!AB$3,1)=1,"WO","P"))</f>
        <v>P</v>
      </c>
      <c r="AC46" s="4" t="str">
        <f>IFERROR(LOOKUP(2,1/((lentry!$A$3:$A$3999=jul!$A46)*(lentry!$B$3:$B$3999&lt;=jul!AC$3)*(lentry!$C$3:$C$3999&gt;=jul!AC$3)),lentry!$D$3:$D$3999),IF(WEEKDAY(jul!AC$3,1)=1,"WO","P"))</f>
        <v>P</v>
      </c>
      <c r="AD46" s="4" t="str">
        <f>IFERROR(LOOKUP(2,1/((lentry!$A$3:$A$3999=jul!$A46)*(lentry!$B$3:$B$3999&lt;=jul!AD$3)*(lentry!$C$3:$C$3999&gt;=jul!AD$3)),lentry!$D$3:$D$3999),IF(WEEKDAY(jul!AD$3,1)=1,"WO","P"))</f>
        <v>P</v>
      </c>
      <c r="AE46" s="4" t="str">
        <f>IFERROR(LOOKUP(2,1/((lentry!$A$3:$A$3999=jul!$A46)*(lentry!$B$3:$B$3999&lt;=jul!AE$3)*(lentry!$C$3:$C$3999&gt;=jul!AE$3)),lentry!$D$3:$D$3999),IF(WEEKDAY(jul!AE$3,1)=1,"WO","P"))</f>
        <v>WO</v>
      </c>
      <c r="AF46" s="4" t="str">
        <f>IFERROR(LOOKUP(2,1/((lentry!$A$3:$A$3999=jul!$A46)*(lentry!$B$3:$B$3999&lt;=jul!AF$3)*(lentry!$C$3:$C$3999&gt;=jul!AF$3)),lentry!$D$3:$D$3999),IF(WEEKDAY(jul!AF$3,1)=1,"WO","P"))</f>
        <v>P</v>
      </c>
      <c r="AG46" s="4" t="str">
        <f>IFERROR(LOOKUP(2,1/((lentry!$A$3:$A$3999=jul!$A46)*(lentry!$B$3:$B$3999&lt;=jul!AG$3)*(lentry!$C$3:$C$3999&gt;=jul!AG$3)),lentry!$D$3:$D$3999),IF(WEEKDAY(jul!AG$3,1)=1,"WO","P"))</f>
        <v>P</v>
      </c>
      <c r="AH46" s="4" t="str">
        <f>IFERROR(LOOKUP(2,1/((lentry!$A$3:$A$3999=jul!$A46)*(lentry!$B$3:$B$3999&lt;=jul!AH$3)*(lentry!$C$3:$C$3999&gt;=jul!AH$3)),lentry!$D$3:$D$3999),IF(WEEKDAY(jul!AH$3,1)=1,"WO","P"))</f>
        <v>P</v>
      </c>
      <c r="AI46" s="4" t="str">
        <f>IFERROR(LOOKUP(2,1/((lentry!$A$3:$A$3999=jul!$A46)*(lentry!$B$3:$B$3999&lt;=jul!AI$3)*(lentry!$C$3:$C$3999&gt;=jul!AI$3)),lentry!$D$3:$D$3999),IF(WEEKDAY(jul!AI$3,1)=1,"WO","P"))</f>
        <v>P</v>
      </c>
      <c r="AJ46" s="4" t="str">
        <f>IFERROR(LOOKUP(2,1/((lentry!$A$3:$A$3999=jul!$A46)*(lentry!$B$3:$B$3999&lt;=jul!AJ$3)*(lentry!$C$3:$C$3999&gt;=jul!AJ$3)),lentry!$D$3:$D$3999),IF(WEEKDAY(jul!AJ$3,1)=1,"WO","P"))</f>
        <v>P</v>
      </c>
      <c r="AK46" s="4">
        <f>COUNTIF(jul!$F46:$AJ46,"WO")</f>
        <v>4</v>
      </c>
      <c r="AL46" s="4">
        <f>COUNTIF(jul!$F46:$AJ46,"H")</f>
        <v>0</v>
      </c>
      <c r="AM46" s="4">
        <f>COUNTIF(jul!$F46:$AJ46,"pl")</f>
        <v>0</v>
      </c>
      <c r="AN46" s="4">
        <f>COUNTIF(jul!$F46:$AJ46,"LWP")</f>
        <v>0</v>
      </c>
      <c r="AO46" s="4">
        <f>COUNTIF(jul!$F46:$AJ46,"HD")</f>
        <v>0</v>
      </c>
      <c r="AP46" s="4">
        <f>COUNTIF(jul!$F46:$AJ46,"SL")</f>
        <v>0</v>
      </c>
      <c r="AQ46" s="4">
        <f>COUNTIF(jul!$F46:$AJ46,"CL")</f>
        <v>0</v>
      </c>
      <c r="AR46" s="4">
        <f>COUNTIF(jul!$F46:$AJ46,"A")</f>
        <v>0</v>
      </c>
      <c r="AS46" s="4">
        <f>COUNTIF(jul!$F46:$AJ46,"P")</f>
        <v>27</v>
      </c>
      <c r="AT46" s="4">
        <f t="shared" si="2"/>
        <v>31</v>
      </c>
      <c r="AU46" s="4">
        <f t="shared" si="3"/>
        <v>31</v>
      </c>
      <c r="AV46" s="4">
        <f>SUMIFS(holly!$L$2:$L$122,holly!$I$2:$I$122,mar!$A46,holly!$K$2:$K$122,"Mar")</f>
        <v>1</v>
      </c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</row>
    <row r="47" spans="1:80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IFERROR(LOOKUP(2,1/((lentry!$A$3:$A$3999=jul!$A47)*(lentry!$B$3:$B$3999&lt;=jul!F$3)*(lentry!$C$3:$C$3999&gt;=jul!F$3)),lentry!$D$3:$D$3999),IF(WEEKDAY(jul!F$3,1)=1,"WO","P"))</f>
        <v>P</v>
      </c>
      <c r="G47" s="4" t="str">
        <f>IFERROR(LOOKUP(2,1/((lentry!$A$3:$A$3999=jul!$A47)*(lentry!$B$3:$B$3999&lt;=jul!G$3)*(lentry!$C$3:$C$3999&gt;=jul!G$3)),lentry!$D$3:$D$3999),IF(WEEKDAY(jul!G$3,1)=1,"WO","P"))</f>
        <v>P</v>
      </c>
      <c r="H47" s="4" t="str">
        <f>IFERROR(LOOKUP(2,1/((lentry!$A$3:$A$3999=jul!$A47)*(lentry!$B$3:$B$3999&lt;=jul!H$3)*(lentry!$C$3:$C$3999&gt;=jul!H$3)),lentry!$D$3:$D$3999),IF(WEEKDAY(jul!H$3,1)=1,"WO","P"))</f>
        <v>P</v>
      </c>
      <c r="I47" s="4" t="str">
        <f>IFERROR(LOOKUP(2,1/((lentry!$A$3:$A$3999=jul!$A47)*(lentry!$B$3:$B$3999&lt;=jul!I$3)*(lentry!$C$3:$C$3999&gt;=jul!I$3)),lentry!$D$3:$D$3999),IF(WEEKDAY(jul!I$3,1)=1,"WO","P"))</f>
        <v>P</v>
      </c>
      <c r="J47" s="4" t="str">
        <f>IFERROR(LOOKUP(2,1/((lentry!$A$3:$A$3999=jul!$A47)*(lentry!$B$3:$B$3999&lt;=jul!J$3)*(lentry!$C$3:$C$3999&gt;=jul!J$3)),lentry!$D$3:$D$3999),IF(WEEKDAY(jul!J$3,1)=1,"WO","P"))</f>
        <v>WO</v>
      </c>
      <c r="K47" s="4" t="str">
        <f>IFERROR(LOOKUP(2,1/((lentry!$A$3:$A$3999=jul!$A47)*(lentry!$B$3:$B$3999&lt;=jul!K$3)*(lentry!$C$3:$C$3999&gt;=jul!K$3)),lentry!$D$3:$D$3999),IF(WEEKDAY(jul!K$3,1)=1,"WO","P"))</f>
        <v>P</v>
      </c>
      <c r="L47" s="4" t="str">
        <f>IFERROR(LOOKUP(2,1/((lentry!$A$3:$A$3999=jul!$A47)*(lentry!$B$3:$B$3999&lt;=jul!L$3)*(lentry!$C$3:$C$3999&gt;=jul!L$3)),lentry!$D$3:$D$3999),IF(WEEKDAY(jul!L$3,1)=1,"WO","P"))</f>
        <v>P</v>
      </c>
      <c r="M47" s="4" t="str">
        <f>IFERROR(LOOKUP(2,1/((lentry!$A$3:$A$3999=jul!$A47)*(lentry!$B$3:$B$3999&lt;=jul!M$3)*(lentry!$C$3:$C$3999&gt;=jul!M$3)),lentry!$D$3:$D$3999),IF(WEEKDAY(jul!M$3,1)=1,"WO","P"))</f>
        <v>P</v>
      </c>
      <c r="N47" s="4" t="str">
        <f>IFERROR(LOOKUP(2,1/((lentry!$A$3:$A$3999=jul!$A47)*(lentry!$B$3:$B$3999&lt;=jul!N$3)*(lentry!$C$3:$C$3999&gt;=jul!N$3)),lentry!$D$3:$D$3999),IF(WEEKDAY(jul!N$3,1)=1,"WO","P"))</f>
        <v>P</v>
      </c>
      <c r="O47" s="4" t="str">
        <f>IFERROR(LOOKUP(2,1/((lentry!$A$3:$A$3999=jul!$A47)*(lentry!$B$3:$B$3999&lt;=jul!O$3)*(lentry!$C$3:$C$3999&gt;=jul!O$3)),lentry!$D$3:$D$3999),IF(WEEKDAY(jul!O$3,1)=1,"WO","P"))</f>
        <v>P</v>
      </c>
      <c r="P47" s="4" t="str">
        <f>IFERROR(LOOKUP(2,1/((lentry!$A$3:$A$3999=jul!$A47)*(lentry!$B$3:$B$3999&lt;=jul!P$3)*(lentry!$C$3:$C$3999&gt;=jul!P$3)),lentry!$D$3:$D$3999),IF(WEEKDAY(jul!P$3,1)=1,"WO","P"))</f>
        <v>P</v>
      </c>
      <c r="Q47" s="4" t="str">
        <f>IFERROR(LOOKUP(2,1/((lentry!$A$3:$A$3999=jul!$A47)*(lentry!$B$3:$B$3999&lt;=jul!Q$3)*(lentry!$C$3:$C$3999&gt;=jul!Q$3)),lentry!$D$3:$D$3999),IF(WEEKDAY(jul!Q$3,1)=1,"WO","P"))</f>
        <v>WO</v>
      </c>
      <c r="R47" s="4" t="str">
        <f>IFERROR(LOOKUP(2,1/((lentry!$A$3:$A$3999=jul!$A47)*(lentry!$B$3:$B$3999&lt;=jul!R$3)*(lentry!$C$3:$C$3999&gt;=jul!R$3)),lentry!$D$3:$D$3999),IF(WEEKDAY(jul!R$3,1)=1,"WO","P"))</f>
        <v>P</v>
      </c>
      <c r="S47" s="4" t="str">
        <f>IFERROR(LOOKUP(2,1/((lentry!$A$3:$A$3999=jul!$A47)*(lentry!$B$3:$B$3999&lt;=jul!S$3)*(lentry!$C$3:$C$3999&gt;=jul!S$3)),lentry!$D$3:$D$3999),IF(WEEKDAY(jul!S$3,1)=1,"WO","P"))</f>
        <v>P</v>
      </c>
      <c r="T47" s="4" t="str">
        <f>IFERROR(LOOKUP(2,1/((lentry!$A$3:$A$3999=jul!$A47)*(lentry!$B$3:$B$3999&lt;=jul!T$3)*(lentry!$C$3:$C$3999&gt;=jul!T$3)),lentry!$D$3:$D$3999),IF(WEEKDAY(jul!T$3,1)=1,"WO","P"))</f>
        <v>P</v>
      </c>
      <c r="U47" s="4" t="str">
        <f>IFERROR(LOOKUP(2,1/((lentry!$A$3:$A$3999=jul!$A47)*(lentry!$B$3:$B$3999&lt;=jul!U$3)*(lentry!$C$3:$C$3999&gt;=jul!U$3)),lentry!$D$3:$D$3999),IF(WEEKDAY(jul!U$3,1)=1,"WO","P"))</f>
        <v>P</v>
      </c>
      <c r="V47" s="4" t="str">
        <f>IFERROR(LOOKUP(2,1/((lentry!$A$3:$A$3999=jul!$A47)*(lentry!$B$3:$B$3999&lt;=jul!V$3)*(lentry!$C$3:$C$3999&gt;=jul!V$3)),lentry!$D$3:$D$3999),IF(WEEKDAY(jul!V$3,1)=1,"WO","P"))</f>
        <v>P</v>
      </c>
      <c r="W47" s="4" t="str">
        <f>IFERROR(LOOKUP(2,1/((lentry!$A$3:$A$3999=jul!$A47)*(lentry!$B$3:$B$3999&lt;=jul!W$3)*(lentry!$C$3:$C$3999&gt;=jul!W$3)),lentry!$D$3:$D$3999),IF(WEEKDAY(jul!W$3,1)=1,"WO","P"))</f>
        <v>P</v>
      </c>
      <c r="X47" s="4" t="str">
        <f>IFERROR(LOOKUP(2,1/((lentry!$A$3:$A$3999=jul!$A47)*(lentry!$B$3:$B$3999&lt;=jul!X$3)*(lentry!$C$3:$C$3999&gt;=jul!X$3)),lentry!$D$3:$D$3999),IF(WEEKDAY(jul!X$3,1)=1,"WO","P"))</f>
        <v>WO</v>
      </c>
      <c r="Y47" s="4" t="str">
        <f>IFERROR(LOOKUP(2,1/((lentry!$A$3:$A$3999=jul!$A47)*(lentry!$B$3:$B$3999&lt;=jul!Y$3)*(lentry!$C$3:$C$3999&gt;=jul!Y$3)),lentry!$D$3:$D$3999),IF(WEEKDAY(jul!Y$3,1)=1,"WO","P"))</f>
        <v>P</v>
      </c>
      <c r="Z47" s="4" t="str">
        <f>IFERROR(LOOKUP(2,1/((lentry!$A$3:$A$3999=jul!$A47)*(lentry!$B$3:$B$3999&lt;=jul!Z$3)*(lentry!$C$3:$C$3999&gt;=jul!Z$3)),lentry!$D$3:$D$3999),IF(WEEKDAY(jul!Z$3,1)=1,"WO","P"))</f>
        <v>P</v>
      </c>
      <c r="AA47" s="4" t="str">
        <f>IFERROR(LOOKUP(2,1/((lentry!$A$3:$A$3999=jul!$A47)*(lentry!$B$3:$B$3999&lt;=jul!AA$3)*(lentry!$C$3:$C$3999&gt;=jul!AA$3)),lentry!$D$3:$D$3999),IF(WEEKDAY(jul!AA$3,1)=1,"WO","P"))</f>
        <v>P</v>
      </c>
      <c r="AB47" s="4" t="str">
        <f>IFERROR(LOOKUP(2,1/((lentry!$A$3:$A$3999=jul!$A47)*(lentry!$B$3:$B$3999&lt;=jul!AB$3)*(lentry!$C$3:$C$3999&gt;=jul!AB$3)),lentry!$D$3:$D$3999),IF(WEEKDAY(jul!AB$3,1)=1,"WO","P"))</f>
        <v>P</v>
      </c>
      <c r="AC47" s="4" t="str">
        <f>IFERROR(LOOKUP(2,1/((lentry!$A$3:$A$3999=jul!$A47)*(lentry!$B$3:$B$3999&lt;=jul!AC$3)*(lentry!$C$3:$C$3999&gt;=jul!AC$3)),lentry!$D$3:$D$3999),IF(WEEKDAY(jul!AC$3,1)=1,"WO","P"))</f>
        <v>P</v>
      </c>
      <c r="AD47" s="4" t="str">
        <f>IFERROR(LOOKUP(2,1/((lentry!$A$3:$A$3999=jul!$A47)*(lentry!$B$3:$B$3999&lt;=jul!AD$3)*(lentry!$C$3:$C$3999&gt;=jul!AD$3)),lentry!$D$3:$D$3999),IF(WEEKDAY(jul!AD$3,1)=1,"WO","P"))</f>
        <v>P</v>
      </c>
      <c r="AE47" s="4" t="str">
        <f>IFERROR(LOOKUP(2,1/((lentry!$A$3:$A$3999=jul!$A47)*(lentry!$B$3:$B$3999&lt;=jul!AE$3)*(lentry!$C$3:$C$3999&gt;=jul!AE$3)),lentry!$D$3:$D$3999),IF(WEEKDAY(jul!AE$3,1)=1,"WO","P"))</f>
        <v>WO</v>
      </c>
      <c r="AF47" s="4" t="str">
        <f>IFERROR(LOOKUP(2,1/((lentry!$A$3:$A$3999=jul!$A47)*(lentry!$B$3:$B$3999&lt;=jul!AF$3)*(lentry!$C$3:$C$3999&gt;=jul!AF$3)),lentry!$D$3:$D$3999),IF(WEEKDAY(jul!AF$3,1)=1,"WO","P"))</f>
        <v>P</v>
      </c>
      <c r="AG47" s="4" t="str">
        <f>IFERROR(LOOKUP(2,1/((lentry!$A$3:$A$3999=jul!$A47)*(lentry!$B$3:$B$3999&lt;=jul!AG$3)*(lentry!$C$3:$C$3999&gt;=jul!AG$3)),lentry!$D$3:$D$3999),IF(WEEKDAY(jul!AG$3,1)=1,"WO","P"))</f>
        <v>P</v>
      </c>
      <c r="AH47" s="4" t="str">
        <f>IFERROR(LOOKUP(2,1/((lentry!$A$3:$A$3999=jul!$A47)*(lentry!$B$3:$B$3999&lt;=jul!AH$3)*(lentry!$C$3:$C$3999&gt;=jul!AH$3)),lentry!$D$3:$D$3999),IF(WEEKDAY(jul!AH$3,1)=1,"WO","P"))</f>
        <v>P</v>
      </c>
      <c r="AI47" s="4" t="str">
        <f>IFERROR(LOOKUP(2,1/((lentry!$A$3:$A$3999=jul!$A47)*(lentry!$B$3:$B$3999&lt;=jul!AI$3)*(lentry!$C$3:$C$3999&gt;=jul!AI$3)),lentry!$D$3:$D$3999),IF(WEEKDAY(jul!AI$3,1)=1,"WO","P"))</f>
        <v>P</v>
      </c>
      <c r="AJ47" s="4" t="str">
        <f>IFERROR(LOOKUP(2,1/((lentry!$A$3:$A$3999=jul!$A47)*(lentry!$B$3:$B$3999&lt;=jul!AJ$3)*(lentry!$C$3:$C$3999&gt;=jul!AJ$3)),lentry!$D$3:$D$3999),IF(WEEKDAY(jul!AJ$3,1)=1,"WO","P"))</f>
        <v>P</v>
      </c>
      <c r="AK47" s="4">
        <f>COUNTIF(jul!$F47:$AJ47,"WO")</f>
        <v>4</v>
      </c>
      <c r="AL47" s="4">
        <f>COUNTIF(jul!$F47:$AJ47,"H")</f>
        <v>0</v>
      </c>
      <c r="AM47" s="4">
        <f>COUNTIF(jul!$F47:$AJ47,"pl")</f>
        <v>0</v>
      </c>
      <c r="AN47" s="4">
        <f>COUNTIF(jul!$F47:$AJ47,"LWP")</f>
        <v>0</v>
      </c>
      <c r="AO47" s="4">
        <f>COUNTIF(jul!$F47:$AJ47,"HD")</f>
        <v>0</v>
      </c>
      <c r="AP47" s="4">
        <f>COUNTIF(jul!$F47:$AJ47,"SL")</f>
        <v>0</v>
      </c>
      <c r="AQ47" s="4">
        <f>COUNTIF(jul!$F47:$AJ47,"CL")</f>
        <v>0</v>
      </c>
      <c r="AR47" s="4">
        <f>COUNTIF(jul!$F47:$AJ47,"A")</f>
        <v>0</v>
      </c>
      <c r="AS47" s="4">
        <f>COUNTIF(jul!$F47:$AJ47,"P")</f>
        <v>27</v>
      </c>
      <c r="AT47" s="4">
        <f t="shared" si="2"/>
        <v>31</v>
      </c>
      <c r="AU47" s="4">
        <f t="shared" si="3"/>
        <v>31</v>
      </c>
      <c r="AV47" s="4">
        <f>SUMIFS(holly!$L$2:$L$122,holly!$I$2:$I$122,mar!$A47,holly!$K$2:$K$122,"Mar")</f>
        <v>0</v>
      </c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</row>
    <row r="48" spans="1:80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IFERROR(LOOKUP(2,1/((lentry!$A$3:$A$3999=jul!$A48)*(lentry!$B$3:$B$3999&lt;=jul!F$3)*(lentry!$C$3:$C$3999&gt;=jul!F$3)),lentry!$D$3:$D$3999),IF(WEEKDAY(jul!F$3,1)=1,"WO","P"))</f>
        <v>P</v>
      </c>
      <c r="G48" s="4" t="str">
        <f>IFERROR(LOOKUP(2,1/((lentry!$A$3:$A$3999=jul!$A48)*(lentry!$B$3:$B$3999&lt;=jul!G$3)*(lentry!$C$3:$C$3999&gt;=jul!G$3)),lentry!$D$3:$D$3999),IF(WEEKDAY(jul!G$3,1)=1,"WO","P"))</f>
        <v>P</v>
      </c>
      <c r="H48" s="4" t="str">
        <f>IFERROR(LOOKUP(2,1/((lentry!$A$3:$A$3999=jul!$A48)*(lentry!$B$3:$B$3999&lt;=jul!H$3)*(lentry!$C$3:$C$3999&gt;=jul!H$3)),lentry!$D$3:$D$3999),IF(WEEKDAY(jul!H$3,1)=1,"WO","P"))</f>
        <v>P</v>
      </c>
      <c r="I48" s="4" t="str">
        <f>IFERROR(LOOKUP(2,1/((lentry!$A$3:$A$3999=jul!$A48)*(lentry!$B$3:$B$3999&lt;=jul!I$3)*(lentry!$C$3:$C$3999&gt;=jul!I$3)),lentry!$D$3:$D$3999),IF(WEEKDAY(jul!I$3,1)=1,"WO","P"))</f>
        <v>P</v>
      </c>
      <c r="J48" s="4" t="str">
        <f>IFERROR(LOOKUP(2,1/((lentry!$A$3:$A$3999=jul!$A48)*(lentry!$B$3:$B$3999&lt;=jul!J$3)*(lentry!$C$3:$C$3999&gt;=jul!J$3)),lentry!$D$3:$D$3999),IF(WEEKDAY(jul!J$3,1)=1,"WO","P"))</f>
        <v>WO</v>
      </c>
      <c r="K48" s="4" t="str">
        <f>IFERROR(LOOKUP(2,1/((lentry!$A$3:$A$3999=jul!$A48)*(lentry!$B$3:$B$3999&lt;=jul!K$3)*(lentry!$C$3:$C$3999&gt;=jul!K$3)),lentry!$D$3:$D$3999),IF(WEEKDAY(jul!K$3,1)=1,"WO","P"))</f>
        <v>P</v>
      </c>
      <c r="L48" s="4" t="str">
        <f>IFERROR(LOOKUP(2,1/((lentry!$A$3:$A$3999=jul!$A48)*(lentry!$B$3:$B$3999&lt;=jul!L$3)*(lentry!$C$3:$C$3999&gt;=jul!L$3)),lentry!$D$3:$D$3999),IF(WEEKDAY(jul!L$3,1)=1,"WO","P"))</f>
        <v>P</v>
      </c>
      <c r="M48" s="4" t="str">
        <f>IFERROR(LOOKUP(2,1/((lentry!$A$3:$A$3999=jul!$A48)*(lentry!$B$3:$B$3999&lt;=jul!M$3)*(lentry!$C$3:$C$3999&gt;=jul!M$3)),lentry!$D$3:$D$3999),IF(WEEKDAY(jul!M$3,1)=1,"WO","P"))</f>
        <v>P</v>
      </c>
      <c r="N48" s="4" t="str">
        <f>IFERROR(LOOKUP(2,1/((lentry!$A$3:$A$3999=jul!$A48)*(lentry!$B$3:$B$3999&lt;=jul!N$3)*(lentry!$C$3:$C$3999&gt;=jul!N$3)),lentry!$D$3:$D$3999),IF(WEEKDAY(jul!N$3,1)=1,"WO","P"))</f>
        <v>P</v>
      </c>
      <c r="O48" s="4" t="str">
        <f>IFERROR(LOOKUP(2,1/((lentry!$A$3:$A$3999=jul!$A48)*(lentry!$B$3:$B$3999&lt;=jul!O$3)*(lentry!$C$3:$C$3999&gt;=jul!O$3)),lentry!$D$3:$D$3999),IF(WEEKDAY(jul!O$3,1)=1,"WO","P"))</f>
        <v>P</v>
      </c>
      <c r="P48" s="4" t="str">
        <f>IFERROR(LOOKUP(2,1/((lentry!$A$3:$A$3999=jul!$A48)*(lentry!$B$3:$B$3999&lt;=jul!P$3)*(lentry!$C$3:$C$3999&gt;=jul!P$3)),lentry!$D$3:$D$3999),IF(WEEKDAY(jul!P$3,1)=1,"WO","P"))</f>
        <v>P</v>
      </c>
      <c r="Q48" s="4" t="str">
        <f>IFERROR(LOOKUP(2,1/((lentry!$A$3:$A$3999=jul!$A48)*(lentry!$B$3:$B$3999&lt;=jul!Q$3)*(lentry!$C$3:$C$3999&gt;=jul!Q$3)),lentry!$D$3:$D$3999),IF(WEEKDAY(jul!Q$3,1)=1,"WO","P"))</f>
        <v>CL</v>
      </c>
      <c r="R48" s="4" t="str">
        <f>IFERROR(LOOKUP(2,1/((lentry!$A$3:$A$3999=jul!$A48)*(lentry!$B$3:$B$3999&lt;=jul!R$3)*(lentry!$C$3:$C$3999&gt;=jul!R$3)),lentry!$D$3:$D$3999),IF(WEEKDAY(jul!R$3,1)=1,"WO","P"))</f>
        <v>P</v>
      </c>
      <c r="S48" s="4" t="str">
        <f>IFERROR(LOOKUP(2,1/((lentry!$A$3:$A$3999=jul!$A48)*(lentry!$B$3:$B$3999&lt;=jul!S$3)*(lentry!$C$3:$C$3999&gt;=jul!S$3)),lentry!$D$3:$D$3999),IF(WEEKDAY(jul!S$3,1)=1,"WO","P"))</f>
        <v>P</v>
      </c>
      <c r="T48" s="4" t="str">
        <f>IFERROR(LOOKUP(2,1/((lentry!$A$3:$A$3999=jul!$A48)*(lentry!$B$3:$B$3999&lt;=jul!T$3)*(lentry!$C$3:$C$3999&gt;=jul!T$3)),lentry!$D$3:$D$3999),IF(WEEKDAY(jul!T$3,1)=1,"WO","P"))</f>
        <v>P</v>
      </c>
      <c r="U48" s="4" t="str">
        <f>IFERROR(LOOKUP(2,1/((lentry!$A$3:$A$3999=jul!$A48)*(lentry!$B$3:$B$3999&lt;=jul!U$3)*(lentry!$C$3:$C$3999&gt;=jul!U$3)),lentry!$D$3:$D$3999),IF(WEEKDAY(jul!U$3,1)=1,"WO","P"))</f>
        <v>P</v>
      </c>
      <c r="V48" s="4" t="str">
        <f>IFERROR(LOOKUP(2,1/((lentry!$A$3:$A$3999=jul!$A48)*(lentry!$B$3:$B$3999&lt;=jul!V$3)*(lentry!$C$3:$C$3999&gt;=jul!V$3)),lentry!$D$3:$D$3999),IF(WEEKDAY(jul!V$3,1)=1,"WO","P"))</f>
        <v>P</v>
      </c>
      <c r="W48" s="4" t="str">
        <f>IFERROR(LOOKUP(2,1/((lentry!$A$3:$A$3999=jul!$A48)*(lentry!$B$3:$B$3999&lt;=jul!W$3)*(lentry!$C$3:$C$3999&gt;=jul!W$3)),lentry!$D$3:$D$3999),IF(WEEKDAY(jul!W$3,1)=1,"WO","P"))</f>
        <v>P</v>
      </c>
      <c r="X48" s="4" t="str">
        <f>IFERROR(LOOKUP(2,1/((lentry!$A$3:$A$3999=jul!$A48)*(lentry!$B$3:$B$3999&lt;=jul!X$3)*(lentry!$C$3:$C$3999&gt;=jul!X$3)),lentry!$D$3:$D$3999),IF(WEEKDAY(jul!X$3,1)=1,"WO","P"))</f>
        <v>WO</v>
      </c>
      <c r="Y48" s="4" t="str">
        <f>IFERROR(LOOKUP(2,1/((lentry!$A$3:$A$3999=jul!$A48)*(lentry!$B$3:$B$3999&lt;=jul!Y$3)*(lentry!$C$3:$C$3999&gt;=jul!Y$3)),lentry!$D$3:$D$3999),IF(WEEKDAY(jul!Y$3,1)=1,"WO","P"))</f>
        <v>P</v>
      </c>
      <c r="Z48" s="4" t="str">
        <f>IFERROR(LOOKUP(2,1/((lentry!$A$3:$A$3999=jul!$A48)*(lentry!$B$3:$B$3999&lt;=jul!Z$3)*(lentry!$C$3:$C$3999&gt;=jul!Z$3)),lentry!$D$3:$D$3999),IF(WEEKDAY(jul!Z$3,1)=1,"WO","P"))</f>
        <v>P</v>
      </c>
      <c r="AA48" s="4" t="str">
        <f>IFERROR(LOOKUP(2,1/((lentry!$A$3:$A$3999=jul!$A48)*(lentry!$B$3:$B$3999&lt;=jul!AA$3)*(lentry!$C$3:$C$3999&gt;=jul!AA$3)),lentry!$D$3:$D$3999),IF(WEEKDAY(jul!AA$3,1)=1,"WO","P"))</f>
        <v>P</v>
      </c>
      <c r="AB48" s="4" t="str">
        <f>IFERROR(LOOKUP(2,1/((lentry!$A$3:$A$3999=jul!$A48)*(lentry!$B$3:$B$3999&lt;=jul!AB$3)*(lentry!$C$3:$C$3999&gt;=jul!AB$3)),lentry!$D$3:$D$3999),IF(WEEKDAY(jul!AB$3,1)=1,"WO","P"))</f>
        <v>P</v>
      </c>
      <c r="AC48" s="4" t="str">
        <f>IFERROR(LOOKUP(2,1/((lentry!$A$3:$A$3999=jul!$A48)*(lentry!$B$3:$B$3999&lt;=jul!AC$3)*(lentry!$C$3:$C$3999&gt;=jul!AC$3)),lentry!$D$3:$D$3999),IF(WEEKDAY(jul!AC$3,1)=1,"WO","P"))</f>
        <v>P</v>
      </c>
      <c r="AD48" s="4" t="str">
        <f>IFERROR(LOOKUP(2,1/((lentry!$A$3:$A$3999=jul!$A48)*(lentry!$B$3:$B$3999&lt;=jul!AD$3)*(lentry!$C$3:$C$3999&gt;=jul!AD$3)),lentry!$D$3:$D$3999),IF(WEEKDAY(jul!AD$3,1)=1,"WO","P"))</f>
        <v>P</v>
      </c>
      <c r="AE48" s="4" t="str">
        <f>IFERROR(LOOKUP(2,1/((lentry!$A$3:$A$3999=jul!$A48)*(lentry!$B$3:$B$3999&lt;=jul!AE$3)*(lentry!$C$3:$C$3999&gt;=jul!AE$3)),lentry!$D$3:$D$3999),IF(WEEKDAY(jul!AE$3,1)=1,"WO","P"))</f>
        <v>WO</v>
      </c>
      <c r="AF48" s="4" t="str">
        <f>IFERROR(LOOKUP(2,1/((lentry!$A$3:$A$3999=jul!$A48)*(lentry!$B$3:$B$3999&lt;=jul!AF$3)*(lentry!$C$3:$C$3999&gt;=jul!AF$3)),lentry!$D$3:$D$3999),IF(WEEKDAY(jul!AF$3,1)=1,"WO","P"))</f>
        <v>P</v>
      </c>
      <c r="AG48" s="4" t="str">
        <f>IFERROR(LOOKUP(2,1/((lentry!$A$3:$A$3999=jul!$A48)*(lentry!$B$3:$B$3999&lt;=jul!AG$3)*(lentry!$C$3:$C$3999&gt;=jul!AG$3)),lentry!$D$3:$D$3999),IF(WEEKDAY(jul!AG$3,1)=1,"WO","P"))</f>
        <v>P</v>
      </c>
      <c r="AH48" s="4" t="str">
        <f>IFERROR(LOOKUP(2,1/((lentry!$A$3:$A$3999=jul!$A48)*(lentry!$B$3:$B$3999&lt;=jul!AH$3)*(lentry!$C$3:$C$3999&gt;=jul!AH$3)),lentry!$D$3:$D$3999),IF(WEEKDAY(jul!AH$3,1)=1,"WO","P"))</f>
        <v>P</v>
      </c>
      <c r="AI48" s="4" t="str">
        <f>IFERROR(LOOKUP(2,1/((lentry!$A$3:$A$3999=jul!$A48)*(lentry!$B$3:$B$3999&lt;=jul!AI$3)*(lentry!$C$3:$C$3999&gt;=jul!AI$3)),lentry!$D$3:$D$3999),IF(WEEKDAY(jul!AI$3,1)=1,"WO","P"))</f>
        <v>P</v>
      </c>
      <c r="AJ48" s="4" t="str">
        <f>IFERROR(LOOKUP(2,1/((lentry!$A$3:$A$3999=jul!$A48)*(lentry!$B$3:$B$3999&lt;=jul!AJ$3)*(lentry!$C$3:$C$3999&gt;=jul!AJ$3)),lentry!$D$3:$D$3999),IF(WEEKDAY(jul!AJ$3,1)=1,"WO","P"))</f>
        <v>P</v>
      </c>
      <c r="AK48" s="4">
        <f>COUNTIF(jul!$F48:$AJ48,"WO")</f>
        <v>3</v>
      </c>
      <c r="AL48" s="4">
        <f>COUNTIF(jul!$F48:$AJ48,"H")</f>
        <v>0</v>
      </c>
      <c r="AM48" s="4">
        <f>COUNTIF(jul!$F48:$AJ48,"pl")</f>
        <v>0</v>
      </c>
      <c r="AN48" s="4">
        <f>COUNTIF(jul!$F48:$AJ48,"LWP")</f>
        <v>0</v>
      </c>
      <c r="AO48" s="4">
        <f>COUNTIF(jul!$F48:$AJ48,"HD")</f>
        <v>0</v>
      </c>
      <c r="AP48" s="4">
        <f>COUNTIF(jul!$F48:$AJ48,"SL")</f>
        <v>0</v>
      </c>
      <c r="AQ48" s="4">
        <f>COUNTIF(jul!$F48:$AJ48,"CL")</f>
        <v>1</v>
      </c>
      <c r="AR48" s="4">
        <f>COUNTIF(jul!$F48:$AJ48,"A")</f>
        <v>0</v>
      </c>
      <c r="AS48" s="4">
        <f>COUNTIF(jul!$F48:$AJ48,"P")</f>
        <v>27</v>
      </c>
      <c r="AT48" s="4">
        <f t="shared" si="2"/>
        <v>31</v>
      </c>
      <c r="AU48" s="4">
        <f t="shared" si="3"/>
        <v>31</v>
      </c>
      <c r="AV48" s="4">
        <f>SUMIFS(holly!$L$2:$L$122,holly!$I$2:$I$122,mar!$A48,holly!$K$2:$K$122,"Mar")</f>
        <v>0</v>
      </c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</row>
    <row r="49" spans="1:80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IFERROR(LOOKUP(2,1/((lentry!$A$3:$A$3999=jul!$A49)*(lentry!$B$3:$B$3999&lt;=jul!F$3)*(lentry!$C$3:$C$3999&gt;=jul!F$3)),lentry!$D$3:$D$3999),IF(WEEKDAY(jul!F$3,1)=1,"WO","P"))</f>
        <v>P</v>
      </c>
      <c r="G49" s="4" t="str">
        <f>IFERROR(LOOKUP(2,1/((lentry!$A$3:$A$3999=jul!$A49)*(lentry!$B$3:$B$3999&lt;=jul!G$3)*(lentry!$C$3:$C$3999&gt;=jul!G$3)),lentry!$D$3:$D$3999),IF(WEEKDAY(jul!G$3,1)=1,"WO","P"))</f>
        <v>P</v>
      </c>
      <c r="H49" s="4" t="str">
        <f>IFERROR(LOOKUP(2,1/((lentry!$A$3:$A$3999=jul!$A49)*(lentry!$B$3:$B$3999&lt;=jul!H$3)*(lentry!$C$3:$C$3999&gt;=jul!H$3)),lentry!$D$3:$D$3999),IF(WEEKDAY(jul!H$3,1)=1,"WO","P"))</f>
        <v>P</v>
      </c>
      <c r="I49" s="4" t="str">
        <f>IFERROR(LOOKUP(2,1/((lentry!$A$3:$A$3999=jul!$A49)*(lentry!$B$3:$B$3999&lt;=jul!I$3)*(lentry!$C$3:$C$3999&gt;=jul!I$3)),lentry!$D$3:$D$3999),IF(WEEKDAY(jul!I$3,1)=1,"WO","P"))</f>
        <v>P</v>
      </c>
      <c r="J49" s="4" t="str">
        <f>IFERROR(LOOKUP(2,1/((lentry!$A$3:$A$3999=jul!$A49)*(lentry!$B$3:$B$3999&lt;=jul!J$3)*(lentry!$C$3:$C$3999&gt;=jul!J$3)),lentry!$D$3:$D$3999),IF(WEEKDAY(jul!J$3,1)=1,"WO","P"))</f>
        <v>WO</v>
      </c>
      <c r="K49" s="4" t="str">
        <f>IFERROR(LOOKUP(2,1/((lentry!$A$3:$A$3999=jul!$A49)*(lentry!$B$3:$B$3999&lt;=jul!K$3)*(lentry!$C$3:$C$3999&gt;=jul!K$3)),lentry!$D$3:$D$3999),IF(WEEKDAY(jul!K$3,1)=1,"WO","P"))</f>
        <v>P</v>
      </c>
      <c r="L49" s="4" t="str">
        <f>IFERROR(LOOKUP(2,1/((lentry!$A$3:$A$3999=jul!$A49)*(lentry!$B$3:$B$3999&lt;=jul!L$3)*(lentry!$C$3:$C$3999&gt;=jul!L$3)),lentry!$D$3:$D$3999),IF(WEEKDAY(jul!L$3,1)=1,"WO","P"))</f>
        <v>P</v>
      </c>
      <c r="M49" s="4" t="str">
        <f>IFERROR(LOOKUP(2,1/((lentry!$A$3:$A$3999=jul!$A49)*(lentry!$B$3:$B$3999&lt;=jul!M$3)*(lentry!$C$3:$C$3999&gt;=jul!M$3)),lentry!$D$3:$D$3999),IF(WEEKDAY(jul!M$3,1)=1,"WO","P"))</f>
        <v>P</v>
      </c>
      <c r="N49" s="4" t="str">
        <f>IFERROR(LOOKUP(2,1/((lentry!$A$3:$A$3999=jul!$A49)*(lentry!$B$3:$B$3999&lt;=jul!N$3)*(lentry!$C$3:$C$3999&gt;=jul!N$3)),lentry!$D$3:$D$3999),IF(WEEKDAY(jul!N$3,1)=1,"WO","P"))</f>
        <v>P</v>
      </c>
      <c r="O49" s="4" t="str">
        <f>IFERROR(LOOKUP(2,1/((lentry!$A$3:$A$3999=jul!$A49)*(lentry!$B$3:$B$3999&lt;=jul!O$3)*(lentry!$C$3:$C$3999&gt;=jul!O$3)),lentry!$D$3:$D$3999),IF(WEEKDAY(jul!O$3,1)=1,"WO","P"))</f>
        <v>P</v>
      </c>
      <c r="P49" s="4" t="str">
        <f>IFERROR(LOOKUP(2,1/((lentry!$A$3:$A$3999=jul!$A49)*(lentry!$B$3:$B$3999&lt;=jul!P$3)*(lentry!$C$3:$C$3999&gt;=jul!P$3)),lentry!$D$3:$D$3999),IF(WEEKDAY(jul!P$3,1)=1,"WO","P"))</f>
        <v>P</v>
      </c>
      <c r="Q49" s="4" t="str">
        <f>IFERROR(LOOKUP(2,1/((lentry!$A$3:$A$3999=jul!$A49)*(lentry!$B$3:$B$3999&lt;=jul!Q$3)*(lentry!$C$3:$C$3999&gt;=jul!Q$3)),lentry!$D$3:$D$3999),IF(WEEKDAY(jul!Q$3,1)=1,"WO","P"))</f>
        <v>WO</v>
      </c>
      <c r="R49" s="4" t="str">
        <f>IFERROR(LOOKUP(2,1/((lentry!$A$3:$A$3999=jul!$A49)*(lentry!$B$3:$B$3999&lt;=jul!R$3)*(lentry!$C$3:$C$3999&gt;=jul!R$3)),lentry!$D$3:$D$3999),IF(WEEKDAY(jul!R$3,1)=1,"WO","P"))</f>
        <v>P</v>
      </c>
      <c r="S49" s="4" t="str">
        <f>IFERROR(LOOKUP(2,1/((lentry!$A$3:$A$3999=jul!$A49)*(lentry!$B$3:$B$3999&lt;=jul!S$3)*(lentry!$C$3:$C$3999&gt;=jul!S$3)),lentry!$D$3:$D$3999),IF(WEEKDAY(jul!S$3,1)=1,"WO","P"))</f>
        <v>P</v>
      </c>
      <c r="T49" s="4" t="str">
        <f>IFERROR(LOOKUP(2,1/((lentry!$A$3:$A$3999=jul!$A49)*(lentry!$B$3:$B$3999&lt;=jul!T$3)*(lentry!$C$3:$C$3999&gt;=jul!T$3)),lentry!$D$3:$D$3999),IF(WEEKDAY(jul!T$3,1)=1,"WO","P"))</f>
        <v>P</v>
      </c>
      <c r="U49" s="4" t="str">
        <f>IFERROR(LOOKUP(2,1/((lentry!$A$3:$A$3999=jul!$A49)*(lentry!$B$3:$B$3999&lt;=jul!U$3)*(lentry!$C$3:$C$3999&gt;=jul!U$3)),lentry!$D$3:$D$3999),IF(WEEKDAY(jul!U$3,1)=1,"WO","P"))</f>
        <v>P</v>
      </c>
      <c r="V49" s="4" t="str">
        <f>IFERROR(LOOKUP(2,1/((lentry!$A$3:$A$3999=jul!$A49)*(lentry!$B$3:$B$3999&lt;=jul!V$3)*(lentry!$C$3:$C$3999&gt;=jul!V$3)),lentry!$D$3:$D$3999),IF(WEEKDAY(jul!V$3,1)=1,"WO","P"))</f>
        <v>P</v>
      </c>
      <c r="W49" s="4" t="str">
        <f>IFERROR(LOOKUP(2,1/((lentry!$A$3:$A$3999=jul!$A49)*(lentry!$B$3:$B$3999&lt;=jul!W$3)*(lentry!$C$3:$C$3999&gt;=jul!W$3)),lentry!$D$3:$D$3999),IF(WEEKDAY(jul!W$3,1)=1,"WO","P"))</f>
        <v>P</v>
      </c>
      <c r="X49" s="4" t="str">
        <f>IFERROR(LOOKUP(2,1/((lentry!$A$3:$A$3999=jul!$A49)*(lentry!$B$3:$B$3999&lt;=jul!X$3)*(lentry!$C$3:$C$3999&gt;=jul!X$3)),lentry!$D$3:$D$3999),IF(WEEKDAY(jul!X$3,1)=1,"WO","P"))</f>
        <v>WO</v>
      </c>
      <c r="Y49" s="4" t="str">
        <f>IFERROR(LOOKUP(2,1/((lentry!$A$3:$A$3999=jul!$A49)*(lentry!$B$3:$B$3999&lt;=jul!Y$3)*(lentry!$C$3:$C$3999&gt;=jul!Y$3)),lentry!$D$3:$D$3999),IF(WEEKDAY(jul!Y$3,1)=1,"WO","P"))</f>
        <v>P</v>
      </c>
      <c r="Z49" s="4" t="str">
        <f>IFERROR(LOOKUP(2,1/((lentry!$A$3:$A$3999=jul!$A49)*(lentry!$B$3:$B$3999&lt;=jul!Z$3)*(lentry!$C$3:$C$3999&gt;=jul!Z$3)),lentry!$D$3:$D$3999),IF(WEEKDAY(jul!Z$3,1)=1,"WO","P"))</f>
        <v>P</v>
      </c>
      <c r="AA49" s="4" t="str">
        <f>IFERROR(LOOKUP(2,1/((lentry!$A$3:$A$3999=jul!$A49)*(lentry!$B$3:$B$3999&lt;=jul!AA$3)*(lentry!$C$3:$C$3999&gt;=jul!AA$3)),lentry!$D$3:$D$3999),IF(WEEKDAY(jul!AA$3,1)=1,"WO","P"))</f>
        <v>P</v>
      </c>
      <c r="AB49" s="4" t="str">
        <f>IFERROR(LOOKUP(2,1/((lentry!$A$3:$A$3999=jul!$A49)*(lentry!$B$3:$B$3999&lt;=jul!AB$3)*(lentry!$C$3:$C$3999&gt;=jul!AB$3)),lentry!$D$3:$D$3999),IF(WEEKDAY(jul!AB$3,1)=1,"WO","P"))</f>
        <v>P</v>
      </c>
      <c r="AC49" s="4" t="str">
        <f>IFERROR(LOOKUP(2,1/((lentry!$A$3:$A$3999=jul!$A49)*(lentry!$B$3:$B$3999&lt;=jul!AC$3)*(lentry!$C$3:$C$3999&gt;=jul!AC$3)),lentry!$D$3:$D$3999),IF(WEEKDAY(jul!AC$3,1)=1,"WO","P"))</f>
        <v>P</v>
      </c>
      <c r="AD49" s="4" t="str">
        <f>IFERROR(LOOKUP(2,1/((lentry!$A$3:$A$3999=jul!$A49)*(lentry!$B$3:$B$3999&lt;=jul!AD$3)*(lentry!$C$3:$C$3999&gt;=jul!AD$3)),lentry!$D$3:$D$3999),IF(WEEKDAY(jul!AD$3,1)=1,"WO","P"))</f>
        <v>P</v>
      </c>
      <c r="AE49" s="4" t="str">
        <f>IFERROR(LOOKUP(2,1/((lentry!$A$3:$A$3999=jul!$A49)*(lentry!$B$3:$B$3999&lt;=jul!AE$3)*(lentry!$C$3:$C$3999&gt;=jul!AE$3)),lentry!$D$3:$D$3999),IF(WEEKDAY(jul!AE$3,1)=1,"WO","P"))</f>
        <v>WO</v>
      </c>
      <c r="AF49" s="4" t="str">
        <f>IFERROR(LOOKUP(2,1/((lentry!$A$3:$A$3999=jul!$A49)*(lentry!$B$3:$B$3999&lt;=jul!AF$3)*(lentry!$C$3:$C$3999&gt;=jul!AF$3)),lentry!$D$3:$D$3999),IF(WEEKDAY(jul!AF$3,1)=1,"WO","P"))</f>
        <v>P</v>
      </c>
      <c r="AG49" s="4" t="str">
        <f>IFERROR(LOOKUP(2,1/((lentry!$A$3:$A$3999=jul!$A49)*(lentry!$B$3:$B$3999&lt;=jul!AG$3)*(lentry!$C$3:$C$3999&gt;=jul!AG$3)),lentry!$D$3:$D$3999),IF(WEEKDAY(jul!AG$3,1)=1,"WO","P"))</f>
        <v>P</v>
      </c>
      <c r="AH49" s="4" t="str">
        <f>IFERROR(LOOKUP(2,1/((lentry!$A$3:$A$3999=jul!$A49)*(lentry!$B$3:$B$3999&lt;=jul!AH$3)*(lentry!$C$3:$C$3999&gt;=jul!AH$3)),lentry!$D$3:$D$3999),IF(WEEKDAY(jul!AH$3,1)=1,"WO","P"))</f>
        <v>P</v>
      </c>
      <c r="AI49" s="4" t="str">
        <f>IFERROR(LOOKUP(2,1/((lentry!$A$3:$A$3999=jul!$A49)*(lentry!$B$3:$B$3999&lt;=jul!AI$3)*(lentry!$C$3:$C$3999&gt;=jul!AI$3)),lentry!$D$3:$D$3999),IF(WEEKDAY(jul!AI$3,1)=1,"WO","P"))</f>
        <v>P</v>
      </c>
      <c r="AJ49" s="4" t="str">
        <f>IFERROR(LOOKUP(2,1/((lentry!$A$3:$A$3999=jul!$A49)*(lentry!$B$3:$B$3999&lt;=jul!AJ$3)*(lentry!$C$3:$C$3999&gt;=jul!AJ$3)),lentry!$D$3:$D$3999),IF(WEEKDAY(jul!AJ$3,1)=1,"WO","P"))</f>
        <v>P</v>
      </c>
      <c r="AK49" s="4">
        <f>COUNTIF(jul!$F49:$AJ49,"WO")</f>
        <v>4</v>
      </c>
      <c r="AL49" s="4">
        <f>COUNTIF(jul!$F49:$AJ49,"H")</f>
        <v>0</v>
      </c>
      <c r="AM49" s="4">
        <f>COUNTIF(jul!$F49:$AJ49,"pl")</f>
        <v>0</v>
      </c>
      <c r="AN49" s="4">
        <f>COUNTIF(jul!$F49:$AJ49,"LWP")</f>
        <v>0</v>
      </c>
      <c r="AO49" s="4">
        <f>COUNTIF(jul!$F49:$AJ49,"HD")</f>
        <v>0</v>
      </c>
      <c r="AP49" s="4">
        <f>COUNTIF(jul!$F49:$AJ49,"SL")</f>
        <v>0</v>
      </c>
      <c r="AQ49" s="4">
        <f>COUNTIF(jul!$F49:$AJ49,"CL")</f>
        <v>0</v>
      </c>
      <c r="AR49" s="4">
        <f>COUNTIF(jul!$F49:$AJ49,"A")</f>
        <v>0</v>
      </c>
      <c r="AS49" s="4">
        <f>COUNTIF(jul!$F49:$AJ49,"P")</f>
        <v>27</v>
      </c>
      <c r="AT49" s="4">
        <f t="shared" si="2"/>
        <v>31</v>
      </c>
      <c r="AU49" s="4">
        <f t="shared" si="3"/>
        <v>31</v>
      </c>
      <c r="AV49" s="4">
        <f>SUMIFS(holly!$L$2:$L$122,holly!$I$2:$I$122,mar!$A49,holly!$K$2:$K$122,"Mar")</f>
        <v>0</v>
      </c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</row>
    <row r="50" spans="1:80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IFERROR(LOOKUP(2,1/((lentry!$A$3:$A$3999=jul!$A50)*(lentry!$B$3:$B$3999&lt;=jul!F$3)*(lentry!$C$3:$C$3999&gt;=jul!F$3)),lentry!$D$3:$D$3999),IF(WEEKDAY(jul!F$3,1)=1,"WO","P"))</f>
        <v>P</v>
      </c>
      <c r="G50" s="4" t="str">
        <f>IFERROR(LOOKUP(2,1/((lentry!$A$3:$A$3999=jul!$A50)*(lentry!$B$3:$B$3999&lt;=jul!G$3)*(lentry!$C$3:$C$3999&gt;=jul!G$3)),lentry!$D$3:$D$3999),IF(WEEKDAY(jul!G$3,1)=1,"WO","P"))</f>
        <v>P</v>
      </c>
      <c r="H50" s="4" t="str">
        <f>IFERROR(LOOKUP(2,1/((lentry!$A$3:$A$3999=jul!$A50)*(lentry!$B$3:$B$3999&lt;=jul!H$3)*(lentry!$C$3:$C$3999&gt;=jul!H$3)),lentry!$D$3:$D$3999),IF(WEEKDAY(jul!H$3,1)=1,"WO","P"))</f>
        <v>P</v>
      </c>
      <c r="I50" s="4" t="str">
        <f>IFERROR(LOOKUP(2,1/((lentry!$A$3:$A$3999=jul!$A50)*(lentry!$B$3:$B$3999&lt;=jul!I$3)*(lentry!$C$3:$C$3999&gt;=jul!I$3)),lentry!$D$3:$D$3999),IF(WEEKDAY(jul!I$3,1)=1,"WO","P"))</f>
        <v>P</v>
      </c>
      <c r="J50" s="4" t="str">
        <f>IFERROR(LOOKUP(2,1/((lentry!$A$3:$A$3999=jul!$A50)*(lentry!$B$3:$B$3999&lt;=jul!J$3)*(lentry!$C$3:$C$3999&gt;=jul!J$3)),lentry!$D$3:$D$3999),IF(WEEKDAY(jul!J$3,1)=1,"WO","P"))</f>
        <v>WO</v>
      </c>
      <c r="K50" s="4" t="str">
        <f>IFERROR(LOOKUP(2,1/((lentry!$A$3:$A$3999=jul!$A50)*(lentry!$B$3:$B$3999&lt;=jul!K$3)*(lentry!$C$3:$C$3999&gt;=jul!K$3)),lentry!$D$3:$D$3999),IF(WEEKDAY(jul!K$3,1)=1,"WO","P"))</f>
        <v>P</v>
      </c>
      <c r="L50" s="4" t="str">
        <f>IFERROR(LOOKUP(2,1/((lentry!$A$3:$A$3999=jul!$A50)*(lentry!$B$3:$B$3999&lt;=jul!L$3)*(lentry!$C$3:$C$3999&gt;=jul!L$3)),lentry!$D$3:$D$3999),IF(WEEKDAY(jul!L$3,1)=1,"WO","P"))</f>
        <v>P</v>
      </c>
      <c r="M50" s="4" t="str">
        <f>IFERROR(LOOKUP(2,1/((lentry!$A$3:$A$3999=jul!$A50)*(lentry!$B$3:$B$3999&lt;=jul!M$3)*(lentry!$C$3:$C$3999&gt;=jul!M$3)),lentry!$D$3:$D$3999),IF(WEEKDAY(jul!M$3,1)=1,"WO","P"))</f>
        <v>P</v>
      </c>
      <c r="N50" s="4" t="str">
        <f>IFERROR(LOOKUP(2,1/((lentry!$A$3:$A$3999=jul!$A50)*(lentry!$B$3:$B$3999&lt;=jul!N$3)*(lentry!$C$3:$C$3999&gt;=jul!N$3)),lentry!$D$3:$D$3999),IF(WEEKDAY(jul!N$3,1)=1,"WO","P"))</f>
        <v>P</v>
      </c>
      <c r="O50" s="4" t="str">
        <f>IFERROR(LOOKUP(2,1/((lentry!$A$3:$A$3999=jul!$A50)*(lentry!$B$3:$B$3999&lt;=jul!O$3)*(lentry!$C$3:$C$3999&gt;=jul!O$3)),lentry!$D$3:$D$3999),IF(WEEKDAY(jul!O$3,1)=1,"WO","P"))</f>
        <v>P</v>
      </c>
      <c r="P50" s="4" t="str">
        <f>IFERROR(LOOKUP(2,1/((lentry!$A$3:$A$3999=jul!$A50)*(lentry!$B$3:$B$3999&lt;=jul!P$3)*(lentry!$C$3:$C$3999&gt;=jul!P$3)),lentry!$D$3:$D$3999),IF(WEEKDAY(jul!P$3,1)=1,"WO","P"))</f>
        <v>P</v>
      </c>
      <c r="Q50" s="4" t="str">
        <f>IFERROR(LOOKUP(2,1/((lentry!$A$3:$A$3999=jul!$A50)*(lentry!$B$3:$B$3999&lt;=jul!Q$3)*(lentry!$C$3:$C$3999&gt;=jul!Q$3)),lentry!$D$3:$D$3999),IF(WEEKDAY(jul!Q$3,1)=1,"WO","P"))</f>
        <v>WO</v>
      </c>
      <c r="R50" s="4" t="str">
        <f>IFERROR(LOOKUP(2,1/((lentry!$A$3:$A$3999=jul!$A50)*(lentry!$B$3:$B$3999&lt;=jul!R$3)*(lentry!$C$3:$C$3999&gt;=jul!R$3)),lentry!$D$3:$D$3999),IF(WEEKDAY(jul!R$3,1)=1,"WO","P"))</f>
        <v>P</v>
      </c>
      <c r="S50" s="4" t="str">
        <f>IFERROR(LOOKUP(2,1/((lentry!$A$3:$A$3999=jul!$A50)*(lentry!$B$3:$B$3999&lt;=jul!S$3)*(lentry!$C$3:$C$3999&gt;=jul!S$3)),lentry!$D$3:$D$3999),IF(WEEKDAY(jul!S$3,1)=1,"WO","P"))</f>
        <v>P</v>
      </c>
      <c r="T50" s="4" t="str">
        <f>IFERROR(LOOKUP(2,1/((lentry!$A$3:$A$3999=jul!$A50)*(lentry!$B$3:$B$3999&lt;=jul!T$3)*(lentry!$C$3:$C$3999&gt;=jul!T$3)),lentry!$D$3:$D$3999),IF(WEEKDAY(jul!T$3,1)=1,"WO","P"))</f>
        <v>P</v>
      </c>
      <c r="U50" s="4" t="str">
        <f>IFERROR(LOOKUP(2,1/((lentry!$A$3:$A$3999=jul!$A50)*(lentry!$B$3:$B$3999&lt;=jul!U$3)*(lentry!$C$3:$C$3999&gt;=jul!U$3)),lentry!$D$3:$D$3999),IF(WEEKDAY(jul!U$3,1)=1,"WO","P"))</f>
        <v>P</v>
      </c>
      <c r="V50" s="4" t="str">
        <f>IFERROR(LOOKUP(2,1/((lentry!$A$3:$A$3999=jul!$A50)*(lentry!$B$3:$B$3999&lt;=jul!V$3)*(lentry!$C$3:$C$3999&gt;=jul!V$3)),lentry!$D$3:$D$3999),IF(WEEKDAY(jul!V$3,1)=1,"WO","P"))</f>
        <v>P</v>
      </c>
      <c r="W50" s="4" t="str">
        <f>IFERROR(LOOKUP(2,1/((lentry!$A$3:$A$3999=jul!$A50)*(lentry!$B$3:$B$3999&lt;=jul!W$3)*(lentry!$C$3:$C$3999&gt;=jul!W$3)),lentry!$D$3:$D$3999),IF(WEEKDAY(jul!W$3,1)=1,"WO","P"))</f>
        <v>P</v>
      </c>
      <c r="X50" s="4" t="str">
        <f>IFERROR(LOOKUP(2,1/((lentry!$A$3:$A$3999=jul!$A50)*(lentry!$B$3:$B$3999&lt;=jul!X$3)*(lentry!$C$3:$C$3999&gt;=jul!X$3)),lentry!$D$3:$D$3999),IF(WEEKDAY(jul!X$3,1)=1,"WO","P"))</f>
        <v>WO</v>
      </c>
      <c r="Y50" s="4" t="str">
        <f>IFERROR(LOOKUP(2,1/((lentry!$A$3:$A$3999=jul!$A50)*(lentry!$B$3:$B$3999&lt;=jul!Y$3)*(lentry!$C$3:$C$3999&gt;=jul!Y$3)),lentry!$D$3:$D$3999),IF(WEEKDAY(jul!Y$3,1)=1,"WO","P"))</f>
        <v>P</v>
      </c>
      <c r="Z50" s="4" t="str">
        <f>IFERROR(LOOKUP(2,1/((lentry!$A$3:$A$3999=jul!$A50)*(lentry!$B$3:$B$3999&lt;=jul!Z$3)*(lentry!$C$3:$C$3999&gt;=jul!Z$3)),lentry!$D$3:$D$3999),IF(WEEKDAY(jul!Z$3,1)=1,"WO","P"))</f>
        <v>P</v>
      </c>
      <c r="AA50" s="4" t="str">
        <f>IFERROR(LOOKUP(2,1/((lentry!$A$3:$A$3999=jul!$A50)*(lentry!$B$3:$B$3999&lt;=jul!AA$3)*(lentry!$C$3:$C$3999&gt;=jul!AA$3)),lentry!$D$3:$D$3999),IF(WEEKDAY(jul!AA$3,1)=1,"WO","P"))</f>
        <v>P</v>
      </c>
      <c r="AB50" s="4" t="str">
        <f>IFERROR(LOOKUP(2,1/((lentry!$A$3:$A$3999=jul!$A50)*(lentry!$B$3:$B$3999&lt;=jul!AB$3)*(lentry!$C$3:$C$3999&gt;=jul!AB$3)),lentry!$D$3:$D$3999),IF(WEEKDAY(jul!AB$3,1)=1,"WO","P"))</f>
        <v>P</v>
      </c>
      <c r="AC50" s="4" t="str">
        <f>IFERROR(LOOKUP(2,1/((lentry!$A$3:$A$3999=jul!$A50)*(lentry!$B$3:$B$3999&lt;=jul!AC$3)*(lentry!$C$3:$C$3999&gt;=jul!AC$3)),lentry!$D$3:$D$3999),IF(WEEKDAY(jul!AC$3,1)=1,"WO","P"))</f>
        <v>P</v>
      </c>
      <c r="AD50" s="4" t="str">
        <f>IFERROR(LOOKUP(2,1/((lentry!$A$3:$A$3999=jul!$A50)*(lentry!$B$3:$B$3999&lt;=jul!AD$3)*(lentry!$C$3:$C$3999&gt;=jul!AD$3)),lentry!$D$3:$D$3999),IF(WEEKDAY(jul!AD$3,1)=1,"WO","P"))</f>
        <v>P</v>
      </c>
      <c r="AE50" s="4" t="str">
        <f>IFERROR(LOOKUP(2,1/((lentry!$A$3:$A$3999=jul!$A50)*(lentry!$B$3:$B$3999&lt;=jul!AE$3)*(lentry!$C$3:$C$3999&gt;=jul!AE$3)),lentry!$D$3:$D$3999),IF(WEEKDAY(jul!AE$3,1)=1,"WO","P"))</f>
        <v>WO</v>
      </c>
      <c r="AF50" s="4" t="str">
        <f>IFERROR(LOOKUP(2,1/((lentry!$A$3:$A$3999=jul!$A50)*(lentry!$B$3:$B$3999&lt;=jul!AF$3)*(lentry!$C$3:$C$3999&gt;=jul!AF$3)),lentry!$D$3:$D$3999),IF(WEEKDAY(jul!AF$3,1)=1,"WO","P"))</f>
        <v>P</v>
      </c>
      <c r="AG50" s="4" t="str">
        <f>IFERROR(LOOKUP(2,1/((lentry!$A$3:$A$3999=jul!$A50)*(lentry!$B$3:$B$3999&lt;=jul!AG$3)*(lentry!$C$3:$C$3999&gt;=jul!AG$3)),lentry!$D$3:$D$3999),IF(WEEKDAY(jul!AG$3,1)=1,"WO","P"))</f>
        <v>P</v>
      </c>
      <c r="AH50" s="4" t="str">
        <f>IFERROR(LOOKUP(2,1/((lentry!$A$3:$A$3999=jul!$A50)*(lentry!$B$3:$B$3999&lt;=jul!AH$3)*(lentry!$C$3:$C$3999&gt;=jul!AH$3)),lentry!$D$3:$D$3999),IF(WEEKDAY(jul!AH$3,1)=1,"WO","P"))</f>
        <v>P</v>
      </c>
      <c r="AI50" s="4" t="str">
        <f>IFERROR(LOOKUP(2,1/((lentry!$A$3:$A$3999=jul!$A50)*(lentry!$B$3:$B$3999&lt;=jul!AI$3)*(lentry!$C$3:$C$3999&gt;=jul!AI$3)),lentry!$D$3:$D$3999),IF(WEEKDAY(jul!AI$3,1)=1,"WO","P"))</f>
        <v>P</v>
      </c>
      <c r="AJ50" s="4" t="str">
        <f>IFERROR(LOOKUP(2,1/((lentry!$A$3:$A$3999=jul!$A50)*(lentry!$B$3:$B$3999&lt;=jul!AJ$3)*(lentry!$C$3:$C$3999&gt;=jul!AJ$3)),lentry!$D$3:$D$3999),IF(WEEKDAY(jul!AJ$3,1)=1,"WO","P"))</f>
        <v>P</v>
      </c>
      <c r="AK50" s="4">
        <f>COUNTIF(jul!$F50:$AJ50,"WO")</f>
        <v>4</v>
      </c>
      <c r="AL50" s="4">
        <f>COUNTIF(jul!$F50:$AJ50,"H")</f>
        <v>0</v>
      </c>
      <c r="AM50" s="4">
        <f>COUNTIF(jul!$F50:$AJ50,"pl")</f>
        <v>0</v>
      </c>
      <c r="AN50" s="4">
        <f>COUNTIF(jul!$F50:$AJ50,"LWP")</f>
        <v>0</v>
      </c>
      <c r="AO50" s="4">
        <f>COUNTIF(jul!$F50:$AJ50,"HD")</f>
        <v>0</v>
      </c>
      <c r="AP50" s="4">
        <f>COUNTIF(jul!$F50:$AJ50,"SL")</f>
        <v>0</v>
      </c>
      <c r="AQ50" s="4">
        <f>COUNTIF(jul!$F50:$AJ50,"CL")</f>
        <v>0</v>
      </c>
      <c r="AR50" s="4">
        <f>COUNTIF(jul!$F50:$AJ50,"A")</f>
        <v>0</v>
      </c>
      <c r="AS50" s="4">
        <f>COUNTIF(jul!$F50:$AJ50,"P")</f>
        <v>27</v>
      </c>
      <c r="AT50" s="4">
        <f t="shared" si="2"/>
        <v>31</v>
      </c>
      <c r="AU50" s="4">
        <f t="shared" si="3"/>
        <v>31</v>
      </c>
      <c r="AV50" s="4">
        <f>SUMIFS(holly!$L$2:$L$122,holly!$I$2:$I$122,mar!$A50,holly!$K$2:$K$122,"Mar")</f>
        <v>0</v>
      </c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</row>
    <row r="51" spans="1:80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IFERROR(LOOKUP(2,1/((lentry!$A$3:$A$3999=jul!$A51)*(lentry!$B$3:$B$3999&lt;=jul!F$3)*(lentry!$C$3:$C$3999&gt;=jul!F$3)),lentry!$D$3:$D$3999),IF(WEEKDAY(jul!F$3,1)=1,"WO","P"))</f>
        <v>P</v>
      </c>
      <c r="G51" s="4" t="str">
        <f>IFERROR(LOOKUP(2,1/((lentry!$A$3:$A$3999=jul!$A51)*(lentry!$B$3:$B$3999&lt;=jul!G$3)*(lentry!$C$3:$C$3999&gt;=jul!G$3)),lentry!$D$3:$D$3999),IF(WEEKDAY(jul!G$3,1)=1,"WO","P"))</f>
        <v>P</v>
      </c>
      <c r="H51" s="4" t="str">
        <f>IFERROR(LOOKUP(2,1/((lentry!$A$3:$A$3999=jul!$A51)*(lentry!$B$3:$B$3999&lt;=jul!H$3)*(lentry!$C$3:$C$3999&gt;=jul!H$3)),lentry!$D$3:$D$3999),IF(WEEKDAY(jul!H$3,1)=1,"WO","P"))</f>
        <v>P</v>
      </c>
      <c r="I51" s="4" t="str">
        <f>IFERROR(LOOKUP(2,1/((lentry!$A$3:$A$3999=jul!$A51)*(lentry!$B$3:$B$3999&lt;=jul!I$3)*(lentry!$C$3:$C$3999&gt;=jul!I$3)),lentry!$D$3:$D$3999),IF(WEEKDAY(jul!I$3,1)=1,"WO","P"))</f>
        <v>P</v>
      </c>
      <c r="J51" s="4" t="str">
        <f>IFERROR(LOOKUP(2,1/((lentry!$A$3:$A$3999=jul!$A51)*(lentry!$B$3:$B$3999&lt;=jul!J$3)*(lentry!$C$3:$C$3999&gt;=jul!J$3)),lentry!$D$3:$D$3999),IF(WEEKDAY(jul!J$3,1)=1,"WO","P"))</f>
        <v>WO</v>
      </c>
      <c r="K51" s="4" t="str">
        <f>IFERROR(LOOKUP(2,1/((lentry!$A$3:$A$3999=jul!$A51)*(lentry!$B$3:$B$3999&lt;=jul!K$3)*(lentry!$C$3:$C$3999&gt;=jul!K$3)),lentry!$D$3:$D$3999),IF(WEEKDAY(jul!K$3,1)=1,"WO","P"))</f>
        <v>P</v>
      </c>
      <c r="L51" s="4" t="str">
        <f>IFERROR(LOOKUP(2,1/((lentry!$A$3:$A$3999=jul!$A51)*(lentry!$B$3:$B$3999&lt;=jul!L$3)*(lentry!$C$3:$C$3999&gt;=jul!L$3)),lentry!$D$3:$D$3999),IF(WEEKDAY(jul!L$3,1)=1,"WO","P"))</f>
        <v>P</v>
      </c>
      <c r="M51" s="4" t="str">
        <f>IFERROR(LOOKUP(2,1/((lentry!$A$3:$A$3999=jul!$A51)*(lentry!$B$3:$B$3999&lt;=jul!M$3)*(lentry!$C$3:$C$3999&gt;=jul!M$3)),lentry!$D$3:$D$3999),IF(WEEKDAY(jul!M$3,1)=1,"WO","P"))</f>
        <v>P</v>
      </c>
      <c r="N51" s="4" t="str">
        <f>IFERROR(LOOKUP(2,1/((lentry!$A$3:$A$3999=jul!$A51)*(lentry!$B$3:$B$3999&lt;=jul!N$3)*(lentry!$C$3:$C$3999&gt;=jul!N$3)),lentry!$D$3:$D$3999),IF(WEEKDAY(jul!N$3,1)=1,"WO","P"))</f>
        <v>P</v>
      </c>
      <c r="O51" s="4" t="str">
        <f>IFERROR(LOOKUP(2,1/((lentry!$A$3:$A$3999=jul!$A51)*(lentry!$B$3:$B$3999&lt;=jul!O$3)*(lentry!$C$3:$C$3999&gt;=jul!O$3)),lentry!$D$3:$D$3999),IF(WEEKDAY(jul!O$3,1)=1,"WO","P"))</f>
        <v>P</v>
      </c>
      <c r="P51" s="4" t="str">
        <f>IFERROR(LOOKUP(2,1/((lentry!$A$3:$A$3999=jul!$A51)*(lentry!$B$3:$B$3999&lt;=jul!P$3)*(lentry!$C$3:$C$3999&gt;=jul!P$3)),lentry!$D$3:$D$3999),IF(WEEKDAY(jul!P$3,1)=1,"WO","P"))</f>
        <v>P</v>
      </c>
      <c r="Q51" s="4" t="str">
        <f>IFERROR(LOOKUP(2,1/((lentry!$A$3:$A$3999=jul!$A51)*(lentry!$B$3:$B$3999&lt;=jul!Q$3)*(lentry!$C$3:$C$3999&gt;=jul!Q$3)),lentry!$D$3:$D$3999),IF(WEEKDAY(jul!Q$3,1)=1,"WO","P"))</f>
        <v>WO</v>
      </c>
      <c r="R51" s="4" t="str">
        <f>IFERROR(LOOKUP(2,1/((lentry!$A$3:$A$3999=jul!$A51)*(lentry!$B$3:$B$3999&lt;=jul!R$3)*(lentry!$C$3:$C$3999&gt;=jul!R$3)),lentry!$D$3:$D$3999),IF(WEEKDAY(jul!R$3,1)=1,"WO","P"))</f>
        <v>P</v>
      </c>
      <c r="S51" s="4" t="str">
        <f>IFERROR(LOOKUP(2,1/((lentry!$A$3:$A$3999=jul!$A51)*(lentry!$B$3:$B$3999&lt;=jul!S$3)*(lentry!$C$3:$C$3999&gt;=jul!S$3)),lentry!$D$3:$D$3999),IF(WEEKDAY(jul!S$3,1)=1,"WO","P"))</f>
        <v>P</v>
      </c>
      <c r="T51" s="4" t="str">
        <f>IFERROR(LOOKUP(2,1/((lentry!$A$3:$A$3999=jul!$A51)*(lentry!$B$3:$B$3999&lt;=jul!T$3)*(lentry!$C$3:$C$3999&gt;=jul!T$3)),lentry!$D$3:$D$3999),IF(WEEKDAY(jul!T$3,1)=1,"WO","P"))</f>
        <v>P</v>
      </c>
      <c r="U51" s="4" t="str">
        <f>IFERROR(LOOKUP(2,1/((lentry!$A$3:$A$3999=jul!$A51)*(lentry!$B$3:$B$3999&lt;=jul!U$3)*(lentry!$C$3:$C$3999&gt;=jul!U$3)),lentry!$D$3:$D$3999),IF(WEEKDAY(jul!U$3,1)=1,"WO","P"))</f>
        <v>P</v>
      </c>
      <c r="V51" s="4" t="str">
        <f>IFERROR(LOOKUP(2,1/((lentry!$A$3:$A$3999=jul!$A51)*(lentry!$B$3:$B$3999&lt;=jul!V$3)*(lentry!$C$3:$C$3999&gt;=jul!V$3)),lentry!$D$3:$D$3999),IF(WEEKDAY(jul!V$3,1)=1,"WO","P"))</f>
        <v>P</v>
      </c>
      <c r="W51" s="4" t="str">
        <f>IFERROR(LOOKUP(2,1/((lentry!$A$3:$A$3999=jul!$A51)*(lentry!$B$3:$B$3999&lt;=jul!W$3)*(lentry!$C$3:$C$3999&gt;=jul!W$3)),lentry!$D$3:$D$3999),IF(WEEKDAY(jul!W$3,1)=1,"WO","P"))</f>
        <v>P</v>
      </c>
      <c r="X51" s="4" t="str">
        <f>IFERROR(LOOKUP(2,1/((lentry!$A$3:$A$3999=jul!$A51)*(lentry!$B$3:$B$3999&lt;=jul!X$3)*(lentry!$C$3:$C$3999&gt;=jul!X$3)),lentry!$D$3:$D$3999),IF(WEEKDAY(jul!X$3,1)=1,"WO","P"))</f>
        <v>WO</v>
      </c>
      <c r="Y51" s="4" t="str">
        <f>IFERROR(LOOKUP(2,1/((lentry!$A$3:$A$3999=jul!$A51)*(lentry!$B$3:$B$3999&lt;=jul!Y$3)*(lentry!$C$3:$C$3999&gt;=jul!Y$3)),lentry!$D$3:$D$3999),IF(WEEKDAY(jul!Y$3,1)=1,"WO","P"))</f>
        <v>P</v>
      </c>
      <c r="Z51" s="4" t="str">
        <f>IFERROR(LOOKUP(2,1/((lentry!$A$3:$A$3999=jul!$A51)*(lentry!$B$3:$B$3999&lt;=jul!Z$3)*(lentry!$C$3:$C$3999&gt;=jul!Z$3)),lentry!$D$3:$D$3999),IF(WEEKDAY(jul!Z$3,1)=1,"WO","P"))</f>
        <v>P</v>
      </c>
      <c r="AA51" s="4" t="str">
        <f>IFERROR(LOOKUP(2,1/((lentry!$A$3:$A$3999=jul!$A51)*(lentry!$B$3:$B$3999&lt;=jul!AA$3)*(lentry!$C$3:$C$3999&gt;=jul!AA$3)),lentry!$D$3:$D$3999),IF(WEEKDAY(jul!AA$3,1)=1,"WO","P"))</f>
        <v>P</v>
      </c>
      <c r="AB51" s="4" t="str">
        <f>IFERROR(LOOKUP(2,1/((lentry!$A$3:$A$3999=jul!$A51)*(lentry!$B$3:$B$3999&lt;=jul!AB$3)*(lentry!$C$3:$C$3999&gt;=jul!AB$3)),lentry!$D$3:$D$3999),IF(WEEKDAY(jul!AB$3,1)=1,"WO","P"))</f>
        <v>P</v>
      </c>
      <c r="AC51" s="4" t="str">
        <f>IFERROR(LOOKUP(2,1/((lentry!$A$3:$A$3999=jul!$A51)*(lentry!$B$3:$B$3999&lt;=jul!AC$3)*(lentry!$C$3:$C$3999&gt;=jul!AC$3)),lentry!$D$3:$D$3999),IF(WEEKDAY(jul!AC$3,1)=1,"WO","P"))</f>
        <v>P</v>
      </c>
      <c r="AD51" s="4" t="str">
        <f>IFERROR(LOOKUP(2,1/((lentry!$A$3:$A$3999=jul!$A51)*(lentry!$B$3:$B$3999&lt;=jul!AD$3)*(lentry!$C$3:$C$3999&gt;=jul!AD$3)),lentry!$D$3:$D$3999),IF(WEEKDAY(jul!AD$3,1)=1,"WO","P"))</f>
        <v>P</v>
      </c>
      <c r="AE51" s="4" t="str">
        <f>IFERROR(LOOKUP(2,1/((lentry!$A$3:$A$3999=jul!$A51)*(lentry!$B$3:$B$3999&lt;=jul!AE$3)*(lentry!$C$3:$C$3999&gt;=jul!AE$3)),lentry!$D$3:$D$3999),IF(WEEKDAY(jul!AE$3,1)=1,"WO","P"))</f>
        <v>WO</v>
      </c>
      <c r="AF51" s="4" t="str">
        <f>IFERROR(LOOKUP(2,1/((lentry!$A$3:$A$3999=jul!$A51)*(lentry!$B$3:$B$3999&lt;=jul!AF$3)*(lentry!$C$3:$C$3999&gt;=jul!AF$3)),lentry!$D$3:$D$3999),IF(WEEKDAY(jul!AF$3,1)=1,"WO","P"))</f>
        <v>P</v>
      </c>
      <c r="AG51" s="4" t="str">
        <f>IFERROR(LOOKUP(2,1/((lentry!$A$3:$A$3999=jul!$A51)*(lentry!$B$3:$B$3999&lt;=jul!AG$3)*(lentry!$C$3:$C$3999&gt;=jul!AG$3)),lentry!$D$3:$D$3999),IF(WEEKDAY(jul!AG$3,1)=1,"WO","P"))</f>
        <v>P</v>
      </c>
      <c r="AH51" s="4" t="str">
        <f>IFERROR(LOOKUP(2,1/((lentry!$A$3:$A$3999=jul!$A51)*(lentry!$B$3:$B$3999&lt;=jul!AH$3)*(lentry!$C$3:$C$3999&gt;=jul!AH$3)),lentry!$D$3:$D$3999),IF(WEEKDAY(jul!AH$3,1)=1,"WO","P"))</f>
        <v>P</v>
      </c>
      <c r="AI51" s="4" t="str">
        <f>IFERROR(LOOKUP(2,1/((lentry!$A$3:$A$3999=jul!$A51)*(lentry!$B$3:$B$3999&lt;=jul!AI$3)*(lentry!$C$3:$C$3999&gt;=jul!AI$3)),lentry!$D$3:$D$3999),IF(WEEKDAY(jul!AI$3,1)=1,"WO","P"))</f>
        <v>P</v>
      </c>
      <c r="AJ51" s="4" t="str">
        <f>IFERROR(LOOKUP(2,1/((lentry!$A$3:$A$3999=jul!$A51)*(lentry!$B$3:$B$3999&lt;=jul!AJ$3)*(lentry!$C$3:$C$3999&gt;=jul!AJ$3)),lentry!$D$3:$D$3999),IF(WEEKDAY(jul!AJ$3,1)=1,"WO","P"))</f>
        <v>P</v>
      </c>
      <c r="AK51" s="4">
        <f>COUNTIF(jul!$F51:$AJ51,"WO")</f>
        <v>4</v>
      </c>
      <c r="AL51" s="4">
        <f>COUNTIF(jul!$F51:$AJ51,"H")</f>
        <v>0</v>
      </c>
      <c r="AM51" s="4">
        <f>COUNTIF(jul!$F51:$AJ51,"pl")</f>
        <v>0</v>
      </c>
      <c r="AN51" s="4">
        <f>COUNTIF(jul!$F51:$AJ51,"LWP")</f>
        <v>0</v>
      </c>
      <c r="AO51" s="4">
        <f>COUNTIF(jul!$F51:$AJ51,"HD")</f>
        <v>0</v>
      </c>
      <c r="AP51" s="4">
        <f>COUNTIF(jul!$F51:$AJ51,"SL")</f>
        <v>0</v>
      </c>
      <c r="AQ51" s="4">
        <f>COUNTIF(jul!$F51:$AJ51,"CL")</f>
        <v>0</v>
      </c>
      <c r="AR51" s="4">
        <f>COUNTIF(jul!$F51:$AJ51,"A")</f>
        <v>0</v>
      </c>
      <c r="AS51" s="4">
        <f>COUNTIF(jul!$F51:$AJ51,"P")</f>
        <v>27</v>
      </c>
      <c r="AT51" s="4">
        <f t="shared" si="2"/>
        <v>31</v>
      </c>
      <c r="AU51" s="4">
        <f t="shared" si="3"/>
        <v>31</v>
      </c>
      <c r="AV51" s="4">
        <f>SUMIFS(holly!$L$2:$L$122,holly!$I$2:$I$122,mar!$A51,holly!$K$2:$K$122,"Mar")</f>
        <v>3</v>
      </c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</row>
    <row r="52" spans="1:80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IFERROR(LOOKUP(2,1/((lentry!$A$3:$A$3999=jul!$A52)*(lentry!$B$3:$B$3999&lt;=jul!F$3)*(lentry!$C$3:$C$3999&gt;=jul!F$3)),lentry!$D$3:$D$3999),IF(WEEKDAY(jul!F$3,1)=1,"WO","P"))</f>
        <v>P</v>
      </c>
      <c r="G52" s="4" t="str">
        <f>IFERROR(LOOKUP(2,1/((lentry!$A$3:$A$3999=jul!$A52)*(lentry!$B$3:$B$3999&lt;=jul!G$3)*(lentry!$C$3:$C$3999&gt;=jul!G$3)),lentry!$D$3:$D$3999),IF(WEEKDAY(jul!G$3,1)=1,"WO","P"))</f>
        <v>P</v>
      </c>
      <c r="H52" s="4" t="str">
        <f>IFERROR(LOOKUP(2,1/((lentry!$A$3:$A$3999=jul!$A52)*(lentry!$B$3:$B$3999&lt;=jul!H$3)*(lentry!$C$3:$C$3999&gt;=jul!H$3)),lentry!$D$3:$D$3999),IF(WEEKDAY(jul!H$3,1)=1,"WO","P"))</f>
        <v>P</v>
      </c>
      <c r="I52" s="4" t="str">
        <f>IFERROR(LOOKUP(2,1/((lentry!$A$3:$A$3999=jul!$A52)*(lentry!$B$3:$B$3999&lt;=jul!I$3)*(lentry!$C$3:$C$3999&gt;=jul!I$3)),lentry!$D$3:$D$3999),IF(WEEKDAY(jul!I$3,1)=1,"WO","P"))</f>
        <v>P</v>
      </c>
      <c r="J52" s="4" t="str">
        <f>IFERROR(LOOKUP(2,1/((lentry!$A$3:$A$3999=jul!$A52)*(lentry!$B$3:$B$3999&lt;=jul!J$3)*(lentry!$C$3:$C$3999&gt;=jul!J$3)),lentry!$D$3:$D$3999),IF(WEEKDAY(jul!J$3,1)=1,"WO","P"))</f>
        <v>WO</v>
      </c>
      <c r="K52" s="4" t="str">
        <f>IFERROR(LOOKUP(2,1/((lentry!$A$3:$A$3999=jul!$A52)*(lentry!$B$3:$B$3999&lt;=jul!K$3)*(lentry!$C$3:$C$3999&gt;=jul!K$3)),lentry!$D$3:$D$3999),IF(WEEKDAY(jul!K$3,1)=1,"WO","P"))</f>
        <v>P</v>
      </c>
      <c r="L52" s="4" t="str">
        <f>IFERROR(LOOKUP(2,1/((lentry!$A$3:$A$3999=jul!$A52)*(lentry!$B$3:$B$3999&lt;=jul!L$3)*(lentry!$C$3:$C$3999&gt;=jul!L$3)),lentry!$D$3:$D$3999),IF(WEEKDAY(jul!L$3,1)=1,"WO","P"))</f>
        <v>P</v>
      </c>
      <c r="M52" s="4" t="str">
        <f>IFERROR(LOOKUP(2,1/((lentry!$A$3:$A$3999=jul!$A52)*(lentry!$B$3:$B$3999&lt;=jul!M$3)*(lentry!$C$3:$C$3999&gt;=jul!M$3)),lentry!$D$3:$D$3999),IF(WEEKDAY(jul!M$3,1)=1,"WO","P"))</f>
        <v>P</v>
      </c>
      <c r="N52" s="4" t="str">
        <f>IFERROR(LOOKUP(2,1/((lentry!$A$3:$A$3999=jul!$A52)*(lentry!$B$3:$B$3999&lt;=jul!N$3)*(lentry!$C$3:$C$3999&gt;=jul!N$3)),lentry!$D$3:$D$3999),IF(WEEKDAY(jul!N$3,1)=1,"WO","P"))</f>
        <v>P</v>
      </c>
      <c r="O52" s="4" t="str">
        <f>IFERROR(LOOKUP(2,1/((lentry!$A$3:$A$3999=jul!$A52)*(lentry!$B$3:$B$3999&lt;=jul!O$3)*(lentry!$C$3:$C$3999&gt;=jul!O$3)),lentry!$D$3:$D$3999),IF(WEEKDAY(jul!O$3,1)=1,"WO","P"))</f>
        <v>P</v>
      </c>
      <c r="P52" s="4" t="str">
        <f>IFERROR(LOOKUP(2,1/((lentry!$A$3:$A$3999=jul!$A52)*(lentry!$B$3:$B$3999&lt;=jul!P$3)*(lentry!$C$3:$C$3999&gt;=jul!P$3)),lentry!$D$3:$D$3999),IF(WEEKDAY(jul!P$3,1)=1,"WO","P"))</f>
        <v>P</v>
      </c>
      <c r="Q52" s="4" t="str">
        <f>IFERROR(LOOKUP(2,1/((lentry!$A$3:$A$3999=jul!$A52)*(lentry!$B$3:$B$3999&lt;=jul!Q$3)*(lentry!$C$3:$C$3999&gt;=jul!Q$3)),lentry!$D$3:$D$3999),IF(WEEKDAY(jul!Q$3,1)=1,"WO","P"))</f>
        <v>WO</v>
      </c>
      <c r="R52" s="4" t="str">
        <f>IFERROR(LOOKUP(2,1/((lentry!$A$3:$A$3999=jul!$A52)*(lentry!$B$3:$B$3999&lt;=jul!R$3)*(lentry!$C$3:$C$3999&gt;=jul!R$3)),lentry!$D$3:$D$3999),IF(WEEKDAY(jul!R$3,1)=1,"WO","P"))</f>
        <v>P</v>
      </c>
      <c r="S52" s="4" t="str">
        <f>IFERROR(LOOKUP(2,1/((lentry!$A$3:$A$3999=jul!$A52)*(lentry!$B$3:$B$3999&lt;=jul!S$3)*(lentry!$C$3:$C$3999&gt;=jul!S$3)),lentry!$D$3:$D$3999),IF(WEEKDAY(jul!S$3,1)=1,"WO","P"))</f>
        <v>P</v>
      </c>
      <c r="T52" s="4" t="str">
        <f>IFERROR(LOOKUP(2,1/((lentry!$A$3:$A$3999=jul!$A52)*(lentry!$B$3:$B$3999&lt;=jul!T$3)*(lentry!$C$3:$C$3999&gt;=jul!T$3)),lentry!$D$3:$D$3999),IF(WEEKDAY(jul!T$3,1)=1,"WO","P"))</f>
        <v>P</v>
      </c>
      <c r="U52" s="4" t="str">
        <f>IFERROR(LOOKUP(2,1/((lentry!$A$3:$A$3999=jul!$A52)*(lentry!$B$3:$B$3999&lt;=jul!U$3)*(lentry!$C$3:$C$3999&gt;=jul!U$3)),lentry!$D$3:$D$3999),IF(WEEKDAY(jul!U$3,1)=1,"WO","P"))</f>
        <v>P</v>
      </c>
      <c r="V52" s="4" t="str">
        <f>IFERROR(LOOKUP(2,1/((lentry!$A$3:$A$3999=jul!$A52)*(lentry!$B$3:$B$3999&lt;=jul!V$3)*(lentry!$C$3:$C$3999&gt;=jul!V$3)),lentry!$D$3:$D$3999),IF(WEEKDAY(jul!V$3,1)=1,"WO","P"))</f>
        <v>P</v>
      </c>
      <c r="W52" s="4" t="str">
        <f>IFERROR(LOOKUP(2,1/((lentry!$A$3:$A$3999=jul!$A52)*(lentry!$B$3:$B$3999&lt;=jul!W$3)*(lentry!$C$3:$C$3999&gt;=jul!W$3)),lentry!$D$3:$D$3999),IF(WEEKDAY(jul!W$3,1)=1,"WO","P"))</f>
        <v>P</v>
      </c>
      <c r="X52" s="4" t="str">
        <f>IFERROR(LOOKUP(2,1/((lentry!$A$3:$A$3999=jul!$A52)*(lentry!$B$3:$B$3999&lt;=jul!X$3)*(lentry!$C$3:$C$3999&gt;=jul!X$3)),lentry!$D$3:$D$3999),IF(WEEKDAY(jul!X$3,1)=1,"WO","P"))</f>
        <v>WO</v>
      </c>
      <c r="Y52" s="4" t="str">
        <f>IFERROR(LOOKUP(2,1/((lentry!$A$3:$A$3999=jul!$A52)*(lentry!$B$3:$B$3999&lt;=jul!Y$3)*(lentry!$C$3:$C$3999&gt;=jul!Y$3)),lentry!$D$3:$D$3999),IF(WEEKDAY(jul!Y$3,1)=1,"WO","P"))</f>
        <v>P</v>
      </c>
      <c r="Z52" s="4" t="str">
        <f>IFERROR(LOOKUP(2,1/((lentry!$A$3:$A$3999=jul!$A52)*(lentry!$B$3:$B$3999&lt;=jul!Z$3)*(lentry!$C$3:$C$3999&gt;=jul!Z$3)),lentry!$D$3:$D$3999),IF(WEEKDAY(jul!Z$3,1)=1,"WO","P"))</f>
        <v>P</v>
      </c>
      <c r="AA52" s="4" t="str">
        <f>IFERROR(LOOKUP(2,1/((lentry!$A$3:$A$3999=jul!$A52)*(lentry!$B$3:$B$3999&lt;=jul!AA$3)*(lentry!$C$3:$C$3999&gt;=jul!AA$3)),lentry!$D$3:$D$3999),IF(WEEKDAY(jul!AA$3,1)=1,"WO","P"))</f>
        <v>P</v>
      </c>
      <c r="AB52" s="4" t="str">
        <f>IFERROR(LOOKUP(2,1/((lentry!$A$3:$A$3999=jul!$A52)*(lentry!$B$3:$B$3999&lt;=jul!AB$3)*(lentry!$C$3:$C$3999&gt;=jul!AB$3)),lentry!$D$3:$D$3999),IF(WEEKDAY(jul!AB$3,1)=1,"WO","P"))</f>
        <v>P</v>
      </c>
      <c r="AC52" s="4" t="str">
        <f>IFERROR(LOOKUP(2,1/((lentry!$A$3:$A$3999=jul!$A52)*(lentry!$B$3:$B$3999&lt;=jul!AC$3)*(lentry!$C$3:$C$3999&gt;=jul!AC$3)),lentry!$D$3:$D$3999),IF(WEEKDAY(jul!AC$3,1)=1,"WO","P"))</f>
        <v>P</v>
      </c>
      <c r="AD52" s="4" t="str">
        <f>IFERROR(LOOKUP(2,1/((lentry!$A$3:$A$3999=jul!$A52)*(lentry!$B$3:$B$3999&lt;=jul!AD$3)*(lentry!$C$3:$C$3999&gt;=jul!AD$3)),lentry!$D$3:$D$3999),IF(WEEKDAY(jul!AD$3,1)=1,"WO","P"))</f>
        <v>P</v>
      </c>
      <c r="AE52" s="4" t="str">
        <f>IFERROR(LOOKUP(2,1/((lentry!$A$3:$A$3999=jul!$A52)*(lentry!$B$3:$B$3999&lt;=jul!AE$3)*(lentry!$C$3:$C$3999&gt;=jul!AE$3)),lentry!$D$3:$D$3999),IF(WEEKDAY(jul!AE$3,1)=1,"WO","P"))</f>
        <v>WO</v>
      </c>
      <c r="AF52" s="4" t="str">
        <f>IFERROR(LOOKUP(2,1/((lentry!$A$3:$A$3999=jul!$A52)*(lentry!$B$3:$B$3999&lt;=jul!AF$3)*(lentry!$C$3:$C$3999&gt;=jul!AF$3)),lentry!$D$3:$D$3999),IF(WEEKDAY(jul!AF$3,1)=1,"WO","P"))</f>
        <v>P</v>
      </c>
      <c r="AG52" s="4" t="str">
        <f>IFERROR(LOOKUP(2,1/((lentry!$A$3:$A$3999=jul!$A52)*(lentry!$B$3:$B$3999&lt;=jul!AG$3)*(lentry!$C$3:$C$3999&gt;=jul!AG$3)),lentry!$D$3:$D$3999),IF(WEEKDAY(jul!AG$3,1)=1,"WO","P"))</f>
        <v>P</v>
      </c>
      <c r="AH52" s="4" t="str">
        <f>IFERROR(LOOKUP(2,1/((lentry!$A$3:$A$3999=jul!$A52)*(lentry!$B$3:$B$3999&lt;=jul!AH$3)*(lentry!$C$3:$C$3999&gt;=jul!AH$3)),lentry!$D$3:$D$3999),IF(WEEKDAY(jul!AH$3,1)=1,"WO","P"))</f>
        <v>P</v>
      </c>
      <c r="AI52" s="4" t="str">
        <f>IFERROR(LOOKUP(2,1/((lentry!$A$3:$A$3999=jul!$A52)*(lentry!$B$3:$B$3999&lt;=jul!AI$3)*(lentry!$C$3:$C$3999&gt;=jul!AI$3)),lentry!$D$3:$D$3999),IF(WEEKDAY(jul!AI$3,1)=1,"WO","P"))</f>
        <v>P</v>
      </c>
      <c r="AJ52" s="4" t="str">
        <f>IFERROR(LOOKUP(2,1/((lentry!$A$3:$A$3999=jul!$A52)*(lentry!$B$3:$B$3999&lt;=jul!AJ$3)*(lentry!$C$3:$C$3999&gt;=jul!AJ$3)),lentry!$D$3:$D$3999),IF(WEEKDAY(jul!AJ$3,1)=1,"WO","P"))</f>
        <v>P</v>
      </c>
      <c r="AK52" s="4">
        <f>COUNTIF(jul!$F52:$AJ52,"WO")</f>
        <v>4</v>
      </c>
      <c r="AL52" s="4">
        <f>COUNTIF(jul!$F52:$AJ52,"H")</f>
        <v>0</v>
      </c>
      <c r="AM52" s="4">
        <f>COUNTIF(jul!$F52:$AJ52,"pl")</f>
        <v>0</v>
      </c>
      <c r="AN52" s="4">
        <f>COUNTIF(jul!$F52:$AJ52,"LWP")</f>
        <v>0</v>
      </c>
      <c r="AO52" s="4">
        <f>COUNTIF(jul!$F52:$AJ52,"HD")</f>
        <v>0</v>
      </c>
      <c r="AP52" s="4">
        <f>COUNTIF(jul!$F52:$AJ52,"SL")</f>
        <v>0</v>
      </c>
      <c r="AQ52" s="4">
        <f>COUNTIF(jul!$F52:$AJ52,"CL")</f>
        <v>0</v>
      </c>
      <c r="AR52" s="4">
        <f>COUNTIF(jul!$F52:$AJ52,"A")</f>
        <v>0</v>
      </c>
      <c r="AS52" s="4">
        <f>COUNTIF(jul!$F52:$AJ52,"P")</f>
        <v>27</v>
      </c>
      <c r="AT52" s="4">
        <f t="shared" si="2"/>
        <v>31</v>
      </c>
      <c r="AU52" s="4">
        <f t="shared" si="3"/>
        <v>31</v>
      </c>
      <c r="AV52" s="4">
        <f>SUMIFS(holly!$L$2:$L$122,holly!$I$2:$I$122,mar!$A52,holly!$K$2:$K$122,"Mar")</f>
        <v>0</v>
      </c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</row>
    <row r="53" spans="1:80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IFERROR(LOOKUP(2,1/((lentry!$A$3:$A$3999=jul!$A53)*(lentry!$B$3:$B$3999&lt;=jul!F$3)*(lentry!$C$3:$C$3999&gt;=jul!F$3)),lentry!$D$3:$D$3999),IF(WEEKDAY(jul!F$3,1)=1,"WO","P"))</f>
        <v>P</v>
      </c>
      <c r="G53" s="4" t="str">
        <f>IFERROR(LOOKUP(2,1/((lentry!$A$3:$A$3999=jul!$A53)*(lentry!$B$3:$B$3999&lt;=jul!G$3)*(lentry!$C$3:$C$3999&gt;=jul!G$3)),lentry!$D$3:$D$3999),IF(WEEKDAY(jul!G$3,1)=1,"WO","P"))</f>
        <v>P</v>
      </c>
      <c r="H53" s="4" t="str">
        <f>IFERROR(LOOKUP(2,1/((lentry!$A$3:$A$3999=jul!$A53)*(lentry!$B$3:$B$3999&lt;=jul!H$3)*(lentry!$C$3:$C$3999&gt;=jul!H$3)),lentry!$D$3:$D$3999),IF(WEEKDAY(jul!H$3,1)=1,"WO","P"))</f>
        <v>P</v>
      </c>
      <c r="I53" s="4" t="str">
        <f>IFERROR(LOOKUP(2,1/((lentry!$A$3:$A$3999=jul!$A53)*(lentry!$B$3:$B$3999&lt;=jul!I$3)*(lentry!$C$3:$C$3999&gt;=jul!I$3)),lentry!$D$3:$D$3999),IF(WEEKDAY(jul!I$3,1)=1,"WO","P"))</f>
        <v>P</v>
      </c>
      <c r="J53" s="4" t="str">
        <f>IFERROR(LOOKUP(2,1/((lentry!$A$3:$A$3999=jul!$A53)*(lentry!$B$3:$B$3999&lt;=jul!J$3)*(lentry!$C$3:$C$3999&gt;=jul!J$3)),lentry!$D$3:$D$3999),IF(WEEKDAY(jul!J$3,1)=1,"WO","P"))</f>
        <v>WO</v>
      </c>
      <c r="K53" s="4" t="str">
        <f>IFERROR(LOOKUP(2,1/((lentry!$A$3:$A$3999=jul!$A53)*(lentry!$B$3:$B$3999&lt;=jul!K$3)*(lentry!$C$3:$C$3999&gt;=jul!K$3)),lentry!$D$3:$D$3999),IF(WEEKDAY(jul!K$3,1)=1,"WO","P"))</f>
        <v>P</v>
      </c>
      <c r="L53" s="4" t="str">
        <f>IFERROR(LOOKUP(2,1/((lentry!$A$3:$A$3999=jul!$A53)*(lentry!$B$3:$B$3999&lt;=jul!L$3)*(lentry!$C$3:$C$3999&gt;=jul!L$3)),lentry!$D$3:$D$3999),IF(WEEKDAY(jul!L$3,1)=1,"WO","P"))</f>
        <v>P</v>
      </c>
      <c r="M53" s="4" t="str">
        <f>IFERROR(LOOKUP(2,1/((lentry!$A$3:$A$3999=jul!$A53)*(lentry!$B$3:$B$3999&lt;=jul!M$3)*(lentry!$C$3:$C$3999&gt;=jul!M$3)),lentry!$D$3:$D$3999),IF(WEEKDAY(jul!M$3,1)=1,"WO","P"))</f>
        <v>P</v>
      </c>
      <c r="N53" s="4" t="str">
        <f>IFERROR(LOOKUP(2,1/((lentry!$A$3:$A$3999=jul!$A53)*(lentry!$B$3:$B$3999&lt;=jul!N$3)*(lentry!$C$3:$C$3999&gt;=jul!N$3)),lentry!$D$3:$D$3999),IF(WEEKDAY(jul!N$3,1)=1,"WO","P"))</f>
        <v>P</v>
      </c>
      <c r="O53" s="4" t="str">
        <f>IFERROR(LOOKUP(2,1/((lentry!$A$3:$A$3999=jul!$A53)*(lentry!$B$3:$B$3999&lt;=jul!O$3)*(lentry!$C$3:$C$3999&gt;=jul!O$3)),lentry!$D$3:$D$3999),IF(WEEKDAY(jul!O$3,1)=1,"WO","P"))</f>
        <v>P</v>
      </c>
      <c r="P53" s="4" t="str">
        <f>IFERROR(LOOKUP(2,1/((lentry!$A$3:$A$3999=jul!$A53)*(lentry!$B$3:$B$3999&lt;=jul!P$3)*(lentry!$C$3:$C$3999&gt;=jul!P$3)),lentry!$D$3:$D$3999),IF(WEEKDAY(jul!P$3,1)=1,"WO","P"))</f>
        <v>P</v>
      </c>
      <c r="Q53" s="4" t="str">
        <f>IFERROR(LOOKUP(2,1/((lentry!$A$3:$A$3999=jul!$A53)*(lentry!$B$3:$B$3999&lt;=jul!Q$3)*(lentry!$C$3:$C$3999&gt;=jul!Q$3)),lentry!$D$3:$D$3999),IF(WEEKDAY(jul!Q$3,1)=1,"WO","P"))</f>
        <v>WO</v>
      </c>
      <c r="R53" s="4" t="str">
        <f>IFERROR(LOOKUP(2,1/((lentry!$A$3:$A$3999=jul!$A53)*(lentry!$B$3:$B$3999&lt;=jul!R$3)*(lentry!$C$3:$C$3999&gt;=jul!R$3)),lentry!$D$3:$D$3999),IF(WEEKDAY(jul!R$3,1)=1,"WO","P"))</f>
        <v>P</v>
      </c>
      <c r="S53" s="4" t="str">
        <f>IFERROR(LOOKUP(2,1/((lentry!$A$3:$A$3999=jul!$A53)*(lentry!$B$3:$B$3999&lt;=jul!S$3)*(lentry!$C$3:$C$3999&gt;=jul!S$3)),lentry!$D$3:$D$3999),IF(WEEKDAY(jul!S$3,1)=1,"WO","P"))</f>
        <v>P</v>
      </c>
      <c r="T53" s="4" t="str">
        <f>IFERROR(LOOKUP(2,1/((lentry!$A$3:$A$3999=jul!$A53)*(lentry!$B$3:$B$3999&lt;=jul!T$3)*(lentry!$C$3:$C$3999&gt;=jul!T$3)),lentry!$D$3:$D$3999),IF(WEEKDAY(jul!T$3,1)=1,"WO","P"))</f>
        <v>P</v>
      </c>
      <c r="U53" s="4" t="str">
        <f>IFERROR(LOOKUP(2,1/((lentry!$A$3:$A$3999=jul!$A53)*(lentry!$B$3:$B$3999&lt;=jul!U$3)*(lentry!$C$3:$C$3999&gt;=jul!U$3)),lentry!$D$3:$D$3999),IF(WEEKDAY(jul!U$3,1)=1,"WO","P"))</f>
        <v>P</v>
      </c>
      <c r="V53" s="4" t="str">
        <f>IFERROR(LOOKUP(2,1/((lentry!$A$3:$A$3999=jul!$A53)*(lentry!$B$3:$B$3999&lt;=jul!V$3)*(lentry!$C$3:$C$3999&gt;=jul!V$3)),lentry!$D$3:$D$3999),IF(WEEKDAY(jul!V$3,1)=1,"WO","P"))</f>
        <v>P</v>
      </c>
      <c r="W53" s="4" t="str">
        <f>IFERROR(LOOKUP(2,1/((lentry!$A$3:$A$3999=jul!$A53)*(lentry!$B$3:$B$3999&lt;=jul!W$3)*(lentry!$C$3:$C$3999&gt;=jul!W$3)),lentry!$D$3:$D$3999),IF(WEEKDAY(jul!W$3,1)=1,"WO","P"))</f>
        <v>P</v>
      </c>
      <c r="X53" s="4" t="str">
        <f>IFERROR(LOOKUP(2,1/((lentry!$A$3:$A$3999=jul!$A53)*(lentry!$B$3:$B$3999&lt;=jul!X$3)*(lentry!$C$3:$C$3999&gt;=jul!X$3)),lentry!$D$3:$D$3999),IF(WEEKDAY(jul!X$3,1)=1,"WO","P"))</f>
        <v>WO</v>
      </c>
      <c r="Y53" s="4" t="str">
        <f>IFERROR(LOOKUP(2,1/((lentry!$A$3:$A$3999=jul!$A53)*(lentry!$B$3:$B$3999&lt;=jul!Y$3)*(lentry!$C$3:$C$3999&gt;=jul!Y$3)),lentry!$D$3:$D$3999),IF(WEEKDAY(jul!Y$3,1)=1,"WO","P"))</f>
        <v>P</v>
      </c>
      <c r="Z53" s="4" t="str">
        <f>IFERROR(LOOKUP(2,1/((lentry!$A$3:$A$3999=jul!$A53)*(lentry!$B$3:$B$3999&lt;=jul!Z$3)*(lentry!$C$3:$C$3999&gt;=jul!Z$3)),lentry!$D$3:$D$3999),IF(WEEKDAY(jul!Z$3,1)=1,"WO","P"))</f>
        <v>P</v>
      </c>
      <c r="AA53" s="4" t="str">
        <f>IFERROR(LOOKUP(2,1/((lentry!$A$3:$A$3999=jul!$A53)*(lentry!$B$3:$B$3999&lt;=jul!AA$3)*(lentry!$C$3:$C$3999&gt;=jul!AA$3)),lentry!$D$3:$D$3999),IF(WEEKDAY(jul!AA$3,1)=1,"WO","P"))</f>
        <v>P</v>
      </c>
      <c r="AB53" s="4" t="str">
        <f>IFERROR(LOOKUP(2,1/((lentry!$A$3:$A$3999=jul!$A53)*(lentry!$B$3:$B$3999&lt;=jul!AB$3)*(lentry!$C$3:$C$3999&gt;=jul!AB$3)),lentry!$D$3:$D$3999),IF(WEEKDAY(jul!AB$3,1)=1,"WO","P"))</f>
        <v>P</v>
      </c>
      <c r="AC53" s="4" t="str">
        <f>IFERROR(LOOKUP(2,1/((lentry!$A$3:$A$3999=jul!$A53)*(lentry!$B$3:$B$3999&lt;=jul!AC$3)*(lentry!$C$3:$C$3999&gt;=jul!AC$3)),lentry!$D$3:$D$3999),IF(WEEKDAY(jul!AC$3,1)=1,"WO","P"))</f>
        <v>P</v>
      </c>
      <c r="AD53" s="4" t="str">
        <f>IFERROR(LOOKUP(2,1/((lentry!$A$3:$A$3999=jul!$A53)*(lentry!$B$3:$B$3999&lt;=jul!AD$3)*(lentry!$C$3:$C$3999&gt;=jul!AD$3)),lentry!$D$3:$D$3999),IF(WEEKDAY(jul!AD$3,1)=1,"WO","P"))</f>
        <v>P</v>
      </c>
      <c r="AE53" s="4" t="str">
        <f>IFERROR(LOOKUP(2,1/((lentry!$A$3:$A$3999=jul!$A53)*(lentry!$B$3:$B$3999&lt;=jul!AE$3)*(lentry!$C$3:$C$3999&gt;=jul!AE$3)),lentry!$D$3:$D$3999),IF(WEEKDAY(jul!AE$3,1)=1,"WO","P"))</f>
        <v>WO</v>
      </c>
      <c r="AF53" s="4" t="str">
        <f>IFERROR(LOOKUP(2,1/((lentry!$A$3:$A$3999=jul!$A53)*(lentry!$B$3:$B$3999&lt;=jul!AF$3)*(lentry!$C$3:$C$3999&gt;=jul!AF$3)),lentry!$D$3:$D$3999),IF(WEEKDAY(jul!AF$3,1)=1,"WO","P"))</f>
        <v>P</v>
      </c>
      <c r="AG53" s="4" t="str">
        <f>IFERROR(LOOKUP(2,1/((lentry!$A$3:$A$3999=jul!$A53)*(lentry!$B$3:$B$3999&lt;=jul!AG$3)*(lentry!$C$3:$C$3999&gt;=jul!AG$3)),lentry!$D$3:$D$3999),IF(WEEKDAY(jul!AG$3,1)=1,"WO","P"))</f>
        <v>P</v>
      </c>
      <c r="AH53" s="4" t="str">
        <f>IFERROR(LOOKUP(2,1/((lentry!$A$3:$A$3999=jul!$A53)*(lentry!$B$3:$B$3999&lt;=jul!AH$3)*(lentry!$C$3:$C$3999&gt;=jul!AH$3)),lentry!$D$3:$D$3999),IF(WEEKDAY(jul!AH$3,1)=1,"WO","P"))</f>
        <v>P</v>
      </c>
      <c r="AI53" s="4" t="str">
        <f>IFERROR(LOOKUP(2,1/((lentry!$A$3:$A$3999=jul!$A53)*(lentry!$B$3:$B$3999&lt;=jul!AI$3)*(lentry!$C$3:$C$3999&gt;=jul!AI$3)),lentry!$D$3:$D$3999),IF(WEEKDAY(jul!AI$3,1)=1,"WO","P"))</f>
        <v>P</v>
      </c>
      <c r="AJ53" s="4" t="str">
        <f>IFERROR(LOOKUP(2,1/((lentry!$A$3:$A$3999=jul!$A53)*(lentry!$B$3:$B$3999&lt;=jul!AJ$3)*(lentry!$C$3:$C$3999&gt;=jul!AJ$3)),lentry!$D$3:$D$3999),IF(WEEKDAY(jul!AJ$3,1)=1,"WO","P"))</f>
        <v>P</v>
      </c>
      <c r="AK53" s="4">
        <f>COUNTIF(jul!$F53:$AJ53,"WO")</f>
        <v>4</v>
      </c>
      <c r="AL53" s="4">
        <f>COUNTIF(jul!$F53:$AJ53,"H")</f>
        <v>0</v>
      </c>
      <c r="AM53" s="4">
        <f>COUNTIF(jul!$F53:$AJ53,"pl")</f>
        <v>0</v>
      </c>
      <c r="AN53" s="4">
        <f>COUNTIF(jul!$F53:$AJ53,"LWP")</f>
        <v>0</v>
      </c>
      <c r="AO53" s="4">
        <f>COUNTIF(jul!$F53:$AJ53,"HD")</f>
        <v>0</v>
      </c>
      <c r="AP53" s="4">
        <f>COUNTIF(jul!$F53:$AJ53,"SL")</f>
        <v>0</v>
      </c>
      <c r="AQ53" s="4">
        <f>COUNTIF(jul!$F53:$AJ53,"CL")</f>
        <v>0</v>
      </c>
      <c r="AR53" s="4">
        <f>COUNTIF(jul!$F53:$AJ53,"A")</f>
        <v>0</v>
      </c>
      <c r="AS53" s="4">
        <f>COUNTIF(jul!$F53:$AJ53,"P")</f>
        <v>27</v>
      </c>
      <c r="AT53" s="4">
        <f t="shared" si="2"/>
        <v>31</v>
      </c>
      <c r="AU53" s="4">
        <f t="shared" si="3"/>
        <v>31</v>
      </c>
      <c r="AV53" s="4">
        <f>SUMIFS(holly!$L$2:$L$122,holly!$I$2:$I$122,mar!$A53,holly!$K$2:$K$122,"Mar")</f>
        <v>0</v>
      </c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</row>
    <row r="54" spans="1:80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IFERROR(LOOKUP(2,1/((lentry!$A$3:$A$3999=jul!$A54)*(lentry!$B$3:$B$3999&lt;=jul!F$3)*(lentry!$C$3:$C$3999&gt;=jul!F$3)),lentry!$D$3:$D$3999),IF(WEEKDAY(jul!F$3,1)=1,"WO","P"))</f>
        <v>P</v>
      </c>
      <c r="G54" s="4" t="str">
        <f>IFERROR(LOOKUP(2,1/((lentry!$A$3:$A$3999=jul!$A54)*(lentry!$B$3:$B$3999&lt;=jul!G$3)*(lentry!$C$3:$C$3999&gt;=jul!G$3)),lentry!$D$3:$D$3999),IF(WEEKDAY(jul!G$3,1)=1,"WO","P"))</f>
        <v>P</v>
      </c>
      <c r="H54" s="4" t="str">
        <f>IFERROR(LOOKUP(2,1/((lentry!$A$3:$A$3999=jul!$A54)*(lentry!$B$3:$B$3999&lt;=jul!H$3)*(lentry!$C$3:$C$3999&gt;=jul!H$3)),lentry!$D$3:$D$3999),IF(WEEKDAY(jul!H$3,1)=1,"WO","P"))</f>
        <v>P</v>
      </c>
      <c r="I54" s="4" t="str">
        <f>IFERROR(LOOKUP(2,1/((lentry!$A$3:$A$3999=jul!$A54)*(lentry!$B$3:$B$3999&lt;=jul!I$3)*(lentry!$C$3:$C$3999&gt;=jul!I$3)),lentry!$D$3:$D$3999),IF(WEEKDAY(jul!I$3,1)=1,"WO","P"))</f>
        <v>P</v>
      </c>
      <c r="J54" s="4" t="str">
        <f>IFERROR(LOOKUP(2,1/((lentry!$A$3:$A$3999=jul!$A54)*(lentry!$B$3:$B$3999&lt;=jul!J$3)*(lentry!$C$3:$C$3999&gt;=jul!J$3)),lentry!$D$3:$D$3999),IF(WEEKDAY(jul!J$3,1)=1,"WO","P"))</f>
        <v>WO</v>
      </c>
      <c r="K54" s="4" t="str">
        <f>IFERROR(LOOKUP(2,1/((lentry!$A$3:$A$3999=jul!$A54)*(lentry!$B$3:$B$3999&lt;=jul!K$3)*(lentry!$C$3:$C$3999&gt;=jul!K$3)),lentry!$D$3:$D$3999),IF(WEEKDAY(jul!K$3,1)=1,"WO","P"))</f>
        <v>P</v>
      </c>
      <c r="L54" s="4" t="str">
        <f>IFERROR(LOOKUP(2,1/((lentry!$A$3:$A$3999=jul!$A54)*(lentry!$B$3:$B$3999&lt;=jul!L$3)*(lentry!$C$3:$C$3999&gt;=jul!L$3)),lentry!$D$3:$D$3999),IF(WEEKDAY(jul!L$3,1)=1,"WO","P"))</f>
        <v>P</v>
      </c>
      <c r="M54" s="4" t="str">
        <f>IFERROR(LOOKUP(2,1/((lentry!$A$3:$A$3999=jul!$A54)*(lentry!$B$3:$B$3999&lt;=jul!M$3)*(lentry!$C$3:$C$3999&gt;=jul!M$3)),lentry!$D$3:$D$3999),IF(WEEKDAY(jul!M$3,1)=1,"WO","P"))</f>
        <v>P</v>
      </c>
      <c r="N54" s="4" t="str">
        <f>IFERROR(LOOKUP(2,1/((lentry!$A$3:$A$3999=jul!$A54)*(lentry!$B$3:$B$3999&lt;=jul!N$3)*(lentry!$C$3:$C$3999&gt;=jul!N$3)),lentry!$D$3:$D$3999),IF(WEEKDAY(jul!N$3,1)=1,"WO","P"))</f>
        <v>P</v>
      </c>
      <c r="O54" s="4" t="str">
        <f>IFERROR(LOOKUP(2,1/((lentry!$A$3:$A$3999=jul!$A54)*(lentry!$B$3:$B$3999&lt;=jul!O$3)*(lentry!$C$3:$C$3999&gt;=jul!O$3)),lentry!$D$3:$D$3999),IF(WEEKDAY(jul!O$3,1)=1,"WO","P"))</f>
        <v>P</v>
      </c>
      <c r="P54" s="4" t="str">
        <f>IFERROR(LOOKUP(2,1/((lentry!$A$3:$A$3999=jul!$A54)*(lentry!$B$3:$B$3999&lt;=jul!P$3)*(lentry!$C$3:$C$3999&gt;=jul!P$3)),lentry!$D$3:$D$3999),IF(WEEKDAY(jul!P$3,1)=1,"WO","P"))</f>
        <v>P</v>
      </c>
      <c r="Q54" s="4" t="str">
        <f>IFERROR(LOOKUP(2,1/((lentry!$A$3:$A$3999=jul!$A54)*(lentry!$B$3:$B$3999&lt;=jul!Q$3)*(lentry!$C$3:$C$3999&gt;=jul!Q$3)),lentry!$D$3:$D$3999),IF(WEEKDAY(jul!Q$3,1)=1,"WO","P"))</f>
        <v>WO</v>
      </c>
      <c r="R54" s="4" t="str">
        <f>IFERROR(LOOKUP(2,1/((lentry!$A$3:$A$3999=jul!$A54)*(lentry!$B$3:$B$3999&lt;=jul!R$3)*(lentry!$C$3:$C$3999&gt;=jul!R$3)),lentry!$D$3:$D$3999),IF(WEEKDAY(jul!R$3,1)=1,"WO","P"))</f>
        <v>P</v>
      </c>
      <c r="S54" s="4" t="str">
        <f>IFERROR(LOOKUP(2,1/((lentry!$A$3:$A$3999=jul!$A54)*(lentry!$B$3:$B$3999&lt;=jul!S$3)*(lentry!$C$3:$C$3999&gt;=jul!S$3)),lentry!$D$3:$D$3999),IF(WEEKDAY(jul!S$3,1)=1,"WO","P"))</f>
        <v>P</v>
      </c>
      <c r="T54" s="4" t="str">
        <f>IFERROR(LOOKUP(2,1/((lentry!$A$3:$A$3999=jul!$A54)*(lentry!$B$3:$B$3999&lt;=jul!T$3)*(lentry!$C$3:$C$3999&gt;=jul!T$3)),lentry!$D$3:$D$3999),IF(WEEKDAY(jul!T$3,1)=1,"WO","P"))</f>
        <v>P</v>
      </c>
      <c r="U54" s="4" t="str">
        <f>IFERROR(LOOKUP(2,1/((lentry!$A$3:$A$3999=jul!$A54)*(lentry!$B$3:$B$3999&lt;=jul!U$3)*(lentry!$C$3:$C$3999&gt;=jul!U$3)),lentry!$D$3:$D$3999),IF(WEEKDAY(jul!U$3,1)=1,"WO","P"))</f>
        <v>P</v>
      </c>
      <c r="V54" s="4" t="str">
        <f>IFERROR(LOOKUP(2,1/((lentry!$A$3:$A$3999=jul!$A54)*(lentry!$B$3:$B$3999&lt;=jul!V$3)*(lentry!$C$3:$C$3999&gt;=jul!V$3)),lentry!$D$3:$D$3999),IF(WEEKDAY(jul!V$3,1)=1,"WO","P"))</f>
        <v>P</v>
      </c>
      <c r="W54" s="4" t="str">
        <f>IFERROR(LOOKUP(2,1/((lentry!$A$3:$A$3999=jul!$A54)*(lentry!$B$3:$B$3999&lt;=jul!W$3)*(lentry!$C$3:$C$3999&gt;=jul!W$3)),lentry!$D$3:$D$3999),IF(WEEKDAY(jul!W$3,1)=1,"WO","P"))</f>
        <v>P</v>
      </c>
      <c r="X54" s="4" t="str">
        <f>IFERROR(LOOKUP(2,1/((lentry!$A$3:$A$3999=jul!$A54)*(lentry!$B$3:$B$3999&lt;=jul!X$3)*(lentry!$C$3:$C$3999&gt;=jul!X$3)),lentry!$D$3:$D$3999),IF(WEEKDAY(jul!X$3,1)=1,"WO","P"))</f>
        <v>WO</v>
      </c>
      <c r="Y54" s="4" t="str">
        <f>IFERROR(LOOKUP(2,1/((lentry!$A$3:$A$3999=jul!$A54)*(lentry!$B$3:$B$3999&lt;=jul!Y$3)*(lentry!$C$3:$C$3999&gt;=jul!Y$3)),lentry!$D$3:$D$3999),IF(WEEKDAY(jul!Y$3,1)=1,"WO","P"))</f>
        <v>P</v>
      </c>
      <c r="Z54" s="4" t="str">
        <f>IFERROR(LOOKUP(2,1/((lentry!$A$3:$A$3999=jul!$A54)*(lentry!$B$3:$B$3999&lt;=jul!Z$3)*(lentry!$C$3:$C$3999&gt;=jul!Z$3)),lentry!$D$3:$D$3999),IF(WEEKDAY(jul!Z$3,1)=1,"WO","P"))</f>
        <v>P</v>
      </c>
      <c r="AA54" s="4" t="str">
        <f>IFERROR(LOOKUP(2,1/((lentry!$A$3:$A$3999=jul!$A54)*(lentry!$B$3:$B$3999&lt;=jul!AA$3)*(lentry!$C$3:$C$3999&gt;=jul!AA$3)),lentry!$D$3:$D$3999),IF(WEEKDAY(jul!AA$3,1)=1,"WO","P"))</f>
        <v>P</v>
      </c>
      <c r="AB54" s="4" t="str">
        <f>IFERROR(LOOKUP(2,1/((lentry!$A$3:$A$3999=jul!$A54)*(lentry!$B$3:$B$3999&lt;=jul!AB$3)*(lentry!$C$3:$C$3999&gt;=jul!AB$3)),lentry!$D$3:$D$3999),IF(WEEKDAY(jul!AB$3,1)=1,"WO","P"))</f>
        <v>P</v>
      </c>
      <c r="AC54" s="4" t="str">
        <f>IFERROR(LOOKUP(2,1/((lentry!$A$3:$A$3999=jul!$A54)*(lentry!$B$3:$B$3999&lt;=jul!AC$3)*(lentry!$C$3:$C$3999&gt;=jul!AC$3)),lentry!$D$3:$D$3999),IF(WEEKDAY(jul!AC$3,1)=1,"WO","P"))</f>
        <v>P</v>
      </c>
      <c r="AD54" s="4" t="str">
        <f>IFERROR(LOOKUP(2,1/((lentry!$A$3:$A$3999=jul!$A54)*(lentry!$B$3:$B$3999&lt;=jul!AD$3)*(lentry!$C$3:$C$3999&gt;=jul!AD$3)),lentry!$D$3:$D$3999),IF(WEEKDAY(jul!AD$3,1)=1,"WO","P"))</f>
        <v>P</v>
      </c>
      <c r="AE54" s="4" t="str">
        <f>IFERROR(LOOKUP(2,1/((lentry!$A$3:$A$3999=jul!$A54)*(lentry!$B$3:$B$3999&lt;=jul!AE$3)*(lentry!$C$3:$C$3999&gt;=jul!AE$3)),lentry!$D$3:$D$3999),IF(WEEKDAY(jul!AE$3,1)=1,"WO","P"))</f>
        <v>WO</v>
      </c>
      <c r="AF54" s="4" t="str">
        <f>IFERROR(LOOKUP(2,1/((lentry!$A$3:$A$3999=jul!$A54)*(lentry!$B$3:$B$3999&lt;=jul!AF$3)*(lentry!$C$3:$C$3999&gt;=jul!AF$3)),lentry!$D$3:$D$3999),IF(WEEKDAY(jul!AF$3,1)=1,"WO","P"))</f>
        <v>P</v>
      </c>
      <c r="AG54" s="4" t="str">
        <f>IFERROR(LOOKUP(2,1/((lentry!$A$3:$A$3999=jul!$A54)*(lentry!$B$3:$B$3999&lt;=jul!AG$3)*(lentry!$C$3:$C$3999&gt;=jul!AG$3)),lentry!$D$3:$D$3999),IF(WEEKDAY(jul!AG$3,1)=1,"WO","P"))</f>
        <v>P</v>
      </c>
      <c r="AH54" s="4" t="str">
        <f>IFERROR(LOOKUP(2,1/((lentry!$A$3:$A$3999=jul!$A54)*(lentry!$B$3:$B$3999&lt;=jul!AH$3)*(lentry!$C$3:$C$3999&gt;=jul!AH$3)),lentry!$D$3:$D$3999),IF(WEEKDAY(jul!AH$3,1)=1,"WO","P"))</f>
        <v>P</v>
      </c>
      <c r="AI54" s="4" t="str">
        <f>IFERROR(LOOKUP(2,1/((lentry!$A$3:$A$3999=jul!$A54)*(lentry!$B$3:$B$3999&lt;=jul!AI$3)*(lentry!$C$3:$C$3999&gt;=jul!AI$3)),lentry!$D$3:$D$3999),IF(WEEKDAY(jul!AI$3,1)=1,"WO","P"))</f>
        <v>P</v>
      </c>
      <c r="AJ54" s="4" t="str">
        <f>IFERROR(LOOKUP(2,1/((lentry!$A$3:$A$3999=jul!$A54)*(lentry!$B$3:$B$3999&lt;=jul!AJ$3)*(lentry!$C$3:$C$3999&gt;=jul!AJ$3)),lentry!$D$3:$D$3999),IF(WEEKDAY(jul!AJ$3,1)=1,"WO","P"))</f>
        <v>P</v>
      </c>
      <c r="AK54" s="4">
        <f>COUNTIF(jul!$F54:$AJ54,"WO")</f>
        <v>4</v>
      </c>
      <c r="AL54" s="4">
        <f>COUNTIF(jul!$F54:$AJ54,"H")</f>
        <v>0</v>
      </c>
      <c r="AM54" s="4">
        <f>COUNTIF(jul!$F54:$AJ54,"pl")</f>
        <v>0</v>
      </c>
      <c r="AN54" s="4">
        <f>COUNTIF(jul!$F54:$AJ54,"LWP")</f>
        <v>0</v>
      </c>
      <c r="AO54" s="4">
        <f>COUNTIF(jul!$F54:$AJ54,"HD")</f>
        <v>0</v>
      </c>
      <c r="AP54" s="4">
        <f>COUNTIF(jul!$F54:$AJ54,"SL")</f>
        <v>0</v>
      </c>
      <c r="AQ54" s="4">
        <f>COUNTIF(jul!$F54:$AJ54,"CL")</f>
        <v>0</v>
      </c>
      <c r="AR54" s="4">
        <f>COUNTIF(jul!$F54:$AJ54,"A")</f>
        <v>0</v>
      </c>
      <c r="AS54" s="4">
        <f>COUNTIF(jul!$F54:$AJ54,"P")</f>
        <v>27</v>
      </c>
      <c r="AT54" s="4">
        <f t="shared" si="2"/>
        <v>31</v>
      </c>
      <c r="AU54" s="4">
        <f t="shared" si="3"/>
        <v>31</v>
      </c>
      <c r="AV54" s="4">
        <f>SUMIFS(holly!$L$2:$L$122,holly!$I$2:$I$122,mar!$A54,holly!$K$2:$K$122,"Mar")</f>
        <v>0</v>
      </c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</row>
  </sheetData>
  <mergeCells count="23">
    <mergeCell ref="A1:AV1"/>
    <mergeCell ref="AF2:AV2"/>
    <mergeCell ref="AV3:AV4"/>
    <mergeCell ref="AK3:AK4"/>
    <mergeCell ref="AL3:AL4"/>
    <mergeCell ref="AM3:AM4"/>
    <mergeCell ref="AN3:AN4"/>
    <mergeCell ref="AO3:AO4"/>
    <mergeCell ref="AP3:AP4"/>
    <mergeCell ref="A3:A4"/>
    <mergeCell ref="B3:B4"/>
    <mergeCell ref="C3:C4"/>
    <mergeCell ref="D3:D4"/>
    <mergeCell ref="E3:E4"/>
    <mergeCell ref="AT3:AT4"/>
    <mergeCell ref="AU3:AU4"/>
    <mergeCell ref="A2:K2"/>
    <mergeCell ref="L2:O2"/>
    <mergeCell ref="AQ3:AQ4"/>
    <mergeCell ref="AR3:AR4"/>
    <mergeCell ref="AS3:AS4"/>
    <mergeCell ref="P2:AA2"/>
    <mergeCell ref="AB2:AE2"/>
  </mergeCells>
  <conditionalFormatting sqref="F5:AJ54">
    <cfRule type="cellIs" dxfId="56" priority="1" operator="equal">
      <formula>"PL"</formula>
    </cfRule>
    <cfRule type="cellIs" dxfId="55" priority="2" operator="equal">
      <formula>"SL"</formula>
    </cfRule>
    <cfRule type="cellIs" dxfId="54" priority="6" operator="equal">
      <formula>"HD"</formula>
    </cfRule>
    <cfRule type="cellIs" dxfId="53" priority="7" operator="equal">
      <formula>"LWP"</formula>
    </cfRule>
    <cfRule type="cellIs" dxfId="52" priority="8" operator="equal">
      <formula>"PL"</formula>
    </cfRule>
    <cfRule type="cellIs" dxfId="51" priority="9" operator="equal">
      <formula>"H"</formula>
    </cfRule>
    <cfRule type="cellIs" dxfId="50" priority="10" operator="equal">
      <formula>"A"</formula>
    </cfRule>
    <cfRule type="cellIs" dxfId="49" priority="11" operator="equal">
      <formula>"P"</formula>
    </cfRule>
    <cfRule type="expression" dxfId="48" priority="12">
      <formula>F$4="Sun"</formula>
    </cfRule>
  </conditionalFormatting>
  <conditionalFormatting sqref="AV5:AV54">
    <cfRule type="cellIs" dxfId="47" priority="5" operator="greaterThan">
      <formula>0</formula>
    </cfRule>
  </conditionalFormatting>
  <conditionalFormatting sqref="AW4:CB54">
    <cfRule type="cellIs" dxfId="46" priority="3" operator="equal">
      <formula>"A"</formula>
    </cfRule>
  </conditionalFormatting>
  <conditionalFormatting sqref="AX4:CB4">
    <cfRule type="cellIs" dxfId="45" priority="4" operator="equal">
      <formula>"A"</formula>
    </cfRule>
  </conditionalFormatting>
  <dataValidations count="1">
    <dataValidation type="list" allowBlank="1" showInputMessage="1" showErrorMessage="1" sqref="F5:AJ54" xr:uid="{628DB561-885B-4432-A608-8A4B20AF6340}">
      <formula1>"A,P,WO,H,PL,LWP,HD"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E7B30-AB33-4DEA-A3D8-75CDCB227E75}">
  <sheetPr codeName="Sheet13"/>
  <dimension ref="A1:CA54"/>
  <sheetViews>
    <sheetView zoomScale="110" zoomScaleNormal="110" workbookViewId="0">
      <pane xSplit="1" topLeftCell="B1" activePane="topRight" state="frozen"/>
      <selection pane="topRight" activeCell="F5" sqref="F5"/>
    </sheetView>
  </sheetViews>
  <sheetFormatPr defaultRowHeight="15" x14ac:dyDescent="0.25"/>
  <cols>
    <col min="1" max="1" width="10.140625" bestFit="1" customWidth="1"/>
    <col min="2" max="2" width="17.28515625" customWidth="1"/>
    <col min="3" max="3" width="10.42578125" customWidth="1"/>
    <col min="4" max="4" width="13.28515625" hidden="1" customWidth="1"/>
    <col min="5" max="5" width="21.42578125" hidden="1" customWidth="1"/>
    <col min="6" max="35" width="4.7109375" bestFit="1" customWidth="1"/>
    <col min="36" max="36" width="4" customWidth="1"/>
    <col min="37" max="38" width="5.140625" customWidth="1"/>
    <col min="39" max="39" width="5.85546875" customWidth="1"/>
    <col min="40" max="45" width="5.140625" customWidth="1"/>
    <col min="46" max="46" width="9" customWidth="1"/>
    <col min="47" max="47" width="5.140625" customWidth="1"/>
    <col min="48" max="49" width="3" bestFit="1" customWidth="1"/>
    <col min="50" max="50" width="4.28515625" bestFit="1" customWidth="1"/>
    <col min="51" max="51" width="2.85546875" bestFit="1" customWidth="1"/>
    <col min="52" max="52" width="3" bestFit="1" customWidth="1"/>
    <col min="53" max="53" width="2.28515625" bestFit="1" customWidth="1"/>
    <col min="54" max="55" width="3" bestFit="1" customWidth="1"/>
    <col min="56" max="56" width="2.28515625" bestFit="1" customWidth="1"/>
    <col min="57" max="57" width="4.28515625" bestFit="1" customWidth="1"/>
    <col min="58" max="59" width="4.85546875" bestFit="1" customWidth="1"/>
    <col min="60" max="63" width="3" bestFit="1" customWidth="1"/>
    <col min="64" max="64" width="4.28515625" bestFit="1" customWidth="1"/>
    <col min="65" max="70" width="3" bestFit="1" customWidth="1"/>
    <col min="71" max="71" width="4.28515625" bestFit="1" customWidth="1"/>
    <col min="72" max="77" width="3" bestFit="1" customWidth="1"/>
    <col min="78" max="78" width="4.28515625" bestFit="1" customWidth="1"/>
    <col min="79" max="79" width="3" bestFit="1" customWidth="1"/>
  </cols>
  <sheetData>
    <row r="1" spans="1:79" ht="51" x14ac:dyDescent="0.25">
      <c r="A1" s="79" t="s">
        <v>336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</row>
    <row r="2" spans="1:79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Aug</v>
      </c>
      <c r="M2" s="67"/>
      <c r="N2" s="67"/>
      <c r="O2" s="67"/>
      <c r="P2" s="80">
        <f>DATE(2026,8,1)</f>
        <v>46235</v>
      </c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71" t="s">
        <v>337</v>
      </c>
      <c r="AC2" s="71"/>
      <c r="AD2" s="71"/>
      <c r="AE2" s="71"/>
      <c r="AF2" s="80">
        <f>EOMONTH(P2,0)</f>
        <v>46265</v>
      </c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</row>
    <row r="3" spans="1:79" ht="18.75" customHeight="1" x14ac:dyDescent="0.25">
      <c r="A3" s="77" t="s">
        <v>338</v>
      </c>
      <c r="B3" s="77" t="s">
        <v>339</v>
      </c>
      <c r="C3" s="77" t="s">
        <v>1</v>
      </c>
      <c r="D3" s="77" t="s">
        <v>340</v>
      </c>
      <c r="E3" s="77" t="s">
        <v>341</v>
      </c>
      <c r="F3" s="7">
        <f>P2</f>
        <v>46235</v>
      </c>
      <c r="G3" s="7">
        <f>IF(F3&lt;$AF$2,F3+1,"")</f>
        <v>46236</v>
      </c>
      <c r="H3" s="7">
        <f t="shared" ref="H3:AJ3" si="0">IF(G3&lt;$AF$2,G3+1,"")</f>
        <v>46237</v>
      </c>
      <c r="I3" s="7">
        <f t="shared" si="0"/>
        <v>46238</v>
      </c>
      <c r="J3" s="7">
        <f t="shared" si="0"/>
        <v>46239</v>
      </c>
      <c r="K3" s="7">
        <f t="shared" si="0"/>
        <v>46240</v>
      </c>
      <c r="L3" s="7">
        <f t="shared" si="0"/>
        <v>46241</v>
      </c>
      <c r="M3" s="7">
        <f t="shared" si="0"/>
        <v>46242</v>
      </c>
      <c r="N3" s="7">
        <f t="shared" si="0"/>
        <v>46243</v>
      </c>
      <c r="O3" s="7">
        <f t="shared" si="0"/>
        <v>46244</v>
      </c>
      <c r="P3" s="7">
        <f t="shared" si="0"/>
        <v>46245</v>
      </c>
      <c r="Q3" s="7">
        <f t="shared" si="0"/>
        <v>46246</v>
      </c>
      <c r="R3" s="7">
        <f t="shared" si="0"/>
        <v>46247</v>
      </c>
      <c r="S3" s="7">
        <f t="shared" si="0"/>
        <v>46248</v>
      </c>
      <c r="T3" s="7">
        <f t="shared" si="0"/>
        <v>46249</v>
      </c>
      <c r="U3" s="7">
        <f t="shared" si="0"/>
        <v>46250</v>
      </c>
      <c r="V3" s="7">
        <f t="shared" si="0"/>
        <v>46251</v>
      </c>
      <c r="W3" s="7">
        <f t="shared" si="0"/>
        <v>46252</v>
      </c>
      <c r="X3" s="7">
        <f t="shared" si="0"/>
        <v>46253</v>
      </c>
      <c r="Y3" s="7">
        <f t="shared" si="0"/>
        <v>46254</v>
      </c>
      <c r="Z3" s="7">
        <f t="shared" si="0"/>
        <v>46255</v>
      </c>
      <c r="AA3" s="7">
        <f t="shared" si="0"/>
        <v>46256</v>
      </c>
      <c r="AB3" s="7">
        <f t="shared" si="0"/>
        <v>46257</v>
      </c>
      <c r="AC3" s="7">
        <f t="shared" si="0"/>
        <v>46258</v>
      </c>
      <c r="AD3" s="7">
        <f t="shared" si="0"/>
        <v>46259</v>
      </c>
      <c r="AE3" s="7">
        <f t="shared" si="0"/>
        <v>46260</v>
      </c>
      <c r="AF3" s="7">
        <f t="shared" si="0"/>
        <v>46261</v>
      </c>
      <c r="AG3" s="7">
        <f t="shared" si="0"/>
        <v>46262</v>
      </c>
      <c r="AH3" s="7">
        <f t="shared" si="0"/>
        <v>46263</v>
      </c>
      <c r="AI3" s="7">
        <f t="shared" si="0"/>
        <v>46264</v>
      </c>
      <c r="AJ3" s="7">
        <f t="shared" si="0"/>
        <v>46265</v>
      </c>
      <c r="AK3" s="76" t="s">
        <v>342</v>
      </c>
      <c r="AL3" s="76" t="s">
        <v>343</v>
      </c>
      <c r="AM3" s="76" t="s">
        <v>344</v>
      </c>
      <c r="AN3" s="78" t="s">
        <v>84</v>
      </c>
      <c r="AO3" s="76" t="s">
        <v>345</v>
      </c>
      <c r="AP3" s="76" t="s">
        <v>351</v>
      </c>
      <c r="AQ3" s="76" t="s">
        <v>352</v>
      </c>
      <c r="AR3" s="76" t="s">
        <v>346</v>
      </c>
      <c r="AS3" s="76" t="s">
        <v>347</v>
      </c>
      <c r="AT3" s="76" t="s">
        <v>348</v>
      </c>
      <c r="AU3" s="76" t="s">
        <v>349</v>
      </c>
    </row>
    <row r="4" spans="1:79" ht="80.25" customHeight="1" x14ac:dyDescent="0.25">
      <c r="A4" s="77"/>
      <c r="B4" s="77"/>
      <c r="C4" s="77"/>
      <c r="D4" s="77"/>
      <c r="E4" s="77"/>
      <c r="F4" s="8" t="str">
        <f>TEXT(F3,"ddd")</f>
        <v>Sat</v>
      </c>
      <c r="G4" s="8" t="str">
        <f t="shared" ref="G4:AJ4" si="1">TEXT(G3,"ddd")</f>
        <v>Sun</v>
      </c>
      <c r="H4" s="8" t="str">
        <f t="shared" si="1"/>
        <v>Mon</v>
      </c>
      <c r="I4" s="8" t="str">
        <f t="shared" si="1"/>
        <v>Tue</v>
      </c>
      <c r="J4" s="8" t="str">
        <f t="shared" si="1"/>
        <v>Wed</v>
      </c>
      <c r="K4" s="8" t="str">
        <f t="shared" si="1"/>
        <v>Thu</v>
      </c>
      <c r="L4" s="8" t="str">
        <f t="shared" si="1"/>
        <v>Fri</v>
      </c>
      <c r="M4" s="8" t="str">
        <f t="shared" si="1"/>
        <v>Sat</v>
      </c>
      <c r="N4" s="8" t="str">
        <f t="shared" si="1"/>
        <v>Sun</v>
      </c>
      <c r="O4" s="8" t="str">
        <f t="shared" si="1"/>
        <v>Mon</v>
      </c>
      <c r="P4" s="8" t="str">
        <f t="shared" si="1"/>
        <v>Tue</v>
      </c>
      <c r="Q4" s="8" t="str">
        <f t="shared" si="1"/>
        <v>Wed</v>
      </c>
      <c r="R4" s="8" t="str">
        <f t="shared" si="1"/>
        <v>Thu</v>
      </c>
      <c r="S4" s="8" t="str">
        <f t="shared" si="1"/>
        <v>Fri</v>
      </c>
      <c r="T4" s="8" t="str">
        <f t="shared" si="1"/>
        <v>Sat</v>
      </c>
      <c r="U4" s="8" t="str">
        <f t="shared" si="1"/>
        <v>Sun</v>
      </c>
      <c r="V4" s="8" t="str">
        <f t="shared" si="1"/>
        <v>Mon</v>
      </c>
      <c r="W4" s="8" t="str">
        <f t="shared" si="1"/>
        <v>Tue</v>
      </c>
      <c r="X4" s="8" t="str">
        <f t="shared" si="1"/>
        <v>Wed</v>
      </c>
      <c r="Y4" s="8" t="str">
        <f t="shared" si="1"/>
        <v>Thu</v>
      </c>
      <c r="Z4" s="8" t="str">
        <f t="shared" si="1"/>
        <v>Fri</v>
      </c>
      <c r="AA4" s="8" t="str">
        <f t="shared" si="1"/>
        <v>Sat</v>
      </c>
      <c r="AB4" s="8" t="str">
        <f t="shared" si="1"/>
        <v>Sun</v>
      </c>
      <c r="AC4" s="8" t="str">
        <f t="shared" si="1"/>
        <v>Mon</v>
      </c>
      <c r="AD4" s="8" t="str">
        <f t="shared" si="1"/>
        <v>Tue</v>
      </c>
      <c r="AE4" s="8" t="str">
        <f t="shared" si="1"/>
        <v>Wed</v>
      </c>
      <c r="AF4" s="8" t="str">
        <f t="shared" si="1"/>
        <v>Thu</v>
      </c>
      <c r="AG4" s="8" t="str">
        <f t="shared" si="1"/>
        <v>Fri</v>
      </c>
      <c r="AH4" s="8" t="str">
        <f t="shared" si="1"/>
        <v>Sat</v>
      </c>
      <c r="AI4" s="8" t="str">
        <f t="shared" si="1"/>
        <v>Sun</v>
      </c>
      <c r="AJ4" s="8" t="str">
        <f t="shared" si="1"/>
        <v>Mon</v>
      </c>
      <c r="AK4" s="76"/>
      <c r="AL4" s="76"/>
      <c r="AM4" s="76"/>
      <c r="AN4" s="78"/>
      <c r="AO4" s="76"/>
      <c r="AP4" s="76"/>
      <c r="AQ4" s="76"/>
      <c r="AR4" s="76"/>
      <c r="AS4" s="76"/>
      <c r="AT4" s="76"/>
      <c r="AU4" s="76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</row>
    <row r="5" spans="1:79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IFERROR(LOOKUP(2,1/((lentry!$A$3:$A$3999=aug!$A5)*(lentry!$B$3:$B$3999&lt;=aug!F$3)*(lentry!$C$3:$C$3999&gt;=aug!F$3)),lentry!$D$3:$D$3999),IF(WEEKDAY(F$3,1)=1,"WO","P"))</f>
        <v>P</v>
      </c>
      <c r="G5" s="4" t="s">
        <v>342</v>
      </c>
      <c r="H5" s="4" t="str">
        <f>IFERROR(LOOKUP(2,1/((lentry!$A$3:$A$3999=aug!$A5)*(lentry!$B$3:$B$3999&lt;=aug!H$3)*(lentry!$C$3:$C$3999&gt;=aug!H$3)),lentry!$D$3:$D$3999),IF(WEEKDAY(H$3,1)=1,"WO","P"))</f>
        <v>PL</v>
      </c>
      <c r="I5" s="4" t="str">
        <f>IFERROR(LOOKUP(2,1/((lentry!$A$3:$A$3999=aug!$A5)*(lentry!$B$3:$B$3999&lt;=aug!I$3)*(lentry!$C$3:$C$3999&gt;=aug!I$3)),lentry!$D$3:$D$3999),IF(WEEKDAY(I$3,1)=1,"WO","P"))</f>
        <v>PL</v>
      </c>
      <c r="J5" s="4" t="str">
        <f>IFERROR(LOOKUP(2,1/((lentry!$A$3:$A$3999=aug!$A5)*(lentry!$B$3:$B$3999&lt;=aug!J$3)*(lentry!$C$3:$C$3999&gt;=aug!J$3)),lentry!$D$3:$D$3999),IF(WEEKDAY(J$3,1)=1,"WO","P"))</f>
        <v>P</v>
      </c>
      <c r="K5" s="4" t="str">
        <f>IFERROR(LOOKUP(2,1/((lentry!$A$3:$A$3999=aug!$A5)*(lentry!$B$3:$B$3999&lt;=aug!K$3)*(lentry!$C$3:$C$3999&gt;=aug!K$3)),lentry!$D$3:$D$3999),IF(WEEKDAY(K$3,1)=1,"WO","P"))</f>
        <v>P</v>
      </c>
      <c r="L5" s="4" t="str">
        <f>IFERROR(LOOKUP(2,1/((lentry!$A$3:$A$3999=aug!$A5)*(lentry!$B$3:$B$3999&lt;=aug!L$3)*(lentry!$C$3:$C$3999&gt;=aug!L$3)),lentry!$D$3:$D$3999),IF(WEEKDAY(L$3,1)=1,"WO","P"))</f>
        <v>P</v>
      </c>
      <c r="M5" s="4" t="str">
        <f>IFERROR(LOOKUP(2,1/((lentry!$A$3:$A$3999=aug!$A5)*(lentry!$B$3:$B$3999&lt;=aug!M$3)*(lentry!$C$3:$C$3999&gt;=aug!M$3)),lentry!$D$3:$D$3999),IF(WEEKDAY(M$3,1)=1,"WO","P"))</f>
        <v>P</v>
      </c>
      <c r="N5" s="4" t="s">
        <v>342</v>
      </c>
      <c r="O5" s="4" t="str">
        <f>IFERROR(LOOKUP(2,1/((lentry!$A$3:$A$3999=aug!$A5)*(lentry!$B$3:$B$3999&lt;=aug!O$3)*(lentry!$C$3:$C$3999&gt;=aug!O$3)),lentry!$D$3:$D$3999),IF(WEEKDAY(O$3,1)=1,"WO","P"))</f>
        <v>P</v>
      </c>
      <c r="P5" s="4" t="str">
        <f>IFERROR(LOOKUP(2,1/((lentry!$A$3:$A$3999=aug!$A5)*(lentry!$B$3:$B$3999&lt;=aug!P$3)*(lentry!$C$3:$C$3999&gt;=aug!P$3)),lentry!$D$3:$D$3999),IF(WEEKDAY(P$3,1)=1,"WO","P"))</f>
        <v>P</v>
      </c>
      <c r="Q5" s="4" t="str">
        <f>IFERROR(LOOKUP(2,1/((lentry!$A$3:$A$3999=aug!$A5)*(lentry!$B$3:$B$3999&lt;=aug!Q$3)*(lentry!$C$3:$C$3999&gt;=aug!Q$3)),lentry!$D$3:$D$3999),IF(WEEKDAY(Q$3,1)=1,"WO","P"))</f>
        <v>P</v>
      </c>
      <c r="R5" s="4" t="str">
        <f>IFERROR(LOOKUP(2,1/((lentry!$A$3:$A$3999=aug!$A5)*(lentry!$B$3:$B$3999&lt;=aug!R$3)*(lentry!$C$3:$C$3999&gt;=aug!R$3)),lentry!$D$3:$D$3999),IF(WEEKDAY(R$3,1)=1,"WO","P"))</f>
        <v>P</v>
      </c>
      <c r="S5" s="4" t="str">
        <f>IFERROR(LOOKUP(2,1/((lentry!$A$3:$A$3999=aug!$A5)*(lentry!$B$3:$B$3999&lt;=aug!S$3)*(lentry!$C$3:$C$3999&gt;=aug!S$3)),lentry!$D$3:$D$3999),IF(WEEKDAY(S$3,1)=1,"WO","P"))</f>
        <v>P</v>
      </c>
      <c r="T5" s="4" t="s">
        <v>350</v>
      </c>
      <c r="U5" s="4" t="s">
        <v>342</v>
      </c>
      <c r="V5" s="4" t="str">
        <f>IFERROR(LOOKUP(2,1/((lentry!$A$3:$A$3999=aug!$A5)*(lentry!$B$3:$B$3999&lt;=aug!V$3)*(lentry!$C$3:$C$3999&gt;=aug!V$3)),lentry!$D$3:$D$3999),IF(WEEKDAY(V$3,1)=1,"WO","P"))</f>
        <v>P</v>
      </c>
      <c r="W5" s="4" t="str">
        <f>IFERROR(LOOKUP(2,1/((lentry!$A$3:$A$3999=aug!$A5)*(lentry!$B$3:$B$3999&lt;=aug!W$3)*(lentry!$C$3:$C$3999&gt;=aug!W$3)),lentry!$D$3:$D$3999),IF(WEEKDAY(W$3,1)=1,"WO","P"))</f>
        <v>P</v>
      </c>
      <c r="X5" s="4" t="str">
        <f>IFERROR(LOOKUP(2,1/((lentry!$A$3:$A$3999=aug!$A5)*(lentry!$B$3:$B$3999&lt;=aug!X$3)*(lentry!$C$3:$C$3999&gt;=aug!X$3)),lentry!$D$3:$D$3999),IF(WEEKDAY(X$3,1)=1,"WO","P"))</f>
        <v>P</v>
      </c>
      <c r="Y5" s="4" t="str">
        <f>IFERROR(LOOKUP(2,1/((lentry!$A$3:$A$3999=aug!$A5)*(lentry!$B$3:$B$3999&lt;=aug!Y$3)*(lentry!$C$3:$C$3999&gt;=aug!Y$3)),lentry!$D$3:$D$3999),IF(WEEKDAY(Y$3,1)=1,"WO","P"))</f>
        <v>P</v>
      </c>
      <c r="Z5" s="4" t="str">
        <f>IFERROR(LOOKUP(2,1/((lentry!$A$3:$A$3999=aug!$A5)*(lentry!$B$3:$B$3999&lt;=aug!Z$3)*(lentry!$C$3:$C$3999&gt;=aug!Z$3)),lentry!$D$3:$D$3999),IF(WEEKDAY(Z$3,1)=1,"WO","P"))</f>
        <v>P</v>
      </c>
      <c r="AA5" s="4" t="str">
        <f>IFERROR(LOOKUP(2,1/((lentry!$A$3:$A$3999=aug!$A5)*(lentry!$B$3:$B$3999&lt;=aug!AA$3)*(lentry!$C$3:$C$3999&gt;=aug!AA$3)),lentry!$D$3:$D$3999),IF(WEEKDAY(AA$3,1)=1,"WO","P"))</f>
        <v>P</v>
      </c>
      <c r="AB5" s="4" t="s">
        <v>342</v>
      </c>
      <c r="AC5" s="4" t="str">
        <f>IFERROR(LOOKUP(2,1/((lentry!$A$3:$A$3999=aug!$A5)*(lentry!$B$3:$B$3999&lt;=aug!AC$3)*(lentry!$C$3:$C$3999&gt;=aug!AC$3)),lentry!$D$3:$D$3999),IF(WEEKDAY(AC$3,1)=1,"WO","P"))</f>
        <v>P</v>
      </c>
      <c r="AD5" s="4" t="str">
        <f>IFERROR(LOOKUP(2,1/((lentry!$A$3:$A$3999=aug!$A5)*(lentry!$B$3:$B$3999&lt;=aug!AD$3)*(lentry!$C$3:$C$3999&gt;=aug!AD$3)),lentry!$D$3:$D$3999),IF(WEEKDAY(AD$3,1)=1,"WO","P"))</f>
        <v>P</v>
      </c>
      <c r="AE5" s="4" t="str">
        <f>IFERROR(LOOKUP(2,1/((lentry!$A$3:$A$3999=aug!$A5)*(lentry!$B$3:$B$3999&lt;=aug!AE$3)*(lentry!$C$3:$C$3999&gt;=aug!AE$3)),lentry!$D$3:$D$3999),IF(WEEKDAY(AE$3,1)=1,"WO","P"))</f>
        <v>P</v>
      </c>
      <c r="AF5" s="4" t="str">
        <f>IFERROR(LOOKUP(2,1/((lentry!$A$3:$A$3999=aug!$A5)*(lentry!$B$3:$B$3999&lt;=aug!AF$3)*(lentry!$C$3:$C$3999&gt;=aug!AF$3)),lentry!$D$3:$D$3999),IF(WEEKDAY(AF$3,1)=1,"WO","P"))</f>
        <v>P</v>
      </c>
      <c r="AG5" s="4" t="str">
        <f>IFERROR(LOOKUP(2,1/((lentry!$A$3:$A$3999=aug!$A5)*(lentry!$B$3:$B$3999&lt;=aug!AG$3)*(lentry!$C$3:$C$3999&gt;=aug!AG$3)),lentry!$D$3:$D$3999),IF(WEEKDAY(AG$3,1)=1,"WO","P"))</f>
        <v>P</v>
      </c>
      <c r="AH5" s="4" t="str">
        <f>IFERROR(LOOKUP(2,1/((lentry!$A$3:$A$3999=aug!$A5)*(lentry!$B$3:$B$3999&lt;=aug!AH$3)*(lentry!$C$3:$C$3999&gt;=aug!AH$3)),lentry!$D$3:$D$3999),IF(WEEKDAY(AH$3,1)=1,"WO","P"))</f>
        <v>P</v>
      </c>
      <c r="AI5" s="4" t="s">
        <v>342</v>
      </c>
      <c r="AJ5" s="4" t="str">
        <f>IFERROR(LOOKUP(2,1/((lentry!$A$3:$A$3999=aug!$A5)*(lentry!$B$3:$B$3999&lt;=aug!AJ$3)*(lentry!$C$3:$C$3999&gt;=aug!AJ$3)),lentry!$D$3:$D$3999),IF(WEEKDAY(AJ$3,1)=1,"WO","P"))</f>
        <v>P</v>
      </c>
      <c r="AK5" s="4">
        <f>COUNTIF(aug!$F5:$AJ5,"WO")</f>
        <v>5</v>
      </c>
      <c r="AL5" s="4">
        <f>COUNTIF(aug!$F5:$AJ5,"H")</f>
        <v>1</v>
      </c>
      <c r="AM5" s="4">
        <f>COUNTIF(aug!$F5:$AJ5,"pl")</f>
        <v>2</v>
      </c>
      <c r="AN5" s="4">
        <f>COUNTIF(aug!$F5:$AJ5,"LWP")</f>
        <v>0</v>
      </c>
      <c r="AO5" s="4">
        <f>COUNTIF(aug!$F5:$AJ5,"HD")</f>
        <v>0</v>
      </c>
      <c r="AP5" s="4">
        <f>COUNTIF(aug!$F5:$AJ5,"SL")</f>
        <v>0</v>
      </c>
      <c r="AQ5" s="4">
        <f>COUNTIF(aug!$F5:$AJ5,"CL")</f>
        <v>0</v>
      </c>
      <c r="AR5" s="4">
        <f>COUNTIF(aug!$F5:$AJ5,"A")</f>
        <v>0</v>
      </c>
      <c r="AS5" s="4">
        <f>COUNTIF(aug!$F5:$AJ5,"P")</f>
        <v>23</v>
      </c>
      <c r="AT5" s="4">
        <f>COUNTA($F5:$AJ5)</f>
        <v>31</v>
      </c>
      <c r="AU5" s="4">
        <f>AK5+AL5+AM5+AP5+AQ5+AS5+(AO5/2)</f>
        <v>31</v>
      </c>
    </row>
    <row r="6" spans="1:79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IFERROR(LOOKUP(2,1/((lentry!$A$3:$A$3999=aug!$A6)*(lentry!$B$3:$B$3999&lt;=aug!F$3)*(lentry!$C$3:$C$3999&gt;=aug!F$3)),lentry!$D$3:$D$3999),IF(WEEKDAY(F$3,1)=1,"WO","P"))</f>
        <v>P</v>
      </c>
      <c r="G6" s="4" t="s">
        <v>342</v>
      </c>
      <c r="H6" s="4" t="str">
        <f>IFERROR(LOOKUP(2,1/((lentry!$A$3:$A$3999=aug!$A6)*(lentry!$B$3:$B$3999&lt;=aug!H$3)*(lentry!$C$3:$C$3999&gt;=aug!H$3)),lentry!$D$3:$D$3999),IF(WEEKDAY(H$3,1)=1,"WO","P"))</f>
        <v>P</v>
      </c>
      <c r="I6" s="4" t="str">
        <f>IFERROR(LOOKUP(2,1/((lentry!$A$3:$A$3999=aug!$A6)*(lentry!$B$3:$B$3999&lt;=aug!I$3)*(lentry!$C$3:$C$3999&gt;=aug!I$3)),lentry!$D$3:$D$3999),IF(WEEKDAY(I$3,1)=1,"WO","P"))</f>
        <v>P</v>
      </c>
      <c r="J6" s="4" t="str">
        <f>IFERROR(LOOKUP(2,1/((lentry!$A$3:$A$3999=aug!$A6)*(lentry!$B$3:$B$3999&lt;=aug!J$3)*(lentry!$C$3:$C$3999&gt;=aug!J$3)),lentry!$D$3:$D$3999),IF(WEEKDAY(J$3,1)=1,"WO","P"))</f>
        <v>P</v>
      </c>
      <c r="K6" s="4" t="str">
        <f>IFERROR(LOOKUP(2,1/((lentry!$A$3:$A$3999=aug!$A6)*(lentry!$B$3:$B$3999&lt;=aug!K$3)*(lentry!$C$3:$C$3999&gt;=aug!K$3)),lentry!$D$3:$D$3999),IF(WEEKDAY(K$3,1)=1,"WO","P"))</f>
        <v>P</v>
      </c>
      <c r="L6" s="4" t="str">
        <f>IFERROR(LOOKUP(2,1/((lentry!$A$3:$A$3999=aug!$A6)*(lentry!$B$3:$B$3999&lt;=aug!L$3)*(lentry!$C$3:$C$3999&gt;=aug!L$3)),lentry!$D$3:$D$3999),IF(WEEKDAY(L$3,1)=1,"WO","P"))</f>
        <v>P</v>
      </c>
      <c r="M6" s="4" t="str">
        <f>IFERROR(LOOKUP(2,1/((lentry!$A$3:$A$3999=aug!$A6)*(lentry!$B$3:$B$3999&lt;=aug!M$3)*(lentry!$C$3:$C$3999&gt;=aug!M$3)),lentry!$D$3:$D$3999),IF(WEEKDAY(M$3,1)=1,"WO","P"))</f>
        <v>P</v>
      </c>
      <c r="N6" s="4" t="s">
        <v>342</v>
      </c>
      <c r="O6" s="4" t="str">
        <f>IFERROR(LOOKUP(2,1/((lentry!$A$3:$A$3999=aug!$A6)*(lentry!$B$3:$B$3999&lt;=aug!O$3)*(lentry!$C$3:$C$3999&gt;=aug!O$3)),lentry!$D$3:$D$3999),IF(WEEKDAY(O$3,1)=1,"WO","P"))</f>
        <v>P</v>
      </c>
      <c r="P6" s="4" t="str">
        <f>IFERROR(LOOKUP(2,1/((lentry!$A$3:$A$3999=aug!$A6)*(lentry!$B$3:$B$3999&lt;=aug!P$3)*(lentry!$C$3:$C$3999&gt;=aug!P$3)),lentry!$D$3:$D$3999),IF(WEEKDAY(P$3,1)=1,"WO","P"))</f>
        <v>P</v>
      </c>
      <c r="Q6" s="4" t="str">
        <f>IFERROR(LOOKUP(2,1/((lentry!$A$3:$A$3999=aug!$A6)*(lentry!$B$3:$B$3999&lt;=aug!Q$3)*(lentry!$C$3:$C$3999&gt;=aug!Q$3)),lentry!$D$3:$D$3999),IF(WEEKDAY(Q$3,1)=1,"WO","P"))</f>
        <v>P</v>
      </c>
      <c r="R6" s="4" t="str">
        <f>IFERROR(LOOKUP(2,1/((lentry!$A$3:$A$3999=aug!$A6)*(lentry!$B$3:$B$3999&lt;=aug!R$3)*(lentry!$C$3:$C$3999&gt;=aug!R$3)),lentry!$D$3:$D$3999),IF(WEEKDAY(R$3,1)=1,"WO","P"))</f>
        <v>P</v>
      </c>
      <c r="S6" s="4" t="str">
        <f>IFERROR(LOOKUP(2,1/((lentry!$A$3:$A$3999=aug!$A6)*(lentry!$B$3:$B$3999&lt;=aug!S$3)*(lentry!$C$3:$C$3999&gt;=aug!S$3)),lentry!$D$3:$D$3999),IF(WEEKDAY(S$3,1)=1,"WO","P"))</f>
        <v>P</v>
      </c>
      <c r="T6" s="4" t="s">
        <v>350</v>
      </c>
      <c r="U6" s="4" t="s">
        <v>342</v>
      </c>
      <c r="V6" s="4" t="str">
        <f>IFERROR(LOOKUP(2,1/((lentry!$A$3:$A$3999=aug!$A6)*(lentry!$B$3:$B$3999&lt;=aug!V$3)*(lentry!$C$3:$C$3999&gt;=aug!V$3)),lentry!$D$3:$D$3999),IF(WEEKDAY(V$3,1)=1,"WO","P"))</f>
        <v>P</v>
      </c>
      <c r="W6" s="4" t="str">
        <f>IFERROR(LOOKUP(2,1/((lentry!$A$3:$A$3999=aug!$A6)*(lentry!$B$3:$B$3999&lt;=aug!W$3)*(lentry!$C$3:$C$3999&gt;=aug!W$3)),lentry!$D$3:$D$3999),IF(WEEKDAY(W$3,1)=1,"WO","P"))</f>
        <v>P</v>
      </c>
      <c r="X6" s="4" t="str">
        <f>IFERROR(LOOKUP(2,1/((lentry!$A$3:$A$3999=aug!$A6)*(lentry!$B$3:$B$3999&lt;=aug!X$3)*(lentry!$C$3:$C$3999&gt;=aug!X$3)),lentry!$D$3:$D$3999),IF(WEEKDAY(X$3,1)=1,"WO","P"))</f>
        <v>P</v>
      </c>
      <c r="Y6" s="4" t="str">
        <f>IFERROR(LOOKUP(2,1/((lentry!$A$3:$A$3999=aug!$A6)*(lentry!$B$3:$B$3999&lt;=aug!Y$3)*(lentry!$C$3:$C$3999&gt;=aug!Y$3)),lentry!$D$3:$D$3999),IF(WEEKDAY(Y$3,1)=1,"WO","P"))</f>
        <v>P</v>
      </c>
      <c r="Z6" s="4" t="str">
        <f>IFERROR(LOOKUP(2,1/((lentry!$A$3:$A$3999=aug!$A6)*(lentry!$B$3:$B$3999&lt;=aug!Z$3)*(lentry!$C$3:$C$3999&gt;=aug!Z$3)),lentry!$D$3:$D$3999),IF(WEEKDAY(Z$3,1)=1,"WO","P"))</f>
        <v>P</v>
      </c>
      <c r="AA6" s="4" t="str">
        <f>IFERROR(LOOKUP(2,1/((lentry!$A$3:$A$3999=aug!$A6)*(lentry!$B$3:$B$3999&lt;=aug!AA$3)*(lentry!$C$3:$C$3999&gt;=aug!AA$3)),lentry!$D$3:$D$3999),IF(WEEKDAY(AA$3,1)=1,"WO","P"))</f>
        <v>P</v>
      </c>
      <c r="AB6" s="4" t="s">
        <v>342</v>
      </c>
      <c r="AC6" s="4" t="str">
        <f>IFERROR(LOOKUP(2,1/((lentry!$A$3:$A$3999=aug!$A6)*(lentry!$B$3:$B$3999&lt;=aug!AC$3)*(lentry!$C$3:$C$3999&gt;=aug!AC$3)),lentry!$D$3:$D$3999),IF(WEEKDAY(AC$3,1)=1,"WO","P"))</f>
        <v>P</v>
      </c>
      <c r="AD6" s="4" t="str">
        <f>IFERROR(LOOKUP(2,1/((lentry!$A$3:$A$3999=aug!$A6)*(lentry!$B$3:$B$3999&lt;=aug!AD$3)*(lentry!$C$3:$C$3999&gt;=aug!AD$3)),lentry!$D$3:$D$3999),IF(WEEKDAY(AD$3,1)=1,"WO","P"))</f>
        <v>P</v>
      </c>
      <c r="AE6" s="4" t="str">
        <f>IFERROR(LOOKUP(2,1/((lentry!$A$3:$A$3999=aug!$A6)*(lentry!$B$3:$B$3999&lt;=aug!AE$3)*(lentry!$C$3:$C$3999&gt;=aug!AE$3)),lentry!$D$3:$D$3999),IF(WEEKDAY(AE$3,1)=1,"WO","P"))</f>
        <v>P</v>
      </c>
      <c r="AF6" s="4" t="str">
        <f>IFERROR(LOOKUP(2,1/((lentry!$A$3:$A$3999=aug!$A6)*(lentry!$B$3:$B$3999&lt;=aug!AF$3)*(lentry!$C$3:$C$3999&gt;=aug!AF$3)),lentry!$D$3:$D$3999),IF(WEEKDAY(AF$3,1)=1,"WO","P"))</f>
        <v>P</v>
      </c>
      <c r="AG6" s="4" t="str">
        <f>IFERROR(LOOKUP(2,1/((lentry!$A$3:$A$3999=aug!$A6)*(lentry!$B$3:$B$3999&lt;=aug!AG$3)*(lentry!$C$3:$C$3999&gt;=aug!AG$3)),lentry!$D$3:$D$3999),IF(WEEKDAY(AG$3,1)=1,"WO","P"))</f>
        <v>P</v>
      </c>
      <c r="AH6" s="4" t="str">
        <f>IFERROR(LOOKUP(2,1/((lentry!$A$3:$A$3999=aug!$A6)*(lentry!$B$3:$B$3999&lt;=aug!AH$3)*(lentry!$C$3:$C$3999&gt;=aug!AH$3)),lentry!$D$3:$D$3999),IF(WEEKDAY(AH$3,1)=1,"WO","P"))</f>
        <v>P</v>
      </c>
      <c r="AI6" s="4" t="s">
        <v>342</v>
      </c>
      <c r="AJ6" s="4" t="str">
        <f>IFERROR(LOOKUP(2,1/((lentry!$A$3:$A$3999=aug!$A6)*(lentry!$B$3:$B$3999&lt;=aug!AJ$3)*(lentry!$C$3:$C$3999&gt;=aug!AJ$3)),lentry!$D$3:$D$3999),IF(WEEKDAY(AJ$3,1)=1,"WO","P"))</f>
        <v>P</v>
      </c>
      <c r="AK6" s="4">
        <f>COUNTIF(aug!$F6:$AJ6,"WO")</f>
        <v>5</v>
      </c>
      <c r="AL6" s="4">
        <f>COUNTIF(aug!$F6:$AJ6,"H")</f>
        <v>1</v>
      </c>
      <c r="AM6" s="4">
        <f>COUNTIF(aug!$F6:$AJ6,"pl")</f>
        <v>0</v>
      </c>
      <c r="AN6" s="4">
        <f>COUNTIF(aug!$F6:$AJ6,"LWP")</f>
        <v>0</v>
      </c>
      <c r="AO6" s="4">
        <f>COUNTIF(aug!$F6:$AJ6,"HD")</f>
        <v>0</v>
      </c>
      <c r="AP6" s="4">
        <f>COUNTIF(aug!$F6:$AJ6,"SL")</f>
        <v>0</v>
      </c>
      <c r="AQ6" s="4">
        <f>COUNTIF(aug!$F6:$AJ6,"CL")</f>
        <v>0</v>
      </c>
      <c r="AR6" s="4">
        <f>COUNTIF(aug!$F6:$AJ6,"A")</f>
        <v>0</v>
      </c>
      <c r="AS6" s="4">
        <f>COUNTIF(aug!$F6:$AJ6,"P")</f>
        <v>25</v>
      </c>
      <c r="AT6" s="4">
        <f t="shared" ref="AT6:AT54" si="2">COUNTA($F6:$AJ6)</f>
        <v>31</v>
      </c>
      <c r="AU6" s="4">
        <f t="shared" ref="AU6:AU54" si="3">AK6+AL6+AM6+AP6+AQ6+AS6+(AO6/2)</f>
        <v>31</v>
      </c>
    </row>
    <row r="7" spans="1:79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IFERROR(LOOKUP(2,1/((lentry!$A$3:$A$3999=aug!$A7)*(lentry!$B$3:$B$3999&lt;=aug!F$3)*(lentry!$C$3:$C$3999&gt;=aug!F$3)),lentry!$D$3:$D$3999),IF(WEEKDAY(F$3,1)=1,"WO","P"))</f>
        <v>P</v>
      </c>
      <c r="G7" s="4" t="s">
        <v>342</v>
      </c>
      <c r="H7" s="4" t="str">
        <f>IFERROR(LOOKUP(2,1/((lentry!$A$3:$A$3999=aug!$A7)*(lentry!$B$3:$B$3999&lt;=aug!H$3)*(lentry!$C$3:$C$3999&gt;=aug!H$3)),lentry!$D$3:$D$3999),IF(WEEKDAY(H$3,1)=1,"WO","P"))</f>
        <v>P</v>
      </c>
      <c r="I7" s="4" t="str">
        <f>IFERROR(LOOKUP(2,1/((lentry!$A$3:$A$3999=aug!$A7)*(lentry!$B$3:$B$3999&lt;=aug!I$3)*(lentry!$C$3:$C$3999&gt;=aug!I$3)),lentry!$D$3:$D$3999),IF(WEEKDAY(I$3,1)=1,"WO","P"))</f>
        <v>P</v>
      </c>
      <c r="J7" s="4" t="str">
        <f>IFERROR(LOOKUP(2,1/((lentry!$A$3:$A$3999=aug!$A7)*(lentry!$B$3:$B$3999&lt;=aug!J$3)*(lentry!$C$3:$C$3999&gt;=aug!J$3)),lentry!$D$3:$D$3999),IF(WEEKDAY(J$3,1)=1,"WO","P"))</f>
        <v>P</v>
      </c>
      <c r="K7" s="4" t="str">
        <f>IFERROR(LOOKUP(2,1/((lentry!$A$3:$A$3999=aug!$A7)*(lentry!$B$3:$B$3999&lt;=aug!K$3)*(lentry!$C$3:$C$3999&gt;=aug!K$3)),lentry!$D$3:$D$3999),IF(WEEKDAY(K$3,1)=1,"WO","P"))</f>
        <v>P</v>
      </c>
      <c r="L7" s="4" t="str">
        <f>IFERROR(LOOKUP(2,1/((lentry!$A$3:$A$3999=aug!$A7)*(lentry!$B$3:$B$3999&lt;=aug!L$3)*(lentry!$C$3:$C$3999&gt;=aug!L$3)),lentry!$D$3:$D$3999),IF(WEEKDAY(L$3,1)=1,"WO","P"))</f>
        <v>P</v>
      </c>
      <c r="M7" s="4" t="str">
        <f>IFERROR(LOOKUP(2,1/((lentry!$A$3:$A$3999=aug!$A7)*(lentry!$B$3:$B$3999&lt;=aug!M$3)*(lentry!$C$3:$C$3999&gt;=aug!M$3)),lentry!$D$3:$D$3999),IF(WEEKDAY(M$3,1)=1,"WO","P"))</f>
        <v>P</v>
      </c>
      <c r="N7" s="4" t="s">
        <v>342</v>
      </c>
      <c r="O7" s="4" t="str">
        <f>IFERROR(LOOKUP(2,1/((lentry!$A$3:$A$3999=aug!$A7)*(lentry!$B$3:$B$3999&lt;=aug!O$3)*(lentry!$C$3:$C$3999&gt;=aug!O$3)),lentry!$D$3:$D$3999),IF(WEEKDAY(O$3,1)=1,"WO","P"))</f>
        <v>P</v>
      </c>
      <c r="P7" s="4" t="str">
        <f>IFERROR(LOOKUP(2,1/((lentry!$A$3:$A$3999=aug!$A7)*(lentry!$B$3:$B$3999&lt;=aug!P$3)*(lentry!$C$3:$C$3999&gt;=aug!P$3)),lentry!$D$3:$D$3999),IF(WEEKDAY(P$3,1)=1,"WO","P"))</f>
        <v>P</v>
      </c>
      <c r="Q7" s="4" t="str">
        <f>IFERROR(LOOKUP(2,1/((lentry!$A$3:$A$3999=aug!$A7)*(lentry!$B$3:$B$3999&lt;=aug!Q$3)*(lentry!$C$3:$C$3999&gt;=aug!Q$3)),lentry!$D$3:$D$3999),IF(WEEKDAY(Q$3,1)=1,"WO","P"))</f>
        <v>P</v>
      </c>
      <c r="R7" s="4" t="str">
        <f>IFERROR(LOOKUP(2,1/((lentry!$A$3:$A$3999=aug!$A7)*(lentry!$B$3:$B$3999&lt;=aug!R$3)*(lentry!$C$3:$C$3999&gt;=aug!R$3)),lentry!$D$3:$D$3999),IF(WEEKDAY(R$3,1)=1,"WO","P"))</f>
        <v>P</v>
      </c>
      <c r="S7" s="4" t="str">
        <f>IFERROR(LOOKUP(2,1/((lentry!$A$3:$A$3999=aug!$A7)*(lentry!$B$3:$B$3999&lt;=aug!S$3)*(lentry!$C$3:$C$3999&gt;=aug!S$3)),lentry!$D$3:$D$3999),IF(WEEKDAY(S$3,1)=1,"WO","P"))</f>
        <v>P</v>
      </c>
      <c r="T7" s="4" t="s">
        <v>350</v>
      </c>
      <c r="U7" s="4" t="s">
        <v>342</v>
      </c>
      <c r="V7" s="4" t="str">
        <f>IFERROR(LOOKUP(2,1/((lentry!$A$3:$A$3999=aug!$A7)*(lentry!$B$3:$B$3999&lt;=aug!V$3)*(lentry!$C$3:$C$3999&gt;=aug!V$3)),lentry!$D$3:$D$3999),IF(WEEKDAY(V$3,1)=1,"WO","P"))</f>
        <v>P</v>
      </c>
      <c r="W7" s="4" t="str">
        <f>IFERROR(LOOKUP(2,1/((lentry!$A$3:$A$3999=aug!$A7)*(lentry!$B$3:$B$3999&lt;=aug!W$3)*(lentry!$C$3:$C$3999&gt;=aug!W$3)),lentry!$D$3:$D$3999),IF(WEEKDAY(W$3,1)=1,"WO","P"))</f>
        <v>P</v>
      </c>
      <c r="X7" s="4" t="str">
        <f>IFERROR(LOOKUP(2,1/((lentry!$A$3:$A$3999=aug!$A7)*(lentry!$B$3:$B$3999&lt;=aug!X$3)*(lentry!$C$3:$C$3999&gt;=aug!X$3)),lentry!$D$3:$D$3999),IF(WEEKDAY(X$3,1)=1,"WO","P"))</f>
        <v>P</v>
      </c>
      <c r="Y7" s="4" t="str">
        <f>IFERROR(LOOKUP(2,1/((lentry!$A$3:$A$3999=aug!$A7)*(lentry!$B$3:$B$3999&lt;=aug!Y$3)*(lentry!$C$3:$C$3999&gt;=aug!Y$3)),lentry!$D$3:$D$3999),IF(WEEKDAY(Y$3,1)=1,"WO","P"))</f>
        <v>P</v>
      </c>
      <c r="Z7" s="4" t="str">
        <f>IFERROR(LOOKUP(2,1/((lentry!$A$3:$A$3999=aug!$A7)*(lentry!$B$3:$B$3999&lt;=aug!Z$3)*(lentry!$C$3:$C$3999&gt;=aug!Z$3)),lentry!$D$3:$D$3999),IF(WEEKDAY(Z$3,1)=1,"WO","P"))</f>
        <v>P</v>
      </c>
      <c r="AA7" s="4" t="str">
        <f>IFERROR(LOOKUP(2,1/((lentry!$A$3:$A$3999=aug!$A7)*(lentry!$B$3:$B$3999&lt;=aug!AA$3)*(lentry!$C$3:$C$3999&gt;=aug!AA$3)),lentry!$D$3:$D$3999),IF(WEEKDAY(AA$3,1)=1,"WO","P"))</f>
        <v>P</v>
      </c>
      <c r="AB7" s="4" t="s">
        <v>342</v>
      </c>
      <c r="AC7" s="4" t="str">
        <f>IFERROR(LOOKUP(2,1/((lentry!$A$3:$A$3999=aug!$A7)*(lentry!$B$3:$B$3999&lt;=aug!AC$3)*(lentry!$C$3:$C$3999&gt;=aug!AC$3)),lentry!$D$3:$D$3999),IF(WEEKDAY(AC$3,1)=1,"WO","P"))</f>
        <v>P</v>
      </c>
      <c r="AD7" s="4" t="str">
        <f>IFERROR(LOOKUP(2,1/((lentry!$A$3:$A$3999=aug!$A7)*(lentry!$B$3:$B$3999&lt;=aug!AD$3)*(lentry!$C$3:$C$3999&gt;=aug!AD$3)),lentry!$D$3:$D$3999),IF(WEEKDAY(AD$3,1)=1,"WO","P"))</f>
        <v>P</v>
      </c>
      <c r="AE7" s="4" t="str">
        <f>IFERROR(LOOKUP(2,1/((lentry!$A$3:$A$3999=aug!$A7)*(lentry!$B$3:$B$3999&lt;=aug!AE$3)*(lentry!$C$3:$C$3999&gt;=aug!AE$3)),lentry!$D$3:$D$3999),IF(WEEKDAY(AE$3,1)=1,"WO","P"))</f>
        <v>P</v>
      </c>
      <c r="AF7" s="4" t="str">
        <f>IFERROR(LOOKUP(2,1/((lentry!$A$3:$A$3999=aug!$A7)*(lentry!$B$3:$B$3999&lt;=aug!AF$3)*(lentry!$C$3:$C$3999&gt;=aug!AF$3)),lentry!$D$3:$D$3999),IF(WEEKDAY(AF$3,1)=1,"WO","P"))</f>
        <v>P</v>
      </c>
      <c r="AG7" s="4" t="str">
        <f>IFERROR(LOOKUP(2,1/((lentry!$A$3:$A$3999=aug!$A7)*(lentry!$B$3:$B$3999&lt;=aug!AG$3)*(lentry!$C$3:$C$3999&gt;=aug!AG$3)),lentry!$D$3:$D$3999),IF(WEEKDAY(AG$3,1)=1,"WO","P"))</f>
        <v>P</v>
      </c>
      <c r="AH7" s="4" t="str">
        <f>IFERROR(LOOKUP(2,1/((lentry!$A$3:$A$3999=aug!$A7)*(lentry!$B$3:$B$3999&lt;=aug!AH$3)*(lentry!$C$3:$C$3999&gt;=aug!AH$3)),lentry!$D$3:$D$3999),IF(WEEKDAY(AH$3,1)=1,"WO","P"))</f>
        <v>PL</v>
      </c>
      <c r="AI7" s="4" t="s">
        <v>342</v>
      </c>
      <c r="AJ7" s="4" t="str">
        <f>IFERROR(LOOKUP(2,1/((lentry!$A$3:$A$3999=aug!$A7)*(lentry!$B$3:$B$3999&lt;=aug!AJ$3)*(lentry!$C$3:$C$3999&gt;=aug!AJ$3)),lentry!$D$3:$D$3999),IF(WEEKDAY(AJ$3,1)=1,"WO","P"))</f>
        <v>P</v>
      </c>
      <c r="AK7" s="4">
        <f>COUNTIF(aug!$F7:$AJ7,"WO")</f>
        <v>5</v>
      </c>
      <c r="AL7" s="4">
        <f>COUNTIF(aug!$F7:$AJ7,"H")</f>
        <v>1</v>
      </c>
      <c r="AM7" s="4">
        <f>COUNTIF(aug!$F7:$AJ7,"pl")</f>
        <v>1</v>
      </c>
      <c r="AN7" s="4">
        <f>COUNTIF(aug!$F7:$AJ7,"LWP")</f>
        <v>0</v>
      </c>
      <c r="AO7" s="4">
        <f>COUNTIF(aug!$F7:$AJ7,"HD")</f>
        <v>0</v>
      </c>
      <c r="AP7" s="4">
        <f>COUNTIF(aug!$F7:$AJ7,"SL")</f>
        <v>0</v>
      </c>
      <c r="AQ7" s="4">
        <f>COUNTIF(aug!$F7:$AJ7,"CL")</f>
        <v>0</v>
      </c>
      <c r="AR7" s="4">
        <f>COUNTIF(aug!$F7:$AJ7,"A")</f>
        <v>0</v>
      </c>
      <c r="AS7" s="4">
        <f>COUNTIF(aug!$F7:$AJ7,"P")</f>
        <v>24</v>
      </c>
      <c r="AT7" s="4">
        <f t="shared" si="2"/>
        <v>31</v>
      </c>
      <c r="AU7" s="4">
        <f t="shared" si="3"/>
        <v>31</v>
      </c>
    </row>
    <row r="8" spans="1:79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IFERROR(LOOKUP(2,1/((lentry!$A$3:$A$3999=aug!$A8)*(lentry!$B$3:$B$3999&lt;=aug!F$3)*(lentry!$C$3:$C$3999&gt;=aug!F$3)),lentry!$D$3:$D$3999),IF(WEEKDAY(F$3,1)=1,"WO","P"))</f>
        <v>P</v>
      </c>
      <c r="G8" s="4" t="s">
        <v>342</v>
      </c>
      <c r="H8" s="4" t="str">
        <f>IFERROR(LOOKUP(2,1/((lentry!$A$3:$A$3999=aug!$A8)*(lentry!$B$3:$B$3999&lt;=aug!H$3)*(lentry!$C$3:$C$3999&gt;=aug!H$3)),lentry!$D$3:$D$3999),IF(WEEKDAY(H$3,1)=1,"WO","P"))</f>
        <v>P</v>
      </c>
      <c r="I8" s="4" t="str">
        <f>IFERROR(LOOKUP(2,1/((lentry!$A$3:$A$3999=aug!$A8)*(lentry!$B$3:$B$3999&lt;=aug!I$3)*(lentry!$C$3:$C$3999&gt;=aug!I$3)),lentry!$D$3:$D$3999),IF(WEEKDAY(I$3,1)=1,"WO","P"))</f>
        <v>P</v>
      </c>
      <c r="J8" s="4" t="str">
        <f>IFERROR(LOOKUP(2,1/((lentry!$A$3:$A$3999=aug!$A8)*(lentry!$B$3:$B$3999&lt;=aug!J$3)*(lentry!$C$3:$C$3999&gt;=aug!J$3)),lentry!$D$3:$D$3999),IF(WEEKDAY(J$3,1)=1,"WO","P"))</f>
        <v>P</v>
      </c>
      <c r="K8" s="4" t="s">
        <v>539</v>
      </c>
      <c r="L8" s="4" t="str">
        <f>IFERROR(LOOKUP(2,1/((lentry!$A$3:$A$3999=aug!$A8)*(lentry!$B$3:$B$3999&lt;=aug!L$3)*(lentry!$C$3:$C$3999&gt;=aug!L$3)),lentry!$D$3:$D$3999),IF(WEEKDAY(L$3,1)=1,"WO","P"))</f>
        <v>P</v>
      </c>
      <c r="M8" s="4" t="str">
        <f>IFERROR(LOOKUP(2,1/((lentry!$A$3:$A$3999=aug!$A8)*(lentry!$B$3:$B$3999&lt;=aug!M$3)*(lentry!$C$3:$C$3999&gt;=aug!M$3)),lentry!$D$3:$D$3999),IF(WEEKDAY(M$3,1)=1,"WO","P"))</f>
        <v>P</v>
      </c>
      <c r="N8" s="4" t="s">
        <v>342</v>
      </c>
      <c r="O8" s="4" t="str">
        <f>IFERROR(LOOKUP(2,1/((lentry!$A$3:$A$3999=aug!$A8)*(lentry!$B$3:$B$3999&lt;=aug!O$3)*(lentry!$C$3:$C$3999&gt;=aug!O$3)),lentry!$D$3:$D$3999),IF(WEEKDAY(O$3,1)=1,"WO","P"))</f>
        <v>P</v>
      </c>
      <c r="P8" s="4" t="str">
        <f>IFERROR(LOOKUP(2,1/((lentry!$A$3:$A$3999=aug!$A8)*(lentry!$B$3:$B$3999&lt;=aug!P$3)*(lentry!$C$3:$C$3999&gt;=aug!P$3)),lentry!$D$3:$D$3999),IF(WEEKDAY(P$3,1)=1,"WO","P"))</f>
        <v>P</v>
      </c>
      <c r="Q8" s="4" t="str">
        <f>IFERROR(LOOKUP(2,1/((lentry!$A$3:$A$3999=aug!$A8)*(lentry!$B$3:$B$3999&lt;=aug!Q$3)*(lentry!$C$3:$C$3999&gt;=aug!Q$3)),lentry!$D$3:$D$3999),IF(WEEKDAY(Q$3,1)=1,"WO","P"))</f>
        <v>P</v>
      </c>
      <c r="R8" s="4" t="str">
        <f>IFERROR(LOOKUP(2,1/((lentry!$A$3:$A$3999=aug!$A8)*(lentry!$B$3:$B$3999&lt;=aug!R$3)*(lentry!$C$3:$C$3999&gt;=aug!R$3)),lentry!$D$3:$D$3999),IF(WEEKDAY(R$3,1)=1,"WO","P"))</f>
        <v>P</v>
      </c>
      <c r="S8" s="4" t="str">
        <f>IFERROR(LOOKUP(2,1/((lentry!$A$3:$A$3999=aug!$A8)*(lentry!$B$3:$B$3999&lt;=aug!S$3)*(lentry!$C$3:$C$3999&gt;=aug!S$3)),lentry!$D$3:$D$3999),IF(WEEKDAY(S$3,1)=1,"WO","P"))</f>
        <v>P</v>
      </c>
      <c r="T8" s="4" t="s">
        <v>350</v>
      </c>
      <c r="U8" s="4" t="s">
        <v>342</v>
      </c>
      <c r="V8" s="4" t="str">
        <f>IFERROR(LOOKUP(2,1/((lentry!$A$3:$A$3999=aug!$A8)*(lentry!$B$3:$B$3999&lt;=aug!V$3)*(lentry!$C$3:$C$3999&gt;=aug!V$3)),lentry!$D$3:$D$3999),IF(WEEKDAY(V$3,1)=1,"WO","P"))</f>
        <v>P</v>
      </c>
      <c r="W8" s="4" t="str">
        <f>IFERROR(LOOKUP(2,1/((lentry!$A$3:$A$3999=aug!$A8)*(lentry!$B$3:$B$3999&lt;=aug!W$3)*(lentry!$C$3:$C$3999&gt;=aug!W$3)),lentry!$D$3:$D$3999),IF(WEEKDAY(W$3,1)=1,"WO","P"))</f>
        <v>P</v>
      </c>
      <c r="X8" s="4" t="str">
        <f>IFERROR(LOOKUP(2,1/((lentry!$A$3:$A$3999=aug!$A8)*(lentry!$B$3:$B$3999&lt;=aug!X$3)*(lentry!$C$3:$C$3999&gt;=aug!X$3)),lentry!$D$3:$D$3999),IF(WEEKDAY(X$3,1)=1,"WO","P"))</f>
        <v>P</v>
      </c>
      <c r="Y8" s="4" t="str">
        <f>IFERROR(LOOKUP(2,1/((lentry!$A$3:$A$3999=aug!$A8)*(lentry!$B$3:$B$3999&lt;=aug!Y$3)*(lentry!$C$3:$C$3999&gt;=aug!Y$3)),lentry!$D$3:$D$3999),IF(WEEKDAY(Y$3,1)=1,"WO","P"))</f>
        <v>P</v>
      </c>
      <c r="Z8" s="4" t="str">
        <f>IFERROR(LOOKUP(2,1/((lentry!$A$3:$A$3999=aug!$A8)*(lentry!$B$3:$B$3999&lt;=aug!Z$3)*(lentry!$C$3:$C$3999&gt;=aug!Z$3)),lentry!$D$3:$D$3999),IF(WEEKDAY(Z$3,1)=1,"WO","P"))</f>
        <v>P</v>
      </c>
      <c r="AA8" s="4" t="str">
        <f>IFERROR(LOOKUP(2,1/((lentry!$A$3:$A$3999=aug!$A8)*(lentry!$B$3:$B$3999&lt;=aug!AA$3)*(lentry!$C$3:$C$3999&gt;=aug!AA$3)),lentry!$D$3:$D$3999),IF(WEEKDAY(AA$3,1)=1,"WO","P"))</f>
        <v>P</v>
      </c>
      <c r="AB8" s="4" t="s">
        <v>342</v>
      </c>
      <c r="AC8" s="4" t="s">
        <v>539</v>
      </c>
      <c r="AD8" s="4" t="str">
        <f>IFERROR(LOOKUP(2,1/((lentry!$A$3:$A$3999=aug!$A8)*(lentry!$B$3:$B$3999&lt;=aug!AD$3)*(lentry!$C$3:$C$3999&gt;=aug!AD$3)),lentry!$D$3:$D$3999),IF(WEEKDAY(AD$3,1)=1,"WO","P"))</f>
        <v>P</v>
      </c>
      <c r="AE8" s="4" t="str">
        <f>IFERROR(LOOKUP(2,1/((lentry!$A$3:$A$3999=aug!$A8)*(lentry!$B$3:$B$3999&lt;=aug!AE$3)*(lentry!$C$3:$C$3999&gt;=aug!AE$3)),lentry!$D$3:$D$3999),IF(WEEKDAY(AE$3,1)=1,"WO","P"))</f>
        <v>P</v>
      </c>
      <c r="AF8" s="4" t="str">
        <f>IFERROR(LOOKUP(2,1/((lentry!$A$3:$A$3999=aug!$A8)*(lentry!$B$3:$B$3999&lt;=aug!AF$3)*(lentry!$C$3:$C$3999&gt;=aug!AF$3)),lentry!$D$3:$D$3999),IF(WEEKDAY(AF$3,1)=1,"WO","P"))</f>
        <v>P</v>
      </c>
      <c r="AG8" s="4" t="str">
        <f>IFERROR(LOOKUP(2,1/((lentry!$A$3:$A$3999=aug!$A8)*(lentry!$B$3:$B$3999&lt;=aug!AG$3)*(lentry!$C$3:$C$3999&gt;=aug!AG$3)),lentry!$D$3:$D$3999),IF(WEEKDAY(AG$3,1)=1,"WO","P"))</f>
        <v>P</v>
      </c>
      <c r="AH8" s="4" t="str">
        <f>IFERROR(LOOKUP(2,1/((lentry!$A$3:$A$3999=aug!$A8)*(lentry!$B$3:$B$3999&lt;=aug!AH$3)*(lentry!$C$3:$C$3999&gt;=aug!AH$3)),lentry!$D$3:$D$3999),IF(WEEKDAY(AH$3,1)=1,"WO","P"))</f>
        <v>P</v>
      </c>
      <c r="AI8" s="4" t="s">
        <v>342</v>
      </c>
      <c r="AJ8" s="4" t="str">
        <f>IFERROR(LOOKUP(2,1/((lentry!$A$3:$A$3999=aug!$A8)*(lentry!$B$3:$B$3999&lt;=aug!AJ$3)*(lentry!$C$3:$C$3999&gt;=aug!AJ$3)),lentry!$D$3:$D$3999),IF(WEEKDAY(AJ$3,1)=1,"WO","P"))</f>
        <v>P</v>
      </c>
      <c r="AK8" s="4">
        <f>COUNTIF(aug!$F8:$AJ8,"WO")</f>
        <v>5</v>
      </c>
      <c r="AL8" s="4">
        <f>COUNTIF(aug!$F8:$AJ8,"H")</f>
        <v>1</v>
      </c>
      <c r="AM8" s="4">
        <f>COUNTIF(aug!$F8:$AJ8,"pl")</f>
        <v>0</v>
      </c>
      <c r="AN8" s="4">
        <f>COUNTIF(aug!$F8:$AJ8,"LWP")</f>
        <v>0</v>
      </c>
      <c r="AO8" s="4">
        <f>COUNTIF(aug!$F8:$AJ8,"HD")</f>
        <v>0</v>
      </c>
      <c r="AP8" s="4">
        <f>COUNTIF(aug!$F8:$AJ8,"SL")</f>
        <v>0</v>
      </c>
      <c r="AQ8" s="4">
        <f>COUNTIF(aug!$F8:$AJ8,"CL")</f>
        <v>0</v>
      </c>
      <c r="AR8" s="4">
        <f>COUNTIF(aug!$F8:$AJ8,"A")</f>
        <v>2</v>
      </c>
      <c r="AS8" s="4">
        <f>COUNTIF(aug!$F8:$AJ8,"P")</f>
        <v>23</v>
      </c>
      <c r="AT8" s="4">
        <f t="shared" si="2"/>
        <v>31</v>
      </c>
      <c r="AU8" s="4">
        <f t="shared" si="3"/>
        <v>29</v>
      </c>
    </row>
    <row r="9" spans="1:79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IFERROR(LOOKUP(2,1/((lentry!$A$3:$A$3999=aug!$A9)*(lentry!$B$3:$B$3999&lt;=aug!F$3)*(lentry!$C$3:$C$3999&gt;=aug!F$3)),lentry!$D$3:$D$3999),IF(WEEKDAY(F$3,1)=1,"WO","P"))</f>
        <v>CL</v>
      </c>
      <c r="G9" s="4" t="s">
        <v>342</v>
      </c>
      <c r="H9" s="4" t="str">
        <f>IFERROR(LOOKUP(2,1/((lentry!$A$3:$A$3999=aug!$A9)*(lentry!$B$3:$B$3999&lt;=aug!H$3)*(lentry!$C$3:$C$3999&gt;=aug!H$3)),lentry!$D$3:$D$3999),IF(WEEKDAY(H$3,1)=1,"WO","P"))</f>
        <v>P</v>
      </c>
      <c r="I9" s="4" t="str">
        <f>IFERROR(LOOKUP(2,1/((lentry!$A$3:$A$3999=aug!$A9)*(lentry!$B$3:$B$3999&lt;=aug!I$3)*(lentry!$C$3:$C$3999&gt;=aug!I$3)),lentry!$D$3:$D$3999),IF(WEEKDAY(I$3,1)=1,"WO","P"))</f>
        <v>P</v>
      </c>
      <c r="J9" s="4" t="str">
        <f>IFERROR(LOOKUP(2,1/((lentry!$A$3:$A$3999=aug!$A9)*(lentry!$B$3:$B$3999&lt;=aug!J$3)*(lentry!$C$3:$C$3999&gt;=aug!J$3)),lentry!$D$3:$D$3999),IF(WEEKDAY(J$3,1)=1,"WO","P"))</f>
        <v>P</v>
      </c>
      <c r="K9" s="4" t="str">
        <f>IFERROR(LOOKUP(2,1/((lentry!$A$3:$A$3999=aug!$A9)*(lentry!$B$3:$B$3999&lt;=aug!K$3)*(lentry!$C$3:$C$3999&gt;=aug!K$3)),lentry!$D$3:$D$3999),IF(WEEKDAY(K$3,1)=1,"WO","P"))</f>
        <v>P</v>
      </c>
      <c r="L9" s="4" t="str">
        <f>IFERROR(LOOKUP(2,1/((lentry!$A$3:$A$3999=aug!$A9)*(lentry!$B$3:$B$3999&lt;=aug!L$3)*(lentry!$C$3:$C$3999&gt;=aug!L$3)),lentry!$D$3:$D$3999),IF(WEEKDAY(L$3,1)=1,"WO","P"))</f>
        <v>P</v>
      </c>
      <c r="M9" s="4" t="str">
        <f>IFERROR(LOOKUP(2,1/((lentry!$A$3:$A$3999=aug!$A9)*(lentry!$B$3:$B$3999&lt;=aug!M$3)*(lentry!$C$3:$C$3999&gt;=aug!M$3)),lentry!$D$3:$D$3999),IF(WEEKDAY(M$3,1)=1,"WO","P"))</f>
        <v>P</v>
      </c>
      <c r="N9" s="4" t="s">
        <v>342</v>
      </c>
      <c r="O9" s="4" t="str">
        <f>IFERROR(LOOKUP(2,1/((lentry!$A$3:$A$3999=aug!$A9)*(lentry!$B$3:$B$3999&lt;=aug!O$3)*(lentry!$C$3:$C$3999&gt;=aug!O$3)),lentry!$D$3:$D$3999),IF(WEEKDAY(O$3,1)=1,"WO","P"))</f>
        <v>P</v>
      </c>
      <c r="P9" s="4" t="str">
        <f>IFERROR(LOOKUP(2,1/((lentry!$A$3:$A$3999=aug!$A9)*(lentry!$B$3:$B$3999&lt;=aug!P$3)*(lentry!$C$3:$C$3999&gt;=aug!P$3)),lentry!$D$3:$D$3999),IF(WEEKDAY(P$3,1)=1,"WO","P"))</f>
        <v>P</v>
      </c>
      <c r="Q9" s="4" t="str">
        <f>IFERROR(LOOKUP(2,1/((lentry!$A$3:$A$3999=aug!$A9)*(lentry!$B$3:$B$3999&lt;=aug!Q$3)*(lentry!$C$3:$C$3999&gt;=aug!Q$3)),lentry!$D$3:$D$3999),IF(WEEKDAY(Q$3,1)=1,"WO","P"))</f>
        <v>P</v>
      </c>
      <c r="R9" s="4" t="str">
        <f>IFERROR(LOOKUP(2,1/((lentry!$A$3:$A$3999=aug!$A9)*(lentry!$B$3:$B$3999&lt;=aug!R$3)*(lentry!$C$3:$C$3999&gt;=aug!R$3)),lentry!$D$3:$D$3999),IF(WEEKDAY(R$3,1)=1,"WO","P"))</f>
        <v>P</v>
      </c>
      <c r="S9" s="4" t="str">
        <f>IFERROR(LOOKUP(2,1/((lentry!$A$3:$A$3999=aug!$A9)*(lentry!$B$3:$B$3999&lt;=aug!S$3)*(lentry!$C$3:$C$3999&gt;=aug!S$3)),lentry!$D$3:$D$3999),IF(WEEKDAY(S$3,1)=1,"WO","P"))</f>
        <v>P</v>
      </c>
      <c r="T9" s="4" t="s">
        <v>350</v>
      </c>
      <c r="U9" s="4" t="s">
        <v>342</v>
      </c>
      <c r="V9" s="4" t="str">
        <f>IFERROR(LOOKUP(2,1/((lentry!$A$3:$A$3999=aug!$A9)*(lentry!$B$3:$B$3999&lt;=aug!V$3)*(lentry!$C$3:$C$3999&gt;=aug!V$3)),lentry!$D$3:$D$3999),IF(WEEKDAY(V$3,1)=1,"WO","P"))</f>
        <v>P</v>
      </c>
      <c r="W9" s="4" t="str">
        <f>IFERROR(LOOKUP(2,1/((lentry!$A$3:$A$3999=aug!$A9)*(lentry!$B$3:$B$3999&lt;=aug!W$3)*(lentry!$C$3:$C$3999&gt;=aug!W$3)),lentry!$D$3:$D$3999),IF(WEEKDAY(W$3,1)=1,"WO","P"))</f>
        <v>P</v>
      </c>
      <c r="X9" s="4" t="s">
        <v>539</v>
      </c>
      <c r="Y9" s="4" t="str">
        <f>IFERROR(LOOKUP(2,1/((lentry!$A$3:$A$3999=aug!$A9)*(lentry!$B$3:$B$3999&lt;=aug!Y$3)*(lentry!$C$3:$C$3999&gt;=aug!Y$3)),lentry!$D$3:$D$3999),IF(WEEKDAY(Y$3,1)=1,"WO","P"))</f>
        <v>P</v>
      </c>
      <c r="Z9" s="4" t="str">
        <f>IFERROR(LOOKUP(2,1/((lentry!$A$3:$A$3999=aug!$A9)*(lentry!$B$3:$B$3999&lt;=aug!Z$3)*(lentry!$C$3:$C$3999&gt;=aug!Z$3)),lentry!$D$3:$D$3999),IF(WEEKDAY(Z$3,1)=1,"WO","P"))</f>
        <v>P</v>
      </c>
      <c r="AA9" s="4" t="str">
        <f>IFERROR(LOOKUP(2,1/((lentry!$A$3:$A$3999=aug!$A9)*(lentry!$B$3:$B$3999&lt;=aug!AA$3)*(lentry!$C$3:$C$3999&gt;=aug!AA$3)),lentry!$D$3:$D$3999),IF(WEEKDAY(AA$3,1)=1,"WO","P"))</f>
        <v>P</v>
      </c>
      <c r="AB9" s="4" t="s">
        <v>342</v>
      </c>
      <c r="AC9" s="4" t="str">
        <f>IFERROR(LOOKUP(2,1/((lentry!$A$3:$A$3999=aug!$A9)*(lentry!$B$3:$B$3999&lt;=aug!AC$3)*(lentry!$C$3:$C$3999&gt;=aug!AC$3)),lentry!$D$3:$D$3999),IF(WEEKDAY(AC$3,1)=1,"WO","P"))</f>
        <v>P</v>
      </c>
      <c r="AD9" s="4" t="str">
        <f>IFERROR(LOOKUP(2,1/((lentry!$A$3:$A$3999=aug!$A9)*(lentry!$B$3:$B$3999&lt;=aug!AD$3)*(lentry!$C$3:$C$3999&gt;=aug!AD$3)),lentry!$D$3:$D$3999),IF(WEEKDAY(AD$3,1)=1,"WO","P"))</f>
        <v>P</v>
      </c>
      <c r="AE9" s="4" t="str">
        <f>IFERROR(LOOKUP(2,1/((lentry!$A$3:$A$3999=aug!$A9)*(lentry!$B$3:$B$3999&lt;=aug!AE$3)*(lentry!$C$3:$C$3999&gt;=aug!AE$3)),lentry!$D$3:$D$3999),IF(WEEKDAY(AE$3,1)=1,"WO","P"))</f>
        <v>P</v>
      </c>
      <c r="AF9" s="4" t="str">
        <f>IFERROR(LOOKUP(2,1/((lentry!$A$3:$A$3999=aug!$A9)*(lentry!$B$3:$B$3999&lt;=aug!AF$3)*(lentry!$C$3:$C$3999&gt;=aug!AF$3)),lentry!$D$3:$D$3999),IF(WEEKDAY(AF$3,1)=1,"WO","P"))</f>
        <v>P</v>
      </c>
      <c r="AG9" s="4" t="str">
        <f>IFERROR(LOOKUP(2,1/((lentry!$A$3:$A$3999=aug!$A9)*(lentry!$B$3:$B$3999&lt;=aug!AG$3)*(lentry!$C$3:$C$3999&gt;=aug!AG$3)),lentry!$D$3:$D$3999),IF(WEEKDAY(AG$3,1)=1,"WO","P"))</f>
        <v>P</v>
      </c>
      <c r="AH9" s="4" t="str">
        <f>IFERROR(LOOKUP(2,1/((lentry!$A$3:$A$3999=aug!$A9)*(lentry!$B$3:$B$3999&lt;=aug!AH$3)*(lentry!$C$3:$C$3999&gt;=aug!AH$3)),lentry!$D$3:$D$3999),IF(WEEKDAY(AH$3,1)=1,"WO","P"))</f>
        <v>P</v>
      </c>
      <c r="AI9" s="4" t="s">
        <v>342</v>
      </c>
      <c r="AJ9" s="4" t="str">
        <f>IFERROR(LOOKUP(2,1/((lentry!$A$3:$A$3999=aug!$A9)*(lentry!$B$3:$B$3999&lt;=aug!AJ$3)*(lentry!$C$3:$C$3999&gt;=aug!AJ$3)),lentry!$D$3:$D$3999),IF(WEEKDAY(AJ$3,1)=1,"WO","P"))</f>
        <v>P</v>
      </c>
      <c r="AK9" s="4">
        <f>COUNTIF(aug!$F9:$AJ9,"WO")</f>
        <v>5</v>
      </c>
      <c r="AL9" s="4">
        <f>COUNTIF(aug!$F9:$AJ9,"H")</f>
        <v>1</v>
      </c>
      <c r="AM9" s="4">
        <f>COUNTIF(aug!$F9:$AJ9,"pl")</f>
        <v>0</v>
      </c>
      <c r="AN9" s="4">
        <f>COUNTIF(aug!$F9:$AJ9,"LWP")</f>
        <v>0</v>
      </c>
      <c r="AO9" s="4">
        <f>COUNTIF(aug!$F9:$AJ9,"HD")</f>
        <v>0</v>
      </c>
      <c r="AP9" s="4">
        <f>COUNTIF(aug!$F9:$AJ9,"SL")</f>
        <v>0</v>
      </c>
      <c r="AQ9" s="4">
        <f>COUNTIF(aug!$F9:$AJ9,"CL")</f>
        <v>1</v>
      </c>
      <c r="AR9" s="4">
        <f>COUNTIF(aug!$F9:$AJ9,"A")</f>
        <v>1</v>
      </c>
      <c r="AS9" s="4">
        <f>COUNTIF(aug!$F9:$AJ9,"P")</f>
        <v>23</v>
      </c>
      <c r="AT9" s="4">
        <f t="shared" si="2"/>
        <v>31</v>
      </c>
      <c r="AU9" s="4">
        <f t="shared" si="3"/>
        <v>30</v>
      </c>
    </row>
    <row r="10" spans="1:79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IFERROR(LOOKUP(2,1/((lentry!$A$3:$A$3999=aug!$A10)*(lentry!$B$3:$B$3999&lt;=aug!F$3)*(lentry!$C$3:$C$3999&gt;=aug!F$3)),lentry!$D$3:$D$3999),IF(WEEKDAY(F$3,1)=1,"WO","P"))</f>
        <v>P</v>
      </c>
      <c r="G10" s="4" t="s">
        <v>342</v>
      </c>
      <c r="H10" s="4" t="str">
        <f>IFERROR(LOOKUP(2,1/((lentry!$A$3:$A$3999=aug!$A10)*(lentry!$B$3:$B$3999&lt;=aug!H$3)*(lentry!$C$3:$C$3999&gt;=aug!H$3)),lentry!$D$3:$D$3999),IF(WEEKDAY(H$3,1)=1,"WO","P"))</f>
        <v>SL</v>
      </c>
      <c r="I10" s="4" t="str">
        <f>IFERROR(LOOKUP(2,1/((lentry!$A$3:$A$3999=aug!$A10)*(lentry!$B$3:$B$3999&lt;=aug!I$3)*(lentry!$C$3:$C$3999&gt;=aug!I$3)),lentry!$D$3:$D$3999),IF(WEEKDAY(I$3,1)=1,"WO","P"))</f>
        <v>SL</v>
      </c>
      <c r="J10" s="4" t="str">
        <f>IFERROR(LOOKUP(2,1/((lentry!$A$3:$A$3999=aug!$A10)*(lentry!$B$3:$B$3999&lt;=aug!J$3)*(lentry!$C$3:$C$3999&gt;=aug!J$3)),lentry!$D$3:$D$3999),IF(WEEKDAY(J$3,1)=1,"WO","P"))</f>
        <v>P</v>
      </c>
      <c r="K10" s="4" t="str">
        <f>IFERROR(LOOKUP(2,1/((lentry!$A$3:$A$3999=aug!$A10)*(lentry!$B$3:$B$3999&lt;=aug!K$3)*(lentry!$C$3:$C$3999&gt;=aug!K$3)),lentry!$D$3:$D$3999),IF(WEEKDAY(K$3,1)=1,"WO","P"))</f>
        <v>P</v>
      </c>
      <c r="L10" s="4" t="str">
        <f>IFERROR(LOOKUP(2,1/((lentry!$A$3:$A$3999=aug!$A10)*(lentry!$B$3:$B$3999&lt;=aug!L$3)*(lentry!$C$3:$C$3999&gt;=aug!L$3)),lentry!$D$3:$D$3999),IF(WEEKDAY(L$3,1)=1,"WO","P"))</f>
        <v>P</v>
      </c>
      <c r="M10" s="4" t="str">
        <f>IFERROR(LOOKUP(2,1/((lentry!$A$3:$A$3999=aug!$A10)*(lentry!$B$3:$B$3999&lt;=aug!M$3)*(lentry!$C$3:$C$3999&gt;=aug!M$3)),lentry!$D$3:$D$3999),IF(WEEKDAY(M$3,1)=1,"WO","P"))</f>
        <v>P</v>
      </c>
      <c r="N10" s="4" t="s">
        <v>342</v>
      </c>
      <c r="O10" s="4" t="str">
        <f>IFERROR(LOOKUP(2,1/((lentry!$A$3:$A$3999=aug!$A10)*(lentry!$B$3:$B$3999&lt;=aug!O$3)*(lentry!$C$3:$C$3999&gt;=aug!O$3)),lentry!$D$3:$D$3999),IF(WEEKDAY(O$3,1)=1,"WO","P"))</f>
        <v>P</v>
      </c>
      <c r="P10" s="4" t="str">
        <f>IFERROR(LOOKUP(2,1/((lentry!$A$3:$A$3999=aug!$A10)*(lentry!$B$3:$B$3999&lt;=aug!P$3)*(lentry!$C$3:$C$3999&gt;=aug!P$3)),lentry!$D$3:$D$3999),IF(WEEKDAY(P$3,1)=1,"WO","P"))</f>
        <v>P</v>
      </c>
      <c r="Q10" s="4" t="str">
        <f>IFERROR(LOOKUP(2,1/((lentry!$A$3:$A$3999=aug!$A10)*(lentry!$B$3:$B$3999&lt;=aug!Q$3)*(lentry!$C$3:$C$3999&gt;=aug!Q$3)),lentry!$D$3:$D$3999),IF(WEEKDAY(Q$3,1)=1,"WO","P"))</f>
        <v>P</v>
      </c>
      <c r="R10" s="4" t="str">
        <f>IFERROR(LOOKUP(2,1/((lentry!$A$3:$A$3999=aug!$A10)*(lentry!$B$3:$B$3999&lt;=aug!R$3)*(lentry!$C$3:$C$3999&gt;=aug!R$3)),lentry!$D$3:$D$3999),IF(WEEKDAY(R$3,1)=1,"WO","P"))</f>
        <v>P</v>
      </c>
      <c r="S10" s="4" t="str">
        <f>IFERROR(LOOKUP(2,1/((lentry!$A$3:$A$3999=aug!$A10)*(lentry!$B$3:$B$3999&lt;=aug!S$3)*(lentry!$C$3:$C$3999&gt;=aug!S$3)),lentry!$D$3:$D$3999),IF(WEEKDAY(S$3,1)=1,"WO","P"))</f>
        <v>P</v>
      </c>
      <c r="T10" s="4" t="s">
        <v>350</v>
      </c>
      <c r="U10" s="4" t="s">
        <v>342</v>
      </c>
      <c r="V10" s="4" t="str">
        <f>IFERROR(LOOKUP(2,1/((lentry!$A$3:$A$3999=aug!$A10)*(lentry!$B$3:$B$3999&lt;=aug!V$3)*(lentry!$C$3:$C$3999&gt;=aug!V$3)),lentry!$D$3:$D$3999),IF(WEEKDAY(V$3,1)=1,"WO","P"))</f>
        <v>P</v>
      </c>
      <c r="W10" s="4" t="str">
        <f>IFERROR(LOOKUP(2,1/((lentry!$A$3:$A$3999=aug!$A10)*(lentry!$B$3:$B$3999&lt;=aug!W$3)*(lentry!$C$3:$C$3999&gt;=aug!W$3)),lentry!$D$3:$D$3999),IF(WEEKDAY(W$3,1)=1,"WO","P"))</f>
        <v>P</v>
      </c>
      <c r="X10" s="4" t="str">
        <f>IFERROR(LOOKUP(2,1/((lentry!$A$3:$A$3999=aug!$A10)*(lentry!$B$3:$B$3999&lt;=aug!X$3)*(lentry!$C$3:$C$3999&gt;=aug!X$3)),lentry!$D$3:$D$3999),IF(WEEKDAY(X$3,1)=1,"WO","P"))</f>
        <v>P</v>
      </c>
      <c r="Y10" s="4" t="str">
        <f>IFERROR(LOOKUP(2,1/((lentry!$A$3:$A$3999=aug!$A10)*(lentry!$B$3:$B$3999&lt;=aug!Y$3)*(lentry!$C$3:$C$3999&gt;=aug!Y$3)),lentry!$D$3:$D$3999),IF(WEEKDAY(Y$3,1)=1,"WO","P"))</f>
        <v>P</v>
      </c>
      <c r="Z10" s="4" t="str">
        <f>IFERROR(LOOKUP(2,1/((lentry!$A$3:$A$3999=aug!$A10)*(lentry!$B$3:$B$3999&lt;=aug!Z$3)*(lentry!$C$3:$C$3999&gt;=aug!Z$3)),lentry!$D$3:$D$3999),IF(WEEKDAY(Z$3,1)=1,"WO","P"))</f>
        <v>P</v>
      </c>
      <c r="AA10" s="4" t="str">
        <f>IFERROR(LOOKUP(2,1/((lentry!$A$3:$A$3999=aug!$A10)*(lentry!$B$3:$B$3999&lt;=aug!AA$3)*(lentry!$C$3:$C$3999&gt;=aug!AA$3)),lentry!$D$3:$D$3999),IF(WEEKDAY(AA$3,1)=1,"WO","P"))</f>
        <v>P</v>
      </c>
      <c r="AB10" s="4" t="s">
        <v>342</v>
      </c>
      <c r="AC10" s="4" t="str">
        <f>IFERROR(LOOKUP(2,1/((lentry!$A$3:$A$3999=aug!$A10)*(lentry!$B$3:$B$3999&lt;=aug!AC$3)*(lentry!$C$3:$C$3999&gt;=aug!AC$3)),lentry!$D$3:$D$3999),IF(WEEKDAY(AC$3,1)=1,"WO","P"))</f>
        <v>P</v>
      </c>
      <c r="AD10" s="4" t="str">
        <f>IFERROR(LOOKUP(2,1/((lentry!$A$3:$A$3999=aug!$A10)*(lentry!$B$3:$B$3999&lt;=aug!AD$3)*(lentry!$C$3:$C$3999&gt;=aug!AD$3)),lentry!$D$3:$D$3999),IF(WEEKDAY(AD$3,1)=1,"WO","P"))</f>
        <v>P</v>
      </c>
      <c r="AE10" s="4" t="str">
        <f>IFERROR(LOOKUP(2,1/((lentry!$A$3:$A$3999=aug!$A10)*(lentry!$B$3:$B$3999&lt;=aug!AE$3)*(lentry!$C$3:$C$3999&gt;=aug!AE$3)),lentry!$D$3:$D$3999),IF(WEEKDAY(AE$3,1)=1,"WO","P"))</f>
        <v>P</v>
      </c>
      <c r="AF10" s="4" t="str">
        <f>IFERROR(LOOKUP(2,1/((lentry!$A$3:$A$3999=aug!$A10)*(lentry!$B$3:$B$3999&lt;=aug!AF$3)*(lentry!$C$3:$C$3999&gt;=aug!AF$3)),lentry!$D$3:$D$3999),IF(WEEKDAY(AF$3,1)=1,"WO","P"))</f>
        <v>P</v>
      </c>
      <c r="AG10" s="4" t="str">
        <f>IFERROR(LOOKUP(2,1/((lentry!$A$3:$A$3999=aug!$A10)*(lentry!$B$3:$B$3999&lt;=aug!AG$3)*(lentry!$C$3:$C$3999&gt;=aug!AG$3)),lentry!$D$3:$D$3999),IF(WEEKDAY(AG$3,1)=1,"WO","P"))</f>
        <v>P</v>
      </c>
      <c r="AH10" s="4" t="str">
        <f>IFERROR(LOOKUP(2,1/((lentry!$A$3:$A$3999=aug!$A10)*(lentry!$B$3:$B$3999&lt;=aug!AH$3)*(lentry!$C$3:$C$3999&gt;=aug!AH$3)),lentry!$D$3:$D$3999),IF(WEEKDAY(AH$3,1)=1,"WO","P"))</f>
        <v>P</v>
      </c>
      <c r="AI10" s="4" t="s">
        <v>342</v>
      </c>
      <c r="AJ10" s="4" t="str">
        <f>IFERROR(LOOKUP(2,1/((lentry!$A$3:$A$3999=aug!$A10)*(lentry!$B$3:$B$3999&lt;=aug!AJ$3)*(lentry!$C$3:$C$3999&gt;=aug!AJ$3)),lentry!$D$3:$D$3999),IF(WEEKDAY(AJ$3,1)=1,"WO","P"))</f>
        <v>P</v>
      </c>
      <c r="AK10" s="4">
        <f>COUNTIF(aug!$F10:$AJ10,"WO")</f>
        <v>5</v>
      </c>
      <c r="AL10" s="4">
        <f>COUNTIF(aug!$F10:$AJ10,"H")</f>
        <v>1</v>
      </c>
      <c r="AM10" s="4">
        <f>COUNTIF(aug!$F10:$AJ10,"pl")</f>
        <v>0</v>
      </c>
      <c r="AN10" s="4">
        <f>COUNTIF(aug!$F10:$AJ10,"LWP")</f>
        <v>0</v>
      </c>
      <c r="AO10" s="4">
        <f>COUNTIF(aug!$F10:$AJ10,"HD")</f>
        <v>0</v>
      </c>
      <c r="AP10" s="4">
        <f>COUNTIF(aug!$F10:$AJ10,"SL")</f>
        <v>2</v>
      </c>
      <c r="AQ10" s="4">
        <f>COUNTIF(aug!$F10:$AJ10,"CL")</f>
        <v>0</v>
      </c>
      <c r="AR10" s="4">
        <f>COUNTIF(aug!$F10:$AJ10,"A")</f>
        <v>0</v>
      </c>
      <c r="AS10" s="4">
        <f>COUNTIF(aug!$F10:$AJ10,"P")</f>
        <v>23</v>
      </c>
      <c r="AT10" s="4">
        <f t="shared" si="2"/>
        <v>31</v>
      </c>
      <c r="AU10" s="4">
        <f t="shared" si="3"/>
        <v>31</v>
      </c>
    </row>
    <row r="11" spans="1:79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IFERROR(LOOKUP(2,1/((lentry!$A$3:$A$3999=aug!$A11)*(lentry!$B$3:$B$3999&lt;=aug!F$3)*(lentry!$C$3:$C$3999&gt;=aug!F$3)),lentry!$D$3:$D$3999),IF(WEEKDAY(F$3,1)=1,"WO","P"))</f>
        <v>P</v>
      </c>
      <c r="G11" s="4" t="s">
        <v>342</v>
      </c>
      <c r="H11" s="4" t="str">
        <f>IFERROR(LOOKUP(2,1/((lentry!$A$3:$A$3999=aug!$A11)*(lentry!$B$3:$B$3999&lt;=aug!H$3)*(lentry!$C$3:$C$3999&gt;=aug!H$3)),lentry!$D$3:$D$3999),IF(WEEKDAY(H$3,1)=1,"WO","P"))</f>
        <v>P</v>
      </c>
      <c r="I11" s="4" t="str">
        <f>IFERROR(LOOKUP(2,1/((lentry!$A$3:$A$3999=aug!$A11)*(lentry!$B$3:$B$3999&lt;=aug!I$3)*(lentry!$C$3:$C$3999&gt;=aug!I$3)),lentry!$D$3:$D$3999),IF(WEEKDAY(I$3,1)=1,"WO","P"))</f>
        <v>P</v>
      </c>
      <c r="J11" s="4" t="str">
        <f>IFERROR(LOOKUP(2,1/((lentry!$A$3:$A$3999=aug!$A11)*(lentry!$B$3:$B$3999&lt;=aug!J$3)*(lentry!$C$3:$C$3999&gt;=aug!J$3)),lentry!$D$3:$D$3999),IF(WEEKDAY(J$3,1)=1,"WO","P"))</f>
        <v>P</v>
      </c>
      <c r="K11" s="4" t="str">
        <f>IFERROR(LOOKUP(2,1/((lentry!$A$3:$A$3999=aug!$A11)*(lentry!$B$3:$B$3999&lt;=aug!K$3)*(lentry!$C$3:$C$3999&gt;=aug!K$3)),lentry!$D$3:$D$3999),IF(WEEKDAY(K$3,1)=1,"WO","P"))</f>
        <v>P</v>
      </c>
      <c r="L11" s="4" t="str">
        <f>IFERROR(LOOKUP(2,1/((lentry!$A$3:$A$3999=aug!$A11)*(lentry!$B$3:$B$3999&lt;=aug!L$3)*(lentry!$C$3:$C$3999&gt;=aug!L$3)),lentry!$D$3:$D$3999),IF(WEEKDAY(L$3,1)=1,"WO","P"))</f>
        <v>P</v>
      </c>
      <c r="M11" s="4" t="str">
        <f>IFERROR(LOOKUP(2,1/((lentry!$A$3:$A$3999=aug!$A11)*(lentry!$B$3:$B$3999&lt;=aug!M$3)*(lentry!$C$3:$C$3999&gt;=aug!M$3)),lentry!$D$3:$D$3999),IF(WEEKDAY(M$3,1)=1,"WO","P"))</f>
        <v>P</v>
      </c>
      <c r="N11" s="4" t="s">
        <v>342</v>
      </c>
      <c r="O11" s="4" t="str">
        <f>IFERROR(LOOKUP(2,1/((lentry!$A$3:$A$3999=aug!$A11)*(lentry!$B$3:$B$3999&lt;=aug!O$3)*(lentry!$C$3:$C$3999&gt;=aug!O$3)),lentry!$D$3:$D$3999),IF(WEEKDAY(O$3,1)=1,"WO","P"))</f>
        <v>LWP</v>
      </c>
      <c r="P11" s="4" t="str">
        <f>IFERROR(LOOKUP(2,1/((lentry!$A$3:$A$3999=aug!$A11)*(lentry!$B$3:$B$3999&lt;=aug!P$3)*(lentry!$C$3:$C$3999&gt;=aug!P$3)),lentry!$D$3:$D$3999),IF(WEEKDAY(P$3,1)=1,"WO","P"))</f>
        <v>LWP</v>
      </c>
      <c r="Q11" s="4" t="str">
        <f>IFERROR(LOOKUP(2,1/((lentry!$A$3:$A$3999=aug!$A11)*(lentry!$B$3:$B$3999&lt;=aug!Q$3)*(lentry!$C$3:$C$3999&gt;=aug!Q$3)),lentry!$D$3:$D$3999),IF(WEEKDAY(Q$3,1)=1,"WO","P"))</f>
        <v>P</v>
      </c>
      <c r="R11" s="4" t="str">
        <f>IFERROR(LOOKUP(2,1/((lentry!$A$3:$A$3999=aug!$A11)*(lentry!$B$3:$B$3999&lt;=aug!R$3)*(lentry!$C$3:$C$3999&gt;=aug!R$3)),lentry!$D$3:$D$3999),IF(WEEKDAY(R$3,1)=1,"WO","P"))</f>
        <v>P</v>
      </c>
      <c r="S11" s="4" t="str">
        <f>IFERROR(LOOKUP(2,1/((lentry!$A$3:$A$3999=aug!$A11)*(lentry!$B$3:$B$3999&lt;=aug!S$3)*(lentry!$C$3:$C$3999&gt;=aug!S$3)),lentry!$D$3:$D$3999),IF(WEEKDAY(S$3,1)=1,"WO","P"))</f>
        <v>P</v>
      </c>
      <c r="T11" s="4" t="s">
        <v>350</v>
      </c>
      <c r="U11" s="4" t="s">
        <v>342</v>
      </c>
      <c r="V11" s="4" t="str">
        <f>IFERROR(LOOKUP(2,1/((lentry!$A$3:$A$3999=aug!$A11)*(lentry!$B$3:$B$3999&lt;=aug!V$3)*(lentry!$C$3:$C$3999&gt;=aug!V$3)),lentry!$D$3:$D$3999),IF(WEEKDAY(V$3,1)=1,"WO","P"))</f>
        <v>P</v>
      </c>
      <c r="W11" s="4" t="str">
        <f>IFERROR(LOOKUP(2,1/((lentry!$A$3:$A$3999=aug!$A11)*(lentry!$B$3:$B$3999&lt;=aug!W$3)*(lentry!$C$3:$C$3999&gt;=aug!W$3)),lentry!$D$3:$D$3999),IF(WEEKDAY(W$3,1)=1,"WO","P"))</f>
        <v>P</v>
      </c>
      <c r="X11" s="4" t="str">
        <f>IFERROR(LOOKUP(2,1/((lentry!$A$3:$A$3999=aug!$A11)*(lentry!$B$3:$B$3999&lt;=aug!X$3)*(lentry!$C$3:$C$3999&gt;=aug!X$3)),lentry!$D$3:$D$3999),IF(WEEKDAY(X$3,1)=1,"WO","P"))</f>
        <v>P</v>
      </c>
      <c r="Y11" s="4" t="str">
        <f>IFERROR(LOOKUP(2,1/((lentry!$A$3:$A$3999=aug!$A11)*(lentry!$B$3:$B$3999&lt;=aug!Y$3)*(lentry!$C$3:$C$3999&gt;=aug!Y$3)),lentry!$D$3:$D$3999),IF(WEEKDAY(Y$3,1)=1,"WO","P"))</f>
        <v>P</v>
      </c>
      <c r="Z11" s="4" t="str">
        <f>IFERROR(LOOKUP(2,1/((lentry!$A$3:$A$3999=aug!$A11)*(lentry!$B$3:$B$3999&lt;=aug!Z$3)*(lentry!$C$3:$C$3999&gt;=aug!Z$3)),lentry!$D$3:$D$3999),IF(WEEKDAY(Z$3,1)=1,"WO","P"))</f>
        <v>P</v>
      </c>
      <c r="AA11" s="4" t="str">
        <f>IFERROR(LOOKUP(2,1/((lentry!$A$3:$A$3999=aug!$A11)*(lentry!$B$3:$B$3999&lt;=aug!AA$3)*(lentry!$C$3:$C$3999&gt;=aug!AA$3)),lentry!$D$3:$D$3999),IF(WEEKDAY(AA$3,1)=1,"WO","P"))</f>
        <v>P</v>
      </c>
      <c r="AB11" s="4" t="s">
        <v>342</v>
      </c>
      <c r="AC11" s="4" t="str">
        <f>IFERROR(LOOKUP(2,1/((lentry!$A$3:$A$3999=aug!$A11)*(lentry!$B$3:$B$3999&lt;=aug!AC$3)*(lentry!$C$3:$C$3999&gt;=aug!AC$3)),lentry!$D$3:$D$3999),IF(WEEKDAY(AC$3,1)=1,"WO","P"))</f>
        <v>P</v>
      </c>
      <c r="AD11" s="4" t="str">
        <f>IFERROR(LOOKUP(2,1/((lentry!$A$3:$A$3999=aug!$A11)*(lentry!$B$3:$B$3999&lt;=aug!AD$3)*(lentry!$C$3:$C$3999&gt;=aug!AD$3)),lentry!$D$3:$D$3999),IF(WEEKDAY(AD$3,1)=1,"WO","P"))</f>
        <v>P</v>
      </c>
      <c r="AE11" s="4" t="str">
        <f>IFERROR(LOOKUP(2,1/((lentry!$A$3:$A$3999=aug!$A11)*(lentry!$B$3:$B$3999&lt;=aug!AE$3)*(lentry!$C$3:$C$3999&gt;=aug!AE$3)),lentry!$D$3:$D$3999),IF(WEEKDAY(AE$3,1)=1,"WO","P"))</f>
        <v>P</v>
      </c>
      <c r="AF11" s="4" t="str">
        <f>IFERROR(LOOKUP(2,1/((lentry!$A$3:$A$3999=aug!$A11)*(lentry!$B$3:$B$3999&lt;=aug!AF$3)*(lentry!$C$3:$C$3999&gt;=aug!AF$3)),lentry!$D$3:$D$3999),IF(WEEKDAY(AF$3,1)=1,"WO","P"))</f>
        <v>P</v>
      </c>
      <c r="AG11" s="4" t="str">
        <f>IFERROR(LOOKUP(2,1/((lentry!$A$3:$A$3999=aug!$A11)*(lentry!$B$3:$B$3999&lt;=aug!AG$3)*(lentry!$C$3:$C$3999&gt;=aug!AG$3)),lentry!$D$3:$D$3999),IF(WEEKDAY(AG$3,1)=1,"WO","P"))</f>
        <v>P</v>
      </c>
      <c r="AH11" s="4" t="str">
        <f>IFERROR(LOOKUP(2,1/((lentry!$A$3:$A$3999=aug!$A11)*(lentry!$B$3:$B$3999&lt;=aug!AH$3)*(lentry!$C$3:$C$3999&gt;=aug!AH$3)),lentry!$D$3:$D$3999),IF(WEEKDAY(AH$3,1)=1,"WO","P"))</f>
        <v>P</v>
      </c>
      <c r="AI11" s="4" t="s">
        <v>342</v>
      </c>
      <c r="AJ11" s="4" t="str">
        <f>IFERROR(LOOKUP(2,1/((lentry!$A$3:$A$3999=aug!$A11)*(lentry!$B$3:$B$3999&lt;=aug!AJ$3)*(lentry!$C$3:$C$3999&gt;=aug!AJ$3)),lentry!$D$3:$D$3999),IF(WEEKDAY(AJ$3,1)=1,"WO","P"))</f>
        <v>P</v>
      </c>
      <c r="AK11" s="4">
        <f>COUNTIF(aug!$F11:$AJ11,"WO")</f>
        <v>5</v>
      </c>
      <c r="AL11" s="4">
        <f>COUNTIF(aug!$F11:$AJ11,"H")</f>
        <v>1</v>
      </c>
      <c r="AM11" s="4">
        <f>COUNTIF(aug!$F11:$AJ11,"pl")</f>
        <v>0</v>
      </c>
      <c r="AN11" s="4">
        <f>COUNTIF(aug!$F11:$AJ11,"LWP")</f>
        <v>2</v>
      </c>
      <c r="AO11" s="4">
        <f>COUNTIF(aug!$F11:$AJ11,"HD")</f>
        <v>0</v>
      </c>
      <c r="AP11" s="4">
        <f>COUNTIF(aug!$F11:$AJ11,"SL")</f>
        <v>0</v>
      </c>
      <c r="AQ11" s="4">
        <f>COUNTIF(aug!$F11:$AJ11,"CL")</f>
        <v>0</v>
      </c>
      <c r="AR11" s="4">
        <f>COUNTIF(aug!$F11:$AJ11,"A")</f>
        <v>0</v>
      </c>
      <c r="AS11" s="4">
        <f>COUNTIF(aug!$F11:$AJ11,"P")</f>
        <v>23</v>
      </c>
      <c r="AT11" s="4">
        <f t="shared" si="2"/>
        <v>31</v>
      </c>
      <c r="AU11" s="4">
        <f t="shared" si="3"/>
        <v>29</v>
      </c>
    </row>
    <row r="12" spans="1:79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IFERROR(LOOKUP(2,1/((lentry!$A$3:$A$3999=aug!$A12)*(lentry!$B$3:$B$3999&lt;=aug!F$3)*(lentry!$C$3:$C$3999&gt;=aug!F$3)),lentry!$D$3:$D$3999),IF(WEEKDAY(F$3,1)=1,"WO","P"))</f>
        <v>P</v>
      </c>
      <c r="G12" s="4" t="s">
        <v>342</v>
      </c>
      <c r="H12" s="4" t="str">
        <f>IFERROR(LOOKUP(2,1/((lentry!$A$3:$A$3999=aug!$A12)*(lentry!$B$3:$B$3999&lt;=aug!H$3)*(lentry!$C$3:$C$3999&gt;=aug!H$3)),lentry!$D$3:$D$3999),IF(WEEKDAY(H$3,1)=1,"WO","P"))</f>
        <v>P</v>
      </c>
      <c r="I12" s="4" t="str">
        <f>IFERROR(LOOKUP(2,1/((lentry!$A$3:$A$3999=aug!$A12)*(lentry!$B$3:$B$3999&lt;=aug!I$3)*(lentry!$C$3:$C$3999&gt;=aug!I$3)),lentry!$D$3:$D$3999),IF(WEEKDAY(I$3,1)=1,"WO","P"))</f>
        <v>P</v>
      </c>
      <c r="J12" s="4" t="str">
        <f>IFERROR(LOOKUP(2,1/((lentry!$A$3:$A$3999=aug!$A12)*(lentry!$B$3:$B$3999&lt;=aug!J$3)*(lentry!$C$3:$C$3999&gt;=aug!J$3)),lentry!$D$3:$D$3999),IF(WEEKDAY(J$3,1)=1,"WO","P"))</f>
        <v>P</v>
      </c>
      <c r="K12" s="4" t="str">
        <f>IFERROR(LOOKUP(2,1/((lentry!$A$3:$A$3999=aug!$A12)*(lentry!$B$3:$B$3999&lt;=aug!K$3)*(lentry!$C$3:$C$3999&gt;=aug!K$3)),lentry!$D$3:$D$3999),IF(WEEKDAY(K$3,1)=1,"WO","P"))</f>
        <v>P</v>
      </c>
      <c r="L12" s="4" t="str">
        <f>IFERROR(LOOKUP(2,1/((lentry!$A$3:$A$3999=aug!$A12)*(lentry!$B$3:$B$3999&lt;=aug!L$3)*(lentry!$C$3:$C$3999&gt;=aug!L$3)),lentry!$D$3:$D$3999),IF(WEEKDAY(L$3,1)=1,"WO","P"))</f>
        <v>P</v>
      </c>
      <c r="M12" s="4" t="str">
        <f>IFERROR(LOOKUP(2,1/((lentry!$A$3:$A$3999=aug!$A12)*(lentry!$B$3:$B$3999&lt;=aug!M$3)*(lentry!$C$3:$C$3999&gt;=aug!M$3)),lentry!$D$3:$D$3999),IF(WEEKDAY(M$3,1)=1,"WO","P"))</f>
        <v>P</v>
      </c>
      <c r="N12" s="4" t="s">
        <v>342</v>
      </c>
      <c r="O12" s="4" t="str">
        <f>IFERROR(LOOKUP(2,1/((lentry!$A$3:$A$3999=aug!$A12)*(lentry!$B$3:$B$3999&lt;=aug!O$3)*(lentry!$C$3:$C$3999&gt;=aug!O$3)),lentry!$D$3:$D$3999),IF(WEEKDAY(O$3,1)=1,"WO","P"))</f>
        <v>P</v>
      </c>
      <c r="P12" s="4" t="str">
        <f>IFERROR(LOOKUP(2,1/((lentry!$A$3:$A$3999=aug!$A12)*(lentry!$B$3:$B$3999&lt;=aug!P$3)*(lentry!$C$3:$C$3999&gt;=aug!P$3)),lentry!$D$3:$D$3999),IF(WEEKDAY(P$3,1)=1,"WO","P"))</f>
        <v>P</v>
      </c>
      <c r="Q12" s="4" t="str">
        <f>IFERROR(LOOKUP(2,1/((lentry!$A$3:$A$3999=aug!$A12)*(lentry!$B$3:$B$3999&lt;=aug!Q$3)*(lentry!$C$3:$C$3999&gt;=aug!Q$3)),lentry!$D$3:$D$3999),IF(WEEKDAY(Q$3,1)=1,"WO","P"))</f>
        <v>P</v>
      </c>
      <c r="R12" s="4" t="str">
        <f>IFERROR(LOOKUP(2,1/((lentry!$A$3:$A$3999=aug!$A12)*(lentry!$B$3:$B$3999&lt;=aug!R$3)*(lentry!$C$3:$C$3999&gt;=aug!R$3)),lentry!$D$3:$D$3999),IF(WEEKDAY(R$3,1)=1,"WO","P"))</f>
        <v>P</v>
      </c>
      <c r="S12" s="4" t="str">
        <f>IFERROR(LOOKUP(2,1/((lentry!$A$3:$A$3999=aug!$A12)*(lentry!$B$3:$B$3999&lt;=aug!S$3)*(lentry!$C$3:$C$3999&gt;=aug!S$3)),lentry!$D$3:$D$3999),IF(WEEKDAY(S$3,1)=1,"WO","P"))</f>
        <v>P</v>
      </c>
      <c r="T12" s="4" t="s">
        <v>350</v>
      </c>
      <c r="U12" s="4" t="s">
        <v>342</v>
      </c>
      <c r="V12" s="4" t="str">
        <f>IFERROR(LOOKUP(2,1/((lentry!$A$3:$A$3999=aug!$A12)*(lentry!$B$3:$B$3999&lt;=aug!V$3)*(lentry!$C$3:$C$3999&gt;=aug!V$3)),lentry!$D$3:$D$3999),IF(WEEKDAY(V$3,1)=1,"WO","P"))</f>
        <v>P</v>
      </c>
      <c r="W12" s="4" t="str">
        <f>IFERROR(LOOKUP(2,1/((lentry!$A$3:$A$3999=aug!$A12)*(lentry!$B$3:$B$3999&lt;=aug!W$3)*(lentry!$C$3:$C$3999&gt;=aug!W$3)),lentry!$D$3:$D$3999),IF(WEEKDAY(W$3,1)=1,"WO","P"))</f>
        <v>P</v>
      </c>
      <c r="X12" s="4" t="str">
        <f>IFERROR(LOOKUP(2,1/((lentry!$A$3:$A$3999=aug!$A12)*(lentry!$B$3:$B$3999&lt;=aug!X$3)*(lentry!$C$3:$C$3999&gt;=aug!X$3)),lentry!$D$3:$D$3999),IF(WEEKDAY(X$3,1)=1,"WO","P"))</f>
        <v>P</v>
      </c>
      <c r="Y12" s="4" t="str">
        <f>IFERROR(LOOKUP(2,1/((lentry!$A$3:$A$3999=aug!$A12)*(lentry!$B$3:$B$3999&lt;=aug!Y$3)*(lentry!$C$3:$C$3999&gt;=aug!Y$3)),lentry!$D$3:$D$3999),IF(WEEKDAY(Y$3,1)=1,"WO","P"))</f>
        <v>P</v>
      </c>
      <c r="Z12" s="4" t="str">
        <f>IFERROR(LOOKUP(2,1/((lentry!$A$3:$A$3999=aug!$A12)*(lentry!$B$3:$B$3999&lt;=aug!Z$3)*(lentry!$C$3:$C$3999&gt;=aug!Z$3)),lentry!$D$3:$D$3999),IF(WEEKDAY(Z$3,1)=1,"WO","P"))</f>
        <v>P</v>
      </c>
      <c r="AA12" s="4" t="str">
        <f>IFERROR(LOOKUP(2,1/((lentry!$A$3:$A$3999=aug!$A12)*(lentry!$B$3:$B$3999&lt;=aug!AA$3)*(lentry!$C$3:$C$3999&gt;=aug!AA$3)),lentry!$D$3:$D$3999),IF(WEEKDAY(AA$3,1)=1,"WO","P"))</f>
        <v>P</v>
      </c>
      <c r="AB12" s="4" t="s">
        <v>342</v>
      </c>
      <c r="AC12" s="4" t="str">
        <f>IFERROR(LOOKUP(2,1/((lentry!$A$3:$A$3999=aug!$A12)*(lentry!$B$3:$B$3999&lt;=aug!AC$3)*(lentry!$C$3:$C$3999&gt;=aug!AC$3)),lentry!$D$3:$D$3999),IF(WEEKDAY(AC$3,1)=1,"WO","P"))</f>
        <v>P</v>
      </c>
      <c r="AD12" s="4" t="str">
        <f>IFERROR(LOOKUP(2,1/((lentry!$A$3:$A$3999=aug!$A12)*(lentry!$B$3:$B$3999&lt;=aug!AD$3)*(lentry!$C$3:$C$3999&gt;=aug!AD$3)),lentry!$D$3:$D$3999),IF(WEEKDAY(AD$3,1)=1,"WO","P"))</f>
        <v>P</v>
      </c>
      <c r="AE12" s="4" t="str">
        <f>IFERROR(LOOKUP(2,1/((lentry!$A$3:$A$3999=aug!$A12)*(lentry!$B$3:$B$3999&lt;=aug!AE$3)*(lentry!$C$3:$C$3999&gt;=aug!AE$3)),lentry!$D$3:$D$3999),IF(WEEKDAY(AE$3,1)=1,"WO","P"))</f>
        <v>P</v>
      </c>
      <c r="AF12" s="4" t="str">
        <f>IFERROR(LOOKUP(2,1/((lentry!$A$3:$A$3999=aug!$A12)*(lentry!$B$3:$B$3999&lt;=aug!AF$3)*(lentry!$C$3:$C$3999&gt;=aug!AF$3)),lentry!$D$3:$D$3999),IF(WEEKDAY(AF$3,1)=1,"WO","P"))</f>
        <v>P</v>
      </c>
      <c r="AG12" s="4" t="s">
        <v>539</v>
      </c>
      <c r="AH12" s="4" t="str">
        <f>IFERROR(LOOKUP(2,1/((lentry!$A$3:$A$3999=aug!$A12)*(lentry!$B$3:$B$3999&lt;=aug!AH$3)*(lentry!$C$3:$C$3999&gt;=aug!AH$3)),lentry!$D$3:$D$3999),IF(WEEKDAY(AH$3,1)=1,"WO","P"))</f>
        <v>P</v>
      </c>
      <c r="AI12" s="4" t="s">
        <v>342</v>
      </c>
      <c r="AJ12" s="4" t="str">
        <f>IFERROR(LOOKUP(2,1/((lentry!$A$3:$A$3999=aug!$A12)*(lentry!$B$3:$B$3999&lt;=aug!AJ$3)*(lentry!$C$3:$C$3999&gt;=aug!AJ$3)),lentry!$D$3:$D$3999),IF(WEEKDAY(AJ$3,1)=1,"WO","P"))</f>
        <v>P</v>
      </c>
      <c r="AK12" s="4">
        <f>COUNTIF(aug!$F12:$AJ12,"WO")</f>
        <v>5</v>
      </c>
      <c r="AL12" s="4">
        <f>COUNTIF(aug!$F12:$AJ12,"H")</f>
        <v>1</v>
      </c>
      <c r="AM12" s="4">
        <f>COUNTIF(aug!$F12:$AJ12,"pl")</f>
        <v>0</v>
      </c>
      <c r="AN12" s="4">
        <f>COUNTIF(aug!$F12:$AJ12,"LWP")</f>
        <v>0</v>
      </c>
      <c r="AO12" s="4">
        <f>COUNTIF(aug!$F12:$AJ12,"HD")</f>
        <v>0</v>
      </c>
      <c r="AP12" s="4">
        <f>COUNTIF(aug!$F12:$AJ12,"SL")</f>
        <v>0</v>
      </c>
      <c r="AQ12" s="4">
        <f>COUNTIF(aug!$F12:$AJ12,"CL")</f>
        <v>0</v>
      </c>
      <c r="AR12" s="4">
        <f>COUNTIF(aug!$F12:$AJ12,"A")</f>
        <v>1</v>
      </c>
      <c r="AS12" s="4">
        <f>COUNTIF(aug!$F12:$AJ12,"P")</f>
        <v>24</v>
      </c>
      <c r="AT12" s="4">
        <f t="shared" si="2"/>
        <v>31</v>
      </c>
      <c r="AU12" s="4">
        <f t="shared" si="3"/>
        <v>30</v>
      </c>
    </row>
    <row r="13" spans="1:79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IFERROR(LOOKUP(2,1/((lentry!$A$3:$A$3999=aug!$A13)*(lentry!$B$3:$B$3999&lt;=aug!F$3)*(lentry!$C$3:$C$3999&gt;=aug!F$3)),lentry!$D$3:$D$3999),IF(WEEKDAY(F$3,1)=1,"WO","P"))</f>
        <v>P</v>
      </c>
      <c r="G13" s="4" t="s">
        <v>342</v>
      </c>
      <c r="H13" s="4" t="str">
        <f>IFERROR(LOOKUP(2,1/((lentry!$A$3:$A$3999=aug!$A13)*(lentry!$B$3:$B$3999&lt;=aug!H$3)*(lentry!$C$3:$C$3999&gt;=aug!H$3)),lentry!$D$3:$D$3999),IF(WEEKDAY(H$3,1)=1,"WO","P"))</f>
        <v>P</v>
      </c>
      <c r="I13" s="4" t="str">
        <f>IFERROR(LOOKUP(2,1/((lentry!$A$3:$A$3999=aug!$A13)*(lentry!$B$3:$B$3999&lt;=aug!I$3)*(lentry!$C$3:$C$3999&gt;=aug!I$3)),lentry!$D$3:$D$3999),IF(WEEKDAY(I$3,1)=1,"WO","P"))</f>
        <v>P</v>
      </c>
      <c r="J13" s="4" t="str">
        <f>IFERROR(LOOKUP(2,1/((lentry!$A$3:$A$3999=aug!$A13)*(lentry!$B$3:$B$3999&lt;=aug!J$3)*(lentry!$C$3:$C$3999&gt;=aug!J$3)),lentry!$D$3:$D$3999),IF(WEEKDAY(J$3,1)=1,"WO","P"))</f>
        <v>P</v>
      </c>
      <c r="K13" s="4" t="str">
        <f>IFERROR(LOOKUP(2,1/((lentry!$A$3:$A$3999=aug!$A13)*(lentry!$B$3:$B$3999&lt;=aug!K$3)*(lentry!$C$3:$C$3999&gt;=aug!K$3)),lentry!$D$3:$D$3999),IF(WEEKDAY(K$3,1)=1,"WO","P"))</f>
        <v>P</v>
      </c>
      <c r="L13" s="4" t="str">
        <f>IFERROR(LOOKUP(2,1/((lentry!$A$3:$A$3999=aug!$A13)*(lentry!$B$3:$B$3999&lt;=aug!L$3)*(lentry!$C$3:$C$3999&gt;=aug!L$3)),lentry!$D$3:$D$3999),IF(WEEKDAY(L$3,1)=1,"WO","P"))</f>
        <v>P</v>
      </c>
      <c r="M13" s="4" t="str">
        <f>IFERROR(LOOKUP(2,1/((lentry!$A$3:$A$3999=aug!$A13)*(lentry!$B$3:$B$3999&lt;=aug!M$3)*(lentry!$C$3:$C$3999&gt;=aug!M$3)),lentry!$D$3:$D$3999),IF(WEEKDAY(M$3,1)=1,"WO","P"))</f>
        <v>P</v>
      </c>
      <c r="N13" s="4" t="s">
        <v>342</v>
      </c>
      <c r="O13" s="4" t="str">
        <f>IFERROR(LOOKUP(2,1/((lentry!$A$3:$A$3999=aug!$A13)*(lentry!$B$3:$B$3999&lt;=aug!O$3)*(lentry!$C$3:$C$3999&gt;=aug!O$3)),lentry!$D$3:$D$3999),IF(WEEKDAY(O$3,1)=1,"WO","P"))</f>
        <v>P</v>
      </c>
      <c r="P13" s="4" t="str">
        <f>IFERROR(LOOKUP(2,1/((lentry!$A$3:$A$3999=aug!$A13)*(lentry!$B$3:$B$3999&lt;=aug!P$3)*(lentry!$C$3:$C$3999&gt;=aug!P$3)),lentry!$D$3:$D$3999),IF(WEEKDAY(P$3,1)=1,"WO","P"))</f>
        <v>P</v>
      </c>
      <c r="Q13" s="4" t="str">
        <f>IFERROR(LOOKUP(2,1/((lentry!$A$3:$A$3999=aug!$A13)*(lentry!$B$3:$B$3999&lt;=aug!Q$3)*(lentry!$C$3:$C$3999&gt;=aug!Q$3)),lentry!$D$3:$D$3999),IF(WEEKDAY(Q$3,1)=1,"WO","P"))</f>
        <v>P</v>
      </c>
      <c r="R13" s="4" t="s">
        <v>539</v>
      </c>
      <c r="S13" s="4" t="str">
        <f>IFERROR(LOOKUP(2,1/((lentry!$A$3:$A$3999=aug!$A13)*(lentry!$B$3:$B$3999&lt;=aug!S$3)*(lentry!$C$3:$C$3999&gt;=aug!S$3)),lentry!$D$3:$D$3999),IF(WEEKDAY(S$3,1)=1,"WO","P"))</f>
        <v>P</v>
      </c>
      <c r="T13" s="4" t="s">
        <v>350</v>
      </c>
      <c r="U13" s="4" t="s">
        <v>342</v>
      </c>
      <c r="V13" s="4" t="s">
        <v>539</v>
      </c>
      <c r="W13" s="4" t="str">
        <f>IFERROR(LOOKUP(2,1/((lentry!$A$3:$A$3999=aug!$A13)*(lentry!$B$3:$B$3999&lt;=aug!W$3)*(lentry!$C$3:$C$3999&gt;=aug!W$3)),lentry!$D$3:$D$3999),IF(WEEKDAY(W$3,1)=1,"WO","P"))</f>
        <v>P</v>
      </c>
      <c r="X13" s="4" t="str">
        <f>IFERROR(LOOKUP(2,1/((lentry!$A$3:$A$3999=aug!$A13)*(lentry!$B$3:$B$3999&lt;=aug!X$3)*(lentry!$C$3:$C$3999&gt;=aug!X$3)),lentry!$D$3:$D$3999),IF(WEEKDAY(X$3,1)=1,"WO","P"))</f>
        <v>P</v>
      </c>
      <c r="Y13" s="4" t="str">
        <f>IFERROR(LOOKUP(2,1/((lentry!$A$3:$A$3999=aug!$A13)*(lentry!$B$3:$B$3999&lt;=aug!Y$3)*(lentry!$C$3:$C$3999&gt;=aug!Y$3)),lentry!$D$3:$D$3999),IF(WEEKDAY(Y$3,1)=1,"WO","P"))</f>
        <v>P</v>
      </c>
      <c r="Z13" s="4" t="str">
        <f>IFERROR(LOOKUP(2,1/((lentry!$A$3:$A$3999=aug!$A13)*(lentry!$B$3:$B$3999&lt;=aug!Z$3)*(lentry!$C$3:$C$3999&gt;=aug!Z$3)),lentry!$D$3:$D$3999),IF(WEEKDAY(Z$3,1)=1,"WO","P"))</f>
        <v>P</v>
      </c>
      <c r="AA13" s="4" t="str">
        <f>IFERROR(LOOKUP(2,1/((lentry!$A$3:$A$3999=aug!$A13)*(lentry!$B$3:$B$3999&lt;=aug!AA$3)*(lentry!$C$3:$C$3999&gt;=aug!AA$3)),lentry!$D$3:$D$3999),IF(WEEKDAY(AA$3,1)=1,"WO","P"))</f>
        <v>P</v>
      </c>
      <c r="AB13" s="4" t="s">
        <v>342</v>
      </c>
      <c r="AC13" s="4" t="str">
        <f>IFERROR(LOOKUP(2,1/((lentry!$A$3:$A$3999=aug!$A13)*(lentry!$B$3:$B$3999&lt;=aug!AC$3)*(lentry!$C$3:$C$3999&gt;=aug!AC$3)),lentry!$D$3:$D$3999),IF(WEEKDAY(AC$3,1)=1,"WO","P"))</f>
        <v>P</v>
      </c>
      <c r="AD13" s="4" t="str">
        <f>IFERROR(LOOKUP(2,1/((lentry!$A$3:$A$3999=aug!$A13)*(lentry!$B$3:$B$3999&lt;=aug!AD$3)*(lentry!$C$3:$C$3999&gt;=aug!AD$3)),lentry!$D$3:$D$3999),IF(WEEKDAY(AD$3,1)=1,"WO","P"))</f>
        <v>PL</v>
      </c>
      <c r="AE13" s="4" t="str">
        <f>IFERROR(LOOKUP(2,1/((lentry!$A$3:$A$3999=aug!$A13)*(lentry!$B$3:$B$3999&lt;=aug!AE$3)*(lentry!$C$3:$C$3999&gt;=aug!AE$3)),lentry!$D$3:$D$3999),IF(WEEKDAY(AE$3,1)=1,"WO","P"))</f>
        <v>SL</v>
      </c>
      <c r="AF13" s="4" t="str">
        <f>IFERROR(LOOKUP(2,1/((lentry!$A$3:$A$3999=aug!$A13)*(lentry!$B$3:$B$3999&lt;=aug!AF$3)*(lentry!$C$3:$C$3999&gt;=aug!AF$3)),lentry!$D$3:$D$3999),IF(WEEKDAY(AF$3,1)=1,"WO","P"))</f>
        <v>P</v>
      </c>
      <c r="AG13" s="4" t="str">
        <f>IFERROR(LOOKUP(2,1/((lentry!$A$3:$A$3999=aug!$A13)*(lentry!$B$3:$B$3999&lt;=aug!AG$3)*(lentry!$C$3:$C$3999&gt;=aug!AG$3)),lentry!$D$3:$D$3999),IF(WEEKDAY(AG$3,1)=1,"WO","P"))</f>
        <v>P</v>
      </c>
      <c r="AH13" s="4" t="str">
        <f>IFERROR(LOOKUP(2,1/((lentry!$A$3:$A$3999=aug!$A13)*(lentry!$B$3:$B$3999&lt;=aug!AH$3)*(lentry!$C$3:$C$3999&gt;=aug!AH$3)),lentry!$D$3:$D$3999),IF(WEEKDAY(AH$3,1)=1,"WO","P"))</f>
        <v>P</v>
      </c>
      <c r="AI13" s="4" t="s">
        <v>342</v>
      </c>
      <c r="AJ13" s="4" t="str">
        <f>IFERROR(LOOKUP(2,1/((lentry!$A$3:$A$3999=aug!$A13)*(lentry!$B$3:$B$3999&lt;=aug!AJ$3)*(lentry!$C$3:$C$3999&gt;=aug!AJ$3)),lentry!$D$3:$D$3999),IF(WEEKDAY(AJ$3,1)=1,"WO","P"))</f>
        <v>SL</v>
      </c>
      <c r="AK13" s="4">
        <f>COUNTIF(aug!$F13:$AJ13,"WO")</f>
        <v>5</v>
      </c>
      <c r="AL13" s="4">
        <f>COUNTIF(aug!$F13:$AJ13,"H")</f>
        <v>1</v>
      </c>
      <c r="AM13" s="4">
        <f>COUNTIF(aug!$F13:$AJ13,"pl")</f>
        <v>1</v>
      </c>
      <c r="AN13" s="4">
        <f>COUNTIF(aug!$F13:$AJ13,"LWP")</f>
        <v>0</v>
      </c>
      <c r="AO13" s="4">
        <f>COUNTIF(aug!$F13:$AJ13,"HD")</f>
        <v>0</v>
      </c>
      <c r="AP13" s="4">
        <f>COUNTIF(aug!$F13:$AJ13,"SL")</f>
        <v>2</v>
      </c>
      <c r="AQ13" s="4">
        <f>COUNTIF(aug!$F13:$AJ13,"CL")</f>
        <v>0</v>
      </c>
      <c r="AR13" s="4">
        <f>COUNTIF(aug!$F13:$AJ13,"A")</f>
        <v>2</v>
      </c>
      <c r="AS13" s="4">
        <f>COUNTIF(aug!$F13:$AJ13,"P")</f>
        <v>20</v>
      </c>
      <c r="AT13" s="4">
        <f t="shared" si="2"/>
        <v>31</v>
      </c>
      <c r="AU13" s="4">
        <f t="shared" si="3"/>
        <v>29</v>
      </c>
    </row>
    <row r="14" spans="1:79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IFERROR(LOOKUP(2,1/((lentry!$A$3:$A$3999=aug!$A14)*(lentry!$B$3:$B$3999&lt;=aug!F$3)*(lentry!$C$3:$C$3999&gt;=aug!F$3)),lentry!$D$3:$D$3999),IF(WEEKDAY(F$3,1)=1,"WO","P"))</f>
        <v>P</v>
      </c>
      <c r="G14" s="4" t="s">
        <v>342</v>
      </c>
      <c r="H14" s="4" t="str">
        <f>IFERROR(LOOKUP(2,1/((lentry!$A$3:$A$3999=aug!$A14)*(lentry!$B$3:$B$3999&lt;=aug!H$3)*(lentry!$C$3:$C$3999&gt;=aug!H$3)),lentry!$D$3:$D$3999),IF(WEEKDAY(H$3,1)=1,"WO","P"))</f>
        <v>P</v>
      </c>
      <c r="I14" s="4" t="str">
        <f>IFERROR(LOOKUP(2,1/((lentry!$A$3:$A$3999=aug!$A14)*(lentry!$B$3:$B$3999&lt;=aug!I$3)*(lentry!$C$3:$C$3999&gt;=aug!I$3)),lentry!$D$3:$D$3999),IF(WEEKDAY(I$3,1)=1,"WO","P"))</f>
        <v>P</v>
      </c>
      <c r="J14" s="4" t="str">
        <f>IFERROR(LOOKUP(2,1/((lentry!$A$3:$A$3999=aug!$A14)*(lentry!$B$3:$B$3999&lt;=aug!J$3)*(lentry!$C$3:$C$3999&gt;=aug!J$3)),lentry!$D$3:$D$3999),IF(WEEKDAY(J$3,1)=1,"WO","P"))</f>
        <v>P</v>
      </c>
      <c r="K14" s="4" t="str">
        <f>IFERROR(LOOKUP(2,1/((lentry!$A$3:$A$3999=aug!$A14)*(lentry!$B$3:$B$3999&lt;=aug!K$3)*(lentry!$C$3:$C$3999&gt;=aug!K$3)),lentry!$D$3:$D$3999),IF(WEEKDAY(K$3,1)=1,"WO","P"))</f>
        <v>P</v>
      </c>
      <c r="L14" s="4" t="str">
        <f>IFERROR(LOOKUP(2,1/((lentry!$A$3:$A$3999=aug!$A14)*(lentry!$B$3:$B$3999&lt;=aug!L$3)*(lentry!$C$3:$C$3999&gt;=aug!L$3)),lentry!$D$3:$D$3999),IF(WEEKDAY(L$3,1)=1,"WO","P"))</f>
        <v>P</v>
      </c>
      <c r="M14" s="4" t="str">
        <f>IFERROR(LOOKUP(2,1/((lentry!$A$3:$A$3999=aug!$A14)*(lentry!$B$3:$B$3999&lt;=aug!M$3)*(lentry!$C$3:$C$3999&gt;=aug!M$3)),lentry!$D$3:$D$3999),IF(WEEKDAY(M$3,1)=1,"WO","P"))</f>
        <v>P</v>
      </c>
      <c r="N14" s="4" t="s">
        <v>342</v>
      </c>
      <c r="O14" s="4" t="str">
        <f>IFERROR(LOOKUP(2,1/((lentry!$A$3:$A$3999=aug!$A14)*(lentry!$B$3:$B$3999&lt;=aug!O$3)*(lentry!$C$3:$C$3999&gt;=aug!O$3)),lentry!$D$3:$D$3999),IF(WEEKDAY(O$3,1)=1,"WO","P"))</f>
        <v>P</v>
      </c>
      <c r="P14" s="4" t="str">
        <f>IFERROR(LOOKUP(2,1/((lentry!$A$3:$A$3999=aug!$A14)*(lentry!$B$3:$B$3999&lt;=aug!P$3)*(lentry!$C$3:$C$3999&gt;=aug!P$3)),lentry!$D$3:$D$3999),IF(WEEKDAY(P$3,1)=1,"WO","P"))</f>
        <v>P</v>
      </c>
      <c r="Q14" s="4" t="str">
        <f>IFERROR(LOOKUP(2,1/((lentry!$A$3:$A$3999=aug!$A14)*(lentry!$B$3:$B$3999&lt;=aug!Q$3)*(lentry!$C$3:$C$3999&gt;=aug!Q$3)),lentry!$D$3:$D$3999),IF(WEEKDAY(Q$3,1)=1,"WO","P"))</f>
        <v>P</v>
      </c>
      <c r="R14" s="4" t="str">
        <f>IFERROR(LOOKUP(2,1/((lentry!$A$3:$A$3999=aug!$A14)*(lentry!$B$3:$B$3999&lt;=aug!R$3)*(lentry!$C$3:$C$3999&gt;=aug!R$3)),lentry!$D$3:$D$3999),IF(WEEKDAY(R$3,1)=1,"WO","P"))</f>
        <v>P</v>
      </c>
      <c r="S14" s="4" t="str">
        <f>IFERROR(LOOKUP(2,1/((lentry!$A$3:$A$3999=aug!$A14)*(lentry!$B$3:$B$3999&lt;=aug!S$3)*(lentry!$C$3:$C$3999&gt;=aug!S$3)),lentry!$D$3:$D$3999),IF(WEEKDAY(S$3,1)=1,"WO","P"))</f>
        <v>P</v>
      </c>
      <c r="T14" s="4" t="s">
        <v>350</v>
      </c>
      <c r="U14" s="4" t="s">
        <v>342</v>
      </c>
      <c r="V14" s="4" t="str">
        <f>IFERROR(LOOKUP(2,1/((lentry!$A$3:$A$3999=aug!$A14)*(lentry!$B$3:$B$3999&lt;=aug!V$3)*(lentry!$C$3:$C$3999&gt;=aug!V$3)),lentry!$D$3:$D$3999),IF(WEEKDAY(V$3,1)=1,"WO","P"))</f>
        <v>P</v>
      </c>
      <c r="W14" s="4" t="str">
        <f>IFERROR(LOOKUP(2,1/((lentry!$A$3:$A$3999=aug!$A14)*(lentry!$B$3:$B$3999&lt;=aug!W$3)*(lentry!$C$3:$C$3999&gt;=aug!W$3)),lentry!$D$3:$D$3999),IF(WEEKDAY(W$3,1)=1,"WO","P"))</f>
        <v>P</v>
      </c>
      <c r="X14" s="4" t="str">
        <f>IFERROR(LOOKUP(2,1/((lentry!$A$3:$A$3999=aug!$A14)*(lentry!$B$3:$B$3999&lt;=aug!X$3)*(lentry!$C$3:$C$3999&gt;=aug!X$3)),lentry!$D$3:$D$3999),IF(WEEKDAY(X$3,1)=1,"WO","P"))</f>
        <v>P</v>
      </c>
      <c r="Y14" s="4" t="str">
        <f>IFERROR(LOOKUP(2,1/((lentry!$A$3:$A$3999=aug!$A14)*(lentry!$B$3:$B$3999&lt;=aug!Y$3)*(lentry!$C$3:$C$3999&gt;=aug!Y$3)),lentry!$D$3:$D$3999),IF(WEEKDAY(Y$3,1)=1,"WO","P"))</f>
        <v>P</v>
      </c>
      <c r="Z14" s="4" t="str">
        <f>IFERROR(LOOKUP(2,1/((lentry!$A$3:$A$3999=aug!$A14)*(lentry!$B$3:$B$3999&lt;=aug!Z$3)*(lentry!$C$3:$C$3999&gt;=aug!Z$3)),lentry!$D$3:$D$3999),IF(WEEKDAY(Z$3,1)=1,"WO","P"))</f>
        <v>P</v>
      </c>
      <c r="AA14" s="4" t="str">
        <f>IFERROR(LOOKUP(2,1/((lentry!$A$3:$A$3999=aug!$A14)*(lentry!$B$3:$B$3999&lt;=aug!AA$3)*(lentry!$C$3:$C$3999&gt;=aug!AA$3)),lentry!$D$3:$D$3999),IF(WEEKDAY(AA$3,1)=1,"WO","P"))</f>
        <v>P</v>
      </c>
      <c r="AB14" s="4" t="s">
        <v>342</v>
      </c>
      <c r="AC14" s="4" t="str">
        <f>IFERROR(LOOKUP(2,1/((lentry!$A$3:$A$3999=aug!$A14)*(lentry!$B$3:$B$3999&lt;=aug!AC$3)*(lentry!$C$3:$C$3999&gt;=aug!AC$3)),lentry!$D$3:$D$3999),IF(WEEKDAY(AC$3,1)=1,"WO","P"))</f>
        <v>P</v>
      </c>
      <c r="AD14" s="4" t="str">
        <f>IFERROR(LOOKUP(2,1/((lentry!$A$3:$A$3999=aug!$A14)*(lentry!$B$3:$B$3999&lt;=aug!AD$3)*(lentry!$C$3:$C$3999&gt;=aug!AD$3)),lentry!$D$3:$D$3999),IF(WEEKDAY(AD$3,1)=1,"WO","P"))</f>
        <v>P</v>
      </c>
      <c r="AE14" s="4" t="str">
        <f>IFERROR(LOOKUP(2,1/((lentry!$A$3:$A$3999=aug!$A14)*(lentry!$B$3:$B$3999&lt;=aug!AE$3)*(lentry!$C$3:$C$3999&gt;=aug!AE$3)),lentry!$D$3:$D$3999),IF(WEEKDAY(AE$3,1)=1,"WO","P"))</f>
        <v>P</v>
      </c>
      <c r="AF14" s="4" t="str">
        <f>IFERROR(LOOKUP(2,1/((lentry!$A$3:$A$3999=aug!$A14)*(lentry!$B$3:$B$3999&lt;=aug!AF$3)*(lentry!$C$3:$C$3999&gt;=aug!AF$3)),lentry!$D$3:$D$3999),IF(WEEKDAY(AF$3,1)=1,"WO","P"))</f>
        <v>P</v>
      </c>
      <c r="AG14" s="4" t="str">
        <f>IFERROR(LOOKUP(2,1/((lentry!$A$3:$A$3999=aug!$A14)*(lentry!$B$3:$B$3999&lt;=aug!AG$3)*(lentry!$C$3:$C$3999&gt;=aug!AG$3)),lentry!$D$3:$D$3999),IF(WEEKDAY(AG$3,1)=1,"WO","P"))</f>
        <v>P</v>
      </c>
      <c r="AH14" s="4" t="str">
        <f>IFERROR(LOOKUP(2,1/((lentry!$A$3:$A$3999=aug!$A14)*(lentry!$B$3:$B$3999&lt;=aug!AH$3)*(lentry!$C$3:$C$3999&gt;=aug!AH$3)),lentry!$D$3:$D$3999),IF(WEEKDAY(AH$3,1)=1,"WO","P"))</f>
        <v>P</v>
      </c>
      <c r="AI14" s="4" t="s">
        <v>342</v>
      </c>
      <c r="AJ14" s="4" t="str">
        <f>IFERROR(LOOKUP(2,1/((lentry!$A$3:$A$3999=aug!$A14)*(lentry!$B$3:$B$3999&lt;=aug!AJ$3)*(lentry!$C$3:$C$3999&gt;=aug!AJ$3)),lentry!$D$3:$D$3999),IF(WEEKDAY(AJ$3,1)=1,"WO","P"))</f>
        <v>P</v>
      </c>
      <c r="AK14" s="4">
        <f>COUNTIF(aug!$F14:$AJ14,"WO")</f>
        <v>5</v>
      </c>
      <c r="AL14" s="4">
        <f>COUNTIF(aug!$F14:$AJ14,"H")</f>
        <v>1</v>
      </c>
      <c r="AM14" s="4">
        <f>COUNTIF(aug!$F14:$AJ14,"pl")</f>
        <v>0</v>
      </c>
      <c r="AN14" s="4">
        <f>COUNTIF(aug!$F14:$AJ14,"LWP")</f>
        <v>0</v>
      </c>
      <c r="AO14" s="4">
        <f>COUNTIF(aug!$F14:$AJ14,"HD")</f>
        <v>0</v>
      </c>
      <c r="AP14" s="4">
        <f>COUNTIF(aug!$F14:$AJ14,"SL")</f>
        <v>0</v>
      </c>
      <c r="AQ14" s="4">
        <f>COUNTIF(aug!$F14:$AJ14,"CL")</f>
        <v>0</v>
      </c>
      <c r="AR14" s="4">
        <f>COUNTIF(aug!$F14:$AJ14,"A")</f>
        <v>0</v>
      </c>
      <c r="AS14" s="4">
        <f>COUNTIF(aug!$F14:$AJ14,"P")</f>
        <v>25</v>
      </c>
      <c r="AT14" s="4">
        <f t="shared" si="2"/>
        <v>31</v>
      </c>
      <c r="AU14" s="4">
        <f t="shared" si="3"/>
        <v>31</v>
      </c>
    </row>
    <row r="15" spans="1:79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IFERROR(LOOKUP(2,1/((lentry!$A$3:$A$3999=aug!$A15)*(lentry!$B$3:$B$3999&lt;=aug!F$3)*(lentry!$C$3:$C$3999&gt;=aug!F$3)),lentry!$D$3:$D$3999),IF(WEEKDAY(F$3,1)=1,"WO","P"))</f>
        <v>P</v>
      </c>
      <c r="G15" s="4" t="s">
        <v>342</v>
      </c>
      <c r="H15" s="4" t="str">
        <f>IFERROR(LOOKUP(2,1/((lentry!$A$3:$A$3999=aug!$A15)*(lentry!$B$3:$B$3999&lt;=aug!H$3)*(lentry!$C$3:$C$3999&gt;=aug!H$3)),lentry!$D$3:$D$3999),IF(WEEKDAY(H$3,1)=1,"WO","P"))</f>
        <v>P</v>
      </c>
      <c r="I15" s="4" t="s">
        <v>539</v>
      </c>
      <c r="J15" s="4" t="str">
        <f>IFERROR(LOOKUP(2,1/((lentry!$A$3:$A$3999=aug!$A15)*(lentry!$B$3:$B$3999&lt;=aug!J$3)*(lentry!$C$3:$C$3999&gt;=aug!J$3)),lentry!$D$3:$D$3999),IF(WEEKDAY(J$3,1)=1,"WO","P"))</f>
        <v>P</v>
      </c>
      <c r="K15" s="4" t="str">
        <f>IFERROR(LOOKUP(2,1/((lentry!$A$3:$A$3999=aug!$A15)*(lentry!$B$3:$B$3999&lt;=aug!K$3)*(lentry!$C$3:$C$3999&gt;=aug!K$3)),lentry!$D$3:$D$3999),IF(WEEKDAY(K$3,1)=1,"WO","P"))</f>
        <v>P</v>
      </c>
      <c r="L15" s="4" t="str">
        <f>IFERROR(LOOKUP(2,1/((lentry!$A$3:$A$3999=aug!$A15)*(lentry!$B$3:$B$3999&lt;=aug!L$3)*(lentry!$C$3:$C$3999&gt;=aug!L$3)),lentry!$D$3:$D$3999),IF(WEEKDAY(L$3,1)=1,"WO","P"))</f>
        <v>P</v>
      </c>
      <c r="M15" s="4" t="str">
        <f>IFERROR(LOOKUP(2,1/((lentry!$A$3:$A$3999=aug!$A15)*(lentry!$B$3:$B$3999&lt;=aug!M$3)*(lentry!$C$3:$C$3999&gt;=aug!M$3)),lentry!$D$3:$D$3999),IF(WEEKDAY(M$3,1)=1,"WO","P"))</f>
        <v>P</v>
      </c>
      <c r="N15" s="4" t="s">
        <v>342</v>
      </c>
      <c r="O15" s="4" t="str">
        <f>IFERROR(LOOKUP(2,1/((lentry!$A$3:$A$3999=aug!$A15)*(lentry!$B$3:$B$3999&lt;=aug!O$3)*(lentry!$C$3:$C$3999&gt;=aug!O$3)),lentry!$D$3:$D$3999),IF(WEEKDAY(O$3,1)=1,"WO","P"))</f>
        <v>P</v>
      </c>
      <c r="P15" s="4" t="str">
        <f>IFERROR(LOOKUP(2,1/((lentry!$A$3:$A$3999=aug!$A15)*(lentry!$B$3:$B$3999&lt;=aug!P$3)*(lentry!$C$3:$C$3999&gt;=aug!P$3)),lentry!$D$3:$D$3999),IF(WEEKDAY(P$3,1)=1,"WO","P"))</f>
        <v>P</v>
      </c>
      <c r="Q15" s="4" t="str">
        <f>IFERROR(LOOKUP(2,1/((lentry!$A$3:$A$3999=aug!$A15)*(lentry!$B$3:$B$3999&lt;=aug!Q$3)*(lentry!$C$3:$C$3999&gt;=aug!Q$3)),lentry!$D$3:$D$3999),IF(WEEKDAY(Q$3,1)=1,"WO","P"))</f>
        <v>P</v>
      </c>
      <c r="R15" s="4" t="str">
        <f>IFERROR(LOOKUP(2,1/((lentry!$A$3:$A$3999=aug!$A15)*(lentry!$B$3:$B$3999&lt;=aug!R$3)*(lentry!$C$3:$C$3999&gt;=aug!R$3)),lentry!$D$3:$D$3999),IF(WEEKDAY(R$3,1)=1,"WO","P"))</f>
        <v>P</v>
      </c>
      <c r="S15" s="4" t="str">
        <f>IFERROR(LOOKUP(2,1/((lentry!$A$3:$A$3999=aug!$A15)*(lentry!$B$3:$B$3999&lt;=aug!S$3)*(lentry!$C$3:$C$3999&gt;=aug!S$3)),lentry!$D$3:$D$3999),IF(WEEKDAY(S$3,1)=1,"WO","P"))</f>
        <v>P</v>
      </c>
      <c r="T15" s="4" t="s">
        <v>350</v>
      </c>
      <c r="U15" s="4" t="s">
        <v>342</v>
      </c>
      <c r="V15" s="4" t="str">
        <f>IFERROR(LOOKUP(2,1/((lentry!$A$3:$A$3999=aug!$A15)*(lentry!$B$3:$B$3999&lt;=aug!V$3)*(lentry!$C$3:$C$3999&gt;=aug!V$3)),lentry!$D$3:$D$3999),IF(WEEKDAY(V$3,1)=1,"WO","P"))</f>
        <v>P</v>
      </c>
      <c r="W15" s="4" t="str">
        <f>IFERROR(LOOKUP(2,1/((lentry!$A$3:$A$3999=aug!$A15)*(lentry!$B$3:$B$3999&lt;=aug!W$3)*(lentry!$C$3:$C$3999&gt;=aug!W$3)),lentry!$D$3:$D$3999),IF(WEEKDAY(W$3,1)=1,"WO","P"))</f>
        <v>P</v>
      </c>
      <c r="X15" s="4" t="str">
        <f>IFERROR(LOOKUP(2,1/((lentry!$A$3:$A$3999=aug!$A15)*(lentry!$B$3:$B$3999&lt;=aug!X$3)*(lentry!$C$3:$C$3999&gt;=aug!X$3)),lentry!$D$3:$D$3999),IF(WEEKDAY(X$3,1)=1,"WO","P"))</f>
        <v>P</v>
      </c>
      <c r="Y15" s="4" t="s">
        <v>539</v>
      </c>
      <c r="Z15" s="4" t="str">
        <f>IFERROR(LOOKUP(2,1/((lentry!$A$3:$A$3999=aug!$A15)*(lentry!$B$3:$B$3999&lt;=aug!Z$3)*(lentry!$C$3:$C$3999&gt;=aug!Z$3)),lentry!$D$3:$D$3999),IF(WEEKDAY(Z$3,1)=1,"WO","P"))</f>
        <v>P</v>
      </c>
      <c r="AA15" s="4" t="str">
        <f>IFERROR(LOOKUP(2,1/((lentry!$A$3:$A$3999=aug!$A15)*(lentry!$B$3:$B$3999&lt;=aug!AA$3)*(lentry!$C$3:$C$3999&gt;=aug!AA$3)),lentry!$D$3:$D$3999),IF(WEEKDAY(AA$3,1)=1,"WO","P"))</f>
        <v>P</v>
      </c>
      <c r="AB15" s="4" t="s">
        <v>342</v>
      </c>
      <c r="AC15" s="4" t="str">
        <f>IFERROR(LOOKUP(2,1/((lentry!$A$3:$A$3999=aug!$A15)*(lentry!$B$3:$B$3999&lt;=aug!AC$3)*(lentry!$C$3:$C$3999&gt;=aug!AC$3)),lentry!$D$3:$D$3999),IF(WEEKDAY(AC$3,1)=1,"WO","P"))</f>
        <v>P</v>
      </c>
      <c r="AD15" s="4" t="str">
        <f>IFERROR(LOOKUP(2,1/((lentry!$A$3:$A$3999=aug!$A15)*(lentry!$B$3:$B$3999&lt;=aug!AD$3)*(lentry!$C$3:$C$3999&gt;=aug!AD$3)),lentry!$D$3:$D$3999),IF(WEEKDAY(AD$3,1)=1,"WO","P"))</f>
        <v>P</v>
      </c>
      <c r="AE15" s="4" t="str">
        <f>IFERROR(LOOKUP(2,1/((lentry!$A$3:$A$3999=aug!$A15)*(lentry!$B$3:$B$3999&lt;=aug!AE$3)*(lentry!$C$3:$C$3999&gt;=aug!AE$3)),lentry!$D$3:$D$3999),IF(WEEKDAY(AE$3,1)=1,"WO","P"))</f>
        <v>P</v>
      </c>
      <c r="AF15" s="4" t="str">
        <f>IFERROR(LOOKUP(2,1/((lentry!$A$3:$A$3999=aug!$A15)*(lentry!$B$3:$B$3999&lt;=aug!AF$3)*(lentry!$C$3:$C$3999&gt;=aug!AF$3)),lentry!$D$3:$D$3999),IF(WEEKDAY(AF$3,1)=1,"WO","P"))</f>
        <v>P</v>
      </c>
      <c r="AG15" s="4" t="str">
        <f>IFERROR(LOOKUP(2,1/((lentry!$A$3:$A$3999=aug!$A15)*(lentry!$B$3:$B$3999&lt;=aug!AG$3)*(lentry!$C$3:$C$3999&gt;=aug!AG$3)),lentry!$D$3:$D$3999),IF(WEEKDAY(AG$3,1)=1,"WO","P"))</f>
        <v>P</v>
      </c>
      <c r="AH15" s="4" t="str">
        <f>IFERROR(LOOKUP(2,1/((lentry!$A$3:$A$3999=aug!$A15)*(lentry!$B$3:$B$3999&lt;=aug!AH$3)*(lentry!$C$3:$C$3999&gt;=aug!AH$3)),lentry!$D$3:$D$3999),IF(WEEKDAY(AH$3,1)=1,"WO","P"))</f>
        <v>P</v>
      </c>
      <c r="AI15" s="4" t="s">
        <v>342</v>
      </c>
      <c r="AJ15" s="4" t="str">
        <f>IFERROR(LOOKUP(2,1/((lentry!$A$3:$A$3999=aug!$A15)*(lentry!$B$3:$B$3999&lt;=aug!AJ$3)*(lentry!$C$3:$C$3999&gt;=aug!AJ$3)),lentry!$D$3:$D$3999),IF(WEEKDAY(AJ$3,1)=1,"WO","P"))</f>
        <v>P</v>
      </c>
      <c r="AK15" s="4">
        <f>COUNTIF(aug!$F15:$AJ15,"WO")</f>
        <v>5</v>
      </c>
      <c r="AL15" s="4">
        <f>COUNTIF(aug!$F15:$AJ15,"H")</f>
        <v>1</v>
      </c>
      <c r="AM15" s="4">
        <f>COUNTIF(aug!$F15:$AJ15,"pl")</f>
        <v>0</v>
      </c>
      <c r="AN15" s="4">
        <f>COUNTIF(aug!$F15:$AJ15,"LWP")</f>
        <v>0</v>
      </c>
      <c r="AO15" s="4">
        <f>COUNTIF(aug!$F15:$AJ15,"HD")</f>
        <v>0</v>
      </c>
      <c r="AP15" s="4">
        <f>COUNTIF(aug!$F15:$AJ15,"SL")</f>
        <v>0</v>
      </c>
      <c r="AQ15" s="4">
        <f>COUNTIF(aug!$F15:$AJ15,"CL")</f>
        <v>0</v>
      </c>
      <c r="AR15" s="4">
        <f>COUNTIF(aug!$F15:$AJ15,"A")</f>
        <v>2</v>
      </c>
      <c r="AS15" s="4">
        <f>COUNTIF(aug!$F15:$AJ15,"P")</f>
        <v>23</v>
      </c>
      <c r="AT15" s="4">
        <f t="shared" si="2"/>
        <v>31</v>
      </c>
      <c r="AU15" s="4">
        <f t="shared" si="3"/>
        <v>29</v>
      </c>
    </row>
    <row r="16" spans="1:79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IFERROR(LOOKUP(2,1/((lentry!$A$3:$A$3999=aug!$A16)*(lentry!$B$3:$B$3999&lt;=aug!F$3)*(lentry!$C$3:$C$3999&gt;=aug!F$3)),lentry!$D$3:$D$3999),IF(WEEKDAY(F$3,1)=1,"WO","P"))</f>
        <v>P</v>
      </c>
      <c r="G16" s="4" t="s">
        <v>342</v>
      </c>
      <c r="H16" s="4" t="str">
        <f>IFERROR(LOOKUP(2,1/((lentry!$A$3:$A$3999=aug!$A16)*(lentry!$B$3:$B$3999&lt;=aug!H$3)*(lentry!$C$3:$C$3999&gt;=aug!H$3)),lentry!$D$3:$D$3999),IF(WEEKDAY(H$3,1)=1,"WO","P"))</f>
        <v>P</v>
      </c>
      <c r="I16" s="4" t="str">
        <f>IFERROR(LOOKUP(2,1/((lentry!$A$3:$A$3999=aug!$A16)*(lentry!$B$3:$B$3999&lt;=aug!I$3)*(lentry!$C$3:$C$3999&gt;=aug!I$3)),lentry!$D$3:$D$3999),IF(WEEKDAY(I$3,1)=1,"WO","P"))</f>
        <v>P</v>
      </c>
      <c r="J16" s="4" t="str">
        <f>IFERROR(LOOKUP(2,1/((lentry!$A$3:$A$3999=aug!$A16)*(lentry!$B$3:$B$3999&lt;=aug!J$3)*(lentry!$C$3:$C$3999&gt;=aug!J$3)),lentry!$D$3:$D$3999),IF(WEEKDAY(J$3,1)=1,"WO","P"))</f>
        <v>P</v>
      </c>
      <c r="K16" s="4" t="str">
        <f>IFERROR(LOOKUP(2,1/((lentry!$A$3:$A$3999=aug!$A16)*(lentry!$B$3:$B$3999&lt;=aug!K$3)*(lentry!$C$3:$C$3999&gt;=aug!K$3)),lentry!$D$3:$D$3999),IF(WEEKDAY(K$3,1)=1,"WO","P"))</f>
        <v>P</v>
      </c>
      <c r="L16" s="4" t="str">
        <f>IFERROR(LOOKUP(2,1/((lentry!$A$3:$A$3999=aug!$A16)*(lentry!$B$3:$B$3999&lt;=aug!L$3)*(lentry!$C$3:$C$3999&gt;=aug!L$3)),lentry!$D$3:$D$3999),IF(WEEKDAY(L$3,1)=1,"WO","P"))</f>
        <v>P</v>
      </c>
      <c r="M16" s="4" t="str">
        <f>IFERROR(LOOKUP(2,1/((lentry!$A$3:$A$3999=aug!$A16)*(lentry!$B$3:$B$3999&lt;=aug!M$3)*(lentry!$C$3:$C$3999&gt;=aug!M$3)),lentry!$D$3:$D$3999),IF(WEEKDAY(M$3,1)=1,"WO","P"))</f>
        <v>P</v>
      </c>
      <c r="N16" s="4" t="s">
        <v>342</v>
      </c>
      <c r="O16" s="4" t="str">
        <f>IFERROR(LOOKUP(2,1/((lentry!$A$3:$A$3999=aug!$A16)*(lentry!$B$3:$B$3999&lt;=aug!O$3)*(lentry!$C$3:$C$3999&gt;=aug!O$3)),lentry!$D$3:$D$3999),IF(WEEKDAY(O$3,1)=1,"WO","P"))</f>
        <v>P</v>
      </c>
      <c r="P16" s="4" t="str">
        <f>IFERROR(LOOKUP(2,1/((lentry!$A$3:$A$3999=aug!$A16)*(lentry!$B$3:$B$3999&lt;=aug!P$3)*(lentry!$C$3:$C$3999&gt;=aug!P$3)),lentry!$D$3:$D$3999),IF(WEEKDAY(P$3,1)=1,"WO","P"))</f>
        <v>P</v>
      </c>
      <c r="Q16" s="4" t="str">
        <f>IFERROR(LOOKUP(2,1/((lentry!$A$3:$A$3999=aug!$A16)*(lentry!$B$3:$B$3999&lt;=aug!Q$3)*(lentry!$C$3:$C$3999&gt;=aug!Q$3)),lentry!$D$3:$D$3999),IF(WEEKDAY(Q$3,1)=1,"WO","P"))</f>
        <v>P</v>
      </c>
      <c r="R16" s="4" t="str">
        <f>IFERROR(LOOKUP(2,1/((lentry!$A$3:$A$3999=aug!$A16)*(lentry!$B$3:$B$3999&lt;=aug!R$3)*(lentry!$C$3:$C$3999&gt;=aug!R$3)),lentry!$D$3:$D$3999),IF(WEEKDAY(R$3,1)=1,"WO","P"))</f>
        <v>P</v>
      </c>
      <c r="S16" s="4" t="str">
        <f>IFERROR(LOOKUP(2,1/((lentry!$A$3:$A$3999=aug!$A16)*(lentry!$B$3:$B$3999&lt;=aug!S$3)*(lentry!$C$3:$C$3999&gt;=aug!S$3)),lentry!$D$3:$D$3999),IF(WEEKDAY(S$3,1)=1,"WO","P"))</f>
        <v>P</v>
      </c>
      <c r="T16" s="4" t="s">
        <v>350</v>
      </c>
      <c r="U16" s="4" t="s">
        <v>342</v>
      </c>
      <c r="V16" s="4" t="str">
        <f>IFERROR(LOOKUP(2,1/((lentry!$A$3:$A$3999=aug!$A16)*(lentry!$B$3:$B$3999&lt;=aug!V$3)*(lentry!$C$3:$C$3999&gt;=aug!V$3)),lentry!$D$3:$D$3999),IF(WEEKDAY(V$3,1)=1,"WO","P"))</f>
        <v>P</v>
      </c>
      <c r="W16" s="4" t="str">
        <f>IFERROR(LOOKUP(2,1/((lentry!$A$3:$A$3999=aug!$A16)*(lentry!$B$3:$B$3999&lt;=aug!W$3)*(lentry!$C$3:$C$3999&gt;=aug!W$3)),lentry!$D$3:$D$3999),IF(WEEKDAY(W$3,1)=1,"WO","P"))</f>
        <v>P</v>
      </c>
      <c r="X16" s="4" t="str">
        <f>IFERROR(LOOKUP(2,1/((lentry!$A$3:$A$3999=aug!$A16)*(lentry!$B$3:$B$3999&lt;=aug!X$3)*(lentry!$C$3:$C$3999&gt;=aug!X$3)),lentry!$D$3:$D$3999),IF(WEEKDAY(X$3,1)=1,"WO","P"))</f>
        <v>P</v>
      </c>
      <c r="Y16" s="4" t="str">
        <f>IFERROR(LOOKUP(2,1/((lentry!$A$3:$A$3999=aug!$A16)*(lentry!$B$3:$B$3999&lt;=aug!Y$3)*(lentry!$C$3:$C$3999&gt;=aug!Y$3)),lentry!$D$3:$D$3999),IF(WEEKDAY(Y$3,1)=1,"WO","P"))</f>
        <v>P</v>
      </c>
      <c r="Z16" s="4" t="str">
        <f>IFERROR(LOOKUP(2,1/((lentry!$A$3:$A$3999=aug!$A16)*(lentry!$B$3:$B$3999&lt;=aug!Z$3)*(lentry!$C$3:$C$3999&gt;=aug!Z$3)),lentry!$D$3:$D$3999),IF(WEEKDAY(Z$3,1)=1,"WO","P"))</f>
        <v>P</v>
      </c>
      <c r="AA16" s="4" t="str">
        <f>IFERROR(LOOKUP(2,1/((lentry!$A$3:$A$3999=aug!$A16)*(lentry!$B$3:$B$3999&lt;=aug!AA$3)*(lentry!$C$3:$C$3999&gt;=aug!AA$3)),lentry!$D$3:$D$3999),IF(WEEKDAY(AA$3,1)=1,"WO","P"))</f>
        <v>P</v>
      </c>
      <c r="AB16" s="4" t="s">
        <v>342</v>
      </c>
      <c r="AC16" s="4" t="str">
        <f>IFERROR(LOOKUP(2,1/((lentry!$A$3:$A$3999=aug!$A16)*(lentry!$B$3:$B$3999&lt;=aug!AC$3)*(lentry!$C$3:$C$3999&gt;=aug!AC$3)),lentry!$D$3:$D$3999),IF(WEEKDAY(AC$3,1)=1,"WO","P"))</f>
        <v>P</v>
      </c>
      <c r="AD16" s="4" t="str">
        <f>IFERROR(LOOKUP(2,1/((lentry!$A$3:$A$3999=aug!$A16)*(lentry!$B$3:$B$3999&lt;=aug!AD$3)*(lentry!$C$3:$C$3999&gt;=aug!AD$3)),lentry!$D$3:$D$3999),IF(WEEKDAY(AD$3,1)=1,"WO","P"))</f>
        <v>P</v>
      </c>
      <c r="AE16" s="4" t="str">
        <f>IFERROR(LOOKUP(2,1/((lentry!$A$3:$A$3999=aug!$A16)*(lentry!$B$3:$B$3999&lt;=aug!AE$3)*(lentry!$C$3:$C$3999&gt;=aug!AE$3)),lentry!$D$3:$D$3999),IF(WEEKDAY(AE$3,1)=1,"WO","P"))</f>
        <v>P</v>
      </c>
      <c r="AF16" s="4" t="str">
        <f>IFERROR(LOOKUP(2,1/((lentry!$A$3:$A$3999=aug!$A16)*(lentry!$B$3:$B$3999&lt;=aug!AF$3)*(lentry!$C$3:$C$3999&gt;=aug!AF$3)),lentry!$D$3:$D$3999),IF(WEEKDAY(AF$3,1)=1,"WO","P"))</f>
        <v>P</v>
      </c>
      <c r="AG16" s="4" t="str">
        <f>IFERROR(LOOKUP(2,1/((lentry!$A$3:$A$3999=aug!$A16)*(lentry!$B$3:$B$3999&lt;=aug!AG$3)*(lentry!$C$3:$C$3999&gt;=aug!AG$3)),lentry!$D$3:$D$3999),IF(WEEKDAY(AG$3,1)=1,"WO","P"))</f>
        <v>P</v>
      </c>
      <c r="AH16" s="4" t="str">
        <f>IFERROR(LOOKUP(2,1/((lentry!$A$3:$A$3999=aug!$A16)*(lentry!$B$3:$B$3999&lt;=aug!AH$3)*(lentry!$C$3:$C$3999&gt;=aug!AH$3)),lentry!$D$3:$D$3999),IF(WEEKDAY(AH$3,1)=1,"WO","P"))</f>
        <v>P</v>
      </c>
      <c r="AI16" s="4" t="s">
        <v>342</v>
      </c>
      <c r="AJ16" s="4" t="str">
        <f>IFERROR(LOOKUP(2,1/((lentry!$A$3:$A$3999=aug!$A16)*(lentry!$B$3:$B$3999&lt;=aug!AJ$3)*(lentry!$C$3:$C$3999&gt;=aug!AJ$3)),lentry!$D$3:$D$3999),IF(WEEKDAY(AJ$3,1)=1,"WO","P"))</f>
        <v>P</v>
      </c>
      <c r="AK16" s="4">
        <f>COUNTIF(aug!$F16:$AJ16,"WO")</f>
        <v>5</v>
      </c>
      <c r="AL16" s="4">
        <f>COUNTIF(aug!$F16:$AJ16,"H")</f>
        <v>1</v>
      </c>
      <c r="AM16" s="4">
        <f>COUNTIF(aug!$F16:$AJ16,"pl")</f>
        <v>0</v>
      </c>
      <c r="AN16" s="4">
        <f>COUNTIF(aug!$F16:$AJ16,"LWP")</f>
        <v>0</v>
      </c>
      <c r="AO16" s="4">
        <f>COUNTIF(aug!$F16:$AJ16,"HD")</f>
        <v>0</v>
      </c>
      <c r="AP16" s="4">
        <f>COUNTIF(aug!$F16:$AJ16,"SL")</f>
        <v>0</v>
      </c>
      <c r="AQ16" s="4">
        <f>COUNTIF(aug!$F16:$AJ16,"CL")</f>
        <v>0</v>
      </c>
      <c r="AR16" s="4">
        <f>COUNTIF(aug!$F16:$AJ16,"A")</f>
        <v>0</v>
      </c>
      <c r="AS16" s="4">
        <f>COUNTIF(aug!$F16:$AJ16,"P")</f>
        <v>25</v>
      </c>
      <c r="AT16" s="4">
        <f t="shared" si="2"/>
        <v>31</v>
      </c>
      <c r="AU16" s="4">
        <f t="shared" si="3"/>
        <v>31</v>
      </c>
    </row>
    <row r="17" spans="1:47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IFERROR(LOOKUP(2,1/((lentry!$A$3:$A$3999=aug!$A17)*(lentry!$B$3:$B$3999&lt;=aug!F$3)*(lentry!$C$3:$C$3999&gt;=aug!F$3)),lentry!$D$3:$D$3999),IF(WEEKDAY(F$3,1)=1,"WO","P"))</f>
        <v>P</v>
      </c>
      <c r="G17" s="4" t="s">
        <v>342</v>
      </c>
      <c r="H17" s="4" t="str">
        <f>IFERROR(LOOKUP(2,1/((lentry!$A$3:$A$3999=aug!$A17)*(lentry!$B$3:$B$3999&lt;=aug!H$3)*(lentry!$C$3:$C$3999&gt;=aug!H$3)),lentry!$D$3:$D$3999),IF(WEEKDAY(H$3,1)=1,"WO","P"))</f>
        <v>P</v>
      </c>
      <c r="I17" s="4" t="str">
        <f>IFERROR(LOOKUP(2,1/((lentry!$A$3:$A$3999=aug!$A17)*(lentry!$B$3:$B$3999&lt;=aug!I$3)*(lentry!$C$3:$C$3999&gt;=aug!I$3)),lentry!$D$3:$D$3999),IF(WEEKDAY(I$3,1)=1,"WO","P"))</f>
        <v>P</v>
      </c>
      <c r="J17" s="4" t="str">
        <f>IFERROR(LOOKUP(2,1/((lentry!$A$3:$A$3999=aug!$A17)*(lentry!$B$3:$B$3999&lt;=aug!J$3)*(lentry!$C$3:$C$3999&gt;=aug!J$3)),lentry!$D$3:$D$3999),IF(WEEKDAY(J$3,1)=1,"WO","P"))</f>
        <v>P</v>
      </c>
      <c r="K17" s="4" t="str">
        <f>IFERROR(LOOKUP(2,1/((lentry!$A$3:$A$3999=aug!$A17)*(lentry!$B$3:$B$3999&lt;=aug!K$3)*(lentry!$C$3:$C$3999&gt;=aug!K$3)),lentry!$D$3:$D$3999),IF(WEEKDAY(K$3,1)=1,"WO","P"))</f>
        <v>P</v>
      </c>
      <c r="L17" s="4" t="str">
        <f>IFERROR(LOOKUP(2,1/((lentry!$A$3:$A$3999=aug!$A17)*(lentry!$B$3:$B$3999&lt;=aug!L$3)*(lentry!$C$3:$C$3999&gt;=aug!L$3)),lentry!$D$3:$D$3999),IF(WEEKDAY(L$3,1)=1,"WO","P"))</f>
        <v>P</v>
      </c>
      <c r="M17" s="4" t="str">
        <f>IFERROR(LOOKUP(2,1/((lentry!$A$3:$A$3999=aug!$A17)*(lentry!$B$3:$B$3999&lt;=aug!M$3)*(lentry!$C$3:$C$3999&gt;=aug!M$3)),lentry!$D$3:$D$3999),IF(WEEKDAY(M$3,1)=1,"WO","P"))</f>
        <v>P</v>
      </c>
      <c r="N17" s="4" t="s">
        <v>342</v>
      </c>
      <c r="O17" s="4" t="str">
        <f>IFERROR(LOOKUP(2,1/((lentry!$A$3:$A$3999=aug!$A17)*(lentry!$B$3:$B$3999&lt;=aug!O$3)*(lentry!$C$3:$C$3999&gt;=aug!O$3)),lentry!$D$3:$D$3999),IF(WEEKDAY(O$3,1)=1,"WO","P"))</f>
        <v>P</v>
      </c>
      <c r="P17" s="4" t="str">
        <f>IFERROR(LOOKUP(2,1/((lentry!$A$3:$A$3999=aug!$A17)*(lentry!$B$3:$B$3999&lt;=aug!P$3)*(lentry!$C$3:$C$3999&gt;=aug!P$3)),lentry!$D$3:$D$3999),IF(WEEKDAY(P$3,1)=1,"WO","P"))</f>
        <v>P</v>
      </c>
      <c r="Q17" s="4" t="str">
        <f>IFERROR(LOOKUP(2,1/((lentry!$A$3:$A$3999=aug!$A17)*(lentry!$B$3:$B$3999&lt;=aug!Q$3)*(lentry!$C$3:$C$3999&gt;=aug!Q$3)),lentry!$D$3:$D$3999),IF(WEEKDAY(Q$3,1)=1,"WO","P"))</f>
        <v>P</v>
      </c>
      <c r="R17" s="4" t="str">
        <f>IFERROR(LOOKUP(2,1/((lentry!$A$3:$A$3999=aug!$A17)*(lentry!$B$3:$B$3999&lt;=aug!R$3)*(lentry!$C$3:$C$3999&gt;=aug!R$3)),lentry!$D$3:$D$3999),IF(WEEKDAY(R$3,1)=1,"WO","P"))</f>
        <v>P</v>
      </c>
      <c r="S17" s="4" t="str">
        <f>IFERROR(LOOKUP(2,1/((lentry!$A$3:$A$3999=aug!$A17)*(lentry!$B$3:$B$3999&lt;=aug!S$3)*(lentry!$C$3:$C$3999&gt;=aug!S$3)),lentry!$D$3:$D$3999),IF(WEEKDAY(S$3,1)=1,"WO","P"))</f>
        <v>P</v>
      </c>
      <c r="T17" s="4" t="s">
        <v>350</v>
      </c>
      <c r="U17" s="4" t="s">
        <v>342</v>
      </c>
      <c r="V17" s="4" t="str">
        <f>IFERROR(LOOKUP(2,1/((lentry!$A$3:$A$3999=aug!$A17)*(lentry!$B$3:$B$3999&lt;=aug!V$3)*(lentry!$C$3:$C$3999&gt;=aug!V$3)),lentry!$D$3:$D$3999),IF(WEEKDAY(V$3,1)=1,"WO","P"))</f>
        <v>P</v>
      </c>
      <c r="W17" s="4" t="str">
        <f>IFERROR(LOOKUP(2,1/((lentry!$A$3:$A$3999=aug!$A17)*(lentry!$B$3:$B$3999&lt;=aug!W$3)*(lentry!$C$3:$C$3999&gt;=aug!W$3)),lentry!$D$3:$D$3999),IF(WEEKDAY(W$3,1)=1,"WO","P"))</f>
        <v>P</v>
      </c>
      <c r="X17" s="4" t="str">
        <f>IFERROR(LOOKUP(2,1/((lentry!$A$3:$A$3999=aug!$A17)*(lentry!$B$3:$B$3999&lt;=aug!X$3)*(lentry!$C$3:$C$3999&gt;=aug!X$3)),lentry!$D$3:$D$3999),IF(WEEKDAY(X$3,1)=1,"WO","P"))</f>
        <v>P</v>
      </c>
      <c r="Y17" s="4" t="str">
        <f>IFERROR(LOOKUP(2,1/((lentry!$A$3:$A$3999=aug!$A17)*(lentry!$B$3:$B$3999&lt;=aug!Y$3)*(lentry!$C$3:$C$3999&gt;=aug!Y$3)),lentry!$D$3:$D$3999),IF(WEEKDAY(Y$3,1)=1,"WO","P"))</f>
        <v>P</v>
      </c>
      <c r="Z17" s="4" t="str">
        <f>IFERROR(LOOKUP(2,1/((lentry!$A$3:$A$3999=aug!$A17)*(lentry!$B$3:$B$3999&lt;=aug!Z$3)*(lentry!$C$3:$C$3999&gt;=aug!Z$3)),lentry!$D$3:$D$3999),IF(WEEKDAY(Z$3,1)=1,"WO","P"))</f>
        <v>P</v>
      </c>
      <c r="AA17" s="4" t="str">
        <f>IFERROR(LOOKUP(2,1/((lentry!$A$3:$A$3999=aug!$A17)*(lentry!$B$3:$B$3999&lt;=aug!AA$3)*(lentry!$C$3:$C$3999&gt;=aug!AA$3)),lentry!$D$3:$D$3999),IF(WEEKDAY(AA$3,1)=1,"WO","P"))</f>
        <v>P</v>
      </c>
      <c r="AB17" s="4" t="s">
        <v>342</v>
      </c>
      <c r="AC17" s="4" t="str">
        <f>IFERROR(LOOKUP(2,1/((lentry!$A$3:$A$3999=aug!$A17)*(lentry!$B$3:$B$3999&lt;=aug!AC$3)*(lentry!$C$3:$C$3999&gt;=aug!AC$3)),lentry!$D$3:$D$3999),IF(WEEKDAY(AC$3,1)=1,"WO","P"))</f>
        <v>P</v>
      </c>
      <c r="AD17" s="4" t="str">
        <f>IFERROR(LOOKUP(2,1/((lentry!$A$3:$A$3999=aug!$A17)*(lentry!$B$3:$B$3999&lt;=aug!AD$3)*(lentry!$C$3:$C$3999&gt;=aug!AD$3)),lentry!$D$3:$D$3999),IF(WEEKDAY(AD$3,1)=1,"WO","P"))</f>
        <v>P</v>
      </c>
      <c r="AE17" s="4" t="str">
        <f>IFERROR(LOOKUP(2,1/((lentry!$A$3:$A$3999=aug!$A17)*(lentry!$B$3:$B$3999&lt;=aug!AE$3)*(lentry!$C$3:$C$3999&gt;=aug!AE$3)),lentry!$D$3:$D$3999),IF(WEEKDAY(AE$3,1)=1,"WO","P"))</f>
        <v>P</v>
      </c>
      <c r="AF17" s="4" t="str">
        <f>IFERROR(LOOKUP(2,1/((lentry!$A$3:$A$3999=aug!$A17)*(lentry!$B$3:$B$3999&lt;=aug!AF$3)*(lentry!$C$3:$C$3999&gt;=aug!AF$3)),lentry!$D$3:$D$3999),IF(WEEKDAY(AF$3,1)=1,"WO","P"))</f>
        <v>P</v>
      </c>
      <c r="AG17" s="4" t="str">
        <f>IFERROR(LOOKUP(2,1/((lentry!$A$3:$A$3999=aug!$A17)*(lentry!$B$3:$B$3999&lt;=aug!AG$3)*(lentry!$C$3:$C$3999&gt;=aug!AG$3)),lentry!$D$3:$D$3999),IF(WEEKDAY(AG$3,1)=1,"WO","P"))</f>
        <v>P</v>
      </c>
      <c r="AH17" s="4" t="s">
        <v>539</v>
      </c>
      <c r="AI17" s="4" t="s">
        <v>342</v>
      </c>
      <c r="AJ17" s="4" t="str">
        <f>IFERROR(LOOKUP(2,1/((lentry!$A$3:$A$3999=aug!$A17)*(lentry!$B$3:$B$3999&lt;=aug!AJ$3)*(lentry!$C$3:$C$3999&gt;=aug!AJ$3)),lentry!$D$3:$D$3999),IF(WEEKDAY(AJ$3,1)=1,"WO","P"))</f>
        <v>P</v>
      </c>
      <c r="AK17" s="4">
        <f>COUNTIF(aug!$F17:$AJ17,"WO")</f>
        <v>5</v>
      </c>
      <c r="AL17" s="4">
        <f>COUNTIF(aug!$F17:$AJ17,"H")</f>
        <v>1</v>
      </c>
      <c r="AM17" s="4">
        <f>COUNTIF(aug!$F17:$AJ17,"pl")</f>
        <v>0</v>
      </c>
      <c r="AN17" s="4">
        <f>COUNTIF(aug!$F17:$AJ17,"LWP")</f>
        <v>0</v>
      </c>
      <c r="AO17" s="4">
        <f>COUNTIF(aug!$F17:$AJ17,"HD")</f>
        <v>0</v>
      </c>
      <c r="AP17" s="4">
        <f>COUNTIF(aug!$F17:$AJ17,"SL")</f>
        <v>0</v>
      </c>
      <c r="AQ17" s="4">
        <f>COUNTIF(aug!$F17:$AJ17,"CL")</f>
        <v>0</v>
      </c>
      <c r="AR17" s="4">
        <f>COUNTIF(aug!$F17:$AJ17,"A")</f>
        <v>1</v>
      </c>
      <c r="AS17" s="4">
        <f>COUNTIF(aug!$F17:$AJ17,"P")</f>
        <v>24</v>
      </c>
      <c r="AT17" s="4">
        <f t="shared" si="2"/>
        <v>31</v>
      </c>
      <c r="AU17" s="4">
        <f t="shared" si="3"/>
        <v>30</v>
      </c>
    </row>
    <row r="18" spans="1:47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IFERROR(LOOKUP(2,1/((lentry!$A$3:$A$3999=aug!$A18)*(lentry!$B$3:$B$3999&lt;=aug!F$3)*(lentry!$C$3:$C$3999&gt;=aug!F$3)),lentry!$D$3:$D$3999),IF(WEEKDAY(F$3,1)=1,"WO","P"))</f>
        <v>P</v>
      </c>
      <c r="G18" s="4" t="s">
        <v>342</v>
      </c>
      <c r="H18" s="4" t="str">
        <f>IFERROR(LOOKUP(2,1/((lentry!$A$3:$A$3999=aug!$A18)*(lentry!$B$3:$B$3999&lt;=aug!H$3)*(lentry!$C$3:$C$3999&gt;=aug!H$3)),lentry!$D$3:$D$3999),IF(WEEKDAY(H$3,1)=1,"WO","P"))</f>
        <v>P</v>
      </c>
      <c r="I18" s="4" t="str">
        <f>IFERROR(LOOKUP(2,1/((lentry!$A$3:$A$3999=aug!$A18)*(lentry!$B$3:$B$3999&lt;=aug!I$3)*(lentry!$C$3:$C$3999&gt;=aug!I$3)),lentry!$D$3:$D$3999),IF(WEEKDAY(I$3,1)=1,"WO","P"))</f>
        <v>P</v>
      </c>
      <c r="J18" s="4" t="str">
        <f>IFERROR(LOOKUP(2,1/((lentry!$A$3:$A$3999=aug!$A18)*(lentry!$B$3:$B$3999&lt;=aug!J$3)*(lentry!$C$3:$C$3999&gt;=aug!J$3)),lentry!$D$3:$D$3999),IF(WEEKDAY(J$3,1)=1,"WO","P"))</f>
        <v>P</v>
      </c>
      <c r="K18" s="4" t="str">
        <f>IFERROR(LOOKUP(2,1/((lentry!$A$3:$A$3999=aug!$A18)*(lentry!$B$3:$B$3999&lt;=aug!K$3)*(lentry!$C$3:$C$3999&gt;=aug!K$3)),lentry!$D$3:$D$3999),IF(WEEKDAY(K$3,1)=1,"WO","P"))</f>
        <v>P</v>
      </c>
      <c r="L18" s="4" t="str">
        <f>IFERROR(LOOKUP(2,1/((lentry!$A$3:$A$3999=aug!$A18)*(lentry!$B$3:$B$3999&lt;=aug!L$3)*(lentry!$C$3:$C$3999&gt;=aug!L$3)),lentry!$D$3:$D$3999),IF(WEEKDAY(L$3,1)=1,"WO","P"))</f>
        <v>P</v>
      </c>
      <c r="M18" s="4" t="str">
        <f>IFERROR(LOOKUP(2,1/((lentry!$A$3:$A$3999=aug!$A18)*(lentry!$B$3:$B$3999&lt;=aug!M$3)*(lentry!$C$3:$C$3999&gt;=aug!M$3)),lentry!$D$3:$D$3999),IF(WEEKDAY(M$3,1)=1,"WO","P"))</f>
        <v>P</v>
      </c>
      <c r="N18" s="4" t="s">
        <v>342</v>
      </c>
      <c r="O18" s="4" t="str">
        <f>IFERROR(LOOKUP(2,1/((lentry!$A$3:$A$3999=aug!$A18)*(lentry!$B$3:$B$3999&lt;=aug!O$3)*(lentry!$C$3:$C$3999&gt;=aug!O$3)),lentry!$D$3:$D$3999),IF(WEEKDAY(O$3,1)=1,"WO","P"))</f>
        <v>P</v>
      </c>
      <c r="P18" s="4" t="str">
        <f>IFERROR(LOOKUP(2,1/((lentry!$A$3:$A$3999=aug!$A18)*(lentry!$B$3:$B$3999&lt;=aug!P$3)*(lentry!$C$3:$C$3999&gt;=aug!P$3)),lentry!$D$3:$D$3999),IF(WEEKDAY(P$3,1)=1,"WO","P"))</f>
        <v>P</v>
      </c>
      <c r="Q18" s="4" t="str">
        <f>IFERROR(LOOKUP(2,1/((lentry!$A$3:$A$3999=aug!$A18)*(lentry!$B$3:$B$3999&lt;=aug!Q$3)*(lentry!$C$3:$C$3999&gt;=aug!Q$3)),lentry!$D$3:$D$3999),IF(WEEKDAY(Q$3,1)=1,"WO","P"))</f>
        <v>P</v>
      </c>
      <c r="R18" s="4" t="str">
        <f>IFERROR(LOOKUP(2,1/((lentry!$A$3:$A$3999=aug!$A18)*(lentry!$B$3:$B$3999&lt;=aug!R$3)*(lentry!$C$3:$C$3999&gt;=aug!R$3)),lentry!$D$3:$D$3999),IF(WEEKDAY(R$3,1)=1,"WO","P"))</f>
        <v>P</v>
      </c>
      <c r="S18" s="4" t="str">
        <f>IFERROR(LOOKUP(2,1/((lentry!$A$3:$A$3999=aug!$A18)*(lentry!$B$3:$B$3999&lt;=aug!S$3)*(lentry!$C$3:$C$3999&gt;=aug!S$3)),lentry!$D$3:$D$3999),IF(WEEKDAY(S$3,1)=1,"WO","P"))</f>
        <v>P</v>
      </c>
      <c r="T18" s="4" t="s">
        <v>350</v>
      </c>
      <c r="U18" s="4" t="s">
        <v>342</v>
      </c>
      <c r="V18" s="4" t="str">
        <f>IFERROR(LOOKUP(2,1/((lentry!$A$3:$A$3999=aug!$A18)*(lentry!$B$3:$B$3999&lt;=aug!V$3)*(lentry!$C$3:$C$3999&gt;=aug!V$3)),lentry!$D$3:$D$3999),IF(WEEKDAY(V$3,1)=1,"WO","P"))</f>
        <v>P</v>
      </c>
      <c r="W18" s="4" t="str">
        <f>IFERROR(LOOKUP(2,1/((lentry!$A$3:$A$3999=aug!$A18)*(lentry!$B$3:$B$3999&lt;=aug!W$3)*(lentry!$C$3:$C$3999&gt;=aug!W$3)),lentry!$D$3:$D$3999),IF(WEEKDAY(W$3,1)=1,"WO","P"))</f>
        <v>P</v>
      </c>
      <c r="X18" s="4" t="str">
        <f>IFERROR(LOOKUP(2,1/((lentry!$A$3:$A$3999=aug!$A18)*(lentry!$B$3:$B$3999&lt;=aug!X$3)*(lentry!$C$3:$C$3999&gt;=aug!X$3)),lentry!$D$3:$D$3999),IF(WEEKDAY(X$3,1)=1,"WO","P"))</f>
        <v>P</v>
      </c>
      <c r="Y18" s="4" t="str">
        <f>IFERROR(LOOKUP(2,1/((lentry!$A$3:$A$3999=aug!$A18)*(lentry!$B$3:$B$3999&lt;=aug!Y$3)*(lentry!$C$3:$C$3999&gt;=aug!Y$3)),lentry!$D$3:$D$3999),IF(WEEKDAY(Y$3,1)=1,"WO","P"))</f>
        <v>P</v>
      </c>
      <c r="Z18" s="4" t="str">
        <f>IFERROR(LOOKUP(2,1/((lentry!$A$3:$A$3999=aug!$A18)*(lentry!$B$3:$B$3999&lt;=aug!Z$3)*(lentry!$C$3:$C$3999&gt;=aug!Z$3)),lentry!$D$3:$D$3999),IF(WEEKDAY(Z$3,1)=1,"WO","P"))</f>
        <v>P</v>
      </c>
      <c r="AA18" s="4" t="str">
        <f>IFERROR(LOOKUP(2,1/((lentry!$A$3:$A$3999=aug!$A18)*(lentry!$B$3:$B$3999&lt;=aug!AA$3)*(lentry!$C$3:$C$3999&gt;=aug!AA$3)),lentry!$D$3:$D$3999),IF(WEEKDAY(AA$3,1)=1,"WO","P"))</f>
        <v>P</v>
      </c>
      <c r="AB18" s="4" t="s">
        <v>342</v>
      </c>
      <c r="AC18" s="4" t="str">
        <f>IFERROR(LOOKUP(2,1/((lentry!$A$3:$A$3999=aug!$A18)*(lentry!$B$3:$B$3999&lt;=aug!AC$3)*(lentry!$C$3:$C$3999&gt;=aug!AC$3)),lentry!$D$3:$D$3999),IF(WEEKDAY(AC$3,1)=1,"WO","P"))</f>
        <v>P</v>
      </c>
      <c r="AD18" s="4" t="str">
        <f>IFERROR(LOOKUP(2,1/((lentry!$A$3:$A$3999=aug!$A18)*(lentry!$B$3:$B$3999&lt;=aug!AD$3)*(lentry!$C$3:$C$3999&gt;=aug!AD$3)),lentry!$D$3:$D$3999),IF(WEEKDAY(AD$3,1)=1,"WO","P"))</f>
        <v>P</v>
      </c>
      <c r="AE18" s="4" t="str">
        <f>IFERROR(LOOKUP(2,1/((lentry!$A$3:$A$3999=aug!$A18)*(lentry!$B$3:$B$3999&lt;=aug!AE$3)*(lentry!$C$3:$C$3999&gt;=aug!AE$3)),lentry!$D$3:$D$3999),IF(WEEKDAY(AE$3,1)=1,"WO","P"))</f>
        <v>P</v>
      </c>
      <c r="AF18" s="4" t="str">
        <f>IFERROR(LOOKUP(2,1/((lentry!$A$3:$A$3999=aug!$A18)*(lentry!$B$3:$B$3999&lt;=aug!AF$3)*(lentry!$C$3:$C$3999&gt;=aug!AF$3)),lentry!$D$3:$D$3999),IF(WEEKDAY(AF$3,1)=1,"WO","P"))</f>
        <v>P</v>
      </c>
      <c r="AG18" s="4" t="str">
        <f>IFERROR(LOOKUP(2,1/((lentry!$A$3:$A$3999=aug!$A18)*(lentry!$B$3:$B$3999&lt;=aug!AG$3)*(lentry!$C$3:$C$3999&gt;=aug!AG$3)),lentry!$D$3:$D$3999),IF(WEEKDAY(AG$3,1)=1,"WO","P"))</f>
        <v>P</v>
      </c>
      <c r="AH18" s="4" t="str">
        <f>IFERROR(LOOKUP(2,1/((lentry!$A$3:$A$3999=aug!$A18)*(lentry!$B$3:$B$3999&lt;=aug!AH$3)*(lentry!$C$3:$C$3999&gt;=aug!AH$3)),lentry!$D$3:$D$3999),IF(WEEKDAY(AH$3,1)=1,"WO","P"))</f>
        <v>P</v>
      </c>
      <c r="AI18" s="4" t="s">
        <v>342</v>
      </c>
      <c r="AJ18" s="4" t="str">
        <f>IFERROR(LOOKUP(2,1/((lentry!$A$3:$A$3999=aug!$A18)*(lentry!$B$3:$B$3999&lt;=aug!AJ$3)*(lentry!$C$3:$C$3999&gt;=aug!AJ$3)),lentry!$D$3:$D$3999),IF(WEEKDAY(AJ$3,1)=1,"WO","P"))</f>
        <v>P</v>
      </c>
      <c r="AK18" s="4">
        <f>COUNTIF(aug!$F18:$AJ18,"WO")</f>
        <v>5</v>
      </c>
      <c r="AL18" s="4">
        <f>COUNTIF(aug!$F18:$AJ18,"H")</f>
        <v>1</v>
      </c>
      <c r="AM18" s="4">
        <f>COUNTIF(aug!$F18:$AJ18,"pl")</f>
        <v>0</v>
      </c>
      <c r="AN18" s="4">
        <f>COUNTIF(aug!$F18:$AJ18,"LWP")</f>
        <v>0</v>
      </c>
      <c r="AO18" s="4">
        <f>COUNTIF(aug!$F18:$AJ18,"HD")</f>
        <v>0</v>
      </c>
      <c r="AP18" s="4">
        <f>COUNTIF(aug!$F18:$AJ18,"SL")</f>
        <v>0</v>
      </c>
      <c r="AQ18" s="4">
        <f>COUNTIF(aug!$F18:$AJ18,"CL")</f>
        <v>0</v>
      </c>
      <c r="AR18" s="4">
        <f>COUNTIF(aug!$F18:$AJ18,"A")</f>
        <v>0</v>
      </c>
      <c r="AS18" s="4">
        <f>COUNTIF(aug!$F18:$AJ18,"P")</f>
        <v>25</v>
      </c>
      <c r="AT18" s="4">
        <f t="shared" si="2"/>
        <v>31</v>
      </c>
      <c r="AU18" s="4">
        <f t="shared" si="3"/>
        <v>31</v>
      </c>
    </row>
    <row r="19" spans="1:47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IFERROR(LOOKUP(2,1/((lentry!$A$3:$A$3999=aug!$A19)*(lentry!$B$3:$B$3999&lt;=aug!F$3)*(lentry!$C$3:$C$3999&gt;=aug!F$3)),lentry!$D$3:$D$3999),IF(WEEKDAY(F$3,1)=1,"WO","P"))</f>
        <v>P</v>
      </c>
      <c r="G19" s="4" t="s">
        <v>342</v>
      </c>
      <c r="H19" s="4" t="str">
        <f>IFERROR(LOOKUP(2,1/((lentry!$A$3:$A$3999=aug!$A19)*(lentry!$B$3:$B$3999&lt;=aug!H$3)*(lentry!$C$3:$C$3999&gt;=aug!H$3)),lentry!$D$3:$D$3999),IF(WEEKDAY(H$3,1)=1,"WO","P"))</f>
        <v>P</v>
      </c>
      <c r="I19" s="4" t="str">
        <f>IFERROR(LOOKUP(2,1/((lentry!$A$3:$A$3999=aug!$A19)*(lentry!$B$3:$B$3999&lt;=aug!I$3)*(lentry!$C$3:$C$3999&gt;=aug!I$3)),lentry!$D$3:$D$3999),IF(WEEKDAY(I$3,1)=1,"WO","P"))</f>
        <v>P</v>
      </c>
      <c r="J19" s="4" t="str">
        <f>IFERROR(LOOKUP(2,1/((lentry!$A$3:$A$3999=aug!$A19)*(lentry!$B$3:$B$3999&lt;=aug!J$3)*(lentry!$C$3:$C$3999&gt;=aug!J$3)),lentry!$D$3:$D$3999),IF(WEEKDAY(J$3,1)=1,"WO","P"))</f>
        <v>P</v>
      </c>
      <c r="K19" s="4" t="str">
        <f>IFERROR(LOOKUP(2,1/((lentry!$A$3:$A$3999=aug!$A19)*(lentry!$B$3:$B$3999&lt;=aug!K$3)*(lentry!$C$3:$C$3999&gt;=aug!K$3)),lentry!$D$3:$D$3999),IF(WEEKDAY(K$3,1)=1,"WO","P"))</f>
        <v>P</v>
      </c>
      <c r="L19" s="4" t="str">
        <f>IFERROR(LOOKUP(2,1/((lentry!$A$3:$A$3999=aug!$A19)*(lentry!$B$3:$B$3999&lt;=aug!L$3)*(lentry!$C$3:$C$3999&gt;=aug!L$3)),lentry!$D$3:$D$3999),IF(WEEKDAY(L$3,1)=1,"WO","P"))</f>
        <v>P</v>
      </c>
      <c r="M19" s="4" t="str">
        <f>IFERROR(LOOKUP(2,1/((lentry!$A$3:$A$3999=aug!$A19)*(lentry!$B$3:$B$3999&lt;=aug!M$3)*(lentry!$C$3:$C$3999&gt;=aug!M$3)),lentry!$D$3:$D$3999),IF(WEEKDAY(M$3,1)=1,"WO","P"))</f>
        <v>P</v>
      </c>
      <c r="N19" s="4" t="s">
        <v>342</v>
      </c>
      <c r="O19" s="4" t="str">
        <f>IFERROR(LOOKUP(2,1/((lentry!$A$3:$A$3999=aug!$A19)*(lentry!$B$3:$B$3999&lt;=aug!O$3)*(lentry!$C$3:$C$3999&gt;=aug!O$3)),lentry!$D$3:$D$3999),IF(WEEKDAY(O$3,1)=1,"WO","P"))</f>
        <v>P</v>
      </c>
      <c r="P19" s="4" t="str">
        <f>IFERROR(LOOKUP(2,1/((lentry!$A$3:$A$3999=aug!$A19)*(lentry!$B$3:$B$3999&lt;=aug!P$3)*(lentry!$C$3:$C$3999&gt;=aug!P$3)),lentry!$D$3:$D$3999),IF(WEEKDAY(P$3,1)=1,"WO","P"))</f>
        <v>P</v>
      </c>
      <c r="Q19" s="4" t="str">
        <f>IFERROR(LOOKUP(2,1/((lentry!$A$3:$A$3999=aug!$A19)*(lentry!$B$3:$B$3999&lt;=aug!Q$3)*(lentry!$C$3:$C$3999&gt;=aug!Q$3)),lentry!$D$3:$D$3999),IF(WEEKDAY(Q$3,1)=1,"WO","P"))</f>
        <v>P</v>
      </c>
      <c r="R19" s="4" t="str">
        <f>IFERROR(LOOKUP(2,1/((lentry!$A$3:$A$3999=aug!$A19)*(lentry!$B$3:$B$3999&lt;=aug!R$3)*(lentry!$C$3:$C$3999&gt;=aug!R$3)),lentry!$D$3:$D$3999),IF(WEEKDAY(R$3,1)=1,"WO","P"))</f>
        <v>P</v>
      </c>
      <c r="S19" s="4" t="str">
        <f>IFERROR(LOOKUP(2,1/((lentry!$A$3:$A$3999=aug!$A19)*(lentry!$B$3:$B$3999&lt;=aug!S$3)*(lentry!$C$3:$C$3999&gt;=aug!S$3)),lentry!$D$3:$D$3999),IF(WEEKDAY(S$3,1)=1,"WO","P"))</f>
        <v>P</v>
      </c>
      <c r="T19" s="4" t="s">
        <v>350</v>
      </c>
      <c r="U19" s="4" t="s">
        <v>342</v>
      </c>
      <c r="V19" s="4" t="str">
        <f>IFERROR(LOOKUP(2,1/((lentry!$A$3:$A$3999=aug!$A19)*(lentry!$B$3:$B$3999&lt;=aug!V$3)*(lentry!$C$3:$C$3999&gt;=aug!V$3)),lentry!$D$3:$D$3999),IF(WEEKDAY(V$3,1)=1,"WO","P"))</f>
        <v>P</v>
      </c>
      <c r="W19" s="4" t="str">
        <f>IFERROR(LOOKUP(2,1/((lentry!$A$3:$A$3999=aug!$A19)*(lentry!$B$3:$B$3999&lt;=aug!W$3)*(lentry!$C$3:$C$3999&gt;=aug!W$3)),lentry!$D$3:$D$3999),IF(WEEKDAY(W$3,1)=1,"WO","P"))</f>
        <v>P</v>
      </c>
      <c r="X19" s="4" t="str">
        <f>IFERROR(LOOKUP(2,1/((lentry!$A$3:$A$3999=aug!$A19)*(lentry!$B$3:$B$3999&lt;=aug!X$3)*(lentry!$C$3:$C$3999&gt;=aug!X$3)),lentry!$D$3:$D$3999),IF(WEEKDAY(X$3,1)=1,"WO","P"))</f>
        <v>P</v>
      </c>
      <c r="Y19" s="4" t="str">
        <f>IFERROR(LOOKUP(2,1/((lentry!$A$3:$A$3999=aug!$A19)*(lentry!$B$3:$B$3999&lt;=aug!Y$3)*(lentry!$C$3:$C$3999&gt;=aug!Y$3)),lentry!$D$3:$D$3999),IF(WEEKDAY(Y$3,1)=1,"WO","P"))</f>
        <v>P</v>
      </c>
      <c r="Z19" s="4" t="str">
        <f>IFERROR(LOOKUP(2,1/((lentry!$A$3:$A$3999=aug!$A19)*(lentry!$B$3:$B$3999&lt;=aug!Z$3)*(lentry!$C$3:$C$3999&gt;=aug!Z$3)),lentry!$D$3:$D$3999),IF(WEEKDAY(Z$3,1)=1,"WO","P"))</f>
        <v>P</v>
      </c>
      <c r="AA19" s="4" t="str">
        <f>IFERROR(LOOKUP(2,1/((lentry!$A$3:$A$3999=aug!$A19)*(lentry!$B$3:$B$3999&lt;=aug!AA$3)*(lentry!$C$3:$C$3999&gt;=aug!AA$3)),lentry!$D$3:$D$3999),IF(WEEKDAY(AA$3,1)=1,"WO","P"))</f>
        <v>P</v>
      </c>
      <c r="AB19" s="4" t="s">
        <v>342</v>
      </c>
      <c r="AC19" s="4" t="str">
        <f>IFERROR(LOOKUP(2,1/((lentry!$A$3:$A$3999=aug!$A19)*(lentry!$B$3:$B$3999&lt;=aug!AC$3)*(lentry!$C$3:$C$3999&gt;=aug!AC$3)),lentry!$D$3:$D$3999),IF(WEEKDAY(AC$3,1)=1,"WO","P"))</f>
        <v>P</v>
      </c>
      <c r="AD19" s="4" t="str">
        <f>IFERROR(LOOKUP(2,1/((lentry!$A$3:$A$3999=aug!$A19)*(lentry!$B$3:$B$3999&lt;=aug!AD$3)*(lentry!$C$3:$C$3999&gt;=aug!AD$3)),lentry!$D$3:$D$3999),IF(WEEKDAY(AD$3,1)=1,"WO","P"))</f>
        <v>P</v>
      </c>
      <c r="AE19" s="4" t="str">
        <f>IFERROR(LOOKUP(2,1/((lentry!$A$3:$A$3999=aug!$A19)*(lentry!$B$3:$B$3999&lt;=aug!AE$3)*(lentry!$C$3:$C$3999&gt;=aug!AE$3)),lentry!$D$3:$D$3999),IF(WEEKDAY(AE$3,1)=1,"WO","P"))</f>
        <v>P</v>
      </c>
      <c r="AF19" s="4" t="str">
        <f>IFERROR(LOOKUP(2,1/((lentry!$A$3:$A$3999=aug!$A19)*(lentry!$B$3:$B$3999&lt;=aug!AF$3)*(lentry!$C$3:$C$3999&gt;=aug!AF$3)),lentry!$D$3:$D$3999),IF(WEEKDAY(AF$3,1)=1,"WO","P"))</f>
        <v>P</v>
      </c>
      <c r="AG19" s="4" t="str">
        <f>IFERROR(LOOKUP(2,1/((lentry!$A$3:$A$3999=aug!$A19)*(lentry!$B$3:$B$3999&lt;=aug!AG$3)*(lentry!$C$3:$C$3999&gt;=aug!AG$3)),lentry!$D$3:$D$3999),IF(WEEKDAY(AG$3,1)=1,"WO","P"))</f>
        <v>P</v>
      </c>
      <c r="AH19" s="4" t="str">
        <f>IFERROR(LOOKUP(2,1/((lentry!$A$3:$A$3999=aug!$A19)*(lentry!$B$3:$B$3999&lt;=aug!AH$3)*(lentry!$C$3:$C$3999&gt;=aug!AH$3)),lentry!$D$3:$D$3999),IF(WEEKDAY(AH$3,1)=1,"WO","P"))</f>
        <v>P</v>
      </c>
      <c r="AI19" s="4" t="s">
        <v>342</v>
      </c>
      <c r="AJ19" s="4" t="str">
        <f>IFERROR(LOOKUP(2,1/((lentry!$A$3:$A$3999=aug!$A19)*(lentry!$B$3:$B$3999&lt;=aug!AJ$3)*(lentry!$C$3:$C$3999&gt;=aug!AJ$3)),lentry!$D$3:$D$3999),IF(WEEKDAY(AJ$3,1)=1,"WO","P"))</f>
        <v>P</v>
      </c>
      <c r="AK19" s="4">
        <f>COUNTIF(aug!$F19:$AJ19,"WO")</f>
        <v>5</v>
      </c>
      <c r="AL19" s="4">
        <f>COUNTIF(aug!$F19:$AJ19,"H")</f>
        <v>1</v>
      </c>
      <c r="AM19" s="4">
        <f>COUNTIF(aug!$F19:$AJ19,"pl")</f>
        <v>0</v>
      </c>
      <c r="AN19" s="4">
        <f>COUNTIF(aug!$F19:$AJ19,"LWP")</f>
        <v>0</v>
      </c>
      <c r="AO19" s="4">
        <f>COUNTIF(aug!$F19:$AJ19,"HD")</f>
        <v>0</v>
      </c>
      <c r="AP19" s="4">
        <f>COUNTIF(aug!$F19:$AJ19,"SL")</f>
        <v>0</v>
      </c>
      <c r="AQ19" s="4">
        <f>COUNTIF(aug!$F19:$AJ19,"CL")</f>
        <v>0</v>
      </c>
      <c r="AR19" s="4">
        <f>COUNTIF(aug!$F19:$AJ19,"A")</f>
        <v>0</v>
      </c>
      <c r="AS19" s="4">
        <f>COUNTIF(aug!$F19:$AJ19,"P")</f>
        <v>25</v>
      </c>
      <c r="AT19" s="4">
        <f t="shared" si="2"/>
        <v>31</v>
      </c>
      <c r="AU19" s="4">
        <f t="shared" si="3"/>
        <v>31</v>
      </c>
    </row>
    <row r="20" spans="1:47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IFERROR(LOOKUP(2,1/((lentry!$A$3:$A$3999=aug!$A20)*(lentry!$B$3:$B$3999&lt;=aug!F$3)*(lentry!$C$3:$C$3999&gt;=aug!F$3)),lentry!$D$3:$D$3999),IF(WEEKDAY(F$3,1)=1,"WO","P"))</f>
        <v>P</v>
      </c>
      <c r="G20" s="4" t="s">
        <v>342</v>
      </c>
      <c r="H20" s="4" t="str">
        <f>IFERROR(LOOKUP(2,1/((lentry!$A$3:$A$3999=aug!$A20)*(lentry!$B$3:$B$3999&lt;=aug!H$3)*(lentry!$C$3:$C$3999&gt;=aug!H$3)),lentry!$D$3:$D$3999),IF(WEEKDAY(H$3,1)=1,"WO","P"))</f>
        <v>P</v>
      </c>
      <c r="I20" s="4" t="str">
        <f>IFERROR(LOOKUP(2,1/((lentry!$A$3:$A$3999=aug!$A20)*(lentry!$B$3:$B$3999&lt;=aug!I$3)*(lentry!$C$3:$C$3999&gt;=aug!I$3)),lentry!$D$3:$D$3999),IF(WEEKDAY(I$3,1)=1,"WO","P"))</f>
        <v>P</v>
      </c>
      <c r="J20" s="4" t="str">
        <f>IFERROR(LOOKUP(2,1/((lentry!$A$3:$A$3999=aug!$A20)*(lentry!$B$3:$B$3999&lt;=aug!J$3)*(lentry!$C$3:$C$3999&gt;=aug!J$3)),lentry!$D$3:$D$3999),IF(WEEKDAY(J$3,1)=1,"WO","P"))</f>
        <v>P</v>
      </c>
      <c r="K20" s="4" t="str">
        <f>IFERROR(LOOKUP(2,1/((lentry!$A$3:$A$3999=aug!$A20)*(lentry!$B$3:$B$3999&lt;=aug!K$3)*(lentry!$C$3:$C$3999&gt;=aug!K$3)),lentry!$D$3:$D$3999),IF(WEEKDAY(K$3,1)=1,"WO","P"))</f>
        <v>P</v>
      </c>
      <c r="L20" s="4" t="str">
        <f>IFERROR(LOOKUP(2,1/((lentry!$A$3:$A$3999=aug!$A20)*(lentry!$B$3:$B$3999&lt;=aug!L$3)*(lentry!$C$3:$C$3999&gt;=aug!L$3)),lentry!$D$3:$D$3999),IF(WEEKDAY(L$3,1)=1,"WO","P"))</f>
        <v>P</v>
      </c>
      <c r="M20" s="4" t="str">
        <f>IFERROR(LOOKUP(2,1/((lentry!$A$3:$A$3999=aug!$A20)*(lentry!$B$3:$B$3999&lt;=aug!M$3)*(lentry!$C$3:$C$3999&gt;=aug!M$3)),lentry!$D$3:$D$3999),IF(WEEKDAY(M$3,1)=1,"WO","P"))</f>
        <v>P</v>
      </c>
      <c r="N20" s="4" t="s">
        <v>342</v>
      </c>
      <c r="O20" s="4" t="str">
        <f>IFERROR(LOOKUP(2,1/((lentry!$A$3:$A$3999=aug!$A20)*(lentry!$B$3:$B$3999&lt;=aug!O$3)*(lentry!$C$3:$C$3999&gt;=aug!O$3)),lentry!$D$3:$D$3999),IF(WEEKDAY(O$3,1)=1,"WO","P"))</f>
        <v>P</v>
      </c>
      <c r="P20" s="4" t="str">
        <f>IFERROR(LOOKUP(2,1/((lentry!$A$3:$A$3999=aug!$A20)*(lentry!$B$3:$B$3999&lt;=aug!P$3)*(lentry!$C$3:$C$3999&gt;=aug!P$3)),lentry!$D$3:$D$3999),IF(WEEKDAY(P$3,1)=1,"WO","P"))</f>
        <v>P</v>
      </c>
      <c r="Q20" s="4" t="str">
        <f>IFERROR(LOOKUP(2,1/((lentry!$A$3:$A$3999=aug!$A20)*(lentry!$B$3:$B$3999&lt;=aug!Q$3)*(lentry!$C$3:$C$3999&gt;=aug!Q$3)),lentry!$D$3:$D$3999),IF(WEEKDAY(Q$3,1)=1,"WO","P"))</f>
        <v>P</v>
      </c>
      <c r="R20" s="4" t="str">
        <f>IFERROR(LOOKUP(2,1/((lentry!$A$3:$A$3999=aug!$A20)*(lentry!$B$3:$B$3999&lt;=aug!R$3)*(lentry!$C$3:$C$3999&gt;=aug!R$3)),lentry!$D$3:$D$3999),IF(WEEKDAY(R$3,1)=1,"WO","P"))</f>
        <v>P</v>
      </c>
      <c r="S20" s="4" t="str">
        <f>IFERROR(LOOKUP(2,1/((lentry!$A$3:$A$3999=aug!$A20)*(lentry!$B$3:$B$3999&lt;=aug!S$3)*(lentry!$C$3:$C$3999&gt;=aug!S$3)),lentry!$D$3:$D$3999),IF(WEEKDAY(S$3,1)=1,"WO","P"))</f>
        <v>P</v>
      </c>
      <c r="T20" s="4" t="s">
        <v>350</v>
      </c>
      <c r="U20" s="4" t="s">
        <v>342</v>
      </c>
      <c r="V20" s="4" t="str">
        <f>IFERROR(LOOKUP(2,1/((lentry!$A$3:$A$3999=aug!$A20)*(lentry!$B$3:$B$3999&lt;=aug!V$3)*(lentry!$C$3:$C$3999&gt;=aug!V$3)),lentry!$D$3:$D$3999),IF(WEEKDAY(V$3,1)=1,"WO","P"))</f>
        <v>P</v>
      </c>
      <c r="W20" s="4" t="str">
        <f>IFERROR(LOOKUP(2,1/((lentry!$A$3:$A$3999=aug!$A20)*(lentry!$B$3:$B$3999&lt;=aug!W$3)*(lentry!$C$3:$C$3999&gt;=aug!W$3)),lentry!$D$3:$D$3999),IF(WEEKDAY(W$3,1)=1,"WO","P"))</f>
        <v>P</v>
      </c>
      <c r="X20" s="4" t="str">
        <f>IFERROR(LOOKUP(2,1/((lentry!$A$3:$A$3999=aug!$A20)*(lentry!$B$3:$B$3999&lt;=aug!X$3)*(lentry!$C$3:$C$3999&gt;=aug!X$3)),lentry!$D$3:$D$3999),IF(WEEKDAY(X$3,1)=1,"WO","P"))</f>
        <v>P</v>
      </c>
      <c r="Y20" s="4" t="s">
        <v>539</v>
      </c>
      <c r="Z20" s="4" t="str">
        <f>IFERROR(LOOKUP(2,1/((lentry!$A$3:$A$3999=aug!$A20)*(lentry!$B$3:$B$3999&lt;=aug!Z$3)*(lentry!$C$3:$C$3999&gt;=aug!Z$3)),lentry!$D$3:$D$3999),IF(WEEKDAY(Z$3,1)=1,"WO","P"))</f>
        <v>P</v>
      </c>
      <c r="AA20" s="4" t="str">
        <f>IFERROR(LOOKUP(2,1/((lentry!$A$3:$A$3999=aug!$A20)*(lentry!$B$3:$B$3999&lt;=aug!AA$3)*(lentry!$C$3:$C$3999&gt;=aug!AA$3)),lentry!$D$3:$D$3999),IF(WEEKDAY(AA$3,1)=1,"WO","P"))</f>
        <v>P</v>
      </c>
      <c r="AB20" s="4" t="s">
        <v>342</v>
      </c>
      <c r="AC20" s="4" t="str">
        <f>IFERROR(LOOKUP(2,1/((lentry!$A$3:$A$3999=aug!$A20)*(lentry!$B$3:$B$3999&lt;=aug!AC$3)*(lentry!$C$3:$C$3999&gt;=aug!AC$3)),lentry!$D$3:$D$3999),IF(WEEKDAY(AC$3,1)=1,"WO","P"))</f>
        <v>P</v>
      </c>
      <c r="AD20" s="4" t="str">
        <f>IFERROR(LOOKUP(2,1/((lentry!$A$3:$A$3999=aug!$A20)*(lentry!$B$3:$B$3999&lt;=aug!AD$3)*(lentry!$C$3:$C$3999&gt;=aug!AD$3)),lentry!$D$3:$D$3999),IF(WEEKDAY(AD$3,1)=1,"WO","P"))</f>
        <v>P</v>
      </c>
      <c r="AE20" s="4" t="str">
        <f>IFERROR(LOOKUP(2,1/((lentry!$A$3:$A$3999=aug!$A20)*(lentry!$B$3:$B$3999&lt;=aug!AE$3)*(lentry!$C$3:$C$3999&gt;=aug!AE$3)),lentry!$D$3:$D$3999),IF(WEEKDAY(AE$3,1)=1,"WO","P"))</f>
        <v>P</v>
      </c>
      <c r="AF20" s="4" t="str">
        <f>IFERROR(LOOKUP(2,1/((lentry!$A$3:$A$3999=aug!$A20)*(lentry!$B$3:$B$3999&lt;=aug!AF$3)*(lentry!$C$3:$C$3999&gt;=aug!AF$3)),lentry!$D$3:$D$3999),IF(WEEKDAY(AF$3,1)=1,"WO","P"))</f>
        <v>P</v>
      </c>
      <c r="AG20" s="4" t="str">
        <f>IFERROR(LOOKUP(2,1/((lentry!$A$3:$A$3999=aug!$A20)*(lentry!$B$3:$B$3999&lt;=aug!AG$3)*(lentry!$C$3:$C$3999&gt;=aug!AG$3)),lentry!$D$3:$D$3999),IF(WEEKDAY(AG$3,1)=1,"WO","P"))</f>
        <v>P</v>
      </c>
      <c r="AH20" s="4" t="str">
        <f>IFERROR(LOOKUP(2,1/((lentry!$A$3:$A$3999=aug!$A20)*(lentry!$B$3:$B$3999&lt;=aug!AH$3)*(lentry!$C$3:$C$3999&gt;=aug!AH$3)),lentry!$D$3:$D$3999),IF(WEEKDAY(AH$3,1)=1,"WO","P"))</f>
        <v>P</v>
      </c>
      <c r="AI20" s="4" t="s">
        <v>342</v>
      </c>
      <c r="AJ20" s="4" t="str">
        <f>IFERROR(LOOKUP(2,1/((lentry!$A$3:$A$3999=aug!$A20)*(lentry!$B$3:$B$3999&lt;=aug!AJ$3)*(lentry!$C$3:$C$3999&gt;=aug!AJ$3)),lentry!$D$3:$D$3999),IF(WEEKDAY(AJ$3,1)=1,"WO","P"))</f>
        <v>P</v>
      </c>
      <c r="AK20" s="4">
        <f>COUNTIF(aug!$F20:$AJ20,"WO")</f>
        <v>5</v>
      </c>
      <c r="AL20" s="4">
        <f>COUNTIF(aug!$F20:$AJ20,"H")</f>
        <v>1</v>
      </c>
      <c r="AM20" s="4">
        <f>COUNTIF(aug!$F20:$AJ20,"pl")</f>
        <v>0</v>
      </c>
      <c r="AN20" s="4">
        <f>COUNTIF(aug!$F20:$AJ20,"LWP")</f>
        <v>0</v>
      </c>
      <c r="AO20" s="4">
        <f>COUNTIF(aug!$F20:$AJ20,"HD")</f>
        <v>0</v>
      </c>
      <c r="AP20" s="4">
        <f>COUNTIF(aug!$F20:$AJ20,"SL")</f>
        <v>0</v>
      </c>
      <c r="AQ20" s="4">
        <f>COUNTIF(aug!$F20:$AJ20,"CL")</f>
        <v>0</v>
      </c>
      <c r="AR20" s="4">
        <f>COUNTIF(aug!$F20:$AJ20,"A")</f>
        <v>1</v>
      </c>
      <c r="AS20" s="4">
        <f>COUNTIF(aug!$F20:$AJ20,"P")</f>
        <v>24</v>
      </c>
      <c r="AT20" s="4">
        <f t="shared" si="2"/>
        <v>31</v>
      </c>
      <c r="AU20" s="4">
        <f t="shared" si="3"/>
        <v>30</v>
      </c>
    </row>
    <row r="21" spans="1:47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IFERROR(LOOKUP(2,1/((lentry!$A$3:$A$3999=aug!$A21)*(lentry!$B$3:$B$3999&lt;=aug!F$3)*(lentry!$C$3:$C$3999&gt;=aug!F$3)),lentry!$D$3:$D$3999),IF(WEEKDAY(F$3,1)=1,"WO","P"))</f>
        <v>P</v>
      </c>
      <c r="G21" s="4" t="s">
        <v>342</v>
      </c>
      <c r="H21" s="4" t="str">
        <f>IFERROR(LOOKUP(2,1/((lentry!$A$3:$A$3999=aug!$A21)*(lentry!$B$3:$B$3999&lt;=aug!H$3)*(lentry!$C$3:$C$3999&gt;=aug!H$3)),lentry!$D$3:$D$3999),IF(WEEKDAY(H$3,1)=1,"WO","P"))</f>
        <v>P</v>
      </c>
      <c r="I21" s="4" t="str">
        <f>IFERROR(LOOKUP(2,1/((lentry!$A$3:$A$3999=aug!$A21)*(lentry!$B$3:$B$3999&lt;=aug!I$3)*(lentry!$C$3:$C$3999&gt;=aug!I$3)),lentry!$D$3:$D$3999),IF(WEEKDAY(I$3,1)=1,"WO","P"))</f>
        <v>P</v>
      </c>
      <c r="J21" s="4" t="str">
        <f>IFERROR(LOOKUP(2,1/((lentry!$A$3:$A$3999=aug!$A21)*(lentry!$B$3:$B$3999&lt;=aug!J$3)*(lentry!$C$3:$C$3999&gt;=aug!J$3)),lentry!$D$3:$D$3999),IF(WEEKDAY(J$3,1)=1,"WO","P"))</f>
        <v>P</v>
      </c>
      <c r="K21" s="4" t="str">
        <f>IFERROR(LOOKUP(2,1/((lentry!$A$3:$A$3999=aug!$A21)*(lentry!$B$3:$B$3999&lt;=aug!K$3)*(lentry!$C$3:$C$3999&gt;=aug!K$3)),lentry!$D$3:$D$3999),IF(WEEKDAY(K$3,1)=1,"WO","P"))</f>
        <v>P</v>
      </c>
      <c r="L21" s="4" t="str">
        <f>IFERROR(LOOKUP(2,1/((lentry!$A$3:$A$3999=aug!$A21)*(lentry!$B$3:$B$3999&lt;=aug!L$3)*(lentry!$C$3:$C$3999&gt;=aug!L$3)),lentry!$D$3:$D$3999),IF(WEEKDAY(L$3,1)=1,"WO","P"))</f>
        <v>P</v>
      </c>
      <c r="M21" s="4" t="str">
        <f>IFERROR(LOOKUP(2,1/((lentry!$A$3:$A$3999=aug!$A21)*(lentry!$B$3:$B$3999&lt;=aug!M$3)*(lentry!$C$3:$C$3999&gt;=aug!M$3)),lentry!$D$3:$D$3999),IF(WEEKDAY(M$3,1)=1,"WO","P"))</f>
        <v>P</v>
      </c>
      <c r="N21" s="4" t="s">
        <v>342</v>
      </c>
      <c r="O21" s="4" t="str">
        <f>IFERROR(LOOKUP(2,1/((lentry!$A$3:$A$3999=aug!$A21)*(lentry!$B$3:$B$3999&lt;=aug!O$3)*(lentry!$C$3:$C$3999&gt;=aug!O$3)),lentry!$D$3:$D$3999),IF(WEEKDAY(O$3,1)=1,"WO","P"))</f>
        <v>P</v>
      </c>
      <c r="P21" s="4" t="str">
        <f>IFERROR(LOOKUP(2,1/((lentry!$A$3:$A$3999=aug!$A21)*(lentry!$B$3:$B$3999&lt;=aug!P$3)*(lentry!$C$3:$C$3999&gt;=aug!P$3)),lentry!$D$3:$D$3999),IF(WEEKDAY(P$3,1)=1,"WO","P"))</f>
        <v>P</v>
      </c>
      <c r="Q21" s="4" t="str">
        <f>IFERROR(LOOKUP(2,1/((lentry!$A$3:$A$3999=aug!$A21)*(lentry!$B$3:$B$3999&lt;=aug!Q$3)*(lentry!$C$3:$C$3999&gt;=aug!Q$3)),lentry!$D$3:$D$3999),IF(WEEKDAY(Q$3,1)=1,"WO","P"))</f>
        <v>P</v>
      </c>
      <c r="R21" s="4" t="str">
        <f>IFERROR(LOOKUP(2,1/((lentry!$A$3:$A$3999=aug!$A21)*(lentry!$B$3:$B$3999&lt;=aug!R$3)*(lentry!$C$3:$C$3999&gt;=aug!R$3)),lentry!$D$3:$D$3999),IF(WEEKDAY(R$3,1)=1,"WO","P"))</f>
        <v>P</v>
      </c>
      <c r="S21" s="4" t="str">
        <f>IFERROR(LOOKUP(2,1/((lentry!$A$3:$A$3999=aug!$A21)*(lentry!$B$3:$B$3999&lt;=aug!S$3)*(lentry!$C$3:$C$3999&gt;=aug!S$3)),lentry!$D$3:$D$3999),IF(WEEKDAY(S$3,1)=1,"WO","P"))</f>
        <v>P</v>
      </c>
      <c r="T21" s="4" t="s">
        <v>350</v>
      </c>
      <c r="U21" s="4" t="s">
        <v>342</v>
      </c>
      <c r="V21" s="4" t="str">
        <f>IFERROR(LOOKUP(2,1/((lentry!$A$3:$A$3999=aug!$A21)*(lentry!$B$3:$B$3999&lt;=aug!V$3)*(lentry!$C$3:$C$3999&gt;=aug!V$3)),lentry!$D$3:$D$3999),IF(WEEKDAY(V$3,1)=1,"WO","P"))</f>
        <v>P</v>
      </c>
      <c r="W21" s="4" t="str">
        <f>IFERROR(LOOKUP(2,1/((lentry!$A$3:$A$3999=aug!$A21)*(lentry!$B$3:$B$3999&lt;=aug!W$3)*(lentry!$C$3:$C$3999&gt;=aug!W$3)),lentry!$D$3:$D$3999),IF(WEEKDAY(W$3,1)=1,"WO","P"))</f>
        <v>P</v>
      </c>
      <c r="X21" s="4" t="str">
        <f>IFERROR(LOOKUP(2,1/((lentry!$A$3:$A$3999=aug!$A21)*(lentry!$B$3:$B$3999&lt;=aug!X$3)*(lentry!$C$3:$C$3999&gt;=aug!X$3)),lentry!$D$3:$D$3999),IF(WEEKDAY(X$3,1)=1,"WO","P"))</f>
        <v>P</v>
      </c>
      <c r="Y21" s="4" t="str">
        <f>IFERROR(LOOKUP(2,1/((lentry!$A$3:$A$3999=aug!$A21)*(lentry!$B$3:$B$3999&lt;=aug!Y$3)*(lentry!$C$3:$C$3999&gt;=aug!Y$3)),lentry!$D$3:$D$3999),IF(WEEKDAY(Y$3,1)=1,"WO","P"))</f>
        <v>P</v>
      </c>
      <c r="Z21" s="4" t="str">
        <f>IFERROR(LOOKUP(2,1/((lentry!$A$3:$A$3999=aug!$A21)*(lentry!$B$3:$B$3999&lt;=aug!Z$3)*(lentry!$C$3:$C$3999&gt;=aug!Z$3)),lentry!$D$3:$D$3999),IF(WEEKDAY(Z$3,1)=1,"WO","P"))</f>
        <v>P</v>
      </c>
      <c r="AA21" s="4" t="str">
        <f>IFERROR(LOOKUP(2,1/((lentry!$A$3:$A$3999=aug!$A21)*(lentry!$B$3:$B$3999&lt;=aug!AA$3)*(lentry!$C$3:$C$3999&gt;=aug!AA$3)),lentry!$D$3:$D$3999),IF(WEEKDAY(AA$3,1)=1,"WO","P"))</f>
        <v>P</v>
      </c>
      <c r="AB21" s="4" t="s">
        <v>342</v>
      </c>
      <c r="AC21" s="4" t="str">
        <f>IFERROR(LOOKUP(2,1/((lentry!$A$3:$A$3999=aug!$A21)*(lentry!$B$3:$B$3999&lt;=aug!AC$3)*(lentry!$C$3:$C$3999&gt;=aug!AC$3)),lentry!$D$3:$D$3999),IF(WEEKDAY(AC$3,1)=1,"WO","P"))</f>
        <v>P</v>
      </c>
      <c r="AD21" s="4" t="str">
        <f>IFERROR(LOOKUP(2,1/((lentry!$A$3:$A$3999=aug!$A21)*(lentry!$B$3:$B$3999&lt;=aug!AD$3)*(lentry!$C$3:$C$3999&gt;=aug!AD$3)),lentry!$D$3:$D$3999),IF(WEEKDAY(AD$3,1)=1,"WO","P"))</f>
        <v>P</v>
      </c>
      <c r="AE21" s="4" t="str">
        <f>IFERROR(LOOKUP(2,1/((lentry!$A$3:$A$3999=aug!$A21)*(lentry!$B$3:$B$3999&lt;=aug!AE$3)*(lentry!$C$3:$C$3999&gt;=aug!AE$3)),lentry!$D$3:$D$3999),IF(WEEKDAY(AE$3,1)=1,"WO","P"))</f>
        <v>P</v>
      </c>
      <c r="AF21" s="4" t="str">
        <f>IFERROR(LOOKUP(2,1/((lentry!$A$3:$A$3999=aug!$A21)*(lentry!$B$3:$B$3999&lt;=aug!AF$3)*(lentry!$C$3:$C$3999&gt;=aug!AF$3)),lentry!$D$3:$D$3999),IF(WEEKDAY(AF$3,1)=1,"WO","P"))</f>
        <v>P</v>
      </c>
      <c r="AG21" s="4" t="str">
        <f>IFERROR(LOOKUP(2,1/((lentry!$A$3:$A$3999=aug!$A21)*(lentry!$B$3:$B$3999&lt;=aug!AG$3)*(lentry!$C$3:$C$3999&gt;=aug!AG$3)),lentry!$D$3:$D$3999),IF(WEEKDAY(AG$3,1)=1,"WO","P"))</f>
        <v>P</v>
      </c>
      <c r="AH21" s="4" t="str">
        <f>IFERROR(LOOKUP(2,1/((lentry!$A$3:$A$3999=aug!$A21)*(lentry!$B$3:$B$3999&lt;=aug!AH$3)*(lentry!$C$3:$C$3999&gt;=aug!AH$3)),lentry!$D$3:$D$3999),IF(WEEKDAY(AH$3,1)=1,"WO","P"))</f>
        <v>P</v>
      </c>
      <c r="AI21" s="4" t="s">
        <v>342</v>
      </c>
      <c r="AJ21" s="4" t="str">
        <f>IFERROR(LOOKUP(2,1/((lentry!$A$3:$A$3999=aug!$A21)*(lentry!$B$3:$B$3999&lt;=aug!AJ$3)*(lentry!$C$3:$C$3999&gt;=aug!AJ$3)),lentry!$D$3:$D$3999),IF(WEEKDAY(AJ$3,1)=1,"WO","P"))</f>
        <v>P</v>
      </c>
      <c r="AK21" s="4">
        <f>COUNTIF(aug!$F21:$AJ21,"WO")</f>
        <v>5</v>
      </c>
      <c r="AL21" s="4">
        <f>COUNTIF(aug!$F21:$AJ21,"H")</f>
        <v>1</v>
      </c>
      <c r="AM21" s="4">
        <f>COUNTIF(aug!$F21:$AJ21,"pl")</f>
        <v>0</v>
      </c>
      <c r="AN21" s="4">
        <f>COUNTIF(aug!$F21:$AJ21,"LWP")</f>
        <v>0</v>
      </c>
      <c r="AO21" s="4">
        <f>COUNTIF(aug!$F21:$AJ21,"HD")</f>
        <v>0</v>
      </c>
      <c r="AP21" s="4">
        <f>COUNTIF(aug!$F21:$AJ21,"SL")</f>
        <v>0</v>
      </c>
      <c r="AQ21" s="4">
        <f>COUNTIF(aug!$F21:$AJ21,"CL")</f>
        <v>0</v>
      </c>
      <c r="AR21" s="4">
        <f>COUNTIF(aug!$F21:$AJ21,"A")</f>
        <v>0</v>
      </c>
      <c r="AS21" s="4">
        <f>COUNTIF(aug!$F21:$AJ21,"P")</f>
        <v>25</v>
      </c>
      <c r="AT21" s="4">
        <f t="shared" si="2"/>
        <v>31</v>
      </c>
      <c r="AU21" s="4">
        <f t="shared" si="3"/>
        <v>31</v>
      </c>
    </row>
    <row r="22" spans="1:47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IFERROR(LOOKUP(2,1/((lentry!$A$3:$A$3999=aug!$A22)*(lentry!$B$3:$B$3999&lt;=aug!F$3)*(lentry!$C$3:$C$3999&gt;=aug!F$3)),lentry!$D$3:$D$3999),IF(WEEKDAY(F$3,1)=1,"WO","P"))</f>
        <v>P</v>
      </c>
      <c r="G22" s="4" t="s">
        <v>342</v>
      </c>
      <c r="H22" s="4" t="str">
        <f>IFERROR(LOOKUP(2,1/((lentry!$A$3:$A$3999=aug!$A22)*(lentry!$B$3:$B$3999&lt;=aug!H$3)*(lentry!$C$3:$C$3999&gt;=aug!H$3)),lentry!$D$3:$D$3999),IF(WEEKDAY(H$3,1)=1,"WO","P"))</f>
        <v>P</v>
      </c>
      <c r="I22" s="4" t="str">
        <f>IFERROR(LOOKUP(2,1/((lentry!$A$3:$A$3999=aug!$A22)*(lentry!$B$3:$B$3999&lt;=aug!I$3)*(lentry!$C$3:$C$3999&gt;=aug!I$3)),lentry!$D$3:$D$3999),IF(WEEKDAY(I$3,1)=1,"WO","P"))</f>
        <v>PL</v>
      </c>
      <c r="J22" s="4" t="str">
        <f>IFERROR(LOOKUP(2,1/((lentry!$A$3:$A$3999=aug!$A22)*(lentry!$B$3:$B$3999&lt;=aug!J$3)*(lentry!$C$3:$C$3999&gt;=aug!J$3)),lentry!$D$3:$D$3999),IF(WEEKDAY(J$3,1)=1,"WO","P"))</f>
        <v>P</v>
      </c>
      <c r="K22" s="4" t="str">
        <f>IFERROR(LOOKUP(2,1/((lentry!$A$3:$A$3999=aug!$A22)*(lentry!$B$3:$B$3999&lt;=aug!K$3)*(lentry!$C$3:$C$3999&gt;=aug!K$3)),lentry!$D$3:$D$3999),IF(WEEKDAY(K$3,1)=1,"WO","P"))</f>
        <v>P</v>
      </c>
      <c r="L22" s="4" t="str">
        <f>IFERROR(LOOKUP(2,1/((lentry!$A$3:$A$3999=aug!$A22)*(lentry!$B$3:$B$3999&lt;=aug!L$3)*(lentry!$C$3:$C$3999&gt;=aug!L$3)),lentry!$D$3:$D$3999),IF(WEEKDAY(L$3,1)=1,"WO","P"))</f>
        <v>P</v>
      </c>
      <c r="M22" s="4" t="str">
        <f>IFERROR(LOOKUP(2,1/((lentry!$A$3:$A$3999=aug!$A22)*(lentry!$B$3:$B$3999&lt;=aug!M$3)*(lentry!$C$3:$C$3999&gt;=aug!M$3)),lentry!$D$3:$D$3999),IF(WEEKDAY(M$3,1)=1,"WO","P"))</f>
        <v>P</v>
      </c>
      <c r="N22" s="4" t="s">
        <v>342</v>
      </c>
      <c r="O22" s="4" t="str">
        <f>IFERROR(LOOKUP(2,1/((lentry!$A$3:$A$3999=aug!$A22)*(lentry!$B$3:$B$3999&lt;=aug!O$3)*(lentry!$C$3:$C$3999&gt;=aug!O$3)),lentry!$D$3:$D$3999),IF(WEEKDAY(O$3,1)=1,"WO","P"))</f>
        <v>P</v>
      </c>
      <c r="P22" s="4" t="s">
        <v>539</v>
      </c>
      <c r="Q22" s="4" t="str">
        <f>IFERROR(LOOKUP(2,1/((lentry!$A$3:$A$3999=aug!$A22)*(lentry!$B$3:$B$3999&lt;=aug!Q$3)*(lentry!$C$3:$C$3999&gt;=aug!Q$3)),lentry!$D$3:$D$3999),IF(WEEKDAY(Q$3,1)=1,"WO","P"))</f>
        <v>P</v>
      </c>
      <c r="R22" s="4" t="str">
        <f>IFERROR(LOOKUP(2,1/((lentry!$A$3:$A$3999=aug!$A22)*(lentry!$B$3:$B$3999&lt;=aug!R$3)*(lentry!$C$3:$C$3999&gt;=aug!R$3)),lentry!$D$3:$D$3999),IF(WEEKDAY(R$3,1)=1,"WO","P"))</f>
        <v>P</v>
      </c>
      <c r="S22" s="4" t="str">
        <f>IFERROR(LOOKUP(2,1/((lentry!$A$3:$A$3999=aug!$A22)*(lentry!$B$3:$B$3999&lt;=aug!S$3)*(lentry!$C$3:$C$3999&gt;=aug!S$3)),lentry!$D$3:$D$3999),IF(WEEKDAY(S$3,1)=1,"WO","P"))</f>
        <v>P</v>
      </c>
      <c r="T22" s="4" t="s">
        <v>350</v>
      </c>
      <c r="U22" s="4" t="s">
        <v>342</v>
      </c>
      <c r="V22" s="4" t="str">
        <f>IFERROR(LOOKUP(2,1/((lentry!$A$3:$A$3999=aug!$A22)*(lentry!$B$3:$B$3999&lt;=aug!V$3)*(lentry!$C$3:$C$3999&gt;=aug!V$3)),lentry!$D$3:$D$3999),IF(WEEKDAY(V$3,1)=1,"WO","P"))</f>
        <v>P</v>
      </c>
      <c r="W22" s="4" t="str">
        <f>IFERROR(LOOKUP(2,1/((lentry!$A$3:$A$3999=aug!$A22)*(lentry!$B$3:$B$3999&lt;=aug!W$3)*(lentry!$C$3:$C$3999&gt;=aug!W$3)),lentry!$D$3:$D$3999),IF(WEEKDAY(W$3,1)=1,"WO","P"))</f>
        <v>P</v>
      </c>
      <c r="X22" s="4" t="str">
        <f>IFERROR(LOOKUP(2,1/((lentry!$A$3:$A$3999=aug!$A22)*(lentry!$B$3:$B$3999&lt;=aug!X$3)*(lentry!$C$3:$C$3999&gt;=aug!X$3)),lentry!$D$3:$D$3999),IF(WEEKDAY(X$3,1)=1,"WO","P"))</f>
        <v>P</v>
      </c>
      <c r="Y22" s="4" t="str">
        <f>IFERROR(LOOKUP(2,1/((lentry!$A$3:$A$3999=aug!$A22)*(lentry!$B$3:$B$3999&lt;=aug!Y$3)*(lentry!$C$3:$C$3999&gt;=aug!Y$3)),lentry!$D$3:$D$3999),IF(WEEKDAY(Y$3,1)=1,"WO","P"))</f>
        <v>P</v>
      </c>
      <c r="Z22" s="4" t="str">
        <f>IFERROR(LOOKUP(2,1/((lentry!$A$3:$A$3999=aug!$A22)*(lentry!$B$3:$B$3999&lt;=aug!Z$3)*(lentry!$C$3:$C$3999&gt;=aug!Z$3)),lentry!$D$3:$D$3999),IF(WEEKDAY(Z$3,1)=1,"WO","P"))</f>
        <v>P</v>
      </c>
      <c r="AA22" s="4" t="str">
        <f>IFERROR(LOOKUP(2,1/((lentry!$A$3:$A$3999=aug!$A22)*(lentry!$B$3:$B$3999&lt;=aug!AA$3)*(lentry!$C$3:$C$3999&gt;=aug!AA$3)),lentry!$D$3:$D$3999),IF(WEEKDAY(AA$3,1)=1,"WO","P"))</f>
        <v>P</v>
      </c>
      <c r="AB22" s="4" t="s">
        <v>342</v>
      </c>
      <c r="AC22" s="4" t="str">
        <f>IFERROR(LOOKUP(2,1/((lentry!$A$3:$A$3999=aug!$A22)*(lentry!$B$3:$B$3999&lt;=aug!AC$3)*(lentry!$C$3:$C$3999&gt;=aug!AC$3)),lentry!$D$3:$D$3999),IF(WEEKDAY(AC$3,1)=1,"WO","P"))</f>
        <v>P</v>
      </c>
      <c r="AD22" s="4" t="str">
        <f>IFERROR(LOOKUP(2,1/((lentry!$A$3:$A$3999=aug!$A22)*(lentry!$B$3:$B$3999&lt;=aug!AD$3)*(lentry!$C$3:$C$3999&gt;=aug!AD$3)),lentry!$D$3:$D$3999),IF(WEEKDAY(AD$3,1)=1,"WO","P"))</f>
        <v>P</v>
      </c>
      <c r="AE22" s="4" t="str">
        <f>IFERROR(LOOKUP(2,1/((lentry!$A$3:$A$3999=aug!$A22)*(lentry!$B$3:$B$3999&lt;=aug!AE$3)*(lentry!$C$3:$C$3999&gt;=aug!AE$3)),lentry!$D$3:$D$3999),IF(WEEKDAY(AE$3,1)=1,"WO","P"))</f>
        <v>P</v>
      </c>
      <c r="AF22" s="4" t="str">
        <f>IFERROR(LOOKUP(2,1/((lentry!$A$3:$A$3999=aug!$A22)*(lentry!$B$3:$B$3999&lt;=aug!AF$3)*(lentry!$C$3:$C$3999&gt;=aug!AF$3)),lentry!$D$3:$D$3999),IF(WEEKDAY(AF$3,1)=1,"WO","P"))</f>
        <v>P</v>
      </c>
      <c r="AG22" s="4" t="str">
        <f>IFERROR(LOOKUP(2,1/((lentry!$A$3:$A$3999=aug!$A22)*(lentry!$B$3:$B$3999&lt;=aug!AG$3)*(lentry!$C$3:$C$3999&gt;=aug!AG$3)),lentry!$D$3:$D$3999),IF(WEEKDAY(AG$3,1)=1,"WO","P"))</f>
        <v>P</v>
      </c>
      <c r="AH22" s="4" t="str">
        <f>IFERROR(LOOKUP(2,1/((lentry!$A$3:$A$3999=aug!$A22)*(lentry!$B$3:$B$3999&lt;=aug!AH$3)*(lentry!$C$3:$C$3999&gt;=aug!AH$3)),lentry!$D$3:$D$3999),IF(WEEKDAY(AH$3,1)=1,"WO","P"))</f>
        <v>P</v>
      </c>
      <c r="AI22" s="4" t="s">
        <v>342</v>
      </c>
      <c r="AJ22" s="4" t="str">
        <f>IFERROR(LOOKUP(2,1/((lentry!$A$3:$A$3999=aug!$A22)*(lentry!$B$3:$B$3999&lt;=aug!AJ$3)*(lentry!$C$3:$C$3999&gt;=aug!AJ$3)),lentry!$D$3:$D$3999),IF(WEEKDAY(AJ$3,1)=1,"WO","P"))</f>
        <v>P</v>
      </c>
      <c r="AK22" s="4">
        <f>COUNTIF(aug!$F22:$AJ22,"WO")</f>
        <v>5</v>
      </c>
      <c r="AL22" s="4">
        <f>COUNTIF(aug!$F22:$AJ22,"H")</f>
        <v>1</v>
      </c>
      <c r="AM22" s="4">
        <f>COUNTIF(aug!$F22:$AJ22,"pl")</f>
        <v>1</v>
      </c>
      <c r="AN22" s="4">
        <f>COUNTIF(aug!$F22:$AJ22,"LWP")</f>
        <v>0</v>
      </c>
      <c r="AO22" s="4">
        <f>COUNTIF(aug!$F22:$AJ22,"HD")</f>
        <v>0</v>
      </c>
      <c r="AP22" s="4">
        <f>COUNTIF(aug!$F22:$AJ22,"SL")</f>
        <v>0</v>
      </c>
      <c r="AQ22" s="4">
        <f>COUNTIF(aug!$F22:$AJ22,"CL")</f>
        <v>0</v>
      </c>
      <c r="AR22" s="4">
        <f>COUNTIF(aug!$F22:$AJ22,"A")</f>
        <v>1</v>
      </c>
      <c r="AS22" s="4">
        <f>COUNTIF(aug!$F22:$AJ22,"P")</f>
        <v>23</v>
      </c>
      <c r="AT22" s="4">
        <f t="shared" si="2"/>
        <v>31</v>
      </c>
      <c r="AU22" s="4">
        <f t="shared" si="3"/>
        <v>30</v>
      </c>
    </row>
    <row r="23" spans="1:47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IFERROR(LOOKUP(2,1/((lentry!$A$3:$A$3999=aug!$A23)*(lentry!$B$3:$B$3999&lt;=aug!F$3)*(lentry!$C$3:$C$3999&gt;=aug!F$3)),lentry!$D$3:$D$3999),IF(WEEKDAY(F$3,1)=1,"WO","P"))</f>
        <v>P</v>
      </c>
      <c r="G23" s="4" t="s">
        <v>342</v>
      </c>
      <c r="H23" s="4" t="str">
        <f>IFERROR(LOOKUP(2,1/((lentry!$A$3:$A$3999=aug!$A23)*(lentry!$B$3:$B$3999&lt;=aug!H$3)*(lentry!$C$3:$C$3999&gt;=aug!H$3)),lentry!$D$3:$D$3999),IF(WEEKDAY(H$3,1)=1,"WO","P"))</f>
        <v>P</v>
      </c>
      <c r="I23" s="4" t="str">
        <f>IFERROR(LOOKUP(2,1/((lentry!$A$3:$A$3999=aug!$A23)*(lentry!$B$3:$B$3999&lt;=aug!I$3)*(lentry!$C$3:$C$3999&gt;=aug!I$3)),lentry!$D$3:$D$3999),IF(WEEKDAY(I$3,1)=1,"WO","P"))</f>
        <v>P</v>
      </c>
      <c r="J23" s="4" t="str">
        <f>IFERROR(LOOKUP(2,1/((lentry!$A$3:$A$3999=aug!$A23)*(lentry!$B$3:$B$3999&lt;=aug!J$3)*(lentry!$C$3:$C$3999&gt;=aug!J$3)),lentry!$D$3:$D$3999),IF(WEEKDAY(J$3,1)=1,"WO","P"))</f>
        <v>P</v>
      </c>
      <c r="K23" s="4" t="s">
        <v>539</v>
      </c>
      <c r="L23" s="4" t="str">
        <f>IFERROR(LOOKUP(2,1/((lentry!$A$3:$A$3999=aug!$A23)*(lentry!$B$3:$B$3999&lt;=aug!L$3)*(lentry!$C$3:$C$3999&gt;=aug!L$3)),lentry!$D$3:$D$3999),IF(WEEKDAY(L$3,1)=1,"WO","P"))</f>
        <v>P</v>
      </c>
      <c r="M23" s="4" t="str">
        <f>IFERROR(LOOKUP(2,1/((lentry!$A$3:$A$3999=aug!$A23)*(lentry!$B$3:$B$3999&lt;=aug!M$3)*(lentry!$C$3:$C$3999&gt;=aug!M$3)),lentry!$D$3:$D$3999),IF(WEEKDAY(M$3,1)=1,"WO","P"))</f>
        <v>P</v>
      </c>
      <c r="N23" s="4" t="s">
        <v>342</v>
      </c>
      <c r="O23" s="4" t="str">
        <f>IFERROR(LOOKUP(2,1/((lentry!$A$3:$A$3999=aug!$A23)*(lentry!$B$3:$B$3999&lt;=aug!O$3)*(lentry!$C$3:$C$3999&gt;=aug!O$3)),lentry!$D$3:$D$3999),IF(WEEKDAY(O$3,1)=1,"WO","P"))</f>
        <v>P</v>
      </c>
      <c r="P23" s="4" t="str">
        <f>IFERROR(LOOKUP(2,1/((lentry!$A$3:$A$3999=aug!$A23)*(lentry!$B$3:$B$3999&lt;=aug!P$3)*(lentry!$C$3:$C$3999&gt;=aug!P$3)),lentry!$D$3:$D$3999),IF(WEEKDAY(P$3,1)=1,"WO","P"))</f>
        <v>P</v>
      </c>
      <c r="Q23" s="4" t="str">
        <f>IFERROR(LOOKUP(2,1/((lentry!$A$3:$A$3999=aug!$A23)*(lentry!$B$3:$B$3999&lt;=aug!Q$3)*(lentry!$C$3:$C$3999&gt;=aug!Q$3)),lentry!$D$3:$D$3999),IF(WEEKDAY(Q$3,1)=1,"WO","P"))</f>
        <v>P</v>
      </c>
      <c r="R23" s="4" t="str">
        <f>IFERROR(LOOKUP(2,1/((lentry!$A$3:$A$3999=aug!$A23)*(lentry!$B$3:$B$3999&lt;=aug!R$3)*(lentry!$C$3:$C$3999&gt;=aug!R$3)),lentry!$D$3:$D$3999),IF(WEEKDAY(R$3,1)=1,"WO","P"))</f>
        <v>P</v>
      </c>
      <c r="S23" s="4" t="str">
        <f>IFERROR(LOOKUP(2,1/((lentry!$A$3:$A$3999=aug!$A23)*(lentry!$B$3:$B$3999&lt;=aug!S$3)*(lentry!$C$3:$C$3999&gt;=aug!S$3)),lentry!$D$3:$D$3999),IF(WEEKDAY(S$3,1)=1,"WO","P"))</f>
        <v>P</v>
      </c>
      <c r="T23" s="4" t="s">
        <v>350</v>
      </c>
      <c r="U23" s="4" t="s">
        <v>342</v>
      </c>
      <c r="V23" s="4" t="str">
        <f>IFERROR(LOOKUP(2,1/((lentry!$A$3:$A$3999=aug!$A23)*(lentry!$B$3:$B$3999&lt;=aug!V$3)*(lentry!$C$3:$C$3999&gt;=aug!V$3)),lentry!$D$3:$D$3999),IF(WEEKDAY(V$3,1)=1,"WO","P"))</f>
        <v>P</v>
      </c>
      <c r="W23" s="4" t="str">
        <f>IFERROR(LOOKUP(2,1/((lentry!$A$3:$A$3999=aug!$A23)*(lentry!$B$3:$B$3999&lt;=aug!W$3)*(lentry!$C$3:$C$3999&gt;=aug!W$3)),lentry!$D$3:$D$3999),IF(WEEKDAY(W$3,1)=1,"WO","P"))</f>
        <v>P</v>
      </c>
      <c r="X23" s="4" t="str">
        <f>IFERROR(LOOKUP(2,1/((lentry!$A$3:$A$3999=aug!$A23)*(lentry!$B$3:$B$3999&lt;=aug!X$3)*(lentry!$C$3:$C$3999&gt;=aug!X$3)),lentry!$D$3:$D$3999),IF(WEEKDAY(X$3,1)=1,"WO","P"))</f>
        <v>P</v>
      </c>
      <c r="Y23" s="4" t="str">
        <f>IFERROR(LOOKUP(2,1/((lentry!$A$3:$A$3999=aug!$A23)*(lentry!$B$3:$B$3999&lt;=aug!Y$3)*(lentry!$C$3:$C$3999&gt;=aug!Y$3)),lentry!$D$3:$D$3999),IF(WEEKDAY(Y$3,1)=1,"WO","P"))</f>
        <v>P</v>
      </c>
      <c r="Z23" s="4" t="str">
        <f>IFERROR(LOOKUP(2,1/((lentry!$A$3:$A$3999=aug!$A23)*(lentry!$B$3:$B$3999&lt;=aug!Z$3)*(lentry!$C$3:$C$3999&gt;=aug!Z$3)),lentry!$D$3:$D$3999),IF(WEEKDAY(Z$3,1)=1,"WO","P"))</f>
        <v>P</v>
      </c>
      <c r="AA23" s="4" t="str">
        <f>IFERROR(LOOKUP(2,1/((lentry!$A$3:$A$3999=aug!$A23)*(lentry!$B$3:$B$3999&lt;=aug!AA$3)*(lentry!$C$3:$C$3999&gt;=aug!AA$3)),lentry!$D$3:$D$3999),IF(WEEKDAY(AA$3,1)=1,"WO","P"))</f>
        <v>P</v>
      </c>
      <c r="AB23" s="4" t="s">
        <v>342</v>
      </c>
      <c r="AC23" s="4" t="str">
        <f>IFERROR(LOOKUP(2,1/((lentry!$A$3:$A$3999=aug!$A23)*(lentry!$B$3:$B$3999&lt;=aug!AC$3)*(lentry!$C$3:$C$3999&gt;=aug!AC$3)),lentry!$D$3:$D$3999),IF(WEEKDAY(AC$3,1)=1,"WO","P"))</f>
        <v>P</v>
      </c>
      <c r="AD23" s="4" t="s">
        <v>539</v>
      </c>
      <c r="AE23" s="4" t="str">
        <f>IFERROR(LOOKUP(2,1/((lentry!$A$3:$A$3999=aug!$A23)*(lentry!$B$3:$B$3999&lt;=aug!AE$3)*(lentry!$C$3:$C$3999&gt;=aug!AE$3)),lentry!$D$3:$D$3999),IF(WEEKDAY(AE$3,1)=1,"WO","P"))</f>
        <v>P</v>
      </c>
      <c r="AF23" s="4" t="str">
        <f>IFERROR(LOOKUP(2,1/((lentry!$A$3:$A$3999=aug!$A23)*(lentry!$B$3:$B$3999&lt;=aug!AF$3)*(lentry!$C$3:$C$3999&gt;=aug!AF$3)),lentry!$D$3:$D$3999),IF(WEEKDAY(AF$3,1)=1,"WO","P"))</f>
        <v>P</v>
      </c>
      <c r="AG23" s="4" t="str">
        <f>IFERROR(LOOKUP(2,1/((lentry!$A$3:$A$3999=aug!$A23)*(lentry!$B$3:$B$3999&lt;=aug!AG$3)*(lentry!$C$3:$C$3999&gt;=aug!AG$3)),lentry!$D$3:$D$3999),IF(WEEKDAY(AG$3,1)=1,"WO","P"))</f>
        <v>P</v>
      </c>
      <c r="AH23" s="4" t="str">
        <f>IFERROR(LOOKUP(2,1/((lentry!$A$3:$A$3999=aug!$A23)*(lentry!$B$3:$B$3999&lt;=aug!AH$3)*(lentry!$C$3:$C$3999&gt;=aug!AH$3)),lentry!$D$3:$D$3999),IF(WEEKDAY(AH$3,1)=1,"WO","P"))</f>
        <v>P</v>
      </c>
      <c r="AI23" s="4" t="s">
        <v>342</v>
      </c>
      <c r="AJ23" s="4" t="str">
        <f>IFERROR(LOOKUP(2,1/((lentry!$A$3:$A$3999=aug!$A23)*(lentry!$B$3:$B$3999&lt;=aug!AJ$3)*(lentry!$C$3:$C$3999&gt;=aug!AJ$3)),lentry!$D$3:$D$3999),IF(WEEKDAY(AJ$3,1)=1,"WO","P"))</f>
        <v>P</v>
      </c>
      <c r="AK23" s="4">
        <f>COUNTIF(aug!$F23:$AJ23,"WO")</f>
        <v>5</v>
      </c>
      <c r="AL23" s="4">
        <f>COUNTIF(aug!$F23:$AJ23,"H")</f>
        <v>1</v>
      </c>
      <c r="AM23" s="4">
        <f>COUNTIF(aug!$F23:$AJ23,"pl")</f>
        <v>0</v>
      </c>
      <c r="AN23" s="4">
        <f>COUNTIF(aug!$F23:$AJ23,"LWP")</f>
        <v>0</v>
      </c>
      <c r="AO23" s="4">
        <f>COUNTIF(aug!$F23:$AJ23,"HD")</f>
        <v>0</v>
      </c>
      <c r="AP23" s="4">
        <f>COUNTIF(aug!$F23:$AJ23,"SL")</f>
        <v>0</v>
      </c>
      <c r="AQ23" s="4">
        <f>COUNTIF(aug!$F23:$AJ23,"CL")</f>
        <v>0</v>
      </c>
      <c r="AR23" s="4">
        <f>COUNTIF(aug!$F23:$AJ23,"A")</f>
        <v>2</v>
      </c>
      <c r="AS23" s="4">
        <f>COUNTIF(aug!$F23:$AJ23,"P")</f>
        <v>23</v>
      </c>
      <c r="AT23" s="4">
        <f t="shared" si="2"/>
        <v>31</v>
      </c>
      <c r="AU23" s="4">
        <f t="shared" si="3"/>
        <v>29</v>
      </c>
    </row>
    <row r="24" spans="1:47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IFERROR(LOOKUP(2,1/((lentry!$A$3:$A$3999=aug!$A24)*(lentry!$B$3:$B$3999&lt;=aug!F$3)*(lentry!$C$3:$C$3999&gt;=aug!F$3)),lentry!$D$3:$D$3999),IF(WEEKDAY(F$3,1)=1,"WO","P"))</f>
        <v>P</v>
      </c>
      <c r="G24" s="4" t="s">
        <v>342</v>
      </c>
      <c r="H24" s="4" t="str">
        <f>IFERROR(LOOKUP(2,1/((lentry!$A$3:$A$3999=aug!$A24)*(lentry!$B$3:$B$3999&lt;=aug!H$3)*(lentry!$C$3:$C$3999&gt;=aug!H$3)),lentry!$D$3:$D$3999),IF(WEEKDAY(H$3,1)=1,"WO","P"))</f>
        <v>P</v>
      </c>
      <c r="I24" s="4" t="str">
        <f>IFERROR(LOOKUP(2,1/((lentry!$A$3:$A$3999=aug!$A24)*(lentry!$B$3:$B$3999&lt;=aug!I$3)*(lentry!$C$3:$C$3999&gt;=aug!I$3)),lentry!$D$3:$D$3999),IF(WEEKDAY(I$3,1)=1,"WO","P"))</f>
        <v>P</v>
      </c>
      <c r="J24" s="4" t="str">
        <f>IFERROR(LOOKUP(2,1/((lentry!$A$3:$A$3999=aug!$A24)*(lentry!$B$3:$B$3999&lt;=aug!J$3)*(lentry!$C$3:$C$3999&gt;=aug!J$3)),lentry!$D$3:$D$3999),IF(WEEKDAY(J$3,1)=1,"WO","P"))</f>
        <v>P</v>
      </c>
      <c r="K24" s="4" t="str">
        <f>IFERROR(LOOKUP(2,1/((lentry!$A$3:$A$3999=aug!$A24)*(lentry!$B$3:$B$3999&lt;=aug!K$3)*(lentry!$C$3:$C$3999&gt;=aug!K$3)),lentry!$D$3:$D$3999),IF(WEEKDAY(K$3,1)=1,"WO","P"))</f>
        <v>P</v>
      </c>
      <c r="L24" s="4" t="str">
        <f>IFERROR(LOOKUP(2,1/((lentry!$A$3:$A$3999=aug!$A24)*(lentry!$B$3:$B$3999&lt;=aug!L$3)*(lentry!$C$3:$C$3999&gt;=aug!L$3)),lentry!$D$3:$D$3999),IF(WEEKDAY(L$3,1)=1,"WO","P"))</f>
        <v>P</v>
      </c>
      <c r="M24" s="4" t="str">
        <f>IFERROR(LOOKUP(2,1/((lentry!$A$3:$A$3999=aug!$A24)*(lentry!$B$3:$B$3999&lt;=aug!M$3)*(lentry!$C$3:$C$3999&gt;=aug!M$3)),lentry!$D$3:$D$3999),IF(WEEKDAY(M$3,1)=1,"WO","P"))</f>
        <v>P</v>
      </c>
      <c r="N24" s="4" t="s">
        <v>342</v>
      </c>
      <c r="O24" s="4" t="str">
        <f>IFERROR(LOOKUP(2,1/((lentry!$A$3:$A$3999=aug!$A24)*(lentry!$B$3:$B$3999&lt;=aug!O$3)*(lentry!$C$3:$C$3999&gt;=aug!O$3)),lentry!$D$3:$D$3999),IF(WEEKDAY(O$3,1)=1,"WO","P"))</f>
        <v>P</v>
      </c>
      <c r="P24" s="4" t="str">
        <f>IFERROR(LOOKUP(2,1/((lentry!$A$3:$A$3999=aug!$A24)*(lentry!$B$3:$B$3999&lt;=aug!P$3)*(lentry!$C$3:$C$3999&gt;=aug!P$3)),lentry!$D$3:$D$3999),IF(WEEKDAY(P$3,1)=1,"WO","P"))</f>
        <v>P</v>
      </c>
      <c r="Q24" s="4" t="str">
        <f>IFERROR(LOOKUP(2,1/((lentry!$A$3:$A$3999=aug!$A24)*(lentry!$B$3:$B$3999&lt;=aug!Q$3)*(lentry!$C$3:$C$3999&gt;=aug!Q$3)),lentry!$D$3:$D$3999),IF(WEEKDAY(Q$3,1)=1,"WO","P"))</f>
        <v>P</v>
      </c>
      <c r="R24" s="4" t="str">
        <f>IFERROR(LOOKUP(2,1/((lentry!$A$3:$A$3999=aug!$A24)*(lentry!$B$3:$B$3999&lt;=aug!R$3)*(lentry!$C$3:$C$3999&gt;=aug!R$3)),lentry!$D$3:$D$3999),IF(WEEKDAY(R$3,1)=1,"WO","P"))</f>
        <v>P</v>
      </c>
      <c r="S24" s="4" t="str">
        <f>IFERROR(LOOKUP(2,1/((lentry!$A$3:$A$3999=aug!$A24)*(lentry!$B$3:$B$3999&lt;=aug!S$3)*(lentry!$C$3:$C$3999&gt;=aug!S$3)),lentry!$D$3:$D$3999),IF(WEEKDAY(S$3,1)=1,"WO","P"))</f>
        <v>P</v>
      </c>
      <c r="T24" s="4" t="s">
        <v>350</v>
      </c>
      <c r="U24" s="4" t="s">
        <v>342</v>
      </c>
      <c r="V24" s="4" t="str">
        <f>IFERROR(LOOKUP(2,1/((lentry!$A$3:$A$3999=aug!$A24)*(lentry!$B$3:$B$3999&lt;=aug!V$3)*(lentry!$C$3:$C$3999&gt;=aug!V$3)),lentry!$D$3:$D$3999),IF(WEEKDAY(V$3,1)=1,"WO","P"))</f>
        <v>P</v>
      </c>
      <c r="W24" s="4" t="str">
        <f>IFERROR(LOOKUP(2,1/((lentry!$A$3:$A$3999=aug!$A24)*(lentry!$B$3:$B$3999&lt;=aug!W$3)*(lentry!$C$3:$C$3999&gt;=aug!W$3)),lentry!$D$3:$D$3999),IF(WEEKDAY(W$3,1)=1,"WO","P"))</f>
        <v>P</v>
      </c>
      <c r="X24" s="4" t="str">
        <f>IFERROR(LOOKUP(2,1/((lentry!$A$3:$A$3999=aug!$A24)*(lentry!$B$3:$B$3999&lt;=aug!X$3)*(lentry!$C$3:$C$3999&gt;=aug!X$3)),lentry!$D$3:$D$3999),IF(WEEKDAY(X$3,1)=1,"WO","P"))</f>
        <v>P</v>
      </c>
      <c r="Y24" s="4" t="str">
        <f>IFERROR(LOOKUP(2,1/((lentry!$A$3:$A$3999=aug!$A24)*(lentry!$B$3:$B$3999&lt;=aug!Y$3)*(lentry!$C$3:$C$3999&gt;=aug!Y$3)),lentry!$D$3:$D$3999),IF(WEEKDAY(Y$3,1)=1,"WO","P"))</f>
        <v>P</v>
      </c>
      <c r="Z24" s="4" t="str">
        <f>IFERROR(LOOKUP(2,1/((lentry!$A$3:$A$3999=aug!$A24)*(lentry!$B$3:$B$3999&lt;=aug!Z$3)*(lentry!$C$3:$C$3999&gt;=aug!Z$3)),lentry!$D$3:$D$3999),IF(WEEKDAY(Z$3,1)=1,"WO","P"))</f>
        <v>P</v>
      </c>
      <c r="AA24" s="4" t="str">
        <f>IFERROR(LOOKUP(2,1/((lentry!$A$3:$A$3999=aug!$A24)*(lentry!$B$3:$B$3999&lt;=aug!AA$3)*(lentry!$C$3:$C$3999&gt;=aug!AA$3)),lentry!$D$3:$D$3999),IF(WEEKDAY(AA$3,1)=1,"WO","P"))</f>
        <v>P</v>
      </c>
      <c r="AB24" s="4" t="s">
        <v>342</v>
      </c>
      <c r="AC24" s="4" t="str">
        <f>IFERROR(LOOKUP(2,1/((lentry!$A$3:$A$3999=aug!$A24)*(lentry!$B$3:$B$3999&lt;=aug!AC$3)*(lentry!$C$3:$C$3999&gt;=aug!AC$3)),lentry!$D$3:$D$3999),IF(WEEKDAY(AC$3,1)=1,"WO","P"))</f>
        <v>P</v>
      </c>
      <c r="AD24" s="4" t="str">
        <f>IFERROR(LOOKUP(2,1/((lentry!$A$3:$A$3999=aug!$A24)*(lentry!$B$3:$B$3999&lt;=aug!AD$3)*(lentry!$C$3:$C$3999&gt;=aug!AD$3)),lentry!$D$3:$D$3999),IF(WEEKDAY(AD$3,1)=1,"WO","P"))</f>
        <v>P</v>
      </c>
      <c r="AE24" s="4" t="str">
        <f>IFERROR(LOOKUP(2,1/((lentry!$A$3:$A$3999=aug!$A24)*(lentry!$B$3:$B$3999&lt;=aug!AE$3)*(lentry!$C$3:$C$3999&gt;=aug!AE$3)),lentry!$D$3:$D$3999),IF(WEEKDAY(AE$3,1)=1,"WO","P"))</f>
        <v>P</v>
      </c>
      <c r="AF24" s="4" t="str">
        <f>IFERROR(LOOKUP(2,1/((lentry!$A$3:$A$3999=aug!$A24)*(lentry!$B$3:$B$3999&lt;=aug!AF$3)*(lentry!$C$3:$C$3999&gt;=aug!AF$3)),lentry!$D$3:$D$3999),IF(WEEKDAY(AF$3,1)=1,"WO","P"))</f>
        <v>P</v>
      </c>
      <c r="AG24" s="4" t="str">
        <f>IFERROR(LOOKUP(2,1/((lentry!$A$3:$A$3999=aug!$A24)*(lentry!$B$3:$B$3999&lt;=aug!AG$3)*(lentry!$C$3:$C$3999&gt;=aug!AG$3)),lentry!$D$3:$D$3999),IF(WEEKDAY(AG$3,1)=1,"WO","P"))</f>
        <v>P</v>
      </c>
      <c r="AH24" s="4" t="str">
        <f>IFERROR(LOOKUP(2,1/((lentry!$A$3:$A$3999=aug!$A24)*(lentry!$B$3:$B$3999&lt;=aug!AH$3)*(lentry!$C$3:$C$3999&gt;=aug!AH$3)),lentry!$D$3:$D$3999),IF(WEEKDAY(AH$3,1)=1,"WO","P"))</f>
        <v>P</v>
      </c>
      <c r="AI24" s="4" t="s">
        <v>342</v>
      </c>
      <c r="AJ24" s="4" t="str">
        <f>IFERROR(LOOKUP(2,1/((lentry!$A$3:$A$3999=aug!$A24)*(lentry!$B$3:$B$3999&lt;=aug!AJ$3)*(lentry!$C$3:$C$3999&gt;=aug!AJ$3)),lentry!$D$3:$D$3999),IF(WEEKDAY(AJ$3,1)=1,"WO","P"))</f>
        <v>P</v>
      </c>
      <c r="AK24" s="4">
        <f>COUNTIF(aug!$F24:$AJ24,"WO")</f>
        <v>5</v>
      </c>
      <c r="AL24" s="4">
        <f>COUNTIF(aug!$F24:$AJ24,"H")</f>
        <v>1</v>
      </c>
      <c r="AM24" s="4">
        <f>COUNTIF(aug!$F24:$AJ24,"pl")</f>
        <v>0</v>
      </c>
      <c r="AN24" s="4">
        <f>COUNTIF(aug!$F24:$AJ24,"LWP")</f>
        <v>0</v>
      </c>
      <c r="AO24" s="4">
        <f>COUNTIF(aug!$F24:$AJ24,"HD")</f>
        <v>0</v>
      </c>
      <c r="AP24" s="4">
        <f>COUNTIF(aug!$F24:$AJ24,"SL")</f>
        <v>0</v>
      </c>
      <c r="AQ24" s="4">
        <f>COUNTIF(aug!$F24:$AJ24,"CL")</f>
        <v>0</v>
      </c>
      <c r="AR24" s="4">
        <f>COUNTIF(aug!$F24:$AJ24,"A")</f>
        <v>0</v>
      </c>
      <c r="AS24" s="4">
        <f>COUNTIF(aug!$F24:$AJ24,"P")</f>
        <v>25</v>
      </c>
      <c r="AT24" s="4">
        <f t="shared" si="2"/>
        <v>31</v>
      </c>
      <c r="AU24" s="4">
        <f t="shared" si="3"/>
        <v>31</v>
      </c>
    </row>
    <row r="25" spans="1:47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IFERROR(LOOKUP(2,1/((lentry!$A$3:$A$3999=aug!$A25)*(lentry!$B$3:$B$3999&lt;=aug!F$3)*(lentry!$C$3:$C$3999&gt;=aug!F$3)),lentry!$D$3:$D$3999),IF(WEEKDAY(F$3,1)=1,"WO","P"))</f>
        <v>P</v>
      </c>
      <c r="G25" s="4" t="s">
        <v>342</v>
      </c>
      <c r="H25" s="4" t="str">
        <f>IFERROR(LOOKUP(2,1/((lentry!$A$3:$A$3999=aug!$A25)*(lentry!$B$3:$B$3999&lt;=aug!H$3)*(lentry!$C$3:$C$3999&gt;=aug!H$3)),lentry!$D$3:$D$3999),IF(WEEKDAY(H$3,1)=1,"WO","P"))</f>
        <v>P</v>
      </c>
      <c r="I25" s="4" t="str">
        <f>IFERROR(LOOKUP(2,1/((lentry!$A$3:$A$3999=aug!$A25)*(lentry!$B$3:$B$3999&lt;=aug!I$3)*(lentry!$C$3:$C$3999&gt;=aug!I$3)),lentry!$D$3:$D$3999),IF(WEEKDAY(I$3,1)=1,"WO","P"))</f>
        <v>P</v>
      </c>
      <c r="J25" s="4" t="str">
        <f>IFERROR(LOOKUP(2,1/((lentry!$A$3:$A$3999=aug!$A25)*(lentry!$B$3:$B$3999&lt;=aug!J$3)*(lentry!$C$3:$C$3999&gt;=aug!J$3)),lentry!$D$3:$D$3999),IF(WEEKDAY(J$3,1)=1,"WO","P"))</f>
        <v>P</v>
      </c>
      <c r="K25" s="4" t="str">
        <f>IFERROR(LOOKUP(2,1/((lentry!$A$3:$A$3999=aug!$A25)*(lentry!$B$3:$B$3999&lt;=aug!K$3)*(lentry!$C$3:$C$3999&gt;=aug!K$3)),lentry!$D$3:$D$3999),IF(WEEKDAY(K$3,1)=1,"WO","P"))</f>
        <v>P</v>
      </c>
      <c r="L25" s="4" t="str">
        <f>IFERROR(LOOKUP(2,1/((lentry!$A$3:$A$3999=aug!$A25)*(lentry!$B$3:$B$3999&lt;=aug!L$3)*(lentry!$C$3:$C$3999&gt;=aug!L$3)),lentry!$D$3:$D$3999),IF(WEEKDAY(L$3,1)=1,"WO","P"))</f>
        <v>P</v>
      </c>
      <c r="M25" s="4" t="str">
        <f>IFERROR(LOOKUP(2,1/((lentry!$A$3:$A$3999=aug!$A25)*(lentry!$B$3:$B$3999&lt;=aug!M$3)*(lentry!$C$3:$C$3999&gt;=aug!M$3)),lentry!$D$3:$D$3999),IF(WEEKDAY(M$3,1)=1,"WO","P"))</f>
        <v>P</v>
      </c>
      <c r="N25" s="4" t="s">
        <v>342</v>
      </c>
      <c r="O25" s="4" t="str">
        <f>IFERROR(LOOKUP(2,1/((lentry!$A$3:$A$3999=aug!$A25)*(lentry!$B$3:$B$3999&lt;=aug!O$3)*(lentry!$C$3:$C$3999&gt;=aug!O$3)),lentry!$D$3:$D$3999),IF(WEEKDAY(O$3,1)=1,"WO","P"))</f>
        <v>P</v>
      </c>
      <c r="P25" s="4" t="str">
        <f>IFERROR(LOOKUP(2,1/((lentry!$A$3:$A$3999=aug!$A25)*(lentry!$B$3:$B$3999&lt;=aug!P$3)*(lentry!$C$3:$C$3999&gt;=aug!P$3)),lentry!$D$3:$D$3999),IF(WEEKDAY(P$3,1)=1,"WO","P"))</f>
        <v>P</v>
      </c>
      <c r="Q25" s="4" t="str">
        <f>IFERROR(LOOKUP(2,1/((lentry!$A$3:$A$3999=aug!$A25)*(lentry!$B$3:$B$3999&lt;=aug!Q$3)*(lentry!$C$3:$C$3999&gt;=aug!Q$3)),lentry!$D$3:$D$3999),IF(WEEKDAY(Q$3,1)=1,"WO","P"))</f>
        <v>P</v>
      </c>
      <c r="R25" s="4" t="str">
        <f>IFERROR(LOOKUP(2,1/((lentry!$A$3:$A$3999=aug!$A25)*(lentry!$B$3:$B$3999&lt;=aug!R$3)*(lentry!$C$3:$C$3999&gt;=aug!R$3)),lentry!$D$3:$D$3999),IF(WEEKDAY(R$3,1)=1,"WO","P"))</f>
        <v>P</v>
      </c>
      <c r="S25" s="4" t="str">
        <f>IFERROR(LOOKUP(2,1/((lentry!$A$3:$A$3999=aug!$A25)*(lentry!$B$3:$B$3999&lt;=aug!S$3)*(lentry!$C$3:$C$3999&gt;=aug!S$3)),lentry!$D$3:$D$3999),IF(WEEKDAY(S$3,1)=1,"WO","P"))</f>
        <v>P</v>
      </c>
      <c r="T25" s="4" t="s">
        <v>350</v>
      </c>
      <c r="U25" s="4" t="s">
        <v>342</v>
      </c>
      <c r="V25" s="4" t="str">
        <f>IFERROR(LOOKUP(2,1/((lentry!$A$3:$A$3999=aug!$A25)*(lentry!$B$3:$B$3999&lt;=aug!V$3)*(lentry!$C$3:$C$3999&gt;=aug!V$3)),lentry!$D$3:$D$3999),IF(WEEKDAY(V$3,1)=1,"WO","P"))</f>
        <v>P</v>
      </c>
      <c r="W25" s="4" t="str">
        <f>IFERROR(LOOKUP(2,1/((lentry!$A$3:$A$3999=aug!$A25)*(lentry!$B$3:$B$3999&lt;=aug!W$3)*(lentry!$C$3:$C$3999&gt;=aug!W$3)),lentry!$D$3:$D$3999),IF(WEEKDAY(W$3,1)=1,"WO","P"))</f>
        <v>P</v>
      </c>
      <c r="X25" s="4" t="str">
        <f>IFERROR(LOOKUP(2,1/((lentry!$A$3:$A$3999=aug!$A25)*(lentry!$B$3:$B$3999&lt;=aug!X$3)*(lentry!$C$3:$C$3999&gt;=aug!X$3)),lentry!$D$3:$D$3999),IF(WEEKDAY(X$3,1)=1,"WO","P"))</f>
        <v>P</v>
      </c>
      <c r="Y25" s="4" t="str">
        <f>IFERROR(LOOKUP(2,1/((lentry!$A$3:$A$3999=aug!$A25)*(lentry!$B$3:$B$3999&lt;=aug!Y$3)*(lentry!$C$3:$C$3999&gt;=aug!Y$3)),lentry!$D$3:$D$3999),IF(WEEKDAY(Y$3,1)=1,"WO","P"))</f>
        <v>P</v>
      </c>
      <c r="Z25" s="4" t="str">
        <f>IFERROR(LOOKUP(2,1/((lentry!$A$3:$A$3999=aug!$A25)*(lentry!$B$3:$B$3999&lt;=aug!Z$3)*(lentry!$C$3:$C$3999&gt;=aug!Z$3)),lentry!$D$3:$D$3999),IF(WEEKDAY(Z$3,1)=1,"WO","P"))</f>
        <v>P</v>
      </c>
      <c r="AA25" s="4" t="str">
        <f>IFERROR(LOOKUP(2,1/((lentry!$A$3:$A$3999=aug!$A25)*(lentry!$B$3:$B$3999&lt;=aug!AA$3)*(lentry!$C$3:$C$3999&gt;=aug!AA$3)),lentry!$D$3:$D$3999),IF(WEEKDAY(AA$3,1)=1,"WO","P"))</f>
        <v>P</v>
      </c>
      <c r="AB25" s="4" t="s">
        <v>342</v>
      </c>
      <c r="AC25" s="4" t="str">
        <f>IFERROR(LOOKUP(2,1/((lentry!$A$3:$A$3999=aug!$A25)*(lentry!$B$3:$B$3999&lt;=aug!AC$3)*(lentry!$C$3:$C$3999&gt;=aug!AC$3)),lentry!$D$3:$D$3999),IF(WEEKDAY(AC$3,1)=1,"WO","P"))</f>
        <v>P</v>
      </c>
      <c r="AD25" s="4" t="str">
        <f>IFERROR(LOOKUP(2,1/((lentry!$A$3:$A$3999=aug!$A25)*(lentry!$B$3:$B$3999&lt;=aug!AD$3)*(lentry!$C$3:$C$3999&gt;=aug!AD$3)),lentry!$D$3:$D$3999),IF(WEEKDAY(AD$3,1)=1,"WO","P"))</f>
        <v>P</v>
      </c>
      <c r="AE25" s="4" t="str">
        <f>IFERROR(LOOKUP(2,1/((lentry!$A$3:$A$3999=aug!$A25)*(lentry!$B$3:$B$3999&lt;=aug!AE$3)*(lentry!$C$3:$C$3999&gt;=aug!AE$3)),lentry!$D$3:$D$3999),IF(WEEKDAY(AE$3,1)=1,"WO","P"))</f>
        <v>P</v>
      </c>
      <c r="AF25" s="4" t="str">
        <f>IFERROR(LOOKUP(2,1/((lentry!$A$3:$A$3999=aug!$A25)*(lentry!$B$3:$B$3999&lt;=aug!AF$3)*(lentry!$C$3:$C$3999&gt;=aug!AF$3)),lentry!$D$3:$D$3999),IF(WEEKDAY(AF$3,1)=1,"WO","P"))</f>
        <v>P</v>
      </c>
      <c r="AG25" s="4" t="str">
        <f>IFERROR(LOOKUP(2,1/((lentry!$A$3:$A$3999=aug!$A25)*(lentry!$B$3:$B$3999&lt;=aug!AG$3)*(lentry!$C$3:$C$3999&gt;=aug!AG$3)),lentry!$D$3:$D$3999),IF(WEEKDAY(AG$3,1)=1,"WO","P"))</f>
        <v>P</v>
      </c>
      <c r="AH25" s="4" t="str">
        <f>IFERROR(LOOKUP(2,1/((lentry!$A$3:$A$3999=aug!$A25)*(lentry!$B$3:$B$3999&lt;=aug!AH$3)*(lentry!$C$3:$C$3999&gt;=aug!AH$3)),lentry!$D$3:$D$3999),IF(WEEKDAY(AH$3,1)=1,"WO","P"))</f>
        <v>P</v>
      </c>
      <c r="AI25" s="4" t="s">
        <v>342</v>
      </c>
      <c r="AJ25" s="4" t="str">
        <f>IFERROR(LOOKUP(2,1/((lentry!$A$3:$A$3999=aug!$A25)*(lentry!$B$3:$B$3999&lt;=aug!AJ$3)*(lentry!$C$3:$C$3999&gt;=aug!AJ$3)),lentry!$D$3:$D$3999),IF(WEEKDAY(AJ$3,1)=1,"WO","P"))</f>
        <v>P</v>
      </c>
      <c r="AK25" s="4">
        <f>COUNTIF(aug!$F25:$AJ25,"WO")</f>
        <v>5</v>
      </c>
      <c r="AL25" s="4">
        <f>COUNTIF(aug!$F25:$AJ25,"H")</f>
        <v>1</v>
      </c>
      <c r="AM25" s="4">
        <f>COUNTIF(aug!$F25:$AJ25,"pl")</f>
        <v>0</v>
      </c>
      <c r="AN25" s="4">
        <f>COUNTIF(aug!$F25:$AJ25,"LWP")</f>
        <v>0</v>
      </c>
      <c r="AO25" s="4">
        <f>COUNTIF(aug!$F25:$AJ25,"HD")</f>
        <v>0</v>
      </c>
      <c r="AP25" s="4">
        <f>COUNTIF(aug!$F25:$AJ25,"SL")</f>
        <v>0</v>
      </c>
      <c r="AQ25" s="4">
        <f>COUNTIF(aug!$F25:$AJ25,"CL")</f>
        <v>0</v>
      </c>
      <c r="AR25" s="4">
        <f>COUNTIF(aug!$F25:$AJ25,"A")</f>
        <v>0</v>
      </c>
      <c r="AS25" s="4">
        <f>COUNTIF(aug!$F25:$AJ25,"P")</f>
        <v>25</v>
      </c>
      <c r="AT25" s="4">
        <f t="shared" si="2"/>
        <v>31</v>
      </c>
      <c r="AU25" s="4">
        <f t="shared" si="3"/>
        <v>31</v>
      </c>
    </row>
    <row r="26" spans="1:47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IFERROR(LOOKUP(2,1/((lentry!$A$3:$A$3999=aug!$A26)*(lentry!$B$3:$B$3999&lt;=aug!F$3)*(lentry!$C$3:$C$3999&gt;=aug!F$3)),lentry!$D$3:$D$3999),IF(WEEKDAY(F$3,1)=1,"WO","P"))</f>
        <v>P</v>
      </c>
      <c r="G26" s="4" t="s">
        <v>342</v>
      </c>
      <c r="H26" s="4" t="str">
        <f>IFERROR(LOOKUP(2,1/((lentry!$A$3:$A$3999=aug!$A26)*(lentry!$B$3:$B$3999&lt;=aug!H$3)*(lentry!$C$3:$C$3999&gt;=aug!H$3)),lentry!$D$3:$D$3999),IF(WEEKDAY(H$3,1)=1,"WO","P"))</f>
        <v>P</v>
      </c>
      <c r="I26" s="4" t="s">
        <v>539</v>
      </c>
      <c r="J26" s="4" t="str">
        <f>IFERROR(LOOKUP(2,1/((lentry!$A$3:$A$3999=aug!$A26)*(lentry!$B$3:$B$3999&lt;=aug!J$3)*(lentry!$C$3:$C$3999&gt;=aug!J$3)),lentry!$D$3:$D$3999),IF(WEEKDAY(J$3,1)=1,"WO","P"))</f>
        <v>P</v>
      </c>
      <c r="K26" s="4" t="str">
        <f>IFERROR(LOOKUP(2,1/((lentry!$A$3:$A$3999=aug!$A26)*(lentry!$B$3:$B$3999&lt;=aug!K$3)*(lentry!$C$3:$C$3999&gt;=aug!K$3)),lentry!$D$3:$D$3999),IF(WEEKDAY(K$3,1)=1,"WO","P"))</f>
        <v>P</v>
      </c>
      <c r="L26" s="4" t="str">
        <f>IFERROR(LOOKUP(2,1/((lentry!$A$3:$A$3999=aug!$A26)*(lentry!$B$3:$B$3999&lt;=aug!L$3)*(lentry!$C$3:$C$3999&gt;=aug!L$3)),lentry!$D$3:$D$3999),IF(WEEKDAY(L$3,1)=1,"WO","P"))</f>
        <v>P</v>
      </c>
      <c r="M26" s="4" t="str">
        <f>IFERROR(LOOKUP(2,1/((lentry!$A$3:$A$3999=aug!$A26)*(lentry!$B$3:$B$3999&lt;=aug!M$3)*(lentry!$C$3:$C$3999&gt;=aug!M$3)),lentry!$D$3:$D$3999),IF(WEEKDAY(M$3,1)=1,"WO","P"))</f>
        <v>P</v>
      </c>
      <c r="N26" s="4" t="s">
        <v>342</v>
      </c>
      <c r="O26" s="4" t="str">
        <f>IFERROR(LOOKUP(2,1/((lentry!$A$3:$A$3999=aug!$A26)*(lentry!$B$3:$B$3999&lt;=aug!O$3)*(lentry!$C$3:$C$3999&gt;=aug!O$3)),lentry!$D$3:$D$3999),IF(WEEKDAY(O$3,1)=1,"WO","P"))</f>
        <v>P</v>
      </c>
      <c r="P26" s="4" t="str">
        <f>IFERROR(LOOKUP(2,1/((lentry!$A$3:$A$3999=aug!$A26)*(lentry!$B$3:$B$3999&lt;=aug!P$3)*(lentry!$C$3:$C$3999&gt;=aug!P$3)),lentry!$D$3:$D$3999),IF(WEEKDAY(P$3,1)=1,"WO","P"))</f>
        <v>P</v>
      </c>
      <c r="Q26" s="4" t="str">
        <f>IFERROR(LOOKUP(2,1/((lentry!$A$3:$A$3999=aug!$A26)*(lentry!$B$3:$B$3999&lt;=aug!Q$3)*(lentry!$C$3:$C$3999&gt;=aug!Q$3)),lentry!$D$3:$D$3999),IF(WEEKDAY(Q$3,1)=1,"WO","P"))</f>
        <v>P</v>
      </c>
      <c r="R26" s="4" t="str">
        <f>IFERROR(LOOKUP(2,1/((lentry!$A$3:$A$3999=aug!$A26)*(lentry!$B$3:$B$3999&lt;=aug!R$3)*(lentry!$C$3:$C$3999&gt;=aug!R$3)),lentry!$D$3:$D$3999),IF(WEEKDAY(R$3,1)=1,"WO","P"))</f>
        <v>P</v>
      </c>
      <c r="S26" s="4" t="str">
        <f>IFERROR(LOOKUP(2,1/((lentry!$A$3:$A$3999=aug!$A26)*(lentry!$B$3:$B$3999&lt;=aug!S$3)*(lentry!$C$3:$C$3999&gt;=aug!S$3)),lentry!$D$3:$D$3999),IF(WEEKDAY(S$3,1)=1,"WO","P"))</f>
        <v>P</v>
      </c>
      <c r="T26" s="4" t="s">
        <v>350</v>
      </c>
      <c r="U26" s="4" t="s">
        <v>342</v>
      </c>
      <c r="V26" s="4" t="str">
        <f>IFERROR(LOOKUP(2,1/((lentry!$A$3:$A$3999=aug!$A26)*(lentry!$B$3:$B$3999&lt;=aug!V$3)*(lentry!$C$3:$C$3999&gt;=aug!V$3)),lentry!$D$3:$D$3999),IF(WEEKDAY(V$3,1)=1,"WO","P"))</f>
        <v>P</v>
      </c>
      <c r="W26" s="4" t="str">
        <f>IFERROR(LOOKUP(2,1/((lentry!$A$3:$A$3999=aug!$A26)*(lentry!$B$3:$B$3999&lt;=aug!W$3)*(lentry!$C$3:$C$3999&gt;=aug!W$3)),lentry!$D$3:$D$3999),IF(WEEKDAY(W$3,1)=1,"WO","P"))</f>
        <v>P</v>
      </c>
      <c r="X26" s="4" t="str">
        <f>IFERROR(LOOKUP(2,1/((lentry!$A$3:$A$3999=aug!$A26)*(lentry!$B$3:$B$3999&lt;=aug!X$3)*(lentry!$C$3:$C$3999&gt;=aug!X$3)),lentry!$D$3:$D$3999),IF(WEEKDAY(X$3,1)=1,"WO","P"))</f>
        <v>P</v>
      </c>
      <c r="Y26" s="4" t="str">
        <f>IFERROR(LOOKUP(2,1/((lentry!$A$3:$A$3999=aug!$A26)*(lentry!$B$3:$B$3999&lt;=aug!Y$3)*(lentry!$C$3:$C$3999&gt;=aug!Y$3)),lentry!$D$3:$D$3999),IF(WEEKDAY(Y$3,1)=1,"WO","P"))</f>
        <v>P</v>
      </c>
      <c r="Z26" s="4" t="str">
        <f>IFERROR(LOOKUP(2,1/((lentry!$A$3:$A$3999=aug!$A26)*(lentry!$B$3:$B$3999&lt;=aug!Z$3)*(lentry!$C$3:$C$3999&gt;=aug!Z$3)),lentry!$D$3:$D$3999),IF(WEEKDAY(Z$3,1)=1,"WO","P"))</f>
        <v>P</v>
      </c>
      <c r="AA26" s="4" t="str">
        <f>IFERROR(LOOKUP(2,1/((lentry!$A$3:$A$3999=aug!$A26)*(lentry!$B$3:$B$3999&lt;=aug!AA$3)*(lentry!$C$3:$C$3999&gt;=aug!AA$3)),lentry!$D$3:$D$3999),IF(WEEKDAY(AA$3,1)=1,"WO","P"))</f>
        <v>P</v>
      </c>
      <c r="AB26" s="4" t="s">
        <v>342</v>
      </c>
      <c r="AC26" s="4" t="str">
        <f>IFERROR(LOOKUP(2,1/((lentry!$A$3:$A$3999=aug!$A26)*(lentry!$B$3:$B$3999&lt;=aug!AC$3)*(lentry!$C$3:$C$3999&gt;=aug!AC$3)),lentry!$D$3:$D$3999),IF(WEEKDAY(AC$3,1)=1,"WO","P"))</f>
        <v>P</v>
      </c>
      <c r="AD26" s="4" t="str">
        <f>IFERROR(LOOKUP(2,1/((lentry!$A$3:$A$3999=aug!$A26)*(lentry!$B$3:$B$3999&lt;=aug!AD$3)*(lentry!$C$3:$C$3999&gt;=aug!AD$3)),lentry!$D$3:$D$3999),IF(WEEKDAY(AD$3,1)=1,"WO","P"))</f>
        <v>P</v>
      </c>
      <c r="AE26" s="4" t="str">
        <f>IFERROR(LOOKUP(2,1/((lentry!$A$3:$A$3999=aug!$A26)*(lentry!$B$3:$B$3999&lt;=aug!AE$3)*(lentry!$C$3:$C$3999&gt;=aug!AE$3)),lentry!$D$3:$D$3999),IF(WEEKDAY(AE$3,1)=1,"WO","P"))</f>
        <v>P</v>
      </c>
      <c r="AF26" s="4" t="s">
        <v>539</v>
      </c>
      <c r="AG26" s="4" t="str">
        <f>IFERROR(LOOKUP(2,1/((lentry!$A$3:$A$3999=aug!$A26)*(lentry!$B$3:$B$3999&lt;=aug!AG$3)*(lentry!$C$3:$C$3999&gt;=aug!AG$3)),lentry!$D$3:$D$3999),IF(WEEKDAY(AG$3,1)=1,"WO","P"))</f>
        <v>P</v>
      </c>
      <c r="AH26" s="4" t="str">
        <f>IFERROR(LOOKUP(2,1/((lentry!$A$3:$A$3999=aug!$A26)*(lentry!$B$3:$B$3999&lt;=aug!AH$3)*(lentry!$C$3:$C$3999&gt;=aug!AH$3)),lentry!$D$3:$D$3999),IF(WEEKDAY(AH$3,1)=1,"WO","P"))</f>
        <v>P</v>
      </c>
      <c r="AI26" s="4" t="s">
        <v>342</v>
      </c>
      <c r="AJ26" s="4" t="str">
        <f>IFERROR(LOOKUP(2,1/((lentry!$A$3:$A$3999=aug!$A26)*(lentry!$B$3:$B$3999&lt;=aug!AJ$3)*(lentry!$C$3:$C$3999&gt;=aug!AJ$3)),lentry!$D$3:$D$3999),IF(WEEKDAY(AJ$3,1)=1,"WO","P"))</f>
        <v>P</v>
      </c>
      <c r="AK26" s="4">
        <f>COUNTIF(aug!$F26:$AJ26,"WO")</f>
        <v>5</v>
      </c>
      <c r="AL26" s="4">
        <f>COUNTIF(aug!$F26:$AJ26,"H")</f>
        <v>1</v>
      </c>
      <c r="AM26" s="4">
        <f>COUNTIF(aug!$F26:$AJ26,"pl")</f>
        <v>0</v>
      </c>
      <c r="AN26" s="4">
        <f>COUNTIF(aug!$F26:$AJ26,"LWP")</f>
        <v>0</v>
      </c>
      <c r="AO26" s="4">
        <f>COUNTIF(aug!$F26:$AJ26,"HD")</f>
        <v>0</v>
      </c>
      <c r="AP26" s="4">
        <f>COUNTIF(aug!$F26:$AJ26,"SL")</f>
        <v>0</v>
      </c>
      <c r="AQ26" s="4">
        <f>COUNTIF(aug!$F26:$AJ26,"CL")</f>
        <v>0</v>
      </c>
      <c r="AR26" s="4">
        <f>COUNTIF(aug!$F26:$AJ26,"A")</f>
        <v>2</v>
      </c>
      <c r="AS26" s="4">
        <f>COUNTIF(aug!$F26:$AJ26,"P")</f>
        <v>23</v>
      </c>
      <c r="AT26" s="4">
        <f t="shared" si="2"/>
        <v>31</v>
      </c>
      <c r="AU26" s="4">
        <f t="shared" si="3"/>
        <v>29</v>
      </c>
    </row>
    <row r="27" spans="1:47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IFERROR(LOOKUP(2,1/((lentry!$A$3:$A$3999=aug!$A27)*(lentry!$B$3:$B$3999&lt;=aug!F$3)*(lentry!$C$3:$C$3999&gt;=aug!F$3)),lentry!$D$3:$D$3999),IF(WEEKDAY(F$3,1)=1,"WO","P"))</f>
        <v>P</v>
      </c>
      <c r="G27" s="4" t="s">
        <v>342</v>
      </c>
      <c r="H27" s="4" t="str">
        <f>IFERROR(LOOKUP(2,1/((lentry!$A$3:$A$3999=aug!$A27)*(lentry!$B$3:$B$3999&lt;=aug!H$3)*(lentry!$C$3:$C$3999&gt;=aug!H$3)),lentry!$D$3:$D$3999),IF(WEEKDAY(H$3,1)=1,"WO","P"))</f>
        <v>P</v>
      </c>
      <c r="I27" s="4" t="str">
        <f>IFERROR(LOOKUP(2,1/((lentry!$A$3:$A$3999=aug!$A27)*(lentry!$B$3:$B$3999&lt;=aug!I$3)*(lentry!$C$3:$C$3999&gt;=aug!I$3)),lentry!$D$3:$D$3999),IF(WEEKDAY(I$3,1)=1,"WO","P"))</f>
        <v>P</v>
      </c>
      <c r="J27" s="4" t="str">
        <f>IFERROR(LOOKUP(2,1/((lentry!$A$3:$A$3999=aug!$A27)*(lentry!$B$3:$B$3999&lt;=aug!J$3)*(lentry!$C$3:$C$3999&gt;=aug!J$3)),lentry!$D$3:$D$3999),IF(WEEKDAY(J$3,1)=1,"WO","P"))</f>
        <v>P</v>
      </c>
      <c r="K27" s="4" t="str">
        <f>IFERROR(LOOKUP(2,1/((lentry!$A$3:$A$3999=aug!$A27)*(lentry!$B$3:$B$3999&lt;=aug!K$3)*(lentry!$C$3:$C$3999&gt;=aug!K$3)),lentry!$D$3:$D$3999),IF(WEEKDAY(K$3,1)=1,"WO","P"))</f>
        <v>P</v>
      </c>
      <c r="L27" s="4" t="str">
        <f>IFERROR(LOOKUP(2,1/((lentry!$A$3:$A$3999=aug!$A27)*(lentry!$B$3:$B$3999&lt;=aug!L$3)*(lentry!$C$3:$C$3999&gt;=aug!L$3)),lentry!$D$3:$D$3999),IF(WEEKDAY(L$3,1)=1,"WO","P"))</f>
        <v>P</v>
      </c>
      <c r="M27" s="4" t="str">
        <f>IFERROR(LOOKUP(2,1/((lentry!$A$3:$A$3999=aug!$A27)*(lentry!$B$3:$B$3999&lt;=aug!M$3)*(lentry!$C$3:$C$3999&gt;=aug!M$3)),lentry!$D$3:$D$3999),IF(WEEKDAY(M$3,1)=1,"WO","P"))</f>
        <v>P</v>
      </c>
      <c r="N27" s="4" t="s">
        <v>342</v>
      </c>
      <c r="O27" s="4" t="str">
        <f>IFERROR(LOOKUP(2,1/((lentry!$A$3:$A$3999=aug!$A27)*(lentry!$B$3:$B$3999&lt;=aug!O$3)*(lentry!$C$3:$C$3999&gt;=aug!O$3)),lentry!$D$3:$D$3999),IF(WEEKDAY(O$3,1)=1,"WO","P"))</f>
        <v>P</v>
      </c>
      <c r="P27" s="4" t="str">
        <f>IFERROR(LOOKUP(2,1/((lentry!$A$3:$A$3999=aug!$A27)*(lentry!$B$3:$B$3999&lt;=aug!P$3)*(lentry!$C$3:$C$3999&gt;=aug!P$3)),lentry!$D$3:$D$3999),IF(WEEKDAY(P$3,1)=1,"WO","P"))</f>
        <v>P</v>
      </c>
      <c r="Q27" s="4" t="str">
        <f>IFERROR(LOOKUP(2,1/((lentry!$A$3:$A$3999=aug!$A27)*(lentry!$B$3:$B$3999&lt;=aug!Q$3)*(lentry!$C$3:$C$3999&gt;=aug!Q$3)),lentry!$D$3:$D$3999),IF(WEEKDAY(Q$3,1)=1,"WO","P"))</f>
        <v>P</v>
      </c>
      <c r="R27" s="4" t="str">
        <f>IFERROR(LOOKUP(2,1/((lentry!$A$3:$A$3999=aug!$A27)*(lentry!$B$3:$B$3999&lt;=aug!R$3)*(lentry!$C$3:$C$3999&gt;=aug!R$3)),lentry!$D$3:$D$3999),IF(WEEKDAY(R$3,1)=1,"WO","P"))</f>
        <v>P</v>
      </c>
      <c r="S27" s="4" t="str">
        <f>IFERROR(LOOKUP(2,1/((lentry!$A$3:$A$3999=aug!$A27)*(lentry!$B$3:$B$3999&lt;=aug!S$3)*(lentry!$C$3:$C$3999&gt;=aug!S$3)),lentry!$D$3:$D$3999),IF(WEEKDAY(S$3,1)=1,"WO","P"))</f>
        <v>P</v>
      </c>
      <c r="T27" s="4" t="s">
        <v>350</v>
      </c>
      <c r="U27" s="4" t="s">
        <v>342</v>
      </c>
      <c r="V27" s="4" t="str">
        <f>IFERROR(LOOKUP(2,1/((lentry!$A$3:$A$3999=aug!$A27)*(lentry!$B$3:$B$3999&lt;=aug!V$3)*(lentry!$C$3:$C$3999&gt;=aug!V$3)),lentry!$D$3:$D$3999),IF(WEEKDAY(V$3,1)=1,"WO","P"))</f>
        <v>P</v>
      </c>
      <c r="W27" s="4" t="str">
        <f>IFERROR(LOOKUP(2,1/((lentry!$A$3:$A$3999=aug!$A27)*(lentry!$B$3:$B$3999&lt;=aug!W$3)*(lentry!$C$3:$C$3999&gt;=aug!W$3)),lentry!$D$3:$D$3999),IF(WEEKDAY(W$3,1)=1,"WO","P"))</f>
        <v>P</v>
      </c>
      <c r="X27" s="4" t="str">
        <f>IFERROR(LOOKUP(2,1/((lentry!$A$3:$A$3999=aug!$A27)*(lentry!$B$3:$B$3999&lt;=aug!X$3)*(lentry!$C$3:$C$3999&gt;=aug!X$3)),lentry!$D$3:$D$3999),IF(WEEKDAY(X$3,1)=1,"WO","P"))</f>
        <v>P</v>
      </c>
      <c r="Y27" s="4" t="str">
        <f>IFERROR(LOOKUP(2,1/((lentry!$A$3:$A$3999=aug!$A27)*(lentry!$B$3:$B$3999&lt;=aug!Y$3)*(lentry!$C$3:$C$3999&gt;=aug!Y$3)),lentry!$D$3:$D$3999),IF(WEEKDAY(Y$3,1)=1,"WO","P"))</f>
        <v>P</v>
      </c>
      <c r="Z27" s="4" t="str">
        <f>IFERROR(LOOKUP(2,1/((lentry!$A$3:$A$3999=aug!$A27)*(lentry!$B$3:$B$3999&lt;=aug!Z$3)*(lentry!$C$3:$C$3999&gt;=aug!Z$3)),lentry!$D$3:$D$3999),IF(WEEKDAY(Z$3,1)=1,"WO","P"))</f>
        <v>P</v>
      </c>
      <c r="AA27" s="4" t="str">
        <f>IFERROR(LOOKUP(2,1/((lentry!$A$3:$A$3999=aug!$A27)*(lentry!$B$3:$B$3999&lt;=aug!AA$3)*(lentry!$C$3:$C$3999&gt;=aug!AA$3)),lentry!$D$3:$D$3999),IF(WEEKDAY(AA$3,1)=1,"WO","P"))</f>
        <v>P</v>
      </c>
      <c r="AB27" s="4" t="s">
        <v>342</v>
      </c>
      <c r="AC27" s="4" t="str">
        <f>IFERROR(LOOKUP(2,1/((lentry!$A$3:$A$3999=aug!$A27)*(lentry!$B$3:$B$3999&lt;=aug!AC$3)*(lentry!$C$3:$C$3999&gt;=aug!AC$3)),lentry!$D$3:$D$3999),IF(WEEKDAY(AC$3,1)=1,"WO","P"))</f>
        <v>P</v>
      </c>
      <c r="AD27" s="4" t="str">
        <f>IFERROR(LOOKUP(2,1/((lentry!$A$3:$A$3999=aug!$A27)*(lentry!$B$3:$B$3999&lt;=aug!AD$3)*(lentry!$C$3:$C$3999&gt;=aug!AD$3)),lentry!$D$3:$D$3999),IF(WEEKDAY(AD$3,1)=1,"WO","P"))</f>
        <v>P</v>
      </c>
      <c r="AE27" s="4" t="str">
        <f>IFERROR(LOOKUP(2,1/((lentry!$A$3:$A$3999=aug!$A27)*(lentry!$B$3:$B$3999&lt;=aug!AE$3)*(lentry!$C$3:$C$3999&gt;=aug!AE$3)),lentry!$D$3:$D$3999),IF(WEEKDAY(AE$3,1)=1,"WO","P"))</f>
        <v>P</v>
      </c>
      <c r="AF27" s="4" t="str">
        <f>IFERROR(LOOKUP(2,1/((lentry!$A$3:$A$3999=aug!$A27)*(lentry!$B$3:$B$3999&lt;=aug!AF$3)*(lentry!$C$3:$C$3999&gt;=aug!AF$3)),lentry!$D$3:$D$3999),IF(WEEKDAY(AF$3,1)=1,"WO","P"))</f>
        <v>P</v>
      </c>
      <c r="AG27" s="4" t="str">
        <f>IFERROR(LOOKUP(2,1/((lentry!$A$3:$A$3999=aug!$A27)*(lentry!$B$3:$B$3999&lt;=aug!AG$3)*(lentry!$C$3:$C$3999&gt;=aug!AG$3)),lentry!$D$3:$D$3999),IF(WEEKDAY(AG$3,1)=1,"WO","P"))</f>
        <v>P</v>
      </c>
      <c r="AH27" s="4" t="str">
        <f>IFERROR(LOOKUP(2,1/((lentry!$A$3:$A$3999=aug!$A27)*(lentry!$B$3:$B$3999&lt;=aug!AH$3)*(lentry!$C$3:$C$3999&gt;=aug!AH$3)),lentry!$D$3:$D$3999),IF(WEEKDAY(AH$3,1)=1,"WO","P"))</f>
        <v>P</v>
      </c>
      <c r="AI27" s="4" t="s">
        <v>342</v>
      </c>
      <c r="AJ27" s="4" t="str">
        <f>IFERROR(LOOKUP(2,1/((lentry!$A$3:$A$3999=aug!$A27)*(lentry!$B$3:$B$3999&lt;=aug!AJ$3)*(lentry!$C$3:$C$3999&gt;=aug!AJ$3)),lentry!$D$3:$D$3999),IF(WEEKDAY(AJ$3,1)=1,"WO","P"))</f>
        <v>P</v>
      </c>
      <c r="AK27" s="4">
        <f>COUNTIF(aug!$F27:$AJ27,"WO")</f>
        <v>5</v>
      </c>
      <c r="AL27" s="4">
        <f>COUNTIF(aug!$F27:$AJ27,"H")</f>
        <v>1</v>
      </c>
      <c r="AM27" s="4">
        <f>COUNTIF(aug!$F27:$AJ27,"pl")</f>
        <v>0</v>
      </c>
      <c r="AN27" s="4">
        <f>COUNTIF(aug!$F27:$AJ27,"LWP")</f>
        <v>0</v>
      </c>
      <c r="AO27" s="4">
        <f>COUNTIF(aug!$F27:$AJ27,"HD")</f>
        <v>0</v>
      </c>
      <c r="AP27" s="4">
        <f>COUNTIF(aug!$F27:$AJ27,"SL")</f>
        <v>0</v>
      </c>
      <c r="AQ27" s="4">
        <f>COUNTIF(aug!$F27:$AJ27,"CL")</f>
        <v>0</v>
      </c>
      <c r="AR27" s="4">
        <f>COUNTIF(aug!$F27:$AJ27,"A")</f>
        <v>0</v>
      </c>
      <c r="AS27" s="4">
        <f>COUNTIF(aug!$F27:$AJ27,"P")</f>
        <v>25</v>
      </c>
      <c r="AT27" s="4">
        <f t="shared" si="2"/>
        <v>31</v>
      </c>
      <c r="AU27" s="4">
        <f t="shared" si="3"/>
        <v>31</v>
      </c>
    </row>
    <row r="28" spans="1:47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IFERROR(LOOKUP(2,1/((lentry!$A$3:$A$3999=aug!$A28)*(lentry!$B$3:$B$3999&lt;=aug!F$3)*(lentry!$C$3:$C$3999&gt;=aug!F$3)),lentry!$D$3:$D$3999),IF(WEEKDAY(F$3,1)=1,"WO","P"))</f>
        <v>P</v>
      </c>
      <c r="G28" s="4" t="s">
        <v>342</v>
      </c>
      <c r="H28" s="4" t="str">
        <f>IFERROR(LOOKUP(2,1/((lentry!$A$3:$A$3999=aug!$A28)*(lentry!$B$3:$B$3999&lt;=aug!H$3)*(lentry!$C$3:$C$3999&gt;=aug!H$3)),lentry!$D$3:$D$3999),IF(WEEKDAY(H$3,1)=1,"WO","P"))</f>
        <v>P</v>
      </c>
      <c r="I28" s="4" t="str">
        <f>IFERROR(LOOKUP(2,1/((lentry!$A$3:$A$3999=aug!$A28)*(lentry!$B$3:$B$3999&lt;=aug!I$3)*(lentry!$C$3:$C$3999&gt;=aug!I$3)),lentry!$D$3:$D$3999),IF(WEEKDAY(I$3,1)=1,"WO","P"))</f>
        <v>P</v>
      </c>
      <c r="J28" s="4" t="str">
        <f>IFERROR(LOOKUP(2,1/((lentry!$A$3:$A$3999=aug!$A28)*(lentry!$B$3:$B$3999&lt;=aug!J$3)*(lentry!$C$3:$C$3999&gt;=aug!J$3)),lentry!$D$3:$D$3999),IF(WEEKDAY(J$3,1)=1,"WO","P"))</f>
        <v>P</v>
      </c>
      <c r="K28" s="4" t="str">
        <f>IFERROR(LOOKUP(2,1/((lentry!$A$3:$A$3999=aug!$A28)*(lentry!$B$3:$B$3999&lt;=aug!K$3)*(lentry!$C$3:$C$3999&gt;=aug!K$3)),lentry!$D$3:$D$3999),IF(WEEKDAY(K$3,1)=1,"WO","P"))</f>
        <v>P</v>
      </c>
      <c r="L28" s="4" t="str">
        <f>IFERROR(LOOKUP(2,1/((lentry!$A$3:$A$3999=aug!$A28)*(lentry!$B$3:$B$3999&lt;=aug!L$3)*(lentry!$C$3:$C$3999&gt;=aug!L$3)),lentry!$D$3:$D$3999),IF(WEEKDAY(L$3,1)=1,"WO","P"))</f>
        <v>P</v>
      </c>
      <c r="M28" s="4" t="str">
        <f>IFERROR(LOOKUP(2,1/((lentry!$A$3:$A$3999=aug!$A28)*(lentry!$B$3:$B$3999&lt;=aug!M$3)*(lentry!$C$3:$C$3999&gt;=aug!M$3)),lentry!$D$3:$D$3999),IF(WEEKDAY(M$3,1)=1,"WO","P"))</f>
        <v>P</v>
      </c>
      <c r="N28" s="4" t="s">
        <v>342</v>
      </c>
      <c r="O28" s="4" t="str">
        <f>IFERROR(LOOKUP(2,1/((lentry!$A$3:$A$3999=aug!$A28)*(lentry!$B$3:$B$3999&lt;=aug!O$3)*(lentry!$C$3:$C$3999&gt;=aug!O$3)),lentry!$D$3:$D$3999),IF(WEEKDAY(O$3,1)=1,"WO","P"))</f>
        <v>P</v>
      </c>
      <c r="P28" s="4" t="str">
        <f>IFERROR(LOOKUP(2,1/((lentry!$A$3:$A$3999=aug!$A28)*(lentry!$B$3:$B$3999&lt;=aug!P$3)*(lentry!$C$3:$C$3999&gt;=aug!P$3)),lentry!$D$3:$D$3999),IF(WEEKDAY(P$3,1)=1,"WO","P"))</f>
        <v>P</v>
      </c>
      <c r="Q28" s="4" t="s">
        <v>539</v>
      </c>
      <c r="R28" s="4" t="str">
        <f>IFERROR(LOOKUP(2,1/((lentry!$A$3:$A$3999=aug!$A28)*(lentry!$B$3:$B$3999&lt;=aug!R$3)*(lentry!$C$3:$C$3999&gt;=aug!R$3)),lentry!$D$3:$D$3999),IF(WEEKDAY(R$3,1)=1,"WO","P"))</f>
        <v>P</v>
      </c>
      <c r="S28" s="4" t="str">
        <f>IFERROR(LOOKUP(2,1/((lentry!$A$3:$A$3999=aug!$A28)*(lentry!$B$3:$B$3999&lt;=aug!S$3)*(lentry!$C$3:$C$3999&gt;=aug!S$3)),lentry!$D$3:$D$3999),IF(WEEKDAY(S$3,1)=1,"WO","P"))</f>
        <v>P</v>
      </c>
      <c r="T28" s="4" t="s">
        <v>350</v>
      </c>
      <c r="U28" s="4" t="s">
        <v>342</v>
      </c>
      <c r="V28" s="4" t="str">
        <f>IFERROR(LOOKUP(2,1/((lentry!$A$3:$A$3999=aug!$A28)*(lentry!$B$3:$B$3999&lt;=aug!V$3)*(lentry!$C$3:$C$3999&gt;=aug!V$3)),lentry!$D$3:$D$3999),IF(WEEKDAY(V$3,1)=1,"WO","P"))</f>
        <v>P</v>
      </c>
      <c r="W28" s="4" t="str">
        <f>IFERROR(LOOKUP(2,1/((lentry!$A$3:$A$3999=aug!$A28)*(lentry!$B$3:$B$3999&lt;=aug!W$3)*(lentry!$C$3:$C$3999&gt;=aug!W$3)),lentry!$D$3:$D$3999),IF(WEEKDAY(W$3,1)=1,"WO","P"))</f>
        <v>P</v>
      </c>
      <c r="X28" s="4" t="str">
        <f>IFERROR(LOOKUP(2,1/((lentry!$A$3:$A$3999=aug!$A28)*(lentry!$B$3:$B$3999&lt;=aug!X$3)*(lentry!$C$3:$C$3999&gt;=aug!X$3)),lentry!$D$3:$D$3999),IF(WEEKDAY(X$3,1)=1,"WO","P"))</f>
        <v>P</v>
      </c>
      <c r="Y28" s="4" t="str">
        <f>IFERROR(LOOKUP(2,1/((lentry!$A$3:$A$3999=aug!$A28)*(lentry!$B$3:$B$3999&lt;=aug!Y$3)*(lentry!$C$3:$C$3999&gt;=aug!Y$3)),lentry!$D$3:$D$3999),IF(WEEKDAY(Y$3,1)=1,"WO","P"))</f>
        <v>P</v>
      </c>
      <c r="Z28" s="4" t="str">
        <f>IFERROR(LOOKUP(2,1/((lentry!$A$3:$A$3999=aug!$A28)*(lentry!$B$3:$B$3999&lt;=aug!Z$3)*(lentry!$C$3:$C$3999&gt;=aug!Z$3)),lentry!$D$3:$D$3999),IF(WEEKDAY(Z$3,1)=1,"WO","P"))</f>
        <v>P</v>
      </c>
      <c r="AA28" s="4" t="str">
        <f>IFERROR(LOOKUP(2,1/((lentry!$A$3:$A$3999=aug!$A28)*(lentry!$B$3:$B$3999&lt;=aug!AA$3)*(lentry!$C$3:$C$3999&gt;=aug!AA$3)),lentry!$D$3:$D$3999),IF(WEEKDAY(AA$3,1)=1,"WO","P"))</f>
        <v>P</v>
      </c>
      <c r="AB28" s="4" t="s">
        <v>342</v>
      </c>
      <c r="AC28" s="4" t="str">
        <f>IFERROR(LOOKUP(2,1/((lentry!$A$3:$A$3999=aug!$A28)*(lentry!$B$3:$B$3999&lt;=aug!AC$3)*(lentry!$C$3:$C$3999&gt;=aug!AC$3)),lentry!$D$3:$D$3999),IF(WEEKDAY(AC$3,1)=1,"WO","P"))</f>
        <v>P</v>
      </c>
      <c r="AD28" s="4" t="str">
        <f>IFERROR(LOOKUP(2,1/((lentry!$A$3:$A$3999=aug!$A28)*(lentry!$B$3:$B$3999&lt;=aug!AD$3)*(lentry!$C$3:$C$3999&gt;=aug!AD$3)),lentry!$D$3:$D$3999),IF(WEEKDAY(AD$3,1)=1,"WO","P"))</f>
        <v>P</v>
      </c>
      <c r="AE28" s="4" t="str">
        <f>IFERROR(LOOKUP(2,1/((lentry!$A$3:$A$3999=aug!$A28)*(lentry!$B$3:$B$3999&lt;=aug!AE$3)*(lentry!$C$3:$C$3999&gt;=aug!AE$3)),lentry!$D$3:$D$3999),IF(WEEKDAY(AE$3,1)=1,"WO","P"))</f>
        <v>P</v>
      </c>
      <c r="AF28" s="4" t="str">
        <f>IFERROR(LOOKUP(2,1/((lentry!$A$3:$A$3999=aug!$A28)*(lentry!$B$3:$B$3999&lt;=aug!AF$3)*(lentry!$C$3:$C$3999&gt;=aug!AF$3)),lentry!$D$3:$D$3999),IF(WEEKDAY(AF$3,1)=1,"WO","P"))</f>
        <v>P</v>
      </c>
      <c r="AG28" s="4" t="str">
        <f>IFERROR(LOOKUP(2,1/((lentry!$A$3:$A$3999=aug!$A28)*(lentry!$B$3:$B$3999&lt;=aug!AG$3)*(lentry!$C$3:$C$3999&gt;=aug!AG$3)),lentry!$D$3:$D$3999),IF(WEEKDAY(AG$3,1)=1,"WO","P"))</f>
        <v>P</v>
      </c>
      <c r="AH28" s="4" t="str">
        <f>IFERROR(LOOKUP(2,1/((lentry!$A$3:$A$3999=aug!$A28)*(lentry!$B$3:$B$3999&lt;=aug!AH$3)*(lentry!$C$3:$C$3999&gt;=aug!AH$3)),lentry!$D$3:$D$3999),IF(WEEKDAY(AH$3,1)=1,"WO","P"))</f>
        <v>P</v>
      </c>
      <c r="AI28" s="4" t="s">
        <v>342</v>
      </c>
      <c r="AJ28" s="4" t="str">
        <f>IFERROR(LOOKUP(2,1/((lentry!$A$3:$A$3999=aug!$A28)*(lentry!$B$3:$B$3999&lt;=aug!AJ$3)*(lentry!$C$3:$C$3999&gt;=aug!AJ$3)),lentry!$D$3:$D$3999),IF(WEEKDAY(AJ$3,1)=1,"WO","P"))</f>
        <v>P</v>
      </c>
      <c r="AK28" s="4">
        <f>COUNTIF(aug!$F28:$AJ28,"WO")</f>
        <v>5</v>
      </c>
      <c r="AL28" s="4">
        <f>COUNTIF(aug!$F28:$AJ28,"H")</f>
        <v>1</v>
      </c>
      <c r="AM28" s="4">
        <f>COUNTIF(aug!$F28:$AJ28,"pl")</f>
        <v>0</v>
      </c>
      <c r="AN28" s="4">
        <f>COUNTIF(aug!$F28:$AJ28,"LWP")</f>
        <v>0</v>
      </c>
      <c r="AO28" s="4">
        <f>COUNTIF(aug!$F28:$AJ28,"HD")</f>
        <v>0</v>
      </c>
      <c r="AP28" s="4">
        <f>COUNTIF(aug!$F28:$AJ28,"SL")</f>
        <v>0</v>
      </c>
      <c r="AQ28" s="4">
        <f>COUNTIF(aug!$F28:$AJ28,"CL")</f>
        <v>0</v>
      </c>
      <c r="AR28" s="4">
        <f>COUNTIF(aug!$F28:$AJ28,"A")</f>
        <v>1</v>
      </c>
      <c r="AS28" s="4">
        <f>COUNTIF(aug!$F28:$AJ28,"P")</f>
        <v>24</v>
      </c>
      <c r="AT28" s="4">
        <f t="shared" si="2"/>
        <v>31</v>
      </c>
      <c r="AU28" s="4">
        <f t="shared" si="3"/>
        <v>30</v>
      </c>
    </row>
    <row r="29" spans="1:47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IFERROR(LOOKUP(2,1/((lentry!$A$3:$A$3999=aug!$A29)*(lentry!$B$3:$B$3999&lt;=aug!F$3)*(lentry!$C$3:$C$3999&gt;=aug!F$3)),lentry!$D$3:$D$3999),IF(WEEKDAY(F$3,1)=1,"WO","P"))</f>
        <v>P</v>
      </c>
      <c r="G29" s="4" t="s">
        <v>342</v>
      </c>
      <c r="H29" s="4" t="str">
        <f>IFERROR(LOOKUP(2,1/((lentry!$A$3:$A$3999=aug!$A29)*(lentry!$B$3:$B$3999&lt;=aug!H$3)*(lentry!$C$3:$C$3999&gt;=aug!H$3)),lentry!$D$3:$D$3999),IF(WEEKDAY(H$3,1)=1,"WO","P"))</f>
        <v>P</v>
      </c>
      <c r="I29" s="4" t="str">
        <f>IFERROR(LOOKUP(2,1/((lentry!$A$3:$A$3999=aug!$A29)*(lentry!$B$3:$B$3999&lt;=aug!I$3)*(lentry!$C$3:$C$3999&gt;=aug!I$3)),lentry!$D$3:$D$3999),IF(WEEKDAY(I$3,1)=1,"WO","P"))</f>
        <v>P</v>
      </c>
      <c r="J29" s="4" t="str">
        <f>IFERROR(LOOKUP(2,1/((lentry!$A$3:$A$3999=aug!$A29)*(lentry!$B$3:$B$3999&lt;=aug!J$3)*(lentry!$C$3:$C$3999&gt;=aug!J$3)),lentry!$D$3:$D$3999),IF(WEEKDAY(J$3,1)=1,"WO","P"))</f>
        <v>P</v>
      </c>
      <c r="K29" s="4" t="str">
        <f>IFERROR(LOOKUP(2,1/((lentry!$A$3:$A$3999=aug!$A29)*(lentry!$B$3:$B$3999&lt;=aug!K$3)*(lentry!$C$3:$C$3999&gt;=aug!K$3)),lentry!$D$3:$D$3999),IF(WEEKDAY(K$3,1)=1,"WO","P"))</f>
        <v>P</v>
      </c>
      <c r="L29" s="4" t="str">
        <f>IFERROR(LOOKUP(2,1/((lentry!$A$3:$A$3999=aug!$A29)*(lentry!$B$3:$B$3999&lt;=aug!L$3)*(lentry!$C$3:$C$3999&gt;=aug!L$3)),lentry!$D$3:$D$3999),IF(WEEKDAY(L$3,1)=1,"WO","P"))</f>
        <v>P</v>
      </c>
      <c r="M29" s="4" t="str">
        <f>IFERROR(LOOKUP(2,1/((lentry!$A$3:$A$3999=aug!$A29)*(lentry!$B$3:$B$3999&lt;=aug!M$3)*(lentry!$C$3:$C$3999&gt;=aug!M$3)),lentry!$D$3:$D$3999),IF(WEEKDAY(M$3,1)=1,"WO","P"))</f>
        <v>P</v>
      </c>
      <c r="N29" s="4" t="s">
        <v>342</v>
      </c>
      <c r="O29" s="4" t="str">
        <f>IFERROR(LOOKUP(2,1/((lentry!$A$3:$A$3999=aug!$A29)*(lentry!$B$3:$B$3999&lt;=aug!O$3)*(lentry!$C$3:$C$3999&gt;=aug!O$3)),lentry!$D$3:$D$3999),IF(WEEKDAY(O$3,1)=1,"WO","P"))</f>
        <v>P</v>
      </c>
      <c r="P29" s="4" t="str">
        <f>IFERROR(LOOKUP(2,1/((lentry!$A$3:$A$3999=aug!$A29)*(lentry!$B$3:$B$3999&lt;=aug!P$3)*(lentry!$C$3:$C$3999&gt;=aug!P$3)),lentry!$D$3:$D$3999),IF(WEEKDAY(P$3,1)=1,"WO","P"))</f>
        <v>P</v>
      </c>
      <c r="Q29" s="4" t="str">
        <f>IFERROR(LOOKUP(2,1/((lentry!$A$3:$A$3999=aug!$A29)*(lentry!$B$3:$B$3999&lt;=aug!Q$3)*(lentry!$C$3:$C$3999&gt;=aug!Q$3)),lentry!$D$3:$D$3999),IF(WEEKDAY(Q$3,1)=1,"WO","P"))</f>
        <v>P</v>
      </c>
      <c r="R29" s="4" t="str">
        <f>IFERROR(LOOKUP(2,1/((lentry!$A$3:$A$3999=aug!$A29)*(lentry!$B$3:$B$3999&lt;=aug!R$3)*(lentry!$C$3:$C$3999&gt;=aug!R$3)),lentry!$D$3:$D$3999),IF(WEEKDAY(R$3,1)=1,"WO","P"))</f>
        <v>P</v>
      </c>
      <c r="S29" s="4" t="str">
        <f>IFERROR(LOOKUP(2,1/((lentry!$A$3:$A$3999=aug!$A29)*(lentry!$B$3:$B$3999&lt;=aug!S$3)*(lentry!$C$3:$C$3999&gt;=aug!S$3)),lentry!$D$3:$D$3999),IF(WEEKDAY(S$3,1)=1,"WO","P"))</f>
        <v>P</v>
      </c>
      <c r="T29" s="4" t="s">
        <v>350</v>
      </c>
      <c r="U29" s="4" t="s">
        <v>342</v>
      </c>
      <c r="V29" s="4" t="str">
        <f>IFERROR(LOOKUP(2,1/((lentry!$A$3:$A$3999=aug!$A29)*(lentry!$B$3:$B$3999&lt;=aug!V$3)*(lentry!$C$3:$C$3999&gt;=aug!V$3)),lentry!$D$3:$D$3999),IF(WEEKDAY(V$3,1)=1,"WO","P"))</f>
        <v>P</v>
      </c>
      <c r="W29" s="4" t="str">
        <f>IFERROR(LOOKUP(2,1/((lentry!$A$3:$A$3999=aug!$A29)*(lentry!$B$3:$B$3999&lt;=aug!W$3)*(lentry!$C$3:$C$3999&gt;=aug!W$3)),lentry!$D$3:$D$3999),IF(WEEKDAY(W$3,1)=1,"WO","P"))</f>
        <v>P</v>
      </c>
      <c r="X29" s="4" t="str">
        <f>IFERROR(LOOKUP(2,1/((lentry!$A$3:$A$3999=aug!$A29)*(lentry!$B$3:$B$3999&lt;=aug!X$3)*(lentry!$C$3:$C$3999&gt;=aug!X$3)),lentry!$D$3:$D$3999),IF(WEEKDAY(X$3,1)=1,"WO","P"))</f>
        <v>P</v>
      </c>
      <c r="Y29" s="4" t="str">
        <f>IFERROR(LOOKUP(2,1/((lentry!$A$3:$A$3999=aug!$A29)*(lentry!$B$3:$B$3999&lt;=aug!Y$3)*(lentry!$C$3:$C$3999&gt;=aug!Y$3)),lentry!$D$3:$D$3999),IF(WEEKDAY(Y$3,1)=1,"WO","P"))</f>
        <v>P</v>
      </c>
      <c r="Z29" s="4" t="str">
        <f>IFERROR(LOOKUP(2,1/((lentry!$A$3:$A$3999=aug!$A29)*(lentry!$B$3:$B$3999&lt;=aug!Z$3)*(lentry!$C$3:$C$3999&gt;=aug!Z$3)),lentry!$D$3:$D$3999),IF(WEEKDAY(Z$3,1)=1,"WO","P"))</f>
        <v>P</v>
      </c>
      <c r="AA29" s="4" t="str">
        <f>IFERROR(LOOKUP(2,1/((lentry!$A$3:$A$3999=aug!$A29)*(lentry!$B$3:$B$3999&lt;=aug!AA$3)*(lentry!$C$3:$C$3999&gt;=aug!AA$3)),lentry!$D$3:$D$3999),IF(WEEKDAY(AA$3,1)=1,"WO","P"))</f>
        <v>P</v>
      </c>
      <c r="AB29" s="4" t="s">
        <v>342</v>
      </c>
      <c r="AC29" s="4" t="str">
        <f>IFERROR(LOOKUP(2,1/((lentry!$A$3:$A$3999=aug!$A29)*(lentry!$B$3:$B$3999&lt;=aug!AC$3)*(lentry!$C$3:$C$3999&gt;=aug!AC$3)),lentry!$D$3:$D$3999),IF(WEEKDAY(AC$3,1)=1,"WO","P"))</f>
        <v>P</v>
      </c>
      <c r="AD29" s="4" t="str">
        <f>IFERROR(LOOKUP(2,1/((lentry!$A$3:$A$3999=aug!$A29)*(lentry!$B$3:$B$3999&lt;=aug!AD$3)*(lentry!$C$3:$C$3999&gt;=aug!AD$3)),lentry!$D$3:$D$3999),IF(WEEKDAY(AD$3,1)=1,"WO","P"))</f>
        <v>P</v>
      </c>
      <c r="AE29" s="4" t="str">
        <f>IFERROR(LOOKUP(2,1/((lentry!$A$3:$A$3999=aug!$A29)*(lentry!$B$3:$B$3999&lt;=aug!AE$3)*(lentry!$C$3:$C$3999&gt;=aug!AE$3)),lentry!$D$3:$D$3999),IF(WEEKDAY(AE$3,1)=1,"WO","P"))</f>
        <v>P</v>
      </c>
      <c r="AF29" s="4" t="str">
        <f>IFERROR(LOOKUP(2,1/((lentry!$A$3:$A$3999=aug!$A29)*(lentry!$B$3:$B$3999&lt;=aug!AF$3)*(lentry!$C$3:$C$3999&gt;=aug!AF$3)),lentry!$D$3:$D$3999),IF(WEEKDAY(AF$3,1)=1,"WO","P"))</f>
        <v>P</v>
      </c>
      <c r="AG29" s="4" t="str">
        <f>IFERROR(LOOKUP(2,1/((lentry!$A$3:$A$3999=aug!$A29)*(lentry!$B$3:$B$3999&lt;=aug!AG$3)*(lentry!$C$3:$C$3999&gt;=aug!AG$3)),lentry!$D$3:$D$3999),IF(WEEKDAY(AG$3,1)=1,"WO","P"))</f>
        <v>P</v>
      </c>
      <c r="AH29" s="4" t="str">
        <f>IFERROR(LOOKUP(2,1/((lentry!$A$3:$A$3999=aug!$A29)*(lentry!$B$3:$B$3999&lt;=aug!AH$3)*(lentry!$C$3:$C$3999&gt;=aug!AH$3)),lentry!$D$3:$D$3999),IF(WEEKDAY(AH$3,1)=1,"WO","P"))</f>
        <v>P</v>
      </c>
      <c r="AI29" s="4" t="s">
        <v>342</v>
      </c>
      <c r="AJ29" s="4" t="str">
        <f>IFERROR(LOOKUP(2,1/((lentry!$A$3:$A$3999=aug!$A29)*(lentry!$B$3:$B$3999&lt;=aug!AJ$3)*(lentry!$C$3:$C$3999&gt;=aug!AJ$3)),lentry!$D$3:$D$3999),IF(WEEKDAY(AJ$3,1)=1,"WO","P"))</f>
        <v>P</v>
      </c>
      <c r="AK29" s="4">
        <f>COUNTIF(aug!$F29:$AJ29,"WO")</f>
        <v>5</v>
      </c>
      <c r="AL29" s="4">
        <f>COUNTIF(aug!$F29:$AJ29,"H")</f>
        <v>1</v>
      </c>
      <c r="AM29" s="4">
        <f>COUNTIF(aug!$F29:$AJ29,"pl")</f>
        <v>0</v>
      </c>
      <c r="AN29" s="4">
        <f>COUNTIF(aug!$F29:$AJ29,"LWP")</f>
        <v>0</v>
      </c>
      <c r="AO29" s="4">
        <f>COUNTIF(aug!$F29:$AJ29,"HD")</f>
        <v>0</v>
      </c>
      <c r="AP29" s="4">
        <f>COUNTIF(aug!$F29:$AJ29,"SL")</f>
        <v>0</v>
      </c>
      <c r="AQ29" s="4">
        <f>COUNTIF(aug!$F29:$AJ29,"CL")</f>
        <v>0</v>
      </c>
      <c r="AR29" s="4">
        <f>COUNTIF(aug!$F29:$AJ29,"A")</f>
        <v>0</v>
      </c>
      <c r="AS29" s="4">
        <f>COUNTIF(aug!$F29:$AJ29,"P")</f>
        <v>25</v>
      </c>
      <c r="AT29" s="4">
        <f t="shared" si="2"/>
        <v>31</v>
      </c>
      <c r="AU29" s="4">
        <f t="shared" si="3"/>
        <v>31</v>
      </c>
    </row>
    <row r="30" spans="1:47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IFERROR(LOOKUP(2,1/((lentry!$A$3:$A$3999=aug!$A30)*(lentry!$B$3:$B$3999&lt;=aug!F$3)*(lentry!$C$3:$C$3999&gt;=aug!F$3)),lentry!$D$3:$D$3999),IF(WEEKDAY(F$3,1)=1,"WO","P"))</f>
        <v>P</v>
      </c>
      <c r="G30" s="4" t="s">
        <v>342</v>
      </c>
      <c r="H30" s="4" t="str">
        <f>IFERROR(LOOKUP(2,1/((lentry!$A$3:$A$3999=aug!$A30)*(lentry!$B$3:$B$3999&lt;=aug!H$3)*(lentry!$C$3:$C$3999&gt;=aug!H$3)),lentry!$D$3:$D$3999),IF(WEEKDAY(H$3,1)=1,"WO","P"))</f>
        <v>P</v>
      </c>
      <c r="I30" s="4" t="str">
        <f>IFERROR(LOOKUP(2,1/((lentry!$A$3:$A$3999=aug!$A30)*(lentry!$B$3:$B$3999&lt;=aug!I$3)*(lentry!$C$3:$C$3999&gt;=aug!I$3)),lentry!$D$3:$D$3999),IF(WEEKDAY(I$3,1)=1,"WO","P"))</f>
        <v>P</v>
      </c>
      <c r="J30" s="4" t="str">
        <f>IFERROR(LOOKUP(2,1/((lentry!$A$3:$A$3999=aug!$A30)*(lentry!$B$3:$B$3999&lt;=aug!J$3)*(lentry!$C$3:$C$3999&gt;=aug!J$3)),lentry!$D$3:$D$3999),IF(WEEKDAY(J$3,1)=1,"WO","P"))</f>
        <v>P</v>
      </c>
      <c r="K30" s="4" t="str">
        <f>IFERROR(LOOKUP(2,1/((lentry!$A$3:$A$3999=aug!$A30)*(lentry!$B$3:$B$3999&lt;=aug!K$3)*(lentry!$C$3:$C$3999&gt;=aug!K$3)),lentry!$D$3:$D$3999),IF(WEEKDAY(K$3,1)=1,"WO","P"))</f>
        <v>P</v>
      </c>
      <c r="L30" s="4" t="str">
        <f>IFERROR(LOOKUP(2,1/((lentry!$A$3:$A$3999=aug!$A30)*(lentry!$B$3:$B$3999&lt;=aug!L$3)*(lentry!$C$3:$C$3999&gt;=aug!L$3)),lentry!$D$3:$D$3999),IF(WEEKDAY(L$3,1)=1,"WO","P"))</f>
        <v>P</v>
      </c>
      <c r="M30" s="4" t="str">
        <f>IFERROR(LOOKUP(2,1/((lentry!$A$3:$A$3999=aug!$A30)*(lentry!$B$3:$B$3999&lt;=aug!M$3)*(lentry!$C$3:$C$3999&gt;=aug!M$3)),lentry!$D$3:$D$3999),IF(WEEKDAY(M$3,1)=1,"WO","P"))</f>
        <v>P</v>
      </c>
      <c r="N30" s="4" t="s">
        <v>342</v>
      </c>
      <c r="O30" s="4" t="str">
        <f>IFERROR(LOOKUP(2,1/((lentry!$A$3:$A$3999=aug!$A30)*(lentry!$B$3:$B$3999&lt;=aug!O$3)*(lentry!$C$3:$C$3999&gt;=aug!O$3)),lentry!$D$3:$D$3999),IF(WEEKDAY(O$3,1)=1,"WO","P"))</f>
        <v>P</v>
      </c>
      <c r="P30" s="4" t="str">
        <f>IFERROR(LOOKUP(2,1/((lentry!$A$3:$A$3999=aug!$A30)*(lentry!$B$3:$B$3999&lt;=aug!P$3)*(lentry!$C$3:$C$3999&gt;=aug!P$3)),lentry!$D$3:$D$3999),IF(WEEKDAY(P$3,1)=1,"WO","P"))</f>
        <v>P</v>
      </c>
      <c r="Q30" s="4" t="str">
        <f>IFERROR(LOOKUP(2,1/((lentry!$A$3:$A$3999=aug!$A30)*(lentry!$B$3:$B$3999&lt;=aug!Q$3)*(lentry!$C$3:$C$3999&gt;=aug!Q$3)),lentry!$D$3:$D$3999),IF(WEEKDAY(Q$3,1)=1,"WO","P"))</f>
        <v>P</v>
      </c>
      <c r="R30" s="4" t="str">
        <f>IFERROR(LOOKUP(2,1/((lentry!$A$3:$A$3999=aug!$A30)*(lentry!$B$3:$B$3999&lt;=aug!R$3)*(lentry!$C$3:$C$3999&gt;=aug!R$3)),lentry!$D$3:$D$3999),IF(WEEKDAY(R$3,1)=1,"WO","P"))</f>
        <v>P</v>
      </c>
      <c r="S30" s="4" t="str">
        <f>IFERROR(LOOKUP(2,1/((lentry!$A$3:$A$3999=aug!$A30)*(lentry!$B$3:$B$3999&lt;=aug!S$3)*(lentry!$C$3:$C$3999&gt;=aug!S$3)),lentry!$D$3:$D$3999),IF(WEEKDAY(S$3,1)=1,"WO","P"))</f>
        <v>P</v>
      </c>
      <c r="T30" s="4" t="s">
        <v>350</v>
      </c>
      <c r="U30" s="4" t="s">
        <v>342</v>
      </c>
      <c r="V30" s="4" t="str">
        <f>IFERROR(LOOKUP(2,1/((lentry!$A$3:$A$3999=aug!$A30)*(lentry!$B$3:$B$3999&lt;=aug!V$3)*(lentry!$C$3:$C$3999&gt;=aug!V$3)),lentry!$D$3:$D$3999),IF(WEEKDAY(V$3,1)=1,"WO","P"))</f>
        <v>P</v>
      </c>
      <c r="W30" s="4" t="str">
        <f>IFERROR(LOOKUP(2,1/((lentry!$A$3:$A$3999=aug!$A30)*(lentry!$B$3:$B$3999&lt;=aug!W$3)*(lentry!$C$3:$C$3999&gt;=aug!W$3)),lentry!$D$3:$D$3999),IF(WEEKDAY(W$3,1)=1,"WO","P"))</f>
        <v>P</v>
      </c>
      <c r="X30" s="4" t="str">
        <f>IFERROR(LOOKUP(2,1/((lentry!$A$3:$A$3999=aug!$A30)*(lentry!$B$3:$B$3999&lt;=aug!X$3)*(lentry!$C$3:$C$3999&gt;=aug!X$3)),lentry!$D$3:$D$3999),IF(WEEKDAY(X$3,1)=1,"WO","P"))</f>
        <v>P</v>
      </c>
      <c r="Y30" s="4" t="s">
        <v>539</v>
      </c>
      <c r="Z30" s="4" t="str">
        <f>IFERROR(LOOKUP(2,1/((lentry!$A$3:$A$3999=aug!$A30)*(lentry!$B$3:$B$3999&lt;=aug!Z$3)*(lentry!$C$3:$C$3999&gt;=aug!Z$3)),lentry!$D$3:$D$3999),IF(WEEKDAY(Z$3,1)=1,"WO","P"))</f>
        <v>P</v>
      </c>
      <c r="AA30" s="4" t="str">
        <f>IFERROR(LOOKUP(2,1/((lentry!$A$3:$A$3999=aug!$A30)*(lentry!$B$3:$B$3999&lt;=aug!AA$3)*(lentry!$C$3:$C$3999&gt;=aug!AA$3)),lentry!$D$3:$D$3999),IF(WEEKDAY(AA$3,1)=1,"WO","P"))</f>
        <v>P</v>
      </c>
      <c r="AB30" s="4" t="s">
        <v>342</v>
      </c>
      <c r="AC30" s="4" t="str">
        <f>IFERROR(LOOKUP(2,1/((lentry!$A$3:$A$3999=aug!$A30)*(lentry!$B$3:$B$3999&lt;=aug!AC$3)*(lentry!$C$3:$C$3999&gt;=aug!AC$3)),lentry!$D$3:$D$3999),IF(WEEKDAY(AC$3,1)=1,"WO","P"))</f>
        <v>P</v>
      </c>
      <c r="AD30" s="4" t="str">
        <f>IFERROR(LOOKUP(2,1/((lentry!$A$3:$A$3999=aug!$A30)*(lentry!$B$3:$B$3999&lt;=aug!AD$3)*(lentry!$C$3:$C$3999&gt;=aug!AD$3)),lentry!$D$3:$D$3999),IF(WEEKDAY(AD$3,1)=1,"WO","P"))</f>
        <v>P</v>
      </c>
      <c r="AE30" s="4" t="str">
        <f>IFERROR(LOOKUP(2,1/((lentry!$A$3:$A$3999=aug!$A30)*(lentry!$B$3:$B$3999&lt;=aug!AE$3)*(lentry!$C$3:$C$3999&gt;=aug!AE$3)),lentry!$D$3:$D$3999),IF(WEEKDAY(AE$3,1)=1,"WO","P"))</f>
        <v>P</v>
      </c>
      <c r="AF30" s="4" t="str">
        <f>IFERROR(LOOKUP(2,1/((lentry!$A$3:$A$3999=aug!$A30)*(lentry!$B$3:$B$3999&lt;=aug!AF$3)*(lentry!$C$3:$C$3999&gt;=aug!AF$3)),lentry!$D$3:$D$3999),IF(WEEKDAY(AF$3,1)=1,"WO","P"))</f>
        <v>P</v>
      </c>
      <c r="AG30" s="4" t="str">
        <f>IFERROR(LOOKUP(2,1/((lentry!$A$3:$A$3999=aug!$A30)*(lentry!$B$3:$B$3999&lt;=aug!AG$3)*(lentry!$C$3:$C$3999&gt;=aug!AG$3)),lentry!$D$3:$D$3999),IF(WEEKDAY(AG$3,1)=1,"WO","P"))</f>
        <v>P</v>
      </c>
      <c r="AH30" s="4" t="str">
        <f>IFERROR(LOOKUP(2,1/((lentry!$A$3:$A$3999=aug!$A30)*(lentry!$B$3:$B$3999&lt;=aug!AH$3)*(lentry!$C$3:$C$3999&gt;=aug!AH$3)),lentry!$D$3:$D$3999),IF(WEEKDAY(AH$3,1)=1,"WO","P"))</f>
        <v>P</v>
      </c>
      <c r="AI30" s="4" t="s">
        <v>342</v>
      </c>
      <c r="AJ30" s="4" t="str">
        <f>IFERROR(LOOKUP(2,1/((lentry!$A$3:$A$3999=aug!$A30)*(lentry!$B$3:$B$3999&lt;=aug!AJ$3)*(lentry!$C$3:$C$3999&gt;=aug!AJ$3)),lentry!$D$3:$D$3999),IF(WEEKDAY(AJ$3,1)=1,"WO","P"))</f>
        <v>P</v>
      </c>
      <c r="AK30" s="4">
        <f>COUNTIF(aug!$F30:$AJ30,"WO")</f>
        <v>5</v>
      </c>
      <c r="AL30" s="4">
        <f>COUNTIF(aug!$F30:$AJ30,"H")</f>
        <v>1</v>
      </c>
      <c r="AM30" s="4">
        <f>COUNTIF(aug!$F30:$AJ30,"pl")</f>
        <v>0</v>
      </c>
      <c r="AN30" s="4">
        <f>COUNTIF(aug!$F30:$AJ30,"LWP")</f>
        <v>0</v>
      </c>
      <c r="AO30" s="4">
        <f>COUNTIF(aug!$F30:$AJ30,"HD")</f>
        <v>0</v>
      </c>
      <c r="AP30" s="4">
        <f>COUNTIF(aug!$F30:$AJ30,"SL")</f>
        <v>0</v>
      </c>
      <c r="AQ30" s="4">
        <f>COUNTIF(aug!$F30:$AJ30,"CL")</f>
        <v>0</v>
      </c>
      <c r="AR30" s="4">
        <f>COUNTIF(aug!$F30:$AJ30,"A")</f>
        <v>1</v>
      </c>
      <c r="AS30" s="4">
        <f>COUNTIF(aug!$F30:$AJ30,"P")</f>
        <v>24</v>
      </c>
      <c r="AT30" s="4">
        <f t="shared" si="2"/>
        <v>31</v>
      </c>
      <c r="AU30" s="4">
        <f t="shared" si="3"/>
        <v>30</v>
      </c>
    </row>
    <row r="31" spans="1:47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IFERROR(LOOKUP(2,1/((lentry!$A$3:$A$3999=aug!$A31)*(lentry!$B$3:$B$3999&lt;=aug!F$3)*(lentry!$C$3:$C$3999&gt;=aug!F$3)),lentry!$D$3:$D$3999),IF(WEEKDAY(F$3,1)=1,"WO","P"))</f>
        <v>P</v>
      </c>
      <c r="G31" s="4" t="s">
        <v>342</v>
      </c>
      <c r="H31" s="4" t="str">
        <f>IFERROR(LOOKUP(2,1/((lentry!$A$3:$A$3999=aug!$A31)*(lentry!$B$3:$B$3999&lt;=aug!H$3)*(lentry!$C$3:$C$3999&gt;=aug!H$3)),lentry!$D$3:$D$3999),IF(WEEKDAY(H$3,1)=1,"WO","P"))</f>
        <v>P</v>
      </c>
      <c r="I31" s="4" t="str">
        <f>IFERROR(LOOKUP(2,1/((lentry!$A$3:$A$3999=aug!$A31)*(lentry!$B$3:$B$3999&lt;=aug!I$3)*(lentry!$C$3:$C$3999&gt;=aug!I$3)),lentry!$D$3:$D$3999),IF(WEEKDAY(I$3,1)=1,"WO","P"))</f>
        <v>P</v>
      </c>
      <c r="J31" s="4" t="str">
        <f>IFERROR(LOOKUP(2,1/((lentry!$A$3:$A$3999=aug!$A31)*(lentry!$B$3:$B$3999&lt;=aug!J$3)*(lentry!$C$3:$C$3999&gt;=aug!J$3)),lentry!$D$3:$D$3999),IF(WEEKDAY(J$3,1)=1,"WO","P"))</f>
        <v>P</v>
      </c>
      <c r="K31" s="4" t="s">
        <v>539</v>
      </c>
      <c r="L31" s="4" t="str">
        <f>IFERROR(LOOKUP(2,1/((lentry!$A$3:$A$3999=aug!$A31)*(lentry!$B$3:$B$3999&lt;=aug!L$3)*(lentry!$C$3:$C$3999&gt;=aug!L$3)),lentry!$D$3:$D$3999),IF(WEEKDAY(L$3,1)=1,"WO","P"))</f>
        <v>P</v>
      </c>
      <c r="M31" s="4" t="str">
        <f>IFERROR(LOOKUP(2,1/((lentry!$A$3:$A$3999=aug!$A31)*(lentry!$B$3:$B$3999&lt;=aug!M$3)*(lentry!$C$3:$C$3999&gt;=aug!M$3)),lentry!$D$3:$D$3999),IF(WEEKDAY(M$3,1)=1,"WO","P"))</f>
        <v>P</v>
      </c>
      <c r="N31" s="4" t="s">
        <v>342</v>
      </c>
      <c r="O31" s="4" t="str">
        <f>IFERROR(LOOKUP(2,1/((lentry!$A$3:$A$3999=aug!$A31)*(lentry!$B$3:$B$3999&lt;=aug!O$3)*(lentry!$C$3:$C$3999&gt;=aug!O$3)),lentry!$D$3:$D$3999),IF(WEEKDAY(O$3,1)=1,"WO","P"))</f>
        <v>P</v>
      </c>
      <c r="P31" s="4" t="str">
        <f>IFERROR(LOOKUP(2,1/((lentry!$A$3:$A$3999=aug!$A31)*(lentry!$B$3:$B$3999&lt;=aug!P$3)*(lentry!$C$3:$C$3999&gt;=aug!P$3)),lentry!$D$3:$D$3999),IF(WEEKDAY(P$3,1)=1,"WO","P"))</f>
        <v>P</v>
      </c>
      <c r="Q31" s="4" t="str">
        <f>IFERROR(LOOKUP(2,1/((lentry!$A$3:$A$3999=aug!$A31)*(lentry!$B$3:$B$3999&lt;=aug!Q$3)*(lentry!$C$3:$C$3999&gt;=aug!Q$3)),lentry!$D$3:$D$3999),IF(WEEKDAY(Q$3,1)=1,"WO","P"))</f>
        <v>P</v>
      </c>
      <c r="R31" s="4" t="str">
        <f>IFERROR(LOOKUP(2,1/((lentry!$A$3:$A$3999=aug!$A31)*(lentry!$B$3:$B$3999&lt;=aug!R$3)*(lentry!$C$3:$C$3999&gt;=aug!R$3)),lentry!$D$3:$D$3999),IF(WEEKDAY(R$3,1)=1,"WO","P"))</f>
        <v>P</v>
      </c>
      <c r="S31" s="4" t="str">
        <f>IFERROR(LOOKUP(2,1/((lentry!$A$3:$A$3999=aug!$A31)*(lentry!$B$3:$B$3999&lt;=aug!S$3)*(lentry!$C$3:$C$3999&gt;=aug!S$3)),lentry!$D$3:$D$3999),IF(WEEKDAY(S$3,1)=1,"WO","P"))</f>
        <v>P</v>
      </c>
      <c r="T31" s="4" t="s">
        <v>350</v>
      </c>
      <c r="U31" s="4" t="s">
        <v>342</v>
      </c>
      <c r="V31" s="4" t="str">
        <f>IFERROR(LOOKUP(2,1/((lentry!$A$3:$A$3999=aug!$A31)*(lentry!$B$3:$B$3999&lt;=aug!V$3)*(lentry!$C$3:$C$3999&gt;=aug!V$3)),lentry!$D$3:$D$3999),IF(WEEKDAY(V$3,1)=1,"WO","P"))</f>
        <v>P</v>
      </c>
      <c r="W31" s="4" t="str">
        <f>IFERROR(LOOKUP(2,1/((lentry!$A$3:$A$3999=aug!$A31)*(lentry!$B$3:$B$3999&lt;=aug!W$3)*(lentry!$C$3:$C$3999&gt;=aug!W$3)),lentry!$D$3:$D$3999),IF(WEEKDAY(W$3,1)=1,"WO","P"))</f>
        <v>P</v>
      </c>
      <c r="X31" s="4" t="str">
        <f>IFERROR(LOOKUP(2,1/((lentry!$A$3:$A$3999=aug!$A31)*(lentry!$B$3:$B$3999&lt;=aug!X$3)*(lentry!$C$3:$C$3999&gt;=aug!X$3)),lentry!$D$3:$D$3999),IF(WEEKDAY(X$3,1)=1,"WO","P"))</f>
        <v>P</v>
      </c>
      <c r="Y31" s="4" t="str">
        <f>IFERROR(LOOKUP(2,1/((lentry!$A$3:$A$3999=aug!$A31)*(lentry!$B$3:$B$3999&lt;=aug!Y$3)*(lentry!$C$3:$C$3999&gt;=aug!Y$3)),lentry!$D$3:$D$3999),IF(WEEKDAY(Y$3,1)=1,"WO","P"))</f>
        <v>P</v>
      </c>
      <c r="Z31" s="4" t="str">
        <f>IFERROR(LOOKUP(2,1/((lentry!$A$3:$A$3999=aug!$A31)*(lentry!$B$3:$B$3999&lt;=aug!Z$3)*(lentry!$C$3:$C$3999&gt;=aug!Z$3)),lentry!$D$3:$D$3999),IF(WEEKDAY(Z$3,1)=1,"WO","P"))</f>
        <v>P</v>
      </c>
      <c r="AA31" s="4" t="str">
        <f>IFERROR(LOOKUP(2,1/((lentry!$A$3:$A$3999=aug!$A31)*(lentry!$B$3:$B$3999&lt;=aug!AA$3)*(lentry!$C$3:$C$3999&gt;=aug!AA$3)),lentry!$D$3:$D$3999),IF(WEEKDAY(AA$3,1)=1,"WO","P"))</f>
        <v>P</v>
      </c>
      <c r="AB31" s="4" t="s">
        <v>342</v>
      </c>
      <c r="AC31" s="4" t="str">
        <f>IFERROR(LOOKUP(2,1/((lentry!$A$3:$A$3999=aug!$A31)*(lentry!$B$3:$B$3999&lt;=aug!AC$3)*(lentry!$C$3:$C$3999&gt;=aug!AC$3)),lentry!$D$3:$D$3999),IF(WEEKDAY(AC$3,1)=1,"WO","P"))</f>
        <v>P</v>
      </c>
      <c r="AD31" s="4" t="str">
        <f>IFERROR(LOOKUP(2,1/((lentry!$A$3:$A$3999=aug!$A31)*(lentry!$B$3:$B$3999&lt;=aug!AD$3)*(lentry!$C$3:$C$3999&gt;=aug!AD$3)),lentry!$D$3:$D$3999),IF(WEEKDAY(AD$3,1)=1,"WO","P"))</f>
        <v>P</v>
      </c>
      <c r="AE31" s="4" t="s">
        <v>539</v>
      </c>
      <c r="AF31" s="4" t="str">
        <f>IFERROR(LOOKUP(2,1/((lentry!$A$3:$A$3999=aug!$A31)*(lentry!$B$3:$B$3999&lt;=aug!AF$3)*(lentry!$C$3:$C$3999&gt;=aug!AF$3)),lentry!$D$3:$D$3999),IF(WEEKDAY(AF$3,1)=1,"WO","P"))</f>
        <v>P</v>
      </c>
      <c r="AG31" s="4" t="str">
        <f>IFERROR(LOOKUP(2,1/((lentry!$A$3:$A$3999=aug!$A31)*(lentry!$B$3:$B$3999&lt;=aug!AG$3)*(lentry!$C$3:$C$3999&gt;=aug!AG$3)),lentry!$D$3:$D$3999),IF(WEEKDAY(AG$3,1)=1,"WO","P"))</f>
        <v>P</v>
      </c>
      <c r="AH31" s="4" t="str">
        <f>IFERROR(LOOKUP(2,1/((lentry!$A$3:$A$3999=aug!$A31)*(lentry!$B$3:$B$3999&lt;=aug!AH$3)*(lentry!$C$3:$C$3999&gt;=aug!AH$3)),lentry!$D$3:$D$3999),IF(WEEKDAY(AH$3,1)=1,"WO","P"))</f>
        <v>P</v>
      </c>
      <c r="AI31" s="4" t="s">
        <v>342</v>
      </c>
      <c r="AJ31" s="4" t="str">
        <f>IFERROR(LOOKUP(2,1/((lentry!$A$3:$A$3999=aug!$A31)*(lentry!$B$3:$B$3999&lt;=aug!AJ$3)*(lentry!$C$3:$C$3999&gt;=aug!AJ$3)),lentry!$D$3:$D$3999),IF(WEEKDAY(AJ$3,1)=1,"WO","P"))</f>
        <v>P</v>
      </c>
      <c r="AK31" s="4">
        <f>COUNTIF(aug!$F31:$AJ31,"WO")</f>
        <v>5</v>
      </c>
      <c r="AL31" s="4">
        <f>COUNTIF(aug!$F31:$AJ31,"H")</f>
        <v>1</v>
      </c>
      <c r="AM31" s="4">
        <f>COUNTIF(aug!$F31:$AJ31,"pl")</f>
        <v>0</v>
      </c>
      <c r="AN31" s="4">
        <f>COUNTIF(aug!$F31:$AJ31,"LWP")</f>
        <v>0</v>
      </c>
      <c r="AO31" s="4">
        <f>COUNTIF(aug!$F31:$AJ31,"HD")</f>
        <v>0</v>
      </c>
      <c r="AP31" s="4">
        <f>COUNTIF(aug!$F31:$AJ31,"SL")</f>
        <v>0</v>
      </c>
      <c r="AQ31" s="4">
        <f>COUNTIF(aug!$F31:$AJ31,"CL")</f>
        <v>0</v>
      </c>
      <c r="AR31" s="4">
        <f>COUNTIF(aug!$F31:$AJ31,"A")</f>
        <v>2</v>
      </c>
      <c r="AS31" s="4">
        <f>COUNTIF(aug!$F31:$AJ31,"P")</f>
        <v>23</v>
      </c>
      <c r="AT31" s="4">
        <f t="shared" si="2"/>
        <v>31</v>
      </c>
      <c r="AU31" s="4">
        <f t="shared" si="3"/>
        <v>29</v>
      </c>
    </row>
    <row r="32" spans="1:47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IFERROR(LOOKUP(2,1/((lentry!$A$3:$A$3999=aug!$A32)*(lentry!$B$3:$B$3999&lt;=aug!F$3)*(lentry!$C$3:$C$3999&gt;=aug!F$3)),lentry!$D$3:$D$3999),IF(WEEKDAY(F$3,1)=1,"WO","P"))</f>
        <v>P</v>
      </c>
      <c r="G32" s="4" t="s">
        <v>342</v>
      </c>
      <c r="H32" s="4" t="str">
        <f>IFERROR(LOOKUP(2,1/((lentry!$A$3:$A$3999=aug!$A32)*(lentry!$B$3:$B$3999&lt;=aug!H$3)*(lentry!$C$3:$C$3999&gt;=aug!H$3)),lentry!$D$3:$D$3999),IF(WEEKDAY(H$3,1)=1,"WO","P"))</f>
        <v>P</v>
      </c>
      <c r="I32" s="4" t="str">
        <f>IFERROR(LOOKUP(2,1/((lentry!$A$3:$A$3999=aug!$A32)*(lentry!$B$3:$B$3999&lt;=aug!I$3)*(lentry!$C$3:$C$3999&gt;=aug!I$3)),lentry!$D$3:$D$3999),IF(WEEKDAY(I$3,1)=1,"WO","P"))</f>
        <v>P</v>
      </c>
      <c r="J32" s="4" t="str">
        <f>IFERROR(LOOKUP(2,1/((lentry!$A$3:$A$3999=aug!$A32)*(lentry!$B$3:$B$3999&lt;=aug!J$3)*(lentry!$C$3:$C$3999&gt;=aug!J$3)),lentry!$D$3:$D$3999),IF(WEEKDAY(J$3,1)=1,"WO","P"))</f>
        <v>P</v>
      </c>
      <c r="K32" s="4" t="str">
        <f>IFERROR(LOOKUP(2,1/((lentry!$A$3:$A$3999=aug!$A32)*(lentry!$B$3:$B$3999&lt;=aug!K$3)*(lentry!$C$3:$C$3999&gt;=aug!K$3)),lentry!$D$3:$D$3999),IF(WEEKDAY(K$3,1)=1,"WO","P"))</f>
        <v>P</v>
      </c>
      <c r="L32" s="4" t="str">
        <f>IFERROR(LOOKUP(2,1/((lentry!$A$3:$A$3999=aug!$A32)*(lentry!$B$3:$B$3999&lt;=aug!L$3)*(lentry!$C$3:$C$3999&gt;=aug!L$3)),lentry!$D$3:$D$3999),IF(WEEKDAY(L$3,1)=1,"WO","P"))</f>
        <v>P</v>
      </c>
      <c r="M32" s="4" t="str">
        <f>IFERROR(LOOKUP(2,1/((lentry!$A$3:$A$3999=aug!$A32)*(lentry!$B$3:$B$3999&lt;=aug!M$3)*(lentry!$C$3:$C$3999&gt;=aug!M$3)),lentry!$D$3:$D$3999),IF(WEEKDAY(M$3,1)=1,"WO","P"))</f>
        <v>P</v>
      </c>
      <c r="N32" s="4" t="s">
        <v>342</v>
      </c>
      <c r="O32" s="4" t="str">
        <f>IFERROR(LOOKUP(2,1/((lentry!$A$3:$A$3999=aug!$A32)*(lentry!$B$3:$B$3999&lt;=aug!O$3)*(lentry!$C$3:$C$3999&gt;=aug!O$3)),lentry!$D$3:$D$3999),IF(WEEKDAY(O$3,1)=1,"WO","P"))</f>
        <v>P</v>
      </c>
      <c r="P32" s="4" t="str">
        <f>IFERROR(LOOKUP(2,1/((lentry!$A$3:$A$3999=aug!$A32)*(lentry!$B$3:$B$3999&lt;=aug!P$3)*(lentry!$C$3:$C$3999&gt;=aug!P$3)),lentry!$D$3:$D$3999),IF(WEEKDAY(P$3,1)=1,"WO","P"))</f>
        <v>P</v>
      </c>
      <c r="Q32" s="4" t="str">
        <f>IFERROR(LOOKUP(2,1/((lentry!$A$3:$A$3999=aug!$A32)*(lentry!$B$3:$B$3999&lt;=aug!Q$3)*(lentry!$C$3:$C$3999&gt;=aug!Q$3)),lentry!$D$3:$D$3999),IF(WEEKDAY(Q$3,1)=1,"WO","P"))</f>
        <v>P</v>
      </c>
      <c r="R32" s="4" t="str">
        <f>IFERROR(LOOKUP(2,1/((lentry!$A$3:$A$3999=aug!$A32)*(lentry!$B$3:$B$3999&lt;=aug!R$3)*(lentry!$C$3:$C$3999&gt;=aug!R$3)),lentry!$D$3:$D$3999),IF(WEEKDAY(R$3,1)=1,"WO","P"))</f>
        <v>P</v>
      </c>
      <c r="S32" s="4" t="str">
        <f>IFERROR(LOOKUP(2,1/((lentry!$A$3:$A$3999=aug!$A32)*(lentry!$B$3:$B$3999&lt;=aug!S$3)*(lentry!$C$3:$C$3999&gt;=aug!S$3)),lentry!$D$3:$D$3999),IF(WEEKDAY(S$3,1)=1,"WO","P"))</f>
        <v>P</v>
      </c>
      <c r="T32" s="4" t="s">
        <v>350</v>
      </c>
      <c r="U32" s="4" t="s">
        <v>342</v>
      </c>
      <c r="V32" s="4" t="str">
        <f>IFERROR(LOOKUP(2,1/((lentry!$A$3:$A$3999=aug!$A32)*(lentry!$B$3:$B$3999&lt;=aug!V$3)*(lentry!$C$3:$C$3999&gt;=aug!V$3)),lentry!$D$3:$D$3999),IF(WEEKDAY(V$3,1)=1,"WO","P"))</f>
        <v>P</v>
      </c>
      <c r="W32" s="4" t="str">
        <f>IFERROR(LOOKUP(2,1/((lentry!$A$3:$A$3999=aug!$A32)*(lentry!$B$3:$B$3999&lt;=aug!W$3)*(lentry!$C$3:$C$3999&gt;=aug!W$3)),lentry!$D$3:$D$3999),IF(WEEKDAY(W$3,1)=1,"WO","P"))</f>
        <v>P</v>
      </c>
      <c r="X32" s="4" t="str">
        <f>IFERROR(LOOKUP(2,1/((lentry!$A$3:$A$3999=aug!$A32)*(lentry!$B$3:$B$3999&lt;=aug!X$3)*(lentry!$C$3:$C$3999&gt;=aug!X$3)),lentry!$D$3:$D$3999),IF(WEEKDAY(X$3,1)=1,"WO","P"))</f>
        <v>P</v>
      </c>
      <c r="Y32" s="4" t="str">
        <f>IFERROR(LOOKUP(2,1/((lentry!$A$3:$A$3999=aug!$A32)*(lentry!$B$3:$B$3999&lt;=aug!Y$3)*(lentry!$C$3:$C$3999&gt;=aug!Y$3)),lentry!$D$3:$D$3999),IF(WEEKDAY(Y$3,1)=1,"WO","P"))</f>
        <v>P</v>
      </c>
      <c r="Z32" s="4" t="str">
        <f>IFERROR(LOOKUP(2,1/((lentry!$A$3:$A$3999=aug!$A32)*(lentry!$B$3:$B$3999&lt;=aug!Z$3)*(lentry!$C$3:$C$3999&gt;=aug!Z$3)),lentry!$D$3:$D$3999),IF(WEEKDAY(Z$3,1)=1,"WO","P"))</f>
        <v>P</v>
      </c>
      <c r="AA32" s="4" t="str">
        <f>IFERROR(LOOKUP(2,1/((lentry!$A$3:$A$3999=aug!$A32)*(lentry!$B$3:$B$3999&lt;=aug!AA$3)*(lentry!$C$3:$C$3999&gt;=aug!AA$3)),lentry!$D$3:$D$3999),IF(WEEKDAY(AA$3,1)=1,"WO","P"))</f>
        <v>P</v>
      </c>
      <c r="AB32" s="4" t="s">
        <v>342</v>
      </c>
      <c r="AC32" s="4" t="str">
        <f>IFERROR(LOOKUP(2,1/((lentry!$A$3:$A$3999=aug!$A32)*(lentry!$B$3:$B$3999&lt;=aug!AC$3)*(lentry!$C$3:$C$3999&gt;=aug!AC$3)),lentry!$D$3:$D$3999),IF(WEEKDAY(AC$3,1)=1,"WO","P"))</f>
        <v>P</v>
      </c>
      <c r="AD32" s="4" t="str">
        <f>IFERROR(LOOKUP(2,1/((lentry!$A$3:$A$3999=aug!$A32)*(lentry!$B$3:$B$3999&lt;=aug!AD$3)*(lentry!$C$3:$C$3999&gt;=aug!AD$3)),lentry!$D$3:$D$3999),IF(WEEKDAY(AD$3,1)=1,"WO","P"))</f>
        <v>P</v>
      </c>
      <c r="AE32" s="4" t="str">
        <f>IFERROR(LOOKUP(2,1/((lentry!$A$3:$A$3999=aug!$A32)*(lentry!$B$3:$B$3999&lt;=aug!AE$3)*(lentry!$C$3:$C$3999&gt;=aug!AE$3)),lentry!$D$3:$D$3999),IF(WEEKDAY(AE$3,1)=1,"WO","P"))</f>
        <v>P</v>
      </c>
      <c r="AF32" s="4" t="str">
        <f>IFERROR(LOOKUP(2,1/((lentry!$A$3:$A$3999=aug!$A32)*(lentry!$B$3:$B$3999&lt;=aug!AF$3)*(lentry!$C$3:$C$3999&gt;=aug!AF$3)),lentry!$D$3:$D$3999),IF(WEEKDAY(AF$3,1)=1,"WO","P"))</f>
        <v>P</v>
      </c>
      <c r="AG32" s="4" t="str">
        <f>IFERROR(LOOKUP(2,1/((lentry!$A$3:$A$3999=aug!$A32)*(lentry!$B$3:$B$3999&lt;=aug!AG$3)*(lentry!$C$3:$C$3999&gt;=aug!AG$3)),lentry!$D$3:$D$3999),IF(WEEKDAY(AG$3,1)=1,"WO","P"))</f>
        <v>P</v>
      </c>
      <c r="AH32" s="4" t="str">
        <f>IFERROR(LOOKUP(2,1/((lentry!$A$3:$A$3999=aug!$A32)*(lentry!$B$3:$B$3999&lt;=aug!AH$3)*(lentry!$C$3:$C$3999&gt;=aug!AH$3)),lentry!$D$3:$D$3999),IF(WEEKDAY(AH$3,1)=1,"WO","P"))</f>
        <v>P</v>
      </c>
      <c r="AI32" s="4" t="s">
        <v>342</v>
      </c>
      <c r="AJ32" s="4" t="str">
        <f>IFERROR(LOOKUP(2,1/((lentry!$A$3:$A$3999=aug!$A32)*(lentry!$B$3:$B$3999&lt;=aug!AJ$3)*(lentry!$C$3:$C$3999&gt;=aug!AJ$3)),lentry!$D$3:$D$3999),IF(WEEKDAY(AJ$3,1)=1,"WO","P"))</f>
        <v>P</v>
      </c>
      <c r="AK32" s="4">
        <f>COUNTIF(aug!$F32:$AJ32,"WO")</f>
        <v>5</v>
      </c>
      <c r="AL32" s="4">
        <f>COUNTIF(aug!$F32:$AJ32,"H")</f>
        <v>1</v>
      </c>
      <c r="AM32" s="4">
        <f>COUNTIF(aug!$F32:$AJ32,"pl")</f>
        <v>0</v>
      </c>
      <c r="AN32" s="4">
        <f>COUNTIF(aug!$F32:$AJ32,"LWP")</f>
        <v>0</v>
      </c>
      <c r="AO32" s="4">
        <f>COUNTIF(aug!$F32:$AJ32,"HD")</f>
        <v>0</v>
      </c>
      <c r="AP32" s="4">
        <f>COUNTIF(aug!$F32:$AJ32,"SL")</f>
        <v>0</v>
      </c>
      <c r="AQ32" s="4">
        <f>COUNTIF(aug!$F32:$AJ32,"CL")</f>
        <v>0</v>
      </c>
      <c r="AR32" s="4">
        <f>COUNTIF(aug!$F32:$AJ32,"A")</f>
        <v>0</v>
      </c>
      <c r="AS32" s="4">
        <f>COUNTIF(aug!$F32:$AJ32,"P")</f>
        <v>25</v>
      </c>
      <c r="AT32" s="4">
        <f t="shared" si="2"/>
        <v>31</v>
      </c>
      <c r="AU32" s="4">
        <f t="shared" si="3"/>
        <v>31</v>
      </c>
    </row>
    <row r="33" spans="1:47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IFERROR(LOOKUP(2,1/((lentry!$A$3:$A$3999=aug!$A33)*(lentry!$B$3:$B$3999&lt;=aug!F$3)*(lentry!$C$3:$C$3999&gt;=aug!F$3)),lentry!$D$3:$D$3999),IF(WEEKDAY(F$3,1)=1,"WO","P"))</f>
        <v>P</v>
      </c>
      <c r="G33" s="4" t="s">
        <v>342</v>
      </c>
      <c r="H33" s="4" t="str">
        <f>IFERROR(LOOKUP(2,1/((lentry!$A$3:$A$3999=aug!$A33)*(lentry!$B$3:$B$3999&lt;=aug!H$3)*(lentry!$C$3:$C$3999&gt;=aug!H$3)),lentry!$D$3:$D$3999),IF(WEEKDAY(H$3,1)=1,"WO","P"))</f>
        <v>P</v>
      </c>
      <c r="I33" s="4" t="str">
        <f>IFERROR(LOOKUP(2,1/((lentry!$A$3:$A$3999=aug!$A33)*(lentry!$B$3:$B$3999&lt;=aug!I$3)*(lentry!$C$3:$C$3999&gt;=aug!I$3)),lentry!$D$3:$D$3999),IF(WEEKDAY(I$3,1)=1,"WO","P"))</f>
        <v>P</v>
      </c>
      <c r="J33" s="4" t="str">
        <f>IFERROR(LOOKUP(2,1/((lentry!$A$3:$A$3999=aug!$A33)*(lentry!$B$3:$B$3999&lt;=aug!J$3)*(lentry!$C$3:$C$3999&gt;=aug!J$3)),lentry!$D$3:$D$3999),IF(WEEKDAY(J$3,1)=1,"WO","P"))</f>
        <v>P</v>
      </c>
      <c r="K33" s="4" t="str">
        <f>IFERROR(LOOKUP(2,1/((lentry!$A$3:$A$3999=aug!$A33)*(lentry!$B$3:$B$3999&lt;=aug!K$3)*(lentry!$C$3:$C$3999&gt;=aug!K$3)),lentry!$D$3:$D$3999),IF(WEEKDAY(K$3,1)=1,"WO","P"))</f>
        <v>P</v>
      </c>
      <c r="L33" s="4" t="str">
        <f>IFERROR(LOOKUP(2,1/((lentry!$A$3:$A$3999=aug!$A33)*(lentry!$B$3:$B$3999&lt;=aug!L$3)*(lentry!$C$3:$C$3999&gt;=aug!L$3)),lentry!$D$3:$D$3999),IF(WEEKDAY(L$3,1)=1,"WO","P"))</f>
        <v>P</v>
      </c>
      <c r="M33" s="4" t="str">
        <f>IFERROR(LOOKUP(2,1/((lentry!$A$3:$A$3999=aug!$A33)*(lentry!$B$3:$B$3999&lt;=aug!M$3)*(lentry!$C$3:$C$3999&gt;=aug!M$3)),lentry!$D$3:$D$3999),IF(WEEKDAY(M$3,1)=1,"WO","P"))</f>
        <v>P</v>
      </c>
      <c r="N33" s="4" t="s">
        <v>342</v>
      </c>
      <c r="O33" s="4" t="str">
        <f>IFERROR(LOOKUP(2,1/((lentry!$A$3:$A$3999=aug!$A33)*(lentry!$B$3:$B$3999&lt;=aug!O$3)*(lentry!$C$3:$C$3999&gt;=aug!O$3)),lentry!$D$3:$D$3999),IF(WEEKDAY(O$3,1)=1,"WO","P"))</f>
        <v>P</v>
      </c>
      <c r="P33" s="4" t="str">
        <f>IFERROR(LOOKUP(2,1/((lentry!$A$3:$A$3999=aug!$A33)*(lentry!$B$3:$B$3999&lt;=aug!P$3)*(lentry!$C$3:$C$3999&gt;=aug!P$3)),lentry!$D$3:$D$3999),IF(WEEKDAY(P$3,1)=1,"WO","P"))</f>
        <v>P</v>
      </c>
      <c r="Q33" s="4" t="str">
        <f>IFERROR(LOOKUP(2,1/((lentry!$A$3:$A$3999=aug!$A33)*(lentry!$B$3:$B$3999&lt;=aug!Q$3)*(lentry!$C$3:$C$3999&gt;=aug!Q$3)),lentry!$D$3:$D$3999),IF(WEEKDAY(Q$3,1)=1,"WO","P"))</f>
        <v>P</v>
      </c>
      <c r="R33" s="4" t="str">
        <f>IFERROR(LOOKUP(2,1/((lentry!$A$3:$A$3999=aug!$A33)*(lentry!$B$3:$B$3999&lt;=aug!R$3)*(lentry!$C$3:$C$3999&gt;=aug!R$3)),lentry!$D$3:$D$3999),IF(WEEKDAY(R$3,1)=1,"WO","P"))</f>
        <v>P</v>
      </c>
      <c r="S33" s="4" t="str">
        <f>IFERROR(LOOKUP(2,1/((lentry!$A$3:$A$3999=aug!$A33)*(lentry!$B$3:$B$3999&lt;=aug!S$3)*(lentry!$C$3:$C$3999&gt;=aug!S$3)),lentry!$D$3:$D$3999),IF(WEEKDAY(S$3,1)=1,"WO","P"))</f>
        <v>P</v>
      </c>
      <c r="T33" s="4" t="s">
        <v>350</v>
      </c>
      <c r="U33" s="4" t="s">
        <v>342</v>
      </c>
      <c r="V33" s="4" t="str">
        <f>IFERROR(LOOKUP(2,1/((lentry!$A$3:$A$3999=aug!$A33)*(lentry!$B$3:$B$3999&lt;=aug!V$3)*(lentry!$C$3:$C$3999&gt;=aug!V$3)),lentry!$D$3:$D$3999),IF(WEEKDAY(V$3,1)=1,"WO","P"))</f>
        <v>SL</v>
      </c>
      <c r="W33" s="4" t="str">
        <f>IFERROR(LOOKUP(2,1/((lentry!$A$3:$A$3999=aug!$A33)*(lentry!$B$3:$B$3999&lt;=aug!W$3)*(lentry!$C$3:$C$3999&gt;=aug!W$3)),lentry!$D$3:$D$3999),IF(WEEKDAY(W$3,1)=1,"WO","P"))</f>
        <v>SL</v>
      </c>
      <c r="X33" s="4" t="str">
        <f>IFERROR(LOOKUP(2,1/((lentry!$A$3:$A$3999=aug!$A33)*(lentry!$B$3:$B$3999&lt;=aug!X$3)*(lentry!$C$3:$C$3999&gt;=aug!X$3)),lentry!$D$3:$D$3999),IF(WEEKDAY(X$3,1)=1,"WO","P"))</f>
        <v>P</v>
      </c>
      <c r="Y33" s="4" t="str">
        <f>IFERROR(LOOKUP(2,1/((lentry!$A$3:$A$3999=aug!$A33)*(lentry!$B$3:$B$3999&lt;=aug!Y$3)*(lentry!$C$3:$C$3999&gt;=aug!Y$3)),lentry!$D$3:$D$3999),IF(WEEKDAY(Y$3,1)=1,"WO","P"))</f>
        <v>P</v>
      </c>
      <c r="Z33" s="4" t="str">
        <f>IFERROR(LOOKUP(2,1/((lentry!$A$3:$A$3999=aug!$A33)*(lentry!$B$3:$B$3999&lt;=aug!Z$3)*(lentry!$C$3:$C$3999&gt;=aug!Z$3)),lentry!$D$3:$D$3999),IF(WEEKDAY(Z$3,1)=1,"WO","P"))</f>
        <v>P</v>
      </c>
      <c r="AA33" s="4" t="str">
        <f>IFERROR(LOOKUP(2,1/((lentry!$A$3:$A$3999=aug!$A33)*(lentry!$B$3:$B$3999&lt;=aug!AA$3)*(lentry!$C$3:$C$3999&gt;=aug!AA$3)),lentry!$D$3:$D$3999),IF(WEEKDAY(AA$3,1)=1,"WO","P"))</f>
        <v>P</v>
      </c>
      <c r="AB33" s="4" t="s">
        <v>342</v>
      </c>
      <c r="AC33" s="4" t="str">
        <f>IFERROR(LOOKUP(2,1/((lentry!$A$3:$A$3999=aug!$A33)*(lentry!$B$3:$B$3999&lt;=aug!AC$3)*(lentry!$C$3:$C$3999&gt;=aug!AC$3)),lentry!$D$3:$D$3999),IF(WEEKDAY(AC$3,1)=1,"WO","P"))</f>
        <v>P</v>
      </c>
      <c r="AD33" s="4" t="str">
        <f>IFERROR(LOOKUP(2,1/((lentry!$A$3:$A$3999=aug!$A33)*(lentry!$B$3:$B$3999&lt;=aug!AD$3)*(lentry!$C$3:$C$3999&gt;=aug!AD$3)),lentry!$D$3:$D$3999),IF(WEEKDAY(AD$3,1)=1,"WO","P"))</f>
        <v>P</v>
      </c>
      <c r="AE33" s="4" t="str">
        <f>IFERROR(LOOKUP(2,1/((lentry!$A$3:$A$3999=aug!$A33)*(lentry!$B$3:$B$3999&lt;=aug!AE$3)*(lentry!$C$3:$C$3999&gt;=aug!AE$3)),lentry!$D$3:$D$3999),IF(WEEKDAY(AE$3,1)=1,"WO","P"))</f>
        <v>P</v>
      </c>
      <c r="AF33" s="4" t="str">
        <f>IFERROR(LOOKUP(2,1/((lentry!$A$3:$A$3999=aug!$A33)*(lentry!$B$3:$B$3999&lt;=aug!AF$3)*(lentry!$C$3:$C$3999&gt;=aug!AF$3)),lentry!$D$3:$D$3999),IF(WEEKDAY(AF$3,1)=1,"WO","P"))</f>
        <v>P</v>
      </c>
      <c r="AG33" s="4" t="str">
        <f>IFERROR(LOOKUP(2,1/((lentry!$A$3:$A$3999=aug!$A33)*(lentry!$B$3:$B$3999&lt;=aug!AG$3)*(lentry!$C$3:$C$3999&gt;=aug!AG$3)),lentry!$D$3:$D$3999),IF(WEEKDAY(AG$3,1)=1,"WO","P"))</f>
        <v>P</v>
      </c>
      <c r="AH33" s="4" t="str">
        <f>IFERROR(LOOKUP(2,1/((lentry!$A$3:$A$3999=aug!$A33)*(lentry!$B$3:$B$3999&lt;=aug!AH$3)*(lentry!$C$3:$C$3999&gt;=aug!AH$3)),lentry!$D$3:$D$3999),IF(WEEKDAY(AH$3,1)=1,"WO","P"))</f>
        <v>P</v>
      </c>
      <c r="AI33" s="4" t="s">
        <v>342</v>
      </c>
      <c r="AJ33" s="4" t="str">
        <f>IFERROR(LOOKUP(2,1/((lentry!$A$3:$A$3999=aug!$A33)*(lentry!$B$3:$B$3999&lt;=aug!AJ$3)*(lentry!$C$3:$C$3999&gt;=aug!AJ$3)),lentry!$D$3:$D$3999),IF(WEEKDAY(AJ$3,1)=1,"WO","P"))</f>
        <v>P</v>
      </c>
      <c r="AK33" s="4">
        <f>COUNTIF(aug!$F33:$AJ33,"WO")</f>
        <v>5</v>
      </c>
      <c r="AL33" s="4">
        <f>COUNTIF(aug!$F33:$AJ33,"H")</f>
        <v>1</v>
      </c>
      <c r="AM33" s="4">
        <f>COUNTIF(aug!$F33:$AJ33,"pl")</f>
        <v>0</v>
      </c>
      <c r="AN33" s="4">
        <f>COUNTIF(aug!$F33:$AJ33,"LWP")</f>
        <v>0</v>
      </c>
      <c r="AO33" s="4">
        <f>COUNTIF(aug!$F33:$AJ33,"HD")</f>
        <v>0</v>
      </c>
      <c r="AP33" s="4">
        <f>COUNTIF(aug!$F33:$AJ33,"SL")</f>
        <v>2</v>
      </c>
      <c r="AQ33" s="4">
        <f>COUNTIF(aug!$F33:$AJ33,"CL")</f>
        <v>0</v>
      </c>
      <c r="AR33" s="4">
        <f>COUNTIF(aug!$F33:$AJ33,"A")</f>
        <v>0</v>
      </c>
      <c r="AS33" s="4">
        <f>COUNTIF(aug!$F33:$AJ33,"P")</f>
        <v>23</v>
      </c>
      <c r="AT33" s="4">
        <f t="shared" si="2"/>
        <v>31</v>
      </c>
      <c r="AU33" s="4">
        <f t="shared" si="3"/>
        <v>31</v>
      </c>
    </row>
    <row r="34" spans="1:47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IFERROR(LOOKUP(2,1/((lentry!$A$3:$A$3999=aug!$A34)*(lentry!$B$3:$B$3999&lt;=aug!F$3)*(lentry!$C$3:$C$3999&gt;=aug!F$3)),lentry!$D$3:$D$3999),IF(WEEKDAY(F$3,1)=1,"WO","P"))</f>
        <v>P</v>
      </c>
      <c r="G34" s="4" t="s">
        <v>342</v>
      </c>
      <c r="H34" s="4" t="str">
        <f>IFERROR(LOOKUP(2,1/((lentry!$A$3:$A$3999=aug!$A34)*(lentry!$B$3:$B$3999&lt;=aug!H$3)*(lentry!$C$3:$C$3999&gt;=aug!H$3)),lentry!$D$3:$D$3999),IF(WEEKDAY(H$3,1)=1,"WO","P"))</f>
        <v>P</v>
      </c>
      <c r="I34" s="4" t="s">
        <v>539</v>
      </c>
      <c r="J34" s="4" t="str">
        <f>IFERROR(LOOKUP(2,1/((lentry!$A$3:$A$3999=aug!$A34)*(lentry!$B$3:$B$3999&lt;=aug!J$3)*(lentry!$C$3:$C$3999&gt;=aug!J$3)),lentry!$D$3:$D$3999),IF(WEEKDAY(J$3,1)=1,"WO","P"))</f>
        <v>P</v>
      </c>
      <c r="K34" s="4" t="str">
        <f>IFERROR(LOOKUP(2,1/((lentry!$A$3:$A$3999=aug!$A34)*(lentry!$B$3:$B$3999&lt;=aug!K$3)*(lentry!$C$3:$C$3999&gt;=aug!K$3)),lentry!$D$3:$D$3999),IF(WEEKDAY(K$3,1)=1,"WO","P"))</f>
        <v>P</v>
      </c>
      <c r="L34" s="4" t="str">
        <f>IFERROR(LOOKUP(2,1/((lentry!$A$3:$A$3999=aug!$A34)*(lentry!$B$3:$B$3999&lt;=aug!L$3)*(lentry!$C$3:$C$3999&gt;=aug!L$3)),lentry!$D$3:$D$3999),IF(WEEKDAY(L$3,1)=1,"WO","P"))</f>
        <v>P</v>
      </c>
      <c r="M34" s="4" t="str">
        <f>IFERROR(LOOKUP(2,1/((lentry!$A$3:$A$3999=aug!$A34)*(lentry!$B$3:$B$3999&lt;=aug!M$3)*(lentry!$C$3:$C$3999&gt;=aug!M$3)),lentry!$D$3:$D$3999),IF(WEEKDAY(M$3,1)=1,"WO","P"))</f>
        <v>P</v>
      </c>
      <c r="N34" s="4" t="s">
        <v>342</v>
      </c>
      <c r="O34" s="4" t="str">
        <f>IFERROR(LOOKUP(2,1/((lentry!$A$3:$A$3999=aug!$A34)*(lentry!$B$3:$B$3999&lt;=aug!O$3)*(lentry!$C$3:$C$3999&gt;=aug!O$3)),lentry!$D$3:$D$3999),IF(WEEKDAY(O$3,1)=1,"WO","P"))</f>
        <v>P</v>
      </c>
      <c r="P34" s="4" t="str">
        <f>IFERROR(LOOKUP(2,1/((lentry!$A$3:$A$3999=aug!$A34)*(lentry!$B$3:$B$3999&lt;=aug!P$3)*(lentry!$C$3:$C$3999&gt;=aug!P$3)),lentry!$D$3:$D$3999),IF(WEEKDAY(P$3,1)=1,"WO","P"))</f>
        <v>P</v>
      </c>
      <c r="Q34" s="4" t="str">
        <f>IFERROR(LOOKUP(2,1/((lentry!$A$3:$A$3999=aug!$A34)*(lentry!$B$3:$B$3999&lt;=aug!Q$3)*(lentry!$C$3:$C$3999&gt;=aug!Q$3)),lentry!$D$3:$D$3999),IF(WEEKDAY(Q$3,1)=1,"WO","P"))</f>
        <v>P</v>
      </c>
      <c r="R34" s="4" t="str">
        <f>IFERROR(LOOKUP(2,1/((lentry!$A$3:$A$3999=aug!$A34)*(lentry!$B$3:$B$3999&lt;=aug!R$3)*(lentry!$C$3:$C$3999&gt;=aug!R$3)),lentry!$D$3:$D$3999),IF(WEEKDAY(R$3,1)=1,"WO","P"))</f>
        <v>P</v>
      </c>
      <c r="S34" s="4" t="str">
        <f>IFERROR(LOOKUP(2,1/((lentry!$A$3:$A$3999=aug!$A34)*(lentry!$B$3:$B$3999&lt;=aug!S$3)*(lentry!$C$3:$C$3999&gt;=aug!S$3)),lentry!$D$3:$D$3999),IF(WEEKDAY(S$3,1)=1,"WO","P"))</f>
        <v>P</v>
      </c>
      <c r="T34" s="4" t="s">
        <v>350</v>
      </c>
      <c r="U34" s="4" t="s">
        <v>342</v>
      </c>
      <c r="V34" s="4" t="str">
        <f>IFERROR(LOOKUP(2,1/((lentry!$A$3:$A$3999=aug!$A34)*(lentry!$B$3:$B$3999&lt;=aug!V$3)*(lentry!$C$3:$C$3999&gt;=aug!V$3)),lentry!$D$3:$D$3999),IF(WEEKDAY(V$3,1)=1,"WO","P"))</f>
        <v>P</v>
      </c>
      <c r="W34" s="4" t="str">
        <f>IFERROR(LOOKUP(2,1/((lentry!$A$3:$A$3999=aug!$A34)*(lentry!$B$3:$B$3999&lt;=aug!W$3)*(lentry!$C$3:$C$3999&gt;=aug!W$3)),lentry!$D$3:$D$3999),IF(WEEKDAY(W$3,1)=1,"WO","P"))</f>
        <v>P</v>
      </c>
      <c r="X34" s="4" t="str">
        <f>IFERROR(LOOKUP(2,1/((lentry!$A$3:$A$3999=aug!$A34)*(lentry!$B$3:$B$3999&lt;=aug!X$3)*(lentry!$C$3:$C$3999&gt;=aug!X$3)),lentry!$D$3:$D$3999),IF(WEEKDAY(X$3,1)=1,"WO","P"))</f>
        <v>P</v>
      </c>
      <c r="Y34" s="4" t="str">
        <f>IFERROR(LOOKUP(2,1/((lentry!$A$3:$A$3999=aug!$A34)*(lentry!$B$3:$B$3999&lt;=aug!Y$3)*(lentry!$C$3:$C$3999&gt;=aug!Y$3)),lentry!$D$3:$D$3999),IF(WEEKDAY(Y$3,1)=1,"WO","P"))</f>
        <v>P</v>
      </c>
      <c r="Z34" s="4" t="str">
        <f>IFERROR(LOOKUP(2,1/((lentry!$A$3:$A$3999=aug!$A34)*(lentry!$B$3:$B$3999&lt;=aug!Z$3)*(lentry!$C$3:$C$3999&gt;=aug!Z$3)),lentry!$D$3:$D$3999),IF(WEEKDAY(Z$3,1)=1,"WO","P"))</f>
        <v>P</v>
      </c>
      <c r="AA34" s="4" t="str">
        <f>IFERROR(LOOKUP(2,1/((lentry!$A$3:$A$3999=aug!$A34)*(lentry!$B$3:$B$3999&lt;=aug!AA$3)*(lentry!$C$3:$C$3999&gt;=aug!AA$3)),lentry!$D$3:$D$3999),IF(WEEKDAY(AA$3,1)=1,"WO","P"))</f>
        <v>P</v>
      </c>
      <c r="AB34" s="4" t="s">
        <v>342</v>
      </c>
      <c r="AC34" s="4" t="str">
        <f>IFERROR(LOOKUP(2,1/((lentry!$A$3:$A$3999=aug!$A34)*(lentry!$B$3:$B$3999&lt;=aug!AC$3)*(lentry!$C$3:$C$3999&gt;=aug!AC$3)),lentry!$D$3:$D$3999),IF(WEEKDAY(AC$3,1)=1,"WO","P"))</f>
        <v>P</v>
      </c>
      <c r="AD34" s="4" t="str">
        <f>IFERROR(LOOKUP(2,1/((lentry!$A$3:$A$3999=aug!$A34)*(lentry!$B$3:$B$3999&lt;=aug!AD$3)*(lentry!$C$3:$C$3999&gt;=aug!AD$3)),lentry!$D$3:$D$3999),IF(WEEKDAY(AD$3,1)=1,"WO","P"))</f>
        <v>P</v>
      </c>
      <c r="AE34" s="4" t="str">
        <f>IFERROR(LOOKUP(2,1/((lentry!$A$3:$A$3999=aug!$A34)*(lentry!$B$3:$B$3999&lt;=aug!AE$3)*(lentry!$C$3:$C$3999&gt;=aug!AE$3)),lentry!$D$3:$D$3999),IF(WEEKDAY(AE$3,1)=1,"WO","P"))</f>
        <v>P</v>
      </c>
      <c r="AF34" s="4" t="str">
        <f>IFERROR(LOOKUP(2,1/((lentry!$A$3:$A$3999=aug!$A34)*(lentry!$B$3:$B$3999&lt;=aug!AF$3)*(lentry!$C$3:$C$3999&gt;=aug!AF$3)),lentry!$D$3:$D$3999),IF(WEEKDAY(AF$3,1)=1,"WO","P"))</f>
        <v>P</v>
      </c>
      <c r="AG34" s="4" t="str">
        <f>IFERROR(LOOKUP(2,1/((lentry!$A$3:$A$3999=aug!$A34)*(lentry!$B$3:$B$3999&lt;=aug!AG$3)*(lentry!$C$3:$C$3999&gt;=aug!AG$3)),lentry!$D$3:$D$3999),IF(WEEKDAY(AG$3,1)=1,"WO","P"))</f>
        <v>P</v>
      </c>
      <c r="AH34" s="4" t="str">
        <f>IFERROR(LOOKUP(2,1/((lentry!$A$3:$A$3999=aug!$A34)*(lentry!$B$3:$B$3999&lt;=aug!AH$3)*(lentry!$C$3:$C$3999&gt;=aug!AH$3)),lentry!$D$3:$D$3999),IF(WEEKDAY(AH$3,1)=1,"WO","P"))</f>
        <v>P</v>
      </c>
      <c r="AI34" s="4" t="s">
        <v>342</v>
      </c>
      <c r="AJ34" s="4" t="str">
        <f>IFERROR(LOOKUP(2,1/((lentry!$A$3:$A$3999=aug!$A34)*(lentry!$B$3:$B$3999&lt;=aug!AJ$3)*(lentry!$C$3:$C$3999&gt;=aug!AJ$3)),lentry!$D$3:$D$3999),IF(WEEKDAY(AJ$3,1)=1,"WO","P"))</f>
        <v>P</v>
      </c>
      <c r="AK34" s="4">
        <f>COUNTIF(aug!$F34:$AJ34,"WO")</f>
        <v>5</v>
      </c>
      <c r="AL34" s="4">
        <f>COUNTIF(aug!$F34:$AJ34,"H")</f>
        <v>1</v>
      </c>
      <c r="AM34" s="4">
        <f>COUNTIF(aug!$F34:$AJ34,"pl")</f>
        <v>0</v>
      </c>
      <c r="AN34" s="4">
        <f>COUNTIF(aug!$F34:$AJ34,"LWP")</f>
        <v>0</v>
      </c>
      <c r="AO34" s="4">
        <f>COUNTIF(aug!$F34:$AJ34,"HD")</f>
        <v>0</v>
      </c>
      <c r="AP34" s="4">
        <f>COUNTIF(aug!$F34:$AJ34,"SL")</f>
        <v>0</v>
      </c>
      <c r="AQ34" s="4">
        <f>COUNTIF(aug!$F34:$AJ34,"CL")</f>
        <v>0</v>
      </c>
      <c r="AR34" s="4">
        <f>COUNTIF(aug!$F34:$AJ34,"A")</f>
        <v>1</v>
      </c>
      <c r="AS34" s="4">
        <f>COUNTIF(aug!$F34:$AJ34,"P")</f>
        <v>24</v>
      </c>
      <c r="AT34" s="4">
        <f t="shared" si="2"/>
        <v>31</v>
      </c>
      <c r="AU34" s="4">
        <f t="shared" si="3"/>
        <v>30</v>
      </c>
    </row>
    <row r="35" spans="1:47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IFERROR(LOOKUP(2,1/((lentry!$A$3:$A$3999=aug!$A35)*(lentry!$B$3:$B$3999&lt;=aug!F$3)*(lentry!$C$3:$C$3999&gt;=aug!F$3)),lentry!$D$3:$D$3999),IF(WEEKDAY(F$3,1)=1,"WO","P"))</f>
        <v>P</v>
      </c>
      <c r="G35" s="4" t="s">
        <v>342</v>
      </c>
      <c r="H35" s="4" t="str">
        <f>IFERROR(LOOKUP(2,1/((lentry!$A$3:$A$3999=aug!$A35)*(lentry!$B$3:$B$3999&lt;=aug!H$3)*(lentry!$C$3:$C$3999&gt;=aug!H$3)),lentry!$D$3:$D$3999),IF(WEEKDAY(H$3,1)=1,"WO","P"))</f>
        <v>P</v>
      </c>
      <c r="I35" s="4" t="str">
        <f>IFERROR(LOOKUP(2,1/((lentry!$A$3:$A$3999=aug!$A35)*(lentry!$B$3:$B$3999&lt;=aug!I$3)*(lentry!$C$3:$C$3999&gt;=aug!I$3)),lentry!$D$3:$D$3999),IF(WEEKDAY(I$3,1)=1,"WO","P"))</f>
        <v>P</v>
      </c>
      <c r="J35" s="4" t="str">
        <f>IFERROR(LOOKUP(2,1/((lentry!$A$3:$A$3999=aug!$A35)*(lentry!$B$3:$B$3999&lt;=aug!J$3)*(lentry!$C$3:$C$3999&gt;=aug!J$3)),lentry!$D$3:$D$3999),IF(WEEKDAY(J$3,1)=1,"WO","P"))</f>
        <v>P</v>
      </c>
      <c r="K35" s="4" t="str">
        <f>IFERROR(LOOKUP(2,1/((lentry!$A$3:$A$3999=aug!$A35)*(lentry!$B$3:$B$3999&lt;=aug!K$3)*(lentry!$C$3:$C$3999&gt;=aug!K$3)),lentry!$D$3:$D$3999),IF(WEEKDAY(K$3,1)=1,"WO","P"))</f>
        <v>P</v>
      </c>
      <c r="L35" s="4" t="str">
        <f>IFERROR(LOOKUP(2,1/((lentry!$A$3:$A$3999=aug!$A35)*(lentry!$B$3:$B$3999&lt;=aug!L$3)*(lentry!$C$3:$C$3999&gt;=aug!L$3)),lentry!$D$3:$D$3999),IF(WEEKDAY(L$3,1)=1,"WO","P"))</f>
        <v>P</v>
      </c>
      <c r="M35" s="4" t="str">
        <f>IFERROR(LOOKUP(2,1/((lentry!$A$3:$A$3999=aug!$A35)*(lentry!$B$3:$B$3999&lt;=aug!M$3)*(lentry!$C$3:$C$3999&gt;=aug!M$3)),lentry!$D$3:$D$3999),IF(WEEKDAY(M$3,1)=1,"WO","P"))</f>
        <v>P</v>
      </c>
      <c r="N35" s="4" t="s">
        <v>342</v>
      </c>
      <c r="O35" s="4" t="str">
        <f>IFERROR(LOOKUP(2,1/((lentry!$A$3:$A$3999=aug!$A35)*(lentry!$B$3:$B$3999&lt;=aug!O$3)*(lentry!$C$3:$C$3999&gt;=aug!O$3)),lentry!$D$3:$D$3999),IF(WEEKDAY(O$3,1)=1,"WO","P"))</f>
        <v>P</v>
      </c>
      <c r="P35" s="4" t="s">
        <v>539</v>
      </c>
      <c r="Q35" s="4" t="str">
        <f>IFERROR(LOOKUP(2,1/((lentry!$A$3:$A$3999=aug!$A35)*(lentry!$B$3:$B$3999&lt;=aug!Q$3)*(lentry!$C$3:$C$3999&gt;=aug!Q$3)),lentry!$D$3:$D$3999),IF(WEEKDAY(Q$3,1)=1,"WO","P"))</f>
        <v>P</v>
      </c>
      <c r="R35" s="4" t="str">
        <f>IFERROR(LOOKUP(2,1/((lentry!$A$3:$A$3999=aug!$A35)*(lentry!$B$3:$B$3999&lt;=aug!R$3)*(lentry!$C$3:$C$3999&gt;=aug!R$3)),lentry!$D$3:$D$3999),IF(WEEKDAY(R$3,1)=1,"WO","P"))</f>
        <v>P</v>
      </c>
      <c r="S35" s="4" t="str">
        <f>IFERROR(LOOKUP(2,1/((lentry!$A$3:$A$3999=aug!$A35)*(lentry!$B$3:$B$3999&lt;=aug!S$3)*(lentry!$C$3:$C$3999&gt;=aug!S$3)),lentry!$D$3:$D$3999),IF(WEEKDAY(S$3,1)=1,"WO","P"))</f>
        <v>P</v>
      </c>
      <c r="T35" s="4" t="s">
        <v>350</v>
      </c>
      <c r="U35" s="4" t="s">
        <v>342</v>
      </c>
      <c r="V35" s="4" t="str">
        <f>IFERROR(LOOKUP(2,1/((lentry!$A$3:$A$3999=aug!$A35)*(lentry!$B$3:$B$3999&lt;=aug!V$3)*(lentry!$C$3:$C$3999&gt;=aug!V$3)),lentry!$D$3:$D$3999),IF(WEEKDAY(V$3,1)=1,"WO","P"))</f>
        <v>P</v>
      </c>
      <c r="W35" s="4" t="str">
        <f>IFERROR(LOOKUP(2,1/((lentry!$A$3:$A$3999=aug!$A35)*(lentry!$B$3:$B$3999&lt;=aug!W$3)*(lentry!$C$3:$C$3999&gt;=aug!W$3)),lentry!$D$3:$D$3999),IF(WEEKDAY(W$3,1)=1,"WO","P"))</f>
        <v>P</v>
      </c>
      <c r="X35" s="4" t="str">
        <f>IFERROR(LOOKUP(2,1/((lentry!$A$3:$A$3999=aug!$A35)*(lentry!$B$3:$B$3999&lt;=aug!X$3)*(lentry!$C$3:$C$3999&gt;=aug!X$3)),lentry!$D$3:$D$3999),IF(WEEKDAY(X$3,1)=1,"WO","P"))</f>
        <v>P</v>
      </c>
      <c r="Y35" s="4" t="str">
        <f>IFERROR(LOOKUP(2,1/((lentry!$A$3:$A$3999=aug!$A35)*(lentry!$B$3:$B$3999&lt;=aug!Y$3)*(lentry!$C$3:$C$3999&gt;=aug!Y$3)),lentry!$D$3:$D$3999),IF(WEEKDAY(Y$3,1)=1,"WO","P"))</f>
        <v>P</v>
      </c>
      <c r="Z35" s="4" t="str">
        <f>IFERROR(LOOKUP(2,1/((lentry!$A$3:$A$3999=aug!$A35)*(lentry!$B$3:$B$3999&lt;=aug!Z$3)*(lentry!$C$3:$C$3999&gt;=aug!Z$3)),lentry!$D$3:$D$3999),IF(WEEKDAY(Z$3,1)=1,"WO","P"))</f>
        <v>P</v>
      </c>
      <c r="AA35" s="4" t="str">
        <f>IFERROR(LOOKUP(2,1/((lentry!$A$3:$A$3999=aug!$A35)*(lentry!$B$3:$B$3999&lt;=aug!AA$3)*(lentry!$C$3:$C$3999&gt;=aug!AA$3)),lentry!$D$3:$D$3999),IF(WEEKDAY(AA$3,1)=1,"WO","P"))</f>
        <v>P</v>
      </c>
      <c r="AB35" s="4" t="s">
        <v>342</v>
      </c>
      <c r="AC35" s="4" t="str">
        <f>IFERROR(LOOKUP(2,1/((lentry!$A$3:$A$3999=aug!$A35)*(lentry!$B$3:$B$3999&lt;=aug!AC$3)*(lentry!$C$3:$C$3999&gt;=aug!AC$3)),lentry!$D$3:$D$3999),IF(WEEKDAY(AC$3,1)=1,"WO","P"))</f>
        <v>P</v>
      </c>
      <c r="AD35" s="4" t="str">
        <f>IFERROR(LOOKUP(2,1/((lentry!$A$3:$A$3999=aug!$A35)*(lentry!$B$3:$B$3999&lt;=aug!AD$3)*(lentry!$C$3:$C$3999&gt;=aug!AD$3)),lentry!$D$3:$D$3999),IF(WEEKDAY(AD$3,1)=1,"WO","P"))</f>
        <v>P</v>
      </c>
      <c r="AE35" s="4" t="str">
        <f>IFERROR(LOOKUP(2,1/((lentry!$A$3:$A$3999=aug!$A35)*(lentry!$B$3:$B$3999&lt;=aug!AE$3)*(lentry!$C$3:$C$3999&gt;=aug!AE$3)),lentry!$D$3:$D$3999),IF(WEEKDAY(AE$3,1)=1,"WO","P"))</f>
        <v>P</v>
      </c>
      <c r="AF35" s="4" t="str">
        <f>IFERROR(LOOKUP(2,1/((lentry!$A$3:$A$3999=aug!$A35)*(lentry!$B$3:$B$3999&lt;=aug!AF$3)*(lentry!$C$3:$C$3999&gt;=aug!AF$3)),lentry!$D$3:$D$3999),IF(WEEKDAY(AF$3,1)=1,"WO","P"))</f>
        <v>P</v>
      </c>
      <c r="AG35" s="4" t="str">
        <f>IFERROR(LOOKUP(2,1/((lentry!$A$3:$A$3999=aug!$A35)*(lentry!$B$3:$B$3999&lt;=aug!AG$3)*(lentry!$C$3:$C$3999&gt;=aug!AG$3)),lentry!$D$3:$D$3999),IF(WEEKDAY(AG$3,1)=1,"WO","P"))</f>
        <v>P</v>
      </c>
      <c r="AH35" s="4" t="str">
        <f>IFERROR(LOOKUP(2,1/((lentry!$A$3:$A$3999=aug!$A35)*(lentry!$B$3:$B$3999&lt;=aug!AH$3)*(lentry!$C$3:$C$3999&gt;=aug!AH$3)),lentry!$D$3:$D$3999),IF(WEEKDAY(AH$3,1)=1,"WO","P"))</f>
        <v>P</v>
      </c>
      <c r="AI35" s="4" t="s">
        <v>342</v>
      </c>
      <c r="AJ35" s="4" t="str">
        <f>IFERROR(LOOKUP(2,1/((lentry!$A$3:$A$3999=aug!$A35)*(lentry!$B$3:$B$3999&lt;=aug!AJ$3)*(lentry!$C$3:$C$3999&gt;=aug!AJ$3)),lentry!$D$3:$D$3999),IF(WEEKDAY(AJ$3,1)=1,"WO","P"))</f>
        <v>P</v>
      </c>
      <c r="AK35" s="4">
        <f>COUNTIF(aug!$F35:$AJ35,"WO")</f>
        <v>5</v>
      </c>
      <c r="AL35" s="4">
        <f>COUNTIF(aug!$F35:$AJ35,"H")</f>
        <v>1</v>
      </c>
      <c r="AM35" s="4">
        <f>COUNTIF(aug!$F35:$AJ35,"pl")</f>
        <v>0</v>
      </c>
      <c r="AN35" s="4">
        <f>COUNTIF(aug!$F35:$AJ35,"LWP")</f>
        <v>0</v>
      </c>
      <c r="AO35" s="4">
        <f>COUNTIF(aug!$F35:$AJ35,"HD")</f>
        <v>0</v>
      </c>
      <c r="AP35" s="4">
        <f>COUNTIF(aug!$F35:$AJ35,"SL")</f>
        <v>0</v>
      </c>
      <c r="AQ35" s="4">
        <f>COUNTIF(aug!$F35:$AJ35,"CL")</f>
        <v>0</v>
      </c>
      <c r="AR35" s="4">
        <f>COUNTIF(aug!$F35:$AJ35,"A")</f>
        <v>1</v>
      </c>
      <c r="AS35" s="4">
        <f>COUNTIF(aug!$F35:$AJ35,"P")</f>
        <v>24</v>
      </c>
      <c r="AT35" s="4">
        <f t="shared" si="2"/>
        <v>31</v>
      </c>
      <c r="AU35" s="4">
        <f t="shared" si="3"/>
        <v>30</v>
      </c>
    </row>
    <row r="36" spans="1:47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IFERROR(LOOKUP(2,1/((lentry!$A$3:$A$3999=aug!$A36)*(lentry!$B$3:$B$3999&lt;=aug!F$3)*(lentry!$C$3:$C$3999&gt;=aug!F$3)),lentry!$D$3:$D$3999),IF(WEEKDAY(F$3,1)=1,"WO","P"))</f>
        <v>P</v>
      </c>
      <c r="G36" s="4" t="s">
        <v>342</v>
      </c>
      <c r="H36" s="4" t="str">
        <f>IFERROR(LOOKUP(2,1/((lentry!$A$3:$A$3999=aug!$A36)*(lentry!$B$3:$B$3999&lt;=aug!H$3)*(lentry!$C$3:$C$3999&gt;=aug!H$3)),lentry!$D$3:$D$3999),IF(WEEKDAY(H$3,1)=1,"WO","P"))</f>
        <v>P</v>
      </c>
      <c r="I36" s="4" t="str">
        <f>IFERROR(LOOKUP(2,1/((lentry!$A$3:$A$3999=aug!$A36)*(lentry!$B$3:$B$3999&lt;=aug!I$3)*(lentry!$C$3:$C$3999&gt;=aug!I$3)),lentry!$D$3:$D$3999),IF(WEEKDAY(I$3,1)=1,"WO","P"))</f>
        <v>P</v>
      </c>
      <c r="J36" s="4" t="str">
        <f>IFERROR(LOOKUP(2,1/((lentry!$A$3:$A$3999=aug!$A36)*(lentry!$B$3:$B$3999&lt;=aug!J$3)*(lentry!$C$3:$C$3999&gt;=aug!J$3)),lentry!$D$3:$D$3999),IF(WEEKDAY(J$3,1)=1,"WO","P"))</f>
        <v>P</v>
      </c>
      <c r="K36" s="4" t="str">
        <f>IFERROR(LOOKUP(2,1/((lentry!$A$3:$A$3999=aug!$A36)*(lentry!$B$3:$B$3999&lt;=aug!K$3)*(lentry!$C$3:$C$3999&gt;=aug!K$3)),lentry!$D$3:$D$3999),IF(WEEKDAY(K$3,1)=1,"WO","P"))</f>
        <v>P</v>
      </c>
      <c r="L36" s="4" t="str">
        <f>IFERROR(LOOKUP(2,1/((lentry!$A$3:$A$3999=aug!$A36)*(lentry!$B$3:$B$3999&lt;=aug!L$3)*(lentry!$C$3:$C$3999&gt;=aug!L$3)),lentry!$D$3:$D$3999),IF(WEEKDAY(L$3,1)=1,"WO","P"))</f>
        <v>P</v>
      </c>
      <c r="M36" s="4" t="str">
        <f>IFERROR(LOOKUP(2,1/((lentry!$A$3:$A$3999=aug!$A36)*(lentry!$B$3:$B$3999&lt;=aug!M$3)*(lentry!$C$3:$C$3999&gt;=aug!M$3)),lentry!$D$3:$D$3999),IF(WEEKDAY(M$3,1)=1,"WO","P"))</f>
        <v>P</v>
      </c>
      <c r="N36" s="4" t="s">
        <v>342</v>
      </c>
      <c r="O36" s="4" t="str">
        <f>IFERROR(LOOKUP(2,1/((lentry!$A$3:$A$3999=aug!$A36)*(lentry!$B$3:$B$3999&lt;=aug!O$3)*(lentry!$C$3:$C$3999&gt;=aug!O$3)),lentry!$D$3:$D$3999),IF(WEEKDAY(O$3,1)=1,"WO","P"))</f>
        <v>P</v>
      </c>
      <c r="P36" s="4" t="str">
        <f>IFERROR(LOOKUP(2,1/((lentry!$A$3:$A$3999=aug!$A36)*(lentry!$B$3:$B$3999&lt;=aug!P$3)*(lentry!$C$3:$C$3999&gt;=aug!P$3)),lentry!$D$3:$D$3999),IF(WEEKDAY(P$3,1)=1,"WO","P"))</f>
        <v>P</v>
      </c>
      <c r="Q36" s="4" t="str">
        <f>IFERROR(LOOKUP(2,1/((lentry!$A$3:$A$3999=aug!$A36)*(lentry!$B$3:$B$3999&lt;=aug!Q$3)*(lentry!$C$3:$C$3999&gt;=aug!Q$3)),lentry!$D$3:$D$3999),IF(WEEKDAY(Q$3,1)=1,"WO","P"))</f>
        <v>P</v>
      </c>
      <c r="R36" s="4" t="str">
        <f>IFERROR(LOOKUP(2,1/((lentry!$A$3:$A$3999=aug!$A36)*(lentry!$B$3:$B$3999&lt;=aug!R$3)*(lentry!$C$3:$C$3999&gt;=aug!R$3)),lentry!$D$3:$D$3999),IF(WEEKDAY(R$3,1)=1,"WO","P"))</f>
        <v>P</v>
      </c>
      <c r="S36" s="4" t="str">
        <f>IFERROR(LOOKUP(2,1/((lentry!$A$3:$A$3999=aug!$A36)*(lentry!$B$3:$B$3999&lt;=aug!S$3)*(lentry!$C$3:$C$3999&gt;=aug!S$3)),lentry!$D$3:$D$3999),IF(WEEKDAY(S$3,1)=1,"WO","P"))</f>
        <v>P</v>
      </c>
      <c r="T36" s="4" t="s">
        <v>350</v>
      </c>
      <c r="U36" s="4" t="s">
        <v>342</v>
      </c>
      <c r="V36" s="4" t="str">
        <f>IFERROR(LOOKUP(2,1/((lentry!$A$3:$A$3999=aug!$A36)*(lentry!$B$3:$B$3999&lt;=aug!V$3)*(lentry!$C$3:$C$3999&gt;=aug!V$3)),lentry!$D$3:$D$3999),IF(WEEKDAY(V$3,1)=1,"WO","P"))</f>
        <v>P</v>
      </c>
      <c r="W36" s="4" t="str">
        <f>IFERROR(LOOKUP(2,1/((lentry!$A$3:$A$3999=aug!$A36)*(lentry!$B$3:$B$3999&lt;=aug!W$3)*(lentry!$C$3:$C$3999&gt;=aug!W$3)),lentry!$D$3:$D$3999),IF(WEEKDAY(W$3,1)=1,"WO","P"))</f>
        <v>P</v>
      </c>
      <c r="X36" s="4" t="str">
        <f>IFERROR(LOOKUP(2,1/((lentry!$A$3:$A$3999=aug!$A36)*(lentry!$B$3:$B$3999&lt;=aug!X$3)*(lentry!$C$3:$C$3999&gt;=aug!X$3)),lentry!$D$3:$D$3999),IF(WEEKDAY(X$3,1)=1,"WO","P"))</f>
        <v>P</v>
      </c>
      <c r="Y36" s="4" t="str">
        <f>IFERROR(LOOKUP(2,1/((lentry!$A$3:$A$3999=aug!$A36)*(lentry!$B$3:$B$3999&lt;=aug!Y$3)*(lentry!$C$3:$C$3999&gt;=aug!Y$3)),lentry!$D$3:$D$3999),IF(WEEKDAY(Y$3,1)=1,"WO","P"))</f>
        <v>P</v>
      </c>
      <c r="Z36" s="4" t="str">
        <f>IFERROR(LOOKUP(2,1/((lentry!$A$3:$A$3999=aug!$A36)*(lentry!$B$3:$B$3999&lt;=aug!Z$3)*(lentry!$C$3:$C$3999&gt;=aug!Z$3)),lentry!$D$3:$D$3999),IF(WEEKDAY(Z$3,1)=1,"WO","P"))</f>
        <v>P</v>
      </c>
      <c r="AA36" s="4" t="str">
        <f>IFERROR(LOOKUP(2,1/((lentry!$A$3:$A$3999=aug!$A36)*(lentry!$B$3:$B$3999&lt;=aug!AA$3)*(lentry!$C$3:$C$3999&gt;=aug!AA$3)),lentry!$D$3:$D$3999),IF(WEEKDAY(AA$3,1)=1,"WO","P"))</f>
        <v>P</v>
      </c>
      <c r="AB36" s="4" t="s">
        <v>342</v>
      </c>
      <c r="AC36" s="4" t="str">
        <f>IFERROR(LOOKUP(2,1/((lentry!$A$3:$A$3999=aug!$A36)*(lentry!$B$3:$B$3999&lt;=aug!AC$3)*(lentry!$C$3:$C$3999&gt;=aug!AC$3)),lentry!$D$3:$D$3999),IF(WEEKDAY(AC$3,1)=1,"WO","P"))</f>
        <v>P</v>
      </c>
      <c r="AD36" s="4" t="str">
        <f>IFERROR(LOOKUP(2,1/((lentry!$A$3:$A$3999=aug!$A36)*(lentry!$B$3:$B$3999&lt;=aug!AD$3)*(lentry!$C$3:$C$3999&gt;=aug!AD$3)),lentry!$D$3:$D$3999),IF(WEEKDAY(AD$3,1)=1,"WO","P"))</f>
        <v>P</v>
      </c>
      <c r="AE36" s="4" t="s">
        <v>539</v>
      </c>
      <c r="AF36" s="4" t="str">
        <f>IFERROR(LOOKUP(2,1/((lentry!$A$3:$A$3999=aug!$A36)*(lentry!$B$3:$B$3999&lt;=aug!AF$3)*(lentry!$C$3:$C$3999&gt;=aug!AF$3)),lentry!$D$3:$D$3999),IF(WEEKDAY(AF$3,1)=1,"WO","P"))</f>
        <v>P</v>
      </c>
      <c r="AG36" s="4" t="str">
        <f>IFERROR(LOOKUP(2,1/((lentry!$A$3:$A$3999=aug!$A36)*(lentry!$B$3:$B$3999&lt;=aug!AG$3)*(lentry!$C$3:$C$3999&gt;=aug!AG$3)),lentry!$D$3:$D$3999),IF(WEEKDAY(AG$3,1)=1,"WO","P"))</f>
        <v>P</v>
      </c>
      <c r="AH36" s="4" t="str">
        <f>IFERROR(LOOKUP(2,1/((lentry!$A$3:$A$3999=aug!$A36)*(lentry!$B$3:$B$3999&lt;=aug!AH$3)*(lentry!$C$3:$C$3999&gt;=aug!AH$3)),lentry!$D$3:$D$3999),IF(WEEKDAY(AH$3,1)=1,"WO","P"))</f>
        <v>P</v>
      </c>
      <c r="AI36" s="4" t="s">
        <v>342</v>
      </c>
      <c r="AJ36" s="4" t="str">
        <f>IFERROR(LOOKUP(2,1/((lentry!$A$3:$A$3999=aug!$A36)*(lentry!$B$3:$B$3999&lt;=aug!AJ$3)*(lentry!$C$3:$C$3999&gt;=aug!AJ$3)),lentry!$D$3:$D$3999),IF(WEEKDAY(AJ$3,1)=1,"WO","P"))</f>
        <v>P</v>
      </c>
      <c r="AK36" s="4">
        <f>COUNTIF(aug!$F36:$AJ36,"WO")</f>
        <v>5</v>
      </c>
      <c r="AL36" s="4">
        <f>COUNTIF(aug!$F36:$AJ36,"H")</f>
        <v>1</v>
      </c>
      <c r="AM36" s="4">
        <f>COUNTIF(aug!$F36:$AJ36,"pl")</f>
        <v>0</v>
      </c>
      <c r="AN36" s="4">
        <f>COUNTIF(aug!$F36:$AJ36,"LWP")</f>
        <v>0</v>
      </c>
      <c r="AO36" s="4">
        <f>COUNTIF(aug!$F36:$AJ36,"HD")</f>
        <v>0</v>
      </c>
      <c r="AP36" s="4">
        <f>COUNTIF(aug!$F36:$AJ36,"SL")</f>
        <v>0</v>
      </c>
      <c r="AQ36" s="4">
        <f>COUNTIF(aug!$F36:$AJ36,"CL")</f>
        <v>0</v>
      </c>
      <c r="AR36" s="4">
        <f>COUNTIF(aug!$F36:$AJ36,"A")</f>
        <v>1</v>
      </c>
      <c r="AS36" s="4">
        <f>COUNTIF(aug!$F36:$AJ36,"P")</f>
        <v>24</v>
      </c>
      <c r="AT36" s="4">
        <f t="shared" si="2"/>
        <v>31</v>
      </c>
      <c r="AU36" s="4">
        <f t="shared" si="3"/>
        <v>30</v>
      </c>
    </row>
    <row r="37" spans="1:47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IFERROR(LOOKUP(2,1/((lentry!$A$3:$A$3999=aug!$A37)*(lentry!$B$3:$B$3999&lt;=aug!F$3)*(lentry!$C$3:$C$3999&gt;=aug!F$3)),lentry!$D$3:$D$3999),IF(WEEKDAY(F$3,1)=1,"WO","P"))</f>
        <v>P</v>
      </c>
      <c r="G37" s="4" t="s">
        <v>342</v>
      </c>
      <c r="H37" s="4" t="str">
        <f>IFERROR(LOOKUP(2,1/((lentry!$A$3:$A$3999=aug!$A37)*(lentry!$B$3:$B$3999&lt;=aug!H$3)*(lentry!$C$3:$C$3999&gt;=aug!H$3)),lentry!$D$3:$D$3999),IF(WEEKDAY(H$3,1)=1,"WO","P"))</f>
        <v>P</v>
      </c>
      <c r="I37" s="4" t="str">
        <f>IFERROR(LOOKUP(2,1/((lentry!$A$3:$A$3999=aug!$A37)*(lentry!$B$3:$B$3999&lt;=aug!I$3)*(lentry!$C$3:$C$3999&gt;=aug!I$3)),lentry!$D$3:$D$3999),IF(WEEKDAY(I$3,1)=1,"WO","P"))</f>
        <v>P</v>
      </c>
      <c r="J37" s="4" t="str">
        <f>IFERROR(LOOKUP(2,1/((lentry!$A$3:$A$3999=aug!$A37)*(lentry!$B$3:$B$3999&lt;=aug!J$3)*(lentry!$C$3:$C$3999&gt;=aug!J$3)),lentry!$D$3:$D$3999),IF(WEEKDAY(J$3,1)=1,"WO","P"))</f>
        <v>P</v>
      </c>
      <c r="K37" s="4" t="str">
        <f>IFERROR(LOOKUP(2,1/((lentry!$A$3:$A$3999=aug!$A37)*(lentry!$B$3:$B$3999&lt;=aug!K$3)*(lentry!$C$3:$C$3999&gt;=aug!K$3)),lentry!$D$3:$D$3999),IF(WEEKDAY(K$3,1)=1,"WO","P"))</f>
        <v>P</v>
      </c>
      <c r="L37" s="4" t="str">
        <f>IFERROR(LOOKUP(2,1/((lentry!$A$3:$A$3999=aug!$A37)*(lentry!$B$3:$B$3999&lt;=aug!L$3)*(lentry!$C$3:$C$3999&gt;=aug!L$3)),lentry!$D$3:$D$3999),IF(WEEKDAY(L$3,1)=1,"WO","P"))</f>
        <v>P</v>
      </c>
      <c r="M37" s="4" t="str">
        <f>IFERROR(LOOKUP(2,1/((lentry!$A$3:$A$3999=aug!$A37)*(lentry!$B$3:$B$3999&lt;=aug!M$3)*(lentry!$C$3:$C$3999&gt;=aug!M$3)),lentry!$D$3:$D$3999),IF(WEEKDAY(M$3,1)=1,"WO","P"))</f>
        <v>P</v>
      </c>
      <c r="N37" s="4" t="s">
        <v>342</v>
      </c>
      <c r="O37" s="4" t="str">
        <f>IFERROR(LOOKUP(2,1/((lentry!$A$3:$A$3999=aug!$A37)*(lentry!$B$3:$B$3999&lt;=aug!O$3)*(lentry!$C$3:$C$3999&gt;=aug!O$3)),lentry!$D$3:$D$3999),IF(WEEKDAY(O$3,1)=1,"WO","P"))</f>
        <v>P</v>
      </c>
      <c r="P37" s="4" t="str">
        <f>IFERROR(LOOKUP(2,1/((lentry!$A$3:$A$3999=aug!$A37)*(lentry!$B$3:$B$3999&lt;=aug!P$3)*(lentry!$C$3:$C$3999&gt;=aug!P$3)),lentry!$D$3:$D$3999),IF(WEEKDAY(P$3,1)=1,"WO","P"))</f>
        <v>P</v>
      </c>
      <c r="Q37" s="4" t="str">
        <f>IFERROR(LOOKUP(2,1/((lentry!$A$3:$A$3999=aug!$A37)*(lentry!$B$3:$B$3999&lt;=aug!Q$3)*(lentry!$C$3:$C$3999&gt;=aug!Q$3)),lentry!$D$3:$D$3999),IF(WEEKDAY(Q$3,1)=1,"WO","P"))</f>
        <v>P</v>
      </c>
      <c r="R37" s="4" t="str">
        <f>IFERROR(LOOKUP(2,1/((lentry!$A$3:$A$3999=aug!$A37)*(lentry!$B$3:$B$3999&lt;=aug!R$3)*(lentry!$C$3:$C$3999&gt;=aug!R$3)),lentry!$D$3:$D$3999),IF(WEEKDAY(R$3,1)=1,"WO","P"))</f>
        <v>P</v>
      </c>
      <c r="S37" s="4" t="str">
        <f>IFERROR(LOOKUP(2,1/((lentry!$A$3:$A$3999=aug!$A37)*(lentry!$B$3:$B$3999&lt;=aug!S$3)*(lentry!$C$3:$C$3999&gt;=aug!S$3)),lentry!$D$3:$D$3999),IF(WEEKDAY(S$3,1)=1,"WO","P"))</f>
        <v>P</v>
      </c>
      <c r="T37" s="4" t="s">
        <v>350</v>
      </c>
      <c r="U37" s="4" t="s">
        <v>342</v>
      </c>
      <c r="V37" s="4" t="str">
        <f>IFERROR(LOOKUP(2,1/((lentry!$A$3:$A$3999=aug!$A37)*(lentry!$B$3:$B$3999&lt;=aug!V$3)*(lentry!$C$3:$C$3999&gt;=aug!V$3)),lentry!$D$3:$D$3999),IF(WEEKDAY(V$3,1)=1,"WO","P"))</f>
        <v>P</v>
      </c>
      <c r="W37" s="4" t="s">
        <v>539</v>
      </c>
      <c r="X37" s="4" t="str">
        <f>IFERROR(LOOKUP(2,1/((lentry!$A$3:$A$3999=aug!$A37)*(lentry!$B$3:$B$3999&lt;=aug!X$3)*(lentry!$C$3:$C$3999&gt;=aug!X$3)),lentry!$D$3:$D$3999),IF(WEEKDAY(X$3,1)=1,"WO","P"))</f>
        <v>P</v>
      </c>
      <c r="Y37" s="4" t="str">
        <f>IFERROR(LOOKUP(2,1/((lentry!$A$3:$A$3999=aug!$A37)*(lentry!$B$3:$B$3999&lt;=aug!Y$3)*(lentry!$C$3:$C$3999&gt;=aug!Y$3)),lentry!$D$3:$D$3999),IF(WEEKDAY(Y$3,1)=1,"WO","P"))</f>
        <v>P</v>
      </c>
      <c r="Z37" s="4" t="str">
        <f>IFERROR(LOOKUP(2,1/((lentry!$A$3:$A$3999=aug!$A37)*(lentry!$B$3:$B$3999&lt;=aug!Z$3)*(lentry!$C$3:$C$3999&gt;=aug!Z$3)),lentry!$D$3:$D$3999),IF(WEEKDAY(Z$3,1)=1,"WO","P"))</f>
        <v>P</v>
      </c>
      <c r="AA37" s="4" t="str">
        <f>IFERROR(LOOKUP(2,1/((lentry!$A$3:$A$3999=aug!$A37)*(lentry!$B$3:$B$3999&lt;=aug!AA$3)*(lentry!$C$3:$C$3999&gt;=aug!AA$3)),lentry!$D$3:$D$3999),IF(WEEKDAY(AA$3,1)=1,"WO","P"))</f>
        <v>P</v>
      </c>
      <c r="AB37" s="4" t="s">
        <v>342</v>
      </c>
      <c r="AC37" s="4" t="str">
        <f>IFERROR(LOOKUP(2,1/((lentry!$A$3:$A$3999=aug!$A37)*(lentry!$B$3:$B$3999&lt;=aug!AC$3)*(lentry!$C$3:$C$3999&gt;=aug!AC$3)),lentry!$D$3:$D$3999),IF(WEEKDAY(AC$3,1)=1,"WO","P"))</f>
        <v>P</v>
      </c>
      <c r="AD37" s="4" t="str">
        <f>IFERROR(LOOKUP(2,1/((lentry!$A$3:$A$3999=aug!$A37)*(lentry!$B$3:$B$3999&lt;=aug!AD$3)*(lentry!$C$3:$C$3999&gt;=aug!AD$3)),lentry!$D$3:$D$3999),IF(WEEKDAY(AD$3,1)=1,"WO","P"))</f>
        <v>P</v>
      </c>
      <c r="AE37" s="4" t="str">
        <f>IFERROR(LOOKUP(2,1/((lentry!$A$3:$A$3999=aug!$A37)*(lentry!$B$3:$B$3999&lt;=aug!AE$3)*(lentry!$C$3:$C$3999&gt;=aug!AE$3)),lentry!$D$3:$D$3999),IF(WEEKDAY(AE$3,1)=1,"WO","P"))</f>
        <v>P</v>
      </c>
      <c r="AF37" s="4" t="str">
        <f>IFERROR(LOOKUP(2,1/((lentry!$A$3:$A$3999=aug!$A37)*(lentry!$B$3:$B$3999&lt;=aug!AF$3)*(lentry!$C$3:$C$3999&gt;=aug!AF$3)),lentry!$D$3:$D$3999),IF(WEEKDAY(AF$3,1)=1,"WO","P"))</f>
        <v>P</v>
      </c>
      <c r="AG37" s="4" t="str">
        <f>IFERROR(LOOKUP(2,1/((lentry!$A$3:$A$3999=aug!$A37)*(lentry!$B$3:$B$3999&lt;=aug!AG$3)*(lentry!$C$3:$C$3999&gt;=aug!AG$3)),lentry!$D$3:$D$3999),IF(WEEKDAY(AG$3,1)=1,"WO","P"))</f>
        <v>P</v>
      </c>
      <c r="AH37" s="4" t="str">
        <f>IFERROR(LOOKUP(2,1/((lentry!$A$3:$A$3999=aug!$A37)*(lentry!$B$3:$B$3999&lt;=aug!AH$3)*(lentry!$C$3:$C$3999&gt;=aug!AH$3)),lentry!$D$3:$D$3999),IF(WEEKDAY(AH$3,1)=1,"WO","P"))</f>
        <v>P</v>
      </c>
      <c r="AI37" s="4" t="s">
        <v>342</v>
      </c>
      <c r="AJ37" s="4" t="str">
        <f>IFERROR(LOOKUP(2,1/((lentry!$A$3:$A$3999=aug!$A37)*(lentry!$B$3:$B$3999&lt;=aug!AJ$3)*(lentry!$C$3:$C$3999&gt;=aug!AJ$3)),lentry!$D$3:$D$3999),IF(WEEKDAY(AJ$3,1)=1,"WO","P"))</f>
        <v>P</v>
      </c>
      <c r="AK37" s="4">
        <f>COUNTIF(aug!$F37:$AJ37,"WO")</f>
        <v>5</v>
      </c>
      <c r="AL37" s="4">
        <f>COUNTIF(aug!$F37:$AJ37,"H")</f>
        <v>1</v>
      </c>
      <c r="AM37" s="4">
        <f>COUNTIF(aug!$F37:$AJ37,"pl")</f>
        <v>0</v>
      </c>
      <c r="AN37" s="4">
        <f>COUNTIF(aug!$F37:$AJ37,"LWP")</f>
        <v>0</v>
      </c>
      <c r="AO37" s="4">
        <f>COUNTIF(aug!$F37:$AJ37,"HD")</f>
        <v>0</v>
      </c>
      <c r="AP37" s="4">
        <f>COUNTIF(aug!$F37:$AJ37,"SL")</f>
        <v>0</v>
      </c>
      <c r="AQ37" s="4">
        <f>COUNTIF(aug!$F37:$AJ37,"CL")</f>
        <v>0</v>
      </c>
      <c r="AR37" s="4">
        <f>COUNTIF(aug!$F37:$AJ37,"A")</f>
        <v>1</v>
      </c>
      <c r="AS37" s="4">
        <f>COUNTIF(aug!$F37:$AJ37,"P")</f>
        <v>24</v>
      </c>
      <c r="AT37" s="4">
        <f t="shared" si="2"/>
        <v>31</v>
      </c>
      <c r="AU37" s="4">
        <f t="shared" si="3"/>
        <v>30</v>
      </c>
    </row>
    <row r="38" spans="1:47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IFERROR(LOOKUP(2,1/((lentry!$A$3:$A$3999=aug!$A38)*(lentry!$B$3:$B$3999&lt;=aug!F$3)*(lentry!$C$3:$C$3999&gt;=aug!F$3)),lentry!$D$3:$D$3999),IF(WEEKDAY(F$3,1)=1,"WO","P"))</f>
        <v>P</v>
      </c>
      <c r="G38" s="4" t="s">
        <v>342</v>
      </c>
      <c r="H38" s="4" t="str">
        <f>IFERROR(LOOKUP(2,1/((lentry!$A$3:$A$3999=aug!$A38)*(lentry!$B$3:$B$3999&lt;=aug!H$3)*(lentry!$C$3:$C$3999&gt;=aug!H$3)),lentry!$D$3:$D$3999),IF(WEEKDAY(H$3,1)=1,"WO","P"))</f>
        <v>P</v>
      </c>
      <c r="I38" s="4" t="str">
        <f>IFERROR(LOOKUP(2,1/((lentry!$A$3:$A$3999=aug!$A38)*(lentry!$B$3:$B$3999&lt;=aug!I$3)*(lentry!$C$3:$C$3999&gt;=aug!I$3)),lentry!$D$3:$D$3999),IF(WEEKDAY(I$3,1)=1,"WO","P"))</f>
        <v>P</v>
      </c>
      <c r="J38" s="4" t="str">
        <f>IFERROR(LOOKUP(2,1/((lentry!$A$3:$A$3999=aug!$A38)*(lentry!$B$3:$B$3999&lt;=aug!J$3)*(lentry!$C$3:$C$3999&gt;=aug!J$3)),lentry!$D$3:$D$3999),IF(WEEKDAY(J$3,1)=1,"WO","P"))</f>
        <v>P</v>
      </c>
      <c r="K38" s="4" t="str">
        <f>IFERROR(LOOKUP(2,1/((lentry!$A$3:$A$3999=aug!$A38)*(lentry!$B$3:$B$3999&lt;=aug!K$3)*(lentry!$C$3:$C$3999&gt;=aug!K$3)),lentry!$D$3:$D$3999),IF(WEEKDAY(K$3,1)=1,"WO","P"))</f>
        <v>P</v>
      </c>
      <c r="L38" s="4" t="str">
        <f>IFERROR(LOOKUP(2,1/((lentry!$A$3:$A$3999=aug!$A38)*(lentry!$B$3:$B$3999&lt;=aug!L$3)*(lentry!$C$3:$C$3999&gt;=aug!L$3)),lentry!$D$3:$D$3999),IF(WEEKDAY(L$3,1)=1,"WO","P"))</f>
        <v>P</v>
      </c>
      <c r="M38" s="4" t="str">
        <f>IFERROR(LOOKUP(2,1/((lentry!$A$3:$A$3999=aug!$A38)*(lentry!$B$3:$B$3999&lt;=aug!M$3)*(lentry!$C$3:$C$3999&gt;=aug!M$3)),lentry!$D$3:$D$3999),IF(WEEKDAY(M$3,1)=1,"WO","P"))</f>
        <v>P</v>
      </c>
      <c r="N38" s="4" t="s">
        <v>342</v>
      </c>
      <c r="O38" s="4" t="str">
        <f>IFERROR(LOOKUP(2,1/((lentry!$A$3:$A$3999=aug!$A38)*(lentry!$B$3:$B$3999&lt;=aug!O$3)*(lentry!$C$3:$C$3999&gt;=aug!O$3)),lentry!$D$3:$D$3999),IF(WEEKDAY(O$3,1)=1,"WO","P"))</f>
        <v>P</v>
      </c>
      <c r="P38" s="4" t="str">
        <f>IFERROR(LOOKUP(2,1/((lentry!$A$3:$A$3999=aug!$A38)*(lentry!$B$3:$B$3999&lt;=aug!P$3)*(lentry!$C$3:$C$3999&gt;=aug!P$3)),lentry!$D$3:$D$3999),IF(WEEKDAY(P$3,1)=1,"WO","P"))</f>
        <v>P</v>
      </c>
      <c r="Q38" s="4" t="str">
        <f>IFERROR(LOOKUP(2,1/((lentry!$A$3:$A$3999=aug!$A38)*(lentry!$B$3:$B$3999&lt;=aug!Q$3)*(lentry!$C$3:$C$3999&gt;=aug!Q$3)),lentry!$D$3:$D$3999),IF(WEEKDAY(Q$3,1)=1,"WO","P"))</f>
        <v>P</v>
      </c>
      <c r="R38" s="4" t="str">
        <f>IFERROR(LOOKUP(2,1/((lentry!$A$3:$A$3999=aug!$A38)*(lentry!$B$3:$B$3999&lt;=aug!R$3)*(lentry!$C$3:$C$3999&gt;=aug!R$3)),lentry!$D$3:$D$3999),IF(WEEKDAY(R$3,1)=1,"WO","P"))</f>
        <v>P</v>
      </c>
      <c r="S38" s="4" t="str">
        <f>IFERROR(LOOKUP(2,1/((lentry!$A$3:$A$3999=aug!$A38)*(lentry!$B$3:$B$3999&lt;=aug!S$3)*(lentry!$C$3:$C$3999&gt;=aug!S$3)),lentry!$D$3:$D$3999),IF(WEEKDAY(S$3,1)=1,"WO","P"))</f>
        <v>P</v>
      </c>
      <c r="T38" s="4" t="s">
        <v>350</v>
      </c>
      <c r="U38" s="4" t="s">
        <v>342</v>
      </c>
      <c r="V38" s="4" t="str">
        <f>IFERROR(LOOKUP(2,1/((lentry!$A$3:$A$3999=aug!$A38)*(lentry!$B$3:$B$3999&lt;=aug!V$3)*(lentry!$C$3:$C$3999&gt;=aug!V$3)),lentry!$D$3:$D$3999),IF(WEEKDAY(V$3,1)=1,"WO","P"))</f>
        <v>P</v>
      </c>
      <c r="W38" s="4" t="str">
        <f>IFERROR(LOOKUP(2,1/((lentry!$A$3:$A$3999=aug!$A38)*(lentry!$B$3:$B$3999&lt;=aug!W$3)*(lentry!$C$3:$C$3999&gt;=aug!W$3)),lentry!$D$3:$D$3999),IF(WEEKDAY(W$3,1)=1,"WO","P"))</f>
        <v>P</v>
      </c>
      <c r="X38" s="4" t="str">
        <f>IFERROR(LOOKUP(2,1/((lentry!$A$3:$A$3999=aug!$A38)*(lentry!$B$3:$B$3999&lt;=aug!X$3)*(lentry!$C$3:$C$3999&gt;=aug!X$3)),lentry!$D$3:$D$3999),IF(WEEKDAY(X$3,1)=1,"WO","P"))</f>
        <v>P</v>
      </c>
      <c r="Y38" s="4" t="str">
        <f>IFERROR(LOOKUP(2,1/((lentry!$A$3:$A$3999=aug!$A38)*(lentry!$B$3:$B$3999&lt;=aug!Y$3)*(lentry!$C$3:$C$3999&gt;=aug!Y$3)),lentry!$D$3:$D$3999),IF(WEEKDAY(Y$3,1)=1,"WO","P"))</f>
        <v>P</v>
      </c>
      <c r="Z38" s="4" t="str">
        <f>IFERROR(LOOKUP(2,1/((lentry!$A$3:$A$3999=aug!$A38)*(lentry!$B$3:$B$3999&lt;=aug!Z$3)*(lentry!$C$3:$C$3999&gt;=aug!Z$3)),lentry!$D$3:$D$3999),IF(WEEKDAY(Z$3,1)=1,"WO","P"))</f>
        <v>P</v>
      </c>
      <c r="AA38" s="4" t="str">
        <f>IFERROR(LOOKUP(2,1/((lentry!$A$3:$A$3999=aug!$A38)*(lentry!$B$3:$B$3999&lt;=aug!AA$3)*(lentry!$C$3:$C$3999&gt;=aug!AA$3)),lentry!$D$3:$D$3999),IF(WEEKDAY(AA$3,1)=1,"WO","P"))</f>
        <v>P</v>
      </c>
      <c r="AB38" s="4" t="s">
        <v>342</v>
      </c>
      <c r="AC38" s="4" t="str">
        <f>IFERROR(LOOKUP(2,1/((lentry!$A$3:$A$3999=aug!$A38)*(lentry!$B$3:$B$3999&lt;=aug!AC$3)*(lentry!$C$3:$C$3999&gt;=aug!AC$3)),lentry!$D$3:$D$3999),IF(WEEKDAY(AC$3,1)=1,"WO","P"))</f>
        <v>P</v>
      </c>
      <c r="AD38" s="4" t="str">
        <f>IFERROR(LOOKUP(2,1/((lentry!$A$3:$A$3999=aug!$A38)*(lentry!$B$3:$B$3999&lt;=aug!AD$3)*(lentry!$C$3:$C$3999&gt;=aug!AD$3)),lentry!$D$3:$D$3999),IF(WEEKDAY(AD$3,1)=1,"WO","P"))</f>
        <v>P</v>
      </c>
      <c r="AE38" s="4" t="str">
        <f>IFERROR(LOOKUP(2,1/((lentry!$A$3:$A$3999=aug!$A38)*(lentry!$B$3:$B$3999&lt;=aug!AE$3)*(lentry!$C$3:$C$3999&gt;=aug!AE$3)),lentry!$D$3:$D$3999),IF(WEEKDAY(AE$3,1)=1,"WO","P"))</f>
        <v>P</v>
      </c>
      <c r="AF38" s="4" t="str">
        <f>IFERROR(LOOKUP(2,1/((lentry!$A$3:$A$3999=aug!$A38)*(lentry!$B$3:$B$3999&lt;=aug!AF$3)*(lentry!$C$3:$C$3999&gt;=aug!AF$3)),lentry!$D$3:$D$3999),IF(WEEKDAY(AF$3,1)=1,"WO","P"))</f>
        <v>P</v>
      </c>
      <c r="AG38" s="4" t="s">
        <v>539</v>
      </c>
      <c r="AH38" s="4" t="str">
        <f>IFERROR(LOOKUP(2,1/((lentry!$A$3:$A$3999=aug!$A38)*(lentry!$B$3:$B$3999&lt;=aug!AH$3)*(lentry!$C$3:$C$3999&gt;=aug!AH$3)),lentry!$D$3:$D$3999),IF(WEEKDAY(AH$3,1)=1,"WO","P"))</f>
        <v>P</v>
      </c>
      <c r="AI38" s="4" t="s">
        <v>342</v>
      </c>
      <c r="AJ38" s="4" t="str">
        <f>IFERROR(LOOKUP(2,1/((lentry!$A$3:$A$3999=aug!$A38)*(lentry!$B$3:$B$3999&lt;=aug!AJ$3)*(lentry!$C$3:$C$3999&gt;=aug!AJ$3)),lentry!$D$3:$D$3999),IF(WEEKDAY(AJ$3,1)=1,"WO","P"))</f>
        <v>P</v>
      </c>
      <c r="AK38" s="4">
        <f>COUNTIF(aug!$F38:$AJ38,"WO")</f>
        <v>5</v>
      </c>
      <c r="AL38" s="4">
        <f>COUNTIF(aug!$F38:$AJ38,"H")</f>
        <v>1</v>
      </c>
      <c r="AM38" s="4">
        <f>COUNTIF(aug!$F38:$AJ38,"pl")</f>
        <v>0</v>
      </c>
      <c r="AN38" s="4">
        <f>COUNTIF(aug!$F38:$AJ38,"LWP")</f>
        <v>0</v>
      </c>
      <c r="AO38" s="4">
        <f>COUNTIF(aug!$F38:$AJ38,"HD")</f>
        <v>0</v>
      </c>
      <c r="AP38" s="4">
        <f>COUNTIF(aug!$F38:$AJ38,"SL")</f>
        <v>0</v>
      </c>
      <c r="AQ38" s="4">
        <f>COUNTIF(aug!$F38:$AJ38,"CL")</f>
        <v>0</v>
      </c>
      <c r="AR38" s="4">
        <f>COUNTIF(aug!$F38:$AJ38,"A")</f>
        <v>1</v>
      </c>
      <c r="AS38" s="4">
        <f>COUNTIF(aug!$F38:$AJ38,"P")</f>
        <v>24</v>
      </c>
      <c r="AT38" s="4">
        <f t="shared" si="2"/>
        <v>31</v>
      </c>
      <c r="AU38" s="4">
        <f t="shared" si="3"/>
        <v>30</v>
      </c>
    </row>
    <row r="39" spans="1:47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IFERROR(LOOKUP(2,1/((lentry!$A$3:$A$3999=aug!$A39)*(lentry!$B$3:$B$3999&lt;=aug!F$3)*(lentry!$C$3:$C$3999&gt;=aug!F$3)),lentry!$D$3:$D$3999),IF(WEEKDAY(F$3,1)=1,"WO","P"))</f>
        <v>P</v>
      </c>
      <c r="G39" s="4" t="s">
        <v>342</v>
      </c>
      <c r="H39" s="4" t="str">
        <f>IFERROR(LOOKUP(2,1/((lentry!$A$3:$A$3999=aug!$A39)*(lentry!$B$3:$B$3999&lt;=aug!H$3)*(lentry!$C$3:$C$3999&gt;=aug!H$3)),lentry!$D$3:$D$3999),IF(WEEKDAY(H$3,1)=1,"WO","P"))</f>
        <v>P</v>
      </c>
      <c r="I39" s="4" t="str">
        <f>IFERROR(LOOKUP(2,1/((lentry!$A$3:$A$3999=aug!$A39)*(lentry!$B$3:$B$3999&lt;=aug!I$3)*(lentry!$C$3:$C$3999&gt;=aug!I$3)),lentry!$D$3:$D$3999),IF(WEEKDAY(I$3,1)=1,"WO","P"))</f>
        <v>P</v>
      </c>
      <c r="J39" s="4" t="str">
        <f>IFERROR(LOOKUP(2,1/((lentry!$A$3:$A$3999=aug!$A39)*(lentry!$B$3:$B$3999&lt;=aug!J$3)*(lentry!$C$3:$C$3999&gt;=aug!J$3)),lentry!$D$3:$D$3999),IF(WEEKDAY(J$3,1)=1,"WO","P"))</f>
        <v>P</v>
      </c>
      <c r="K39" s="4" t="str">
        <f>IFERROR(LOOKUP(2,1/((lentry!$A$3:$A$3999=aug!$A39)*(lentry!$B$3:$B$3999&lt;=aug!K$3)*(lentry!$C$3:$C$3999&gt;=aug!K$3)),lentry!$D$3:$D$3999),IF(WEEKDAY(K$3,1)=1,"WO","P"))</f>
        <v>P</v>
      </c>
      <c r="L39" s="4" t="str">
        <f>IFERROR(LOOKUP(2,1/((lentry!$A$3:$A$3999=aug!$A39)*(lentry!$B$3:$B$3999&lt;=aug!L$3)*(lentry!$C$3:$C$3999&gt;=aug!L$3)),lentry!$D$3:$D$3999),IF(WEEKDAY(L$3,1)=1,"WO","P"))</f>
        <v>P</v>
      </c>
      <c r="M39" s="4" t="str">
        <f>IFERROR(LOOKUP(2,1/((lentry!$A$3:$A$3999=aug!$A39)*(lentry!$B$3:$B$3999&lt;=aug!M$3)*(lentry!$C$3:$C$3999&gt;=aug!M$3)),lentry!$D$3:$D$3999),IF(WEEKDAY(M$3,1)=1,"WO","P"))</f>
        <v>P</v>
      </c>
      <c r="N39" s="4" t="s">
        <v>342</v>
      </c>
      <c r="O39" s="4" t="str">
        <f>IFERROR(LOOKUP(2,1/((lentry!$A$3:$A$3999=aug!$A39)*(lentry!$B$3:$B$3999&lt;=aug!O$3)*(lentry!$C$3:$C$3999&gt;=aug!O$3)),lentry!$D$3:$D$3999),IF(WEEKDAY(O$3,1)=1,"WO","P"))</f>
        <v>P</v>
      </c>
      <c r="P39" s="4" t="str">
        <f>IFERROR(LOOKUP(2,1/((lentry!$A$3:$A$3999=aug!$A39)*(lentry!$B$3:$B$3999&lt;=aug!P$3)*(lentry!$C$3:$C$3999&gt;=aug!P$3)),lentry!$D$3:$D$3999),IF(WEEKDAY(P$3,1)=1,"WO","P"))</f>
        <v>P</v>
      </c>
      <c r="Q39" s="4" t="str">
        <f>IFERROR(LOOKUP(2,1/((lentry!$A$3:$A$3999=aug!$A39)*(lentry!$B$3:$B$3999&lt;=aug!Q$3)*(lentry!$C$3:$C$3999&gt;=aug!Q$3)),lentry!$D$3:$D$3999),IF(WEEKDAY(Q$3,1)=1,"WO","P"))</f>
        <v>P</v>
      </c>
      <c r="R39" s="4" t="str">
        <f>IFERROR(LOOKUP(2,1/((lentry!$A$3:$A$3999=aug!$A39)*(lentry!$B$3:$B$3999&lt;=aug!R$3)*(lentry!$C$3:$C$3999&gt;=aug!R$3)),lentry!$D$3:$D$3999),IF(WEEKDAY(R$3,1)=1,"WO","P"))</f>
        <v>P</v>
      </c>
      <c r="S39" s="4" t="str">
        <f>IFERROR(LOOKUP(2,1/((lentry!$A$3:$A$3999=aug!$A39)*(lentry!$B$3:$B$3999&lt;=aug!S$3)*(lentry!$C$3:$C$3999&gt;=aug!S$3)),lentry!$D$3:$D$3999),IF(WEEKDAY(S$3,1)=1,"WO","P"))</f>
        <v>P</v>
      </c>
      <c r="T39" s="4" t="s">
        <v>350</v>
      </c>
      <c r="U39" s="4" t="s">
        <v>342</v>
      </c>
      <c r="V39" s="4" t="str">
        <f>IFERROR(LOOKUP(2,1/((lentry!$A$3:$A$3999=aug!$A39)*(lentry!$B$3:$B$3999&lt;=aug!V$3)*(lentry!$C$3:$C$3999&gt;=aug!V$3)),lentry!$D$3:$D$3999),IF(WEEKDAY(V$3,1)=1,"WO","P"))</f>
        <v>P</v>
      </c>
      <c r="W39" s="4" t="str">
        <f>IFERROR(LOOKUP(2,1/((lentry!$A$3:$A$3999=aug!$A39)*(lentry!$B$3:$B$3999&lt;=aug!W$3)*(lentry!$C$3:$C$3999&gt;=aug!W$3)),lentry!$D$3:$D$3999),IF(WEEKDAY(W$3,1)=1,"WO","P"))</f>
        <v>P</v>
      </c>
      <c r="X39" s="4" t="str">
        <f>IFERROR(LOOKUP(2,1/((lentry!$A$3:$A$3999=aug!$A39)*(lentry!$B$3:$B$3999&lt;=aug!X$3)*(lentry!$C$3:$C$3999&gt;=aug!X$3)),lentry!$D$3:$D$3999),IF(WEEKDAY(X$3,1)=1,"WO","P"))</f>
        <v>P</v>
      </c>
      <c r="Y39" s="4" t="str">
        <f>IFERROR(LOOKUP(2,1/((lentry!$A$3:$A$3999=aug!$A39)*(lentry!$B$3:$B$3999&lt;=aug!Y$3)*(lentry!$C$3:$C$3999&gt;=aug!Y$3)),lentry!$D$3:$D$3999),IF(WEEKDAY(Y$3,1)=1,"WO","P"))</f>
        <v>P</v>
      </c>
      <c r="Z39" s="4" t="str">
        <f>IFERROR(LOOKUP(2,1/((lentry!$A$3:$A$3999=aug!$A39)*(lentry!$B$3:$B$3999&lt;=aug!Z$3)*(lentry!$C$3:$C$3999&gt;=aug!Z$3)),lentry!$D$3:$D$3999),IF(WEEKDAY(Z$3,1)=1,"WO","P"))</f>
        <v>P</v>
      </c>
      <c r="AA39" s="4" t="str">
        <f>IFERROR(LOOKUP(2,1/((lentry!$A$3:$A$3999=aug!$A39)*(lentry!$B$3:$B$3999&lt;=aug!AA$3)*(lentry!$C$3:$C$3999&gt;=aug!AA$3)),lentry!$D$3:$D$3999),IF(WEEKDAY(AA$3,1)=1,"WO","P"))</f>
        <v>P</v>
      </c>
      <c r="AB39" s="4" t="s">
        <v>342</v>
      </c>
      <c r="AC39" s="4" t="str">
        <f>IFERROR(LOOKUP(2,1/((lentry!$A$3:$A$3999=aug!$A39)*(lentry!$B$3:$B$3999&lt;=aug!AC$3)*(lentry!$C$3:$C$3999&gt;=aug!AC$3)),lentry!$D$3:$D$3999),IF(WEEKDAY(AC$3,1)=1,"WO","P"))</f>
        <v>P</v>
      </c>
      <c r="AD39" s="4" t="str">
        <f>IFERROR(LOOKUP(2,1/((lentry!$A$3:$A$3999=aug!$A39)*(lentry!$B$3:$B$3999&lt;=aug!AD$3)*(lentry!$C$3:$C$3999&gt;=aug!AD$3)),lentry!$D$3:$D$3999),IF(WEEKDAY(AD$3,1)=1,"WO","P"))</f>
        <v>P</v>
      </c>
      <c r="AE39" s="4" t="str">
        <f>IFERROR(LOOKUP(2,1/((lentry!$A$3:$A$3999=aug!$A39)*(lentry!$B$3:$B$3999&lt;=aug!AE$3)*(lentry!$C$3:$C$3999&gt;=aug!AE$3)),lentry!$D$3:$D$3999),IF(WEEKDAY(AE$3,1)=1,"WO","P"))</f>
        <v>P</v>
      </c>
      <c r="AF39" s="4" t="str">
        <f>IFERROR(LOOKUP(2,1/((lentry!$A$3:$A$3999=aug!$A39)*(lentry!$B$3:$B$3999&lt;=aug!AF$3)*(lentry!$C$3:$C$3999&gt;=aug!AF$3)),lentry!$D$3:$D$3999),IF(WEEKDAY(AF$3,1)=1,"WO","P"))</f>
        <v>P</v>
      </c>
      <c r="AG39" s="4" t="str">
        <f>IFERROR(LOOKUP(2,1/((lentry!$A$3:$A$3999=aug!$A39)*(lentry!$B$3:$B$3999&lt;=aug!AG$3)*(lentry!$C$3:$C$3999&gt;=aug!AG$3)),lentry!$D$3:$D$3999),IF(WEEKDAY(AG$3,1)=1,"WO","P"))</f>
        <v>P</v>
      </c>
      <c r="AH39" s="4" t="str">
        <f>IFERROR(LOOKUP(2,1/((lentry!$A$3:$A$3999=aug!$A39)*(lentry!$B$3:$B$3999&lt;=aug!AH$3)*(lentry!$C$3:$C$3999&gt;=aug!AH$3)),lentry!$D$3:$D$3999),IF(WEEKDAY(AH$3,1)=1,"WO","P"))</f>
        <v>P</v>
      </c>
      <c r="AI39" s="4" t="s">
        <v>342</v>
      </c>
      <c r="AJ39" s="4" t="str">
        <f>IFERROR(LOOKUP(2,1/((lentry!$A$3:$A$3999=aug!$A39)*(lentry!$B$3:$B$3999&lt;=aug!AJ$3)*(lentry!$C$3:$C$3999&gt;=aug!AJ$3)),lentry!$D$3:$D$3999),IF(WEEKDAY(AJ$3,1)=1,"WO","P"))</f>
        <v>P</v>
      </c>
      <c r="AK39" s="4">
        <f>COUNTIF(aug!$F39:$AJ39,"WO")</f>
        <v>5</v>
      </c>
      <c r="AL39" s="4">
        <f>COUNTIF(aug!$F39:$AJ39,"H")</f>
        <v>1</v>
      </c>
      <c r="AM39" s="4">
        <f>COUNTIF(aug!$F39:$AJ39,"pl")</f>
        <v>0</v>
      </c>
      <c r="AN39" s="4">
        <f>COUNTIF(aug!$F39:$AJ39,"LWP")</f>
        <v>0</v>
      </c>
      <c r="AO39" s="4">
        <f>COUNTIF(aug!$F39:$AJ39,"HD")</f>
        <v>0</v>
      </c>
      <c r="AP39" s="4">
        <f>COUNTIF(aug!$F39:$AJ39,"SL")</f>
        <v>0</v>
      </c>
      <c r="AQ39" s="4">
        <f>COUNTIF(aug!$F39:$AJ39,"CL")</f>
        <v>0</v>
      </c>
      <c r="AR39" s="4">
        <f>COUNTIF(aug!$F39:$AJ39,"A")</f>
        <v>0</v>
      </c>
      <c r="AS39" s="4">
        <f>COUNTIF(aug!$F39:$AJ39,"P")</f>
        <v>25</v>
      </c>
      <c r="AT39" s="4">
        <f t="shared" si="2"/>
        <v>31</v>
      </c>
      <c r="AU39" s="4">
        <f t="shared" si="3"/>
        <v>31</v>
      </c>
    </row>
    <row r="40" spans="1:47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IFERROR(LOOKUP(2,1/((lentry!$A$3:$A$3999=aug!$A40)*(lentry!$B$3:$B$3999&lt;=aug!F$3)*(lentry!$C$3:$C$3999&gt;=aug!F$3)),lentry!$D$3:$D$3999),IF(WEEKDAY(F$3,1)=1,"WO","P"))</f>
        <v>P</v>
      </c>
      <c r="G40" s="4" t="s">
        <v>342</v>
      </c>
      <c r="H40" s="4" t="str">
        <f>IFERROR(LOOKUP(2,1/((lentry!$A$3:$A$3999=aug!$A40)*(lentry!$B$3:$B$3999&lt;=aug!H$3)*(lentry!$C$3:$C$3999&gt;=aug!H$3)),lentry!$D$3:$D$3999),IF(WEEKDAY(H$3,1)=1,"WO","P"))</f>
        <v>P</v>
      </c>
      <c r="I40" s="4" t="str">
        <f>IFERROR(LOOKUP(2,1/((lentry!$A$3:$A$3999=aug!$A40)*(lentry!$B$3:$B$3999&lt;=aug!I$3)*(lentry!$C$3:$C$3999&gt;=aug!I$3)),lentry!$D$3:$D$3999),IF(WEEKDAY(I$3,1)=1,"WO","P"))</f>
        <v>P</v>
      </c>
      <c r="J40" s="4" t="str">
        <f>IFERROR(LOOKUP(2,1/((lentry!$A$3:$A$3999=aug!$A40)*(lentry!$B$3:$B$3999&lt;=aug!J$3)*(lentry!$C$3:$C$3999&gt;=aug!J$3)),lentry!$D$3:$D$3999),IF(WEEKDAY(J$3,1)=1,"WO","P"))</f>
        <v>P</v>
      </c>
      <c r="K40" s="4" t="str">
        <f>IFERROR(LOOKUP(2,1/((lentry!$A$3:$A$3999=aug!$A40)*(lentry!$B$3:$B$3999&lt;=aug!K$3)*(lentry!$C$3:$C$3999&gt;=aug!K$3)),lentry!$D$3:$D$3999),IF(WEEKDAY(K$3,1)=1,"WO","P"))</f>
        <v>P</v>
      </c>
      <c r="L40" s="4" t="str">
        <f>IFERROR(LOOKUP(2,1/((lentry!$A$3:$A$3999=aug!$A40)*(lentry!$B$3:$B$3999&lt;=aug!L$3)*(lentry!$C$3:$C$3999&gt;=aug!L$3)),lentry!$D$3:$D$3999),IF(WEEKDAY(L$3,1)=1,"WO","P"))</f>
        <v>P</v>
      </c>
      <c r="M40" s="4" t="str">
        <f>IFERROR(LOOKUP(2,1/((lentry!$A$3:$A$3999=aug!$A40)*(lentry!$B$3:$B$3999&lt;=aug!M$3)*(lentry!$C$3:$C$3999&gt;=aug!M$3)),lentry!$D$3:$D$3999),IF(WEEKDAY(M$3,1)=1,"WO","P"))</f>
        <v>P</v>
      </c>
      <c r="N40" s="4" t="s">
        <v>342</v>
      </c>
      <c r="O40" s="4" t="str">
        <f>IFERROR(LOOKUP(2,1/((lentry!$A$3:$A$3999=aug!$A40)*(lentry!$B$3:$B$3999&lt;=aug!O$3)*(lentry!$C$3:$C$3999&gt;=aug!O$3)),lentry!$D$3:$D$3999),IF(WEEKDAY(O$3,1)=1,"WO","P"))</f>
        <v>P</v>
      </c>
      <c r="P40" s="4" t="str">
        <f>IFERROR(LOOKUP(2,1/((lentry!$A$3:$A$3999=aug!$A40)*(lentry!$B$3:$B$3999&lt;=aug!P$3)*(lentry!$C$3:$C$3999&gt;=aug!P$3)),lentry!$D$3:$D$3999),IF(WEEKDAY(P$3,1)=1,"WO","P"))</f>
        <v>P</v>
      </c>
      <c r="Q40" s="4" t="str">
        <f>IFERROR(LOOKUP(2,1/((lentry!$A$3:$A$3999=aug!$A40)*(lentry!$B$3:$B$3999&lt;=aug!Q$3)*(lentry!$C$3:$C$3999&gt;=aug!Q$3)),lentry!$D$3:$D$3999),IF(WEEKDAY(Q$3,1)=1,"WO","P"))</f>
        <v>P</v>
      </c>
      <c r="R40" s="4" t="str">
        <f>IFERROR(LOOKUP(2,1/((lentry!$A$3:$A$3999=aug!$A40)*(lentry!$B$3:$B$3999&lt;=aug!R$3)*(lentry!$C$3:$C$3999&gt;=aug!R$3)),lentry!$D$3:$D$3999),IF(WEEKDAY(R$3,1)=1,"WO","P"))</f>
        <v>P</v>
      </c>
      <c r="S40" s="4" t="str">
        <f>IFERROR(LOOKUP(2,1/((lentry!$A$3:$A$3999=aug!$A40)*(lentry!$B$3:$B$3999&lt;=aug!S$3)*(lentry!$C$3:$C$3999&gt;=aug!S$3)),lentry!$D$3:$D$3999),IF(WEEKDAY(S$3,1)=1,"WO","P"))</f>
        <v>P</v>
      </c>
      <c r="T40" s="4" t="s">
        <v>350</v>
      </c>
      <c r="U40" s="4" t="s">
        <v>342</v>
      </c>
      <c r="V40" s="4" t="str">
        <f>IFERROR(LOOKUP(2,1/((lentry!$A$3:$A$3999=aug!$A40)*(lentry!$B$3:$B$3999&lt;=aug!V$3)*(lentry!$C$3:$C$3999&gt;=aug!V$3)),lentry!$D$3:$D$3999),IF(WEEKDAY(V$3,1)=1,"WO","P"))</f>
        <v>P</v>
      </c>
      <c r="W40" s="4" t="str">
        <f>IFERROR(LOOKUP(2,1/((lentry!$A$3:$A$3999=aug!$A40)*(lentry!$B$3:$B$3999&lt;=aug!W$3)*(lentry!$C$3:$C$3999&gt;=aug!W$3)),lentry!$D$3:$D$3999),IF(WEEKDAY(W$3,1)=1,"WO","P"))</f>
        <v>P</v>
      </c>
      <c r="X40" s="4" t="str">
        <f>IFERROR(LOOKUP(2,1/((lentry!$A$3:$A$3999=aug!$A40)*(lentry!$B$3:$B$3999&lt;=aug!X$3)*(lentry!$C$3:$C$3999&gt;=aug!X$3)),lentry!$D$3:$D$3999),IF(WEEKDAY(X$3,1)=1,"WO","P"))</f>
        <v>P</v>
      </c>
      <c r="Y40" s="4" t="str">
        <f>IFERROR(LOOKUP(2,1/((lentry!$A$3:$A$3999=aug!$A40)*(lentry!$B$3:$B$3999&lt;=aug!Y$3)*(lentry!$C$3:$C$3999&gt;=aug!Y$3)),lentry!$D$3:$D$3999),IF(WEEKDAY(Y$3,1)=1,"WO","P"))</f>
        <v>P</v>
      </c>
      <c r="Z40" s="4" t="str">
        <f>IFERROR(LOOKUP(2,1/((lentry!$A$3:$A$3999=aug!$A40)*(lentry!$B$3:$B$3999&lt;=aug!Z$3)*(lentry!$C$3:$C$3999&gt;=aug!Z$3)),lentry!$D$3:$D$3999),IF(WEEKDAY(Z$3,1)=1,"WO","P"))</f>
        <v>P</v>
      </c>
      <c r="AA40" s="4" t="str">
        <f>IFERROR(LOOKUP(2,1/((lentry!$A$3:$A$3999=aug!$A40)*(lentry!$B$3:$B$3999&lt;=aug!AA$3)*(lentry!$C$3:$C$3999&gt;=aug!AA$3)),lentry!$D$3:$D$3999),IF(WEEKDAY(AA$3,1)=1,"WO","P"))</f>
        <v>P</v>
      </c>
      <c r="AB40" s="4" t="s">
        <v>342</v>
      </c>
      <c r="AC40" s="4" t="str">
        <f>IFERROR(LOOKUP(2,1/((lentry!$A$3:$A$3999=aug!$A40)*(lentry!$B$3:$B$3999&lt;=aug!AC$3)*(lentry!$C$3:$C$3999&gt;=aug!AC$3)),lentry!$D$3:$D$3999),IF(WEEKDAY(AC$3,1)=1,"WO","P"))</f>
        <v>P</v>
      </c>
      <c r="AD40" s="4" t="str">
        <f>IFERROR(LOOKUP(2,1/((lentry!$A$3:$A$3999=aug!$A40)*(lentry!$B$3:$B$3999&lt;=aug!AD$3)*(lentry!$C$3:$C$3999&gt;=aug!AD$3)),lentry!$D$3:$D$3999),IF(WEEKDAY(AD$3,1)=1,"WO","P"))</f>
        <v>P</v>
      </c>
      <c r="AE40" s="4" t="str">
        <f>IFERROR(LOOKUP(2,1/((lentry!$A$3:$A$3999=aug!$A40)*(lentry!$B$3:$B$3999&lt;=aug!AE$3)*(lentry!$C$3:$C$3999&gt;=aug!AE$3)),lentry!$D$3:$D$3999),IF(WEEKDAY(AE$3,1)=1,"WO","P"))</f>
        <v>P</v>
      </c>
      <c r="AF40" s="4" t="str">
        <f>IFERROR(LOOKUP(2,1/((lentry!$A$3:$A$3999=aug!$A40)*(lentry!$B$3:$B$3999&lt;=aug!AF$3)*(lentry!$C$3:$C$3999&gt;=aug!AF$3)),lentry!$D$3:$D$3999),IF(WEEKDAY(AF$3,1)=1,"WO","P"))</f>
        <v>P</v>
      </c>
      <c r="AG40" s="4" t="str">
        <f>IFERROR(LOOKUP(2,1/((lentry!$A$3:$A$3999=aug!$A40)*(lentry!$B$3:$B$3999&lt;=aug!AG$3)*(lentry!$C$3:$C$3999&gt;=aug!AG$3)),lentry!$D$3:$D$3999),IF(WEEKDAY(AG$3,1)=1,"WO","P"))</f>
        <v>P</v>
      </c>
      <c r="AH40" s="4" t="str">
        <f>IFERROR(LOOKUP(2,1/((lentry!$A$3:$A$3999=aug!$A40)*(lentry!$B$3:$B$3999&lt;=aug!AH$3)*(lentry!$C$3:$C$3999&gt;=aug!AH$3)),lentry!$D$3:$D$3999),IF(WEEKDAY(AH$3,1)=1,"WO","P"))</f>
        <v>P</v>
      </c>
      <c r="AI40" s="4" t="s">
        <v>342</v>
      </c>
      <c r="AJ40" s="4" t="str">
        <f>IFERROR(LOOKUP(2,1/((lentry!$A$3:$A$3999=aug!$A40)*(lentry!$B$3:$B$3999&lt;=aug!AJ$3)*(lentry!$C$3:$C$3999&gt;=aug!AJ$3)),lentry!$D$3:$D$3999),IF(WEEKDAY(AJ$3,1)=1,"WO","P"))</f>
        <v>P</v>
      </c>
      <c r="AK40" s="4">
        <f>COUNTIF(aug!$F40:$AJ40,"WO")</f>
        <v>5</v>
      </c>
      <c r="AL40" s="4">
        <f>COUNTIF(aug!$F40:$AJ40,"H")</f>
        <v>1</v>
      </c>
      <c r="AM40" s="4">
        <f>COUNTIF(aug!$F40:$AJ40,"pl")</f>
        <v>0</v>
      </c>
      <c r="AN40" s="4">
        <f>COUNTIF(aug!$F40:$AJ40,"LWP")</f>
        <v>0</v>
      </c>
      <c r="AO40" s="4">
        <f>COUNTIF(aug!$F40:$AJ40,"HD")</f>
        <v>0</v>
      </c>
      <c r="AP40" s="4">
        <f>COUNTIF(aug!$F40:$AJ40,"SL")</f>
        <v>0</v>
      </c>
      <c r="AQ40" s="4">
        <f>COUNTIF(aug!$F40:$AJ40,"CL")</f>
        <v>0</v>
      </c>
      <c r="AR40" s="4">
        <f>COUNTIF(aug!$F40:$AJ40,"A")</f>
        <v>0</v>
      </c>
      <c r="AS40" s="4">
        <f>COUNTIF(aug!$F40:$AJ40,"P")</f>
        <v>25</v>
      </c>
      <c r="AT40" s="4">
        <f t="shared" si="2"/>
        <v>31</v>
      </c>
      <c r="AU40" s="4">
        <f t="shared" si="3"/>
        <v>31</v>
      </c>
    </row>
    <row r="41" spans="1:47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IFERROR(LOOKUP(2,1/((lentry!$A$3:$A$3999=aug!$A41)*(lentry!$B$3:$B$3999&lt;=aug!F$3)*(lentry!$C$3:$C$3999&gt;=aug!F$3)),lentry!$D$3:$D$3999),IF(WEEKDAY(F$3,1)=1,"WO","P"))</f>
        <v>P</v>
      </c>
      <c r="G41" s="4" t="s">
        <v>342</v>
      </c>
      <c r="H41" s="4" t="str">
        <f>IFERROR(LOOKUP(2,1/((lentry!$A$3:$A$3999=aug!$A41)*(lentry!$B$3:$B$3999&lt;=aug!H$3)*(lentry!$C$3:$C$3999&gt;=aug!H$3)),lentry!$D$3:$D$3999),IF(WEEKDAY(H$3,1)=1,"WO","P"))</f>
        <v>P</v>
      </c>
      <c r="I41" s="4" t="str">
        <f>IFERROR(LOOKUP(2,1/((lentry!$A$3:$A$3999=aug!$A41)*(lentry!$B$3:$B$3999&lt;=aug!I$3)*(lentry!$C$3:$C$3999&gt;=aug!I$3)),lentry!$D$3:$D$3999),IF(WEEKDAY(I$3,1)=1,"WO","P"))</f>
        <v>P</v>
      </c>
      <c r="J41" s="4" t="str">
        <f>IFERROR(LOOKUP(2,1/((lentry!$A$3:$A$3999=aug!$A41)*(lentry!$B$3:$B$3999&lt;=aug!J$3)*(lentry!$C$3:$C$3999&gt;=aug!J$3)),lentry!$D$3:$D$3999),IF(WEEKDAY(J$3,1)=1,"WO","P"))</f>
        <v>P</v>
      </c>
      <c r="K41" s="4" t="str">
        <f>IFERROR(LOOKUP(2,1/((lentry!$A$3:$A$3999=aug!$A41)*(lentry!$B$3:$B$3999&lt;=aug!K$3)*(lentry!$C$3:$C$3999&gt;=aug!K$3)),lentry!$D$3:$D$3999),IF(WEEKDAY(K$3,1)=1,"WO","P"))</f>
        <v>P</v>
      </c>
      <c r="L41" s="4" t="str">
        <f>IFERROR(LOOKUP(2,1/((lentry!$A$3:$A$3999=aug!$A41)*(lentry!$B$3:$B$3999&lt;=aug!L$3)*(lentry!$C$3:$C$3999&gt;=aug!L$3)),lentry!$D$3:$D$3999),IF(WEEKDAY(L$3,1)=1,"WO","P"))</f>
        <v>P</v>
      </c>
      <c r="M41" s="4" t="str">
        <f>IFERROR(LOOKUP(2,1/((lentry!$A$3:$A$3999=aug!$A41)*(lentry!$B$3:$B$3999&lt;=aug!M$3)*(lentry!$C$3:$C$3999&gt;=aug!M$3)),lentry!$D$3:$D$3999),IF(WEEKDAY(M$3,1)=1,"WO","P"))</f>
        <v>P</v>
      </c>
      <c r="N41" s="4" t="s">
        <v>342</v>
      </c>
      <c r="O41" s="4" t="str">
        <f>IFERROR(LOOKUP(2,1/((lentry!$A$3:$A$3999=aug!$A41)*(lentry!$B$3:$B$3999&lt;=aug!O$3)*(lentry!$C$3:$C$3999&gt;=aug!O$3)),lentry!$D$3:$D$3999),IF(WEEKDAY(O$3,1)=1,"WO","P"))</f>
        <v>P</v>
      </c>
      <c r="P41" s="4" t="str">
        <f>IFERROR(LOOKUP(2,1/((lentry!$A$3:$A$3999=aug!$A41)*(lentry!$B$3:$B$3999&lt;=aug!P$3)*(lentry!$C$3:$C$3999&gt;=aug!P$3)),lentry!$D$3:$D$3999),IF(WEEKDAY(P$3,1)=1,"WO","P"))</f>
        <v>P</v>
      </c>
      <c r="Q41" s="4" t="str">
        <f>IFERROR(LOOKUP(2,1/((lentry!$A$3:$A$3999=aug!$A41)*(lentry!$B$3:$B$3999&lt;=aug!Q$3)*(lentry!$C$3:$C$3999&gt;=aug!Q$3)),lentry!$D$3:$D$3999),IF(WEEKDAY(Q$3,1)=1,"WO","P"))</f>
        <v>P</v>
      </c>
      <c r="R41" s="4" t="str">
        <f>IFERROR(LOOKUP(2,1/((lentry!$A$3:$A$3999=aug!$A41)*(lentry!$B$3:$B$3999&lt;=aug!R$3)*(lentry!$C$3:$C$3999&gt;=aug!R$3)),lentry!$D$3:$D$3999),IF(WEEKDAY(R$3,1)=1,"WO","P"))</f>
        <v>P</v>
      </c>
      <c r="S41" s="4" t="str">
        <f>IFERROR(LOOKUP(2,1/((lentry!$A$3:$A$3999=aug!$A41)*(lentry!$B$3:$B$3999&lt;=aug!S$3)*(lentry!$C$3:$C$3999&gt;=aug!S$3)),lentry!$D$3:$D$3999),IF(WEEKDAY(S$3,1)=1,"WO","P"))</f>
        <v>P</v>
      </c>
      <c r="T41" s="4" t="s">
        <v>350</v>
      </c>
      <c r="U41" s="4" t="s">
        <v>342</v>
      </c>
      <c r="V41" s="4" t="str">
        <f>IFERROR(LOOKUP(2,1/((lentry!$A$3:$A$3999=aug!$A41)*(lentry!$B$3:$B$3999&lt;=aug!V$3)*(lentry!$C$3:$C$3999&gt;=aug!V$3)),lentry!$D$3:$D$3999),IF(WEEKDAY(V$3,1)=1,"WO","P"))</f>
        <v>P</v>
      </c>
      <c r="W41" s="4" t="str">
        <f>IFERROR(LOOKUP(2,1/((lentry!$A$3:$A$3999=aug!$A41)*(lentry!$B$3:$B$3999&lt;=aug!W$3)*(lentry!$C$3:$C$3999&gt;=aug!W$3)),lentry!$D$3:$D$3999),IF(WEEKDAY(W$3,1)=1,"WO","P"))</f>
        <v>P</v>
      </c>
      <c r="X41" s="4" t="str">
        <f>IFERROR(LOOKUP(2,1/((lentry!$A$3:$A$3999=aug!$A41)*(lentry!$B$3:$B$3999&lt;=aug!X$3)*(lentry!$C$3:$C$3999&gt;=aug!X$3)),lentry!$D$3:$D$3999),IF(WEEKDAY(X$3,1)=1,"WO","P"))</f>
        <v>P</v>
      </c>
      <c r="Y41" s="4" t="str">
        <f>IFERROR(LOOKUP(2,1/((lentry!$A$3:$A$3999=aug!$A41)*(lentry!$B$3:$B$3999&lt;=aug!Y$3)*(lentry!$C$3:$C$3999&gt;=aug!Y$3)),lentry!$D$3:$D$3999),IF(WEEKDAY(Y$3,1)=1,"WO","P"))</f>
        <v>P</v>
      </c>
      <c r="Z41" s="4" t="str">
        <f>IFERROR(LOOKUP(2,1/((lentry!$A$3:$A$3999=aug!$A41)*(lentry!$B$3:$B$3999&lt;=aug!Z$3)*(lentry!$C$3:$C$3999&gt;=aug!Z$3)),lentry!$D$3:$D$3999),IF(WEEKDAY(Z$3,1)=1,"WO","P"))</f>
        <v>P</v>
      </c>
      <c r="AA41" s="4" t="str">
        <f>IFERROR(LOOKUP(2,1/((lentry!$A$3:$A$3999=aug!$A41)*(lentry!$B$3:$B$3999&lt;=aug!AA$3)*(lentry!$C$3:$C$3999&gt;=aug!AA$3)),lentry!$D$3:$D$3999),IF(WEEKDAY(AA$3,1)=1,"WO","P"))</f>
        <v>P</v>
      </c>
      <c r="AB41" s="4" t="s">
        <v>342</v>
      </c>
      <c r="AC41" s="4" t="str">
        <f>IFERROR(LOOKUP(2,1/((lentry!$A$3:$A$3999=aug!$A41)*(lentry!$B$3:$B$3999&lt;=aug!AC$3)*(lentry!$C$3:$C$3999&gt;=aug!AC$3)),lentry!$D$3:$D$3999),IF(WEEKDAY(AC$3,1)=1,"WO","P"))</f>
        <v>P</v>
      </c>
      <c r="AD41" s="4" t="str">
        <f>IFERROR(LOOKUP(2,1/((lentry!$A$3:$A$3999=aug!$A41)*(lentry!$B$3:$B$3999&lt;=aug!AD$3)*(lentry!$C$3:$C$3999&gt;=aug!AD$3)),lentry!$D$3:$D$3999),IF(WEEKDAY(AD$3,1)=1,"WO","P"))</f>
        <v>P</v>
      </c>
      <c r="AE41" s="4" t="str">
        <f>IFERROR(LOOKUP(2,1/((lentry!$A$3:$A$3999=aug!$A41)*(lentry!$B$3:$B$3999&lt;=aug!AE$3)*(lentry!$C$3:$C$3999&gt;=aug!AE$3)),lentry!$D$3:$D$3999),IF(WEEKDAY(AE$3,1)=1,"WO","P"))</f>
        <v>P</v>
      </c>
      <c r="AF41" s="4" t="str">
        <f>IFERROR(LOOKUP(2,1/((lentry!$A$3:$A$3999=aug!$A41)*(lentry!$B$3:$B$3999&lt;=aug!AF$3)*(lentry!$C$3:$C$3999&gt;=aug!AF$3)),lentry!$D$3:$D$3999),IF(WEEKDAY(AF$3,1)=1,"WO","P"))</f>
        <v>P</v>
      </c>
      <c r="AG41" s="4" t="str">
        <f>IFERROR(LOOKUP(2,1/((lentry!$A$3:$A$3999=aug!$A41)*(lentry!$B$3:$B$3999&lt;=aug!AG$3)*(lentry!$C$3:$C$3999&gt;=aug!AG$3)),lentry!$D$3:$D$3999),IF(WEEKDAY(AG$3,1)=1,"WO","P"))</f>
        <v>P</v>
      </c>
      <c r="AH41" s="4" t="str">
        <f>IFERROR(LOOKUP(2,1/((lentry!$A$3:$A$3999=aug!$A41)*(lentry!$B$3:$B$3999&lt;=aug!AH$3)*(lentry!$C$3:$C$3999&gt;=aug!AH$3)),lentry!$D$3:$D$3999),IF(WEEKDAY(AH$3,1)=1,"WO","P"))</f>
        <v>P</v>
      </c>
      <c r="AI41" s="4" t="s">
        <v>342</v>
      </c>
      <c r="AJ41" s="4" t="str">
        <f>IFERROR(LOOKUP(2,1/((lentry!$A$3:$A$3999=aug!$A41)*(lentry!$B$3:$B$3999&lt;=aug!AJ$3)*(lentry!$C$3:$C$3999&gt;=aug!AJ$3)),lentry!$D$3:$D$3999),IF(WEEKDAY(AJ$3,1)=1,"WO","P"))</f>
        <v>P</v>
      </c>
      <c r="AK41" s="4">
        <f>COUNTIF(aug!$F41:$AJ41,"WO")</f>
        <v>5</v>
      </c>
      <c r="AL41" s="4">
        <f>COUNTIF(aug!$F41:$AJ41,"H")</f>
        <v>1</v>
      </c>
      <c r="AM41" s="4">
        <f>COUNTIF(aug!$F41:$AJ41,"pl")</f>
        <v>0</v>
      </c>
      <c r="AN41" s="4">
        <f>COUNTIF(aug!$F41:$AJ41,"LWP")</f>
        <v>0</v>
      </c>
      <c r="AO41" s="4">
        <f>COUNTIF(aug!$F41:$AJ41,"HD")</f>
        <v>0</v>
      </c>
      <c r="AP41" s="4">
        <f>COUNTIF(aug!$F41:$AJ41,"SL")</f>
        <v>0</v>
      </c>
      <c r="AQ41" s="4">
        <f>COUNTIF(aug!$F41:$AJ41,"CL")</f>
        <v>0</v>
      </c>
      <c r="AR41" s="4">
        <f>COUNTIF(aug!$F41:$AJ41,"A")</f>
        <v>0</v>
      </c>
      <c r="AS41" s="4">
        <f>COUNTIF(aug!$F41:$AJ41,"P")</f>
        <v>25</v>
      </c>
      <c r="AT41" s="4">
        <f t="shared" si="2"/>
        <v>31</v>
      </c>
      <c r="AU41" s="4">
        <f t="shared" si="3"/>
        <v>31</v>
      </c>
    </row>
    <row r="42" spans="1:47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IFERROR(LOOKUP(2,1/((lentry!$A$3:$A$3999=aug!$A42)*(lentry!$B$3:$B$3999&lt;=aug!F$3)*(lentry!$C$3:$C$3999&gt;=aug!F$3)),lentry!$D$3:$D$3999),IF(WEEKDAY(F$3,1)=1,"WO","P"))</f>
        <v>P</v>
      </c>
      <c r="G42" s="4" t="s">
        <v>342</v>
      </c>
      <c r="H42" s="4" t="str">
        <f>IFERROR(LOOKUP(2,1/((lentry!$A$3:$A$3999=aug!$A42)*(lentry!$B$3:$B$3999&lt;=aug!H$3)*(lentry!$C$3:$C$3999&gt;=aug!H$3)),lentry!$D$3:$D$3999),IF(WEEKDAY(H$3,1)=1,"WO","P"))</f>
        <v>P</v>
      </c>
      <c r="I42" s="4" t="str">
        <f>IFERROR(LOOKUP(2,1/((lentry!$A$3:$A$3999=aug!$A42)*(lentry!$B$3:$B$3999&lt;=aug!I$3)*(lentry!$C$3:$C$3999&gt;=aug!I$3)),lentry!$D$3:$D$3999),IF(WEEKDAY(I$3,1)=1,"WO","P"))</f>
        <v>P</v>
      </c>
      <c r="J42" s="4" t="str">
        <f>IFERROR(LOOKUP(2,1/((lentry!$A$3:$A$3999=aug!$A42)*(lentry!$B$3:$B$3999&lt;=aug!J$3)*(lentry!$C$3:$C$3999&gt;=aug!J$3)),lentry!$D$3:$D$3999),IF(WEEKDAY(J$3,1)=1,"WO","P"))</f>
        <v>P</v>
      </c>
      <c r="K42" s="4" t="str">
        <f>IFERROR(LOOKUP(2,1/((lentry!$A$3:$A$3999=aug!$A42)*(lentry!$B$3:$B$3999&lt;=aug!K$3)*(lentry!$C$3:$C$3999&gt;=aug!K$3)),lentry!$D$3:$D$3999),IF(WEEKDAY(K$3,1)=1,"WO","P"))</f>
        <v>P</v>
      </c>
      <c r="L42" s="4" t="str">
        <f>IFERROR(LOOKUP(2,1/((lentry!$A$3:$A$3999=aug!$A42)*(lentry!$B$3:$B$3999&lt;=aug!L$3)*(lentry!$C$3:$C$3999&gt;=aug!L$3)),lentry!$D$3:$D$3999),IF(WEEKDAY(L$3,1)=1,"WO","P"))</f>
        <v>P</v>
      </c>
      <c r="M42" s="4" t="str">
        <f>IFERROR(LOOKUP(2,1/((lentry!$A$3:$A$3999=aug!$A42)*(lentry!$B$3:$B$3999&lt;=aug!M$3)*(lentry!$C$3:$C$3999&gt;=aug!M$3)),lentry!$D$3:$D$3999),IF(WEEKDAY(M$3,1)=1,"WO","P"))</f>
        <v>P</v>
      </c>
      <c r="N42" s="4" t="s">
        <v>342</v>
      </c>
      <c r="O42" s="4" t="str">
        <f>IFERROR(LOOKUP(2,1/((lentry!$A$3:$A$3999=aug!$A42)*(lentry!$B$3:$B$3999&lt;=aug!O$3)*(lentry!$C$3:$C$3999&gt;=aug!O$3)),lentry!$D$3:$D$3999),IF(WEEKDAY(O$3,1)=1,"WO","P"))</f>
        <v>P</v>
      </c>
      <c r="P42" s="4" t="str">
        <f>IFERROR(LOOKUP(2,1/((lentry!$A$3:$A$3999=aug!$A42)*(lentry!$B$3:$B$3999&lt;=aug!P$3)*(lentry!$C$3:$C$3999&gt;=aug!P$3)),lentry!$D$3:$D$3999),IF(WEEKDAY(P$3,1)=1,"WO","P"))</f>
        <v>P</v>
      </c>
      <c r="Q42" s="4" t="str">
        <f>IFERROR(LOOKUP(2,1/((lentry!$A$3:$A$3999=aug!$A42)*(lentry!$B$3:$B$3999&lt;=aug!Q$3)*(lentry!$C$3:$C$3999&gt;=aug!Q$3)),lentry!$D$3:$D$3999),IF(WEEKDAY(Q$3,1)=1,"WO","P"))</f>
        <v>P</v>
      </c>
      <c r="R42" s="4" t="str">
        <f>IFERROR(LOOKUP(2,1/((lentry!$A$3:$A$3999=aug!$A42)*(lentry!$B$3:$B$3999&lt;=aug!R$3)*(lentry!$C$3:$C$3999&gt;=aug!R$3)),lentry!$D$3:$D$3999),IF(WEEKDAY(R$3,1)=1,"WO","P"))</f>
        <v>P</v>
      </c>
      <c r="S42" s="4" t="str">
        <f>IFERROR(LOOKUP(2,1/((lentry!$A$3:$A$3999=aug!$A42)*(lentry!$B$3:$B$3999&lt;=aug!S$3)*(lentry!$C$3:$C$3999&gt;=aug!S$3)),lentry!$D$3:$D$3999),IF(WEEKDAY(S$3,1)=1,"WO","P"))</f>
        <v>P</v>
      </c>
      <c r="T42" s="4" t="s">
        <v>350</v>
      </c>
      <c r="U42" s="4" t="s">
        <v>342</v>
      </c>
      <c r="V42" s="4" t="str">
        <f>IFERROR(LOOKUP(2,1/((lentry!$A$3:$A$3999=aug!$A42)*(lentry!$B$3:$B$3999&lt;=aug!V$3)*(lentry!$C$3:$C$3999&gt;=aug!V$3)),lentry!$D$3:$D$3999),IF(WEEKDAY(V$3,1)=1,"WO","P"))</f>
        <v>P</v>
      </c>
      <c r="W42" s="4" t="str">
        <f>IFERROR(LOOKUP(2,1/((lentry!$A$3:$A$3999=aug!$A42)*(lentry!$B$3:$B$3999&lt;=aug!W$3)*(lentry!$C$3:$C$3999&gt;=aug!W$3)),lentry!$D$3:$D$3999),IF(WEEKDAY(W$3,1)=1,"WO","P"))</f>
        <v>P</v>
      </c>
      <c r="X42" s="4" t="str">
        <f>IFERROR(LOOKUP(2,1/((lentry!$A$3:$A$3999=aug!$A42)*(lentry!$B$3:$B$3999&lt;=aug!X$3)*(lentry!$C$3:$C$3999&gt;=aug!X$3)),lentry!$D$3:$D$3999),IF(WEEKDAY(X$3,1)=1,"WO","P"))</f>
        <v>P</v>
      </c>
      <c r="Y42" s="4" t="str">
        <f>IFERROR(LOOKUP(2,1/((lentry!$A$3:$A$3999=aug!$A42)*(lentry!$B$3:$B$3999&lt;=aug!Y$3)*(lentry!$C$3:$C$3999&gt;=aug!Y$3)),lentry!$D$3:$D$3999),IF(WEEKDAY(Y$3,1)=1,"WO","P"))</f>
        <v>P</v>
      </c>
      <c r="Z42" s="4" t="str">
        <f>IFERROR(LOOKUP(2,1/((lentry!$A$3:$A$3999=aug!$A42)*(lentry!$B$3:$B$3999&lt;=aug!Z$3)*(lentry!$C$3:$C$3999&gt;=aug!Z$3)),lentry!$D$3:$D$3999),IF(WEEKDAY(Z$3,1)=1,"WO","P"))</f>
        <v>P</v>
      </c>
      <c r="AA42" s="4" t="str">
        <f>IFERROR(LOOKUP(2,1/((lentry!$A$3:$A$3999=aug!$A42)*(lentry!$B$3:$B$3999&lt;=aug!AA$3)*(lentry!$C$3:$C$3999&gt;=aug!AA$3)),lentry!$D$3:$D$3999),IF(WEEKDAY(AA$3,1)=1,"WO","P"))</f>
        <v>P</v>
      </c>
      <c r="AB42" s="4" t="s">
        <v>342</v>
      </c>
      <c r="AC42" s="4" t="str">
        <f>IFERROR(LOOKUP(2,1/((lentry!$A$3:$A$3999=aug!$A42)*(lentry!$B$3:$B$3999&lt;=aug!AC$3)*(lentry!$C$3:$C$3999&gt;=aug!AC$3)),lentry!$D$3:$D$3999),IF(WEEKDAY(AC$3,1)=1,"WO","P"))</f>
        <v>P</v>
      </c>
      <c r="AD42" s="4" t="str">
        <f>IFERROR(LOOKUP(2,1/((lentry!$A$3:$A$3999=aug!$A42)*(lentry!$B$3:$B$3999&lt;=aug!AD$3)*(lentry!$C$3:$C$3999&gt;=aug!AD$3)),lentry!$D$3:$D$3999),IF(WEEKDAY(AD$3,1)=1,"WO","P"))</f>
        <v>P</v>
      </c>
      <c r="AE42" s="4" t="str">
        <f>IFERROR(LOOKUP(2,1/((lentry!$A$3:$A$3999=aug!$A42)*(lentry!$B$3:$B$3999&lt;=aug!AE$3)*(lentry!$C$3:$C$3999&gt;=aug!AE$3)),lentry!$D$3:$D$3999),IF(WEEKDAY(AE$3,1)=1,"WO","P"))</f>
        <v>P</v>
      </c>
      <c r="AF42" s="4" t="str">
        <f>IFERROR(LOOKUP(2,1/((lentry!$A$3:$A$3999=aug!$A42)*(lentry!$B$3:$B$3999&lt;=aug!AF$3)*(lentry!$C$3:$C$3999&gt;=aug!AF$3)),lentry!$D$3:$D$3999),IF(WEEKDAY(AF$3,1)=1,"WO","P"))</f>
        <v>P</v>
      </c>
      <c r="AG42" s="4" t="str">
        <f>IFERROR(LOOKUP(2,1/((lentry!$A$3:$A$3999=aug!$A42)*(lentry!$B$3:$B$3999&lt;=aug!AG$3)*(lentry!$C$3:$C$3999&gt;=aug!AG$3)),lentry!$D$3:$D$3999),IF(WEEKDAY(AG$3,1)=1,"WO","P"))</f>
        <v>P</v>
      </c>
      <c r="AH42" s="4" t="str">
        <f>IFERROR(LOOKUP(2,1/((lentry!$A$3:$A$3999=aug!$A42)*(lentry!$B$3:$B$3999&lt;=aug!AH$3)*(lentry!$C$3:$C$3999&gt;=aug!AH$3)),lentry!$D$3:$D$3999),IF(WEEKDAY(AH$3,1)=1,"WO","P"))</f>
        <v>P</v>
      </c>
      <c r="AI42" s="4" t="s">
        <v>342</v>
      </c>
      <c r="AJ42" s="4" t="str">
        <f>IFERROR(LOOKUP(2,1/((lentry!$A$3:$A$3999=aug!$A42)*(lentry!$B$3:$B$3999&lt;=aug!AJ$3)*(lentry!$C$3:$C$3999&gt;=aug!AJ$3)),lentry!$D$3:$D$3999),IF(WEEKDAY(AJ$3,1)=1,"WO","P"))</f>
        <v>P</v>
      </c>
      <c r="AK42" s="4">
        <f>COUNTIF(aug!$F42:$AJ42,"WO")</f>
        <v>5</v>
      </c>
      <c r="AL42" s="4">
        <f>COUNTIF(aug!$F42:$AJ42,"H")</f>
        <v>1</v>
      </c>
      <c r="AM42" s="4">
        <f>COUNTIF(aug!$F42:$AJ42,"pl")</f>
        <v>0</v>
      </c>
      <c r="AN42" s="4">
        <f>COUNTIF(aug!$F42:$AJ42,"LWP")</f>
        <v>0</v>
      </c>
      <c r="AO42" s="4">
        <f>COUNTIF(aug!$F42:$AJ42,"HD")</f>
        <v>0</v>
      </c>
      <c r="AP42" s="4">
        <f>COUNTIF(aug!$F42:$AJ42,"SL")</f>
        <v>0</v>
      </c>
      <c r="AQ42" s="4">
        <f>COUNTIF(aug!$F42:$AJ42,"CL")</f>
        <v>0</v>
      </c>
      <c r="AR42" s="4">
        <f>COUNTIF(aug!$F42:$AJ42,"A")</f>
        <v>0</v>
      </c>
      <c r="AS42" s="4">
        <f>COUNTIF(aug!$F42:$AJ42,"P")</f>
        <v>25</v>
      </c>
      <c r="AT42" s="4">
        <f t="shared" si="2"/>
        <v>31</v>
      </c>
      <c r="AU42" s="4">
        <f t="shared" si="3"/>
        <v>31</v>
      </c>
    </row>
    <row r="43" spans="1:47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IFERROR(LOOKUP(2,1/((lentry!$A$3:$A$3999=aug!$A43)*(lentry!$B$3:$B$3999&lt;=aug!F$3)*(lentry!$C$3:$C$3999&gt;=aug!F$3)),lentry!$D$3:$D$3999),IF(WEEKDAY(F$3,1)=1,"WO","P"))</f>
        <v>P</v>
      </c>
      <c r="G43" s="4" t="s">
        <v>342</v>
      </c>
      <c r="H43" s="4" t="str">
        <f>IFERROR(LOOKUP(2,1/((lentry!$A$3:$A$3999=aug!$A43)*(lentry!$B$3:$B$3999&lt;=aug!H$3)*(lentry!$C$3:$C$3999&gt;=aug!H$3)),lentry!$D$3:$D$3999),IF(WEEKDAY(H$3,1)=1,"WO","P"))</f>
        <v>P</v>
      </c>
      <c r="I43" s="4" t="str">
        <f>IFERROR(LOOKUP(2,1/((lentry!$A$3:$A$3999=aug!$A43)*(lentry!$B$3:$B$3999&lt;=aug!I$3)*(lentry!$C$3:$C$3999&gt;=aug!I$3)),lentry!$D$3:$D$3999),IF(WEEKDAY(I$3,1)=1,"WO","P"))</f>
        <v>P</v>
      </c>
      <c r="J43" s="4" t="str">
        <f>IFERROR(LOOKUP(2,1/((lentry!$A$3:$A$3999=aug!$A43)*(lentry!$B$3:$B$3999&lt;=aug!J$3)*(lentry!$C$3:$C$3999&gt;=aug!J$3)),lentry!$D$3:$D$3999),IF(WEEKDAY(J$3,1)=1,"WO","P"))</f>
        <v>P</v>
      </c>
      <c r="K43" s="4" t="str">
        <f>IFERROR(LOOKUP(2,1/((lentry!$A$3:$A$3999=aug!$A43)*(lentry!$B$3:$B$3999&lt;=aug!K$3)*(lentry!$C$3:$C$3999&gt;=aug!K$3)),lentry!$D$3:$D$3999),IF(WEEKDAY(K$3,1)=1,"WO","P"))</f>
        <v>P</v>
      </c>
      <c r="L43" s="4" t="str">
        <f>IFERROR(LOOKUP(2,1/((lentry!$A$3:$A$3999=aug!$A43)*(lentry!$B$3:$B$3999&lt;=aug!L$3)*(lentry!$C$3:$C$3999&gt;=aug!L$3)),lentry!$D$3:$D$3999),IF(WEEKDAY(L$3,1)=1,"WO","P"))</f>
        <v>P</v>
      </c>
      <c r="M43" s="4" t="str">
        <f>IFERROR(LOOKUP(2,1/((lentry!$A$3:$A$3999=aug!$A43)*(lentry!$B$3:$B$3999&lt;=aug!M$3)*(lentry!$C$3:$C$3999&gt;=aug!M$3)),lentry!$D$3:$D$3999),IF(WEEKDAY(M$3,1)=1,"WO","P"))</f>
        <v>P</v>
      </c>
      <c r="N43" s="4" t="s">
        <v>342</v>
      </c>
      <c r="O43" s="4" t="str">
        <f>IFERROR(LOOKUP(2,1/((lentry!$A$3:$A$3999=aug!$A43)*(lentry!$B$3:$B$3999&lt;=aug!O$3)*(lentry!$C$3:$C$3999&gt;=aug!O$3)),lentry!$D$3:$D$3999),IF(WEEKDAY(O$3,1)=1,"WO","P"))</f>
        <v>P</v>
      </c>
      <c r="P43" s="4" t="str">
        <f>IFERROR(LOOKUP(2,1/((lentry!$A$3:$A$3999=aug!$A43)*(lentry!$B$3:$B$3999&lt;=aug!P$3)*(lentry!$C$3:$C$3999&gt;=aug!P$3)),lentry!$D$3:$D$3999),IF(WEEKDAY(P$3,1)=1,"WO","P"))</f>
        <v>P</v>
      </c>
      <c r="Q43" s="4" t="str">
        <f>IFERROR(LOOKUP(2,1/((lentry!$A$3:$A$3999=aug!$A43)*(lentry!$B$3:$B$3999&lt;=aug!Q$3)*(lentry!$C$3:$C$3999&gt;=aug!Q$3)),lentry!$D$3:$D$3999),IF(WEEKDAY(Q$3,1)=1,"WO","P"))</f>
        <v>P</v>
      </c>
      <c r="R43" s="4" t="str">
        <f>IFERROR(LOOKUP(2,1/((lentry!$A$3:$A$3999=aug!$A43)*(lentry!$B$3:$B$3999&lt;=aug!R$3)*(lentry!$C$3:$C$3999&gt;=aug!R$3)),lentry!$D$3:$D$3999),IF(WEEKDAY(R$3,1)=1,"WO","P"))</f>
        <v>P</v>
      </c>
      <c r="S43" s="4" t="str">
        <f>IFERROR(LOOKUP(2,1/((lentry!$A$3:$A$3999=aug!$A43)*(lentry!$B$3:$B$3999&lt;=aug!S$3)*(lentry!$C$3:$C$3999&gt;=aug!S$3)),lentry!$D$3:$D$3999),IF(WEEKDAY(S$3,1)=1,"WO","P"))</f>
        <v>P</v>
      </c>
      <c r="T43" s="4" t="s">
        <v>350</v>
      </c>
      <c r="U43" s="4" t="s">
        <v>342</v>
      </c>
      <c r="V43" s="4" t="str">
        <f>IFERROR(LOOKUP(2,1/((lentry!$A$3:$A$3999=aug!$A43)*(lentry!$B$3:$B$3999&lt;=aug!V$3)*(lentry!$C$3:$C$3999&gt;=aug!V$3)),lentry!$D$3:$D$3999),IF(WEEKDAY(V$3,1)=1,"WO","P"))</f>
        <v>P</v>
      </c>
      <c r="W43" s="4" t="str">
        <f>IFERROR(LOOKUP(2,1/((lentry!$A$3:$A$3999=aug!$A43)*(lentry!$B$3:$B$3999&lt;=aug!W$3)*(lentry!$C$3:$C$3999&gt;=aug!W$3)),lentry!$D$3:$D$3999),IF(WEEKDAY(W$3,1)=1,"WO","P"))</f>
        <v>P</v>
      </c>
      <c r="X43" s="4" t="str">
        <f>IFERROR(LOOKUP(2,1/((lentry!$A$3:$A$3999=aug!$A43)*(lentry!$B$3:$B$3999&lt;=aug!X$3)*(lentry!$C$3:$C$3999&gt;=aug!X$3)),lentry!$D$3:$D$3999),IF(WEEKDAY(X$3,1)=1,"WO","P"))</f>
        <v>P</v>
      </c>
      <c r="Y43" s="4" t="str">
        <f>IFERROR(LOOKUP(2,1/((lentry!$A$3:$A$3999=aug!$A43)*(lentry!$B$3:$B$3999&lt;=aug!Y$3)*(lentry!$C$3:$C$3999&gt;=aug!Y$3)),lentry!$D$3:$D$3999),IF(WEEKDAY(Y$3,1)=1,"WO","P"))</f>
        <v>P</v>
      </c>
      <c r="Z43" s="4" t="str">
        <f>IFERROR(LOOKUP(2,1/((lentry!$A$3:$A$3999=aug!$A43)*(lentry!$B$3:$B$3999&lt;=aug!Z$3)*(lentry!$C$3:$C$3999&gt;=aug!Z$3)),lentry!$D$3:$D$3999),IF(WEEKDAY(Z$3,1)=1,"WO","P"))</f>
        <v>P</v>
      </c>
      <c r="AA43" s="4" t="str">
        <f>IFERROR(LOOKUP(2,1/((lentry!$A$3:$A$3999=aug!$A43)*(lentry!$B$3:$B$3999&lt;=aug!AA$3)*(lentry!$C$3:$C$3999&gt;=aug!AA$3)),lentry!$D$3:$D$3999),IF(WEEKDAY(AA$3,1)=1,"WO","P"))</f>
        <v>P</v>
      </c>
      <c r="AB43" s="4" t="s">
        <v>342</v>
      </c>
      <c r="AC43" s="4" t="str">
        <f>IFERROR(LOOKUP(2,1/((lentry!$A$3:$A$3999=aug!$A43)*(lentry!$B$3:$B$3999&lt;=aug!AC$3)*(lentry!$C$3:$C$3999&gt;=aug!AC$3)),lentry!$D$3:$D$3999),IF(WEEKDAY(AC$3,1)=1,"WO","P"))</f>
        <v>P</v>
      </c>
      <c r="AD43" s="4" t="str">
        <f>IFERROR(LOOKUP(2,1/((lentry!$A$3:$A$3999=aug!$A43)*(lentry!$B$3:$B$3999&lt;=aug!AD$3)*(lentry!$C$3:$C$3999&gt;=aug!AD$3)),lentry!$D$3:$D$3999),IF(WEEKDAY(AD$3,1)=1,"WO","P"))</f>
        <v>P</v>
      </c>
      <c r="AE43" s="4" t="str">
        <f>IFERROR(LOOKUP(2,1/((lentry!$A$3:$A$3999=aug!$A43)*(lentry!$B$3:$B$3999&lt;=aug!AE$3)*(lentry!$C$3:$C$3999&gt;=aug!AE$3)),lentry!$D$3:$D$3999),IF(WEEKDAY(AE$3,1)=1,"WO","P"))</f>
        <v>P</v>
      </c>
      <c r="AF43" s="4" t="str">
        <f>IFERROR(LOOKUP(2,1/((lentry!$A$3:$A$3999=aug!$A43)*(lentry!$B$3:$B$3999&lt;=aug!AF$3)*(lentry!$C$3:$C$3999&gt;=aug!AF$3)),lentry!$D$3:$D$3999),IF(WEEKDAY(AF$3,1)=1,"WO","P"))</f>
        <v>P</v>
      </c>
      <c r="AG43" s="4" t="str">
        <f>IFERROR(LOOKUP(2,1/((lentry!$A$3:$A$3999=aug!$A43)*(lentry!$B$3:$B$3999&lt;=aug!AG$3)*(lentry!$C$3:$C$3999&gt;=aug!AG$3)),lentry!$D$3:$D$3999),IF(WEEKDAY(AG$3,1)=1,"WO","P"))</f>
        <v>P</v>
      </c>
      <c r="AH43" s="4" t="str">
        <f>IFERROR(LOOKUP(2,1/((lentry!$A$3:$A$3999=aug!$A43)*(lentry!$B$3:$B$3999&lt;=aug!AH$3)*(lentry!$C$3:$C$3999&gt;=aug!AH$3)),lentry!$D$3:$D$3999),IF(WEEKDAY(AH$3,1)=1,"WO","P"))</f>
        <v>P</v>
      </c>
      <c r="AI43" s="4" t="s">
        <v>342</v>
      </c>
      <c r="AJ43" s="4" t="str">
        <f>IFERROR(LOOKUP(2,1/((lentry!$A$3:$A$3999=aug!$A43)*(lentry!$B$3:$B$3999&lt;=aug!AJ$3)*(lentry!$C$3:$C$3999&gt;=aug!AJ$3)),lentry!$D$3:$D$3999),IF(WEEKDAY(AJ$3,1)=1,"WO","P"))</f>
        <v>P</v>
      </c>
      <c r="AK43" s="4">
        <f>COUNTIF(aug!$F43:$AJ43,"WO")</f>
        <v>5</v>
      </c>
      <c r="AL43" s="4">
        <f>COUNTIF(aug!$F43:$AJ43,"H")</f>
        <v>1</v>
      </c>
      <c r="AM43" s="4">
        <f>COUNTIF(aug!$F43:$AJ43,"pl")</f>
        <v>0</v>
      </c>
      <c r="AN43" s="4">
        <f>COUNTIF(aug!$F43:$AJ43,"LWP")</f>
        <v>0</v>
      </c>
      <c r="AO43" s="4">
        <f>COUNTIF(aug!$F43:$AJ43,"HD")</f>
        <v>0</v>
      </c>
      <c r="AP43" s="4">
        <f>COUNTIF(aug!$F43:$AJ43,"SL")</f>
        <v>0</v>
      </c>
      <c r="AQ43" s="4">
        <f>COUNTIF(aug!$F43:$AJ43,"CL")</f>
        <v>0</v>
      </c>
      <c r="AR43" s="4">
        <f>COUNTIF(aug!$F43:$AJ43,"A")</f>
        <v>0</v>
      </c>
      <c r="AS43" s="4">
        <f>COUNTIF(aug!$F43:$AJ43,"P")</f>
        <v>25</v>
      </c>
      <c r="AT43" s="4">
        <f t="shared" si="2"/>
        <v>31</v>
      </c>
      <c r="AU43" s="4">
        <f t="shared" si="3"/>
        <v>31</v>
      </c>
    </row>
    <row r="44" spans="1:47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IFERROR(LOOKUP(2,1/((lentry!$A$3:$A$3999=aug!$A44)*(lentry!$B$3:$B$3999&lt;=aug!F$3)*(lentry!$C$3:$C$3999&gt;=aug!F$3)),lentry!$D$3:$D$3999),IF(WEEKDAY(F$3,1)=1,"WO","P"))</f>
        <v>P</v>
      </c>
      <c r="G44" s="4" t="s">
        <v>342</v>
      </c>
      <c r="H44" s="4" t="str">
        <f>IFERROR(LOOKUP(2,1/((lentry!$A$3:$A$3999=aug!$A44)*(lentry!$B$3:$B$3999&lt;=aug!H$3)*(lentry!$C$3:$C$3999&gt;=aug!H$3)),lentry!$D$3:$D$3999),IF(WEEKDAY(H$3,1)=1,"WO","P"))</f>
        <v>P</v>
      </c>
      <c r="I44" s="4" t="str">
        <f>IFERROR(LOOKUP(2,1/((lentry!$A$3:$A$3999=aug!$A44)*(lentry!$B$3:$B$3999&lt;=aug!I$3)*(lentry!$C$3:$C$3999&gt;=aug!I$3)),lentry!$D$3:$D$3999),IF(WEEKDAY(I$3,1)=1,"WO","P"))</f>
        <v>P</v>
      </c>
      <c r="J44" s="4" t="str">
        <f>IFERROR(LOOKUP(2,1/((lentry!$A$3:$A$3999=aug!$A44)*(lentry!$B$3:$B$3999&lt;=aug!J$3)*(lentry!$C$3:$C$3999&gt;=aug!J$3)),lentry!$D$3:$D$3999),IF(WEEKDAY(J$3,1)=1,"WO","P"))</f>
        <v>P</v>
      </c>
      <c r="K44" s="4" t="str">
        <f>IFERROR(LOOKUP(2,1/((lentry!$A$3:$A$3999=aug!$A44)*(lentry!$B$3:$B$3999&lt;=aug!K$3)*(lentry!$C$3:$C$3999&gt;=aug!K$3)),lentry!$D$3:$D$3999),IF(WEEKDAY(K$3,1)=1,"WO","P"))</f>
        <v>P</v>
      </c>
      <c r="L44" s="4" t="str">
        <f>IFERROR(LOOKUP(2,1/((lentry!$A$3:$A$3999=aug!$A44)*(lentry!$B$3:$B$3999&lt;=aug!L$3)*(lentry!$C$3:$C$3999&gt;=aug!L$3)),lentry!$D$3:$D$3999),IF(WEEKDAY(L$3,1)=1,"WO","P"))</f>
        <v>P</v>
      </c>
      <c r="M44" s="4" t="str">
        <f>IFERROR(LOOKUP(2,1/((lentry!$A$3:$A$3999=aug!$A44)*(lentry!$B$3:$B$3999&lt;=aug!M$3)*(lentry!$C$3:$C$3999&gt;=aug!M$3)),lentry!$D$3:$D$3999),IF(WEEKDAY(M$3,1)=1,"WO","P"))</f>
        <v>P</v>
      </c>
      <c r="N44" s="4" t="s">
        <v>342</v>
      </c>
      <c r="O44" s="4" t="str">
        <f>IFERROR(LOOKUP(2,1/((lentry!$A$3:$A$3999=aug!$A44)*(lentry!$B$3:$B$3999&lt;=aug!O$3)*(lentry!$C$3:$C$3999&gt;=aug!O$3)),lentry!$D$3:$D$3999),IF(WEEKDAY(O$3,1)=1,"WO","P"))</f>
        <v>P</v>
      </c>
      <c r="P44" s="4" t="str">
        <f>IFERROR(LOOKUP(2,1/((lentry!$A$3:$A$3999=aug!$A44)*(lentry!$B$3:$B$3999&lt;=aug!P$3)*(lentry!$C$3:$C$3999&gt;=aug!P$3)),lentry!$D$3:$D$3999),IF(WEEKDAY(P$3,1)=1,"WO","P"))</f>
        <v>P</v>
      </c>
      <c r="Q44" s="4" t="str">
        <f>IFERROR(LOOKUP(2,1/((lentry!$A$3:$A$3999=aug!$A44)*(lentry!$B$3:$B$3999&lt;=aug!Q$3)*(lentry!$C$3:$C$3999&gt;=aug!Q$3)),lentry!$D$3:$D$3999),IF(WEEKDAY(Q$3,1)=1,"WO","P"))</f>
        <v>P</v>
      </c>
      <c r="R44" s="4" t="str">
        <f>IFERROR(LOOKUP(2,1/((lentry!$A$3:$A$3999=aug!$A44)*(lentry!$B$3:$B$3999&lt;=aug!R$3)*(lentry!$C$3:$C$3999&gt;=aug!R$3)),lentry!$D$3:$D$3999),IF(WEEKDAY(R$3,1)=1,"WO","P"))</f>
        <v>P</v>
      </c>
      <c r="S44" s="4" t="str">
        <f>IFERROR(LOOKUP(2,1/((lentry!$A$3:$A$3999=aug!$A44)*(lentry!$B$3:$B$3999&lt;=aug!S$3)*(lentry!$C$3:$C$3999&gt;=aug!S$3)),lentry!$D$3:$D$3999),IF(WEEKDAY(S$3,1)=1,"WO","P"))</f>
        <v>P</v>
      </c>
      <c r="T44" s="4" t="s">
        <v>350</v>
      </c>
      <c r="U44" s="4" t="s">
        <v>342</v>
      </c>
      <c r="V44" s="4" t="str">
        <f>IFERROR(LOOKUP(2,1/((lentry!$A$3:$A$3999=aug!$A44)*(lentry!$B$3:$B$3999&lt;=aug!V$3)*(lentry!$C$3:$C$3999&gt;=aug!V$3)),lentry!$D$3:$D$3999),IF(WEEKDAY(V$3,1)=1,"WO","P"))</f>
        <v>P</v>
      </c>
      <c r="W44" s="4" t="str">
        <f>IFERROR(LOOKUP(2,1/((lentry!$A$3:$A$3999=aug!$A44)*(lentry!$B$3:$B$3999&lt;=aug!W$3)*(lentry!$C$3:$C$3999&gt;=aug!W$3)),lentry!$D$3:$D$3999),IF(WEEKDAY(W$3,1)=1,"WO","P"))</f>
        <v>P</v>
      </c>
      <c r="X44" s="4" t="str">
        <f>IFERROR(LOOKUP(2,1/((lentry!$A$3:$A$3999=aug!$A44)*(lentry!$B$3:$B$3999&lt;=aug!X$3)*(lentry!$C$3:$C$3999&gt;=aug!X$3)),lentry!$D$3:$D$3999),IF(WEEKDAY(X$3,1)=1,"WO","P"))</f>
        <v>P</v>
      </c>
      <c r="Y44" s="4" t="str">
        <f>IFERROR(LOOKUP(2,1/((lentry!$A$3:$A$3999=aug!$A44)*(lentry!$B$3:$B$3999&lt;=aug!Y$3)*(lentry!$C$3:$C$3999&gt;=aug!Y$3)),lentry!$D$3:$D$3999),IF(WEEKDAY(Y$3,1)=1,"WO","P"))</f>
        <v>P</v>
      </c>
      <c r="Z44" s="4" t="str">
        <f>IFERROR(LOOKUP(2,1/((lentry!$A$3:$A$3999=aug!$A44)*(lentry!$B$3:$B$3999&lt;=aug!Z$3)*(lentry!$C$3:$C$3999&gt;=aug!Z$3)),lentry!$D$3:$D$3999),IF(WEEKDAY(Z$3,1)=1,"WO","P"))</f>
        <v>P</v>
      </c>
      <c r="AA44" s="4" t="str">
        <f>IFERROR(LOOKUP(2,1/((lentry!$A$3:$A$3999=aug!$A44)*(lentry!$B$3:$B$3999&lt;=aug!AA$3)*(lentry!$C$3:$C$3999&gt;=aug!AA$3)),lentry!$D$3:$D$3999),IF(WEEKDAY(AA$3,1)=1,"WO","P"))</f>
        <v>P</v>
      </c>
      <c r="AB44" s="4" t="s">
        <v>342</v>
      </c>
      <c r="AC44" s="4" t="str">
        <f>IFERROR(LOOKUP(2,1/((lentry!$A$3:$A$3999=aug!$A44)*(lentry!$B$3:$B$3999&lt;=aug!AC$3)*(lentry!$C$3:$C$3999&gt;=aug!AC$3)),lentry!$D$3:$D$3999),IF(WEEKDAY(AC$3,1)=1,"WO","P"))</f>
        <v>P</v>
      </c>
      <c r="AD44" s="4" t="str">
        <f>IFERROR(LOOKUP(2,1/((lentry!$A$3:$A$3999=aug!$A44)*(lentry!$B$3:$B$3999&lt;=aug!AD$3)*(lentry!$C$3:$C$3999&gt;=aug!AD$3)),lentry!$D$3:$D$3999),IF(WEEKDAY(AD$3,1)=1,"WO","P"))</f>
        <v>P</v>
      </c>
      <c r="AE44" s="4" t="str">
        <f>IFERROR(LOOKUP(2,1/((lentry!$A$3:$A$3999=aug!$A44)*(lentry!$B$3:$B$3999&lt;=aug!AE$3)*(lentry!$C$3:$C$3999&gt;=aug!AE$3)),lentry!$D$3:$D$3999),IF(WEEKDAY(AE$3,1)=1,"WO","P"))</f>
        <v>P</v>
      </c>
      <c r="AF44" s="4" t="str">
        <f>IFERROR(LOOKUP(2,1/((lentry!$A$3:$A$3999=aug!$A44)*(lentry!$B$3:$B$3999&lt;=aug!AF$3)*(lentry!$C$3:$C$3999&gt;=aug!AF$3)),lentry!$D$3:$D$3999),IF(WEEKDAY(AF$3,1)=1,"WO","P"))</f>
        <v>P</v>
      </c>
      <c r="AG44" s="4" t="str">
        <f>IFERROR(LOOKUP(2,1/((lentry!$A$3:$A$3999=aug!$A44)*(lentry!$B$3:$B$3999&lt;=aug!AG$3)*(lentry!$C$3:$C$3999&gt;=aug!AG$3)),lentry!$D$3:$D$3999),IF(WEEKDAY(AG$3,1)=1,"WO","P"))</f>
        <v>P</v>
      </c>
      <c r="AH44" s="4" t="str">
        <f>IFERROR(LOOKUP(2,1/((lentry!$A$3:$A$3999=aug!$A44)*(lentry!$B$3:$B$3999&lt;=aug!AH$3)*(lentry!$C$3:$C$3999&gt;=aug!AH$3)),lentry!$D$3:$D$3999),IF(WEEKDAY(AH$3,1)=1,"WO","P"))</f>
        <v>P</v>
      </c>
      <c r="AI44" s="4" t="s">
        <v>342</v>
      </c>
      <c r="AJ44" s="4" t="str">
        <f>IFERROR(LOOKUP(2,1/((lentry!$A$3:$A$3999=aug!$A44)*(lentry!$B$3:$B$3999&lt;=aug!AJ$3)*(lentry!$C$3:$C$3999&gt;=aug!AJ$3)),lentry!$D$3:$D$3999),IF(WEEKDAY(AJ$3,1)=1,"WO","P"))</f>
        <v>P</v>
      </c>
      <c r="AK44" s="4">
        <f>COUNTIF(aug!$F44:$AJ44,"WO")</f>
        <v>5</v>
      </c>
      <c r="AL44" s="4">
        <f>COUNTIF(aug!$F44:$AJ44,"H")</f>
        <v>1</v>
      </c>
      <c r="AM44" s="4">
        <f>COUNTIF(aug!$F44:$AJ44,"pl")</f>
        <v>0</v>
      </c>
      <c r="AN44" s="4">
        <f>COUNTIF(aug!$F44:$AJ44,"LWP")</f>
        <v>0</v>
      </c>
      <c r="AO44" s="4">
        <f>COUNTIF(aug!$F44:$AJ44,"HD")</f>
        <v>0</v>
      </c>
      <c r="AP44" s="4">
        <f>COUNTIF(aug!$F44:$AJ44,"SL")</f>
        <v>0</v>
      </c>
      <c r="AQ44" s="4">
        <f>COUNTIF(aug!$F44:$AJ44,"CL")</f>
        <v>0</v>
      </c>
      <c r="AR44" s="4">
        <f>COUNTIF(aug!$F44:$AJ44,"A")</f>
        <v>0</v>
      </c>
      <c r="AS44" s="4">
        <f>COUNTIF(aug!$F44:$AJ44,"P")</f>
        <v>25</v>
      </c>
      <c r="AT44" s="4">
        <f t="shared" si="2"/>
        <v>31</v>
      </c>
      <c r="AU44" s="4">
        <f t="shared" si="3"/>
        <v>31</v>
      </c>
    </row>
    <row r="45" spans="1:47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IFERROR(LOOKUP(2,1/((lentry!$A$3:$A$3999=aug!$A45)*(lentry!$B$3:$B$3999&lt;=aug!F$3)*(lentry!$C$3:$C$3999&gt;=aug!F$3)),lentry!$D$3:$D$3999),IF(WEEKDAY(F$3,1)=1,"WO","P"))</f>
        <v>P</v>
      </c>
      <c r="G45" s="4" t="s">
        <v>342</v>
      </c>
      <c r="H45" s="4" t="str">
        <f>IFERROR(LOOKUP(2,1/((lentry!$A$3:$A$3999=aug!$A45)*(lentry!$B$3:$B$3999&lt;=aug!H$3)*(lentry!$C$3:$C$3999&gt;=aug!H$3)),lentry!$D$3:$D$3999),IF(WEEKDAY(H$3,1)=1,"WO","P"))</f>
        <v>P</v>
      </c>
      <c r="I45" s="4" t="str">
        <f>IFERROR(LOOKUP(2,1/((lentry!$A$3:$A$3999=aug!$A45)*(lentry!$B$3:$B$3999&lt;=aug!I$3)*(lentry!$C$3:$C$3999&gt;=aug!I$3)),lentry!$D$3:$D$3999),IF(WEEKDAY(I$3,1)=1,"WO","P"))</f>
        <v>P</v>
      </c>
      <c r="J45" s="4" t="s">
        <v>539</v>
      </c>
      <c r="K45" s="4" t="str">
        <f>IFERROR(LOOKUP(2,1/((lentry!$A$3:$A$3999=aug!$A45)*(lentry!$B$3:$B$3999&lt;=aug!K$3)*(lentry!$C$3:$C$3999&gt;=aug!K$3)),lentry!$D$3:$D$3999),IF(WEEKDAY(K$3,1)=1,"WO","P"))</f>
        <v>P</v>
      </c>
      <c r="L45" s="4" t="str">
        <f>IFERROR(LOOKUP(2,1/((lentry!$A$3:$A$3999=aug!$A45)*(lentry!$B$3:$B$3999&lt;=aug!L$3)*(lentry!$C$3:$C$3999&gt;=aug!L$3)),lentry!$D$3:$D$3999),IF(WEEKDAY(L$3,1)=1,"WO","P"))</f>
        <v>P</v>
      </c>
      <c r="M45" s="4" t="str">
        <f>IFERROR(LOOKUP(2,1/((lentry!$A$3:$A$3999=aug!$A45)*(lentry!$B$3:$B$3999&lt;=aug!M$3)*(lentry!$C$3:$C$3999&gt;=aug!M$3)),lentry!$D$3:$D$3999),IF(WEEKDAY(M$3,1)=1,"WO","P"))</f>
        <v>P</v>
      </c>
      <c r="N45" s="4" t="s">
        <v>342</v>
      </c>
      <c r="O45" s="4" t="str">
        <f>IFERROR(LOOKUP(2,1/((lentry!$A$3:$A$3999=aug!$A45)*(lentry!$B$3:$B$3999&lt;=aug!O$3)*(lentry!$C$3:$C$3999&gt;=aug!O$3)),lentry!$D$3:$D$3999),IF(WEEKDAY(O$3,1)=1,"WO","P"))</f>
        <v>P</v>
      </c>
      <c r="P45" s="4" t="str">
        <f>IFERROR(LOOKUP(2,1/((lentry!$A$3:$A$3999=aug!$A45)*(lentry!$B$3:$B$3999&lt;=aug!P$3)*(lentry!$C$3:$C$3999&gt;=aug!P$3)),lentry!$D$3:$D$3999),IF(WEEKDAY(P$3,1)=1,"WO","P"))</f>
        <v>P</v>
      </c>
      <c r="Q45" s="4" t="str">
        <f>IFERROR(LOOKUP(2,1/((lentry!$A$3:$A$3999=aug!$A45)*(lentry!$B$3:$B$3999&lt;=aug!Q$3)*(lentry!$C$3:$C$3999&gt;=aug!Q$3)),lentry!$D$3:$D$3999),IF(WEEKDAY(Q$3,1)=1,"WO","P"))</f>
        <v>P</v>
      </c>
      <c r="R45" s="4" t="str">
        <f>IFERROR(LOOKUP(2,1/((lentry!$A$3:$A$3999=aug!$A45)*(lentry!$B$3:$B$3999&lt;=aug!R$3)*(lentry!$C$3:$C$3999&gt;=aug!R$3)),lentry!$D$3:$D$3999),IF(WEEKDAY(R$3,1)=1,"WO","P"))</f>
        <v>P</v>
      </c>
      <c r="S45" s="4" t="str">
        <f>IFERROR(LOOKUP(2,1/((lentry!$A$3:$A$3999=aug!$A45)*(lentry!$B$3:$B$3999&lt;=aug!S$3)*(lentry!$C$3:$C$3999&gt;=aug!S$3)),lentry!$D$3:$D$3999),IF(WEEKDAY(S$3,1)=1,"WO","P"))</f>
        <v>P</v>
      </c>
      <c r="T45" s="4" t="s">
        <v>350</v>
      </c>
      <c r="U45" s="4" t="s">
        <v>342</v>
      </c>
      <c r="V45" s="4" t="str">
        <f>IFERROR(LOOKUP(2,1/((lentry!$A$3:$A$3999=aug!$A45)*(lentry!$B$3:$B$3999&lt;=aug!V$3)*(lentry!$C$3:$C$3999&gt;=aug!V$3)),lentry!$D$3:$D$3999),IF(WEEKDAY(V$3,1)=1,"WO","P"))</f>
        <v>P</v>
      </c>
      <c r="W45" s="4" t="str">
        <f>IFERROR(LOOKUP(2,1/((lentry!$A$3:$A$3999=aug!$A45)*(lentry!$B$3:$B$3999&lt;=aug!W$3)*(lentry!$C$3:$C$3999&gt;=aug!W$3)),lentry!$D$3:$D$3999),IF(WEEKDAY(W$3,1)=1,"WO","P"))</f>
        <v>P</v>
      </c>
      <c r="X45" s="4" t="str">
        <f>IFERROR(LOOKUP(2,1/((lentry!$A$3:$A$3999=aug!$A45)*(lentry!$B$3:$B$3999&lt;=aug!X$3)*(lentry!$C$3:$C$3999&gt;=aug!X$3)),lentry!$D$3:$D$3999),IF(WEEKDAY(X$3,1)=1,"WO","P"))</f>
        <v>P</v>
      </c>
      <c r="Y45" s="4" t="str">
        <f>IFERROR(LOOKUP(2,1/((lentry!$A$3:$A$3999=aug!$A45)*(lentry!$B$3:$B$3999&lt;=aug!Y$3)*(lentry!$C$3:$C$3999&gt;=aug!Y$3)),lentry!$D$3:$D$3999),IF(WEEKDAY(Y$3,1)=1,"WO","P"))</f>
        <v>P</v>
      </c>
      <c r="Z45" s="4" t="str">
        <f>IFERROR(LOOKUP(2,1/((lentry!$A$3:$A$3999=aug!$A45)*(lentry!$B$3:$B$3999&lt;=aug!Z$3)*(lentry!$C$3:$C$3999&gt;=aug!Z$3)),lentry!$D$3:$D$3999),IF(WEEKDAY(Z$3,1)=1,"WO","P"))</f>
        <v>P</v>
      </c>
      <c r="AA45" s="4" t="str">
        <f>IFERROR(LOOKUP(2,1/((lentry!$A$3:$A$3999=aug!$A45)*(lentry!$B$3:$B$3999&lt;=aug!AA$3)*(lentry!$C$3:$C$3999&gt;=aug!AA$3)),lentry!$D$3:$D$3999),IF(WEEKDAY(AA$3,1)=1,"WO","P"))</f>
        <v>P</v>
      </c>
      <c r="AB45" s="4" t="s">
        <v>342</v>
      </c>
      <c r="AC45" s="4" t="str">
        <f>IFERROR(LOOKUP(2,1/((lentry!$A$3:$A$3999=aug!$A45)*(lentry!$B$3:$B$3999&lt;=aug!AC$3)*(lentry!$C$3:$C$3999&gt;=aug!AC$3)),lentry!$D$3:$D$3999),IF(WEEKDAY(AC$3,1)=1,"WO","P"))</f>
        <v>P</v>
      </c>
      <c r="AD45" s="4" t="str">
        <f>IFERROR(LOOKUP(2,1/((lentry!$A$3:$A$3999=aug!$A45)*(lentry!$B$3:$B$3999&lt;=aug!AD$3)*(lentry!$C$3:$C$3999&gt;=aug!AD$3)),lentry!$D$3:$D$3999),IF(WEEKDAY(AD$3,1)=1,"WO","P"))</f>
        <v>P</v>
      </c>
      <c r="AE45" s="4" t="str">
        <f>IFERROR(LOOKUP(2,1/((lentry!$A$3:$A$3999=aug!$A45)*(lentry!$B$3:$B$3999&lt;=aug!AE$3)*(lentry!$C$3:$C$3999&gt;=aug!AE$3)),lentry!$D$3:$D$3999),IF(WEEKDAY(AE$3,1)=1,"WO","P"))</f>
        <v>P</v>
      </c>
      <c r="AF45" s="4" t="str">
        <f>IFERROR(LOOKUP(2,1/((lentry!$A$3:$A$3999=aug!$A45)*(lentry!$B$3:$B$3999&lt;=aug!AF$3)*(lentry!$C$3:$C$3999&gt;=aug!AF$3)),lentry!$D$3:$D$3999),IF(WEEKDAY(AF$3,1)=1,"WO","P"))</f>
        <v>P</v>
      </c>
      <c r="AG45" s="4" t="str">
        <f>IFERROR(LOOKUP(2,1/((lentry!$A$3:$A$3999=aug!$A45)*(lentry!$B$3:$B$3999&lt;=aug!AG$3)*(lentry!$C$3:$C$3999&gt;=aug!AG$3)),lentry!$D$3:$D$3999),IF(WEEKDAY(AG$3,1)=1,"WO","P"))</f>
        <v>P</v>
      </c>
      <c r="AH45" s="4" t="str">
        <f>IFERROR(LOOKUP(2,1/((lentry!$A$3:$A$3999=aug!$A45)*(lentry!$B$3:$B$3999&lt;=aug!AH$3)*(lentry!$C$3:$C$3999&gt;=aug!AH$3)),lentry!$D$3:$D$3999),IF(WEEKDAY(AH$3,1)=1,"WO","P"))</f>
        <v>P</v>
      </c>
      <c r="AI45" s="4" t="s">
        <v>342</v>
      </c>
      <c r="AJ45" s="4" t="str">
        <f>IFERROR(LOOKUP(2,1/((lentry!$A$3:$A$3999=aug!$A45)*(lentry!$B$3:$B$3999&lt;=aug!AJ$3)*(lentry!$C$3:$C$3999&gt;=aug!AJ$3)),lentry!$D$3:$D$3999),IF(WEEKDAY(AJ$3,1)=1,"WO","P"))</f>
        <v>P</v>
      </c>
      <c r="AK45" s="4">
        <f>COUNTIF(aug!$F45:$AJ45,"WO")</f>
        <v>5</v>
      </c>
      <c r="AL45" s="4">
        <f>COUNTIF(aug!$F45:$AJ45,"H")</f>
        <v>1</v>
      </c>
      <c r="AM45" s="4">
        <f>COUNTIF(aug!$F45:$AJ45,"pl")</f>
        <v>0</v>
      </c>
      <c r="AN45" s="4">
        <f>COUNTIF(aug!$F45:$AJ45,"LWP")</f>
        <v>0</v>
      </c>
      <c r="AO45" s="4">
        <f>COUNTIF(aug!$F45:$AJ45,"HD")</f>
        <v>0</v>
      </c>
      <c r="AP45" s="4">
        <f>COUNTIF(aug!$F45:$AJ45,"SL")</f>
        <v>0</v>
      </c>
      <c r="AQ45" s="4">
        <f>COUNTIF(aug!$F45:$AJ45,"CL")</f>
        <v>0</v>
      </c>
      <c r="AR45" s="4">
        <f>COUNTIF(aug!$F45:$AJ45,"A")</f>
        <v>1</v>
      </c>
      <c r="AS45" s="4">
        <f>COUNTIF(aug!$F45:$AJ45,"P")</f>
        <v>24</v>
      </c>
      <c r="AT45" s="4">
        <f t="shared" si="2"/>
        <v>31</v>
      </c>
      <c r="AU45" s="4">
        <f t="shared" si="3"/>
        <v>30</v>
      </c>
    </row>
    <row r="46" spans="1:47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IFERROR(LOOKUP(2,1/((lentry!$A$3:$A$3999=aug!$A46)*(lentry!$B$3:$B$3999&lt;=aug!F$3)*(lentry!$C$3:$C$3999&gt;=aug!F$3)),lentry!$D$3:$D$3999),IF(WEEKDAY(F$3,1)=1,"WO","P"))</f>
        <v>P</v>
      </c>
      <c r="G46" s="4" t="s">
        <v>342</v>
      </c>
      <c r="H46" s="4" t="str">
        <f>IFERROR(LOOKUP(2,1/((lentry!$A$3:$A$3999=aug!$A46)*(lentry!$B$3:$B$3999&lt;=aug!H$3)*(lentry!$C$3:$C$3999&gt;=aug!H$3)),lentry!$D$3:$D$3999),IF(WEEKDAY(H$3,1)=1,"WO","P"))</f>
        <v>P</v>
      </c>
      <c r="I46" s="4" t="str">
        <f>IFERROR(LOOKUP(2,1/((lentry!$A$3:$A$3999=aug!$A46)*(lentry!$B$3:$B$3999&lt;=aug!I$3)*(lentry!$C$3:$C$3999&gt;=aug!I$3)),lentry!$D$3:$D$3999),IF(WEEKDAY(I$3,1)=1,"WO","P"))</f>
        <v>P</v>
      </c>
      <c r="J46" s="4" t="str">
        <f>IFERROR(LOOKUP(2,1/((lentry!$A$3:$A$3999=aug!$A46)*(lentry!$B$3:$B$3999&lt;=aug!J$3)*(lentry!$C$3:$C$3999&gt;=aug!J$3)),lentry!$D$3:$D$3999),IF(WEEKDAY(J$3,1)=1,"WO","P"))</f>
        <v>P</v>
      </c>
      <c r="K46" s="4" t="str">
        <f>IFERROR(LOOKUP(2,1/((lentry!$A$3:$A$3999=aug!$A46)*(lentry!$B$3:$B$3999&lt;=aug!K$3)*(lentry!$C$3:$C$3999&gt;=aug!K$3)),lentry!$D$3:$D$3999),IF(WEEKDAY(K$3,1)=1,"WO","P"))</f>
        <v>P</v>
      </c>
      <c r="L46" s="4" t="str">
        <f>IFERROR(LOOKUP(2,1/((lentry!$A$3:$A$3999=aug!$A46)*(lentry!$B$3:$B$3999&lt;=aug!L$3)*(lentry!$C$3:$C$3999&gt;=aug!L$3)),lentry!$D$3:$D$3999),IF(WEEKDAY(L$3,1)=1,"WO","P"))</f>
        <v>P</v>
      </c>
      <c r="M46" s="4" t="str">
        <f>IFERROR(LOOKUP(2,1/((lentry!$A$3:$A$3999=aug!$A46)*(lentry!$B$3:$B$3999&lt;=aug!M$3)*(lentry!$C$3:$C$3999&gt;=aug!M$3)),lentry!$D$3:$D$3999),IF(WEEKDAY(M$3,1)=1,"WO","P"))</f>
        <v>P</v>
      </c>
      <c r="N46" s="4" t="s">
        <v>342</v>
      </c>
      <c r="O46" s="4" t="str">
        <f>IFERROR(LOOKUP(2,1/((lentry!$A$3:$A$3999=aug!$A46)*(lentry!$B$3:$B$3999&lt;=aug!O$3)*(lentry!$C$3:$C$3999&gt;=aug!O$3)),lentry!$D$3:$D$3999),IF(WEEKDAY(O$3,1)=1,"WO","P"))</f>
        <v>P</v>
      </c>
      <c r="P46" s="4" t="str">
        <f>IFERROR(LOOKUP(2,1/((lentry!$A$3:$A$3999=aug!$A46)*(lentry!$B$3:$B$3999&lt;=aug!P$3)*(lentry!$C$3:$C$3999&gt;=aug!P$3)),lentry!$D$3:$D$3999),IF(WEEKDAY(P$3,1)=1,"WO","P"))</f>
        <v>P</v>
      </c>
      <c r="Q46" s="4" t="str">
        <f>IFERROR(LOOKUP(2,1/((lentry!$A$3:$A$3999=aug!$A46)*(lentry!$B$3:$B$3999&lt;=aug!Q$3)*(lentry!$C$3:$C$3999&gt;=aug!Q$3)),lentry!$D$3:$D$3999),IF(WEEKDAY(Q$3,1)=1,"WO","P"))</f>
        <v>P</v>
      </c>
      <c r="R46" s="4" t="str">
        <f>IFERROR(LOOKUP(2,1/((lentry!$A$3:$A$3999=aug!$A46)*(lentry!$B$3:$B$3999&lt;=aug!R$3)*(lentry!$C$3:$C$3999&gt;=aug!R$3)),lentry!$D$3:$D$3999),IF(WEEKDAY(R$3,1)=1,"WO","P"))</f>
        <v>P</v>
      </c>
      <c r="S46" s="4" t="str">
        <f>IFERROR(LOOKUP(2,1/((lentry!$A$3:$A$3999=aug!$A46)*(lentry!$B$3:$B$3999&lt;=aug!S$3)*(lentry!$C$3:$C$3999&gt;=aug!S$3)),lentry!$D$3:$D$3999),IF(WEEKDAY(S$3,1)=1,"WO","P"))</f>
        <v>P</v>
      </c>
      <c r="T46" s="4" t="s">
        <v>350</v>
      </c>
      <c r="U46" s="4" t="s">
        <v>342</v>
      </c>
      <c r="V46" s="4" t="str">
        <f>IFERROR(LOOKUP(2,1/((lentry!$A$3:$A$3999=aug!$A46)*(lentry!$B$3:$B$3999&lt;=aug!V$3)*(lentry!$C$3:$C$3999&gt;=aug!V$3)),lentry!$D$3:$D$3999),IF(WEEKDAY(V$3,1)=1,"WO","P"))</f>
        <v>P</v>
      </c>
      <c r="W46" s="4" t="str">
        <f>IFERROR(LOOKUP(2,1/((lentry!$A$3:$A$3999=aug!$A46)*(lentry!$B$3:$B$3999&lt;=aug!W$3)*(lentry!$C$3:$C$3999&gt;=aug!W$3)),lentry!$D$3:$D$3999),IF(WEEKDAY(W$3,1)=1,"WO","P"))</f>
        <v>P</v>
      </c>
      <c r="X46" s="4" t="str">
        <f>IFERROR(LOOKUP(2,1/((lentry!$A$3:$A$3999=aug!$A46)*(lentry!$B$3:$B$3999&lt;=aug!X$3)*(lentry!$C$3:$C$3999&gt;=aug!X$3)),lentry!$D$3:$D$3999),IF(WEEKDAY(X$3,1)=1,"WO","P"))</f>
        <v>P</v>
      </c>
      <c r="Y46" s="4" t="s">
        <v>539</v>
      </c>
      <c r="Z46" s="4" t="str">
        <f>IFERROR(LOOKUP(2,1/((lentry!$A$3:$A$3999=aug!$A46)*(lentry!$B$3:$B$3999&lt;=aug!Z$3)*(lentry!$C$3:$C$3999&gt;=aug!Z$3)),lentry!$D$3:$D$3999),IF(WEEKDAY(Z$3,1)=1,"WO","P"))</f>
        <v>P</v>
      </c>
      <c r="AA46" s="4" t="str">
        <f>IFERROR(LOOKUP(2,1/((lentry!$A$3:$A$3999=aug!$A46)*(lentry!$B$3:$B$3999&lt;=aug!AA$3)*(lentry!$C$3:$C$3999&gt;=aug!AA$3)),lentry!$D$3:$D$3999),IF(WEEKDAY(AA$3,1)=1,"WO","P"))</f>
        <v>P</v>
      </c>
      <c r="AB46" s="4" t="s">
        <v>342</v>
      </c>
      <c r="AC46" s="4" t="str">
        <f>IFERROR(LOOKUP(2,1/((lentry!$A$3:$A$3999=aug!$A46)*(lentry!$B$3:$B$3999&lt;=aug!AC$3)*(lentry!$C$3:$C$3999&gt;=aug!AC$3)),lentry!$D$3:$D$3999),IF(WEEKDAY(AC$3,1)=1,"WO","P"))</f>
        <v>P</v>
      </c>
      <c r="AD46" s="4" t="str">
        <f>IFERROR(LOOKUP(2,1/((lentry!$A$3:$A$3999=aug!$A46)*(lentry!$B$3:$B$3999&lt;=aug!AD$3)*(lentry!$C$3:$C$3999&gt;=aug!AD$3)),lentry!$D$3:$D$3999),IF(WEEKDAY(AD$3,1)=1,"WO","P"))</f>
        <v>P</v>
      </c>
      <c r="AE46" s="4" t="str">
        <f>IFERROR(LOOKUP(2,1/((lentry!$A$3:$A$3999=aug!$A46)*(lentry!$B$3:$B$3999&lt;=aug!AE$3)*(lentry!$C$3:$C$3999&gt;=aug!AE$3)),lentry!$D$3:$D$3999),IF(WEEKDAY(AE$3,1)=1,"WO","P"))</f>
        <v>P</v>
      </c>
      <c r="AF46" s="4" t="str">
        <f>IFERROR(LOOKUP(2,1/((lentry!$A$3:$A$3999=aug!$A46)*(lentry!$B$3:$B$3999&lt;=aug!AF$3)*(lentry!$C$3:$C$3999&gt;=aug!AF$3)),lentry!$D$3:$D$3999),IF(WEEKDAY(AF$3,1)=1,"WO","P"))</f>
        <v>P</v>
      </c>
      <c r="AG46" s="4" t="str">
        <f>IFERROR(LOOKUP(2,1/((lentry!$A$3:$A$3999=aug!$A46)*(lentry!$B$3:$B$3999&lt;=aug!AG$3)*(lentry!$C$3:$C$3999&gt;=aug!AG$3)),lentry!$D$3:$D$3999),IF(WEEKDAY(AG$3,1)=1,"WO","P"))</f>
        <v>P</v>
      </c>
      <c r="AH46" s="4" t="str">
        <f>IFERROR(LOOKUP(2,1/((lentry!$A$3:$A$3999=aug!$A46)*(lentry!$B$3:$B$3999&lt;=aug!AH$3)*(lentry!$C$3:$C$3999&gt;=aug!AH$3)),lentry!$D$3:$D$3999),IF(WEEKDAY(AH$3,1)=1,"WO","P"))</f>
        <v>P</v>
      </c>
      <c r="AI46" s="4" t="s">
        <v>342</v>
      </c>
      <c r="AJ46" s="4" t="str">
        <f>IFERROR(LOOKUP(2,1/((lentry!$A$3:$A$3999=aug!$A46)*(lentry!$B$3:$B$3999&lt;=aug!AJ$3)*(lentry!$C$3:$C$3999&gt;=aug!AJ$3)),lentry!$D$3:$D$3999),IF(WEEKDAY(AJ$3,1)=1,"WO","P"))</f>
        <v>P</v>
      </c>
      <c r="AK46" s="4">
        <f>COUNTIF(aug!$F46:$AJ46,"WO")</f>
        <v>5</v>
      </c>
      <c r="AL46" s="4">
        <f>COUNTIF(aug!$F46:$AJ46,"H")</f>
        <v>1</v>
      </c>
      <c r="AM46" s="4">
        <f>COUNTIF(aug!$F46:$AJ46,"pl")</f>
        <v>0</v>
      </c>
      <c r="AN46" s="4">
        <f>COUNTIF(aug!$F46:$AJ46,"LWP")</f>
        <v>0</v>
      </c>
      <c r="AO46" s="4">
        <f>COUNTIF(aug!$F46:$AJ46,"HD")</f>
        <v>0</v>
      </c>
      <c r="AP46" s="4">
        <f>COUNTIF(aug!$F46:$AJ46,"SL")</f>
        <v>0</v>
      </c>
      <c r="AQ46" s="4">
        <f>COUNTIF(aug!$F46:$AJ46,"CL")</f>
        <v>0</v>
      </c>
      <c r="AR46" s="4">
        <f>COUNTIF(aug!$F46:$AJ46,"A")</f>
        <v>1</v>
      </c>
      <c r="AS46" s="4">
        <f>COUNTIF(aug!$F46:$AJ46,"P")</f>
        <v>24</v>
      </c>
      <c r="AT46" s="4">
        <f t="shared" si="2"/>
        <v>31</v>
      </c>
      <c r="AU46" s="4">
        <f t="shared" si="3"/>
        <v>30</v>
      </c>
    </row>
    <row r="47" spans="1:47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IFERROR(LOOKUP(2,1/((lentry!$A$3:$A$3999=aug!$A47)*(lentry!$B$3:$B$3999&lt;=aug!F$3)*(lentry!$C$3:$C$3999&gt;=aug!F$3)),lentry!$D$3:$D$3999),IF(WEEKDAY(F$3,1)=1,"WO","P"))</f>
        <v>P</v>
      </c>
      <c r="G47" s="4" t="s">
        <v>342</v>
      </c>
      <c r="H47" s="4" t="str">
        <f>IFERROR(LOOKUP(2,1/((lentry!$A$3:$A$3999=aug!$A47)*(lentry!$B$3:$B$3999&lt;=aug!H$3)*(lentry!$C$3:$C$3999&gt;=aug!H$3)),lentry!$D$3:$D$3999),IF(WEEKDAY(H$3,1)=1,"WO","P"))</f>
        <v>P</v>
      </c>
      <c r="I47" s="4" t="str">
        <f>IFERROR(LOOKUP(2,1/((lentry!$A$3:$A$3999=aug!$A47)*(lentry!$B$3:$B$3999&lt;=aug!I$3)*(lentry!$C$3:$C$3999&gt;=aug!I$3)),lentry!$D$3:$D$3999),IF(WEEKDAY(I$3,1)=1,"WO","P"))</f>
        <v>P</v>
      </c>
      <c r="J47" s="4" t="str">
        <f>IFERROR(LOOKUP(2,1/((lentry!$A$3:$A$3999=aug!$A47)*(lentry!$B$3:$B$3999&lt;=aug!J$3)*(lentry!$C$3:$C$3999&gt;=aug!J$3)),lentry!$D$3:$D$3999),IF(WEEKDAY(J$3,1)=1,"WO","P"))</f>
        <v>P</v>
      </c>
      <c r="K47" s="4" t="str">
        <f>IFERROR(LOOKUP(2,1/((lentry!$A$3:$A$3999=aug!$A47)*(lentry!$B$3:$B$3999&lt;=aug!K$3)*(lentry!$C$3:$C$3999&gt;=aug!K$3)),lentry!$D$3:$D$3999),IF(WEEKDAY(K$3,1)=1,"WO","P"))</f>
        <v>P</v>
      </c>
      <c r="L47" s="4" t="str">
        <f>IFERROR(LOOKUP(2,1/((lentry!$A$3:$A$3999=aug!$A47)*(lentry!$B$3:$B$3999&lt;=aug!L$3)*(lentry!$C$3:$C$3999&gt;=aug!L$3)),lentry!$D$3:$D$3999),IF(WEEKDAY(L$3,1)=1,"WO","P"))</f>
        <v>P</v>
      </c>
      <c r="M47" s="4" t="str">
        <f>IFERROR(LOOKUP(2,1/((lentry!$A$3:$A$3999=aug!$A47)*(lentry!$B$3:$B$3999&lt;=aug!M$3)*(lentry!$C$3:$C$3999&gt;=aug!M$3)),lentry!$D$3:$D$3999),IF(WEEKDAY(M$3,1)=1,"WO","P"))</f>
        <v>P</v>
      </c>
      <c r="N47" s="4" t="s">
        <v>342</v>
      </c>
      <c r="O47" s="4" t="str">
        <f>IFERROR(LOOKUP(2,1/((lentry!$A$3:$A$3999=aug!$A47)*(lentry!$B$3:$B$3999&lt;=aug!O$3)*(lentry!$C$3:$C$3999&gt;=aug!O$3)),lentry!$D$3:$D$3999),IF(WEEKDAY(O$3,1)=1,"WO","P"))</f>
        <v>P</v>
      </c>
      <c r="P47" s="4" t="str">
        <f>IFERROR(LOOKUP(2,1/((lentry!$A$3:$A$3999=aug!$A47)*(lentry!$B$3:$B$3999&lt;=aug!P$3)*(lentry!$C$3:$C$3999&gt;=aug!P$3)),lentry!$D$3:$D$3999),IF(WEEKDAY(P$3,1)=1,"WO","P"))</f>
        <v>P</v>
      </c>
      <c r="Q47" s="4" t="str">
        <f>IFERROR(LOOKUP(2,1/((lentry!$A$3:$A$3999=aug!$A47)*(lentry!$B$3:$B$3999&lt;=aug!Q$3)*(lentry!$C$3:$C$3999&gt;=aug!Q$3)),lentry!$D$3:$D$3999),IF(WEEKDAY(Q$3,1)=1,"WO","P"))</f>
        <v>P</v>
      </c>
      <c r="R47" s="4" t="str">
        <f>IFERROR(LOOKUP(2,1/((lentry!$A$3:$A$3999=aug!$A47)*(lentry!$B$3:$B$3999&lt;=aug!R$3)*(lentry!$C$3:$C$3999&gt;=aug!R$3)),lentry!$D$3:$D$3999),IF(WEEKDAY(R$3,1)=1,"WO","P"))</f>
        <v>P</v>
      </c>
      <c r="S47" s="4" t="str">
        <f>IFERROR(LOOKUP(2,1/((lentry!$A$3:$A$3999=aug!$A47)*(lentry!$B$3:$B$3999&lt;=aug!S$3)*(lentry!$C$3:$C$3999&gt;=aug!S$3)),lentry!$D$3:$D$3999),IF(WEEKDAY(S$3,1)=1,"WO","P"))</f>
        <v>P</v>
      </c>
      <c r="T47" s="4" t="s">
        <v>350</v>
      </c>
      <c r="U47" s="4" t="s">
        <v>342</v>
      </c>
      <c r="V47" s="4" t="str">
        <f>IFERROR(LOOKUP(2,1/((lentry!$A$3:$A$3999=aug!$A47)*(lentry!$B$3:$B$3999&lt;=aug!V$3)*(lentry!$C$3:$C$3999&gt;=aug!V$3)),lentry!$D$3:$D$3999),IF(WEEKDAY(V$3,1)=1,"WO","P"))</f>
        <v>P</v>
      </c>
      <c r="W47" s="4" t="str">
        <f>IFERROR(LOOKUP(2,1/((lentry!$A$3:$A$3999=aug!$A47)*(lentry!$B$3:$B$3999&lt;=aug!W$3)*(lentry!$C$3:$C$3999&gt;=aug!W$3)),lentry!$D$3:$D$3999),IF(WEEKDAY(W$3,1)=1,"WO","P"))</f>
        <v>P</v>
      </c>
      <c r="X47" s="4" t="str">
        <f>IFERROR(LOOKUP(2,1/((lentry!$A$3:$A$3999=aug!$A47)*(lentry!$B$3:$B$3999&lt;=aug!X$3)*(lentry!$C$3:$C$3999&gt;=aug!X$3)),lentry!$D$3:$D$3999),IF(WEEKDAY(X$3,1)=1,"WO","P"))</f>
        <v>P</v>
      </c>
      <c r="Y47" s="4" t="str">
        <f>IFERROR(LOOKUP(2,1/((lentry!$A$3:$A$3999=aug!$A47)*(lentry!$B$3:$B$3999&lt;=aug!Y$3)*(lentry!$C$3:$C$3999&gt;=aug!Y$3)),lentry!$D$3:$D$3999),IF(WEEKDAY(Y$3,1)=1,"WO","P"))</f>
        <v>P</v>
      </c>
      <c r="Z47" s="4" t="str">
        <f>IFERROR(LOOKUP(2,1/((lentry!$A$3:$A$3999=aug!$A47)*(lentry!$B$3:$B$3999&lt;=aug!Z$3)*(lentry!$C$3:$C$3999&gt;=aug!Z$3)),lentry!$D$3:$D$3999),IF(WEEKDAY(Z$3,1)=1,"WO","P"))</f>
        <v>P</v>
      </c>
      <c r="AA47" s="4" t="str">
        <f>IFERROR(LOOKUP(2,1/((lentry!$A$3:$A$3999=aug!$A47)*(lentry!$B$3:$B$3999&lt;=aug!AA$3)*(lentry!$C$3:$C$3999&gt;=aug!AA$3)),lentry!$D$3:$D$3999),IF(WEEKDAY(AA$3,1)=1,"WO","P"))</f>
        <v>P</v>
      </c>
      <c r="AB47" s="4" t="s">
        <v>342</v>
      </c>
      <c r="AC47" s="4" t="str">
        <f>IFERROR(LOOKUP(2,1/((lentry!$A$3:$A$3999=aug!$A47)*(lentry!$B$3:$B$3999&lt;=aug!AC$3)*(lentry!$C$3:$C$3999&gt;=aug!AC$3)),lentry!$D$3:$D$3999),IF(WEEKDAY(AC$3,1)=1,"WO","P"))</f>
        <v>P</v>
      </c>
      <c r="AD47" s="4" t="str">
        <f>IFERROR(LOOKUP(2,1/((lentry!$A$3:$A$3999=aug!$A47)*(lentry!$B$3:$B$3999&lt;=aug!AD$3)*(lentry!$C$3:$C$3999&gt;=aug!AD$3)),lentry!$D$3:$D$3999),IF(WEEKDAY(AD$3,1)=1,"WO","P"))</f>
        <v>P</v>
      </c>
      <c r="AE47" s="4" t="str">
        <f>IFERROR(LOOKUP(2,1/((lentry!$A$3:$A$3999=aug!$A47)*(lentry!$B$3:$B$3999&lt;=aug!AE$3)*(lentry!$C$3:$C$3999&gt;=aug!AE$3)),lentry!$D$3:$D$3999),IF(WEEKDAY(AE$3,1)=1,"WO","P"))</f>
        <v>P</v>
      </c>
      <c r="AF47" s="4" t="str">
        <f>IFERROR(LOOKUP(2,1/((lentry!$A$3:$A$3999=aug!$A47)*(lentry!$B$3:$B$3999&lt;=aug!AF$3)*(lentry!$C$3:$C$3999&gt;=aug!AF$3)),lentry!$D$3:$D$3999),IF(WEEKDAY(AF$3,1)=1,"WO","P"))</f>
        <v>P</v>
      </c>
      <c r="AG47" s="4" t="str">
        <f>IFERROR(LOOKUP(2,1/((lentry!$A$3:$A$3999=aug!$A47)*(lentry!$B$3:$B$3999&lt;=aug!AG$3)*(lentry!$C$3:$C$3999&gt;=aug!AG$3)),lentry!$D$3:$D$3999),IF(WEEKDAY(AG$3,1)=1,"WO","P"))</f>
        <v>P</v>
      </c>
      <c r="AH47" s="4" t="str">
        <f>IFERROR(LOOKUP(2,1/((lentry!$A$3:$A$3999=aug!$A47)*(lentry!$B$3:$B$3999&lt;=aug!AH$3)*(lentry!$C$3:$C$3999&gt;=aug!AH$3)),lentry!$D$3:$D$3999),IF(WEEKDAY(AH$3,1)=1,"WO","P"))</f>
        <v>P</v>
      </c>
      <c r="AI47" s="4" t="s">
        <v>342</v>
      </c>
      <c r="AJ47" s="4" t="str">
        <f>IFERROR(LOOKUP(2,1/((lentry!$A$3:$A$3999=aug!$A47)*(lentry!$B$3:$B$3999&lt;=aug!AJ$3)*(lentry!$C$3:$C$3999&gt;=aug!AJ$3)),lentry!$D$3:$D$3999),IF(WEEKDAY(AJ$3,1)=1,"WO","P"))</f>
        <v>P</v>
      </c>
      <c r="AK47" s="4">
        <f>COUNTIF(aug!$F47:$AJ47,"WO")</f>
        <v>5</v>
      </c>
      <c r="AL47" s="4">
        <f>COUNTIF(aug!$F47:$AJ47,"H")</f>
        <v>1</v>
      </c>
      <c r="AM47" s="4">
        <f>COUNTIF(aug!$F47:$AJ47,"pl")</f>
        <v>0</v>
      </c>
      <c r="AN47" s="4">
        <f>COUNTIF(aug!$F47:$AJ47,"LWP")</f>
        <v>0</v>
      </c>
      <c r="AO47" s="4">
        <f>COUNTIF(aug!$F47:$AJ47,"HD")</f>
        <v>0</v>
      </c>
      <c r="AP47" s="4">
        <f>COUNTIF(aug!$F47:$AJ47,"SL")</f>
        <v>0</v>
      </c>
      <c r="AQ47" s="4">
        <f>COUNTIF(aug!$F47:$AJ47,"CL")</f>
        <v>0</v>
      </c>
      <c r="AR47" s="4">
        <f>COUNTIF(aug!$F47:$AJ47,"A")</f>
        <v>0</v>
      </c>
      <c r="AS47" s="4">
        <f>COUNTIF(aug!$F47:$AJ47,"P")</f>
        <v>25</v>
      </c>
      <c r="AT47" s="4">
        <f t="shared" si="2"/>
        <v>31</v>
      </c>
      <c r="AU47" s="4">
        <f t="shared" si="3"/>
        <v>31</v>
      </c>
    </row>
    <row r="48" spans="1:47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IFERROR(LOOKUP(2,1/((lentry!$A$3:$A$3999=aug!$A48)*(lentry!$B$3:$B$3999&lt;=aug!F$3)*(lentry!$C$3:$C$3999&gt;=aug!F$3)),lentry!$D$3:$D$3999),IF(WEEKDAY(F$3,1)=1,"WO","P"))</f>
        <v>P</v>
      </c>
      <c r="G48" s="4" t="s">
        <v>342</v>
      </c>
      <c r="H48" s="4" t="str">
        <f>IFERROR(LOOKUP(2,1/((lentry!$A$3:$A$3999=aug!$A48)*(lentry!$B$3:$B$3999&lt;=aug!H$3)*(lentry!$C$3:$C$3999&gt;=aug!H$3)),lentry!$D$3:$D$3999),IF(WEEKDAY(H$3,1)=1,"WO","P"))</f>
        <v>P</v>
      </c>
      <c r="I48" s="4" t="str">
        <f>IFERROR(LOOKUP(2,1/((lentry!$A$3:$A$3999=aug!$A48)*(lentry!$B$3:$B$3999&lt;=aug!I$3)*(lentry!$C$3:$C$3999&gt;=aug!I$3)),lentry!$D$3:$D$3999),IF(WEEKDAY(I$3,1)=1,"WO","P"))</f>
        <v>P</v>
      </c>
      <c r="J48" s="4" t="str">
        <f>IFERROR(LOOKUP(2,1/((lentry!$A$3:$A$3999=aug!$A48)*(lentry!$B$3:$B$3999&lt;=aug!J$3)*(lentry!$C$3:$C$3999&gt;=aug!J$3)),lentry!$D$3:$D$3999),IF(WEEKDAY(J$3,1)=1,"WO","P"))</f>
        <v>P</v>
      </c>
      <c r="K48" s="4" t="str">
        <f>IFERROR(LOOKUP(2,1/((lentry!$A$3:$A$3999=aug!$A48)*(lentry!$B$3:$B$3999&lt;=aug!K$3)*(lentry!$C$3:$C$3999&gt;=aug!K$3)),lentry!$D$3:$D$3999),IF(WEEKDAY(K$3,1)=1,"WO","P"))</f>
        <v>P</v>
      </c>
      <c r="L48" s="4" t="str">
        <f>IFERROR(LOOKUP(2,1/((lentry!$A$3:$A$3999=aug!$A48)*(lentry!$B$3:$B$3999&lt;=aug!L$3)*(lentry!$C$3:$C$3999&gt;=aug!L$3)),lentry!$D$3:$D$3999),IF(WEEKDAY(L$3,1)=1,"WO","P"))</f>
        <v>P</v>
      </c>
      <c r="M48" s="4" t="str">
        <f>IFERROR(LOOKUP(2,1/((lentry!$A$3:$A$3999=aug!$A48)*(lentry!$B$3:$B$3999&lt;=aug!M$3)*(lentry!$C$3:$C$3999&gt;=aug!M$3)),lentry!$D$3:$D$3999),IF(WEEKDAY(M$3,1)=1,"WO","P"))</f>
        <v>P</v>
      </c>
      <c r="N48" s="4" t="s">
        <v>342</v>
      </c>
      <c r="O48" s="4" t="str">
        <f>IFERROR(LOOKUP(2,1/((lentry!$A$3:$A$3999=aug!$A48)*(lentry!$B$3:$B$3999&lt;=aug!O$3)*(lentry!$C$3:$C$3999&gt;=aug!O$3)),lentry!$D$3:$D$3999),IF(WEEKDAY(O$3,1)=1,"WO","P"))</f>
        <v>P</v>
      </c>
      <c r="P48" s="4" t="s">
        <v>539</v>
      </c>
      <c r="Q48" s="4" t="str">
        <f>IFERROR(LOOKUP(2,1/((lentry!$A$3:$A$3999=aug!$A48)*(lentry!$B$3:$B$3999&lt;=aug!Q$3)*(lentry!$C$3:$C$3999&gt;=aug!Q$3)),lentry!$D$3:$D$3999),IF(WEEKDAY(Q$3,1)=1,"WO","P"))</f>
        <v>P</v>
      </c>
      <c r="R48" s="4" t="str">
        <f>IFERROR(LOOKUP(2,1/((lentry!$A$3:$A$3999=aug!$A48)*(lentry!$B$3:$B$3999&lt;=aug!R$3)*(lentry!$C$3:$C$3999&gt;=aug!R$3)),lentry!$D$3:$D$3999),IF(WEEKDAY(R$3,1)=1,"WO","P"))</f>
        <v>P</v>
      </c>
      <c r="S48" s="4" t="str">
        <f>IFERROR(LOOKUP(2,1/((lentry!$A$3:$A$3999=aug!$A48)*(lentry!$B$3:$B$3999&lt;=aug!S$3)*(lentry!$C$3:$C$3999&gt;=aug!S$3)),lentry!$D$3:$D$3999),IF(WEEKDAY(S$3,1)=1,"WO","P"))</f>
        <v>P</v>
      </c>
      <c r="T48" s="4" t="s">
        <v>350</v>
      </c>
      <c r="U48" s="4" t="s">
        <v>342</v>
      </c>
      <c r="V48" s="4" t="str">
        <f>IFERROR(LOOKUP(2,1/((lentry!$A$3:$A$3999=aug!$A48)*(lentry!$B$3:$B$3999&lt;=aug!V$3)*(lentry!$C$3:$C$3999&gt;=aug!V$3)),lentry!$D$3:$D$3999),IF(WEEKDAY(V$3,1)=1,"WO","P"))</f>
        <v>P</v>
      </c>
      <c r="W48" s="4" t="str">
        <f>IFERROR(LOOKUP(2,1/((lentry!$A$3:$A$3999=aug!$A48)*(lentry!$B$3:$B$3999&lt;=aug!W$3)*(lentry!$C$3:$C$3999&gt;=aug!W$3)),lentry!$D$3:$D$3999),IF(WEEKDAY(W$3,1)=1,"WO","P"))</f>
        <v>P</v>
      </c>
      <c r="X48" s="4" t="str">
        <f>IFERROR(LOOKUP(2,1/((lentry!$A$3:$A$3999=aug!$A48)*(lentry!$B$3:$B$3999&lt;=aug!X$3)*(lentry!$C$3:$C$3999&gt;=aug!X$3)),lentry!$D$3:$D$3999),IF(WEEKDAY(X$3,1)=1,"WO","P"))</f>
        <v>P</v>
      </c>
      <c r="Y48" s="4" t="str">
        <f>IFERROR(LOOKUP(2,1/((lentry!$A$3:$A$3999=aug!$A48)*(lentry!$B$3:$B$3999&lt;=aug!Y$3)*(lentry!$C$3:$C$3999&gt;=aug!Y$3)),lentry!$D$3:$D$3999),IF(WEEKDAY(Y$3,1)=1,"WO","P"))</f>
        <v>P</v>
      </c>
      <c r="Z48" s="4" t="str">
        <f>IFERROR(LOOKUP(2,1/((lentry!$A$3:$A$3999=aug!$A48)*(lentry!$B$3:$B$3999&lt;=aug!Z$3)*(lentry!$C$3:$C$3999&gt;=aug!Z$3)),lentry!$D$3:$D$3999),IF(WEEKDAY(Z$3,1)=1,"WO","P"))</f>
        <v>P</v>
      </c>
      <c r="AA48" s="4" t="str">
        <f>IFERROR(LOOKUP(2,1/((lentry!$A$3:$A$3999=aug!$A48)*(lentry!$B$3:$B$3999&lt;=aug!AA$3)*(lentry!$C$3:$C$3999&gt;=aug!AA$3)),lentry!$D$3:$D$3999),IF(WEEKDAY(AA$3,1)=1,"WO","P"))</f>
        <v>P</v>
      </c>
      <c r="AB48" s="4" t="s">
        <v>342</v>
      </c>
      <c r="AC48" s="4" t="str">
        <f>IFERROR(LOOKUP(2,1/((lentry!$A$3:$A$3999=aug!$A48)*(lentry!$B$3:$B$3999&lt;=aug!AC$3)*(lentry!$C$3:$C$3999&gt;=aug!AC$3)),lentry!$D$3:$D$3999),IF(WEEKDAY(AC$3,1)=1,"WO","P"))</f>
        <v>P</v>
      </c>
      <c r="AD48" s="4" t="str">
        <f>IFERROR(LOOKUP(2,1/((lentry!$A$3:$A$3999=aug!$A48)*(lentry!$B$3:$B$3999&lt;=aug!AD$3)*(lentry!$C$3:$C$3999&gt;=aug!AD$3)),lentry!$D$3:$D$3999),IF(WEEKDAY(AD$3,1)=1,"WO","P"))</f>
        <v>P</v>
      </c>
      <c r="AE48" s="4" t="str">
        <f>IFERROR(LOOKUP(2,1/((lentry!$A$3:$A$3999=aug!$A48)*(lentry!$B$3:$B$3999&lt;=aug!AE$3)*(lentry!$C$3:$C$3999&gt;=aug!AE$3)),lentry!$D$3:$D$3999),IF(WEEKDAY(AE$3,1)=1,"WO","P"))</f>
        <v>P</v>
      </c>
      <c r="AF48" s="4" t="str">
        <f>IFERROR(LOOKUP(2,1/((lentry!$A$3:$A$3999=aug!$A48)*(lentry!$B$3:$B$3999&lt;=aug!AF$3)*(lentry!$C$3:$C$3999&gt;=aug!AF$3)),lentry!$D$3:$D$3999),IF(WEEKDAY(AF$3,1)=1,"WO","P"))</f>
        <v>P</v>
      </c>
      <c r="AG48" s="4" t="str">
        <f>IFERROR(LOOKUP(2,1/((lentry!$A$3:$A$3999=aug!$A48)*(lentry!$B$3:$B$3999&lt;=aug!AG$3)*(lentry!$C$3:$C$3999&gt;=aug!AG$3)),lentry!$D$3:$D$3999),IF(WEEKDAY(AG$3,1)=1,"WO","P"))</f>
        <v>P</v>
      </c>
      <c r="AH48" s="4" t="str">
        <f>IFERROR(LOOKUP(2,1/((lentry!$A$3:$A$3999=aug!$A48)*(lentry!$B$3:$B$3999&lt;=aug!AH$3)*(lentry!$C$3:$C$3999&gt;=aug!AH$3)),lentry!$D$3:$D$3999),IF(WEEKDAY(AH$3,1)=1,"WO","P"))</f>
        <v>P</v>
      </c>
      <c r="AI48" s="4" t="s">
        <v>342</v>
      </c>
      <c r="AJ48" s="4" t="str">
        <f>IFERROR(LOOKUP(2,1/((lentry!$A$3:$A$3999=aug!$A48)*(lentry!$B$3:$B$3999&lt;=aug!AJ$3)*(lentry!$C$3:$C$3999&gt;=aug!AJ$3)),lentry!$D$3:$D$3999),IF(WEEKDAY(AJ$3,1)=1,"WO","P"))</f>
        <v>P</v>
      </c>
      <c r="AK48" s="4">
        <f>COUNTIF(aug!$F48:$AJ48,"WO")</f>
        <v>5</v>
      </c>
      <c r="AL48" s="4">
        <f>COUNTIF(aug!$F48:$AJ48,"H")</f>
        <v>1</v>
      </c>
      <c r="AM48" s="4">
        <f>COUNTIF(aug!$F48:$AJ48,"pl")</f>
        <v>0</v>
      </c>
      <c r="AN48" s="4">
        <f>COUNTIF(aug!$F48:$AJ48,"LWP")</f>
        <v>0</v>
      </c>
      <c r="AO48" s="4">
        <f>COUNTIF(aug!$F48:$AJ48,"HD")</f>
        <v>0</v>
      </c>
      <c r="AP48" s="4">
        <f>COUNTIF(aug!$F48:$AJ48,"SL")</f>
        <v>0</v>
      </c>
      <c r="AQ48" s="4">
        <f>COUNTIF(aug!$F48:$AJ48,"CL")</f>
        <v>0</v>
      </c>
      <c r="AR48" s="4">
        <f>COUNTIF(aug!$F48:$AJ48,"A")</f>
        <v>1</v>
      </c>
      <c r="AS48" s="4">
        <f>COUNTIF(aug!$F48:$AJ48,"P")</f>
        <v>24</v>
      </c>
      <c r="AT48" s="4">
        <f t="shared" si="2"/>
        <v>31</v>
      </c>
      <c r="AU48" s="4">
        <f t="shared" si="3"/>
        <v>30</v>
      </c>
    </row>
    <row r="49" spans="1:47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IFERROR(LOOKUP(2,1/((lentry!$A$3:$A$3999=aug!$A49)*(lentry!$B$3:$B$3999&lt;=aug!F$3)*(lentry!$C$3:$C$3999&gt;=aug!F$3)),lentry!$D$3:$D$3999),IF(WEEKDAY(F$3,1)=1,"WO","P"))</f>
        <v>P</v>
      </c>
      <c r="G49" s="4" t="s">
        <v>342</v>
      </c>
      <c r="H49" s="4" t="str">
        <f>IFERROR(LOOKUP(2,1/((lentry!$A$3:$A$3999=aug!$A49)*(lentry!$B$3:$B$3999&lt;=aug!H$3)*(lentry!$C$3:$C$3999&gt;=aug!H$3)),lentry!$D$3:$D$3999),IF(WEEKDAY(H$3,1)=1,"WO","P"))</f>
        <v>P</v>
      </c>
      <c r="I49" s="4" t="str">
        <f>IFERROR(LOOKUP(2,1/((lentry!$A$3:$A$3999=aug!$A49)*(lentry!$B$3:$B$3999&lt;=aug!I$3)*(lentry!$C$3:$C$3999&gt;=aug!I$3)),lentry!$D$3:$D$3999),IF(WEEKDAY(I$3,1)=1,"WO","P"))</f>
        <v>P</v>
      </c>
      <c r="J49" s="4" t="str">
        <f>IFERROR(LOOKUP(2,1/((lentry!$A$3:$A$3999=aug!$A49)*(lentry!$B$3:$B$3999&lt;=aug!J$3)*(lentry!$C$3:$C$3999&gt;=aug!J$3)),lentry!$D$3:$D$3999),IF(WEEKDAY(J$3,1)=1,"WO","P"))</f>
        <v>P</v>
      </c>
      <c r="K49" s="4" t="str">
        <f>IFERROR(LOOKUP(2,1/((lentry!$A$3:$A$3999=aug!$A49)*(lentry!$B$3:$B$3999&lt;=aug!K$3)*(lentry!$C$3:$C$3999&gt;=aug!K$3)),lentry!$D$3:$D$3999),IF(WEEKDAY(K$3,1)=1,"WO","P"))</f>
        <v>P</v>
      </c>
      <c r="L49" s="4" t="str">
        <f>IFERROR(LOOKUP(2,1/((lentry!$A$3:$A$3999=aug!$A49)*(lentry!$B$3:$B$3999&lt;=aug!L$3)*(lentry!$C$3:$C$3999&gt;=aug!L$3)),lentry!$D$3:$D$3999),IF(WEEKDAY(L$3,1)=1,"WO","P"))</f>
        <v>P</v>
      </c>
      <c r="M49" s="4" t="str">
        <f>IFERROR(LOOKUP(2,1/((lentry!$A$3:$A$3999=aug!$A49)*(lentry!$B$3:$B$3999&lt;=aug!M$3)*(lentry!$C$3:$C$3999&gt;=aug!M$3)),lentry!$D$3:$D$3999),IF(WEEKDAY(M$3,1)=1,"WO","P"))</f>
        <v>P</v>
      </c>
      <c r="N49" s="4" t="s">
        <v>342</v>
      </c>
      <c r="O49" s="4" t="str">
        <f>IFERROR(LOOKUP(2,1/((lentry!$A$3:$A$3999=aug!$A49)*(lentry!$B$3:$B$3999&lt;=aug!O$3)*(lentry!$C$3:$C$3999&gt;=aug!O$3)),lentry!$D$3:$D$3999),IF(WEEKDAY(O$3,1)=1,"WO","P"))</f>
        <v>P</v>
      </c>
      <c r="P49" s="4" t="str">
        <f>IFERROR(LOOKUP(2,1/((lentry!$A$3:$A$3999=aug!$A49)*(lentry!$B$3:$B$3999&lt;=aug!P$3)*(lentry!$C$3:$C$3999&gt;=aug!P$3)),lentry!$D$3:$D$3999),IF(WEEKDAY(P$3,1)=1,"WO","P"))</f>
        <v>P</v>
      </c>
      <c r="Q49" s="4" t="str">
        <f>IFERROR(LOOKUP(2,1/((lentry!$A$3:$A$3999=aug!$A49)*(lentry!$B$3:$B$3999&lt;=aug!Q$3)*(lentry!$C$3:$C$3999&gt;=aug!Q$3)),lentry!$D$3:$D$3999),IF(WEEKDAY(Q$3,1)=1,"WO","P"))</f>
        <v>P</v>
      </c>
      <c r="R49" s="4" t="str">
        <f>IFERROR(LOOKUP(2,1/((lentry!$A$3:$A$3999=aug!$A49)*(lentry!$B$3:$B$3999&lt;=aug!R$3)*(lentry!$C$3:$C$3999&gt;=aug!R$3)),lentry!$D$3:$D$3999),IF(WEEKDAY(R$3,1)=1,"WO","P"))</f>
        <v>P</v>
      </c>
      <c r="S49" s="4" t="str">
        <f>IFERROR(LOOKUP(2,1/((lentry!$A$3:$A$3999=aug!$A49)*(lentry!$B$3:$B$3999&lt;=aug!S$3)*(lentry!$C$3:$C$3999&gt;=aug!S$3)),lentry!$D$3:$D$3999),IF(WEEKDAY(S$3,1)=1,"WO","P"))</f>
        <v>P</v>
      </c>
      <c r="T49" s="4" t="s">
        <v>350</v>
      </c>
      <c r="U49" s="4" t="s">
        <v>342</v>
      </c>
      <c r="V49" s="4" t="str">
        <f>IFERROR(LOOKUP(2,1/((lentry!$A$3:$A$3999=aug!$A49)*(lentry!$B$3:$B$3999&lt;=aug!V$3)*(lentry!$C$3:$C$3999&gt;=aug!V$3)),lentry!$D$3:$D$3999),IF(WEEKDAY(V$3,1)=1,"WO","P"))</f>
        <v>P</v>
      </c>
      <c r="W49" s="4" t="str">
        <f>IFERROR(LOOKUP(2,1/((lentry!$A$3:$A$3999=aug!$A49)*(lentry!$B$3:$B$3999&lt;=aug!W$3)*(lentry!$C$3:$C$3999&gt;=aug!W$3)),lentry!$D$3:$D$3999),IF(WEEKDAY(W$3,1)=1,"WO","P"))</f>
        <v>P</v>
      </c>
      <c r="X49" s="4" t="s">
        <v>539</v>
      </c>
      <c r="Y49" s="4" t="str">
        <f>IFERROR(LOOKUP(2,1/((lentry!$A$3:$A$3999=aug!$A49)*(lentry!$B$3:$B$3999&lt;=aug!Y$3)*(lentry!$C$3:$C$3999&gt;=aug!Y$3)),lentry!$D$3:$D$3999),IF(WEEKDAY(Y$3,1)=1,"WO","P"))</f>
        <v>P</v>
      </c>
      <c r="Z49" s="4" t="str">
        <f>IFERROR(LOOKUP(2,1/((lentry!$A$3:$A$3999=aug!$A49)*(lentry!$B$3:$B$3999&lt;=aug!Z$3)*(lentry!$C$3:$C$3999&gt;=aug!Z$3)),lentry!$D$3:$D$3999),IF(WEEKDAY(Z$3,1)=1,"WO","P"))</f>
        <v>PL</v>
      </c>
      <c r="AA49" s="4" t="str">
        <f>IFERROR(LOOKUP(2,1/((lentry!$A$3:$A$3999=aug!$A49)*(lentry!$B$3:$B$3999&lt;=aug!AA$3)*(lentry!$C$3:$C$3999&gt;=aug!AA$3)),lentry!$D$3:$D$3999),IF(WEEKDAY(AA$3,1)=1,"WO","P"))</f>
        <v>P</v>
      </c>
      <c r="AB49" s="4" t="s">
        <v>342</v>
      </c>
      <c r="AC49" s="4" t="str">
        <f>IFERROR(LOOKUP(2,1/((lentry!$A$3:$A$3999=aug!$A49)*(lentry!$B$3:$B$3999&lt;=aug!AC$3)*(lentry!$C$3:$C$3999&gt;=aug!AC$3)),lentry!$D$3:$D$3999),IF(WEEKDAY(AC$3,1)=1,"WO","P"))</f>
        <v>P</v>
      </c>
      <c r="AD49" s="4" t="str">
        <f>IFERROR(LOOKUP(2,1/((lentry!$A$3:$A$3999=aug!$A49)*(lentry!$B$3:$B$3999&lt;=aug!AD$3)*(lentry!$C$3:$C$3999&gt;=aug!AD$3)),lentry!$D$3:$D$3999),IF(WEEKDAY(AD$3,1)=1,"WO","P"))</f>
        <v>P</v>
      </c>
      <c r="AE49" s="4" t="str">
        <f>IFERROR(LOOKUP(2,1/((lentry!$A$3:$A$3999=aug!$A49)*(lentry!$B$3:$B$3999&lt;=aug!AE$3)*(lentry!$C$3:$C$3999&gt;=aug!AE$3)),lentry!$D$3:$D$3999),IF(WEEKDAY(AE$3,1)=1,"WO","P"))</f>
        <v>P</v>
      </c>
      <c r="AF49" s="4" t="str">
        <f>IFERROR(LOOKUP(2,1/((lentry!$A$3:$A$3999=aug!$A49)*(lentry!$B$3:$B$3999&lt;=aug!AF$3)*(lentry!$C$3:$C$3999&gt;=aug!AF$3)),lentry!$D$3:$D$3999),IF(WEEKDAY(AF$3,1)=1,"WO","P"))</f>
        <v>P</v>
      </c>
      <c r="AG49" s="4" t="str">
        <f>IFERROR(LOOKUP(2,1/((lentry!$A$3:$A$3999=aug!$A49)*(lentry!$B$3:$B$3999&lt;=aug!AG$3)*(lentry!$C$3:$C$3999&gt;=aug!AG$3)),lentry!$D$3:$D$3999),IF(WEEKDAY(AG$3,1)=1,"WO","P"))</f>
        <v>P</v>
      </c>
      <c r="AH49" s="4" t="str">
        <f>IFERROR(LOOKUP(2,1/((lentry!$A$3:$A$3999=aug!$A49)*(lentry!$B$3:$B$3999&lt;=aug!AH$3)*(lentry!$C$3:$C$3999&gt;=aug!AH$3)),lentry!$D$3:$D$3999),IF(WEEKDAY(AH$3,1)=1,"WO","P"))</f>
        <v>P</v>
      </c>
      <c r="AI49" s="4" t="s">
        <v>342</v>
      </c>
      <c r="AJ49" s="4" t="str">
        <f>IFERROR(LOOKUP(2,1/((lentry!$A$3:$A$3999=aug!$A49)*(lentry!$B$3:$B$3999&lt;=aug!AJ$3)*(lentry!$C$3:$C$3999&gt;=aug!AJ$3)),lentry!$D$3:$D$3999),IF(WEEKDAY(AJ$3,1)=1,"WO","P"))</f>
        <v>P</v>
      </c>
      <c r="AK49" s="4">
        <f>COUNTIF(aug!$F49:$AJ49,"WO")</f>
        <v>5</v>
      </c>
      <c r="AL49" s="4">
        <f>COUNTIF(aug!$F49:$AJ49,"H")</f>
        <v>1</v>
      </c>
      <c r="AM49" s="4">
        <f>COUNTIF(aug!$F49:$AJ49,"pl")</f>
        <v>1</v>
      </c>
      <c r="AN49" s="4">
        <f>COUNTIF(aug!$F49:$AJ49,"LWP")</f>
        <v>0</v>
      </c>
      <c r="AO49" s="4">
        <f>COUNTIF(aug!$F49:$AJ49,"HD")</f>
        <v>0</v>
      </c>
      <c r="AP49" s="4">
        <f>COUNTIF(aug!$F49:$AJ49,"SL")</f>
        <v>0</v>
      </c>
      <c r="AQ49" s="4">
        <f>COUNTIF(aug!$F49:$AJ49,"CL")</f>
        <v>0</v>
      </c>
      <c r="AR49" s="4">
        <f>COUNTIF(aug!$F49:$AJ49,"A")</f>
        <v>1</v>
      </c>
      <c r="AS49" s="4">
        <f>COUNTIF(aug!$F49:$AJ49,"P")</f>
        <v>23</v>
      </c>
      <c r="AT49" s="4">
        <f t="shared" si="2"/>
        <v>31</v>
      </c>
      <c r="AU49" s="4">
        <f t="shared" si="3"/>
        <v>30</v>
      </c>
    </row>
    <row r="50" spans="1:47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IFERROR(LOOKUP(2,1/((lentry!$A$3:$A$3999=aug!$A50)*(lentry!$B$3:$B$3999&lt;=aug!F$3)*(lentry!$C$3:$C$3999&gt;=aug!F$3)),lentry!$D$3:$D$3999),IF(WEEKDAY(F$3,1)=1,"WO","P"))</f>
        <v>P</v>
      </c>
      <c r="G50" s="4" t="s">
        <v>342</v>
      </c>
      <c r="H50" s="4" t="str">
        <f>IFERROR(LOOKUP(2,1/((lentry!$A$3:$A$3999=aug!$A50)*(lentry!$B$3:$B$3999&lt;=aug!H$3)*(lentry!$C$3:$C$3999&gt;=aug!H$3)),lentry!$D$3:$D$3999),IF(WEEKDAY(H$3,1)=1,"WO","P"))</f>
        <v>P</v>
      </c>
      <c r="I50" s="4" t="str">
        <f>IFERROR(LOOKUP(2,1/((lentry!$A$3:$A$3999=aug!$A50)*(lentry!$B$3:$B$3999&lt;=aug!I$3)*(lentry!$C$3:$C$3999&gt;=aug!I$3)),lentry!$D$3:$D$3999),IF(WEEKDAY(I$3,1)=1,"WO","P"))</f>
        <v>P</v>
      </c>
      <c r="J50" s="4" t="str">
        <f>IFERROR(LOOKUP(2,1/((lentry!$A$3:$A$3999=aug!$A50)*(lentry!$B$3:$B$3999&lt;=aug!J$3)*(lentry!$C$3:$C$3999&gt;=aug!J$3)),lentry!$D$3:$D$3999),IF(WEEKDAY(J$3,1)=1,"WO","P"))</f>
        <v>P</v>
      </c>
      <c r="K50" s="4" t="str">
        <f>IFERROR(LOOKUP(2,1/((lentry!$A$3:$A$3999=aug!$A50)*(lentry!$B$3:$B$3999&lt;=aug!K$3)*(lentry!$C$3:$C$3999&gt;=aug!K$3)),lentry!$D$3:$D$3999),IF(WEEKDAY(K$3,1)=1,"WO","P"))</f>
        <v>P</v>
      </c>
      <c r="L50" s="4" t="str">
        <f>IFERROR(LOOKUP(2,1/((lentry!$A$3:$A$3999=aug!$A50)*(lentry!$B$3:$B$3999&lt;=aug!L$3)*(lentry!$C$3:$C$3999&gt;=aug!L$3)),lentry!$D$3:$D$3999),IF(WEEKDAY(L$3,1)=1,"WO","P"))</f>
        <v>P</v>
      </c>
      <c r="M50" s="4" t="str">
        <f>IFERROR(LOOKUP(2,1/((lentry!$A$3:$A$3999=aug!$A50)*(lentry!$B$3:$B$3999&lt;=aug!M$3)*(lentry!$C$3:$C$3999&gt;=aug!M$3)),lentry!$D$3:$D$3999),IF(WEEKDAY(M$3,1)=1,"WO","P"))</f>
        <v>P</v>
      </c>
      <c r="N50" s="4" t="s">
        <v>342</v>
      </c>
      <c r="O50" s="4" t="str">
        <f>IFERROR(LOOKUP(2,1/((lentry!$A$3:$A$3999=aug!$A50)*(lentry!$B$3:$B$3999&lt;=aug!O$3)*(lentry!$C$3:$C$3999&gt;=aug!O$3)),lentry!$D$3:$D$3999),IF(WEEKDAY(O$3,1)=1,"WO","P"))</f>
        <v>P</v>
      </c>
      <c r="P50" s="4" t="str">
        <f>IFERROR(LOOKUP(2,1/((lentry!$A$3:$A$3999=aug!$A50)*(lentry!$B$3:$B$3999&lt;=aug!P$3)*(lentry!$C$3:$C$3999&gt;=aug!P$3)),lentry!$D$3:$D$3999),IF(WEEKDAY(P$3,1)=1,"WO","P"))</f>
        <v>P</v>
      </c>
      <c r="Q50" s="4" t="str">
        <f>IFERROR(LOOKUP(2,1/((lentry!$A$3:$A$3999=aug!$A50)*(lentry!$B$3:$B$3999&lt;=aug!Q$3)*(lentry!$C$3:$C$3999&gt;=aug!Q$3)),lentry!$D$3:$D$3999),IF(WEEKDAY(Q$3,1)=1,"WO","P"))</f>
        <v>P</v>
      </c>
      <c r="R50" s="4" t="str">
        <f>IFERROR(LOOKUP(2,1/((lentry!$A$3:$A$3999=aug!$A50)*(lentry!$B$3:$B$3999&lt;=aug!R$3)*(lentry!$C$3:$C$3999&gt;=aug!R$3)),lentry!$D$3:$D$3999),IF(WEEKDAY(R$3,1)=1,"WO","P"))</f>
        <v>P</v>
      </c>
      <c r="S50" s="4" t="str">
        <f>IFERROR(LOOKUP(2,1/((lentry!$A$3:$A$3999=aug!$A50)*(lentry!$B$3:$B$3999&lt;=aug!S$3)*(lentry!$C$3:$C$3999&gt;=aug!S$3)),lentry!$D$3:$D$3999),IF(WEEKDAY(S$3,1)=1,"WO","P"))</f>
        <v>P</v>
      </c>
      <c r="T50" s="4" t="s">
        <v>350</v>
      </c>
      <c r="U50" s="4" t="s">
        <v>342</v>
      </c>
      <c r="V50" s="4" t="str">
        <f>IFERROR(LOOKUP(2,1/((lentry!$A$3:$A$3999=aug!$A50)*(lentry!$B$3:$B$3999&lt;=aug!V$3)*(lentry!$C$3:$C$3999&gt;=aug!V$3)),lentry!$D$3:$D$3999),IF(WEEKDAY(V$3,1)=1,"WO","P"))</f>
        <v>P</v>
      </c>
      <c r="W50" s="4" t="str">
        <f>IFERROR(LOOKUP(2,1/((lentry!$A$3:$A$3999=aug!$A50)*(lentry!$B$3:$B$3999&lt;=aug!W$3)*(lentry!$C$3:$C$3999&gt;=aug!W$3)),lentry!$D$3:$D$3999),IF(WEEKDAY(W$3,1)=1,"WO","P"))</f>
        <v>P</v>
      </c>
      <c r="X50" s="4" t="str">
        <f>IFERROR(LOOKUP(2,1/((lentry!$A$3:$A$3999=aug!$A50)*(lentry!$B$3:$B$3999&lt;=aug!X$3)*(lentry!$C$3:$C$3999&gt;=aug!X$3)),lentry!$D$3:$D$3999),IF(WEEKDAY(X$3,1)=1,"WO","P"))</f>
        <v>P</v>
      </c>
      <c r="Y50" s="4" t="str">
        <f>IFERROR(LOOKUP(2,1/((lentry!$A$3:$A$3999=aug!$A50)*(lentry!$B$3:$B$3999&lt;=aug!Y$3)*(lentry!$C$3:$C$3999&gt;=aug!Y$3)),lentry!$D$3:$D$3999),IF(WEEKDAY(Y$3,1)=1,"WO","P"))</f>
        <v>P</v>
      </c>
      <c r="Z50" s="4" t="str">
        <f>IFERROR(LOOKUP(2,1/((lentry!$A$3:$A$3999=aug!$A50)*(lentry!$B$3:$B$3999&lt;=aug!Z$3)*(lentry!$C$3:$C$3999&gt;=aug!Z$3)),lentry!$D$3:$D$3999),IF(WEEKDAY(Z$3,1)=1,"WO","P"))</f>
        <v>P</v>
      </c>
      <c r="AA50" s="4" t="str">
        <f>IFERROR(LOOKUP(2,1/((lentry!$A$3:$A$3999=aug!$A50)*(lentry!$B$3:$B$3999&lt;=aug!AA$3)*(lentry!$C$3:$C$3999&gt;=aug!AA$3)),lentry!$D$3:$D$3999),IF(WEEKDAY(AA$3,1)=1,"WO","P"))</f>
        <v>P</v>
      </c>
      <c r="AB50" s="4" t="s">
        <v>342</v>
      </c>
      <c r="AC50" s="4" t="str">
        <f>IFERROR(LOOKUP(2,1/((lentry!$A$3:$A$3999=aug!$A50)*(lentry!$B$3:$B$3999&lt;=aug!AC$3)*(lentry!$C$3:$C$3999&gt;=aug!AC$3)),lentry!$D$3:$D$3999),IF(WEEKDAY(AC$3,1)=1,"WO","P"))</f>
        <v>P</v>
      </c>
      <c r="AD50" s="4" t="str">
        <f>IFERROR(LOOKUP(2,1/((lentry!$A$3:$A$3999=aug!$A50)*(lentry!$B$3:$B$3999&lt;=aug!AD$3)*(lentry!$C$3:$C$3999&gt;=aug!AD$3)),lentry!$D$3:$D$3999),IF(WEEKDAY(AD$3,1)=1,"WO","P"))</f>
        <v>P</v>
      </c>
      <c r="AE50" s="4" t="str">
        <f>IFERROR(LOOKUP(2,1/((lentry!$A$3:$A$3999=aug!$A50)*(lentry!$B$3:$B$3999&lt;=aug!AE$3)*(lentry!$C$3:$C$3999&gt;=aug!AE$3)),lentry!$D$3:$D$3999),IF(WEEKDAY(AE$3,1)=1,"WO","P"))</f>
        <v>P</v>
      </c>
      <c r="AF50" s="4" t="str">
        <f>IFERROR(LOOKUP(2,1/((lentry!$A$3:$A$3999=aug!$A50)*(lentry!$B$3:$B$3999&lt;=aug!AF$3)*(lentry!$C$3:$C$3999&gt;=aug!AF$3)),lentry!$D$3:$D$3999),IF(WEEKDAY(AF$3,1)=1,"WO","P"))</f>
        <v>P</v>
      </c>
      <c r="AG50" s="4" t="str">
        <f>IFERROR(LOOKUP(2,1/((lentry!$A$3:$A$3999=aug!$A50)*(lentry!$B$3:$B$3999&lt;=aug!AG$3)*(lentry!$C$3:$C$3999&gt;=aug!AG$3)),lentry!$D$3:$D$3999),IF(WEEKDAY(AG$3,1)=1,"WO","P"))</f>
        <v>P</v>
      </c>
      <c r="AH50" s="4" t="str">
        <f>IFERROR(LOOKUP(2,1/((lentry!$A$3:$A$3999=aug!$A50)*(lentry!$B$3:$B$3999&lt;=aug!AH$3)*(lentry!$C$3:$C$3999&gt;=aug!AH$3)),lentry!$D$3:$D$3999),IF(WEEKDAY(AH$3,1)=1,"WO","P"))</f>
        <v>P</v>
      </c>
      <c r="AI50" s="4" t="s">
        <v>342</v>
      </c>
      <c r="AJ50" s="4" t="str">
        <f>IFERROR(LOOKUP(2,1/((lentry!$A$3:$A$3999=aug!$A50)*(lentry!$B$3:$B$3999&lt;=aug!AJ$3)*(lentry!$C$3:$C$3999&gt;=aug!AJ$3)),lentry!$D$3:$D$3999),IF(WEEKDAY(AJ$3,1)=1,"WO","P"))</f>
        <v>P</v>
      </c>
      <c r="AK50" s="4">
        <f>COUNTIF(aug!$F50:$AJ50,"WO")</f>
        <v>5</v>
      </c>
      <c r="AL50" s="4">
        <f>COUNTIF(aug!$F50:$AJ50,"H")</f>
        <v>1</v>
      </c>
      <c r="AM50" s="4">
        <f>COUNTIF(aug!$F50:$AJ50,"pl")</f>
        <v>0</v>
      </c>
      <c r="AN50" s="4">
        <f>COUNTIF(aug!$F50:$AJ50,"LWP")</f>
        <v>0</v>
      </c>
      <c r="AO50" s="4">
        <f>COUNTIF(aug!$F50:$AJ50,"HD")</f>
        <v>0</v>
      </c>
      <c r="AP50" s="4">
        <f>COUNTIF(aug!$F50:$AJ50,"SL")</f>
        <v>0</v>
      </c>
      <c r="AQ50" s="4">
        <f>COUNTIF(aug!$F50:$AJ50,"CL")</f>
        <v>0</v>
      </c>
      <c r="AR50" s="4">
        <f>COUNTIF(aug!$F50:$AJ50,"A")</f>
        <v>0</v>
      </c>
      <c r="AS50" s="4">
        <f>COUNTIF(aug!$F50:$AJ50,"P")</f>
        <v>25</v>
      </c>
      <c r="AT50" s="4">
        <f t="shared" si="2"/>
        <v>31</v>
      </c>
      <c r="AU50" s="4">
        <f t="shared" si="3"/>
        <v>31</v>
      </c>
    </row>
    <row r="51" spans="1:47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IFERROR(LOOKUP(2,1/((lentry!$A$3:$A$3999=aug!$A51)*(lentry!$B$3:$B$3999&lt;=aug!F$3)*(lentry!$C$3:$C$3999&gt;=aug!F$3)),lentry!$D$3:$D$3999),IF(WEEKDAY(F$3,1)=1,"WO","P"))</f>
        <v>P</v>
      </c>
      <c r="G51" s="4" t="s">
        <v>342</v>
      </c>
      <c r="H51" s="4" t="str">
        <f>IFERROR(LOOKUP(2,1/((lentry!$A$3:$A$3999=aug!$A51)*(lentry!$B$3:$B$3999&lt;=aug!H$3)*(lentry!$C$3:$C$3999&gt;=aug!H$3)),lentry!$D$3:$D$3999),IF(WEEKDAY(H$3,1)=1,"WO","P"))</f>
        <v>P</v>
      </c>
      <c r="I51" s="4" t="str">
        <f>IFERROR(LOOKUP(2,1/((lentry!$A$3:$A$3999=aug!$A51)*(lentry!$B$3:$B$3999&lt;=aug!I$3)*(lentry!$C$3:$C$3999&gt;=aug!I$3)),lentry!$D$3:$D$3999),IF(WEEKDAY(I$3,1)=1,"WO","P"))</f>
        <v>P</v>
      </c>
      <c r="J51" s="4" t="str">
        <f>IFERROR(LOOKUP(2,1/((lentry!$A$3:$A$3999=aug!$A51)*(lentry!$B$3:$B$3999&lt;=aug!J$3)*(lentry!$C$3:$C$3999&gt;=aug!J$3)),lentry!$D$3:$D$3999),IF(WEEKDAY(J$3,1)=1,"WO","P"))</f>
        <v>P</v>
      </c>
      <c r="K51" s="4" t="str">
        <f>IFERROR(LOOKUP(2,1/((lentry!$A$3:$A$3999=aug!$A51)*(lentry!$B$3:$B$3999&lt;=aug!K$3)*(lentry!$C$3:$C$3999&gt;=aug!K$3)),lentry!$D$3:$D$3999),IF(WEEKDAY(K$3,1)=1,"WO","P"))</f>
        <v>P</v>
      </c>
      <c r="L51" s="4" t="str">
        <f>IFERROR(LOOKUP(2,1/((lentry!$A$3:$A$3999=aug!$A51)*(lentry!$B$3:$B$3999&lt;=aug!L$3)*(lentry!$C$3:$C$3999&gt;=aug!L$3)),lentry!$D$3:$D$3999),IF(WEEKDAY(L$3,1)=1,"WO","P"))</f>
        <v>P</v>
      </c>
      <c r="M51" s="4" t="str">
        <f>IFERROR(LOOKUP(2,1/((lentry!$A$3:$A$3999=aug!$A51)*(lentry!$B$3:$B$3999&lt;=aug!M$3)*(lentry!$C$3:$C$3999&gt;=aug!M$3)),lentry!$D$3:$D$3999),IF(WEEKDAY(M$3,1)=1,"WO","P"))</f>
        <v>P</v>
      </c>
      <c r="N51" s="4" t="s">
        <v>342</v>
      </c>
      <c r="O51" s="4" t="str">
        <f>IFERROR(LOOKUP(2,1/((lentry!$A$3:$A$3999=aug!$A51)*(lentry!$B$3:$B$3999&lt;=aug!O$3)*(lentry!$C$3:$C$3999&gt;=aug!O$3)),lentry!$D$3:$D$3999),IF(WEEKDAY(O$3,1)=1,"WO","P"))</f>
        <v>P</v>
      </c>
      <c r="P51" s="4" t="str">
        <f>IFERROR(LOOKUP(2,1/((lentry!$A$3:$A$3999=aug!$A51)*(lentry!$B$3:$B$3999&lt;=aug!P$3)*(lentry!$C$3:$C$3999&gt;=aug!P$3)),lentry!$D$3:$D$3999),IF(WEEKDAY(P$3,1)=1,"WO","P"))</f>
        <v>P</v>
      </c>
      <c r="Q51" s="4" t="str">
        <f>IFERROR(LOOKUP(2,1/((lentry!$A$3:$A$3999=aug!$A51)*(lentry!$B$3:$B$3999&lt;=aug!Q$3)*(lentry!$C$3:$C$3999&gt;=aug!Q$3)),lentry!$D$3:$D$3999),IF(WEEKDAY(Q$3,1)=1,"WO","P"))</f>
        <v>P</v>
      </c>
      <c r="R51" s="4" t="str">
        <f>IFERROR(LOOKUP(2,1/((lentry!$A$3:$A$3999=aug!$A51)*(lentry!$B$3:$B$3999&lt;=aug!R$3)*(lentry!$C$3:$C$3999&gt;=aug!R$3)),lentry!$D$3:$D$3999),IF(WEEKDAY(R$3,1)=1,"WO","P"))</f>
        <v>P</v>
      </c>
      <c r="S51" s="4" t="str">
        <f>IFERROR(LOOKUP(2,1/((lentry!$A$3:$A$3999=aug!$A51)*(lentry!$B$3:$B$3999&lt;=aug!S$3)*(lentry!$C$3:$C$3999&gt;=aug!S$3)),lentry!$D$3:$D$3999),IF(WEEKDAY(S$3,1)=1,"WO","P"))</f>
        <v>P</v>
      </c>
      <c r="T51" s="4" t="s">
        <v>350</v>
      </c>
      <c r="U51" s="4" t="s">
        <v>342</v>
      </c>
      <c r="V51" s="4" t="str">
        <f>IFERROR(LOOKUP(2,1/((lentry!$A$3:$A$3999=aug!$A51)*(lentry!$B$3:$B$3999&lt;=aug!V$3)*(lentry!$C$3:$C$3999&gt;=aug!V$3)),lentry!$D$3:$D$3999),IF(WEEKDAY(V$3,1)=1,"WO","P"))</f>
        <v>P</v>
      </c>
      <c r="W51" s="4" t="str">
        <f>IFERROR(LOOKUP(2,1/((lentry!$A$3:$A$3999=aug!$A51)*(lentry!$B$3:$B$3999&lt;=aug!W$3)*(lentry!$C$3:$C$3999&gt;=aug!W$3)),lentry!$D$3:$D$3999),IF(WEEKDAY(W$3,1)=1,"WO","P"))</f>
        <v>P</v>
      </c>
      <c r="X51" s="4" t="str">
        <f>IFERROR(LOOKUP(2,1/((lentry!$A$3:$A$3999=aug!$A51)*(lentry!$B$3:$B$3999&lt;=aug!X$3)*(lentry!$C$3:$C$3999&gt;=aug!X$3)),lentry!$D$3:$D$3999),IF(WEEKDAY(X$3,1)=1,"WO","P"))</f>
        <v>P</v>
      </c>
      <c r="Y51" s="4" t="str">
        <f>IFERROR(LOOKUP(2,1/((lentry!$A$3:$A$3999=aug!$A51)*(lentry!$B$3:$B$3999&lt;=aug!Y$3)*(lentry!$C$3:$C$3999&gt;=aug!Y$3)),lentry!$D$3:$D$3999),IF(WEEKDAY(Y$3,1)=1,"WO","P"))</f>
        <v>P</v>
      </c>
      <c r="Z51" s="4" t="str">
        <f>IFERROR(LOOKUP(2,1/((lentry!$A$3:$A$3999=aug!$A51)*(lentry!$B$3:$B$3999&lt;=aug!Z$3)*(lentry!$C$3:$C$3999&gt;=aug!Z$3)),lentry!$D$3:$D$3999),IF(WEEKDAY(Z$3,1)=1,"WO","P"))</f>
        <v>P</v>
      </c>
      <c r="AA51" s="4" t="str">
        <f>IFERROR(LOOKUP(2,1/((lentry!$A$3:$A$3999=aug!$A51)*(lentry!$B$3:$B$3999&lt;=aug!AA$3)*(lentry!$C$3:$C$3999&gt;=aug!AA$3)),lentry!$D$3:$D$3999),IF(WEEKDAY(AA$3,1)=1,"WO","P"))</f>
        <v>P</v>
      </c>
      <c r="AB51" s="4" t="s">
        <v>342</v>
      </c>
      <c r="AC51" s="4" t="str">
        <f>IFERROR(LOOKUP(2,1/((lentry!$A$3:$A$3999=aug!$A51)*(lentry!$B$3:$B$3999&lt;=aug!AC$3)*(lentry!$C$3:$C$3999&gt;=aug!AC$3)),lentry!$D$3:$D$3999),IF(WEEKDAY(AC$3,1)=1,"WO","P"))</f>
        <v>P</v>
      </c>
      <c r="AD51" s="4" t="str">
        <f>IFERROR(LOOKUP(2,1/((lentry!$A$3:$A$3999=aug!$A51)*(lentry!$B$3:$B$3999&lt;=aug!AD$3)*(lentry!$C$3:$C$3999&gt;=aug!AD$3)),lentry!$D$3:$D$3999),IF(WEEKDAY(AD$3,1)=1,"WO","P"))</f>
        <v>P</v>
      </c>
      <c r="AE51" s="4" t="str">
        <f>IFERROR(LOOKUP(2,1/((lentry!$A$3:$A$3999=aug!$A51)*(lentry!$B$3:$B$3999&lt;=aug!AE$3)*(lentry!$C$3:$C$3999&gt;=aug!AE$3)),lentry!$D$3:$D$3999),IF(WEEKDAY(AE$3,1)=1,"WO","P"))</f>
        <v>P</v>
      </c>
      <c r="AF51" s="4" t="str">
        <f>IFERROR(LOOKUP(2,1/((lentry!$A$3:$A$3999=aug!$A51)*(lentry!$B$3:$B$3999&lt;=aug!AF$3)*(lentry!$C$3:$C$3999&gt;=aug!AF$3)),lentry!$D$3:$D$3999),IF(WEEKDAY(AF$3,1)=1,"WO","P"))</f>
        <v>P</v>
      </c>
      <c r="AG51" s="4" t="str">
        <f>IFERROR(LOOKUP(2,1/((lentry!$A$3:$A$3999=aug!$A51)*(lentry!$B$3:$B$3999&lt;=aug!AG$3)*(lentry!$C$3:$C$3999&gt;=aug!AG$3)),lentry!$D$3:$D$3999),IF(WEEKDAY(AG$3,1)=1,"WO","P"))</f>
        <v>P</v>
      </c>
      <c r="AH51" s="4" t="str">
        <f>IFERROR(LOOKUP(2,1/((lentry!$A$3:$A$3999=aug!$A51)*(lentry!$B$3:$B$3999&lt;=aug!AH$3)*(lentry!$C$3:$C$3999&gt;=aug!AH$3)),lentry!$D$3:$D$3999),IF(WEEKDAY(AH$3,1)=1,"WO","P"))</f>
        <v>P</v>
      </c>
      <c r="AI51" s="4" t="s">
        <v>342</v>
      </c>
      <c r="AJ51" s="4" t="str">
        <f>IFERROR(LOOKUP(2,1/((lentry!$A$3:$A$3999=aug!$A51)*(lentry!$B$3:$B$3999&lt;=aug!AJ$3)*(lentry!$C$3:$C$3999&gt;=aug!AJ$3)),lentry!$D$3:$D$3999),IF(WEEKDAY(AJ$3,1)=1,"WO","P"))</f>
        <v>P</v>
      </c>
      <c r="AK51" s="4">
        <f>COUNTIF(aug!$F51:$AJ51,"WO")</f>
        <v>5</v>
      </c>
      <c r="AL51" s="4">
        <f>COUNTIF(aug!$F51:$AJ51,"H")</f>
        <v>1</v>
      </c>
      <c r="AM51" s="4">
        <f>COUNTIF(aug!$F51:$AJ51,"pl")</f>
        <v>0</v>
      </c>
      <c r="AN51" s="4">
        <f>COUNTIF(aug!$F51:$AJ51,"LWP")</f>
        <v>0</v>
      </c>
      <c r="AO51" s="4">
        <f>COUNTIF(aug!$F51:$AJ51,"HD")</f>
        <v>0</v>
      </c>
      <c r="AP51" s="4">
        <f>COUNTIF(aug!$F51:$AJ51,"SL")</f>
        <v>0</v>
      </c>
      <c r="AQ51" s="4">
        <f>COUNTIF(aug!$F51:$AJ51,"CL")</f>
        <v>0</v>
      </c>
      <c r="AR51" s="4">
        <f>COUNTIF(aug!$F51:$AJ51,"A")</f>
        <v>0</v>
      </c>
      <c r="AS51" s="4">
        <f>COUNTIF(aug!$F51:$AJ51,"P")</f>
        <v>25</v>
      </c>
      <c r="AT51" s="4">
        <f t="shared" si="2"/>
        <v>31</v>
      </c>
      <c r="AU51" s="4">
        <f t="shared" si="3"/>
        <v>31</v>
      </c>
    </row>
    <row r="52" spans="1:47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IFERROR(LOOKUP(2,1/((lentry!$A$3:$A$3999=aug!$A52)*(lentry!$B$3:$B$3999&lt;=aug!F$3)*(lentry!$C$3:$C$3999&gt;=aug!F$3)),lentry!$D$3:$D$3999),IF(WEEKDAY(F$3,1)=1,"WO","P"))</f>
        <v>P</v>
      </c>
      <c r="G52" s="4" t="s">
        <v>342</v>
      </c>
      <c r="H52" s="4" t="str">
        <f>IFERROR(LOOKUP(2,1/((lentry!$A$3:$A$3999=aug!$A52)*(lentry!$B$3:$B$3999&lt;=aug!H$3)*(lentry!$C$3:$C$3999&gt;=aug!H$3)),lentry!$D$3:$D$3999),IF(WEEKDAY(H$3,1)=1,"WO","P"))</f>
        <v>P</v>
      </c>
      <c r="I52" s="4" t="str">
        <f>IFERROR(LOOKUP(2,1/((lentry!$A$3:$A$3999=aug!$A52)*(lentry!$B$3:$B$3999&lt;=aug!I$3)*(lentry!$C$3:$C$3999&gt;=aug!I$3)),lentry!$D$3:$D$3999),IF(WEEKDAY(I$3,1)=1,"WO","P"))</f>
        <v>P</v>
      </c>
      <c r="J52" s="4" t="str">
        <f>IFERROR(LOOKUP(2,1/((lentry!$A$3:$A$3999=aug!$A52)*(lentry!$B$3:$B$3999&lt;=aug!J$3)*(lentry!$C$3:$C$3999&gt;=aug!J$3)),lentry!$D$3:$D$3999),IF(WEEKDAY(J$3,1)=1,"WO","P"))</f>
        <v>P</v>
      </c>
      <c r="K52" s="4" t="str">
        <f>IFERROR(LOOKUP(2,1/((lentry!$A$3:$A$3999=aug!$A52)*(lentry!$B$3:$B$3999&lt;=aug!K$3)*(lentry!$C$3:$C$3999&gt;=aug!K$3)),lentry!$D$3:$D$3999),IF(WEEKDAY(K$3,1)=1,"WO","P"))</f>
        <v>P</v>
      </c>
      <c r="L52" s="4" t="str">
        <f>IFERROR(LOOKUP(2,1/((lentry!$A$3:$A$3999=aug!$A52)*(lentry!$B$3:$B$3999&lt;=aug!L$3)*(lentry!$C$3:$C$3999&gt;=aug!L$3)),lentry!$D$3:$D$3999),IF(WEEKDAY(L$3,1)=1,"WO","P"))</f>
        <v>P</v>
      </c>
      <c r="M52" s="4" t="str">
        <f>IFERROR(LOOKUP(2,1/((lentry!$A$3:$A$3999=aug!$A52)*(lentry!$B$3:$B$3999&lt;=aug!M$3)*(lentry!$C$3:$C$3999&gt;=aug!M$3)),lentry!$D$3:$D$3999),IF(WEEKDAY(M$3,1)=1,"WO","P"))</f>
        <v>P</v>
      </c>
      <c r="N52" s="4" t="s">
        <v>342</v>
      </c>
      <c r="O52" s="4" t="str">
        <f>IFERROR(LOOKUP(2,1/((lentry!$A$3:$A$3999=aug!$A52)*(lentry!$B$3:$B$3999&lt;=aug!O$3)*(lentry!$C$3:$C$3999&gt;=aug!O$3)),lentry!$D$3:$D$3999),IF(WEEKDAY(O$3,1)=1,"WO","P"))</f>
        <v>P</v>
      </c>
      <c r="P52" s="4" t="str">
        <f>IFERROR(LOOKUP(2,1/((lentry!$A$3:$A$3999=aug!$A52)*(lentry!$B$3:$B$3999&lt;=aug!P$3)*(lentry!$C$3:$C$3999&gt;=aug!P$3)),lentry!$D$3:$D$3999),IF(WEEKDAY(P$3,1)=1,"WO","P"))</f>
        <v>P</v>
      </c>
      <c r="Q52" s="4" t="str">
        <f>IFERROR(LOOKUP(2,1/((lentry!$A$3:$A$3999=aug!$A52)*(lentry!$B$3:$B$3999&lt;=aug!Q$3)*(lentry!$C$3:$C$3999&gt;=aug!Q$3)),lentry!$D$3:$D$3999),IF(WEEKDAY(Q$3,1)=1,"WO","P"))</f>
        <v>P</v>
      </c>
      <c r="R52" s="4" t="str">
        <f>IFERROR(LOOKUP(2,1/((lentry!$A$3:$A$3999=aug!$A52)*(lentry!$B$3:$B$3999&lt;=aug!R$3)*(lentry!$C$3:$C$3999&gt;=aug!R$3)),lentry!$D$3:$D$3999),IF(WEEKDAY(R$3,1)=1,"WO","P"))</f>
        <v>P</v>
      </c>
      <c r="S52" s="4" t="str">
        <f>IFERROR(LOOKUP(2,1/((lentry!$A$3:$A$3999=aug!$A52)*(lentry!$B$3:$B$3999&lt;=aug!S$3)*(lentry!$C$3:$C$3999&gt;=aug!S$3)),lentry!$D$3:$D$3999),IF(WEEKDAY(S$3,1)=1,"WO","P"))</f>
        <v>P</v>
      </c>
      <c r="T52" s="4" t="s">
        <v>350</v>
      </c>
      <c r="U52" s="4" t="s">
        <v>342</v>
      </c>
      <c r="V52" s="4" t="str">
        <f>IFERROR(LOOKUP(2,1/((lentry!$A$3:$A$3999=aug!$A52)*(lentry!$B$3:$B$3999&lt;=aug!V$3)*(lentry!$C$3:$C$3999&gt;=aug!V$3)),lentry!$D$3:$D$3999),IF(WEEKDAY(V$3,1)=1,"WO","P"))</f>
        <v>CL</v>
      </c>
      <c r="W52" s="4" t="str">
        <f>IFERROR(LOOKUP(2,1/((lentry!$A$3:$A$3999=aug!$A52)*(lentry!$B$3:$B$3999&lt;=aug!W$3)*(lentry!$C$3:$C$3999&gt;=aug!W$3)),lentry!$D$3:$D$3999),IF(WEEKDAY(W$3,1)=1,"WO","P"))</f>
        <v>CL</v>
      </c>
      <c r="X52" s="4" t="str">
        <f>IFERROR(LOOKUP(2,1/((lentry!$A$3:$A$3999=aug!$A52)*(lentry!$B$3:$B$3999&lt;=aug!X$3)*(lentry!$C$3:$C$3999&gt;=aug!X$3)),lentry!$D$3:$D$3999),IF(WEEKDAY(X$3,1)=1,"WO","P"))</f>
        <v>P</v>
      </c>
      <c r="Y52" s="4" t="str">
        <f>IFERROR(LOOKUP(2,1/((lentry!$A$3:$A$3999=aug!$A52)*(lentry!$B$3:$B$3999&lt;=aug!Y$3)*(lentry!$C$3:$C$3999&gt;=aug!Y$3)),lentry!$D$3:$D$3999),IF(WEEKDAY(Y$3,1)=1,"WO","P"))</f>
        <v>P</v>
      </c>
      <c r="Z52" s="4" t="str">
        <f>IFERROR(LOOKUP(2,1/((lentry!$A$3:$A$3999=aug!$A52)*(lentry!$B$3:$B$3999&lt;=aug!Z$3)*(lentry!$C$3:$C$3999&gt;=aug!Z$3)),lentry!$D$3:$D$3999),IF(WEEKDAY(Z$3,1)=1,"WO","P"))</f>
        <v>P</v>
      </c>
      <c r="AA52" s="4" t="str">
        <f>IFERROR(LOOKUP(2,1/((lentry!$A$3:$A$3999=aug!$A52)*(lentry!$B$3:$B$3999&lt;=aug!AA$3)*(lentry!$C$3:$C$3999&gt;=aug!AA$3)),lentry!$D$3:$D$3999),IF(WEEKDAY(AA$3,1)=1,"WO","P"))</f>
        <v>P</v>
      </c>
      <c r="AB52" s="4" t="s">
        <v>342</v>
      </c>
      <c r="AC52" s="4" t="str">
        <f>IFERROR(LOOKUP(2,1/((lentry!$A$3:$A$3999=aug!$A52)*(lentry!$B$3:$B$3999&lt;=aug!AC$3)*(lentry!$C$3:$C$3999&gt;=aug!AC$3)),lentry!$D$3:$D$3999),IF(WEEKDAY(AC$3,1)=1,"WO","P"))</f>
        <v>P</v>
      </c>
      <c r="AD52" s="4" t="str">
        <f>IFERROR(LOOKUP(2,1/((lentry!$A$3:$A$3999=aug!$A52)*(lentry!$B$3:$B$3999&lt;=aug!AD$3)*(lentry!$C$3:$C$3999&gt;=aug!AD$3)),lentry!$D$3:$D$3999),IF(WEEKDAY(AD$3,1)=1,"WO","P"))</f>
        <v>P</v>
      </c>
      <c r="AE52" s="4" t="str">
        <f>IFERROR(LOOKUP(2,1/((lentry!$A$3:$A$3999=aug!$A52)*(lentry!$B$3:$B$3999&lt;=aug!AE$3)*(lentry!$C$3:$C$3999&gt;=aug!AE$3)),lentry!$D$3:$D$3999),IF(WEEKDAY(AE$3,1)=1,"WO","P"))</f>
        <v>P</v>
      </c>
      <c r="AF52" s="4" t="str">
        <f>IFERROR(LOOKUP(2,1/((lentry!$A$3:$A$3999=aug!$A52)*(lentry!$B$3:$B$3999&lt;=aug!AF$3)*(lentry!$C$3:$C$3999&gt;=aug!AF$3)),lentry!$D$3:$D$3999),IF(WEEKDAY(AF$3,1)=1,"WO","P"))</f>
        <v>P</v>
      </c>
      <c r="AG52" s="4" t="str">
        <f>IFERROR(LOOKUP(2,1/((lentry!$A$3:$A$3999=aug!$A52)*(lentry!$B$3:$B$3999&lt;=aug!AG$3)*(lentry!$C$3:$C$3999&gt;=aug!AG$3)),lentry!$D$3:$D$3999),IF(WEEKDAY(AG$3,1)=1,"WO","P"))</f>
        <v>P</v>
      </c>
      <c r="AH52" s="4" t="str">
        <f>IFERROR(LOOKUP(2,1/((lentry!$A$3:$A$3999=aug!$A52)*(lentry!$B$3:$B$3999&lt;=aug!AH$3)*(lentry!$C$3:$C$3999&gt;=aug!AH$3)),lentry!$D$3:$D$3999),IF(WEEKDAY(AH$3,1)=1,"WO","P"))</f>
        <v>P</v>
      </c>
      <c r="AI52" s="4" t="s">
        <v>342</v>
      </c>
      <c r="AJ52" s="4" t="str">
        <f>IFERROR(LOOKUP(2,1/((lentry!$A$3:$A$3999=aug!$A52)*(lentry!$B$3:$B$3999&lt;=aug!AJ$3)*(lentry!$C$3:$C$3999&gt;=aug!AJ$3)),lentry!$D$3:$D$3999),IF(WEEKDAY(AJ$3,1)=1,"WO","P"))</f>
        <v>P</v>
      </c>
      <c r="AK52" s="4">
        <f>COUNTIF(aug!$F52:$AJ52,"WO")</f>
        <v>5</v>
      </c>
      <c r="AL52" s="4">
        <f>COUNTIF(aug!$F52:$AJ52,"H")</f>
        <v>1</v>
      </c>
      <c r="AM52" s="4">
        <f>COUNTIF(aug!$F52:$AJ52,"pl")</f>
        <v>0</v>
      </c>
      <c r="AN52" s="4">
        <f>COUNTIF(aug!$F52:$AJ52,"LWP")</f>
        <v>0</v>
      </c>
      <c r="AO52" s="4">
        <f>COUNTIF(aug!$F52:$AJ52,"HD")</f>
        <v>0</v>
      </c>
      <c r="AP52" s="4">
        <f>COUNTIF(aug!$F52:$AJ52,"SL")</f>
        <v>0</v>
      </c>
      <c r="AQ52" s="4">
        <f>COUNTIF(aug!$F52:$AJ52,"CL")</f>
        <v>2</v>
      </c>
      <c r="AR52" s="4">
        <f>COUNTIF(aug!$F52:$AJ52,"A")</f>
        <v>0</v>
      </c>
      <c r="AS52" s="4">
        <f>COUNTIF(aug!$F52:$AJ52,"P")</f>
        <v>23</v>
      </c>
      <c r="AT52" s="4">
        <f t="shared" si="2"/>
        <v>31</v>
      </c>
      <c r="AU52" s="4">
        <f t="shared" si="3"/>
        <v>31</v>
      </c>
    </row>
    <row r="53" spans="1:47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IFERROR(LOOKUP(2,1/((lentry!$A$3:$A$3999=aug!$A53)*(lentry!$B$3:$B$3999&lt;=aug!F$3)*(lentry!$C$3:$C$3999&gt;=aug!F$3)),lentry!$D$3:$D$3999),IF(WEEKDAY(F$3,1)=1,"WO","P"))</f>
        <v>P</v>
      </c>
      <c r="G53" s="4" t="s">
        <v>342</v>
      </c>
      <c r="H53" s="4" t="str">
        <f>IFERROR(LOOKUP(2,1/((lentry!$A$3:$A$3999=aug!$A53)*(lentry!$B$3:$B$3999&lt;=aug!H$3)*(lentry!$C$3:$C$3999&gt;=aug!H$3)),lentry!$D$3:$D$3999),IF(WEEKDAY(H$3,1)=1,"WO","P"))</f>
        <v>P</v>
      </c>
      <c r="I53" s="4" t="str">
        <f>IFERROR(LOOKUP(2,1/((lentry!$A$3:$A$3999=aug!$A53)*(lentry!$B$3:$B$3999&lt;=aug!I$3)*(lentry!$C$3:$C$3999&gt;=aug!I$3)),lentry!$D$3:$D$3999),IF(WEEKDAY(I$3,1)=1,"WO","P"))</f>
        <v>P</v>
      </c>
      <c r="J53" s="4" t="str">
        <f>IFERROR(LOOKUP(2,1/((lentry!$A$3:$A$3999=aug!$A53)*(lentry!$B$3:$B$3999&lt;=aug!J$3)*(lentry!$C$3:$C$3999&gt;=aug!J$3)),lentry!$D$3:$D$3999),IF(WEEKDAY(J$3,1)=1,"WO","P"))</f>
        <v>P</v>
      </c>
      <c r="K53" s="4" t="str">
        <f>IFERROR(LOOKUP(2,1/((lentry!$A$3:$A$3999=aug!$A53)*(lentry!$B$3:$B$3999&lt;=aug!K$3)*(lentry!$C$3:$C$3999&gt;=aug!K$3)),lentry!$D$3:$D$3999),IF(WEEKDAY(K$3,1)=1,"WO","P"))</f>
        <v>P</v>
      </c>
      <c r="L53" s="4" t="str">
        <f>IFERROR(LOOKUP(2,1/((lentry!$A$3:$A$3999=aug!$A53)*(lentry!$B$3:$B$3999&lt;=aug!L$3)*(lentry!$C$3:$C$3999&gt;=aug!L$3)),lentry!$D$3:$D$3999),IF(WEEKDAY(L$3,1)=1,"WO","P"))</f>
        <v>P</v>
      </c>
      <c r="M53" s="4" t="str">
        <f>IFERROR(LOOKUP(2,1/((lentry!$A$3:$A$3999=aug!$A53)*(lentry!$B$3:$B$3999&lt;=aug!M$3)*(lentry!$C$3:$C$3999&gt;=aug!M$3)),lentry!$D$3:$D$3999),IF(WEEKDAY(M$3,1)=1,"WO","P"))</f>
        <v>P</v>
      </c>
      <c r="N53" s="4" t="s">
        <v>342</v>
      </c>
      <c r="O53" s="4" t="str">
        <f>IFERROR(LOOKUP(2,1/((lentry!$A$3:$A$3999=aug!$A53)*(lentry!$B$3:$B$3999&lt;=aug!O$3)*(lentry!$C$3:$C$3999&gt;=aug!O$3)),lentry!$D$3:$D$3999),IF(WEEKDAY(O$3,1)=1,"WO","P"))</f>
        <v>P</v>
      </c>
      <c r="P53" s="4" t="str">
        <f>IFERROR(LOOKUP(2,1/((lentry!$A$3:$A$3999=aug!$A53)*(lentry!$B$3:$B$3999&lt;=aug!P$3)*(lentry!$C$3:$C$3999&gt;=aug!P$3)),lentry!$D$3:$D$3999),IF(WEEKDAY(P$3,1)=1,"WO","P"))</f>
        <v>P</v>
      </c>
      <c r="Q53" s="4" t="str">
        <f>IFERROR(LOOKUP(2,1/((lentry!$A$3:$A$3999=aug!$A53)*(lentry!$B$3:$B$3999&lt;=aug!Q$3)*(lentry!$C$3:$C$3999&gt;=aug!Q$3)),lentry!$D$3:$D$3999),IF(WEEKDAY(Q$3,1)=1,"WO","P"))</f>
        <v>P</v>
      </c>
      <c r="R53" s="4" t="str">
        <f>IFERROR(LOOKUP(2,1/((lentry!$A$3:$A$3999=aug!$A53)*(lentry!$B$3:$B$3999&lt;=aug!R$3)*(lentry!$C$3:$C$3999&gt;=aug!R$3)),lentry!$D$3:$D$3999),IF(WEEKDAY(R$3,1)=1,"WO","P"))</f>
        <v>P</v>
      </c>
      <c r="S53" s="4" t="str">
        <f>IFERROR(LOOKUP(2,1/((lentry!$A$3:$A$3999=aug!$A53)*(lentry!$B$3:$B$3999&lt;=aug!S$3)*(lentry!$C$3:$C$3999&gt;=aug!S$3)),lentry!$D$3:$D$3999),IF(WEEKDAY(S$3,1)=1,"WO","P"))</f>
        <v>P</v>
      </c>
      <c r="T53" s="4" t="s">
        <v>350</v>
      </c>
      <c r="U53" s="4" t="s">
        <v>342</v>
      </c>
      <c r="V53" s="4" t="str">
        <f>IFERROR(LOOKUP(2,1/((lentry!$A$3:$A$3999=aug!$A53)*(lentry!$B$3:$B$3999&lt;=aug!V$3)*(lentry!$C$3:$C$3999&gt;=aug!V$3)),lentry!$D$3:$D$3999),IF(WEEKDAY(V$3,1)=1,"WO","P"))</f>
        <v>P</v>
      </c>
      <c r="W53" s="4" t="str">
        <f>IFERROR(LOOKUP(2,1/((lentry!$A$3:$A$3999=aug!$A53)*(lentry!$B$3:$B$3999&lt;=aug!W$3)*(lentry!$C$3:$C$3999&gt;=aug!W$3)),lentry!$D$3:$D$3999),IF(WEEKDAY(W$3,1)=1,"WO","P"))</f>
        <v>P</v>
      </c>
      <c r="X53" s="4" t="str">
        <f>IFERROR(LOOKUP(2,1/((lentry!$A$3:$A$3999=aug!$A53)*(lentry!$B$3:$B$3999&lt;=aug!X$3)*(lentry!$C$3:$C$3999&gt;=aug!X$3)),lentry!$D$3:$D$3999),IF(WEEKDAY(X$3,1)=1,"WO","P"))</f>
        <v>P</v>
      </c>
      <c r="Y53" s="4" t="str">
        <f>IFERROR(LOOKUP(2,1/((lentry!$A$3:$A$3999=aug!$A53)*(lentry!$B$3:$B$3999&lt;=aug!Y$3)*(lentry!$C$3:$C$3999&gt;=aug!Y$3)),lentry!$D$3:$D$3999),IF(WEEKDAY(Y$3,1)=1,"WO","P"))</f>
        <v>P</v>
      </c>
      <c r="Z53" s="4" t="str">
        <f>IFERROR(LOOKUP(2,1/((lentry!$A$3:$A$3999=aug!$A53)*(lentry!$B$3:$B$3999&lt;=aug!Z$3)*(lentry!$C$3:$C$3999&gt;=aug!Z$3)),lentry!$D$3:$D$3999),IF(WEEKDAY(Z$3,1)=1,"WO","P"))</f>
        <v>P</v>
      </c>
      <c r="AA53" s="4" t="str">
        <f>IFERROR(LOOKUP(2,1/((lentry!$A$3:$A$3999=aug!$A53)*(lentry!$B$3:$B$3999&lt;=aug!AA$3)*(lentry!$C$3:$C$3999&gt;=aug!AA$3)),lentry!$D$3:$D$3999),IF(WEEKDAY(AA$3,1)=1,"WO","P"))</f>
        <v>P</v>
      </c>
      <c r="AB53" s="4" t="s">
        <v>342</v>
      </c>
      <c r="AC53" s="4" t="str">
        <f>IFERROR(LOOKUP(2,1/((lentry!$A$3:$A$3999=aug!$A53)*(lentry!$B$3:$B$3999&lt;=aug!AC$3)*(lentry!$C$3:$C$3999&gt;=aug!AC$3)),lentry!$D$3:$D$3999),IF(WEEKDAY(AC$3,1)=1,"WO","P"))</f>
        <v>P</v>
      </c>
      <c r="AD53" s="4" t="str">
        <f>IFERROR(LOOKUP(2,1/((lentry!$A$3:$A$3999=aug!$A53)*(lentry!$B$3:$B$3999&lt;=aug!AD$3)*(lentry!$C$3:$C$3999&gt;=aug!AD$3)),lentry!$D$3:$D$3999),IF(WEEKDAY(AD$3,1)=1,"WO","P"))</f>
        <v>P</v>
      </c>
      <c r="AE53" s="4" t="str">
        <f>IFERROR(LOOKUP(2,1/((lentry!$A$3:$A$3999=aug!$A53)*(lentry!$B$3:$B$3999&lt;=aug!AE$3)*(lentry!$C$3:$C$3999&gt;=aug!AE$3)),lentry!$D$3:$D$3999),IF(WEEKDAY(AE$3,1)=1,"WO","P"))</f>
        <v>CL</v>
      </c>
      <c r="AF53" s="4" t="str">
        <f>IFERROR(LOOKUP(2,1/((lentry!$A$3:$A$3999=aug!$A53)*(lentry!$B$3:$B$3999&lt;=aug!AF$3)*(lentry!$C$3:$C$3999&gt;=aug!AF$3)),lentry!$D$3:$D$3999),IF(WEEKDAY(AF$3,1)=1,"WO","P"))</f>
        <v>CL</v>
      </c>
      <c r="AG53" s="4" t="str">
        <f>IFERROR(LOOKUP(2,1/((lentry!$A$3:$A$3999=aug!$A53)*(lentry!$B$3:$B$3999&lt;=aug!AG$3)*(lentry!$C$3:$C$3999&gt;=aug!AG$3)),lentry!$D$3:$D$3999),IF(WEEKDAY(AG$3,1)=1,"WO","P"))</f>
        <v>P</v>
      </c>
      <c r="AH53" s="4" t="str">
        <f>IFERROR(LOOKUP(2,1/((lentry!$A$3:$A$3999=aug!$A53)*(lentry!$B$3:$B$3999&lt;=aug!AH$3)*(lentry!$C$3:$C$3999&gt;=aug!AH$3)),lentry!$D$3:$D$3999),IF(WEEKDAY(AH$3,1)=1,"WO","P"))</f>
        <v>P</v>
      </c>
      <c r="AI53" s="4" t="s">
        <v>342</v>
      </c>
      <c r="AJ53" s="4" t="str">
        <f>IFERROR(LOOKUP(2,1/((lentry!$A$3:$A$3999=aug!$A53)*(lentry!$B$3:$B$3999&lt;=aug!AJ$3)*(lentry!$C$3:$C$3999&gt;=aug!AJ$3)),lentry!$D$3:$D$3999),IF(WEEKDAY(AJ$3,1)=1,"WO","P"))</f>
        <v>P</v>
      </c>
      <c r="AK53" s="4">
        <f>COUNTIF(aug!$F53:$AJ53,"WO")</f>
        <v>5</v>
      </c>
      <c r="AL53" s="4">
        <f>COUNTIF(aug!$F53:$AJ53,"H")</f>
        <v>1</v>
      </c>
      <c r="AM53" s="4">
        <f>COUNTIF(aug!$F53:$AJ53,"pl")</f>
        <v>0</v>
      </c>
      <c r="AN53" s="4">
        <f>COUNTIF(aug!$F53:$AJ53,"LWP")</f>
        <v>0</v>
      </c>
      <c r="AO53" s="4">
        <f>COUNTIF(aug!$F53:$AJ53,"HD")</f>
        <v>0</v>
      </c>
      <c r="AP53" s="4">
        <f>COUNTIF(aug!$F53:$AJ53,"SL")</f>
        <v>0</v>
      </c>
      <c r="AQ53" s="4">
        <f>COUNTIF(aug!$F53:$AJ53,"CL")</f>
        <v>2</v>
      </c>
      <c r="AR53" s="4">
        <f>COUNTIF(aug!$F53:$AJ53,"A")</f>
        <v>0</v>
      </c>
      <c r="AS53" s="4">
        <f>COUNTIF(aug!$F53:$AJ53,"P")</f>
        <v>23</v>
      </c>
      <c r="AT53" s="4">
        <f t="shared" si="2"/>
        <v>31</v>
      </c>
      <c r="AU53" s="4">
        <f t="shared" si="3"/>
        <v>31</v>
      </c>
    </row>
    <row r="54" spans="1:47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IFERROR(LOOKUP(2,1/((lentry!$A$3:$A$3999=aug!$A54)*(lentry!$B$3:$B$3999&lt;=aug!F$3)*(lentry!$C$3:$C$3999&gt;=aug!F$3)),lentry!$D$3:$D$3999),IF(WEEKDAY(F$3,1)=1,"WO","P"))</f>
        <v>P</v>
      </c>
      <c r="G54" s="4" t="s">
        <v>342</v>
      </c>
      <c r="H54" s="4" t="str">
        <f>IFERROR(LOOKUP(2,1/((lentry!$A$3:$A$3999=aug!$A54)*(lentry!$B$3:$B$3999&lt;=aug!H$3)*(lentry!$C$3:$C$3999&gt;=aug!H$3)),lentry!$D$3:$D$3999),IF(WEEKDAY(H$3,1)=1,"WO","P"))</f>
        <v>P</v>
      </c>
      <c r="I54" s="4" t="str">
        <f>IFERROR(LOOKUP(2,1/((lentry!$A$3:$A$3999=aug!$A54)*(lentry!$B$3:$B$3999&lt;=aug!I$3)*(lentry!$C$3:$C$3999&gt;=aug!I$3)),lentry!$D$3:$D$3999),IF(WEEKDAY(I$3,1)=1,"WO","P"))</f>
        <v>P</v>
      </c>
      <c r="J54" s="4" t="str">
        <f>IFERROR(LOOKUP(2,1/((lentry!$A$3:$A$3999=aug!$A54)*(lentry!$B$3:$B$3999&lt;=aug!J$3)*(lentry!$C$3:$C$3999&gt;=aug!J$3)),lentry!$D$3:$D$3999),IF(WEEKDAY(J$3,1)=1,"WO","P"))</f>
        <v>P</v>
      </c>
      <c r="K54" s="4" t="str">
        <f>IFERROR(LOOKUP(2,1/((lentry!$A$3:$A$3999=aug!$A54)*(lentry!$B$3:$B$3999&lt;=aug!K$3)*(lentry!$C$3:$C$3999&gt;=aug!K$3)),lentry!$D$3:$D$3999),IF(WEEKDAY(K$3,1)=1,"WO","P"))</f>
        <v>PL</v>
      </c>
      <c r="L54" s="4" t="str">
        <f>IFERROR(LOOKUP(2,1/((lentry!$A$3:$A$3999=aug!$A54)*(lentry!$B$3:$B$3999&lt;=aug!L$3)*(lentry!$C$3:$C$3999&gt;=aug!L$3)),lentry!$D$3:$D$3999),IF(WEEKDAY(L$3,1)=1,"WO","P"))</f>
        <v>PL</v>
      </c>
      <c r="M54" s="4" t="str">
        <f>IFERROR(LOOKUP(2,1/((lentry!$A$3:$A$3999=aug!$A54)*(lentry!$B$3:$B$3999&lt;=aug!M$3)*(lentry!$C$3:$C$3999&gt;=aug!M$3)),lentry!$D$3:$D$3999),IF(WEEKDAY(M$3,1)=1,"WO","P"))</f>
        <v>P</v>
      </c>
      <c r="N54" s="4" t="s">
        <v>342</v>
      </c>
      <c r="O54" s="4" t="str">
        <f>IFERROR(LOOKUP(2,1/((lentry!$A$3:$A$3999=aug!$A54)*(lentry!$B$3:$B$3999&lt;=aug!O$3)*(lentry!$C$3:$C$3999&gt;=aug!O$3)),lentry!$D$3:$D$3999),IF(WEEKDAY(O$3,1)=1,"WO","P"))</f>
        <v>P</v>
      </c>
      <c r="P54" s="4" t="str">
        <f>IFERROR(LOOKUP(2,1/((lentry!$A$3:$A$3999=aug!$A54)*(lentry!$B$3:$B$3999&lt;=aug!P$3)*(lentry!$C$3:$C$3999&gt;=aug!P$3)),lentry!$D$3:$D$3999),IF(WEEKDAY(P$3,1)=1,"WO","P"))</f>
        <v>P</v>
      </c>
      <c r="Q54" s="4" t="str">
        <f>IFERROR(LOOKUP(2,1/((lentry!$A$3:$A$3999=aug!$A54)*(lentry!$B$3:$B$3999&lt;=aug!Q$3)*(lentry!$C$3:$C$3999&gt;=aug!Q$3)),lentry!$D$3:$D$3999),IF(WEEKDAY(Q$3,1)=1,"WO","P"))</f>
        <v>P</v>
      </c>
      <c r="R54" s="4" t="str">
        <f>IFERROR(LOOKUP(2,1/((lentry!$A$3:$A$3999=aug!$A54)*(lentry!$B$3:$B$3999&lt;=aug!R$3)*(lentry!$C$3:$C$3999&gt;=aug!R$3)),lentry!$D$3:$D$3999),IF(WEEKDAY(R$3,1)=1,"WO","P"))</f>
        <v>P</v>
      </c>
      <c r="S54" s="4" t="str">
        <f>IFERROR(LOOKUP(2,1/((lentry!$A$3:$A$3999=aug!$A54)*(lentry!$B$3:$B$3999&lt;=aug!S$3)*(lentry!$C$3:$C$3999&gt;=aug!S$3)),lentry!$D$3:$D$3999),IF(WEEKDAY(S$3,1)=1,"WO","P"))</f>
        <v>P</v>
      </c>
      <c r="T54" s="4" t="s">
        <v>350</v>
      </c>
      <c r="U54" s="4" t="s">
        <v>342</v>
      </c>
      <c r="V54" s="4" t="str">
        <f>IFERROR(LOOKUP(2,1/((lentry!$A$3:$A$3999=aug!$A54)*(lentry!$B$3:$B$3999&lt;=aug!V$3)*(lentry!$C$3:$C$3999&gt;=aug!V$3)),lentry!$D$3:$D$3999),IF(WEEKDAY(V$3,1)=1,"WO","P"))</f>
        <v>P</v>
      </c>
      <c r="W54" s="4" t="str">
        <f>IFERROR(LOOKUP(2,1/((lentry!$A$3:$A$3999=aug!$A54)*(lentry!$B$3:$B$3999&lt;=aug!W$3)*(lentry!$C$3:$C$3999&gt;=aug!W$3)),lentry!$D$3:$D$3999),IF(WEEKDAY(W$3,1)=1,"WO","P"))</f>
        <v>P</v>
      </c>
      <c r="X54" s="4" t="str">
        <f>IFERROR(LOOKUP(2,1/((lentry!$A$3:$A$3999=aug!$A54)*(lentry!$B$3:$B$3999&lt;=aug!X$3)*(lentry!$C$3:$C$3999&gt;=aug!X$3)),lentry!$D$3:$D$3999),IF(WEEKDAY(X$3,1)=1,"WO","P"))</f>
        <v>P</v>
      </c>
      <c r="Y54" s="4" t="str">
        <f>IFERROR(LOOKUP(2,1/((lentry!$A$3:$A$3999=aug!$A54)*(lentry!$B$3:$B$3999&lt;=aug!Y$3)*(lentry!$C$3:$C$3999&gt;=aug!Y$3)),lentry!$D$3:$D$3999),IF(WEEKDAY(Y$3,1)=1,"WO","P"))</f>
        <v>P</v>
      </c>
      <c r="Z54" s="4" t="str">
        <f>IFERROR(LOOKUP(2,1/((lentry!$A$3:$A$3999=aug!$A54)*(lentry!$B$3:$B$3999&lt;=aug!Z$3)*(lentry!$C$3:$C$3999&gt;=aug!Z$3)),lentry!$D$3:$D$3999),IF(WEEKDAY(Z$3,1)=1,"WO","P"))</f>
        <v>P</v>
      </c>
      <c r="AA54" s="4" t="str">
        <f>IFERROR(LOOKUP(2,1/((lentry!$A$3:$A$3999=aug!$A54)*(lentry!$B$3:$B$3999&lt;=aug!AA$3)*(lentry!$C$3:$C$3999&gt;=aug!AA$3)),lentry!$D$3:$D$3999),IF(WEEKDAY(AA$3,1)=1,"WO","P"))</f>
        <v>P</v>
      </c>
      <c r="AB54" s="4" t="s">
        <v>342</v>
      </c>
      <c r="AC54" s="4" t="str">
        <f>IFERROR(LOOKUP(2,1/((lentry!$A$3:$A$3999=aug!$A54)*(lentry!$B$3:$B$3999&lt;=aug!AC$3)*(lentry!$C$3:$C$3999&gt;=aug!AC$3)),lentry!$D$3:$D$3999),IF(WEEKDAY(AC$3,1)=1,"WO","P"))</f>
        <v>P</v>
      </c>
      <c r="AD54" s="4" t="str">
        <f>IFERROR(LOOKUP(2,1/((lentry!$A$3:$A$3999=aug!$A54)*(lentry!$B$3:$B$3999&lt;=aug!AD$3)*(lentry!$C$3:$C$3999&gt;=aug!AD$3)),lentry!$D$3:$D$3999),IF(WEEKDAY(AD$3,1)=1,"WO","P"))</f>
        <v>P</v>
      </c>
      <c r="AE54" s="4" t="str">
        <f>IFERROR(LOOKUP(2,1/((lentry!$A$3:$A$3999=aug!$A54)*(lentry!$B$3:$B$3999&lt;=aug!AE$3)*(lentry!$C$3:$C$3999&gt;=aug!AE$3)),lentry!$D$3:$D$3999),IF(WEEKDAY(AE$3,1)=1,"WO","P"))</f>
        <v>P</v>
      </c>
      <c r="AF54" s="4" t="str">
        <f>IFERROR(LOOKUP(2,1/((lentry!$A$3:$A$3999=aug!$A54)*(lentry!$B$3:$B$3999&lt;=aug!AF$3)*(lentry!$C$3:$C$3999&gt;=aug!AF$3)),lentry!$D$3:$D$3999),IF(WEEKDAY(AF$3,1)=1,"WO","P"))</f>
        <v>P</v>
      </c>
      <c r="AG54" s="4" t="str">
        <f>IFERROR(LOOKUP(2,1/((lentry!$A$3:$A$3999=aug!$A54)*(lentry!$B$3:$B$3999&lt;=aug!AG$3)*(lentry!$C$3:$C$3999&gt;=aug!AG$3)),lentry!$D$3:$D$3999),IF(WEEKDAY(AG$3,1)=1,"WO","P"))</f>
        <v>P</v>
      </c>
      <c r="AH54" s="4" t="str">
        <f>IFERROR(LOOKUP(2,1/((lentry!$A$3:$A$3999=aug!$A54)*(lentry!$B$3:$B$3999&lt;=aug!AH$3)*(lentry!$C$3:$C$3999&gt;=aug!AH$3)),lentry!$D$3:$D$3999),IF(WEEKDAY(AH$3,1)=1,"WO","P"))</f>
        <v>P</v>
      </c>
      <c r="AI54" s="4" t="s">
        <v>342</v>
      </c>
      <c r="AJ54" s="4" t="str">
        <f>IFERROR(LOOKUP(2,1/((lentry!$A$3:$A$3999=aug!$A54)*(lentry!$B$3:$B$3999&lt;=aug!AJ$3)*(lentry!$C$3:$C$3999&gt;=aug!AJ$3)),lentry!$D$3:$D$3999),IF(WEEKDAY(AJ$3,1)=1,"WO","P"))</f>
        <v>P</v>
      </c>
      <c r="AK54" s="4">
        <f>COUNTIF(aug!$F54:$AJ54,"WO")</f>
        <v>5</v>
      </c>
      <c r="AL54" s="4">
        <f>COUNTIF(aug!$F54:$AJ54,"H")</f>
        <v>1</v>
      </c>
      <c r="AM54" s="4">
        <f>COUNTIF(aug!$F54:$AJ54,"pl")</f>
        <v>2</v>
      </c>
      <c r="AN54" s="4">
        <f>COUNTIF(aug!$F54:$AJ54,"LWP")</f>
        <v>0</v>
      </c>
      <c r="AO54" s="4">
        <f>COUNTIF(aug!$F54:$AJ54,"HD")</f>
        <v>0</v>
      </c>
      <c r="AP54" s="4">
        <f>COUNTIF(aug!$F54:$AJ54,"SL")</f>
        <v>0</v>
      </c>
      <c r="AQ54" s="4">
        <f>COUNTIF(aug!$F54:$AJ54,"CL")</f>
        <v>0</v>
      </c>
      <c r="AR54" s="4">
        <f>COUNTIF(aug!$F54:$AJ54,"A")</f>
        <v>0</v>
      </c>
      <c r="AS54" s="4">
        <f>COUNTIF(aug!$F54:$AJ54,"P")</f>
        <v>23</v>
      </c>
      <c r="AT54" s="4">
        <f t="shared" si="2"/>
        <v>31</v>
      </c>
      <c r="AU54" s="4">
        <f t="shared" si="3"/>
        <v>31</v>
      </c>
    </row>
  </sheetData>
  <mergeCells count="22">
    <mergeCell ref="A1:AU1"/>
    <mergeCell ref="AF2:AU2"/>
    <mergeCell ref="AK3:AK4"/>
    <mergeCell ref="AL3:AL4"/>
    <mergeCell ref="AM3:AM4"/>
    <mergeCell ref="AN3:AN4"/>
    <mergeCell ref="AO3:AO4"/>
    <mergeCell ref="AP3:AP4"/>
    <mergeCell ref="A3:A4"/>
    <mergeCell ref="B3:B4"/>
    <mergeCell ref="C3:C4"/>
    <mergeCell ref="D3:D4"/>
    <mergeCell ref="E3:E4"/>
    <mergeCell ref="AT3:AT4"/>
    <mergeCell ref="AU3:AU4"/>
    <mergeCell ref="A2:K2"/>
    <mergeCell ref="L2:O2"/>
    <mergeCell ref="AQ3:AQ4"/>
    <mergeCell ref="AR3:AR4"/>
    <mergeCell ref="AS3:AS4"/>
    <mergeCell ref="P2:AA2"/>
    <mergeCell ref="AB2:AE2"/>
  </mergeCells>
  <conditionalFormatting sqref="F5:AJ54">
    <cfRule type="cellIs" dxfId="44" priority="1" operator="equal">
      <formula>"CL"</formula>
    </cfRule>
    <cfRule type="cellIs" dxfId="43" priority="2" operator="equal">
      <formula>"SL"</formula>
    </cfRule>
    <cfRule type="cellIs" dxfId="42" priority="6" operator="equal">
      <formula>"HD"</formula>
    </cfRule>
    <cfRule type="cellIs" dxfId="41" priority="7" operator="equal">
      <formula>"LWP"</formula>
    </cfRule>
    <cfRule type="cellIs" dxfId="40" priority="8" operator="equal">
      <formula>"PL"</formula>
    </cfRule>
    <cfRule type="cellIs" dxfId="39" priority="9" operator="equal">
      <formula>"H"</formula>
    </cfRule>
    <cfRule type="cellIs" dxfId="38" priority="10" operator="equal">
      <formula>"A"</formula>
    </cfRule>
    <cfRule type="cellIs" dxfId="37" priority="11" operator="equal">
      <formula>"P"</formula>
    </cfRule>
    <cfRule type="expression" dxfId="36" priority="12">
      <formula>F$4="Sun"</formula>
    </cfRule>
  </conditionalFormatting>
  <conditionalFormatting sqref="AV4:CA54">
    <cfRule type="cellIs" dxfId="35" priority="3" operator="equal">
      <formula>"A"</formula>
    </cfRule>
  </conditionalFormatting>
  <conditionalFormatting sqref="AW4:CA4">
    <cfRule type="cellIs" dxfId="34" priority="4" operator="equal">
      <formula>"A"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85FEB-40B5-4E7B-9AC2-33268BBB22FB}">
  <sheetPr codeName="Sheet14"/>
  <dimension ref="A1:BZ54"/>
  <sheetViews>
    <sheetView workbookViewId="0">
      <pane ySplit="4" topLeftCell="A5" activePane="bottomLeft" state="frozen"/>
      <selection pane="bottomLeft" activeCell="F5" sqref="F5:AI54"/>
    </sheetView>
  </sheetViews>
  <sheetFormatPr defaultRowHeight="15" x14ac:dyDescent="0.25"/>
  <cols>
    <col min="1" max="1" width="10.140625" customWidth="1"/>
    <col min="2" max="2" width="17.28515625" customWidth="1"/>
    <col min="3" max="3" width="10.42578125" customWidth="1"/>
    <col min="4" max="4" width="13.28515625" customWidth="1"/>
    <col min="5" max="5" width="21.42578125" bestFit="1" customWidth="1"/>
    <col min="6" max="17" width="4.7109375" bestFit="1" customWidth="1"/>
    <col min="18" max="18" width="5.140625" bestFit="1" customWidth="1"/>
    <col min="19" max="35" width="4.7109375" bestFit="1" customWidth="1"/>
    <col min="36" max="38" width="5.140625" customWidth="1"/>
    <col min="39" max="39" width="5" customWidth="1"/>
    <col min="40" max="46" width="5.140625" customWidth="1"/>
    <col min="47" max="49" width="3" bestFit="1" customWidth="1"/>
    <col min="50" max="51" width="2.28515625" bestFit="1" customWidth="1"/>
    <col min="52" max="52" width="3" bestFit="1" customWidth="1"/>
    <col min="53" max="53" width="4.28515625" bestFit="1" customWidth="1"/>
    <col min="54" max="56" width="2.28515625" bestFit="1" customWidth="1"/>
    <col min="57" max="57" width="3" bestFit="1" customWidth="1"/>
    <col min="58" max="58" width="4.85546875" bestFit="1" customWidth="1"/>
    <col min="59" max="59" width="3" bestFit="1" customWidth="1"/>
    <col min="60" max="60" width="4.28515625" bestFit="1" customWidth="1"/>
    <col min="61" max="66" width="3" bestFit="1" customWidth="1"/>
    <col min="67" max="67" width="4.28515625" bestFit="1" customWidth="1"/>
    <col min="68" max="73" width="3" bestFit="1" customWidth="1"/>
    <col min="74" max="74" width="4.28515625" bestFit="1" customWidth="1"/>
    <col min="75" max="78" width="3" bestFit="1" customWidth="1"/>
  </cols>
  <sheetData>
    <row r="1" spans="1:78" ht="51" x14ac:dyDescent="0.25">
      <c r="A1" s="65" t="s">
        <v>336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</row>
    <row r="2" spans="1:78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Sep</v>
      </c>
      <c r="M2" s="67"/>
      <c r="N2" s="67"/>
      <c r="O2" s="67"/>
      <c r="P2" s="68">
        <f>DATE(2026,9,1)</f>
        <v>46266</v>
      </c>
      <c r="Q2" s="69"/>
      <c r="R2" s="69"/>
      <c r="S2" s="69"/>
      <c r="T2" s="69"/>
      <c r="U2" s="69"/>
      <c r="V2" s="69"/>
      <c r="W2" s="69"/>
      <c r="X2" s="69"/>
      <c r="Y2" s="69"/>
      <c r="Z2" s="69"/>
      <c r="AA2" s="70"/>
      <c r="AB2" s="71" t="s">
        <v>337</v>
      </c>
      <c r="AC2" s="71"/>
      <c r="AD2" s="71"/>
      <c r="AE2" s="71"/>
      <c r="AF2" s="72">
        <f>EOMONTH(P2,0)</f>
        <v>46295</v>
      </c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</row>
    <row r="3" spans="1:78" ht="18.75" x14ac:dyDescent="0.25">
      <c r="A3" s="74" t="s">
        <v>338</v>
      </c>
      <c r="B3" s="74" t="s">
        <v>339</v>
      </c>
      <c r="C3" s="74" t="s">
        <v>1</v>
      </c>
      <c r="D3" s="74" t="s">
        <v>340</v>
      </c>
      <c r="E3" s="74" t="s">
        <v>341</v>
      </c>
      <c r="F3" s="1">
        <f>P2</f>
        <v>46266</v>
      </c>
      <c r="G3" s="1">
        <f>IF(F3&lt;$AF$2,F3+1,"")</f>
        <v>46267</v>
      </c>
      <c r="H3" s="1">
        <f t="shared" ref="H3:AI3" si="0">IF(G3&lt;$AF$2,G3+1,"")</f>
        <v>46268</v>
      </c>
      <c r="I3" s="1">
        <f t="shared" si="0"/>
        <v>46269</v>
      </c>
      <c r="J3" s="1">
        <f t="shared" si="0"/>
        <v>46270</v>
      </c>
      <c r="K3" s="1">
        <f t="shared" si="0"/>
        <v>46271</v>
      </c>
      <c r="L3" s="1">
        <f t="shared" si="0"/>
        <v>46272</v>
      </c>
      <c r="M3" s="1">
        <f t="shared" si="0"/>
        <v>46273</v>
      </c>
      <c r="N3" s="1">
        <f t="shared" si="0"/>
        <v>46274</v>
      </c>
      <c r="O3" s="1">
        <f t="shared" si="0"/>
        <v>46275</v>
      </c>
      <c r="P3" s="1">
        <f t="shared" si="0"/>
        <v>46276</v>
      </c>
      <c r="Q3" s="1">
        <f t="shared" si="0"/>
        <v>46277</v>
      </c>
      <c r="R3" s="1">
        <f t="shared" si="0"/>
        <v>46278</v>
      </c>
      <c r="S3" s="1">
        <f t="shared" si="0"/>
        <v>46279</v>
      </c>
      <c r="T3" s="1">
        <f t="shared" si="0"/>
        <v>46280</v>
      </c>
      <c r="U3" s="1">
        <f t="shared" si="0"/>
        <v>46281</v>
      </c>
      <c r="V3" s="1">
        <f t="shared" si="0"/>
        <v>46282</v>
      </c>
      <c r="W3" s="1">
        <f t="shared" si="0"/>
        <v>46283</v>
      </c>
      <c r="X3" s="1">
        <f t="shared" si="0"/>
        <v>46284</v>
      </c>
      <c r="Y3" s="1">
        <f t="shared" si="0"/>
        <v>46285</v>
      </c>
      <c r="Z3" s="1">
        <f t="shared" si="0"/>
        <v>46286</v>
      </c>
      <c r="AA3" s="1">
        <f t="shared" si="0"/>
        <v>46287</v>
      </c>
      <c r="AB3" s="1">
        <f t="shared" si="0"/>
        <v>46288</v>
      </c>
      <c r="AC3" s="1">
        <f t="shared" si="0"/>
        <v>46289</v>
      </c>
      <c r="AD3" s="1">
        <f t="shared" si="0"/>
        <v>46290</v>
      </c>
      <c r="AE3" s="1">
        <f t="shared" si="0"/>
        <v>46291</v>
      </c>
      <c r="AF3" s="1">
        <f t="shared" si="0"/>
        <v>46292</v>
      </c>
      <c r="AG3" s="1">
        <f t="shared" si="0"/>
        <v>46293</v>
      </c>
      <c r="AH3" s="1">
        <f t="shared" si="0"/>
        <v>46294</v>
      </c>
      <c r="AI3" s="1">
        <f t="shared" si="0"/>
        <v>46295</v>
      </c>
      <c r="AJ3" s="60" t="s">
        <v>342</v>
      </c>
      <c r="AK3" s="60" t="s">
        <v>343</v>
      </c>
      <c r="AL3" s="60" t="s">
        <v>344</v>
      </c>
      <c r="AM3" s="62" t="s">
        <v>84</v>
      </c>
      <c r="AN3" s="60" t="s">
        <v>345</v>
      </c>
      <c r="AO3" s="60" t="s">
        <v>351</v>
      </c>
      <c r="AP3" s="60" t="s">
        <v>352</v>
      </c>
      <c r="AQ3" s="60" t="s">
        <v>346</v>
      </c>
      <c r="AR3" s="60" t="s">
        <v>347</v>
      </c>
      <c r="AS3" s="60" t="s">
        <v>348</v>
      </c>
      <c r="AT3" s="60" t="s">
        <v>349</v>
      </c>
    </row>
    <row r="4" spans="1:78" ht="65.25" customHeight="1" x14ac:dyDescent="0.25">
      <c r="A4" s="75"/>
      <c r="B4" s="75"/>
      <c r="C4" s="75"/>
      <c r="D4" s="75"/>
      <c r="E4" s="75"/>
      <c r="F4" s="2" t="str">
        <f>TEXT(F3,"ddd")</f>
        <v>Tue</v>
      </c>
      <c r="G4" s="2" t="str">
        <f t="shared" ref="G4:AI4" si="1">TEXT(G3,"ddd")</f>
        <v>Wed</v>
      </c>
      <c r="H4" s="2" t="str">
        <f t="shared" si="1"/>
        <v>Thu</v>
      </c>
      <c r="I4" s="2" t="str">
        <f t="shared" si="1"/>
        <v>Fri</v>
      </c>
      <c r="J4" s="2" t="str">
        <f t="shared" si="1"/>
        <v>Sat</v>
      </c>
      <c r="K4" s="2" t="str">
        <f t="shared" si="1"/>
        <v>Sun</v>
      </c>
      <c r="L4" s="2" t="str">
        <f t="shared" si="1"/>
        <v>Mon</v>
      </c>
      <c r="M4" s="2" t="str">
        <f t="shared" si="1"/>
        <v>Tue</v>
      </c>
      <c r="N4" s="2" t="str">
        <f t="shared" si="1"/>
        <v>Wed</v>
      </c>
      <c r="O4" s="2" t="str">
        <f t="shared" si="1"/>
        <v>Thu</v>
      </c>
      <c r="P4" s="2" t="str">
        <f t="shared" si="1"/>
        <v>Fri</v>
      </c>
      <c r="Q4" s="2" t="str">
        <f t="shared" si="1"/>
        <v>Sat</v>
      </c>
      <c r="R4" s="2" t="str">
        <f t="shared" si="1"/>
        <v>Sun</v>
      </c>
      <c r="S4" s="2" t="str">
        <f t="shared" si="1"/>
        <v>Mon</v>
      </c>
      <c r="T4" s="2" t="str">
        <f t="shared" si="1"/>
        <v>Tue</v>
      </c>
      <c r="U4" s="2" t="str">
        <f t="shared" si="1"/>
        <v>Wed</v>
      </c>
      <c r="V4" s="2" t="str">
        <f t="shared" si="1"/>
        <v>Thu</v>
      </c>
      <c r="W4" s="2" t="str">
        <f t="shared" si="1"/>
        <v>Fri</v>
      </c>
      <c r="X4" s="2" t="str">
        <f t="shared" si="1"/>
        <v>Sat</v>
      </c>
      <c r="Y4" s="2" t="str">
        <f t="shared" si="1"/>
        <v>Sun</v>
      </c>
      <c r="Z4" s="2" t="str">
        <f t="shared" si="1"/>
        <v>Mon</v>
      </c>
      <c r="AA4" s="2" t="str">
        <f t="shared" si="1"/>
        <v>Tue</v>
      </c>
      <c r="AB4" s="2" t="str">
        <f t="shared" si="1"/>
        <v>Wed</v>
      </c>
      <c r="AC4" s="2" t="str">
        <f t="shared" si="1"/>
        <v>Thu</v>
      </c>
      <c r="AD4" s="2" t="str">
        <f t="shared" si="1"/>
        <v>Fri</v>
      </c>
      <c r="AE4" s="2" t="str">
        <f t="shared" si="1"/>
        <v>Sat</v>
      </c>
      <c r="AF4" s="2" t="str">
        <f t="shared" si="1"/>
        <v>Sun</v>
      </c>
      <c r="AG4" s="2" t="str">
        <f t="shared" si="1"/>
        <v>Mon</v>
      </c>
      <c r="AH4" s="2" t="str">
        <f t="shared" si="1"/>
        <v>Tue</v>
      </c>
      <c r="AI4" s="2" t="str">
        <f t="shared" si="1"/>
        <v>Wed</v>
      </c>
      <c r="AJ4" s="61"/>
      <c r="AK4" s="61"/>
      <c r="AL4" s="61"/>
      <c r="AM4" s="63"/>
      <c r="AN4" s="61"/>
      <c r="AO4" s="64"/>
      <c r="AP4" s="64"/>
      <c r="AQ4" s="61"/>
      <c r="AR4" s="61"/>
      <c r="AS4" s="61"/>
      <c r="AT4" s="61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</row>
    <row r="5" spans="1:78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IFERROR(LOOKUP(2,1/((#REF!=sep!$A5)*(#REF!&lt;=sep!F$3)*(#REF!&gt;=sep!F$3)),#REF!),IF(WEEKDAY(sep!F$3,1)=1,"WO","P"))</f>
        <v>P</v>
      </c>
      <c r="G5" s="4" t="str">
        <f>IFERROR(LOOKUP(2,1/((#REF!=sep!$A5)*(#REF!&lt;=sep!G$3)*(#REF!&gt;=sep!G$3)),#REF!),IF(WEEKDAY(sep!G$3,1)=1,"WO","P"))</f>
        <v>P</v>
      </c>
      <c r="H5" s="4" t="str">
        <f>IFERROR(LOOKUP(2,1/((#REF!=sep!$A5)*(#REF!&lt;=sep!H$3)*(#REF!&gt;=sep!H$3)),#REF!),IF(WEEKDAY(sep!H$3,1)=1,"WO","P"))</f>
        <v>P</v>
      </c>
      <c r="I5" s="4" t="str">
        <f>IFERROR(LOOKUP(2,1/((#REF!=sep!$A5)*(#REF!&lt;=sep!I$3)*(#REF!&gt;=sep!I$3)),#REF!),IF(WEEKDAY(sep!I$3,1)=1,"WO","P"))</f>
        <v>P</v>
      </c>
      <c r="J5" s="4" t="str">
        <f>IFERROR(LOOKUP(2,1/((#REF!=sep!$A5)*(#REF!&lt;=sep!J$3)*(#REF!&gt;=sep!J$3)),#REF!),IF(WEEKDAY(sep!J$3,1)=1,"WO","P"))</f>
        <v>P</v>
      </c>
      <c r="K5" s="4" t="str">
        <f>IFERROR(LOOKUP(2,1/((#REF!=sep!$A5)*(#REF!&lt;=sep!K$3)*(#REF!&gt;=sep!K$3)),#REF!),IF(WEEKDAY(sep!K$3,1)=1,"WO","P"))</f>
        <v>WO</v>
      </c>
      <c r="L5" s="4" t="str">
        <f>IFERROR(LOOKUP(2,1/((#REF!=sep!$A5)*(#REF!&lt;=sep!L$3)*(#REF!&gt;=sep!L$3)),#REF!),IF(WEEKDAY(sep!L$3,1)=1,"WO","P"))</f>
        <v>P</v>
      </c>
      <c r="M5" s="4" t="str">
        <f>IFERROR(LOOKUP(2,1/((#REF!=sep!$A5)*(#REF!&lt;=sep!M$3)*(#REF!&gt;=sep!M$3)),#REF!),IF(WEEKDAY(sep!M$3,1)=1,"WO","P"))</f>
        <v>P</v>
      </c>
      <c r="N5" s="4" t="str">
        <f>IFERROR(LOOKUP(2,1/((#REF!=sep!$A5)*(#REF!&lt;=sep!N$3)*(#REF!&gt;=sep!N$3)),#REF!),IF(WEEKDAY(sep!N$3,1)=1,"WO","P"))</f>
        <v>P</v>
      </c>
      <c r="O5" s="4" t="str">
        <f>IFERROR(LOOKUP(2,1/((#REF!=sep!$A5)*(#REF!&lt;=sep!O$3)*(#REF!&gt;=sep!O$3)),#REF!),IF(WEEKDAY(sep!O$3,1)=1,"WO","P"))</f>
        <v>P</v>
      </c>
      <c r="P5" s="4" t="str">
        <f>IFERROR(LOOKUP(2,1/((#REF!=sep!$A5)*(#REF!&lt;=sep!P$3)*(#REF!&gt;=sep!P$3)),#REF!),IF(WEEKDAY(sep!P$3,1)=1,"WO","P"))</f>
        <v>P</v>
      </c>
      <c r="Q5" s="4" t="str">
        <f>IFERROR(LOOKUP(2,1/((#REF!=sep!$A5)*(#REF!&lt;=sep!Q$3)*(#REF!&gt;=sep!Q$3)),#REF!),IF(WEEKDAY(sep!Q$3,1)=1,"WO","P"))</f>
        <v>P</v>
      </c>
      <c r="R5" s="4" t="str">
        <f>IFERROR(LOOKUP(2,1/((#REF!=sep!$A5)*(#REF!&lt;=sep!R$3)*(#REF!&gt;=sep!R$3)),#REF!),IF(WEEKDAY(sep!R$3,1)=1,"WO","P"))</f>
        <v>WO</v>
      </c>
      <c r="S5" s="4" t="str">
        <f>IFERROR(LOOKUP(2,1/((#REF!=sep!$A5)*(#REF!&lt;=sep!S$3)*(#REF!&gt;=sep!S$3)),#REF!),IF(WEEKDAY(sep!S$3,1)=1,"WO","P"))</f>
        <v>P</v>
      </c>
      <c r="T5" s="4" t="str">
        <f>IFERROR(LOOKUP(2,1/((#REF!=sep!$A5)*(#REF!&lt;=sep!T$3)*(#REF!&gt;=sep!T$3)),#REF!),IF(WEEKDAY(sep!T$3,1)=1,"WO","P"))</f>
        <v>P</v>
      </c>
      <c r="U5" s="4" t="str">
        <f>IFERROR(LOOKUP(2,1/((#REF!=sep!$A5)*(#REF!&lt;=sep!U$3)*(#REF!&gt;=sep!U$3)),#REF!),IF(WEEKDAY(sep!U$3,1)=1,"WO","P"))</f>
        <v>P</v>
      </c>
      <c r="V5" s="4" t="str">
        <f>IFERROR(LOOKUP(2,1/((#REF!=sep!$A5)*(#REF!&lt;=sep!V$3)*(#REF!&gt;=sep!V$3)),#REF!),IF(WEEKDAY(sep!V$3,1)=1,"WO","P"))</f>
        <v>P</v>
      </c>
      <c r="W5" s="4" t="str">
        <f>IFERROR(LOOKUP(2,1/((#REF!=sep!$A5)*(#REF!&lt;=sep!W$3)*(#REF!&gt;=sep!W$3)),#REF!),IF(WEEKDAY(sep!W$3,1)=1,"WO","P"))</f>
        <v>P</v>
      </c>
      <c r="X5" s="4" t="str">
        <f>IFERROR(LOOKUP(2,1/((#REF!=sep!$A5)*(#REF!&lt;=sep!X$3)*(#REF!&gt;=sep!X$3)),#REF!),IF(WEEKDAY(sep!X$3,1)=1,"WO","P"))</f>
        <v>P</v>
      </c>
      <c r="Y5" s="4" t="str">
        <f>IFERROR(LOOKUP(2,1/((#REF!=sep!$A5)*(#REF!&lt;=sep!Y$3)*(#REF!&gt;=sep!Y$3)),#REF!),IF(WEEKDAY(sep!Y$3,1)=1,"WO","P"))</f>
        <v>WO</v>
      </c>
      <c r="Z5" s="4" t="str">
        <f>IFERROR(LOOKUP(2,1/((#REF!=sep!$A5)*(#REF!&lt;=sep!Z$3)*(#REF!&gt;=sep!Z$3)),#REF!),IF(WEEKDAY(sep!Z$3,1)=1,"WO","P"))</f>
        <v>P</v>
      </c>
      <c r="AA5" s="4" t="str">
        <f>IFERROR(LOOKUP(2,1/((#REF!=sep!$A5)*(#REF!&lt;=sep!AA$3)*(#REF!&gt;=sep!AA$3)),#REF!),IF(WEEKDAY(sep!AA$3,1)=1,"WO","P"))</f>
        <v>P</v>
      </c>
      <c r="AB5" s="4" t="str">
        <f>IFERROR(LOOKUP(2,1/((#REF!=sep!$A5)*(#REF!&lt;=sep!AB$3)*(#REF!&gt;=sep!AB$3)),#REF!),IF(WEEKDAY(sep!AB$3,1)=1,"WO","P"))</f>
        <v>P</v>
      </c>
      <c r="AC5" s="4" t="str">
        <f>IFERROR(LOOKUP(2,1/((#REF!=sep!$A5)*(#REF!&lt;=sep!AC$3)*(#REF!&gt;=sep!AC$3)),#REF!),IF(WEEKDAY(sep!AC$3,1)=1,"WO","P"))</f>
        <v>P</v>
      </c>
      <c r="AD5" s="4" t="str">
        <f>IFERROR(LOOKUP(2,1/((#REF!=sep!$A5)*(#REF!&lt;=sep!AD$3)*(#REF!&gt;=sep!AD$3)),#REF!),IF(WEEKDAY(sep!AD$3,1)=1,"WO","P"))</f>
        <v>P</v>
      </c>
      <c r="AE5" s="4" t="str">
        <f>IFERROR(LOOKUP(2,1/((#REF!=sep!$A5)*(#REF!&lt;=sep!AE$3)*(#REF!&gt;=sep!AE$3)),#REF!),IF(WEEKDAY(sep!AE$3,1)=1,"WO","P"))</f>
        <v>P</v>
      </c>
      <c r="AF5" s="4" t="str">
        <f>IFERROR(LOOKUP(2,1/((#REF!=sep!$A5)*(#REF!&lt;=sep!AF$3)*(#REF!&gt;=sep!AF$3)),#REF!),IF(WEEKDAY(sep!AF$3,1)=1,"WO","P"))</f>
        <v>WO</v>
      </c>
      <c r="AG5" s="4" t="str">
        <f>IFERROR(LOOKUP(2,1/((#REF!=sep!$A5)*(#REF!&lt;=sep!AG$3)*(#REF!&gt;=sep!AG$3)),#REF!),IF(WEEKDAY(sep!AG$3,1)=1,"WO","P"))</f>
        <v>P</v>
      </c>
      <c r="AH5" s="4" t="str">
        <f>IFERROR(LOOKUP(2,1/((#REF!=sep!$A5)*(#REF!&lt;=sep!AH$3)*(#REF!&gt;=sep!AH$3)),#REF!),IF(WEEKDAY(sep!AH$3,1)=1,"WO","P"))</f>
        <v>P</v>
      </c>
      <c r="AI5" s="4" t="str">
        <f>IFERROR(LOOKUP(2,1/((#REF!=sep!$A5)*(#REF!&lt;=sep!AI$3)*(#REF!&gt;=sep!AI$3)),#REF!),IF(WEEKDAY(sep!AI$3,1)=1,"WO","P"))</f>
        <v>P</v>
      </c>
      <c r="AJ5" s="4">
        <f>COUNTIF($F5:$AI5,"WO")</f>
        <v>4</v>
      </c>
      <c r="AK5" s="4">
        <f>COUNTIF($F5:$AI5,"H")</f>
        <v>0</v>
      </c>
      <c r="AL5" s="4">
        <f>COUNTIF($F5:$AI5,"PL")</f>
        <v>0</v>
      </c>
      <c r="AM5" s="4">
        <f>COUNTIF($F5:$AI5,"LWP")</f>
        <v>0</v>
      </c>
      <c r="AN5" s="4">
        <f>COUNTIF($F5:$AI5,"HD")</f>
        <v>0</v>
      </c>
      <c r="AO5" s="4">
        <f>COUNTIF($F5:$AI5,"SL")</f>
        <v>0</v>
      </c>
      <c r="AP5" s="4">
        <f>COUNTIF($F5:$AI5,"CL")</f>
        <v>0</v>
      </c>
      <c r="AQ5" s="4">
        <f>COUNTIF($F5:$AI5,"A")</f>
        <v>0</v>
      </c>
      <c r="AR5" s="4">
        <f>COUNTIF($F5:$AI5,"P")</f>
        <v>26</v>
      </c>
      <c r="AS5" s="4">
        <f t="shared" ref="AS5:AS36" si="2">COUNTA($F5:$AI5)</f>
        <v>30</v>
      </c>
      <c r="AT5" s="4">
        <f>AJ5+AK5+AL5+AO5+AP5+AR5+(AN5/2)</f>
        <v>30</v>
      </c>
    </row>
    <row r="6" spans="1:78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IFERROR(LOOKUP(2,1/((#REF!=sep!$A6)*(#REF!&lt;=sep!F$3)*(#REF!&gt;=sep!F$3)),#REF!),IF(WEEKDAY(sep!F$3,1)=1,"WO","P"))</f>
        <v>P</v>
      </c>
      <c r="G6" s="4" t="str">
        <f>IFERROR(LOOKUP(2,1/((#REF!=sep!$A6)*(#REF!&lt;=sep!G$3)*(#REF!&gt;=sep!G$3)),#REF!),IF(WEEKDAY(sep!G$3,1)=1,"WO","P"))</f>
        <v>P</v>
      </c>
      <c r="H6" s="4" t="str">
        <f>IFERROR(LOOKUP(2,1/((#REF!=sep!$A6)*(#REF!&lt;=sep!H$3)*(#REF!&gt;=sep!H$3)),#REF!),IF(WEEKDAY(sep!H$3,1)=1,"WO","P"))</f>
        <v>P</v>
      </c>
      <c r="I6" s="4" t="str">
        <f>IFERROR(LOOKUP(2,1/((#REF!=sep!$A6)*(#REF!&lt;=sep!I$3)*(#REF!&gt;=sep!I$3)),#REF!),IF(WEEKDAY(sep!I$3,1)=1,"WO","P"))</f>
        <v>P</v>
      </c>
      <c r="J6" s="4" t="str">
        <f>IFERROR(LOOKUP(2,1/((#REF!=sep!$A6)*(#REF!&lt;=sep!J$3)*(#REF!&gt;=sep!J$3)),#REF!),IF(WEEKDAY(sep!J$3,1)=1,"WO","P"))</f>
        <v>P</v>
      </c>
      <c r="K6" s="4" t="str">
        <f>IFERROR(LOOKUP(2,1/((#REF!=sep!$A6)*(#REF!&lt;=sep!K$3)*(#REF!&gt;=sep!K$3)),#REF!),IF(WEEKDAY(sep!K$3,1)=1,"WO","P"))</f>
        <v>WO</v>
      </c>
      <c r="L6" s="4" t="str">
        <f>IFERROR(LOOKUP(2,1/((#REF!=sep!$A6)*(#REF!&lt;=sep!L$3)*(#REF!&gt;=sep!L$3)),#REF!),IF(WEEKDAY(sep!L$3,1)=1,"WO","P"))</f>
        <v>P</v>
      </c>
      <c r="M6" s="4" t="str">
        <f>IFERROR(LOOKUP(2,1/((#REF!=sep!$A6)*(#REF!&lt;=sep!M$3)*(#REF!&gt;=sep!M$3)),#REF!),IF(WEEKDAY(sep!M$3,1)=1,"WO","P"))</f>
        <v>P</v>
      </c>
      <c r="N6" s="4" t="str">
        <f>IFERROR(LOOKUP(2,1/((#REF!=sep!$A6)*(#REF!&lt;=sep!N$3)*(#REF!&gt;=sep!N$3)),#REF!),IF(WEEKDAY(sep!N$3,1)=1,"WO","P"))</f>
        <v>P</v>
      </c>
      <c r="O6" s="4" t="str">
        <f>IFERROR(LOOKUP(2,1/((#REF!=sep!$A6)*(#REF!&lt;=sep!O$3)*(#REF!&gt;=sep!O$3)),#REF!),IF(WEEKDAY(sep!O$3,1)=1,"WO","P"))</f>
        <v>P</v>
      </c>
      <c r="P6" s="4" t="str">
        <f>IFERROR(LOOKUP(2,1/((#REF!=sep!$A6)*(#REF!&lt;=sep!P$3)*(#REF!&gt;=sep!P$3)),#REF!),IF(WEEKDAY(sep!P$3,1)=1,"WO","P"))</f>
        <v>P</v>
      </c>
      <c r="Q6" s="4" t="str">
        <f>IFERROR(LOOKUP(2,1/((#REF!=sep!$A6)*(#REF!&lt;=sep!Q$3)*(#REF!&gt;=sep!Q$3)),#REF!),IF(WEEKDAY(sep!Q$3,1)=1,"WO","P"))</f>
        <v>P</v>
      </c>
      <c r="R6" s="4" t="str">
        <f>IFERROR(LOOKUP(2,1/((#REF!=sep!$A6)*(#REF!&lt;=sep!R$3)*(#REF!&gt;=sep!R$3)),#REF!),IF(WEEKDAY(sep!R$3,1)=1,"WO","P"))</f>
        <v>WO</v>
      </c>
      <c r="S6" s="4" t="str">
        <f>IFERROR(LOOKUP(2,1/((#REF!=sep!$A6)*(#REF!&lt;=sep!S$3)*(#REF!&gt;=sep!S$3)),#REF!),IF(WEEKDAY(sep!S$3,1)=1,"WO","P"))</f>
        <v>P</v>
      </c>
      <c r="T6" s="4" t="str">
        <f>IFERROR(LOOKUP(2,1/((#REF!=sep!$A6)*(#REF!&lt;=sep!T$3)*(#REF!&gt;=sep!T$3)),#REF!),IF(WEEKDAY(sep!T$3,1)=1,"WO","P"))</f>
        <v>P</v>
      </c>
      <c r="U6" s="4" t="str">
        <f>IFERROR(LOOKUP(2,1/((#REF!=sep!$A6)*(#REF!&lt;=sep!U$3)*(#REF!&gt;=sep!U$3)),#REF!),IF(WEEKDAY(sep!U$3,1)=1,"WO","P"))</f>
        <v>P</v>
      </c>
      <c r="V6" s="4" t="str">
        <f>IFERROR(LOOKUP(2,1/((#REF!=sep!$A6)*(#REF!&lt;=sep!V$3)*(#REF!&gt;=sep!V$3)),#REF!),IF(WEEKDAY(sep!V$3,1)=1,"WO","P"))</f>
        <v>P</v>
      </c>
      <c r="W6" s="4" t="str">
        <f>IFERROR(LOOKUP(2,1/((#REF!=sep!$A6)*(#REF!&lt;=sep!W$3)*(#REF!&gt;=sep!W$3)),#REF!),IF(WEEKDAY(sep!W$3,1)=1,"WO","P"))</f>
        <v>P</v>
      </c>
      <c r="X6" s="4" t="str">
        <f>IFERROR(LOOKUP(2,1/((#REF!=sep!$A6)*(#REF!&lt;=sep!X$3)*(#REF!&gt;=sep!X$3)),#REF!),IF(WEEKDAY(sep!X$3,1)=1,"WO","P"))</f>
        <v>P</v>
      </c>
      <c r="Y6" s="4" t="str">
        <f>IFERROR(LOOKUP(2,1/((#REF!=sep!$A6)*(#REF!&lt;=sep!Y$3)*(#REF!&gt;=sep!Y$3)),#REF!),IF(WEEKDAY(sep!Y$3,1)=1,"WO","P"))</f>
        <v>WO</v>
      </c>
      <c r="Z6" s="4" t="str">
        <f>IFERROR(LOOKUP(2,1/((#REF!=sep!$A6)*(#REF!&lt;=sep!Z$3)*(#REF!&gt;=sep!Z$3)),#REF!),IF(WEEKDAY(sep!Z$3,1)=1,"WO","P"))</f>
        <v>P</v>
      </c>
      <c r="AA6" s="4" t="str">
        <f>IFERROR(LOOKUP(2,1/((#REF!=sep!$A6)*(#REF!&lt;=sep!AA$3)*(#REF!&gt;=sep!AA$3)),#REF!),IF(WEEKDAY(sep!AA$3,1)=1,"WO","P"))</f>
        <v>P</v>
      </c>
      <c r="AB6" s="4" t="str">
        <f>IFERROR(LOOKUP(2,1/((#REF!=sep!$A6)*(#REF!&lt;=sep!AB$3)*(#REF!&gt;=sep!AB$3)),#REF!),IF(WEEKDAY(sep!AB$3,1)=1,"WO","P"))</f>
        <v>P</v>
      </c>
      <c r="AC6" s="4" t="str">
        <f>IFERROR(LOOKUP(2,1/((#REF!=sep!$A6)*(#REF!&lt;=sep!AC$3)*(#REF!&gt;=sep!AC$3)),#REF!),IF(WEEKDAY(sep!AC$3,1)=1,"WO","P"))</f>
        <v>P</v>
      </c>
      <c r="AD6" s="4" t="str">
        <f>IFERROR(LOOKUP(2,1/((#REF!=sep!$A6)*(#REF!&lt;=sep!AD$3)*(#REF!&gt;=sep!AD$3)),#REF!),IF(WEEKDAY(sep!AD$3,1)=1,"WO","P"))</f>
        <v>P</v>
      </c>
      <c r="AE6" s="4" t="str">
        <f>IFERROR(LOOKUP(2,1/((#REF!=sep!$A6)*(#REF!&lt;=sep!AE$3)*(#REF!&gt;=sep!AE$3)),#REF!),IF(WEEKDAY(sep!AE$3,1)=1,"WO","P"))</f>
        <v>P</v>
      </c>
      <c r="AF6" s="4" t="str">
        <f>IFERROR(LOOKUP(2,1/((#REF!=sep!$A6)*(#REF!&lt;=sep!AF$3)*(#REF!&gt;=sep!AF$3)),#REF!),IF(WEEKDAY(sep!AF$3,1)=1,"WO","P"))</f>
        <v>WO</v>
      </c>
      <c r="AG6" s="4" t="str">
        <f>IFERROR(LOOKUP(2,1/((#REF!=sep!$A6)*(#REF!&lt;=sep!AG$3)*(#REF!&gt;=sep!AG$3)),#REF!),IF(WEEKDAY(sep!AG$3,1)=1,"WO","P"))</f>
        <v>P</v>
      </c>
      <c r="AH6" s="4" t="str">
        <f>IFERROR(LOOKUP(2,1/((#REF!=sep!$A6)*(#REF!&lt;=sep!AH$3)*(#REF!&gt;=sep!AH$3)),#REF!),IF(WEEKDAY(sep!AH$3,1)=1,"WO","P"))</f>
        <v>P</v>
      </c>
      <c r="AI6" s="4" t="str">
        <f>IFERROR(LOOKUP(2,1/((#REF!=sep!$A6)*(#REF!&lt;=sep!AI$3)*(#REF!&gt;=sep!AI$3)),#REF!),IF(WEEKDAY(sep!AI$3,1)=1,"WO","P"))</f>
        <v>P</v>
      </c>
      <c r="AJ6" s="4">
        <f t="shared" ref="AJ6:AJ54" si="3">COUNTIF($F6:$AI6,"WO")</f>
        <v>4</v>
      </c>
      <c r="AK6" s="4">
        <f t="shared" ref="AK6:AK54" si="4">COUNTIF($F6:$AI6,"H")</f>
        <v>0</v>
      </c>
      <c r="AL6" s="4">
        <f t="shared" ref="AL6:AL54" si="5">COUNTIF($F6:$AI6,"PL")</f>
        <v>0</v>
      </c>
      <c r="AM6" s="4">
        <f t="shared" ref="AM6:AM54" si="6">COUNTIF($F6:$AI6,"LWP")</f>
        <v>0</v>
      </c>
      <c r="AN6" s="4">
        <f t="shared" ref="AN6:AN54" si="7">COUNTIF($F6:$AI6,"HD")</f>
        <v>0</v>
      </c>
      <c r="AO6" s="4">
        <f t="shared" ref="AO6:AO54" si="8">COUNTIF($F6:$AI6,"SL")</f>
        <v>0</v>
      </c>
      <c r="AP6" s="4">
        <f t="shared" ref="AP6:AP54" si="9">COUNTIF($F6:$AI6,"CL")</f>
        <v>0</v>
      </c>
      <c r="AQ6" s="4">
        <f t="shared" ref="AQ6:AQ54" si="10">COUNTIF($F6:$AI6,"A")</f>
        <v>0</v>
      </c>
      <c r="AR6" s="4">
        <f t="shared" ref="AR6:AR54" si="11">COUNTIF($F6:$AI6,"P")</f>
        <v>26</v>
      </c>
      <c r="AS6" s="4">
        <f t="shared" si="2"/>
        <v>30</v>
      </c>
      <c r="AT6" s="4">
        <f t="shared" ref="AT6:AT54" si="12">AJ6+AK6+AL6+AO6+AP6+AR6+(AN6/2)</f>
        <v>30</v>
      </c>
    </row>
    <row r="7" spans="1:78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IFERROR(LOOKUP(2,1/((#REF!=sep!$A7)*(#REF!&lt;=sep!F$3)*(#REF!&gt;=sep!F$3)),#REF!),IF(WEEKDAY(sep!F$3,1)=1,"WO","P"))</f>
        <v>P</v>
      </c>
      <c r="G7" s="4" t="str">
        <f>IFERROR(LOOKUP(2,1/((#REF!=sep!$A7)*(#REF!&lt;=sep!G$3)*(#REF!&gt;=sep!G$3)),#REF!),IF(WEEKDAY(sep!G$3,1)=1,"WO","P"))</f>
        <v>P</v>
      </c>
      <c r="H7" s="4" t="str">
        <f>IFERROR(LOOKUP(2,1/((#REF!=sep!$A7)*(#REF!&lt;=sep!H$3)*(#REF!&gt;=sep!H$3)),#REF!),IF(WEEKDAY(sep!H$3,1)=1,"WO","P"))</f>
        <v>P</v>
      </c>
      <c r="I7" s="4" t="str">
        <f>IFERROR(LOOKUP(2,1/((#REF!=sep!$A7)*(#REF!&lt;=sep!I$3)*(#REF!&gt;=sep!I$3)),#REF!),IF(WEEKDAY(sep!I$3,1)=1,"WO","P"))</f>
        <v>P</v>
      </c>
      <c r="J7" s="4" t="str">
        <f>IFERROR(LOOKUP(2,1/((#REF!=sep!$A7)*(#REF!&lt;=sep!J$3)*(#REF!&gt;=sep!J$3)),#REF!),IF(WEEKDAY(sep!J$3,1)=1,"WO","P"))</f>
        <v>P</v>
      </c>
      <c r="K7" s="4" t="str">
        <f>IFERROR(LOOKUP(2,1/((#REF!=sep!$A7)*(#REF!&lt;=sep!K$3)*(#REF!&gt;=sep!K$3)),#REF!),IF(WEEKDAY(sep!K$3,1)=1,"WO","P"))</f>
        <v>WO</v>
      </c>
      <c r="L7" s="4" t="str">
        <f>IFERROR(LOOKUP(2,1/((#REF!=sep!$A7)*(#REF!&lt;=sep!L$3)*(#REF!&gt;=sep!L$3)),#REF!),IF(WEEKDAY(sep!L$3,1)=1,"WO","P"))</f>
        <v>P</v>
      </c>
      <c r="M7" s="4" t="str">
        <f>IFERROR(LOOKUP(2,1/((#REF!=sep!$A7)*(#REF!&lt;=sep!M$3)*(#REF!&gt;=sep!M$3)),#REF!),IF(WEEKDAY(sep!M$3,1)=1,"WO","P"))</f>
        <v>P</v>
      </c>
      <c r="N7" s="4" t="str">
        <f>IFERROR(LOOKUP(2,1/((#REF!=sep!$A7)*(#REF!&lt;=sep!N$3)*(#REF!&gt;=sep!N$3)),#REF!),IF(WEEKDAY(sep!N$3,1)=1,"WO","P"))</f>
        <v>P</v>
      </c>
      <c r="O7" s="4" t="str">
        <f>IFERROR(LOOKUP(2,1/((#REF!=sep!$A7)*(#REF!&lt;=sep!O$3)*(#REF!&gt;=sep!O$3)),#REF!),IF(WEEKDAY(sep!O$3,1)=1,"WO","P"))</f>
        <v>P</v>
      </c>
      <c r="P7" s="4" t="str">
        <f>IFERROR(LOOKUP(2,1/((#REF!=sep!$A7)*(#REF!&lt;=sep!P$3)*(#REF!&gt;=sep!P$3)),#REF!),IF(WEEKDAY(sep!P$3,1)=1,"WO","P"))</f>
        <v>P</v>
      </c>
      <c r="Q7" s="4" t="str">
        <f>IFERROR(LOOKUP(2,1/((#REF!=sep!$A7)*(#REF!&lt;=sep!Q$3)*(#REF!&gt;=sep!Q$3)),#REF!),IF(WEEKDAY(sep!Q$3,1)=1,"WO","P"))</f>
        <v>P</v>
      </c>
      <c r="R7" s="4" t="str">
        <f>IFERROR(LOOKUP(2,1/((#REF!=sep!$A7)*(#REF!&lt;=sep!R$3)*(#REF!&gt;=sep!R$3)),#REF!),IF(WEEKDAY(sep!R$3,1)=1,"WO","P"))</f>
        <v>WO</v>
      </c>
      <c r="S7" s="4" t="str">
        <f>IFERROR(LOOKUP(2,1/((#REF!=sep!$A7)*(#REF!&lt;=sep!S$3)*(#REF!&gt;=sep!S$3)),#REF!),IF(WEEKDAY(sep!S$3,1)=1,"WO","P"))</f>
        <v>P</v>
      </c>
      <c r="T7" s="4" t="str">
        <f>IFERROR(LOOKUP(2,1/((#REF!=sep!$A7)*(#REF!&lt;=sep!T$3)*(#REF!&gt;=sep!T$3)),#REF!),IF(WEEKDAY(sep!T$3,1)=1,"WO","P"))</f>
        <v>P</v>
      </c>
      <c r="U7" s="4" t="str">
        <f>IFERROR(LOOKUP(2,1/((#REF!=sep!$A7)*(#REF!&lt;=sep!U$3)*(#REF!&gt;=sep!U$3)),#REF!),IF(WEEKDAY(sep!U$3,1)=1,"WO","P"))</f>
        <v>P</v>
      </c>
      <c r="V7" s="4" t="str">
        <f>IFERROR(LOOKUP(2,1/((#REF!=sep!$A7)*(#REF!&lt;=sep!V$3)*(#REF!&gt;=sep!V$3)),#REF!),IF(WEEKDAY(sep!V$3,1)=1,"WO","P"))</f>
        <v>P</v>
      </c>
      <c r="W7" s="4" t="str">
        <f>IFERROR(LOOKUP(2,1/((#REF!=sep!$A7)*(#REF!&lt;=sep!W$3)*(#REF!&gt;=sep!W$3)),#REF!),IF(WEEKDAY(sep!W$3,1)=1,"WO","P"))</f>
        <v>P</v>
      </c>
      <c r="X7" s="4" t="str">
        <f>IFERROR(LOOKUP(2,1/((#REF!=sep!$A7)*(#REF!&lt;=sep!X$3)*(#REF!&gt;=sep!X$3)),#REF!),IF(WEEKDAY(sep!X$3,1)=1,"WO","P"))</f>
        <v>P</v>
      </c>
      <c r="Y7" s="4" t="str">
        <f>IFERROR(LOOKUP(2,1/((#REF!=sep!$A7)*(#REF!&lt;=sep!Y$3)*(#REF!&gt;=sep!Y$3)),#REF!),IF(WEEKDAY(sep!Y$3,1)=1,"WO","P"))</f>
        <v>WO</v>
      </c>
      <c r="Z7" s="4" t="str">
        <f>IFERROR(LOOKUP(2,1/((#REF!=sep!$A7)*(#REF!&lt;=sep!Z$3)*(#REF!&gt;=sep!Z$3)),#REF!),IF(WEEKDAY(sep!Z$3,1)=1,"WO","P"))</f>
        <v>P</v>
      </c>
      <c r="AA7" s="4" t="str">
        <f>IFERROR(LOOKUP(2,1/((#REF!=sep!$A7)*(#REF!&lt;=sep!AA$3)*(#REF!&gt;=sep!AA$3)),#REF!),IF(WEEKDAY(sep!AA$3,1)=1,"WO","P"))</f>
        <v>P</v>
      </c>
      <c r="AB7" s="4" t="str">
        <f>IFERROR(LOOKUP(2,1/((#REF!=sep!$A7)*(#REF!&lt;=sep!AB$3)*(#REF!&gt;=sep!AB$3)),#REF!),IF(WEEKDAY(sep!AB$3,1)=1,"WO","P"))</f>
        <v>P</v>
      </c>
      <c r="AC7" s="4" t="str">
        <f>IFERROR(LOOKUP(2,1/((#REF!=sep!$A7)*(#REF!&lt;=sep!AC$3)*(#REF!&gt;=sep!AC$3)),#REF!),IF(WEEKDAY(sep!AC$3,1)=1,"WO","P"))</f>
        <v>P</v>
      </c>
      <c r="AD7" s="4" t="str">
        <f>IFERROR(LOOKUP(2,1/((#REF!=sep!$A7)*(#REF!&lt;=sep!AD$3)*(#REF!&gt;=sep!AD$3)),#REF!),IF(WEEKDAY(sep!AD$3,1)=1,"WO","P"))</f>
        <v>P</v>
      </c>
      <c r="AE7" s="4" t="str">
        <f>IFERROR(LOOKUP(2,1/((#REF!=sep!$A7)*(#REF!&lt;=sep!AE$3)*(#REF!&gt;=sep!AE$3)),#REF!),IF(WEEKDAY(sep!AE$3,1)=1,"WO","P"))</f>
        <v>P</v>
      </c>
      <c r="AF7" s="4" t="str">
        <f>IFERROR(LOOKUP(2,1/((#REF!=sep!$A7)*(#REF!&lt;=sep!AF$3)*(#REF!&gt;=sep!AF$3)),#REF!),IF(WEEKDAY(sep!AF$3,1)=1,"WO","P"))</f>
        <v>WO</v>
      </c>
      <c r="AG7" s="4" t="str">
        <f>IFERROR(LOOKUP(2,1/((#REF!=sep!$A7)*(#REF!&lt;=sep!AG$3)*(#REF!&gt;=sep!AG$3)),#REF!),IF(WEEKDAY(sep!AG$3,1)=1,"WO","P"))</f>
        <v>P</v>
      </c>
      <c r="AH7" s="4" t="str">
        <f>IFERROR(LOOKUP(2,1/((#REF!=sep!$A7)*(#REF!&lt;=sep!AH$3)*(#REF!&gt;=sep!AH$3)),#REF!),IF(WEEKDAY(sep!AH$3,1)=1,"WO","P"))</f>
        <v>P</v>
      </c>
      <c r="AI7" s="4" t="str">
        <f>IFERROR(LOOKUP(2,1/((#REF!=sep!$A7)*(#REF!&lt;=sep!AI$3)*(#REF!&gt;=sep!AI$3)),#REF!),IF(WEEKDAY(sep!AI$3,1)=1,"WO","P"))</f>
        <v>P</v>
      </c>
      <c r="AJ7" s="4">
        <f t="shared" si="3"/>
        <v>4</v>
      </c>
      <c r="AK7" s="4">
        <f t="shared" si="4"/>
        <v>0</v>
      </c>
      <c r="AL7" s="4">
        <f t="shared" si="5"/>
        <v>0</v>
      </c>
      <c r="AM7" s="4">
        <f t="shared" si="6"/>
        <v>0</v>
      </c>
      <c r="AN7" s="4">
        <f t="shared" si="7"/>
        <v>0</v>
      </c>
      <c r="AO7" s="4">
        <f t="shared" si="8"/>
        <v>0</v>
      </c>
      <c r="AP7" s="4">
        <f t="shared" si="9"/>
        <v>0</v>
      </c>
      <c r="AQ7" s="4">
        <f t="shared" si="10"/>
        <v>0</v>
      </c>
      <c r="AR7" s="4">
        <f t="shared" si="11"/>
        <v>26</v>
      </c>
      <c r="AS7" s="4">
        <f t="shared" si="2"/>
        <v>30</v>
      </c>
      <c r="AT7" s="4">
        <f t="shared" si="12"/>
        <v>30</v>
      </c>
    </row>
    <row r="8" spans="1:78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IFERROR(LOOKUP(2,1/((#REF!=sep!$A8)*(#REF!&lt;=sep!F$3)*(#REF!&gt;=sep!F$3)),#REF!),IF(WEEKDAY(sep!F$3,1)=1,"WO","P"))</f>
        <v>P</v>
      </c>
      <c r="G8" s="4" t="str">
        <f>IFERROR(LOOKUP(2,1/((#REF!=sep!$A8)*(#REF!&lt;=sep!G$3)*(#REF!&gt;=sep!G$3)),#REF!),IF(WEEKDAY(sep!G$3,1)=1,"WO","P"))</f>
        <v>P</v>
      </c>
      <c r="H8" s="4" t="str">
        <f>IFERROR(LOOKUP(2,1/((#REF!=sep!$A8)*(#REF!&lt;=sep!H$3)*(#REF!&gt;=sep!H$3)),#REF!),IF(WEEKDAY(sep!H$3,1)=1,"WO","P"))</f>
        <v>P</v>
      </c>
      <c r="I8" s="4" t="str">
        <f>IFERROR(LOOKUP(2,1/((#REF!=sep!$A8)*(#REF!&lt;=sep!I$3)*(#REF!&gt;=sep!I$3)),#REF!),IF(WEEKDAY(sep!I$3,1)=1,"WO","P"))</f>
        <v>P</v>
      </c>
      <c r="J8" s="4" t="str">
        <f>IFERROR(LOOKUP(2,1/((#REF!=sep!$A8)*(#REF!&lt;=sep!J$3)*(#REF!&gt;=sep!J$3)),#REF!),IF(WEEKDAY(sep!J$3,1)=1,"WO","P"))</f>
        <v>P</v>
      </c>
      <c r="K8" s="4" t="str">
        <f>IFERROR(LOOKUP(2,1/((#REF!=sep!$A8)*(#REF!&lt;=sep!K$3)*(#REF!&gt;=sep!K$3)),#REF!),IF(WEEKDAY(sep!K$3,1)=1,"WO","P"))</f>
        <v>WO</v>
      </c>
      <c r="L8" s="4" t="str">
        <f>IFERROR(LOOKUP(2,1/((#REF!=sep!$A8)*(#REF!&lt;=sep!L$3)*(#REF!&gt;=sep!L$3)),#REF!),IF(WEEKDAY(sep!L$3,1)=1,"WO","P"))</f>
        <v>P</v>
      </c>
      <c r="M8" s="4" t="str">
        <f>IFERROR(LOOKUP(2,1/((#REF!=sep!$A8)*(#REF!&lt;=sep!M$3)*(#REF!&gt;=sep!M$3)),#REF!),IF(WEEKDAY(sep!M$3,1)=1,"WO","P"))</f>
        <v>P</v>
      </c>
      <c r="N8" s="4" t="str">
        <f>IFERROR(LOOKUP(2,1/((#REF!=sep!$A8)*(#REF!&lt;=sep!N$3)*(#REF!&gt;=sep!N$3)),#REF!),IF(WEEKDAY(sep!N$3,1)=1,"WO","P"))</f>
        <v>P</v>
      </c>
      <c r="O8" s="4" t="str">
        <f>IFERROR(LOOKUP(2,1/((#REF!=sep!$A8)*(#REF!&lt;=sep!O$3)*(#REF!&gt;=sep!O$3)),#REF!),IF(WEEKDAY(sep!O$3,1)=1,"WO","P"))</f>
        <v>P</v>
      </c>
      <c r="P8" s="4" t="str">
        <f>IFERROR(LOOKUP(2,1/((#REF!=sep!$A8)*(#REF!&lt;=sep!P$3)*(#REF!&gt;=sep!P$3)),#REF!),IF(WEEKDAY(sep!P$3,1)=1,"WO","P"))</f>
        <v>P</v>
      </c>
      <c r="Q8" s="4" t="str">
        <f>IFERROR(LOOKUP(2,1/((#REF!=sep!$A8)*(#REF!&lt;=sep!Q$3)*(#REF!&gt;=sep!Q$3)),#REF!),IF(WEEKDAY(sep!Q$3,1)=1,"WO","P"))</f>
        <v>P</v>
      </c>
      <c r="R8" s="4" t="str">
        <f>IFERROR(LOOKUP(2,1/((#REF!=sep!$A8)*(#REF!&lt;=sep!R$3)*(#REF!&gt;=sep!R$3)),#REF!),IF(WEEKDAY(sep!R$3,1)=1,"WO","P"))</f>
        <v>WO</v>
      </c>
      <c r="S8" s="4" t="str">
        <f>IFERROR(LOOKUP(2,1/((#REF!=sep!$A8)*(#REF!&lt;=sep!S$3)*(#REF!&gt;=sep!S$3)),#REF!),IF(WEEKDAY(sep!S$3,1)=1,"WO","P"))</f>
        <v>P</v>
      </c>
      <c r="T8" s="4" t="str">
        <f>IFERROR(LOOKUP(2,1/((#REF!=sep!$A8)*(#REF!&lt;=sep!T$3)*(#REF!&gt;=sep!T$3)),#REF!),IF(WEEKDAY(sep!T$3,1)=1,"WO","P"))</f>
        <v>P</v>
      </c>
      <c r="U8" s="4" t="str">
        <f>IFERROR(LOOKUP(2,1/((#REF!=sep!$A8)*(#REF!&lt;=sep!U$3)*(#REF!&gt;=sep!U$3)),#REF!),IF(WEEKDAY(sep!U$3,1)=1,"WO","P"))</f>
        <v>P</v>
      </c>
      <c r="V8" s="4" t="str">
        <f>IFERROR(LOOKUP(2,1/((#REF!=sep!$A8)*(#REF!&lt;=sep!V$3)*(#REF!&gt;=sep!V$3)),#REF!),IF(WEEKDAY(sep!V$3,1)=1,"WO","P"))</f>
        <v>P</v>
      </c>
      <c r="W8" s="4" t="str">
        <f>IFERROR(LOOKUP(2,1/((#REF!=sep!$A8)*(#REF!&lt;=sep!W$3)*(#REF!&gt;=sep!W$3)),#REF!),IF(WEEKDAY(sep!W$3,1)=1,"WO","P"))</f>
        <v>P</v>
      </c>
      <c r="X8" s="4" t="str">
        <f>IFERROR(LOOKUP(2,1/((#REF!=sep!$A8)*(#REF!&lt;=sep!X$3)*(#REF!&gt;=sep!X$3)),#REF!),IF(WEEKDAY(sep!X$3,1)=1,"WO","P"))</f>
        <v>P</v>
      </c>
      <c r="Y8" s="4" t="str">
        <f>IFERROR(LOOKUP(2,1/((#REF!=sep!$A8)*(#REF!&lt;=sep!Y$3)*(#REF!&gt;=sep!Y$3)),#REF!),IF(WEEKDAY(sep!Y$3,1)=1,"WO","P"))</f>
        <v>WO</v>
      </c>
      <c r="Z8" s="4" t="str">
        <f>IFERROR(LOOKUP(2,1/((#REF!=sep!$A8)*(#REF!&lt;=sep!Z$3)*(#REF!&gt;=sep!Z$3)),#REF!),IF(WEEKDAY(sep!Z$3,1)=1,"WO","P"))</f>
        <v>P</v>
      </c>
      <c r="AA8" s="4" t="str">
        <f>IFERROR(LOOKUP(2,1/((#REF!=sep!$A8)*(#REF!&lt;=sep!AA$3)*(#REF!&gt;=sep!AA$3)),#REF!),IF(WEEKDAY(sep!AA$3,1)=1,"WO","P"))</f>
        <v>P</v>
      </c>
      <c r="AB8" s="4" t="str">
        <f>IFERROR(LOOKUP(2,1/((#REF!=sep!$A8)*(#REF!&lt;=sep!AB$3)*(#REF!&gt;=sep!AB$3)),#REF!),IF(WEEKDAY(sep!AB$3,1)=1,"WO","P"))</f>
        <v>P</v>
      </c>
      <c r="AC8" s="4" t="str">
        <f>IFERROR(LOOKUP(2,1/((#REF!=sep!$A8)*(#REF!&lt;=sep!AC$3)*(#REF!&gt;=sep!AC$3)),#REF!),IF(WEEKDAY(sep!AC$3,1)=1,"WO","P"))</f>
        <v>P</v>
      </c>
      <c r="AD8" s="4" t="str">
        <f>IFERROR(LOOKUP(2,1/((#REF!=sep!$A8)*(#REF!&lt;=sep!AD$3)*(#REF!&gt;=sep!AD$3)),#REF!),IF(WEEKDAY(sep!AD$3,1)=1,"WO","P"))</f>
        <v>P</v>
      </c>
      <c r="AE8" s="4" t="str">
        <f>IFERROR(LOOKUP(2,1/((#REF!=sep!$A8)*(#REF!&lt;=sep!AE$3)*(#REF!&gt;=sep!AE$3)),#REF!),IF(WEEKDAY(sep!AE$3,1)=1,"WO","P"))</f>
        <v>P</v>
      </c>
      <c r="AF8" s="4" t="str">
        <f>IFERROR(LOOKUP(2,1/((#REF!=sep!$A8)*(#REF!&lt;=sep!AF$3)*(#REF!&gt;=sep!AF$3)),#REF!),IF(WEEKDAY(sep!AF$3,1)=1,"WO","P"))</f>
        <v>WO</v>
      </c>
      <c r="AG8" s="4" t="str">
        <f>IFERROR(LOOKUP(2,1/((#REF!=sep!$A8)*(#REF!&lt;=sep!AG$3)*(#REF!&gt;=sep!AG$3)),#REF!),IF(WEEKDAY(sep!AG$3,1)=1,"WO","P"))</f>
        <v>P</v>
      </c>
      <c r="AH8" s="4" t="str">
        <f>IFERROR(LOOKUP(2,1/((#REF!=sep!$A8)*(#REF!&lt;=sep!AH$3)*(#REF!&gt;=sep!AH$3)),#REF!),IF(WEEKDAY(sep!AH$3,1)=1,"WO","P"))</f>
        <v>P</v>
      </c>
      <c r="AI8" s="4" t="str">
        <f>IFERROR(LOOKUP(2,1/((#REF!=sep!$A8)*(#REF!&lt;=sep!AI$3)*(#REF!&gt;=sep!AI$3)),#REF!),IF(WEEKDAY(sep!AI$3,1)=1,"WO","P"))</f>
        <v>P</v>
      </c>
      <c r="AJ8" s="4">
        <f t="shared" si="3"/>
        <v>4</v>
      </c>
      <c r="AK8" s="4">
        <f t="shared" si="4"/>
        <v>0</v>
      </c>
      <c r="AL8" s="4">
        <f t="shared" si="5"/>
        <v>0</v>
      </c>
      <c r="AM8" s="4">
        <f t="shared" si="6"/>
        <v>0</v>
      </c>
      <c r="AN8" s="4">
        <f t="shared" si="7"/>
        <v>0</v>
      </c>
      <c r="AO8" s="4">
        <f t="shared" si="8"/>
        <v>0</v>
      </c>
      <c r="AP8" s="4">
        <f t="shared" si="9"/>
        <v>0</v>
      </c>
      <c r="AQ8" s="4">
        <f t="shared" si="10"/>
        <v>0</v>
      </c>
      <c r="AR8" s="4">
        <f t="shared" si="11"/>
        <v>26</v>
      </c>
      <c r="AS8" s="4">
        <f t="shared" si="2"/>
        <v>30</v>
      </c>
      <c r="AT8" s="4">
        <f t="shared" si="12"/>
        <v>30</v>
      </c>
    </row>
    <row r="9" spans="1:78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IFERROR(LOOKUP(2,1/((#REF!=sep!$A9)*(#REF!&lt;=sep!F$3)*(#REF!&gt;=sep!F$3)),#REF!),IF(WEEKDAY(sep!F$3,1)=1,"WO","P"))</f>
        <v>P</v>
      </c>
      <c r="G9" s="4" t="str">
        <f>IFERROR(LOOKUP(2,1/((#REF!=sep!$A9)*(#REF!&lt;=sep!G$3)*(#REF!&gt;=sep!G$3)),#REF!),IF(WEEKDAY(sep!G$3,1)=1,"WO","P"))</f>
        <v>P</v>
      </c>
      <c r="H9" s="4" t="str">
        <f>IFERROR(LOOKUP(2,1/((#REF!=sep!$A9)*(#REF!&lt;=sep!H$3)*(#REF!&gt;=sep!H$3)),#REF!),IF(WEEKDAY(sep!H$3,1)=1,"WO","P"))</f>
        <v>P</v>
      </c>
      <c r="I9" s="4" t="str">
        <f>IFERROR(LOOKUP(2,1/((#REF!=sep!$A9)*(#REF!&lt;=sep!I$3)*(#REF!&gt;=sep!I$3)),#REF!),IF(WEEKDAY(sep!I$3,1)=1,"WO","P"))</f>
        <v>P</v>
      </c>
      <c r="J9" s="4" t="str">
        <f>IFERROR(LOOKUP(2,1/((#REF!=sep!$A9)*(#REF!&lt;=sep!J$3)*(#REF!&gt;=sep!J$3)),#REF!),IF(WEEKDAY(sep!J$3,1)=1,"WO","P"))</f>
        <v>P</v>
      </c>
      <c r="K9" s="4" t="str">
        <f>IFERROR(LOOKUP(2,1/((#REF!=sep!$A9)*(#REF!&lt;=sep!K$3)*(#REF!&gt;=sep!K$3)),#REF!),IF(WEEKDAY(sep!K$3,1)=1,"WO","P"))</f>
        <v>WO</v>
      </c>
      <c r="L9" s="4" t="str">
        <f>IFERROR(LOOKUP(2,1/((#REF!=sep!$A9)*(#REF!&lt;=sep!L$3)*(#REF!&gt;=sep!L$3)),#REF!),IF(WEEKDAY(sep!L$3,1)=1,"WO","P"))</f>
        <v>P</v>
      </c>
      <c r="M9" s="4" t="str">
        <f>IFERROR(LOOKUP(2,1/((#REF!=sep!$A9)*(#REF!&lt;=sep!M$3)*(#REF!&gt;=sep!M$3)),#REF!),IF(WEEKDAY(sep!M$3,1)=1,"WO","P"))</f>
        <v>P</v>
      </c>
      <c r="N9" s="4" t="str">
        <f>IFERROR(LOOKUP(2,1/((#REF!=sep!$A9)*(#REF!&lt;=sep!N$3)*(#REF!&gt;=sep!N$3)),#REF!),IF(WEEKDAY(sep!N$3,1)=1,"WO","P"))</f>
        <v>P</v>
      </c>
      <c r="O9" s="4" t="str">
        <f>IFERROR(LOOKUP(2,1/((#REF!=sep!$A9)*(#REF!&lt;=sep!O$3)*(#REF!&gt;=sep!O$3)),#REF!),IF(WEEKDAY(sep!O$3,1)=1,"WO","P"))</f>
        <v>P</v>
      </c>
      <c r="P9" s="4" t="str">
        <f>IFERROR(LOOKUP(2,1/((#REF!=sep!$A9)*(#REF!&lt;=sep!P$3)*(#REF!&gt;=sep!P$3)),#REF!),IF(WEEKDAY(sep!P$3,1)=1,"WO","P"))</f>
        <v>P</v>
      </c>
      <c r="Q9" s="4" t="str">
        <f>IFERROR(LOOKUP(2,1/((#REF!=sep!$A9)*(#REF!&lt;=sep!Q$3)*(#REF!&gt;=sep!Q$3)),#REF!),IF(WEEKDAY(sep!Q$3,1)=1,"WO","P"))</f>
        <v>P</v>
      </c>
      <c r="R9" s="4" t="str">
        <f>IFERROR(LOOKUP(2,1/((#REF!=sep!$A9)*(#REF!&lt;=sep!R$3)*(#REF!&gt;=sep!R$3)),#REF!),IF(WEEKDAY(sep!R$3,1)=1,"WO","P"))</f>
        <v>WO</v>
      </c>
      <c r="S9" s="4" t="str">
        <f>IFERROR(LOOKUP(2,1/((#REF!=sep!$A9)*(#REF!&lt;=sep!S$3)*(#REF!&gt;=sep!S$3)),#REF!),IF(WEEKDAY(sep!S$3,1)=1,"WO","P"))</f>
        <v>P</v>
      </c>
      <c r="T9" s="4" t="str">
        <f>IFERROR(LOOKUP(2,1/((#REF!=sep!$A9)*(#REF!&lt;=sep!T$3)*(#REF!&gt;=sep!T$3)),#REF!),IF(WEEKDAY(sep!T$3,1)=1,"WO","P"))</f>
        <v>P</v>
      </c>
      <c r="U9" s="4" t="str">
        <f>IFERROR(LOOKUP(2,1/((#REF!=sep!$A9)*(#REF!&lt;=sep!U$3)*(#REF!&gt;=sep!U$3)),#REF!),IF(WEEKDAY(sep!U$3,1)=1,"WO","P"))</f>
        <v>P</v>
      </c>
      <c r="V9" s="4" t="str">
        <f>IFERROR(LOOKUP(2,1/((#REF!=sep!$A9)*(#REF!&lt;=sep!V$3)*(#REF!&gt;=sep!V$3)),#REF!),IF(WEEKDAY(sep!V$3,1)=1,"WO","P"))</f>
        <v>P</v>
      </c>
      <c r="W9" s="4" t="str">
        <f>IFERROR(LOOKUP(2,1/((#REF!=sep!$A9)*(#REF!&lt;=sep!W$3)*(#REF!&gt;=sep!W$3)),#REF!),IF(WEEKDAY(sep!W$3,1)=1,"WO","P"))</f>
        <v>P</v>
      </c>
      <c r="X9" s="4" t="str">
        <f>IFERROR(LOOKUP(2,1/((#REF!=sep!$A9)*(#REF!&lt;=sep!X$3)*(#REF!&gt;=sep!X$3)),#REF!),IF(WEEKDAY(sep!X$3,1)=1,"WO","P"))</f>
        <v>P</v>
      </c>
      <c r="Y9" s="4" t="str">
        <f>IFERROR(LOOKUP(2,1/((#REF!=sep!$A9)*(#REF!&lt;=sep!Y$3)*(#REF!&gt;=sep!Y$3)),#REF!),IF(WEEKDAY(sep!Y$3,1)=1,"WO","P"))</f>
        <v>WO</v>
      </c>
      <c r="Z9" s="4" t="str">
        <f>IFERROR(LOOKUP(2,1/((#REF!=sep!$A9)*(#REF!&lt;=sep!Z$3)*(#REF!&gt;=sep!Z$3)),#REF!),IF(WEEKDAY(sep!Z$3,1)=1,"WO","P"))</f>
        <v>P</v>
      </c>
      <c r="AA9" s="4" t="str">
        <f>IFERROR(LOOKUP(2,1/((#REF!=sep!$A9)*(#REF!&lt;=sep!AA$3)*(#REF!&gt;=sep!AA$3)),#REF!),IF(WEEKDAY(sep!AA$3,1)=1,"WO","P"))</f>
        <v>P</v>
      </c>
      <c r="AB9" s="4" t="str">
        <f>IFERROR(LOOKUP(2,1/((#REF!=sep!$A9)*(#REF!&lt;=sep!AB$3)*(#REF!&gt;=sep!AB$3)),#REF!),IF(WEEKDAY(sep!AB$3,1)=1,"WO","P"))</f>
        <v>P</v>
      </c>
      <c r="AC9" s="4" t="str">
        <f>IFERROR(LOOKUP(2,1/((#REF!=sep!$A9)*(#REF!&lt;=sep!AC$3)*(#REF!&gt;=sep!AC$3)),#REF!),IF(WEEKDAY(sep!AC$3,1)=1,"WO","P"))</f>
        <v>P</v>
      </c>
      <c r="AD9" s="4" t="str">
        <f>IFERROR(LOOKUP(2,1/((#REF!=sep!$A9)*(#REF!&lt;=sep!AD$3)*(#REF!&gt;=sep!AD$3)),#REF!),IF(WEEKDAY(sep!AD$3,1)=1,"WO","P"))</f>
        <v>P</v>
      </c>
      <c r="AE9" s="4" t="str">
        <f>IFERROR(LOOKUP(2,1/((#REF!=sep!$A9)*(#REF!&lt;=sep!AE$3)*(#REF!&gt;=sep!AE$3)),#REF!),IF(WEEKDAY(sep!AE$3,1)=1,"WO","P"))</f>
        <v>P</v>
      </c>
      <c r="AF9" s="4" t="str">
        <f>IFERROR(LOOKUP(2,1/((#REF!=sep!$A9)*(#REF!&lt;=sep!AF$3)*(#REF!&gt;=sep!AF$3)),#REF!),IF(WEEKDAY(sep!AF$3,1)=1,"WO","P"))</f>
        <v>WO</v>
      </c>
      <c r="AG9" s="4" t="str">
        <f>IFERROR(LOOKUP(2,1/((#REF!=sep!$A9)*(#REF!&lt;=sep!AG$3)*(#REF!&gt;=sep!AG$3)),#REF!),IF(WEEKDAY(sep!AG$3,1)=1,"WO","P"))</f>
        <v>P</v>
      </c>
      <c r="AH9" s="4" t="str">
        <f>IFERROR(LOOKUP(2,1/((#REF!=sep!$A9)*(#REF!&lt;=sep!AH$3)*(#REF!&gt;=sep!AH$3)),#REF!),IF(WEEKDAY(sep!AH$3,1)=1,"WO","P"))</f>
        <v>P</v>
      </c>
      <c r="AI9" s="4" t="str">
        <f>IFERROR(LOOKUP(2,1/((#REF!=sep!$A9)*(#REF!&lt;=sep!AI$3)*(#REF!&gt;=sep!AI$3)),#REF!),IF(WEEKDAY(sep!AI$3,1)=1,"WO","P"))</f>
        <v>P</v>
      </c>
      <c r="AJ9" s="4">
        <f t="shared" si="3"/>
        <v>4</v>
      </c>
      <c r="AK9" s="4">
        <f t="shared" si="4"/>
        <v>0</v>
      </c>
      <c r="AL9" s="4">
        <f t="shared" si="5"/>
        <v>0</v>
      </c>
      <c r="AM9" s="4">
        <f t="shared" si="6"/>
        <v>0</v>
      </c>
      <c r="AN9" s="4">
        <f t="shared" si="7"/>
        <v>0</v>
      </c>
      <c r="AO9" s="4">
        <f t="shared" si="8"/>
        <v>0</v>
      </c>
      <c r="AP9" s="4">
        <f t="shared" si="9"/>
        <v>0</v>
      </c>
      <c r="AQ9" s="4">
        <f t="shared" si="10"/>
        <v>0</v>
      </c>
      <c r="AR9" s="4">
        <f t="shared" si="11"/>
        <v>26</v>
      </c>
      <c r="AS9" s="4">
        <f t="shared" si="2"/>
        <v>30</v>
      </c>
      <c r="AT9" s="4">
        <f t="shared" si="12"/>
        <v>30</v>
      </c>
    </row>
    <row r="10" spans="1:78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IFERROR(LOOKUP(2,1/((#REF!=sep!$A10)*(#REF!&lt;=sep!F$3)*(#REF!&gt;=sep!F$3)),#REF!),IF(WEEKDAY(sep!F$3,1)=1,"WO","P"))</f>
        <v>P</v>
      </c>
      <c r="G10" s="4" t="str">
        <f>IFERROR(LOOKUP(2,1/((#REF!=sep!$A10)*(#REF!&lt;=sep!G$3)*(#REF!&gt;=sep!G$3)),#REF!),IF(WEEKDAY(sep!G$3,1)=1,"WO","P"))</f>
        <v>P</v>
      </c>
      <c r="H10" s="4" t="str">
        <f>IFERROR(LOOKUP(2,1/((#REF!=sep!$A10)*(#REF!&lt;=sep!H$3)*(#REF!&gt;=sep!H$3)),#REF!),IF(WEEKDAY(sep!H$3,1)=1,"WO","P"))</f>
        <v>P</v>
      </c>
      <c r="I10" s="4" t="str">
        <f>IFERROR(LOOKUP(2,1/((#REF!=sep!$A10)*(#REF!&lt;=sep!I$3)*(#REF!&gt;=sep!I$3)),#REF!),IF(WEEKDAY(sep!I$3,1)=1,"WO","P"))</f>
        <v>P</v>
      </c>
      <c r="J10" s="4" t="str">
        <f>IFERROR(LOOKUP(2,1/((#REF!=sep!$A10)*(#REF!&lt;=sep!J$3)*(#REF!&gt;=sep!J$3)),#REF!),IF(WEEKDAY(sep!J$3,1)=1,"WO","P"))</f>
        <v>P</v>
      </c>
      <c r="K10" s="4" t="str">
        <f>IFERROR(LOOKUP(2,1/((#REF!=sep!$A10)*(#REF!&lt;=sep!K$3)*(#REF!&gt;=sep!K$3)),#REF!),IF(WEEKDAY(sep!K$3,1)=1,"WO","P"))</f>
        <v>WO</v>
      </c>
      <c r="L10" s="4" t="str">
        <f>IFERROR(LOOKUP(2,1/((#REF!=sep!$A10)*(#REF!&lt;=sep!L$3)*(#REF!&gt;=sep!L$3)),#REF!),IF(WEEKDAY(sep!L$3,1)=1,"WO","P"))</f>
        <v>P</v>
      </c>
      <c r="M10" s="4" t="str">
        <f>IFERROR(LOOKUP(2,1/((#REF!=sep!$A10)*(#REF!&lt;=sep!M$3)*(#REF!&gt;=sep!M$3)),#REF!),IF(WEEKDAY(sep!M$3,1)=1,"WO","P"))</f>
        <v>P</v>
      </c>
      <c r="N10" s="4" t="str">
        <f>IFERROR(LOOKUP(2,1/((#REF!=sep!$A10)*(#REF!&lt;=sep!N$3)*(#REF!&gt;=sep!N$3)),#REF!),IF(WEEKDAY(sep!N$3,1)=1,"WO","P"))</f>
        <v>P</v>
      </c>
      <c r="O10" s="4" t="str">
        <f>IFERROR(LOOKUP(2,1/((#REF!=sep!$A10)*(#REF!&lt;=sep!O$3)*(#REF!&gt;=sep!O$3)),#REF!),IF(WEEKDAY(sep!O$3,1)=1,"WO","P"))</f>
        <v>P</v>
      </c>
      <c r="P10" s="4" t="str">
        <f>IFERROR(LOOKUP(2,1/((#REF!=sep!$A10)*(#REF!&lt;=sep!P$3)*(#REF!&gt;=sep!P$3)),#REF!),IF(WEEKDAY(sep!P$3,1)=1,"WO","P"))</f>
        <v>P</v>
      </c>
      <c r="Q10" s="4" t="str">
        <f>IFERROR(LOOKUP(2,1/((#REF!=sep!$A10)*(#REF!&lt;=sep!Q$3)*(#REF!&gt;=sep!Q$3)),#REF!),IF(WEEKDAY(sep!Q$3,1)=1,"WO","P"))</f>
        <v>P</v>
      </c>
      <c r="R10" s="4" t="str">
        <f>IFERROR(LOOKUP(2,1/((#REF!=sep!$A10)*(#REF!&lt;=sep!R$3)*(#REF!&gt;=sep!R$3)),#REF!),IF(WEEKDAY(sep!R$3,1)=1,"WO","P"))</f>
        <v>WO</v>
      </c>
      <c r="S10" s="4" t="str">
        <f>IFERROR(LOOKUP(2,1/((#REF!=sep!$A10)*(#REF!&lt;=sep!S$3)*(#REF!&gt;=sep!S$3)),#REF!),IF(WEEKDAY(sep!S$3,1)=1,"WO","P"))</f>
        <v>P</v>
      </c>
      <c r="T10" s="4" t="str">
        <f>IFERROR(LOOKUP(2,1/((#REF!=sep!$A10)*(#REF!&lt;=sep!T$3)*(#REF!&gt;=sep!T$3)),#REF!),IF(WEEKDAY(sep!T$3,1)=1,"WO","P"))</f>
        <v>P</v>
      </c>
      <c r="U10" s="4" t="str">
        <f>IFERROR(LOOKUP(2,1/((#REF!=sep!$A10)*(#REF!&lt;=sep!U$3)*(#REF!&gt;=sep!U$3)),#REF!),IF(WEEKDAY(sep!U$3,1)=1,"WO","P"))</f>
        <v>P</v>
      </c>
      <c r="V10" s="4" t="str">
        <f>IFERROR(LOOKUP(2,1/((#REF!=sep!$A10)*(#REF!&lt;=sep!V$3)*(#REF!&gt;=sep!V$3)),#REF!),IF(WEEKDAY(sep!V$3,1)=1,"WO","P"))</f>
        <v>P</v>
      </c>
      <c r="W10" s="4" t="str">
        <f>IFERROR(LOOKUP(2,1/((#REF!=sep!$A10)*(#REF!&lt;=sep!W$3)*(#REF!&gt;=sep!W$3)),#REF!),IF(WEEKDAY(sep!W$3,1)=1,"WO","P"))</f>
        <v>P</v>
      </c>
      <c r="X10" s="4" t="str">
        <f>IFERROR(LOOKUP(2,1/((#REF!=sep!$A10)*(#REF!&lt;=sep!X$3)*(#REF!&gt;=sep!X$3)),#REF!),IF(WEEKDAY(sep!X$3,1)=1,"WO","P"))</f>
        <v>P</v>
      </c>
      <c r="Y10" s="4" t="str">
        <f>IFERROR(LOOKUP(2,1/((#REF!=sep!$A10)*(#REF!&lt;=sep!Y$3)*(#REF!&gt;=sep!Y$3)),#REF!),IF(WEEKDAY(sep!Y$3,1)=1,"WO","P"))</f>
        <v>WO</v>
      </c>
      <c r="Z10" s="4" t="str">
        <f>IFERROR(LOOKUP(2,1/((#REF!=sep!$A10)*(#REF!&lt;=sep!Z$3)*(#REF!&gt;=sep!Z$3)),#REF!),IF(WEEKDAY(sep!Z$3,1)=1,"WO","P"))</f>
        <v>P</v>
      </c>
      <c r="AA10" s="4" t="str">
        <f>IFERROR(LOOKUP(2,1/((#REF!=sep!$A10)*(#REF!&lt;=sep!AA$3)*(#REF!&gt;=sep!AA$3)),#REF!),IF(WEEKDAY(sep!AA$3,1)=1,"WO","P"))</f>
        <v>P</v>
      </c>
      <c r="AB10" s="4" t="str">
        <f>IFERROR(LOOKUP(2,1/((#REF!=sep!$A10)*(#REF!&lt;=sep!AB$3)*(#REF!&gt;=sep!AB$3)),#REF!),IF(WEEKDAY(sep!AB$3,1)=1,"WO","P"))</f>
        <v>P</v>
      </c>
      <c r="AC10" s="4" t="str">
        <f>IFERROR(LOOKUP(2,1/((#REF!=sep!$A10)*(#REF!&lt;=sep!AC$3)*(#REF!&gt;=sep!AC$3)),#REF!),IF(WEEKDAY(sep!AC$3,1)=1,"WO","P"))</f>
        <v>P</v>
      </c>
      <c r="AD10" s="4" t="str">
        <f>IFERROR(LOOKUP(2,1/((#REF!=sep!$A10)*(#REF!&lt;=sep!AD$3)*(#REF!&gt;=sep!AD$3)),#REF!),IF(WEEKDAY(sep!AD$3,1)=1,"WO","P"))</f>
        <v>P</v>
      </c>
      <c r="AE10" s="4" t="str">
        <f>IFERROR(LOOKUP(2,1/((#REF!=sep!$A10)*(#REF!&lt;=sep!AE$3)*(#REF!&gt;=sep!AE$3)),#REF!),IF(WEEKDAY(sep!AE$3,1)=1,"WO","P"))</f>
        <v>P</v>
      </c>
      <c r="AF10" s="4" t="str">
        <f>IFERROR(LOOKUP(2,1/((#REF!=sep!$A10)*(#REF!&lt;=sep!AF$3)*(#REF!&gt;=sep!AF$3)),#REF!),IF(WEEKDAY(sep!AF$3,1)=1,"WO","P"))</f>
        <v>WO</v>
      </c>
      <c r="AG10" s="4" t="str">
        <f>IFERROR(LOOKUP(2,1/((#REF!=sep!$A10)*(#REF!&lt;=sep!AG$3)*(#REF!&gt;=sep!AG$3)),#REF!),IF(WEEKDAY(sep!AG$3,1)=1,"WO","P"))</f>
        <v>P</v>
      </c>
      <c r="AH10" s="4" t="str">
        <f>IFERROR(LOOKUP(2,1/((#REF!=sep!$A10)*(#REF!&lt;=sep!AH$3)*(#REF!&gt;=sep!AH$3)),#REF!),IF(WEEKDAY(sep!AH$3,1)=1,"WO","P"))</f>
        <v>P</v>
      </c>
      <c r="AI10" s="4" t="str">
        <f>IFERROR(LOOKUP(2,1/((#REF!=sep!$A10)*(#REF!&lt;=sep!AI$3)*(#REF!&gt;=sep!AI$3)),#REF!),IF(WEEKDAY(sep!AI$3,1)=1,"WO","P"))</f>
        <v>P</v>
      </c>
      <c r="AJ10" s="4">
        <f t="shared" si="3"/>
        <v>4</v>
      </c>
      <c r="AK10" s="4">
        <f t="shared" si="4"/>
        <v>0</v>
      </c>
      <c r="AL10" s="4">
        <f t="shared" si="5"/>
        <v>0</v>
      </c>
      <c r="AM10" s="4">
        <f t="shared" si="6"/>
        <v>0</v>
      </c>
      <c r="AN10" s="4">
        <f t="shared" si="7"/>
        <v>0</v>
      </c>
      <c r="AO10" s="4">
        <f t="shared" si="8"/>
        <v>0</v>
      </c>
      <c r="AP10" s="4">
        <f t="shared" si="9"/>
        <v>0</v>
      </c>
      <c r="AQ10" s="4">
        <f t="shared" si="10"/>
        <v>0</v>
      </c>
      <c r="AR10" s="4">
        <f t="shared" si="11"/>
        <v>26</v>
      </c>
      <c r="AS10" s="4">
        <f t="shared" si="2"/>
        <v>30</v>
      </c>
      <c r="AT10" s="4">
        <f t="shared" si="12"/>
        <v>30</v>
      </c>
    </row>
    <row r="11" spans="1:78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IFERROR(LOOKUP(2,1/((#REF!=sep!$A11)*(#REF!&lt;=sep!F$3)*(#REF!&gt;=sep!F$3)),#REF!),IF(WEEKDAY(sep!F$3,1)=1,"WO","P"))</f>
        <v>P</v>
      </c>
      <c r="G11" s="4" t="str">
        <f>IFERROR(LOOKUP(2,1/((#REF!=sep!$A11)*(#REF!&lt;=sep!G$3)*(#REF!&gt;=sep!G$3)),#REF!),IF(WEEKDAY(sep!G$3,1)=1,"WO","P"))</f>
        <v>P</v>
      </c>
      <c r="H11" s="4" t="str">
        <f>IFERROR(LOOKUP(2,1/((#REF!=sep!$A11)*(#REF!&lt;=sep!H$3)*(#REF!&gt;=sep!H$3)),#REF!),IF(WEEKDAY(sep!H$3,1)=1,"WO","P"))</f>
        <v>P</v>
      </c>
      <c r="I11" s="4" t="str">
        <f>IFERROR(LOOKUP(2,1/((#REF!=sep!$A11)*(#REF!&lt;=sep!I$3)*(#REF!&gt;=sep!I$3)),#REF!),IF(WEEKDAY(sep!I$3,1)=1,"WO","P"))</f>
        <v>P</v>
      </c>
      <c r="J11" s="4" t="str">
        <f>IFERROR(LOOKUP(2,1/((#REF!=sep!$A11)*(#REF!&lt;=sep!J$3)*(#REF!&gt;=sep!J$3)),#REF!),IF(WEEKDAY(sep!J$3,1)=1,"WO","P"))</f>
        <v>P</v>
      </c>
      <c r="K11" s="4" t="str">
        <f>IFERROR(LOOKUP(2,1/((#REF!=sep!$A11)*(#REF!&lt;=sep!K$3)*(#REF!&gt;=sep!K$3)),#REF!),IF(WEEKDAY(sep!K$3,1)=1,"WO","P"))</f>
        <v>WO</v>
      </c>
      <c r="L11" s="4" t="str">
        <f>IFERROR(LOOKUP(2,1/((#REF!=sep!$A11)*(#REF!&lt;=sep!L$3)*(#REF!&gt;=sep!L$3)),#REF!),IF(WEEKDAY(sep!L$3,1)=1,"WO","P"))</f>
        <v>P</v>
      </c>
      <c r="M11" s="4" t="str">
        <f>IFERROR(LOOKUP(2,1/((#REF!=sep!$A11)*(#REF!&lt;=sep!M$3)*(#REF!&gt;=sep!M$3)),#REF!),IF(WEEKDAY(sep!M$3,1)=1,"WO","P"))</f>
        <v>P</v>
      </c>
      <c r="N11" s="4" t="str">
        <f>IFERROR(LOOKUP(2,1/((#REF!=sep!$A11)*(#REF!&lt;=sep!N$3)*(#REF!&gt;=sep!N$3)),#REF!),IF(WEEKDAY(sep!N$3,1)=1,"WO","P"))</f>
        <v>P</v>
      </c>
      <c r="O11" s="4" t="str">
        <f>IFERROR(LOOKUP(2,1/((#REF!=sep!$A11)*(#REF!&lt;=sep!O$3)*(#REF!&gt;=sep!O$3)),#REF!),IF(WEEKDAY(sep!O$3,1)=1,"WO","P"))</f>
        <v>P</v>
      </c>
      <c r="P11" s="4" t="str">
        <f>IFERROR(LOOKUP(2,1/((#REF!=sep!$A11)*(#REF!&lt;=sep!P$3)*(#REF!&gt;=sep!P$3)),#REF!),IF(WEEKDAY(sep!P$3,1)=1,"WO","P"))</f>
        <v>P</v>
      </c>
      <c r="Q11" s="4" t="str">
        <f>IFERROR(LOOKUP(2,1/((#REF!=sep!$A11)*(#REF!&lt;=sep!Q$3)*(#REF!&gt;=sep!Q$3)),#REF!),IF(WEEKDAY(sep!Q$3,1)=1,"WO","P"))</f>
        <v>P</v>
      </c>
      <c r="R11" s="4" t="str">
        <f>IFERROR(LOOKUP(2,1/((#REF!=sep!$A11)*(#REF!&lt;=sep!R$3)*(#REF!&gt;=sep!R$3)),#REF!),IF(WEEKDAY(sep!R$3,1)=1,"WO","P"))</f>
        <v>WO</v>
      </c>
      <c r="S11" s="4" t="str">
        <f>IFERROR(LOOKUP(2,1/((#REF!=sep!$A11)*(#REF!&lt;=sep!S$3)*(#REF!&gt;=sep!S$3)),#REF!),IF(WEEKDAY(sep!S$3,1)=1,"WO","P"))</f>
        <v>P</v>
      </c>
      <c r="T11" s="4" t="str">
        <f>IFERROR(LOOKUP(2,1/((#REF!=sep!$A11)*(#REF!&lt;=sep!T$3)*(#REF!&gt;=sep!T$3)),#REF!),IF(WEEKDAY(sep!T$3,1)=1,"WO","P"))</f>
        <v>P</v>
      </c>
      <c r="U11" s="4" t="str">
        <f>IFERROR(LOOKUP(2,1/((#REF!=sep!$A11)*(#REF!&lt;=sep!U$3)*(#REF!&gt;=sep!U$3)),#REF!),IF(WEEKDAY(sep!U$3,1)=1,"WO","P"))</f>
        <v>P</v>
      </c>
      <c r="V11" s="4" t="str">
        <f>IFERROR(LOOKUP(2,1/((#REF!=sep!$A11)*(#REF!&lt;=sep!V$3)*(#REF!&gt;=sep!V$3)),#REF!),IF(WEEKDAY(sep!V$3,1)=1,"WO","P"))</f>
        <v>P</v>
      </c>
      <c r="W11" s="4" t="str">
        <f>IFERROR(LOOKUP(2,1/((#REF!=sep!$A11)*(#REF!&lt;=sep!W$3)*(#REF!&gt;=sep!W$3)),#REF!),IF(WEEKDAY(sep!W$3,1)=1,"WO","P"))</f>
        <v>P</v>
      </c>
      <c r="X11" s="4" t="str">
        <f>IFERROR(LOOKUP(2,1/((#REF!=sep!$A11)*(#REF!&lt;=sep!X$3)*(#REF!&gt;=sep!X$3)),#REF!),IF(WEEKDAY(sep!X$3,1)=1,"WO","P"))</f>
        <v>P</v>
      </c>
      <c r="Y11" s="4" t="str">
        <f>IFERROR(LOOKUP(2,1/((#REF!=sep!$A11)*(#REF!&lt;=sep!Y$3)*(#REF!&gt;=sep!Y$3)),#REF!),IF(WEEKDAY(sep!Y$3,1)=1,"WO","P"))</f>
        <v>WO</v>
      </c>
      <c r="Z11" s="4" t="str">
        <f>IFERROR(LOOKUP(2,1/((#REF!=sep!$A11)*(#REF!&lt;=sep!Z$3)*(#REF!&gt;=sep!Z$3)),#REF!),IF(WEEKDAY(sep!Z$3,1)=1,"WO","P"))</f>
        <v>P</v>
      </c>
      <c r="AA11" s="4" t="str">
        <f>IFERROR(LOOKUP(2,1/((#REF!=sep!$A11)*(#REF!&lt;=sep!AA$3)*(#REF!&gt;=sep!AA$3)),#REF!),IF(WEEKDAY(sep!AA$3,1)=1,"WO","P"))</f>
        <v>P</v>
      </c>
      <c r="AB11" s="4" t="str">
        <f>IFERROR(LOOKUP(2,1/((#REF!=sep!$A11)*(#REF!&lt;=sep!AB$3)*(#REF!&gt;=sep!AB$3)),#REF!),IF(WEEKDAY(sep!AB$3,1)=1,"WO","P"))</f>
        <v>P</v>
      </c>
      <c r="AC11" s="4" t="str">
        <f>IFERROR(LOOKUP(2,1/((#REF!=sep!$A11)*(#REF!&lt;=sep!AC$3)*(#REF!&gt;=sep!AC$3)),#REF!),IF(WEEKDAY(sep!AC$3,1)=1,"WO","P"))</f>
        <v>P</v>
      </c>
      <c r="AD11" s="4" t="str">
        <f>IFERROR(LOOKUP(2,1/((#REF!=sep!$A11)*(#REF!&lt;=sep!AD$3)*(#REF!&gt;=sep!AD$3)),#REF!),IF(WEEKDAY(sep!AD$3,1)=1,"WO","P"))</f>
        <v>P</v>
      </c>
      <c r="AE11" s="4" t="str">
        <f>IFERROR(LOOKUP(2,1/((#REF!=sep!$A11)*(#REF!&lt;=sep!AE$3)*(#REF!&gt;=sep!AE$3)),#REF!),IF(WEEKDAY(sep!AE$3,1)=1,"WO","P"))</f>
        <v>P</v>
      </c>
      <c r="AF11" s="4" t="str">
        <f>IFERROR(LOOKUP(2,1/((#REF!=sep!$A11)*(#REF!&lt;=sep!AF$3)*(#REF!&gt;=sep!AF$3)),#REF!),IF(WEEKDAY(sep!AF$3,1)=1,"WO","P"))</f>
        <v>WO</v>
      </c>
      <c r="AG11" s="4" t="str">
        <f>IFERROR(LOOKUP(2,1/((#REF!=sep!$A11)*(#REF!&lt;=sep!AG$3)*(#REF!&gt;=sep!AG$3)),#REF!),IF(WEEKDAY(sep!AG$3,1)=1,"WO","P"))</f>
        <v>P</v>
      </c>
      <c r="AH11" s="4" t="str">
        <f>IFERROR(LOOKUP(2,1/((#REF!=sep!$A11)*(#REF!&lt;=sep!AH$3)*(#REF!&gt;=sep!AH$3)),#REF!),IF(WEEKDAY(sep!AH$3,1)=1,"WO","P"))</f>
        <v>P</v>
      </c>
      <c r="AI11" s="4" t="str">
        <f>IFERROR(LOOKUP(2,1/((#REF!=sep!$A11)*(#REF!&lt;=sep!AI$3)*(#REF!&gt;=sep!AI$3)),#REF!),IF(WEEKDAY(sep!AI$3,1)=1,"WO","P"))</f>
        <v>P</v>
      </c>
      <c r="AJ11" s="4">
        <f t="shared" si="3"/>
        <v>4</v>
      </c>
      <c r="AK11" s="4">
        <f t="shared" si="4"/>
        <v>0</v>
      </c>
      <c r="AL11" s="4">
        <f t="shared" si="5"/>
        <v>0</v>
      </c>
      <c r="AM11" s="4">
        <f t="shared" si="6"/>
        <v>0</v>
      </c>
      <c r="AN11" s="4">
        <f t="shared" si="7"/>
        <v>0</v>
      </c>
      <c r="AO11" s="4">
        <f t="shared" si="8"/>
        <v>0</v>
      </c>
      <c r="AP11" s="4">
        <f t="shared" si="9"/>
        <v>0</v>
      </c>
      <c r="AQ11" s="4">
        <f t="shared" si="10"/>
        <v>0</v>
      </c>
      <c r="AR11" s="4">
        <f t="shared" si="11"/>
        <v>26</v>
      </c>
      <c r="AS11" s="4">
        <f t="shared" si="2"/>
        <v>30</v>
      </c>
      <c r="AT11" s="4">
        <f t="shared" si="12"/>
        <v>30</v>
      </c>
    </row>
    <row r="12" spans="1:78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IFERROR(LOOKUP(2,1/((#REF!=sep!$A12)*(#REF!&lt;=sep!F$3)*(#REF!&gt;=sep!F$3)),#REF!),IF(WEEKDAY(sep!F$3,1)=1,"WO","P"))</f>
        <v>P</v>
      </c>
      <c r="G12" s="4" t="str">
        <f>IFERROR(LOOKUP(2,1/((#REF!=sep!$A12)*(#REF!&lt;=sep!G$3)*(#REF!&gt;=sep!G$3)),#REF!),IF(WEEKDAY(sep!G$3,1)=1,"WO","P"))</f>
        <v>P</v>
      </c>
      <c r="H12" s="4" t="str">
        <f>IFERROR(LOOKUP(2,1/((#REF!=sep!$A12)*(#REF!&lt;=sep!H$3)*(#REF!&gt;=sep!H$3)),#REF!),IF(WEEKDAY(sep!H$3,1)=1,"WO","P"))</f>
        <v>P</v>
      </c>
      <c r="I12" s="4" t="str">
        <f>IFERROR(LOOKUP(2,1/((#REF!=sep!$A12)*(#REF!&lt;=sep!I$3)*(#REF!&gt;=sep!I$3)),#REF!),IF(WEEKDAY(sep!I$3,1)=1,"WO","P"))</f>
        <v>P</v>
      </c>
      <c r="J12" s="4" t="str">
        <f>IFERROR(LOOKUP(2,1/((#REF!=sep!$A12)*(#REF!&lt;=sep!J$3)*(#REF!&gt;=sep!J$3)),#REF!),IF(WEEKDAY(sep!J$3,1)=1,"WO","P"))</f>
        <v>P</v>
      </c>
      <c r="K12" s="4" t="str">
        <f>IFERROR(LOOKUP(2,1/((#REF!=sep!$A12)*(#REF!&lt;=sep!K$3)*(#REF!&gt;=sep!K$3)),#REF!),IF(WEEKDAY(sep!K$3,1)=1,"WO","P"))</f>
        <v>WO</v>
      </c>
      <c r="L12" s="4" t="str">
        <f>IFERROR(LOOKUP(2,1/((#REF!=sep!$A12)*(#REF!&lt;=sep!L$3)*(#REF!&gt;=sep!L$3)),#REF!),IF(WEEKDAY(sep!L$3,1)=1,"WO","P"))</f>
        <v>P</v>
      </c>
      <c r="M12" s="4" t="str">
        <f>IFERROR(LOOKUP(2,1/((#REF!=sep!$A12)*(#REF!&lt;=sep!M$3)*(#REF!&gt;=sep!M$3)),#REF!),IF(WEEKDAY(sep!M$3,1)=1,"WO","P"))</f>
        <v>P</v>
      </c>
      <c r="N12" s="4" t="str">
        <f>IFERROR(LOOKUP(2,1/((#REF!=sep!$A12)*(#REF!&lt;=sep!N$3)*(#REF!&gt;=sep!N$3)),#REF!),IF(WEEKDAY(sep!N$3,1)=1,"WO","P"))</f>
        <v>P</v>
      </c>
      <c r="O12" s="4" t="str">
        <f>IFERROR(LOOKUP(2,1/((#REF!=sep!$A12)*(#REF!&lt;=sep!O$3)*(#REF!&gt;=sep!O$3)),#REF!),IF(WEEKDAY(sep!O$3,1)=1,"WO","P"))</f>
        <v>P</v>
      </c>
      <c r="P12" s="4" t="str">
        <f>IFERROR(LOOKUP(2,1/((#REF!=sep!$A12)*(#REF!&lt;=sep!P$3)*(#REF!&gt;=sep!P$3)),#REF!),IF(WEEKDAY(sep!P$3,1)=1,"WO","P"))</f>
        <v>P</v>
      </c>
      <c r="Q12" s="4" t="str">
        <f>IFERROR(LOOKUP(2,1/((#REF!=sep!$A12)*(#REF!&lt;=sep!Q$3)*(#REF!&gt;=sep!Q$3)),#REF!),IF(WEEKDAY(sep!Q$3,1)=1,"WO","P"))</f>
        <v>P</v>
      </c>
      <c r="R12" s="4" t="str">
        <f>IFERROR(LOOKUP(2,1/((#REF!=sep!$A12)*(#REF!&lt;=sep!R$3)*(#REF!&gt;=sep!R$3)),#REF!),IF(WEEKDAY(sep!R$3,1)=1,"WO","P"))</f>
        <v>WO</v>
      </c>
      <c r="S12" s="4" t="str">
        <f>IFERROR(LOOKUP(2,1/((#REF!=sep!$A12)*(#REF!&lt;=sep!S$3)*(#REF!&gt;=sep!S$3)),#REF!),IF(WEEKDAY(sep!S$3,1)=1,"WO","P"))</f>
        <v>P</v>
      </c>
      <c r="T12" s="4" t="str">
        <f>IFERROR(LOOKUP(2,1/((#REF!=sep!$A12)*(#REF!&lt;=sep!T$3)*(#REF!&gt;=sep!T$3)),#REF!),IF(WEEKDAY(sep!T$3,1)=1,"WO","P"))</f>
        <v>P</v>
      </c>
      <c r="U12" s="4" t="str">
        <f>IFERROR(LOOKUP(2,1/((#REF!=sep!$A12)*(#REF!&lt;=sep!U$3)*(#REF!&gt;=sep!U$3)),#REF!),IF(WEEKDAY(sep!U$3,1)=1,"WO","P"))</f>
        <v>P</v>
      </c>
      <c r="V12" s="4" t="str">
        <f>IFERROR(LOOKUP(2,1/((#REF!=sep!$A12)*(#REF!&lt;=sep!V$3)*(#REF!&gt;=sep!V$3)),#REF!),IF(WEEKDAY(sep!V$3,1)=1,"WO","P"))</f>
        <v>P</v>
      </c>
      <c r="W12" s="4" t="str">
        <f>IFERROR(LOOKUP(2,1/((#REF!=sep!$A12)*(#REF!&lt;=sep!W$3)*(#REF!&gt;=sep!W$3)),#REF!),IF(WEEKDAY(sep!W$3,1)=1,"WO","P"))</f>
        <v>P</v>
      </c>
      <c r="X12" s="4" t="str">
        <f>IFERROR(LOOKUP(2,1/((#REF!=sep!$A12)*(#REF!&lt;=sep!X$3)*(#REF!&gt;=sep!X$3)),#REF!),IF(WEEKDAY(sep!X$3,1)=1,"WO","P"))</f>
        <v>P</v>
      </c>
      <c r="Y12" s="4" t="str">
        <f>IFERROR(LOOKUP(2,1/((#REF!=sep!$A12)*(#REF!&lt;=sep!Y$3)*(#REF!&gt;=sep!Y$3)),#REF!),IF(WEEKDAY(sep!Y$3,1)=1,"WO","P"))</f>
        <v>WO</v>
      </c>
      <c r="Z12" s="4" t="str">
        <f>IFERROR(LOOKUP(2,1/((#REF!=sep!$A12)*(#REF!&lt;=sep!Z$3)*(#REF!&gt;=sep!Z$3)),#REF!),IF(WEEKDAY(sep!Z$3,1)=1,"WO","P"))</f>
        <v>P</v>
      </c>
      <c r="AA12" s="4" t="str">
        <f>IFERROR(LOOKUP(2,1/((#REF!=sep!$A12)*(#REF!&lt;=sep!AA$3)*(#REF!&gt;=sep!AA$3)),#REF!),IF(WEEKDAY(sep!AA$3,1)=1,"WO","P"))</f>
        <v>P</v>
      </c>
      <c r="AB12" s="4" t="str">
        <f>IFERROR(LOOKUP(2,1/((#REF!=sep!$A12)*(#REF!&lt;=sep!AB$3)*(#REF!&gt;=sep!AB$3)),#REF!),IF(WEEKDAY(sep!AB$3,1)=1,"WO","P"))</f>
        <v>P</v>
      </c>
      <c r="AC12" s="4" t="str">
        <f>IFERROR(LOOKUP(2,1/((#REF!=sep!$A12)*(#REF!&lt;=sep!AC$3)*(#REF!&gt;=sep!AC$3)),#REF!),IF(WEEKDAY(sep!AC$3,1)=1,"WO","P"))</f>
        <v>P</v>
      </c>
      <c r="AD12" s="4" t="str">
        <f>IFERROR(LOOKUP(2,1/((#REF!=sep!$A12)*(#REF!&lt;=sep!AD$3)*(#REF!&gt;=sep!AD$3)),#REF!),IF(WEEKDAY(sep!AD$3,1)=1,"WO","P"))</f>
        <v>P</v>
      </c>
      <c r="AE12" s="4" t="str">
        <f>IFERROR(LOOKUP(2,1/((#REF!=sep!$A12)*(#REF!&lt;=sep!AE$3)*(#REF!&gt;=sep!AE$3)),#REF!),IF(WEEKDAY(sep!AE$3,1)=1,"WO","P"))</f>
        <v>P</v>
      </c>
      <c r="AF12" s="4" t="str">
        <f>IFERROR(LOOKUP(2,1/((#REF!=sep!$A12)*(#REF!&lt;=sep!AF$3)*(#REF!&gt;=sep!AF$3)),#REF!),IF(WEEKDAY(sep!AF$3,1)=1,"WO","P"))</f>
        <v>WO</v>
      </c>
      <c r="AG12" s="4" t="str">
        <f>IFERROR(LOOKUP(2,1/((#REF!=sep!$A12)*(#REF!&lt;=sep!AG$3)*(#REF!&gt;=sep!AG$3)),#REF!),IF(WEEKDAY(sep!AG$3,1)=1,"WO","P"))</f>
        <v>P</v>
      </c>
      <c r="AH12" s="4" t="str">
        <f>IFERROR(LOOKUP(2,1/((#REF!=sep!$A12)*(#REF!&lt;=sep!AH$3)*(#REF!&gt;=sep!AH$3)),#REF!),IF(WEEKDAY(sep!AH$3,1)=1,"WO","P"))</f>
        <v>P</v>
      </c>
      <c r="AI12" s="4" t="str">
        <f>IFERROR(LOOKUP(2,1/((#REF!=sep!$A12)*(#REF!&lt;=sep!AI$3)*(#REF!&gt;=sep!AI$3)),#REF!),IF(WEEKDAY(sep!AI$3,1)=1,"WO","P"))</f>
        <v>P</v>
      </c>
      <c r="AJ12" s="4">
        <f t="shared" si="3"/>
        <v>4</v>
      </c>
      <c r="AK12" s="4">
        <f t="shared" si="4"/>
        <v>0</v>
      </c>
      <c r="AL12" s="4">
        <f t="shared" si="5"/>
        <v>0</v>
      </c>
      <c r="AM12" s="4">
        <f t="shared" si="6"/>
        <v>0</v>
      </c>
      <c r="AN12" s="4">
        <f t="shared" si="7"/>
        <v>0</v>
      </c>
      <c r="AO12" s="4">
        <f t="shared" si="8"/>
        <v>0</v>
      </c>
      <c r="AP12" s="4">
        <f t="shared" si="9"/>
        <v>0</v>
      </c>
      <c r="AQ12" s="4">
        <f t="shared" si="10"/>
        <v>0</v>
      </c>
      <c r="AR12" s="4">
        <f t="shared" si="11"/>
        <v>26</v>
      </c>
      <c r="AS12" s="4">
        <f t="shared" si="2"/>
        <v>30</v>
      </c>
      <c r="AT12" s="4">
        <f t="shared" si="12"/>
        <v>30</v>
      </c>
    </row>
    <row r="13" spans="1:78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IFERROR(LOOKUP(2,1/((#REF!=sep!$A13)*(#REF!&lt;=sep!F$3)*(#REF!&gt;=sep!F$3)),#REF!),IF(WEEKDAY(sep!F$3,1)=1,"WO","P"))</f>
        <v>P</v>
      </c>
      <c r="G13" s="4" t="str">
        <f>IFERROR(LOOKUP(2,1/((#REF!=sep!$A13)*(#REF!&lt;=sep!G$3)*(#REF!&gt;=sep!G$3)),#REF!),IF(WEEKDAY(sep!G$3,1)=1,"WO","P"))</f>
        <v>P</v>
      </c>
      <c r="H13" s="4" t="str">
        <f>IFERROR(LOOKUP(2,1/((#REF!=sep!$A13)*(#REF!&lt;=sep!H$3)*(#REF!&gt;=sep!H$3)),#REF!),IF(WEEKDAY(sep!H$3,1)=1,"WO","P"))</f>
        <v>P</v>
      </c>
      <c r="I13" s="4" t="str">
        <f>IFERROR(LOOKUP(2,1/((#REF!=sep!$A13)*(#REF!&lt;=sep!I$3)*(#REF!&gt;=sep!I$3)),#REF!),IF(WEEKDAY(sep!I$3,1)=1,"WO","P"))</f>
        <v>P</v>
      </c>
      <c r="J13" s="4" t="str">
        <f>IFERROR(LOOKUP(2,1/((#REF!=sep!$A13)*(#REF!&lt;=sep!J$3)*(#REF!&gt;=sep!J$3)),#REF!),IF(WEEKDAY(sep!J$3,1)=1,"WO","P"))</f>
        <v>P</v>
      </c>
      <c r="K13" s="4" t="str">
        <f>IFERROR(LOOKUP(2,1/((#REF!=sep!$A13)*(#REF!&lt;=sep!K$3)*(#REF!&gt;=sep!K$3)),#REF!),IF(WEEKDAY(sep!K$3,1)=1,"WO","P"))</f>
        <v>WO</v>
      </c>
      <c r="L13" s="4" t="str">
        <f>IFERROR(LOOKUP(2,1/((#REF!=sep!$A13)*(#REF!&lt;=sep!L$3)*(#REF!&gt;=sep!L$3)),#REF!),IF(WEEKDAY(sep!L$3,1)=1,"WO","P"))</f>
        <v>P</v>
      </c>
      <c r="M13" s="4" t="str">
        <f>IFERROR(LOOKUP(2,1/((#REF!=sep!$A13)*(#REF!&lt;=sep!M$3)*(#REF!&gt;=sep!M$3)),#REF!),IF(WEEKDAY(sep!M$3,1)=1,"WO","P"))</f>
        <v>P</v>
      </c>
      <c r="N13" s="4" t="str">
        <f>IFERROR(LOOKUP(2,1/((#REF!=sep!$A13)*(#REF!&lt;=sep!N$3)*(#REF!&gt;=sep!N$3)),#REF!),IF(WEEKDAY(sep!N$3,1)=1,"WO","P"))</f>
        <v>P</v>
      </c>
      <c r="O13" s="4" t="str">
        <f>IFERROR(LOOKUP(2,1/((#REF!=sep!$A13)*(#REF!&lt;=sep!O$3)*(#REF!&gt;=sep!O$3)),#REF!),IF(WEEKDAY(sep!O$3,1)=1,"WO","P"))</f>
        <v>P</v>
      </c>
      <c r="P13" s="4" t="str">
        <f>IFERROR(LOOKUP(2,1/((#REF!=sep!$A13)*(#REF!&lt;=sep!P$3)*(#REF!&gt;=sep!P$3)),#REF!),IF(WEEKDAY(sep!P$3,1)=1,"WO","P"))</f>
        <v>P</v>
      </c>
      <c r="Q13" s="4" t="str">
        <f>IFERROR(LOOKUP(2,1/((#REF!=sep!$A13)*(#REF!&lt;=sep!Q$3)*(#REF!&gt;=sep!Q$3)),#REF!),IF(WEEKDAY(sep!Q$3,1)=1,"WO","P"))</f>
        <v>P</v>
      </c>
      <c r="R13" s="4" t="str">
        <f>IFERROR(LOOKUP(2,1/((#REF!=sep!$A13)*(#REF!&lt;=sep!R$3)*(#REF!&gt;=sep!R$3)),#REF!),IF(WEEKDAY(sep!R$3,1)=1,"WO","P"))</f>
        <v>WO</v>
      </c>
      <c r="S13" s="4" t="str">
        <f>IFERROR(LOOKUP(2,1/((#REF!=sep!$A13)*(#REF!&lt;=sep!S$3)*(#REF!&gt;=sep!S$3)),#REF!),IF(WEEKDAY(sep!S$3,1)=1,"WO","P"))</f>
        <v>P</v>
      </c>
      <c r="T13" s="4" t="str">
        <f>IFERROR(LOOKUP(2,1/((#REF!=sep!$A13)*(#REF!&lt;=sep!T$3)*(#REF!&gt;=sep!T$3)),#REF!),IF(WEEKDAY(sep!T$3,1)=1,"WO","P"))</f>
        <v>P</v>
      </c>
      <c r="U13" s="4" t="str">
        <f>IFERROR(LOOKUP(2,1/((#REF!=sep!$A13)*(#REF!&lt;=sep!U$3)*(#REF!&gt;=sep!U$3)),#REF!),IF(WEEKDAY(sep!U$3,1)=1,"WO","P"))</f>
        <v>P</v>
      </c>
      <c r="V13" s="4" t="str">
        <f>IFERROR(LOOKUP(2,1/((#REF!=sep!$A13)*(#REF!&lt;=sep!V$3)*(#REF!&gt;=sep!V$3)),#REF!),IF(WEEKDAY(sep!V$3,1)=1,"WO","P"))</f>
        <v>P</v>
      </c>
      <c r="W13" s="4" t="str">
        <f>IFERROR(LOOKUP(2,1/((#REF!=sep!$A13)*(#REF!&lt;=sep!W$3)*(#REF!&gt;=sep!W$3)),#REF!),IF(WEEKDAY(sep!W$3,1)=1,"WO","P"))</f>
        <v>P</v>
      </c>
      <c r="X13" s="4" t="str">
        <f>IFERROR(LOOKUP(2,1/((#REF!=sep!$A13)*(#REF!&lt;=sep!X$3)*(#REF!&gt;=sep!X$3)),#REF!),IF(WEEKDAY(sep!X$3,1)=1,"WO","P"))</f>
        <v>P</v>
      </c>
      <c r="Y13" s="4" t="str">
        <f>IFERROR(LOOKUP(2,1/((#REF!=sep!$A13)*(#REF!&lt;=sep!Y$3)*(#REF!&gt;=sep!Y$3)),#REF!),IF(WEEKDAY(sep!Y$3,1)=1,"WO","P"))</f>
        <v>WO</v>
      </c>
      <c r="Z13" s="4" t="str">
        <f>IFERROR(LOOKUP(2,1/((#REF!=sep!$A13)*(#REF!&lt;=sep!Z$3)*(#REF!&gt;=sep!Z$3)),#REF!),IF(WEEKDAY(sep!Z$3,1)=1,"WO","P"))</f>
        <v>P</v>
      </c>
      <c r="AA13" s="4" t="str">
        <f>IFERROR(LOOKUP(2,1/((#REF!=sep!$A13)*(#REF!&lt;=sep!AA$3)*(#REF!&gt;=sep!AA$3)),#REF!),IF(WEEKDAY(sep!AA$3,1)=1,"WO","P"))</f>
        <v>P</v>
      </c>
      <c r="AB13" s="4" t="str">
        <f>IFERROR(LOOKUP(2,1/((#REF!=sep!$A13)*(#REF!&lt;=sep!AB$3)*(#REF!&gt;=sep!AB$3)),#REF!),IF(WEEKDAY(sep!AB$3,1)=1,"WO","P"))</f>
        <v>P</v>
      </c>
      <c r="AC13" s="4" t="str">
        <f>IFERROR(LOOKUP(2,1/((#REF!=sep!$A13)*(#REF!&lt;=sep!AC$3)*(#REF!&gt;=sep!AC$3)),#REF!),IF(WEEKDAY(sep!AC$3,1)=1,"WO","P"))</f>
        <v>P</v>
      </c>
      <c r="AD13" s="4" t="str">
        <f>IFERROR(LOOKUP(2,1/((#REF!=sep!$A13)*(#REF!&lt;=sep!AD$3)*(#REF!&gt;=sep!AD$3)),#REF!),IF(WEEKDAY(sep!AD$3,1)=1,"WO","P"))</f>
        <v>P</v>
      </c>
      <c r="AE13" s="4" t="str">
        <f>IFERROR(LOOKUP(2,1/((#REF!=sep!$A13)*(#REF!&lt;=sep!AE$3)*(#REF!&gt;=sep!AE$3)),#REF!),IF(WEEKDAY(sep!AE$3,1)=1,"WO","P"))</f>
        <v>P</v>
      </c>
      <c r="AF13" s="4" t="str">
        <f>IFERROR(LOOKUP(2,1/((#REF!=sep!$A13)*(#REF!&lt;=sep!AF$3)*(#REF!&gt;=sep!AF$3)),#REF!),IF(WEEKDAY(sep!AF$3,1)=1,"WO","P"))</f>
        <v>WO</v>
      </c>
      <c r="AG13" s="4" t="str">
        <f>IFERROR(LOOKUP(2,1/((#REF!=sep!$A13)*(#REF!&lt;=sep!AG$3)*(#REF!&gt;=sep!AG$3)),#REF!),IF(WEEKDAY(sep!AG$3,1)=1,"WO","P"))</f>
        <v>P</v>
      </c>
      <c r="AH13" s="4" t="str">
        <f>IFERROR(LOOKUP(2,1/((#REF!=sep!$A13)*(#REF!&lt;=sep!AH$3)*(#REF!&gt;=sep!AH$3)),#REF!),IF(WEEKDAY(sep!AH$3,1)=1,"WO","P"))</f>
        <v>P</v>
      </c>
      <c r="AI13" s="4" t="str">
        <f>IFERROR(LOOKUP(2,1/((#REF!=sep!$A13)*(#REF!&lt;=sep!AI$3)*(#REF!&gt;=sep!AI$3)),#REF!),IF(WEEKDAY(sep!AI$3,1)=1,"WO","P"))</f>
        <v>P</v>
      </c>
      <c r="AJ13" s="4">
        <f t="shared" si="3"/>
        <v>4</v>
      </c>
      <c r="AK13" s="4">
        <f t="shared" si="4"/>
        <v>0</v>
      </c>
      <c r="AL13" s="4">
        <f t="shared" si="5"/>
        <v>0</v>
      </c>
      <c r="AM13" s="4">
        <f t="shared" si="6"/>
        <v>0</v>
      </c>
      <c r="AN13" s="4">
        <f t="shared" si="7"/>
        <v>0</v>
      </c>
      <c r="AO13" s="4">
        <f t="shared" si="8"/>
        <v>0</v>
      </c>
      <c r="AP13" s="4">
        <f t="shared" si="9"/>
        <v>0</v>
      </c>
      <c r="AQ13" s="4">
        <f t="shared" si="10"/>
        <v>0</v>
      </c>
      <c r="AR13" s="4">
        <f t="shared" si="11"/>
        <v>26</v>
      </c>
      <c r="AS13" s="4">
        <f t="shared" si="2"/>
        <v>30</v>
      </c>
      <c r="AT13" s="4">
        <f t="shared" si="12"/>
        <v>30</v>
      </c>
    </row>
    <row r="14" spans="1:78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IFERROR(LOOKUP(2,1/((#REF!=sep!$A14)*(#REF!&lt;=sep!F$3)*(#REF!&gt;=sep!F$3)),#REF!),IF(WEEKDAY(sep!F$3,1)=1,"WO","P"))</f>
        <v>P</v>
      </c>
      <c r="G14" s="4" t="str">
        <f>IFERROR(LOOKUP(2,1/((#REF!=sep!$A14)*(#REF!&lt;=sep!G$3)*(#REF!&gt;=sep!G$3)),#REF!),IF(WEEKDAY(sep!G$3,1)=1,"WO","P"))</f>
        <v>P</v>
      </c>
      <c r="H14" s="4" t="str">
        <f>IFERROR(LOOKUP(2,1/((#REF!=sep!$A14)*(#REF!&lt;=sep!H$3)*(#REF!&gt;=sep!H$3)),#REF!),IF(WEEKDAY(sep!H$3,1)=1,"WO","P"))</f>
        <v>P</v>
      </c>
      <c r="I14" s="4" t="str">
        <f>IFERROR(LOOKUP(2,1/((#REF!=sep!$A14)*(#REF!&lt;=sep!I$3)*(#REF!&gt;=sep!I$3)),#REF!),IF(WEEKDAY(sep!I$3,1)=1,"WO","P"))</f>
        <v>P</v>
      </c>
      <c r="J14" s="4" t="str">
        <f>IFERROR(LOOKUP(2,1/((#REF!=sep!$A14)*(#REF!&lt;=sep!J$3)*(#REF!&gt;=sep!J$3)),#REF!),IF(WEEKDAY(sep!J$3,1)=1,"WO","P"))</f>
        <v>P</v>
      </c>
      <c r="K14" s="4" t="str">
        <f>IFERROR(LOOKUP(2,1/((#REF!=sep!$A14)*(#REF!&lt;=sep!K$3)*(#REF!&gt;=sep!K$3)),#REF!),IF(WEEKDAY(sep!K$3,1)=1,"WO","P"))</f>
        <v>WO</v>
      </c>
      <c r="L14" s="4" t="str">
        <f>IFERROR(LOOKUP(2,1/((#REF!=sep!$A14)*(#REF!&lt;=sep!L$3)*(#REF!&gt;=sep!L$3)),#REF!),IF(WEEKDAY(sep!L$3,1)=1,"WO","P"))</f>
        <v>P</v>
      </c>
      <c r="M14" s="4" t="str">
        <f>IFERROR(LOOKUP(2,1/((#REF!=sep!$A14)*(#REF!&lt;=sep!M$3)*(#REF!&gt;=sep!M$3)),#REF!),IF(WEEKDAY(sep!M$3,1)=1,"WO","P"))</f>
        <v>P</v>
      </c>
      <c r="N14" s="4" t="str">
        <f>IFERROR(LOOKUP(2,1/((#REF!=sep!$A14)*(#REF!&lt;=sep!N$3)*(#REF!&gt;=sep!N$3)),#REF!),IF(WEEKDAY(sep!N$3,1)=1,"WO","P"))</f>
        <v>P</v>
      </c>
      <c r="O14" s="4" t="str">
        <f>IFERROR(LOOKUP(2,1/((#REF!=sep!$A14)*(#REF!&lt;=sep!O$3)*(#REF!&gt;=sep!O$3)),#REF!),IF(WEEKDAY(sep!O$3,1)=1,"WO","P"))</f>
        <v>P</v>
      </c>
      <c r="P14" s="4" t="str">
        <f>IFERROR(LOOKUP(2,1/((#REF!=sep!$A14)*(#REF!&lt;=sep!P$3)*(#REF!&gt;=sep!P$3)),#REF!),IF(WEEKDAY(sep!P$3,1)=1,"WO","P"))</f>
        <v>P</v>
      </c>
      <c r="Q14" s="4" t="str">
        <f>IFERROR(LOOKUP(2,1/((#REF!=sep!$A14)*(#REF!&lt;=sep!Q$3)*(#REF!&gt;=sep!Q$3)),#REF!),IF(WEEKDAY(sep!Q$3,1)=1,"WO","P"))</f>
        <v>P</v>
      </c>
      <c r="R14" s="4" t="str">
        <f>IFERROR(LOOKUP(2,1/((#REF!=sep!$A14)*(#REF!&lt;=sep!R$3)*(#REF!&gt;=sep!R$3)),#REF!),IF(WEEKDAY(sep!R$3,1)=1,"WO","P"))</f>
        <v>WO</v>
      </c>
      <c r="S14" s="4" t="str">
        <f>IFERROR(LOOKUP(2,1/((#REF!=sep!$A14)*(#REF!&lt;=sep!S$3)*(#REF!&gt;=sep!S$3)),#REF!),IF(WEEKDAY(sep!S$3,1)=1,"WO","P"))</f>
        <v>P</v>
      </c>
      <c r="T14" s="4" t="str">
        <f>IFERROR(LOOKUP(2,1/((#REF!=sep!$A14)*(#REF!&lt;=sep!T$3)*(#REF!&gt;=sep!T$3)),#REF!),IF(WEEKDAY(sep!T$3,1)=1,"WO","P"))</f>
        <v>P</v>
      </c>
      <c r="U14" s="4" t="str">
        <f>IFERROR(LOOKUP(2,1/((#REF!=sep!$A14)*(#REF!&lt;=sep!U$3)*(#REF!&gt;=sep!U$3)),#REF!),IF(WEEKDAY(sep!U$3,1)=1,"WO","P"))</f>
        <v>P</v>
      </c>
      <c r="V14" s="4" t="str">
        <f>IFERROR(LOOKUP(2,1/((#REF!=sep!$A14)*(#REF!&lt;=sep!V$3)*(#REF!&gt;=sep!V$3)),#REF!),IF(WEEKDAY(sep!V$3,1)=1,"WO","P"))</f>
        <v>P</v>
      </c>
      <c r="W14" s="4" t="str">
        <f>IFERROR(LOOKUP(2,1/((#REF!=sep!$A14)*(#REF!&lt;=sep!W$3)*(#REF!&gt;=sep!W$3)),#REF!),IF(WEEKDAY(sep!W$3,1)=1,"WO","P"))</f>
        <v>P</v>
      </c>
      <c r="X14" s="4" t="str">
        <f>IFERROR(LOOKUP(2,1/((#REF!=sep!$A14)*(#REF!&lt;=sep!X$3)*(#REF!&gt;=sep!X$3)),#REF!),IF(WEEKDAY(sep!X$3,1)=1,"WO","P"))</f>
        <v>P</v>
      </c>
      <c r="Y14" s="4" t="str">
        <f>IFERROR(LOOKUP(2,1/((#REF!=sep!$A14)*(#REF!&lt;=sep!Y$3)*(#REF!&gt;=sep!Y$3)),#REF!),IF(WEEKDAY(sep!Y$3,1)=1,"WO","P"))</f>
        <v>WO</v>
      </c>
      <c r="Z14" s="4" t="str">
        <f>IFERROR(LOOKUP(2,1/((#REF!=sep!$A14)*(#REF!&lt;=sep!Z$3)*(#REF!&gt;=sep!Z$3)),#REF!),IF(WEEKDAY(sep!Z$3,1)=1,"WO","P"))</f>
        <v>P</v>
      </c>
      <c r="AA14" s="4" t="str">
        <f>IFERROR(LOOKUP(2,1/((#REF!=sep!$A14)*(#REF!&lt;=sep!AA$3)*(#REF!&gt;=sep!AA$3)),#REF!),IF(WEEKDAY(sep!AA$3,1)=1,"WO","P"))</f>
        <v>P</v>
      </c>
      <c r="AB14" s="4" t="str">
        <f>IFERROR(LOOKUP(2,1/((#REF!=sep!$A14)*(#REF!&lt;=sep!AB$3)*(#REF!&gt;=sep!AB$3)),#REF!),IF(WEEKDAY(sep!AB$3,1)=1,"WO","P"))</f>
        <v>P</v>
      </c>
      <c r="AC14" s="4" t="str">
        <f>IFERROR(LOOKUP(2,1/((#REF!=sep!$A14)*(#REF!&lt;=sep!AC$3)*(#REF!&gt;=sep!AC$3)),#REF!),IF(WEEKDAY(sep!AC$3,1)=1,"WO","P"))</f>
        <v>P</v>
      </c>
      <c r="AD14" s="4" t="str">
        <f>IFERROR(LOOKUP(2,1/((#REF!=sep!$A14)*(#REF!&lt;=sep!AD$3)*(#REF!&gt;=sep!AD$3)),#REF!),IF(WEEKDAY(sep!AD$3,1)=1,"WO","P"))</f>
        <v>P</v>
      </c>
      <c r="AE14" s="4" t="str">
        <f>IFERROR(LOOKUP(2,1/((#REF!=sep!$A14)*(#REF!&lt;=sep!AE$3)*(#REF!&gt;=sep!AE$3)),#REF!),IF(WEEKDAY(sep!AE$3,1)=1,"WO","P"))</f>
        <v>P</v>
      </c>
      <c r="AF14" s="4" t="str">
        <f>IFERROR(LOOKUP(2,1/((#REF!=sep!$A14)*(#REF!&lt;=sep!AF$3)*(#REF!&gt;=sep!AF$3)),#REF!),IF(WEEKDAY(sep!AF$3,1)=1,"WO","P"))</f>
        <v>WO</v>
      </c>
      <c r="AG14" s="4" t="str">
        <f>IFERROR(LOOKUP(2,1/((#REF!=sep!$A14)*(#REF!&lt;=sep!AG$3)*(#REF!&gt;=sep!AG$3)),#REF!),IF(WEEKDAY(sep!AG$3,1)=1,"WO","P"))</f>
        <v>P</v>
      </c>
      <c r="AH14" s="4" t="str">
        <f>IFERROR(LOOKUP(2,1/((#REF!=sep!$A14)*(#REF!&lt;=sep!AH$3)*(#REF!&gt;=sep!AH$3)),#REF!),IF(WEEKDAY(sep!AH$3,1)=1,"WO","P"))</f>
        <v>P</v>
      </c>
      <c r="AI14" s="4" t="str">
        <f>IFERROR(LOOKUP(2,1/((#REF!=sep!$A14)*(#REF!&lt;=sep!AI$3)*(#REF!&gt;=sep!AI$3)),#REF!),IF(WEEKDAY(sep!AI$3,1)=1,"WO","P"))</f>
        <v>P</v>
      </c>
      <c r="AJ14" s="4">
        <f t="shared" si="3"/>
        <v>4</v>
      </c>
      <c r="AK14" s="4">
        <f t="shared" si="4"/>
        <v>0</v>
      </c>
      <c r="AL14" s="4">
        <f t="shared" si="5"/>
        <v>0</v>
      </c>
      <c r="AM14" s="4">
        <f t="shared" si="6"/>
        <v>0</v>
      </c>
      <c r="AN14" s="4">
        <f t="shared" si="7"/>
        <v>0</v>
      </c>
      <c r="AO14" s="4">
        <f t="shared" si="8"/>
        <v>0</v>
      </c>
      <c r="AP14" s="4">
        <f t="shared" si="9"/>
        <v>0</v>
      </c>
      <c r="AQ14" s="4">
        <f t="shared" si="10"/>
        <v>0</v>
      </c>
      <c r="AR14" s="4">
        <f t="shared" si="11"/>
        <v>26</v>
      </c>
      <c r="AS14" s="4">
        <f t="shared" si="2"/>
        <v>30</v>
      </c>
      <c r="AT14" s="4">
        <f t="shared" si="12"/>
        <v>30</v>
      </c>
    </row>
    <row r="15" spans="1:78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IFERROR(LOOKUP(2,1/((#REF!=sep!$A15)*(#REF!&lt;=sep!F$3)*(#REF!&gt;=sep!F$3)),#REF!),IF(WEEKDAY(sep!F$3,1)=1,"WO","P"))</f>
        <v>P</v>
      </c>
      <c r="G15" s="4" t="str">
        <f>IFERROR(LOOKUP(2,1/((#REF!=sep!$A15)*(#REF!&lt;=sep!G$3)*(#REF!&gt;=sep!G$3)),#REF!),IF(WEEKDAY(sep!G$3,1)=1,"WO","P"))</f>
        <v>P</v>
      </c>
      <c r="H15" s="4" t="str">
        <f>IFERROR(LOOKUP(2,1/((#REF!=sep!$A15)*(#REF!&lt;=sep!H$3)*(#REF!&gt;=sep!H$3)),#REF!),IF(WEEKDAY(sep!H$3,1)=1,"WO","P"))</f>
        <v>P</v>
      </c>
      <c r="I15" s="4" t="str">
        <f>IFERROR(LOOKUP(2,1/((#REF!=sep!$A15)*(#REF!&lt;=sep!I$3)*(#REF!&gt;=sep!I$3)),#REF!),IF(WEEKDAY(sep!I$3,1)=1,"WO","P"))</f>
        <v>P</v>
      </c>
      <c r="J15" s="4" t="str">
        <f>IFERROR(LOOKUP(2,1/((#REF!=sep!$A15)*(#REF!&lt;=sep!J$3)*(#REF!&gt;=sep!J$3)),#REF!),IF(WEEKDAY(sep!J$3,1)=1,"WO","P"))</f>
        <v>P</v>
      </c>
      <c r="K15" s="4" t="str">
        <f>IFERROR(LOOKUP(2,1/((#REF!=sep!$A15)*(#REF!&lt;=sep!K$3)*(#REF!&gt;=sep!K$3)),#REF!),IF(WEEKDAY(sep!K$3,1)=1,"WO","P"))</f>
        <v>WO</v>
      </c>
      <c r="L15" s="4" t="str">
        <f>IFERROR(LOOKUP(2,1/((#REF!=sep!$A15)*(#REF!&lt;=sep!L$3)*(#REF!&gt;=sep!L$3)),#REF!),IF(WEEKDAY(sep!L$3,1)=1,"WO","P"))</f>
        <v>P</v>
      </c>
      <c r="M15" s="4" t="str">
        <f>IFERROR(LOOKUP(2,1/((#REF!=sep!$A15)*(#REF!&lt;=sep!M$3)*(#REF!&gt;=sep!M$3)),#REF!),IF(WEEKDAY(sep!M$3,1)=1,"WO","P"))</f>
        <v>P</v>
      </c>
      <c r="N15" s="4" t="str">
        <f>IFERROR(LOOKUP(2,1/((#REF!=sep!$A15)*(#REF!&lt;=sep!N$3)*(#REF!&gt;=sep!N$3)),#REF!),IF(WEEKDAY(sep!N$3,1)=1,"WO","P"))</f>
        <v>P</v>
      </c>
      <c r="O15" s="4" t="str">
        <f>IFERROR(LOOKUP(2,1/((#REF!=sep!$A15)*(#REF!&lt;=sep!O$3)*(#REF!&gt;=sep!O$3)),#REF!),IF(WEEKDAY(sep!O$3,1)=1,"WO","P"))</f>
        <v>P</v>
      </c>
      <c r="P15" s="4" t="str">
        <f>IFERROR(LOOKUP(2,1/((#REF!=sep!$A15)*(#REF!&lt;=sep!P$3)*(#REF!&gt;=sep!P$3)),#REF!),IF(WEEKDAY(sep!P$3,1)=1,"WO","P"))</f>
        <v>P</v>
      </c>
      <c r="Q15" s="4" t="str">
        <f>IFERROR(LOOKUP(2,1/((#REF!=sep!$A15)*(#REF!&lt;=sep!Q$3)*(#REF!&gt;=sep!Q$3)),#REF!),IF(WEEKDAY(sep!Q$3,1)=1,"WO","P"))</f>
        <v>P</v>
      </c>
      <c r="R15" s="4" t="str">
        <f>IFERROR(LOOKUP(2,1/((#REF!=sep!$A15)*(#REF!&lt;=sep!R$3)*(#REF!&gt;=sep!R$3)),#REF!),IF(WEEKDAY(sep!R$3,1)=1,"WO","P"))</f>
        <v>WO</v>
      </c>
      <c r="S15" s="4" t="str">
        <f>IFERROR(LOOKUP(2,1/((#REF!=sep!$A15)*(#REF!&lt;=sep!S$3)*(#REF!&gt;=sep!S$3)),#REF!),IF(WEEKDAY(sep!S$3,1)=1,"WO","P"))</f>
        <v>P</v>
      </c>
      <c r="T15" s="4" t="str">
        <f>IFERROR(LOOKUP(2,1/((#REF!=sep!$A15)*(#REF!&lt;=sep!T$3)*(#REF!&gt;=sep!T$3)),#REF!),IF(WEEKDAY(sep!T$3,1)=1,"WO","P"))</f>
        <v>P</v>
      </c>
      <c r="U15" s="4" t="str">
        <f>IFERROR(LOOKUP(2,1/((#REF!=sep!$A15)*(#REF!&lt;=sep!U$3)*(#REF!&gt;=sep!U$3)),#REF!),IF(WEEKDAY(sep!U$3,1)=1,"WO","P"))</f>
        <v>P</v>
      </c>
      <c r="V15" s="4" t="str">
        <f>IFERROR(LOOKUP(2,1/((#REF!=sep!$A15)*(#REF!&lt;=sep!V$3)*(#REF!&gt;=sep!V$3)),#REF!),IF(WEEKDAY(sep!V$3,1)=1,"WO","P"))</f>
        <v>P</v>
      </c>
      <c r="W15" s="4" t="str">
        <f>IFERROR(LOOKUP(2,1/((#REF!=sep!$A15)*(#REF!&lt;=sep!W$3)*(#REF!&gt;=sep!W$3)),#REF!),IF(WEEKDAY(sep!W$3,1)=1,"WO","P"))</f>
        <v>P</v>
      </c>
      <c r="X15" s="4" t="str">
        <f>IFERROR(LOOKUP(2,1/((#REF!=sep!$A15)*(#REF!&lt;=sep!X$3)*(#REF!&gt;=sep!X$3)),#REF!),IF(WEEKDAY(sep!X$3,1)=1,"WO","P"))</f>
        <v>P</v>
      </c>
      <c r="Y15" s="4" t="str">
        <f>IFERROR(LOOKUP(2,1/((#REF!=sep!$A15)*(#REF!&lt;=sep!Y$3)*(#REF!&gt;=sep!Y$3)),#REF!),IF(WEEKDAY(sep!Y$3,1)=1,"WO","P"))</f>
        <v>WO</v>
      </c>
      <c r="Z15" s="4" t="str">
        <f>IFERROR(LOOKUP(2,1/((#REF!=sep!$A15)*(#REF!&lt;=sep!Z$3)*(#REF!&gt;=sep!Z$3)),#REF!),IF(WEEKDAY(sep!Z$3,1)=1,"WO","P"))</f>
        <v>P</v>
      </c>
      <c r="AA15" s="4" t="str">
        <f>IFERROR(LOOKUP(2,1/((#REF!=sep!$A15)*(#REF!&lt;=sep!AA$3)*(#REF!&gt;=sep!AA$3)),#REF!),IF(WEEKDAY(sep!AA$3,1)=1,"WO","P"))</f>
        <v>P</v>
      </c>
      <c r="AB15" s="4" t="str">
        <f>IFERROR(LOOKUP(2,1/((#REF!=sep!$A15)*(#REF!&lt;=sep!AB$3)*(#REF!&gt;=sep!AB$3)),#REF!),IF(WEEKDAY(sep!AB$3,1)=1,"WO","P"))</f>
        <v>P</v>
      </c>
      <c r="AC15" s="4" t="str">
        <f>IFERROR(LOOKUP(2,1/((#REF!=sep!$A15)*(#REF!&lt;=sep!AC$3)*(#REF!&gt;=sep!AC$3)),#REF!),IF(WEEKDAY(sep!AC$3,1)=1,"WO","P"))</f>
        <v>P</v>
      </c>
      <c r="AD15" s="4" t="str">
        <f>IFERROR(LOOKUP(2,1/((#REF!=sep!$A15)*(#REF!&lt;=sep!AD$3)*(#REF!&gt;=sep!AD$3)),#REF!),IF(WEEKDAY(sep!AD$3,1)=1,"WO","P"))</f>
        <v>P</v>
      </c>
      <c r="AE15" s="4" t="str">
        <f>IFERROR(LOOKUP(2,1/((#REF!=sep!$A15)*(#REF!&lt;=sep!AE$3)*(#REF!&gt;=sep!AE$3)),#REF!),IF(WEEKDAY(sep!AE$3,1)=1,"WO","P"))</f>
        <v>P</v>
      </c>
      <c r="AF15" s="4" t="str">
        <f>IFERROR(LOOKUP(2,1/((#REF!=sep!$A15)*(#REF!&lt;=sep!AF$3)*(#REF!&gt;=sep!AF$3)),#REF!),IF(WEEKDAY(sep!AF$3,1)=1,"WO","P"))</f>
        <v>WO</v>
      </c>
      <c r="AG15" s="4" t="str">
        <f>IFERROR(LOOKUP(2,1/((#REF!=sep!$A15)*(#REF!&lt;=sep!AG$3)*(#REF!&gt;=sep!AG$3)),#REF!),IF(WEEKDAY(sep!AG$3,1)=1,"WO","P"))</f>
        <v>P</v>
      </c>
      <c r="AH15" s="4" t="str">
        <f>IFERROR(LOOKUP(2,1/((#REF!=sep!$A15)*(#REF!&lt;=sep!AH$3)*(#REF!&gt;=sep!AH$3)),#REF!),IF(WEEKDAY(sep!AH$3,1)=1,"WO","P"))</f>
        <v>P</v>
      </c>
      <c r="AI15" s="4" t="str">
        <f>IFERROR(LOOKUP(2,1/((#REF!=sep!$A15)*(#REF!&lt;=sep!AI$3)*(#REF!&gt;=sep!AI$3)),#REF!),IF(WEEKDAY(sep!AI$3,1)=1,"WO","P"))</f>
        <v>P</v>
      </c>
      <c r="AJ15" s="4">
        <f t="shared" si="3"/>
        <v>4</v>
      </c>
      <c r="AK15" s="4">
        <f t="shared" si="4"/>
        <v>0</v>
      </c>
      <c r="AL15" s="4">
        <f t="shared" si="5"/>
        <v>0</v>
      </c>
      <c r="AM15" s="4">
        <f t="shared" si="6"/>
        <v>0</v>
      </c>
      <c r="AN15" s="4">
        <f t="shared" si="7"/>
        <v>0</v>
      </c>
      <c r="AO15" s="4">
        <f t="shared" si="8"/>
        <v>0</v>
      </c>
      <c r="AP15" s="4">
        <f t="shared" si="9"/>
        <v>0</v>
      </c>
      <c r="AQ15" s="4">
        <f t="shared" si="10"/>
        <v>0</v>
      </c>
      <c r="AR15" s="4">
        <f t="shared" si="11"/>
        <v>26</v>
      </c>
      <c r="AS15" s="4">
        <f t="shared" si="2"/>
        <v>30</v>
      </c>
      <c r="AT15" s="4">
        <f t="shared" si="12"/>
        <v>30</v>
      </c>
    </row>
    <row r="16" spans="1:78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IFERROR(LOOKUP(2,1/((#REF!=sep!$A16)*(#REF!&lt;=sep!F$3)*(#REF!&gt;=sep!F$3)),#REF!),IF(WEEKDAY(sep!F$3,1)=1,"WO","P"))</f>
        <v>P</v>
      </c>
      <c r="G16" s="4" t="str">
        <f>IFERROR(LOOKUP(2,1/((#REF!=sep!$A16)*(#REF!&lt;=sep!G$3)*(#REF!&gt;=sep!G$3)),#REF!),IF(WEEKDAY(sep!G$3,1)=1,"WO","P"))</f>
        <v>P</v>
      </c>
      <c r="H16" s="4" t="str">
        <f>IFERROR(LOOKUP(2,1/((#REF!=sep!$A16)*(#REF!&lt;=sep!H$3)*(#REF!&gt;=sep!H$3)),#REF!),IF(WEEKDAY(sep!H$3,1)=1,"WO","P"))</f>
        <v>P</v>
      </c>
      <c r="I16" s="4" t="str">
        <f>IFERROR(LOOKUP(2,1/((#REF!=sep!$A16)*(#REF!&lt;=sep!I$3)*(#REF!&gt;=sep!I$3)),#REF!),IF(WEEKDAY(sep!I$3,1)=1,"WO","P"))</f>
        <v>P</v>
      </c>
      <c r="J16" s="4" t="str">
        <f>IFERROR(LOOKUP(2,1/((#REF!=sep!$A16)*(#REF!&lt;=sep!J$3)*(#REF!&gt;=sep!J$3)),#REF!),IF(WEEKDAY(sep!J$3,1)=1,"WO","P"))</f>
        <v>P</v>
      </c>
      <c r="K16" s="4" t="str">
        <f>IFERROR(LOOKUP(2,1/((#REF!=sep!$A16)*(#REF!&lt;=sep!K$3)*(#REF!&gt;=sep!K$3)),#REF!),IF(WEEKDAY(sep!K$3,1)=1,"WO","P"))</f>
        <v>WO</v>
      </c>
      <c r="L16" s="4" t="str">
        <f>IFERROR(LOOKUP(2,1/((#REF!=sep!$A16)*(#REF!&lt;=sep!L$3)*(#REF!&gt;=sep!L$3)),#REF!),IF(WEEKDAY(sep!L$3,1)=1,"WO","P"))</f>
        <v>P</v>
      </c>
      <c r="M16" s="4" t="str">
        <f>IFERROR(LOOKUP(2,1/((#REF!=sep!$A16)*(#REF!&lt;=sep!M$3)*(#REF!&gt;=sep!M$3)),#REF!),IF(WEEKDAY(sep!M$3,1)=1,"WO","P"))</f>
        <v>P</v>
      </c>
      <c r="N16" s="4" t="str">
        <f>IFERROR(LOOKUP(2,1/((#REF!=sep!$A16)*(#REF!&lt;=sep!N$3)*(#REF!&gt;=sep!N$3)),#REF!),IF(WEEKDAY(sep!N$3,1)=1,"WO","P"))</f>
        <v>P</v>
      </c>
      <c r="O16" s="4" t="str">
        <f>IFERROR(LOOKUP(2,1/((#REF!=sep!$A16)*(#REF!&lt;=sep!O$3)*(#REF!&gt;=sep!O$3)),#REF!),IF(WEEKDAY(sep!O$3,1)=1,"WO","P"))</f>
        <v>P</v>
      </c>
      <c r="P16" s="4" t="str">
        <f>IFERROR(LOOKUP(2,1/((#REF!=sep!$A16)*(#REF!&lt;=sep!P$3)*(#REF!&gt;=sep!P$3)),#REF!),IF(WEEKDAY(sep!P$3,1)=1,"WO","P"))</f>
        <v>P</v>
      </c>
      <c r="Q16" s="4" t="str">
        <f>IFERROR(LOOKUP(2,1/((#REF!=sep!$A16)*(#REF!&lt;=sep!Q$3)*(#REF!&gt;=sep!Q$3)),#REF!),IF(WEEKDAY(sep!Q$3,1)=1,"WO","P"))</f>
        <v>P</v>
      </c>
      <c r="R16" s="4" t="str">
        <f>IFERROR(LOOKUP(2,1/((#REF!=sep!$A16)*(#REF!&lt;=sep!R$3)*(#REF!&gt;=sep!R$3)),#REF!),IF(WEEKDAY(sep!R$3,1)=1,"WO","P"))</f>
        <v>WO</v>
      </c>
      <c r="S16" s="4" t="str">
        <f>IFERROR(LOOKUP(2,1/((#REF!=sep!$A16)*(#REF!&lt;=sep!S$3)*(#REF!&gt;=sep!S$3)),#REF!),IF(WEEKDAY(sep!S$3,1)=1,"WO","P"))</f>
        <v>P</v>
      </c>
      <c r="T16" s="4" t="str">
        <f>IFERROR(LOOKUP(2,1/((#REF!=sep!$A16)*(#REF!&lt;=sep!T$3)*(#REF!&gt;=sep!T$3)),#REF!),IF(WEEKDAY(sep!T$3,1)=1,"WO","P"))</f>
        <v>P</v>
      </c>
      <c r="U16" s="4" t="str">
        <f>IFERROR(LOOKUP(2,1/((#REF!=sep!$A16)*(#REF!&lt;=sep!U$3)*(#REF!&gt;=sep!U$3)),#REF!),IF(WEEKDAY(sep!U$3,1)=1,"WO","P"))</f>
        <v>P</v>
      </c>
      <c r="V16" s="4" t="str">
        <f>IFERROR(LOOKUP(2,1/((#REF!=sep!$A16)*(#REF!&lt;=sep!V$3)*(#REF!&gt;=sep!V$3)),#REF!),IF(WEEKDAY(sep!V$3,1)=1,"WO","P"))</f>
        <v>P</v>
      </c>
      <c r="W16" s="4" t="str">
        <f>IFERROR(LOOKUP(2,1/((#REF!=sep!$A16)*(#REF!&lt;=sep!W$3)*(#REF!&gt;=sep!W$3)),#REF!),IF(WEEKDAY(sep!W$3,1)=1,"WO","P"))</f>
        <v>P</v>
      </c>
      <c r="X16" s="4" t="str">
        <f>IFERROR(LOOKUP(2,1/((#REF!=sep!$A16)*(#REF!&lt;=sep!X$3)*(#REF!&gt;=sep!X$3)),#REF!),IF(WEEKDAY(sep!X$3,1)=1,"WO","P"))</f>
        <v>P</v>
      </c>
      <c r="Y16" s="4" t="str">
        <f>IFERROR(LOOKUP(2,1/((#REF!=sep!$A16)*(#REF!&lt;=sep!Y$3)*(#REF!&gt;=sep!Y$3)),#REF!),IF(WEEKDAY(sep!Y$3,1)=1,"WO","P"))</f>
        <v>WO</v>
      </c>
      <c r="Z16" s="4" t="str">
        <f>IFERROR(LOOKUP(2,1/((#REF!=sep!$A16)*(#REF!&lt;=sep!Z$3)*(#REF!&gt;=sep!Z$3)),#REF!),IF(WEEKDAY(sep!Z$3,1)=1,"WO","P"))</f>
        <v>P</v>
      </c>
      <c r="AA16" s="4" t="str">
        <f>IFERROR(LOOKUP(2,1/((#REF!=sep!$A16)*(#REF!&lt;=sep!AA$3)*(#REF!&gt;=sep!AA$3)),#REF!),IF(WEEKDAY(sep!AA$3,1)=1,"WO","P"))</f>
        <v>P</v>
      </c>
      <c r="AB16" s="4" t="str">
        <f>IFERROR(LOOKUP(2,1/((#REF!=sep!$A16)*(#REF!&lt;=sep!AB$3)*(#REF!&gt;=sep!AB$3)),#REF!),IF(WEEKDAY(sep!AB$3,1)=1,"WO","P"))</f>
        <v>P</v>
      </c>
      <c r="AC16" s="4" t="str">
        <f>IFERROR(LOOKUP(2,1/((#REF!=sep!$A16)*(#REF!&lt;=sep!AC$3)*(#REF!&gt;=sep!AC$3)),#REF!),IF(WEEKDAY(sep!AC$3,1)=1,"WO","P"))</f>
        <v>P</v>
      </c>
      <c r="AD16" s="4" t="str">
        <f>IFERROR(LOOKUP(2,1/((#REF!=sep!$A16)*(#REF!&lt;=sep!AD$3)*(#REF!&gt;=sep!AD$3)),#REF!),IF(WEEKDAY(sep!AD$3,1)=1,"WO","P"))</f>
        <v>P</v>
      </c>
      <c r="AE16" s="4" t="str">
        <f>IFERROR(LOOKUP(2,1/((#REF!=sep!$A16)*(#REF!&lt;=sep!AE$3)*(#REF!&gt;=sep!AE$3)),#REF!),IF(WEEKDAY(sep!AE$3,1)=1,"WO","P"))</f>
        <v>P</v>
      </c>
      <c r="AF16" s="4" t="str">
        <f>IFERROR(LOOKUP(2,1/((#REF!=sep!$A16)*(#REF!&lt;=sep!AF$3)*(#REF!&gt;=sep!AF$3)),#REF!),IF(WEEKDAY(sep!AF$3,1)=1,"WO","P"))</f>
        <v>WO</v>
      </c>
      <c r="AG16" s="4" t="str">
        <f>IFERROR(LOOKUP(2,1/((#REF!=sep!$A16)*(#REF!&lt;=sep!AG$3)*(#REF!&gt;=sep!AG$3)),#REF!),IF(WEEKDAY(sep!AG$3,1)=1,"WO","P"))</f>
        <v>P</v>
      </c>
      <c r="AH16" s="4" t="str">
        <f>IFERROR(LOOKUP(2,1/((#REF!=sep!$A16)*(#REF!&lt;=sep!AH$3)*(#REF!&gt;=sep!AH$3)),#REF!),IF(WEEKDAY(sep!AH$3,1)=1,"WO","P"))</f>
        <v>P</v>
      </c>
      <c r="AI16" s="4" t="str">
        <f>IFERROR(LOOKUP(2,1/((#REF!=sep!$A16)*(#REF!&lt;=sep!AI$3)*(#REF!&gt;=sep!AI$3)),#REF!),IF(WEEKDAY(sep!AI$3,1)=1,"WO","P"))</f>
        <v>P</v>
      </c>
      <c r="AJ16" s="4">
        <f t="shared" si="3"/>
        <v>4</v>
      </c>
      <c r="AK16" s="4">
        <f t="shared" si="4"/>
        <v>0</v>
      </c>
      <c r="AL16" s="4">
        <f t="shared" si="5"/>
        <v>0</v>
      </c>
      <c r="AM16" s="4">
        <f t="shared" si="6"/>
        <v>0</v>
      </c>
      <c r="AN16" s="4">
        <f t="shared" si="7"/>
        <v>0</v>
      </c>
      <c r="AO16" s="4">
        <f t="shared" si="8"/>
        <v>0</v>
      </c>
      <c r="AP16" s="4">
        <f t="shared" si="9"/>
        <v>0</v>
      </c>
      <c r="AQ16" s="4">
        <f t="shared" si="10"/>
        <v>0</v>
      </c>
      <c r="AR16" s="4">
        <f t="shared" si="11"/>
        <v>26</v>
      </c>
      <c r="AS16" s="4">
        <f t="shared" si="2"/>
        <v>30</v>
      </c>
      <c r="AT16" s="4">
        <f t="shared" si="12"/>
        <v>30</v>
      </c>
    </row>
    <row r="17" spans="1:46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IFERROR(LOOKUP(2,1/((#REF!=sep!$A17)*(#REF!&lt;=sep!F$3)*(#REF!&gt;=sep!F$3)),#REF!),IF(WEEKDAY(sep!F$3,1)=1,"WO","P"))</f>
        <v>P</v>
      </c>
      <c r="G17" s="4" t="str">
        <f>IFERROR(LOOKUP(2,1/((#REF!=sep!$A17)*(#REF!&lt;=sep!G$3)*(#REF!&gt;=sep!G$3)),#REF!),IF(WEEKDAY(sep!G$3,1)=1,"WO","P"))</f>
        <v>P</v>
      </c>
      <c r="H17" s="4" t="str">
        <f>IFERROR(LOOKUP(2,1/((#REF!=sep!$A17)*(#REF!&lt;=sep!H$3)*(#REF!&gt;=sep!H$3)),#REF!),IF(WEEKDAY(sep!H$3,1)=1,"WO","P"))</f>
        <v>P</v>
      </c>
      <c r="I17" s="4" t="str">
        <f>IFERROR(LOOKUP(2,1/((#REF!=sep!$A17)*(#REF!&lt;=sep!I$3)*(#REF!&gt;=sep!I$3)),#REF!),IF(WEEKDAY(sep!I$3,1)=1,"WO","P"))</f>
        <v>P</v>
      </c>
      <c r="J17" s="4" t="str">
        <f>IFERROR(LOOKUP(2,1/((#REF!=sep!$A17)*(#REF!&lt;=sep!J$3)*(#REF!&gt;=sep!J$3)),#REF!),IF(WEEKDAY(sep!J$3,1)=1,"WO","P"))</f>
        <v>P</v>
      </c>
      <c r="K17" s="4" t="str">
        <f>IFERROR(LOOKUP(2,1/((#REF!=sep!$A17)*(#REF!&lt;=sep!K$3)*(#REF!&gt;=sep!K$3)),#REF!),IF(WEEKDAY(sep!K$3,1)=1,"WO","P"))</f>
        <v>WO</v>
      </c>
      <c r="L17" s="4" t="str">
        <f>IFERROR(LOOKUP(2,1/((#REF!=sep!$A17)*(#REF!&lt;=sep!L$3)*(#REF!&gt;=sep!L$3)),#REF!),IF(WEEKDAY(sep!L$3,1)=1,"WO","P"))</f>
        <v>P</v>
      </c>
      <c r="M17" s="4" t="str">
        <f>IFERROR(LOOKUP(2,1/((#REF!=sep!$A17)*(#REF!&lt;=sep!M$3)*(#REF!&gt;=sep!M$3)),#REF!),IF(WEEKDAY(sep!M$3,1)=1,"WO","P"))</f>
        <v>P</v>
      </c>
      <c r="N17" s="4" t="str">
        <f>IFERROR(LOOKUP(2,1/((#REF!=sep!$A17)*(#REF!&lt;=sep!N$3)*(#REF!&gt;=sep!N$3)),#REF!),IF(WEEKDAY(sep!N$3,1)=1,"WO","P"))</f>
        <v>P</v>
      </c>
      <c r="O17" s="4" t="str">
        <f>IFERROR(LOOKUP(2,1/((#REF!=sep!$A17)*(#REF!&lt;=sep!O$3)*(#REF!&gt;=sep!O$3)),#REF!),IF(WEEKDAY(sep!O$3,1)=1,"WO","P"))</f>
        <v>P</v>
      </c>
      <c r="P17" s="4" t="str">
        <f>IFERROR(LOOKUP(2,1/((#REF!=sep!$A17)*(#REF!&lt;=sep!P$3)*(#REF!&gt;=sep!P$3)),#REF!),IF(WEEKDAY(sep!P$3,1)=1,"WO","P"))</f>
        <v>P</v>
      </c>
      <c r="Q17" s="4" t="str">
        <f>IFERROR(LOOKUP(2,1/((#REF!=sep!$A17)*(#REF!&lt;=sep!Q$3)*(#REF!&gt;=sep!Q$3)),#REF!),IF(WEEKDAY(sep!Q$3,1)=1,"WO","P"))</f>
        <v>P</v>
      </c>
      <c r="R17" s="4" t="str">
        <f>IFERROR(LOOKUP(2,1/((#REF!=sep!$A17)*(#REF!&lt;=sep!R$3)*(#REF!&gt;=sep!R$3)),#REF!),IF(WEEKDAY(sep!R$3,1)=1,"WO","P"))</f>
        <v>WO</v>
      </c>
      <c r="S17" s="4" t="str">
        <f>IFERROR(LOOKUP(2,1/((#REF!=sep!$A17)*(#REF!&lt;=sep!S$3)*(#REF!&gt;=sep!S$3)),#REF!),IF(WEEKDAY(sep!S$3,1)=1,"WO","P"))</f>
        <v>P</v>
      </c>
      <c r="T17" s="4" t="str">
        <f>IFERROR(LOOKUP(2,1/((#REF!=sep!$A17)*(#REF!&lt;=sep!T$3)*(#REF!&gt;=sep!T$3)),#REF!),IF(WEEKDAY(sep!T$3,1)=1,"WO","P"))</f>
        <v>P</v>
      </c>
      <c r="U17" s="4" t="str">
        <f>IFERROR(LOOKUP(2,1/((#REF!=sep!$A17)*(#REF!&lt;=sep!U$3)*(#REF!&gt;=sep!U$3)),#REF!),IF(WEEKDAY(sep!U$3,1)=1,"WO","P"))</f>
        <v>P</v>
      </c>
      <c r="V17" s="4" t="str">
        <f>IFERROR(LOOKUP(2,1/((#REF!=sep!$A17)*(#REF!&lt;=sep!V$3)*(#REF!&gt;=sep!V$3)),#REF!),IF(WEEKDAY(sep!V$3,1)=1,"WO","P"))</f>
        <v>P</v>
      </c>
      <c r="W17" s="4" t="str">
        <f>IFERROR(LOOKUP(2,1/((#REF!=sep!$A17)*(#REF!&lt;=sep!W$3)*(#REF!&gt;=sep!W$3)),#REF!),IF(WEEKDAY(sep!W$3,1)=1,"WO","P"))</f>
        <v>P</v>
      </c>
      <c r="X17" s="4" t="str">
        <f>IFERROR(LOOKUP(2,1/((#REF!=sep!$A17)*(#REF!&lt;=sep!X$3)*(#REF!&gt;=sep!X$3)),#REF!),IF(WEEKDAY(sep!X$3,1)=1,"WO","P"))</f>
        <v>P</v>
      </c>
      <c r="Y17" s="4" t="str">
        <f>IFERROR(LOOKUP(2,1/((#REF!=sep!$A17)*(#REF!&lt;=sep!Y$3)*(#REF!&gt;=sep!Y$3)),#REF!),IF(WEEKDAY(sep!Y$3,1)=1,"WO","P"))</f>
        <v>WO</v>
      </c>
      <c r="Z17" s="4" t="str">
        <f>IFERROR(LOOKUP(2,1/((#REF!=sep!$A17)*(#REF!&lt;=sep!Z$3)*(#REF!&gt;=sep!Z$3)),#REF!),IF(WEEKDAY(sep!Z$3,1)=1,"WO","P"))</f>
        <v>P</v>
      </c>
      <c r="AA17" s="4" t="str">
        <f>IFERROR(LOOKUP(2,1/((#REF!=sep!$A17)*(#REF!&lt;=sep!AA$3)*(#REF!&gt;=sep!AA$3)),#REF!),IF(WEEKDAY(sep!AA$3,1)=1,"WO","P"))</f>
        <v>P</v>
      </c>
      <c r="AB17" s="4" t="str">
        <f>IFERROR(LOOKUP(2,1/((#REF!=sep!$A17)*(#REF!&lt;=sep!AB$3)*(#REF!&gt;=sep!AB$3)),#REF!),IF(WEEKDAY(sep!AB$3,1)=1,"WO","P"))</f>
        <v>P</v>
      </c>
      <c r="AC17" s="4" t="str">
        <f>IFERROR(LOOKUP(2,1/((#REF!=sep!$A17)*(#REF!&lt;=sep!AC$3)*(#REF!&gt;=sep!AC$3)),#REF!),IF(WEEKDAY(sep!AC$3,1)=1,"WO","P"))</f>
        <v>P</v>
      </c>
      <c r="AD17" s="4" t="str">
        <f>IFERROR(LOOKUP(2,1/((#REF!=sep!$A17)*(#REF!&lt;=sep!AD$3)*(#REF!&gt;=sep!AD$3)),#REF!),IF(WEEKDAY(sep!AD$3,1)=1,"WO","P"))</f>
        <v>P</v>
      </c>
      <c r="AE17" s="4" t="str">
        <f>IFERROR(LOOKUP(2,1/((#REF!=sep!$A17)*(#REF!&lt;=sep!AE$3)*(#REF!&gt;=sep!AE$3)),#REF!),IF(WEEKDAY(sep!AE$3,1)=1,"WO","P"))</f>
        <v>P</v>
      </c>
      <c r="AF17" s="4" t="str">
        <f>IFERROR(LOOKUP(2,1/((#REF!=sep!$A17)*(#REF!&lt;=sep!AF$3)*(#REF!&gt;=sep!AF$3)),#REF!),IF(WEEKDAY(sep!AF$3,1)=1,"WO","P"))</f>
        <v>WO</v>
      </c>
      <c r="AG17" s="4" t="str">
        <f>IFERROR(LOOKUP(2,1/((#REF!=sep!$A17)*(#REF!&lt;=sep!AG$3)*(#REF!&gt;=sep!AG$3)),#REF!),IF(WEEKDAY(sep!AG$3,1)=1,"WO","P"))</f>
        <v>P</v>
      </c>
      <c r="AH17" s="4" t="str">
        <f>IFERROR(LOOKUP(2,1/((#REF!=sep!$A17)*(#REF!&lt;=sep!AH$3)*(#REF!&gt;=sep!AH$3)),#REF!),IF(WEEKDAY(sep!AH$3,1)=1,"WO","P"))</f>
        <v>P</v>
      </c>
      <c r="AI17" s="4" t="str">
        <f>IFERROR(LOOKUP(2,1/((#REF!=sep!$A17)*(#REF!&lt;=sep!AI$3)*(#REF!&gt;=sep!AI$3)),#REF!),IF(WEEKDAY(sep!AI$3,1)=1,"WO","P"))</f>
        <v>P</v>
      </c>
      <c r="AJ17" s="4">
        <f t="shared" si="3"/>
        <v>4</v>
      </c>
      <c r="AK17" s="4">
        <f t="shared" si="4"/>
        <v>0</v>
      </c>
      <c r="AL17" s="4">
        <f t="shared" si="5"/>
        <v>0</v>
      </c>
      <c r="AM17" s="4">
        <f t="shared" si="6"/>
        <v>0</v>
      </c>
      <c r="AN17" s="4">
        <f t="shared" si="7"/>
        <v>0</v>
      </c>
      <c r="AO17" s="4">
        <f t="shared" si="8"/>
        <v>0</v>
      </c>
      <c r="AP17" s="4">
        <f t="shared" si="9"/>
        <v>0</v>
      </c>
      <c r="AQ17" s="4">
        <f t="shared" si="10"/>
        <v>0</v>
      </c>
      <c r="AR17" s="4">
        <f t="shared" si="11"/>
        <v>26</v>
      </c>
      <c r="AS17" s="4">
        <f t="shared" si="2"/>
        <v>30</v>
      </c>
      <c r="AT17" s="4">
        <f t="shared" si="12"/>
        <v>30</v>
      </c>
    </row>
    <row r="18" spans="1:46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IFERROR(LOOKUP(2,1/((#REF!=sep!$A18)*(#REF!&lt;=sep!F$3)*(#REF!&gt;=sep!F$3)),#REF!),IF(WEEKDAY(sep!F$3,1)=1,"WO","P"))</f>
        <v>P</v>
      </c>
      <c r="G18" s="4" t="str">
        <f>IFERROR(LOOKUP(2,1/((#REF!=sep!$A18)*(#REF!&lt;=sep!G$3)*(#REF!&gt;=sep!G$3)),#REF!),IF(WEEKDAY(sep!G$3,1)=1,"WO","P"))</f>
        <v>P</v>
      </c>
      <c r="H18" s="4" t="str">
        <f>IFERROR(LOOKUP(2,1/((#REF!=sep!$A18)*(#REF!&lt;=sep!H$3)*(#REF!&gt;=sep!H$3)),#REF!),IF(WEEKDAY(sep!H$3,1)=1,"WO","P"))</f>
        <v>P</v>
      </c>
      <c r="I18" s="4" t="str">
        <f>IFERROR(LOOKUP(2,1/((#REF!=sep!$A18)*(#REF!&lt;=sep!I$3)*(#REF!&gt;=sep!I$3)),#REF!),IF(WEEKDAY(sep!I$3,1)=1,"WO","P"))</f>
        <v>P</v>
      </c>
      <c r="J18" s="4" t="str">
        <f>IFERROR(LOOKUP(2,1/((#REF!=sep!$A18)*(#REF!&lt;=sep!J$3)*(#REF!&gt;=sep!J$3)),#REF!),IF(WEEKDAY(sep!J$3,1)=1,"WO","P"))</f>
        <v>P</v>
      </c>
      <c r="K18" s="4" t="str">
        <f>IFERROR(LOOKUP(2,1/((#REF!=sep!$A18)*(#REF!&lt;=sep!K$3)*(#REF!&gt;=sep!K$3)),#REF!),IF(WEEKDAY(sep!K$3,1)=1,"WO","P"))</f>
        <v>WO</v>
      </c>
      <c r="L18" s="4" t="str">
        <f>IFERROR(LOOKUP(2,1/((#REF!=sep!$A18)*(#REF!&lt;=sep!L$3)*(#REF!&gt;=sep!L$3)),#REF!),IF(WEEKDAY(sep!L$3,1)=1,"WO","P"))</f>
        <v>P</v>
      </c>
      <c r="M18" s="4" t="str">
        <f>IFERROR(LOOKUP(2,1/((#REF!=sep!$A18)*(#REF!&lt;=sep!M$3)*(#REF!&gt;=sep!M$3)),#REF!),IF(WEEKDAY(sep!M$3,1)=1,"WO","P"))</f>
        <v>P</v>
      </c>
      <c r="N18" s="4" t="str">
        <f>IFERROR(LOOKUP(2,1/((#REF!=sep!$A18)*(#REF!&lt;=sep!N$3)*(#REF!&gt;=sep!N$3)),#REF!),IF(WEEKDAY(sep!N$3,1)=1,"WO","P"))</f>
        <v>P</v>
      </c>
      <c r="O18" s="4" t="str">
        <f>IFERROR(LOOKUP(2,1/((#REF!=sep!$A18)*(#REF!&lt;=sep!O$3)*(#REF!&gt;=sep!O$3)),#REF!),IF(WEEKDAY(sep!O$3,1)=1,"WO","P"))</f>
        <v>P</v>
      </c>
      <c r="P18" s="4" t="str">
        <f>IFERROR(LOOKUP(2,1/((#REF!=sep!$A18)*(#REF!&lt;=sep!P$3)*(#REF!&gt;=sep!P$3)),#REF!),IF(WEEKDAY(sep!P$3,1)=1,"WO","P"))</f>
        <v>P</v>
      </c>
      <c r="Q18" s="4" t="str">
        <f>IFERROR(LOOKUP(2,1/((#REF!=sep!$A18)*(#REF!&lt;=sep!Q$3)*(#REF!&gt;=sep!Q$3)),#REF!),IF(WEEKDAY(sep!Q$3,1)=1,"WO","P"))</f>
        <v>P</v>
      </c>
      <c r="R18" s="4" t="str">
        <f>IFERROR(LOOKUP(2,1/((#REF!=sep!$A18)*(#REF!&lt;=sep!R$3)*(#REF!&gt;=sep!R$3)),#REF!),IF(WEEKDAY(sep!R$3,1)=1,"WO","P"))</f>
        <v>WO</v>
      </c>
      <c r="S18" s="4" t="str">
        <f>IFERROR(LOOKUP(2,1/((#REF!=sep!$A18)*(#REF!&lt;=sep!S$3)*(#REF!&gt;=sep!S$3)),#REF!),IF(WEEKDAY(sep!S$3,1)=1,"WO","P"))</f>
        <v>P</v>
      </c>
      <c r="T18" s="4" t="str">
        <f>IFERROR(LOOKUP(2,1/((#REF!=sep!$A18)*(#REF!&lt;=sep!T$3)*(#REF!&gt;=sep!T$3)),#REF!),IF(WEEKDAY(sep!T$3,1)=1,"WO","P"))</f>
        <v>P</v>
      </c>
      <c r="U18" s="4" t="str">
        <f>IFERROR(LOOKUP(2,1/((#REF!=sep!$A18)*(#REF!&lt;=sep!U$3)*(#REF!&gt;=sep!U$3)),#REF!),IF(WEEKDAY(sep!U$3,1)=1,"WO","P"))</f>
        <v>P</v>
      </c>
      <c r="V18" s="4" t="str">
        <f>IFERROR(LOOKUP(2,1/((#REF!=sep!$A18)*(#REF!&lt;=sep!V$3)*(#REF!&gt;=sep!V$3)),#REF!),IF(WEEKDAY(sep!V$3,1)=1,"WO","P"))</f>
        <v>P</v>
      </c>
      <c r="W18" s="4" t="str">
        <f>IFERROR(LOOKUP(2,1/((#REF!=sep!$A18)*(#REF!&lt;=sep!W$3)*(#REF!&gt;=sep!W$3)),#REF!),IF(WEEKDAY(sep!W$3,1)=1,"WO","P"))</f>
        <v>P</v>
      </c>
      <c r="X18" s="4" t="str">
        <f>IFERROR(LOOKUP(2,1/((#REF!=sep!$A18)*(#REF!&lt;=sep!X$3)*(#REF!&gt;=sep!X$3)),#REF!),IF(WEEKDAY(sep!X$3,1)=1,"WO","P"))</f>
        <v>P</v>
      </c>
      <c r="Y18" s="4" t="str">
        <f>IFERROR(LOOKUP(2,1/((#REF!=sep!$A18)*(#REF!&lt;=sep!Y$3)*(#REF!&gt;=sep!Y$3)),#REF!),IF(WEEKDAY(sep!Y$3,1)=1,"WO","P"))</f>
        <v>WO</v>
      </c>
      <c r="Z18" s="4" t="str">
        <f>IFERROR(LOOKUP(2,1/((#REF!=sep!$A18)*(#REF!&lt;=sep!Z$3)*(#REF!&gt;=sep!Z$3)),#REF!),IF(WEEKDAY(sep!Z$3,1)=1,"WO","P"))</f>
        <v>P</v>
      </c>
      <c r="AA18" s="4" t="str">
        <f>IFERROR(LOOKUP(2,1/((#REF!=sep!$A18)*(#REF!&lt;=sep!AA$3)*(#REF!&gt;=sep!AA$3)),#REF!),IF(WEEKDAY(sep!AA$3,1)=1,"WO","P"))</f>
        <v>P</v>
      </c>
      <c r="AB18" s="4" t="str">
        <f>IFERROR(LOOKUP(2,1/((#REF!=sep!$A18)*(#REF!&lt;=sep!AB$3)*(#REF!&gt;=sep!AB$3)),#REF!),IF(WEEKDAY(sep!AB$3,1)=1,"WO","P"))</f>
        <v>P</v>
      </c>
      <c r="AC18" s="4" t="str">
        <f>IFERROR(LOOKUP(2,1/((#REF!=sep!$A18)*(#REF!&lt;=sep!AC$3)*(#REF!&gt;=sep!AC$3)),#REF!),IF(WEEKDAY(sep!AC$3,1)=1,"WO","P"))</f>
        <v>P</v>
      </c>
      <c r="AD18" s="4" t="str">
        <f>IFERROR(LOOKUP(2,1/((#REF!=sep!$A18)*(#REF!&lt;=sep!AD$3)*(#REF!&gt;=sep!AD$3)),#REF!),IF(WEEKDAY(sep!AD$3,1)=1,"WO","P"))</f>
        <v>P</v>
      </c>
      <c r="AE18" s="4" t="str">
        <f>IFERROR(LOOKUP(2,1/((#REF!=sep!$A18)*(#REF!&lt;=sep!AE$3)*(#REF!&gt;=sep!AE$3)),#REF!),IF(WEEKDAY(sep!AE$3,1)=1,"WO","P"))</f>
        <v>P</v>
      </c>
      <c r="AF18" s="4" t="str">
        <f>IFERROR(LOOKUP(2,1/((#REF!=sep!$A18)*(#REF!&lt;=sep!AF$3)*(#REF!&gt;=sep!AF$3)),#REF!),IF(WEEKDAY(sep!AF$3,1)=1,"WO","P"))</f>
        <v>WO</v>
      </c>
      <c r="AG18" s="4" t="str">
        <f>IFERROR(LOOKUP(2,1/((#REF!=sep!$A18)*(#REF!&lt;=sep!AG$3)*(#REF!&gt;=sep!AG$3)),#REF!),IF(WEEKDAY(sep!AG$3,1)=1,"WO","P"))</f>
        <v>P</v>
      </c>
      <c r="AH18" s="4" t="str">
        <f>IFERROR(LOOKUP(2,1/((#REF!=sep!$A18)*(#REF!&lt;=sep!AH$3)*(#REF!&gt;=sep!AH$3)),#REF!),IF(WEEKDAY(sep!AH$3,1)=1,"WO","P"))</f>
        <v>P</v>
      </c>
      <c r="AI18" s="4" t="str">
        <f>IFERROR(LOOKUP(2,1/((#REF!=sep!$A18)*(#REF!&lt;=sep!AI$3)*(#REF!&gt;=sep!AI$3)),#REF!),IF(WEEKDAY(sep!AI$3,1)=1,"WO","P"))</f>
        <v>P</v>
      </c>
      <c r="AJ18" s="4">
        <f t="shared" si="3"/>
        <v>4</v>
      </c>
      <c r="AK18" s="4">
        <f t="shared" si="4"/>
        <v>0</v>
      </c>
      <c r="AL18" s="4">
        <f t="shared" si="5"/>
        <v>0</v>
      </c>
      <c r="AM18" s="4">
        <f t="shared" si="6"/>
        <v>0</v>
      </c>
      <c r="AN18" s="4">
        <f t="shared" si="7"/>
        <v>0</v>
      </c>
      <c r="AO18" s="4">
        <f t="shared" si="8"/>
        <v>0</v>
      </c>
      <c r="AP18" s="4">
        <f t="shared" si="9"/>
        <v>0</v>
      </c>
      <c r="AQ18" s="4">
        <f t="shared" si="10"/>
        <v>0</v>
      </c>
      <c r="AR18" s="4">
        <f t="shared" si="11"/>
        <v>26</v>
      </c>
      <c r="AS18" s="4">
        <f t="shared" si="2"/>
        <v>30</v>
      </c>
      <c r="AT18" s="4">
        <f t="shared" si="12"/>
        <v>30</v>
      </c>
    </row>
    <row r="19" spans="1:46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IFERROR(LOOKUP(2,1/((#REF!=sep!$A19)*(#REF!&lt;=sep!F$3)*(#REF!&gt;=sep!F$3)),#REF!),IF(WEEKDAY(sep!F$3,1)=1,"WO","P"))</f>
        <v>P</v>
      </c>
      <c r="G19" s="4" t="str">
        <f>IFERROR(LOOKUP(2,1/((#REF!=sep!$A19)*(#REF!&lt;=sep!G$3)*(#REF!&gt;=sep!G$3)),#REF!),IF(WEEKDAY(sep!G$3,1)=1,"WO","P"))</f>
        <v>P</v>
      </c>
      <c r="H19" s="4" t="str">
        <f>IFERROR(LOOKUP(2,1/((#REF!=sep!$A19)*(#REF!&lt;=sep!H$3)*(#REF!&gt;=sep!H$3)),#REF!),IF(WEEKDAY(sep!H$3,1)=1,"WO","P"))</f>
        <v>P</v>
      </c>
      <c r="I19" s="4" t="str">
        <f>IFERROR(LOOKUP(2,1/((#REF!=sep!$A19)*(#REF!&lt;=sep!I$3)*(#REF!&gt;=sep!I$3)),#REF!),IF(WEEKDAY(sep!I$3,1)=1,"WO","P"))</f>
        <v>P</v>
      </c>
      <c r="J19" s="4" t="str">
        <f>IFERROR(LOOKUP(2,1/((#REF!=sep!$A19)*(#REF!&lt;=sep!J$3)*(#REF!&gt;=sep!J$3)),#REF!),IF(WEEKDAY(sep!J$3,1)=1,"WO","P"))</f>
        <v>P</v>
      </c>
      <c r="K19" s="4" t="str">
        <f>IFERROR(LOOKUP(2,1/((#REF!=sep!$A19)*(#REF!&lt;=sep!K$3)*(#REF!&gt;=sep!K$3)),#REF!),IF(WEEKDAY(sep!K$3,1)=1,"WO","P"))</f>
        <v>WO</v>
      </c>
      <c r="L19" s="4" t="str">
        <f>IFERROR(LOOKUP(2,1/((#REF!=sep!$A19)*(#REF!&lt;=sep!L$3)*(#REF!&gt;=sep!L$3)),#REF!),IF(WEEKDAY(sep!L$3,1)=1,"WO","P"))</f>
        <v>P</v>
      </c>
      <c r="M19" s="4" t="str">
        <f>IFERROR(LOOKUP(2,1/((#REF!=sep!$A19)*(#REF!&lt;=sep!M$3)*(#REF!&gt;=sep!M$3)),#REF!),IF(WEEKDAY(sep!M$3,1)=1,"WO","P"))</f>
        <v>P</v>
      </c>
      <c r="N19" s="4" t="str">
        <f>IFERROR(LOOKUP(2,1/((#REF!=sep!$A19)*(#REF!&lt;=sep!N$3)*(#REF!&gt;=sep!N$3)),#REF!),IF(WEEKDAY(sep!N$3,1)=1,"WO","P"))</f>
        <v>P</v>
      </c>
      <c r="O19" s="4" t="str">
        <f>IFERROR(LOOKUP(2,1/((#REF!=sep!$A19)*(#REF!&lt;=sep!O$3)*(#REF!&gt;=sep!O$3)),#REF!),IF(WEEKDAY(sep!O$3,1)=1,"WO","P"))</f>
        <v>P</v>
      </c>
      <c r="P19" s="4" t="str">
        <f>IFERROR(LOOKUP(2,1/((#REF!=sep!$A19)*(#REF!&lt;=sep!P$3)*(#REF!&gt;=sep!P$3)),#REF!),IF(WEEKDAY(sep!P$3,1)=1,"WO","P"))</f>
        <v>P</v>
      </c>
      <c r="Q19" s="4" t="str">
        <f>IFERROR(LOOKUP(2,1/((#REF!=sep!$A19)*(#REF!&lt;=sep!Q$3)*(#REF!&gt;=sep!Q$3)),#REF!),IF(WEEKDAY(sep!Q$3,1)=1,"WO","P"))</f>
        <v>P</v>
      </c>
      <c r="R19" s="4" t="str">
        <f>IFERROR(LOOKUP(2,1/((#REF!=sep!$A19)*(#REF!&lt;=sep!R$3)*(#REF!&gt;=sep!R$3)),#REF!),IF(WEEKDAY(sep!R$3,1)=1,"WO","P"))</f>
        <v>WO</v>
      </c>
      <c r="S19" s="4" t="str">
        <f>IFERROR(LOOKUP(2,1/((#REF!=sep!$A19)*(#REF!&lt;=sep!S$3)*(#REF!&gt;=sep!S$3)),#REF!),IF(WEEKDAY(sep!S$3,1)=1,"WO","P"))</f>
        <v>P</v>
      </c>
      <c r="T19" s="4" t="str">
        <f>IFERROR(LOOKUP(2,1/((#REF!=sep!$A19)*(#REF!&lt;=sep!T$3)*(#REF!&gt;=sep!T$3)),#REF!),IF(WEEKDAY(sep!T$3,1)=1,"WO","P"))</f>
        <v>P</v>
      </c>
      <c r="U19" s="4" t="str">
        <f>IFERROR(LOOKUP(2,1/((#REF!=sep!$A19)*(#REF!&lt;=sep!U$3)*(#REF!&gt;=sep!U$3)),#REF!),IF(WEEKDAY(sep!U$3,1)=1,"WO","P"))</f>
        <v>P</v>
      </c>
      <c r="V19" s="4" t="str">
        <f>IFERROR(LOOKUP(2,1/((#REF!=sep!$A19)*(#REF!&lt;=sep!V$3)*(#REF!&gt;=sep!V$3)),#REF!),IF(WEEKDAY(sep!V$3,1)=1,"WO","P"))</f>
        <v>P</v>
      </c>
      <c r="W19" s="4" t="str">
        <f>IFERROR(LOOKUP(2,1/((#REF!=sep!$A19)*(#REF!&lt;=sep!W$3)*(#REF!&gt;=sep!W$3)),#REF!),IF(WEEKDAY(sep!W$3,1)=1,"WO","P"))</f>
        <v>P</v>
      </c>
      <c r="X19" s="4" t="str">
        <f>IFERROR(LOOKUP(2,1/((#REF!=sep!$A19)*(#REF!&lt;=sep!X$3)*(#REF!&gt;=sep!X$3)),#REF!),IF(WEEKDAY(sep!X$3,1)=1,"WO","P"))</f>
        <v>P</v>
      </c>
      <c r="Y19" s="4" t="str">
        <f>IFERROR(LOOKUP(2,1/((#REF!=sep!$A19)*(#REF!&lt;=sep!Y$3)*(#REF!&gt;=sep!Y$3)),#REF!),IF(WEEKDAY(sep!Y$3,1)=1,"WO","P"))</f>
        <v>WO</v>
      </c>
      <c r="Z19" s="4" t="str">
        <f>IFERROR(LOOKUP(2,1/((#REF!=sep!$A19)*(#REF!&lt;=sep!Z$3)*(#REF!&gt;=sep!Z$3)),#REF!),IF(WEEKDAY(sep!Z$3,1)=1,"WO","P"))</f>
        <v>P</v>
      </c>
      <c r="AA19" s="4" t="str">
        <f>IFERROR(LOOKUP(2,1/((#REF!=sep!$A19)*(#REF!&lt;=sep!AA$3)*(#REF!&gt;=sep!AA$3)),#REF!),IF(WEEKDAY(sep!AA$3,1)=1,"WO","P"))</f>
        <v>P</v>
      </c>
      <c r="AB19" s="4" t="str">
        <f>IFERROR(LOOKUP(2,1/((#REF!=sep!$A19)*(#REF!&lt;=sep!AB$3)*(#REF!&gt;=sep!AB$3)),#REF!),IF(WEEKDAY(sep!AB$3,1)=1,"WO","P"))</f>
        <v>P</v>
      </c>
      <c r="AC19" s="4" t="str">
        <f>IFERROR(LOOKUP(2,1/((#REF!=sep!$A19)*(#REF!&lt;=sep!AC$3)*(#REF!&gt;=sep!AC$3)),#REF!),IF(WEEKDAY(sep!AC$3,1)=1,"WO","P"))</f>
        <v>P</v>
      </c>
      <c r="AD19" s="4" t="str">
        <f>IFERROR(LOOKUP(2,1/((#REF!=sep!$A19)*(#REF!&lt;=sep!AD$3)*(#REF!&gt;=sep!AD$3)),#REF!),IF(WEEKDAY(sep!AD$3,1)=1,"WO","P"))</f>
        <v>P</v>
      </c>
      <c r="AE19" s="4" t="str">
        <f>IFERROR(LOOKUP(2,1/((#REF!=sep!$A19)*(#REF!&lt;=sep!AE$3)*(#REF!&gt;=sep!AE$3)),#REF!),IF(WEEKDAY(sep!AE$3,1)=1,"WO","P"))</f>
        <v>P</v>
      </c>
      <c r="AF19" s="4" t="str">
        <f>IFERROR(LOOKUP(2,1/((#REF!=sep!$A19)*(#REF!&lt;=sep!AF$3)*(#REF!&gt;=sep!AF$3)),#REF!),IF(WEEKDAY(sep!AF$3,1)=1,"WO","P"))</f>
        <v>WO</v>
      </c>
      <c r="AG19" s="4" t="str">
        <f>IFERROR(LOOKUP(2,1/((#REF!=sep!$A19)*(#REF!&lt;=sep!AG$3)*(#REF!&gt;=sep!AG$3)),#REF!),IF(WEEKDAY(sep!AG$3,1)=1,"WO","P"))</f>
        <v>P</v>
      </c>
      <c r="AH19" s="4" t="str">
        <f>IFERROR(LOOKUP(2,1/((#REF!=sep!$A19)*(#REF!&lt;=sep!AH$3)*(#REF!&gt;=sep!AH$3)),#REF!),IF(WEEKDAY(sep!AH$3,1)=1,"WO","P"))</f>
        <v>P</v>
      </c>
      <c r="AI19" s="4" t="str">
        <f>IFERROR(LOOKUP(2,1/((#REF!=sep!$A19)*(#REF!&lt;=sep!AI$3)*(#REF!&gt;=sep!AI$3)),#REF!),IF(WEEKDAY(sep!AI$3,1)=1,"WO","P"))</f>
        <v>P</v>
      </c>
      <c r="AJ19" s="4">
        <f t="shared" si="3"/>
        <v>4</v>
      </c>
      <c r="AK19" s="4">
        <f t="shared" si="4"/>
        <v>0</v>
      </c>
      <c r="AL19" s="4">
        <f t="shared" si="5"/>
        <v>0</v>
      </c>
      <c r="AM19" s="4">
        <f t="shared" si="6"/>
        <v>0</v>
      </c>
      <c r="AN19" s="4">
        <f t="shared" si="7"/>
        <v>0</v>
      </c>
      <c r="AO19" s="4">
        <f t="shared" si="8"/>
        <v>0</v>
      </c>
      <c r="AP19" s="4">
        <f t="shared" si="9"/>
        <v>0</v>
      </c>
      <c r="AQ19" s="4">
        <f t="shared" si="10"/>
        <v>0</v>
      </c>
      <c r="AR19" s="4">
        <f t="shared" si="11"/>
        <v>26</v>
      </c>
      <c r="AS19" s="4">
        <f t="shared" si="2"/>
        <v>30</v>
      </c>
      <c r="AT19" s="4">
        <f t="shared" si="12"/>
        <v>30</v>
      </c>
    </row>
    <row r="20" spans="1:46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IFERROR(LOOKUP(2,1/((#REF!=sep!$A20)*(#REF!&lt;=sep!F$3)*(#REF!&gt;=sep!F$3)),#REF!),IF(WEEKDAY(sep!F$3,1)=1,"WO","P"))</f>
        <v>P</v>
      </c>
      <c r="G20" s="4" t="str">
        <f>IFERROR(LOOKUP(2,1/((#REF!=sep!$A20)*(#REF!&lt;=sep!G$3)*(#REF!&gt;=sep!G$3)),#REF!),IF(WEEKDAY(sep!G$3,1)=1,"WO","P"))</f>
        <v>P</v>
      </c>
      <c r="H20" s="4" t="str">
        <f>IFERROR(LOOKUP(2,1/((#REF!=sep!$A20)*(#REF!&lt;=sep!H$3)*(#REF!&gt;=sep!H$3)),#REF!),IF(WEEKDAY(sep!H$3,1)=1,"WO","P"))</f>
        <v>P</v>
      </c>
      <c r="I20" s="4" t="str">
        <f>IFERROR(LOOKUP(2,1/((#REF!=sep!$A20)*(#REF!&lt;=sep!I$3)*(#REF!&gt;=sep!I$3)),#REF!),IF(WEEKDAY(sep!I$3,1)=1,"WO","P"))</f>
        <v>P</v>
      </c>
      <c r="J20" s="4" t="str">
        <f>IFERROR(LOOKUP(2,1/((#REF!=sep!$A20)*(#REF!&lt;=sep!J$3)*(#REF!&gt;=sep!J$3)),#REF!),IF(WEEKDAY(sep!J$3,1)=1,"WO","P"))</f>
        <v>P</v>
      </c>
      <c r="K20" s="4" t="str">
        <f>IFERROR(LOOKUP(2,1/((#REF!=sep!$A20)*(#REF!&lt;=sep!K$3)*(#REF!&gt;=sep!K$3)),#REF!),IF(WEEKDAY(sep!K$3,1)=1,"WO","P"))</f>
        <v>WO</v>
      </c>
      <c r="L20" s="4" t="str">
        <f>IFERROR(LOOKUP(2,1/((#REF!=sep!$A20)*(#REF!&lt;=sep!L$3)*(#REF!&gt;=sep!L$3)),#REF!),IF(WEEKDAY(sep!L$3,1)=1,"WO","P"))</f>
        <v>P</v>
      </c>
      <c r="M20" s="4" t="str">
        <f>IFERROR(LOOKUP(2,1/((#REF!=sep!$A20)*(#REF!&lt;=sep!M$3)*(#REF!&gt;=sep!M$3)),#REF!),IF(WEEKDAY(sep!M$3,1)=1,"WO","P"))</f>
        <v>P</v>
      </c>
      <c r="N20" s="4" t="str">
        <f>IFERROR(LOOKUP(2,1/((#REF!=sep!$A20)*(#REF!&lt;=sep!N$3)*(#REF!&gt;=sep!N$3)),#REF!),IF(WEEKDAY(sep!N$3,1)=1,"WO","P"))</f>
        <v>P</v>
      </c>
      <c r="O20" s="4" t="str">
        <f>IFERROR(LOOKUP(2,1/((#REF!=sep!$A20)*(#REF!&lt;=sep!O$3)*(#REF!&gt;=sep!O$3)),#REF!),IF(WEEKDAY(sep!O$3,1)=1,"WO","P"))</f>
        <v>P</v>
      </c>
      <c r="P20" s="4" t="str">
        <f>IFERROR(LOOKUP(2,1/((#REF!=sep!$A20)*(#REF!&lt;=sep!P$3)*(#REF!&gt;=sep!P$3)),#REF!),IF(WEEKDAY(sep!P$3,1)=1,"WO","P"))</f>
        <v>P</v>
      </c>
      <c r="Q20" s="4" t="str">
        <f>IFERROR(LOOKUP(2,1/((#REF!=sep!$A20)*(#REF!&lt;=sep!Q$3)*(#REF!&gt;=sep!Q$3)),#REF!),IF(WEEKDAY(sep!Q$3,1)=1,"WO","P"))</f>
        <v>P</v>
      </c>
      <c r="R20" s="4" t="str">
        <f>IFERROR(LOOKUP(2,1/((#REF!=sep!$A20)*(#REF!&lt;=sep!R$3)*(#REF!&gt;=sep!R$3)),#REF!),IF(WEEKDAY(sep!R$3,1)=1,"WO","P"))</f>
        <v>WO</v>
      </c>
      <c r="S20" s="4" t="str">
        <f>IFERROR(LOOKUP(2,1/((#REF!=sep!$A20)*(#REF!&lt;=sep!S$3)*(#REF!&gt;=sep!S$3)),#REF!),IF(WEEKDAY(sep!S$3,1)=1,"WO","P"))</f>
        <v>P</v>
      </c>
      <c r="T20" s="4" t="str">
        <f>IFERROR(LOOKUP(2,1/((#REF!=sep!$A20)*(#REF!&lt;=sep!T$3)*(#REF!&gt;=sep!T$3)),#REF!),IF(WEEKDAY(sep!T$3,1)=1,"WO","P"))</f>
        <v>P</v>
      </c>
      <c r="U20" s="4" t="str">
        <f>IFERROR(LOOKUP(2,1/((#REF!=sep!$A20)*(#REF!&lt;=sep!U$3)*(#REF!&gt;=sep!U$3)),#REF!),IF(WEEKDAY(sep!U$3,1)=1,"WO","P"))</f>
        <v>P</v>
      </c>
      <c r="V20" s="4" t="str">
        <f>IFERROR(LOOKUP(2,1/((#REF!=sep!$A20)*(#REF!&lt;=sep!V$3)*(#REF!&gt;=sep!V$3)),#REF!),IF(WEEKDAY(sep!V$3,1)=1,"WO","P"))</f>
        <v>P</v>
      </c>
      <c r="W20" s="4" t="str">
        <f>IFERROR(LOOKUP(2,1/((#REF!=sep!$A20)*(#REF!&lt;=sep!W$3)*(#REF!&gt;=sep!W$3)),#REF!),IF(WEEKDAY(sep!W$3,1)=1,"WO","P"))</f>
        <v>P</v>
      </c>
      <c r="X20" s="4" t="str">
        <f>IFERROR(LOOKUP(2,1/((#REF!=sep!$A20)*(#REF!&lt;=sep!X$3)*(#REF!&gt;=sep!X$3)),#REF!),IF(WEEKDAY(sep!X$3,1)=1,"WO","P"))</f>
        <v>P</v>
      </c>
      <c r="Y20" s="4" t="str">
        <f>IFERROR(LOOKUP(2,1/((#REF!=sep!$A20)*(#REF!&lt;=sep!Y$3)*(#REF!&gt;=sep!Y$3)),#REF!),IF(WEEKDAY(sep!Y$3,1)=1,"WO","P"))</f>
        <v>WO</v>
      </c>
      <c r="Z20" s="4" t="str">
        <f>IFERROR(LOOKUP(2,1/((#REF!=sep!$A20)*(#REF!&lt;=sep!Z$3)*(#REF!&gt;=sep!Z$3)),#REF!),IF(WEEKDAY(sep!Z$3,1)=1,"WO","P"))</f>
        <v>P</v>
      </c>
      <c r="AA20" s="4" t="str">
        <f>IFERROR(LOOKUP(2,1/((#REF!=sep!$A20)*(#REF!&lt;=sep!AA$3)*(#REF!&gt;=sep!AA$3)),#REF!),IF(WEEKDAY(sep!AA$3,1)=1,"WO","P"))</f>
        <v>P</v>
      </c>
      <c r="AB20" s="4" t="str">
        <f>IFERROR(LOOKUP(2,1/((#REF!=sep!$A20)*(#REF!&lt;=sep!AB$3)*(#REF!&gt;=sep!AB$3)),#REF!),IF(WEEKDAY(sep!AB$3,1)=1,"WO","P"))</f>
        <v>P</v>
      </c>
      <c r="AC20" s="4" t="str">
        <f>IFERROR(LOOKUP(2,1/((#REF!=sep!$A20)*(#REF!&lt;=sep!AC$3)*(#REF!&gt;=sep!AC$3)),#REF!),IF(WEEKDAY(sep!AC$3,1)=1,"WO","P"))</f>
        <v>P</v>
      </c>
      <c r="AD20" s="4" t="str">
        <f>IFERROR(LOOKUP(2,1/((#REF!=sep!$A20)*(#REF!&lt;=sep!AD$3)*(#REF!&gt;=sep!AD$3)),#REF!),IF(WEEKDAY(sep!AD$3,1)=1,"WO","P"))</f>
        <v>P</v>
      </c>
      <c r="AE20" s="4" t="str">
        <f>IFERROR(LOOKUP(2,1/((#REF!=sep!$A20)*(#REF!&lt;=sep!AE$3)*(#REF!&gt;=sep!AE$3)),#REF!),IF(WEEKDAY(sep!AE$3,1)=1,"WO","P"))</f>
        <v>P</v>
      </c>
      <c r="AF20" s="4" t="str">
        <f>IFERROR(LOOKUP(2,1/((#REF!=sep!$A20)*(#REF!&lt;=sep!AF$3)*(#REF!&gt;=sep!AF$3)),#REF!),IF(WEEKDAY(sep!AF$3,1)=1,"WO","P"))</f>
        <v>WO</v>
      </c>
      <c r="AG20" s="4" t="str">
        <f>IFERROR(LOOKUP(2,1/((#REF!=sep!$A20)*(#REF!&lt;=sep!AG$3)*(#REF!&gt;=sep!AG$3)),#REF!),IF(WEEKDAY(sep!AG$3,1)=1,"WO","P"))</f>
        <v>P</v>
      </c>
      <c r="AH20" s="4" t="str">
        <f>IFERROR(LOOKUP(2,1/((#REF!=sep!$A20)*(#REF!&lt;=sep!AH$3)*(#REF!&gt;=sep!AH$3)),#REF!),IF(WEEKDAY(sep!AH$3,1)=1,"WO","P"))</f>
        <v>P</v>
      </c>
      <c r="AI20" s="4" t="str">
        <f>IFERROR(LOOKUP(2,1/((#REF!=sep!$A20)*(#REF!&lt;=sep!AI$3)*(#REF!&gt;=sep!AI$3)),#REF!),IF(WEEKDAY(sep!AI$3,1)=1,"WO","P"))</f>
        <v>P</v>
      </c>
      <c r="AJ20" s="4">
        <f t="shared" si="3"/>
        <v>4</v>
      </c>
      <c r="AK20" s="4">
        <f t="shared" si="4"/>
        <v>0</v>
      </c>
      <c r="AL20" s="4">
        <f t="shared" si="5"/>
        <v>0</v>
      </c>
      <c r="AM20" s="4">
        <f t="shared" si="6"/>
        <v>0</v>
      </c>
      <c r="AN20" s="4">
        <f t="shared" si="7"/>
        <v>0</v>
      </c>
      <c r="AO20" s="4">
        <f t="shared" si="8"/>
        <v>0</v>
      </c>
      <c r="AP20" s="4">
        <f t="shared" si="9"/>
        <v>0</v>
      </c>
      <c r="AQ20" s="4">
        <f t="shared" si="10"/>
        <v>0</v>
      </c>
      <c r="AR20" s="4">
        <f t="shared" si="11"/>
        <v>26</v>
      </c>
      <c r="AS20" s="4">
        <f t="shared" si="2"/>
        <v>30</v>
      </c>
      <c r="AT20" s="4">
        <f t="shared" si="12"/>
        <v>30</v>
      </c>
    </row>
    <row r="21" spans="1:46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IFERROR(LOOKUP(2,1/((#REF!=sep!$A21)*(#REF!&lt;=sep!F$3)*(#REF!&gt;=sep!F$3)),#REF!),IF(WEEKDAY(sep!F$3,1)=1,"WO","P"))</f>
        <v>P</v>
      </c>
      <c r="G21" s="4" t="str">
        <f>IFERROR(LOOKUP(2,1/((#REF!=sep!$A21)*(#REF!&lt;=sep!G$3)*(#REF!&gt;=sep!G$3)),#REF!),IF(WEEKDAY(sep!G$3,1)=1,"WO","P"))</f>
        <v>P</v>
      </c>
      <c r="H21" s="4" t="str">
        <f>IFERROR(LOOKUP(2,1/((#REF!=sep!$A21)*(#REF!&lt;=sep!H$3)*(#REF!&gt;=sep!H$3)),#REF!),IF(WEEKDAY(sep!H$3,1)=1,"WO","P"))</f>
        <v>P</v>
      </c>
      <c r="I21" s="4" t="str">
        <f>IFERROR(LOOKUP(2,1/((#REF!=sep!$A21)*(#REF!&lt;=sep!I$3)*(#REF!&gt;=sep!I$3)),#REF!),IF(WEEKDAY(sep!I$3,1)=1,"WO","P"))</f>
        <v>P</v>
      </c>
      <c r="J21" s="4" t="str">
        <f>IFERROR(LOOKUP(2,1/((#REF!=sep!$A21)*(#REF!&lt;=sep!J$3)*(#REF!&gt;=sep!J$3)),#REF!),IF(WEEKDAY(sep!J$3,1)=1,"WO","P"))</f>
        <v>P</v>
      </c>
      <c r="K21" s="4" t="str">
        <f>IFERROR(LOOKUP(2,1/((#REF!=sep!$A21)*(#REF!&lt;=sep!K$3)*(#REF!&gt;=sep!K$3)),#REF!),IF(WEEKDAY(sep!K$3,1)=1,"WO","P"))</f>
        <v>WO</v>
      </c>
      <c r="L21" s="4" t="str">
        <f>IFERROR(LOOKUP(2,1/((#REF!=sep!$A21)*(#REF!&lt;=sep!L$3)*(#REF!&gt;=sep!L$3)),#REF!),IF(WEEKDAY(sep!L$3,1)=1,"WO","P"))</f>
        <v>P</v>
      </c>
      <c r="M21" s="4" t="str">
        <f>IFERROR(LOOKUP(2,1/((#REF!=sep!$A21)*(#REF!&lt;=sep!M$3)*(#REF!&gt;=sep!M$3)),#REF!),IF(WEEKDAY(sep!M$3,1)=1,"WO","P"))</f>
        <v>P</v>
      </c>
      <c r="N21" s="4" t="str">
        <f>IFERROR(LOOKUP(2,1/((#REF!=sep!$A21)*(#REF!&lt;=sep!N$3)*(#REF!&gt;=sep!N$3)),#REF!),IF(WEEKDAY(sep!N$3,1)=1,"WO","P"))</f>
        <v>P</v>
      </c>
      <c r="O21" s="4" t="str">
        <f>IFERROR(LOOKUP(2,1/((#REF!=sep!$A21)*(#REF!&lt;=sep!O$3)*(#REF!&gt;=sep!O$3)),#REF!),IF(WEEKDAY(sep!O$3,1)=1,"WO","P"))</f>
        <v>P</v>
      </c>
      <c r="P21" s="4" t="str">
        <f>IFERROR(LOOKUP(2,1/((#REF!=sep!$A21)*(#REF!&lt;=sep!P$3)*(#REF!&gt;=sep!P$3)),#REF!),IF(WEEKDAY(sep!P$3,1)=1,"WO","P"))</f>
        <v>P</v>
      </c>
      <c r="Q21" s="4" t="str">
        <f>IFERROR(LOOKUP(2,1/((#REF!=sep!$A21)*(#REF!&lt;=sep!Q$3)*(#REF!&gt;=sep!Q$3)),#REF!),IF(WEEKDAY(sep!Q$3,1)=1,"WO","P"))</f>
        <v>P</v>
      </c>
      <c r="R21" s="4" t="str">
        <f>IFERROR(LOOKUP(2,1/((#REF!=sep!$A21)*(#REF!&lt;=sep!R$3)*(#REF!&gt;=sep!R$3)),#REF!),IF(WEEKDAY(sep!R$3,1)=1,"WO","P"))</f>
        <v>WO</v>
      </c>
      <c r="S21" s="4" t="str">
        <f>IFERROR(LOOKUP(2,1/((#REF!=sep!$A21)*(#REF!&lt;=sep!S$3)*(#REF!&gt;=sep!S$3)),#REF!),IF(WEEKDAY(sep!S$3,1)=1,"WO","P"))</f>
        <v>P</v>
      </c>
      <c r="T21" s="4" t="str">
        <f>IFERROR(LOOKUP(2,1/((#REF!=sep!$A21)*(#REF!&lt;=sep!T$3)*(#REF!&gt;=sep!T$3)),#REF!),IF(WEEKDAY(sep!T$3,1)=1,"WO","P"))</f>
        <v>P</v>
      </c>
      <c r="U21" s="4" t="str">
        <f>IFERROR(LOOKUP(2,1/((#REF!=sep!$A21)*(#REF!&lt;=sep!U$3)*(#REF!&gt;=sep!U$3)),#REF!),IF(WEEKDAY(sep!U$3,1)=1,"WO","P"))</f>
        <v>P</v>
      </c>
      <c r="V21" s="4" t="str">
        <f>IFERROR(LOOKUP(2,1/((#REF!=sep!$A21)*(#REF!&lt;=sep!V$3)*(#REF!&gt;=sep!V$3)),#REF!),IF(WEEKDAY(sep!V$3,1)=1,"WO","P"))</f>
        <v>P</v>
      </c>
      <c r="W21" s="4" t="str">
        <f>IFERROR(LOOKUP(2,1/((#REF!=sep!$A21)*(#REF!&lt;=sep!W$3)*(#REF!&gt;=sep!W$3)),#REF!),IF(WEEKDAY(sep!W$3,1)=1,"WO","P"))</f>
        <v>P</v>
      </c>
      <c r="X21" s="4" t="str">
        <f>IFERROR(LOOKUP(2,1/((#REF!=sep!$A21)*(#REF!&lt;=sep!X$3)*(#REF!&gt;=sep!X$3)),#REF!),IF(WEEKDAY(sep!X$3,1)=1,"WO","P"))</f>
        <v>P</v>
      </c>
      <c r="Y21" s="4" t="str">
        <f>IFERROR(LOOKUP(2,1/((#REF!=sep!$A21)*(#REF!&lt;=sep!Y$3)*(#REF!&gt;=sep!Y$3)),#REF!),IF(WEEKDAY(sep!Y$3,1)=1,"WO","P"))</f>
        <v>WO</v>
      </c>
      <c r="Z21" s="4" t="str">
        <f>IFERROR(LOOKUP(2,1/((#REF!=sep!$A21)*(#REF!&lt;=sep!Z$3)*(#REF!&gt;=sep!Z$3)),#REF!),IF(WEEKDAY(sep!Z$3,1)=1,"WO","P"))</f>
        <v>P</v>
      </c>
      <c r="AA21" s="4" t="str">
        <f>IFERROR(LOOKUP(2,1/((#REF!=sep!$A21)*(#REF!&lt;=sep!AA$3)*(#REF!&gt;=sep!AA$3)),#REF!),IF(WEEKDAY(sep!AA$3,1)=1,"WO","P"))</f>
        <v>P</v>
      </c>
      <c r="AB21" s="4" t="str">
        <f>IFERROR(LOOKUP(2,1/((#REF!=sep!$A21)*(#REF!&lt;=sep!AB$3)*(#REF!&gt;=sep!AB$3)),#REF!),IF(WEEKDAY(sep!AB$3,1)=1,"WO","P"))</f>
        <v>P</v>
      </c>
      <c r="AC21" s="4" t="str">
        <f>IFERROR(LOOKUP(2,1/((#REF!=sep!$A21)*(#REF!&lt;=sep!AC$3)*(#REF!&gt;=sep!AC$3)),#REF!),IF(WEEKDAY(sep!AC$3,1)=1,"WO","P"))</f>
        <v>P</v>
      </c>
      <c r="AD21" s="4" t="str">
        <f>IFERROR(LOOKUP(2,1/((#REF!=sep!$A21)*(#REF!&lt;=sep!AD$3)*(#REF!&gt;=sep!AD$3)),#REF!),IF(WEEKDAY(sep!AD$3,1)=1,"WO","P"))</f>
        <v>P</v>
      </c>
      <c r="AE21" s="4" t="str">
        <f>IFERROR(LOOKUP(2,1/((#REF!=sep!$A21)*(#REF!&lt;=sep!AE$3)*(#REF!&gt;=sep!AE$3)),#REF!),IF(WEEKDAY(sep!AE$3,1)=1,"WO","P"))</f>
        <v>P</v>
      </c>
      <c r="AF21" s="4" t="str">
        <f>IFERROR(LOOKUP(2,1/((#REF!=sep!$A21)*(#REF!&lt;=sep!AF$3)*(#REF!&gt;=sep!AF$3)),#REF!),IF(WEEKDAY(sep!AF$3,1)=1,"WO","P"))</f>
        <v>WO</v>
      </c>
      <c r="AG21" s="4" t="str">
        <f>IFERROR(LOOKUP(2,1/((#REF!=sep!$A21)*(#REF!&lt;=sep!AG$3)*(#REF!&gt;=sep!AG$3)),#REF!),IF(WEEKDAY(sep!AG$3,1)=1,"WO","P"))</f>
        <v>P</v>
      </c>
      <c r="AH21" s="4" t="str">
        <f>IFERROR(LOOKUP(2,1/((#REF!=sep!$A21)*(#REF!&lt;=sep!AH$3)*(#REF!&gt;=sep!AH$3)),#REF!),IF(WEEKDAY(sep!AH$3,1)=1,"WO","P"))</f>
        <v>P</v>
      </c>
      <c r="AI21" s="4" t="str">
        <f>IFERROR(LOOKUP(2,1/((#REF!=sep!$A21)*(#REF!&lt;=sep!AI$3)*(#REF!&gt;=sep!AI$3)),#REF!),IF(WEEKDAY(sep!AI$3,1)=1,"WO","P"))</f>
        <v>P</v>
      </c>
      <c r="AJ21" s="4">
        <f t="shared" si="3"/>
        <v>4</v>
      </c>
      <c r="AK21" s="4">
        <f t="shared" si="4"/>
        <v>0</v>
      </c>
      <c r="AL21" s="4">
        <f t="shared" si="5"/>
        <v>0</v>
      </c>
      <c r="AM21" s="4">
        <f t="shared" si="6"/>
        <v>0</v>
      </c>
      <c r="AN21" s="4">
        <f t="shared" si="7"/>
        <v>0</v>
      </c>
      <c r="AO21" s="4">
        <f t="shared" si="8"/>
        <v>0</v>
      </c>
      <c r="AP21" s="4">
        <f t="shared" si="9"/>
        <v>0</v>
      </c>
      <c r="AQ21" s="4">
        <f t="shared" si="10"/>
        <v>0</v>
      </c>
      <c r="AR21" s="4">
        <f t="shared" si="11"/>
        <v>26</v>
      </c>
      <c r="AS21" s="4">
        <f t="shared" si="2"/>
        <v>30</v>
      </c>
      <c r="AT21" s="4">
        <f t="shared" si="12"/>
        <v>30</v>
      </c>
    </row>
    <row r="22" spans="1:46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IFERROR(LOOKUP(2,1/((#REF!=sep!$A22)*(#REF!&lt;=sep!F$3)*(#REF!&gt;=sep!F$3)),#REF!),IF(WEEKDAY(sep!F$3,1)=1,"WO","P"))</f>
        <v>P</v>
      </c>
      <c r="G22" s="4" t="str">
        <f>IFERROR(LOOKUP(2,1/((#REF!=sep!$A22)*(#REF!&lt;=sep!G$3)*(#REF!&gt;=sep!G$3)),#REF!),IF(WEEKDAY(sep!G$3,1)=1,"WO","P"))</f>
        <v>P</v>
      </c>
      <c r="H22" s="4" t="str">
        <f>IFERROR(LOOKUP(2,1/((#REF!=sep!$A22)*(#REF!&lt;=sep!H$3)*(#REF!&gt;=sep!H$3)),#REF!),IF(WEEKDAY(sep!H$3,1)=1,"WO","P"))</f>
        <v>P</v>
      </c>
      <c r="I22" s="4" t="str">
        <f>IFERROR(LOOKUP(2,1/((#REF!=sep!$A22)*(#REF!&lt;=sep!I$3)*(#REF!&gt;=sep!I$3)),#REF!),IF(WEEKDAY(sep!I$3,1)=1,"WO","P"))</f>
        <v>P</v>
      </c>
      <c r="J22" s="4" t="str">
        <f>IFERROR(LOOKUP(2,1/((#REF!=sep!$A22)*(#REF!&lt;=sep!J$3)*(#REF!&gt;=sep!J$3)),#REF!),IF(WEEKDAY(sep!J$3,1)=1,"WO","P"))</f>
        <v>P</v>
      </c>
      <c r="K22" s="4" t="str">
        <f>IFERROR(LOOKUP(2,1/((#REF!=sep!$A22)*(#REF!&lt;=sep!K$3)*(#REF!&gt;=sep!K$3)),#REF!),IF(WEEKDAY(sep!K$3,1)=1,"WO","P"))</f>
        <v>WO</v>
      </c>
      <c r="L22" s="4" t="str">
        <f>IFERROR(LOOKUP(2,1/((#REF!=sep!$A22)*(#REF!&lt;=sep!L$3)*(#REF!&gt;=sep!L$3)),#REF!),IF(WEEKDAY(sep!L$3,1)=1,"WO","P"))</f>
        <v>P</v>
      </c>
      <c r="M22" s="4" t="str">
        <f>IFERROR(LOOKUP(2,1/((#REF!=sep!$A22)*(#REF!&lt;=sep!M$3)*(#REF!&gt;=sep!M$3)),#REF!),IF(WEEKDAY(sep!M$3,1)=1,"WO","P"))</f>
        <v>P</v>
      </c>
      <c r="N22" s="4" t="str">
        <f>IFERROR(LOOKUP(2,1/((#REF!=sep!$A22)*(#REF!&lt;=sep!N$3)*(#REF!&gt;=sep!N$3)),#REF!),IF(WEEKDAY(sep!N$3,1)=1,"WO","P"))</f>
        <v>P</v>
      </c>
      <c r="O22" s="4" t="str">
        <f>IFERROR(LOOKUP(2,1/((#REF!=sep!$A22)*(#REF!&lt;=sep!O$3)*(#REF!&gt;=sep!O$3)),#REF!),IF(WEEKDAY(sep!O$3,1)=1,"WO","P"))</f>
        <v>P</v>
      </c>
      <c r="P22" s="4" t="str">
        <f>IFERROR(LOOKUP(2,1/((#REF!=sep!$A22)*(#REF!&lt;=sep!P$3)*(#REF!&gt;=sep!P$3)),#REF!),IF(WEEKDAY(sep!P$3,1)=1,"WO","P"))</f>
        <v>P</v>
      </c>
      <c r="Q22" s="4" t="str">
        <f>IFERROR(LOOKUP(2,1/((#REF!=sep!$A22)*(#REF!&lt;=sep!Q$3)*(#REF!&gt;=sep!Q$3)),#REF!),IF(WEEKDAY(sep!Q$3,1)=1,"WO","P"))</f>
        <v>P</v>
      </c>
      <c r="R22" s="4" t="str">
        <f>IFERROR(LOOKUP(2,1/((#REF!=sep!$A22)*(#REF!&lt;=sep!R$3)*(#REF!&gt;=sep!R$3)),#REF!),IF(WEEKDAY(sep!R$3,1)=1,"WO","P"))</f>
        <v>WO</v>
      </c>
      <c r="S22" s="4" t="str">
        <f>IFERROR(LOOKUP(2,1/((#REF!=sep!$A22)*(#REF!&lt;=sep!S$3)*(#REF!&gt;=sep!S$3)),#REF!),IF(WEEKDAY(sep!S$3,1)=1,"WO","P"))</f>
        <v>P</v>
      </c>
      <c r="T22" s="4" t="str">
        <f>IFERROR(LOOKUP(2,1/((#REF!=sep!$A22)*(#REF!&lt;=sep!T$3)*(#REF!&gt;=sep!T$3)),#REF!),IF(WEEKDAY(sep!T$3,1)=1,"WO","P"))</f>
        <v>P</v>
      </c>
      <c r="U22" s="4" t="str">
        <f>IFERROR(LOOKUP(2,1/((#REF!=sep!$A22)*(#REF!&lt;=sep!U$3)*(#REF!&gt;=sep!U$3)),#REF!),IF(WEEKDAY(sep!U$3,1)=1,"WO","P"))</f>
        <v>P</v>
      </c>
      <c r="V22" s="4" t="str">
        <f>IFERROR(LOOKUP(2,1/((#REF!=sep!$A22)*(#REF!&lt;=sep!V$3)*(#REF!&gt;=sep!V$3)),#REF!),IF(WEEKDAY(sep!V$3,1)=1,"WO","P"))</f>
        <v>P</v>
      </c>
      <c r="W22" s="4" t="str">
        <f>IFERROR(LOOKUP(2,1/((#REF!=sep!$A22)*(#REF!&lt;=sep!W$3)*(#REF!&gt;=sep!W$3)),#REF!),IF(WEEKDAY(sep!W$3,1)=1,"WO","P"))</f>
        <v>P</v>
      </c>
      <c r="X22" s="4" t="str">
        <f>IFERROR(LOOKUP(2,1/((#REF!=sep!$A22)*(#REF!&lt;=sep!X$3)*(#REF!&gt;=sep!X$3)),#REF!),IF(WEEKDAY(sep!X$3,1)=1,"WO","P"))</f>
        <v>P</v>
      </c>
      <c r="Y22" s="4" t="str">
        <f>IFERROR(LOOKUP(2,1/((#REF!=sep!$A22)*(#REF!&lt;=sep!Y$3)*(#REF!&gt;=sep!Y$3)),#REF!),IF(WEEKDAY(sep!Y$3,1)=1,"WO","P"))</f>
        <v>WO</v>
      </c>
      <c r="Z22" s="4" t="str">
        <f>IFERROR(LOOKUP(2,1/((#REF!=sep!$A22)*(#REF!&lt;=sep!Z$3)*(#REF!&gt;=sep!Z$3)),#REF!),IF(WEEKDAY(sep!Z$3,1)=1,"WO","P"))</f>
        <v>P</v>
      </c>
      <c r="AA22" s="4" t="str">
        <f>IFERROR(LOOKUP(2,1/((#REF!=sep!$A22)*(#REF!&lt;=sep!AA$3)*(#REF!&gt;=sep!AA$3)),#REF!),IF(WEEKDAY(sep!AA$3,1)=1,"WO","P"))</f>
        <v>P</v>
      </c>
      <c r="AB22" s="4" t="str">
        <f>IFERROR(LOOKUP(2,1/((#REF!=sep!$A22)*(#REF!&lt;=sep!AB$3)*(#REF!&gt;=sep!AB$3)),#REF!),IF(WEEKDAY(sep!AB$3,1)=1,"WO","P"))</f>
        <v>P</v>
      </c>
      <c r="AC22" s="4" t="str">
        <f>IFERROR(LOOKUP(2,1/((#REF!=sep!$A22)*(#REF!&lt;=sep!AC$3)*(#REF!&gt;=sep!AC$3)),#REF!),IF(WEEKDAY(sep!AC$3,1)=1,"WO","P"))</f>
        <v>P</v>
      </c>
      <c r="AD22" s="4" t="str">
        <f>IFERROR(LOOKUP(2,1/((#REF!=sep!$A22)*(#REF!&lt;=sep!AD$3)*(#REF!&gt;=sep!AD$3)),#REF!),IF(WEEKDAY(sep!AD$3,1)=1,"WO","P"))</f>
        <v>P</v>
      </c>
      <c r="AE22" s="4" t="str">
        <f>IFERROR(LOOKUP(2,1/((#REF!=sep!$A22)*(#REF!&lt;=sep!AE$3)*(#REF!&gt;=sep!AE$3)),#REF!),IF(WEEKDAY(sep!AE$3,1)=1,"WO","P"))</f>
        <v>P</v>
      </c>
      <c r="AF22" s="4" t="str">
        <f>IFERROR(LOOKUP(2,1/((#REF!=sep!$A22)*(#REF!&lt;=sep!AF$3)*(#REF!&gt;=sep!AF$3)),#REF!),IF(WEEKDAY(sep!AF$3,1)=1,"WO","P"))</f>
        <v>WO</v>
      </c>
      <c r="AG22" s="4" t="str">
        <f>IFERROR(LOOKUP(2,1/((#REF!=sep!$A22)*(#REF!&lt;=sep!AG$3)*(#REF!&gt;=sep!AG$3)),#REF!),IF(WEEKDAY(sep!AG$3,1)=1,"WO","P"))</f>
        <v>P</v>
      </c>
      <c r="AH22" s="4" t="str">
        <f>IFERROR(LOOKUP(2,1/((#REF!=sep!$A22)*(#REF!&lt;=sep!AH$3)*(#REF!&gt;=sep!AH$3)),#REF!),IF(WEEKDAY(sep!AH$3,1)=1,"WO","P"))</f>
        <v>P</v>
      </c>
      <c r="AI22" s="4" t="str">
        <f>IFERROR(LOOKUP(2,1/((#REF!=sep!$A22)*(#REF!&lt;=sep!AI$3)*(#REF!&gt;=sep!AI$3)),#REF!),IF(WEEKDAY(sep!AI$3,1)=1,"WO","P"))</f>
        <v>P</v>
      </c>
      <c r="AJ22" s="4">
        <f t="shared" si="3"/>
        <v>4</v>
      </c>
      <c r="AK22" s="4">
        <f t="shared" si="4"/>
        <v>0</v>
      </c>
      <c r="AL22" s="4">
        <f t="shared" si="5"/>
        <v>0</v>
      </c>
      <c r="AM22" s="4">
        <f t="shared" si="6"/>
        <v>0</v>
      </c>
      <c r="AN22" s="4">
        <f t="shared" si="7"/>
        <v>0</v>
      </c>
      <c r="AO22" s="4">
        <f t="shared" si="8"/>
        <v>0</v>
      </c>
      <c r="AP22" s="4">
        <f t="shared" si="9"/>
        <v>0</v>
      </c>
      <c r="AQ22" s="4">
        <f t="shared" si="10"/>
        <v>0</v>
      </c>
      <c r="AR22" s="4">
        <f t="shared" si="11"/>
        <v>26</v>
      </c>
      <c r="AS22" s="4">
        <f t="shared" si="2"/>
        <v>30</v>
      </c>
      <c r="AT22" s="4">
        <f t="shared" si="12"/>
        <v>30</v>
      </c>
    </row>
    <row r="23" spans="1:46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IFERROR(LOOKUP(2,1/((#REF!=sep!$A23)*(#REF!&lt;=sep!F$3)*(#REF!&gt;=sep!F$3)),#REF!),IF(WEEKDAY(sep!F$3,1)=1,"WO","P"))</f>
        <v>P</v>
      </c>
      <c r="G23" s="4" t="str">
        <f>IFERROR(LOOKUP(2,1/((#REF!=sep!$A23)*(#REF!&lt;=sep!G$3)*(#REF!&gt;=sep!G$3)),#REF!),IF(WEEKDAY(sep!G$3,1)=1,"WO","P"))</f>
        <v>P</v>
      </c>
      <c r="H23" s="4" t="str">
        <f>IFERROR(LOOKUP(2,1/((#REF!=sep!$A23)*(#REF!&lt;=sep!H$3)*(#REF!&gt;=sep!H$3)),#REF!),IF(WEEKDAY(sep!H$3,1)=1,"WO","P"))</f>
        <v>P</v>
      </c>
      <c r="I23" s="4" t="str">
        <f>IFERROR(LOOKUP(2,1/((#REF!=sep!$A23)*(#REF!&lt;=sep!I$3)*(#REF!&gt;=sep!I$3)),#REF!),IF(WEEKDAY(sep!I$3,1)=1,"WO","P"))</f>
        <v>P</v>
      </c>
      <c r="J23" s="4" t="str">
        <f>IFERROR(LOOKUP(2,1/((#REF!=sep!$A23)*(#REF!&lt;=sep!J$3)*(#REF!&gt;=sep!J$3)),#REF!),IF(WEEKDAY(sep!J$3,1)=1,"WO","P"))</f>
        <v>P</v>
      </c>
      <c r="K23" s="4" t="str">
        <f>IFERROR(LOOKUP(2,1/((#REF!=sep!$A23)*(#REF!&lt;=sep!K$3)*(#REF!&gt;=sep!K$3)),#REF!),IF(WEEKDAY(sep!K$3,1)=1,"WO","P"))</f>
        <v>WO</v>
      </c>
      <c r="L23" s="4" t="str">
        <f>IFERROR(LOOKUP(2,1/((#REF!=sep!$A23)*(#REF!&lt;=sep!L$3)*(#REF!&gt;=sep!L$3)),#REF!),IF(WEEKDAY(sep!L$3,1)=1,"WO","P"))</f>
        <v>P</v>
      </c>
      <c r="M23" s="4" t="str">
        <f>IFERROR(LOOKUP(2,1/((#REF!=sep!$A23)*(#REF!&lt;=sep!M$3)*(#REF!&gt;=sep!M$3)),#REF!),IF(WEEKDAY(sep!M$3,1)=1,"WO","P"))</f>
        <v>P</v>
      </c>
      <c r="N23" s="4" t="str">
        <f>IFERROR(LOOKUP(2,1/((#REF!=sep!$A23)*(#REF!&lt;=sep!N$3)*(#REF!&gt;=sep!N$3)),#REF!),IF(WEEKDAY(sep!N$3,1)=1,"WO","P"))</f>
        <v>P</v>
      </c>
      <c r="O23" s="4" t="str">
        <f>IFERROR(LOOKUP(2,1/((#REF!=sep!$A23)*(#REF!&lt;=sep!O$3)*(#REF!&gt;=sep!O$3)),#REF!),IF(WEEKDAY(sep!O$3,1)=1,"WO","P"))</f>
        <v>P</v>
      </c>
      <c r="P23" s="4" t="str">
        <f>IFERROR(LOOKUP(2,1/((#REF!=sep!$A23)*(#REF!&lt;=sep!P$3)*(#REF!&gt;=sep!P$3)),#REF!),IF(WEEKDAY(sep!P$3,1)=1,"WO","P"))</f>
        <v>P</v>
      </c>
      <c r="Q23" s="4" t="str">
        <f>IFERROR(LOOKUP(2,1/((#REF!=sep!$A23)*(#REF!&lt;=sep!Q$3)*(#REF!&gt;=sep!Q$3)),#REF!),IF(WEEKDAY(sep!Q$3,1)=1,"WO","P"))</f>
        <v>P</v>
      </c>
      <c r="R23" s="4" t="str">
        <f>IFERROR(LOOKUP(2,1/((#REF!=sep!$A23)*(#REF!&lt;=sep!R$3)*(#REF!&gt;=sep!R$3)),#REF!),IF(WEEKDAY(sep!R$3,1)=1,"WO","P"))</f>
        <v>WO</v>
      </c>
      <c r="S23" s="4" t="str">
        <f>IFERROR(LOOKUP(2,1/((#REF!=sep!$A23)*(#REF!&lt;=sep!S$3)*(#REF!&gt;=sep!S$3)),#REF!),IF(WEEKDAY(sep!S$3,1)=1,"WO","P"))</f>
        <v>P</v>
      </c>
      <c r="T23" s="4" t="str">
        <f>IFERROR(LOOKUP(2,1/((#REF!=sep!$A23)*(#REF!&lt;=sep!T$3)*(#REF!&gt;=sep!T$3)),#REF!),IF(WEEKDAY(sep!T$3,1)=1,"WO","P"))</f>
        <v>P</v>
      </c>
      <c r="U23" s="4" t="str">
        <f>IFERROR(LOOKUP(2,1/((#REF!=sep!$A23)*(#REF!&lt;=sep!U$3)*(#REF!&gt;=sep!U$3)),#REF!),IF(WEEKDAY(sep!U$3,1)=1,"WO","P"))</f>
        <v>P</v>
      </c>
      <c r="V23" s="4" t="str">
        <f>IFERROR(LOOKUP(2,1/((#REF!=sep!$A23)*(#REF!&lt;=sep!V$3)*(#REF!&gt;=sep!V$3)),#REF!),IF(WEEKDAY(sep!V$3,1)=1,"WO","P"))</f>
        <v>P</v>
      </c>
      <c r="W23" s="4" t="str">
        <f>IFERROR(LOOKUP(2,1/((#REF!=sep!$A23)*(#REF!&lt;=sep!W$3)*(#REF!&gt;=sep!W$3)),#REF!),IF(WEEKDAY(sep!W$3,1)=1,"WO","P"))</f>
        <v>P</v>
      </c>
      <c r="X23" s="4" t="str">
        <f>IFERROR(LOOKUP(2,1/((#REF!=sep!$A23)*(#REF!&lt;=sep!X$3)*(#REF!&gt;=sep!X$3)),#REF!),IF(WEEKDAY(sep!X$3,1)=1,"WO","P"))</f>
        <v>P</v>
      </c>
      <c r="Y23" s="4" t="str">
        <f>IFERROR(LOOKUP(2,1/((#REF!=sep!$A23)*(#REF!&lt;=sep!Y$3)*(#REF!&gt;=sep!Y$3)),#REF!),IF(WEEKDAY(sep!Y$3,1)=1,"WO","P"))</f>
        <v>WO</v>
      </c>
      <c r="Z23" s="4" t="str">
        <f>IFERROR(LOOKUP(2,1/((#REF!=sep!$A23)*(#REF!&lt;=sep!Z$3)*(#REF!&gt;=sep!Z$3)),#REF!),IF(WEEKDAY(sep!Z$3,1)=1,"WO","P"))</f>
        <v>P</v>
      </c>
      <c r="AA23" s="4" t="str">
        <f>IFERROR(LOOKUP(2,1/((#REF!=sep!$A23)*(#REF!&lt;=sep!AA$3)*(#REF!&gt;=sep!AA$3)),#REF!),IF(WEEKDAY(sep!AA$3,1)=1,"WO","P"))</f>
        <v>P</v>
      </c>
      <c r="AB23" s="4" t="str">
        <f>IFERROR(LOOKUP(2,1/((#REF!=sep!$A23)*(#REF!&lt;=sep!AB$3)*(#REF!&gt;=sep!AB$3)),#REF!),IF(WEEKDAY(sep!AB$3,1)=1,"WO","P"))</f>
        <v>P</v>
      </c>
      <c r="AC23" s="4" t="str">
        <f>IFERROR(LOOKUP(2,1/((#REF!=sep!$A23)*(#REF!&lt;=sep!AC$3)*(#REF!&gt;=sep!AC$3)),#REF!),IF(WEEKDAY(sep!AC$3,1)=1,"WO","P"))</f>
        <v>P</v>
      </c>
      <c r="AD23" s="4" t="str">
        <f>IFERROR(LOOKUP(2,1/((#REF!=sep!$A23)*(#REF!&lt;=sep!AD$3)*(#REF!&gt;=sep!AD$3)),#REF!),IF(WEEKDAY(sep!AD$3,1)=1,"WO","P"))</f>
        <v>P</v>
      </c>
      <c r="AE23" s="4" t="str">
        <f>IFERROR(LOOKUP(2,1/((#REF!=sep!$A23)*(#REF!&lt;=sep!AE$3)*(#REF!&gt;=sep!AE$3)),#REF!),IF(WEEKDAY(sep!AE$3,1)=1,"WO","P"))</f>
        <v>P</v>
      </c>
      <c r="AF23" s="4" t="str">
        <f>IFERROR(LOOKUP(2,1/((#REF!=sep!$A23)*(#REF!&lt;=sep!AF$3)*(#REF!&gt;=sep!AF$3)),#REF!),IF(WEEKDAY(sep!AF$3,1)=1,"WO","P"))</f>
        <v>WO</v>
      </c>
      <c r="AG23" s="4" t="str">
        <f>IFERROR(LOOKUP(2,1/((#REF!=sep!$A23)*(#REF!&lt;=sep!AG$3)*(#REF!&gt;=sep!AG$3)),#REF!),IF(WEEKDAY(sep!AG$3,1)=1,"WO","P"))</f>
        <v>P</v>
      </c>
      <c r="AH23" s="4" t="str">
        <f>IFERROR(LOOKUP(2,1/((#REF!=sep!$A23)*(#REF!&lt;=sep!AH$3)*(#REF!&gt;=sep!AH$3)),#REF!),IF(WEEKDAY(sep!AH$3,1)=1,"WO","P"))</f>
        <v>P</v>
      </c>
      <c r="AI23" s="4" t="str">
        <f>IFERROR(LOOKUP(2,1/((#REF!=sep!$A23)*(#REF!&lt;=sep!AI$3)*(#REF!&gt;=sep!AI$3)),#REF!),IF(WEEKDAY(sep!AI$3,1)=1,"WO","P"))</f>
        <v>P</v>
      </c>
      <c r="AJ23" s="4">
        <f t="shared" si="3"/>
        <v>4</v>
      </c>
      <c r="AK23" s="4">
        <f t="shared" si="4"/>
        <v>0</v>
      </c>
      <c r="AL23" s="4">
        <f t="shared" si="5"/>
        <v>0</v>
      </c>
      <c r="AM23" s="4">
        <f t="shared" si="6"/>
        <v>0</v>
      </c>
      <c r="AN23" s="4">
        <f t="shared" si="7"/>
        <v>0</v>
      </c>
      <c r="AO23" s="4">
        <f t="shared" si="8"/>
        <v>0</v>
      </c>
      <c r="AP23" s="4">
        <f t="shared" si="9"/>
        <v>0</v>
      </c>
      <c r="AQ23" s="4">
        <f t="shared" si="10"/>
        <v>0</v>
      </c>
      <c r="AR23" s="4">
        <f t="shared" si="11"/>
        <v>26</v>
      </c>
      <c r="AS23" s="4">
        <f t="shared" si="2"/>
        <v>30</v>
      </c>
      <c r="AT23" s="4">
        <f t="shared" si="12"/>
        <v>30</v>
      </c>
    </row>
    <row r="24" spans="1:46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IFERROR(LOOKUP(2,1/((#REF!=sep!$A24)*(#REF!&lt;=sep!F$3)*(#REF!&gt;=sep!F$3)),#REF!),IF(WEEKDAY(sep!F$3,1)=1,"WO","P"))</f>
        <v>P</v>
      </c>
      <c r="G24" s="4" t="str">
        <f>IFERROR(LOOKUP(2,1/((#REF!=sep!$A24)*(#REF!&lt;=sep!G$3)*(#REF!&gt;=sep!G$3)),#REF!),IF(WEEKDAY(sep!G$3,1)=1,"WO","P"))</f>
        <v>P</v>
      </c>
      <c r="H24" s="4" t="str">
        <f>IFERROR(LOOKUP(2,1/((#REF!=sep!$A24)*(#REF!&lt;=sep!H$3)*(#REF!&gt;=sep!H$3)),#REF!),IF(WEEKDAY(sep!H$3,1)=1,"WO","P"))</f>
        <v>P</v>
      </c>
      <c r="I24" s="4" t="str">
        <f>IFERROR(LOOKUP(2,1/((#REF!=sep!$A24)*(#REF!&lt;=sep!I$3)*(#REF!&gt;=sep!I$3)),#REF!),IF(WEEKDAY(sep!I$3,1)=1,"WO","P"))</f>
        <v>P</v>
      </c>
      <c r="J24" s="4" t="str">
        <f>IFERROR(LOOKUP(2,1/((#REF!=sep!$A24)*(#REF!&lt;=sep!J$3)*(#REF!&gt;=sep!J$3)),#REF!),IF(WEEKDAY(sep!J$3,1)=1,"WO","P"))</f>
        <v>P</v>
      </c>
      <c r="K24" s="4" t="str">
        <f>IFERROR(LOOKUP(2,1/((#REF!=sep!$A24)*(#REF!&lt;=sep!K$3)*(#REF!&gt;=sep!K$3)),#REF!),IF(WEEKDAY(sep!K$3,1)=1,"WO","P"))</f>
        <v>WO</v>
      </c>
      <c r="L24" s="4" t="str">
        <f>IFERROR(LOOKUP(2,1/((#REF!=sep!$A24)*(#REF!&lt;=sep!L$3)*(#REF!&gt;=sep!L$3)),#REF!),IF(WEEKDAY(sep!L$3,1)=1,"WO","P"))</f>
        <v>P</v>
      </c>
      <c r="M24" s="4" t="str">
        <f>IFERROR(LOOKUP(2,1/((#REF!=sep!$A24)*(#REF!&lt;=sep!M$3)*(#REF!&gt;=sep!M$3)),#REF!),IF(WEEKDAY(sep!M$3,1)=1,"WO","P"))</f>
        <v>P</v>
      </c>
      <c r="N24" s="4" t="str">
        <f>IFERROR(LOOKUP(2,1/((#REF!=sep!$A24)*(#REF!&lt;=sep!N$3)*(#REF!&gt;=sep!N$3)),#REF!),IF(WEEKDAY(sep!N$3,1)=1,"WO","P"))</f>
        <v>P</v>
      </c>
      <c r="O24" s="4" t="str">
        <f>IFERROR(LOOKUP(2,1/((#REF!=sep!$A24)*(#REF!&lt;=sep!O$3)*(#REF!&gt;=sep!O$3)),#REF!),IF(WEEKDAY(sep!O$3,1)=1,"WO","P"))</f>
        <v>P</v>
      </c>
      <c r="P24" s="4" t="str">
        <f>IFERROR(LOOKUP(2,1/((#REF!=sep!$A24)*(#REF!&lt;=sep!P$3)*(#REF!&gt;=sep!P$3)),#REF!),IF(WEEKDAY(sep!P$3,1)=1,"WO","P"))</f>
        <v>P</v>
      </c>
      <c r="Q24" s="4" t="str">
        <f>IFERROR(LOOKUP(2,1/((#REF!=sep!$A24)*(#REF!&lt;=sep!Q$3)*(#REF!&gt;=sep!Q$3)),#REF!),IF(WEEKDAY(sep!Q$3,1)=1,"WO","P"))</f>
        <v>P</v>
      </c>
      <c r="R24" s="4" t="str">
        <f>IFERROR(LOOKUP(2,1/((#REF!=sep!$A24)*(#REF!&lt;=sep!R$3)*(#REF!&gt;=sep!R$3)),#REF!),IF(WEEKDAY(sep!R$3,1)=1,"WO","P"))</f>
        <v>WO</v>
      </c>
      <c r="S24" s="4" t="str">
        <f>IFERROR(LOOKUP(2,1/((#REF!=sep!$A24)*(#REF!&lt;=sep!S$3)*(#REF!&gt;=sep!S$3)),#REF!),IF(WEEKDAY(sep!S$3,1)=1,"WO","P"))</f>
        <v>P</v>
      </c>
      <c r="T24" s="4" t="str">
        <f>IFERROR(LOOKUP(2,1/((#REF!=sep!$A24)*(#REF!&lt;=sep!T$3)*(#REF!&gt;=sep!T$3)),#REF!),IF(WEEKDAY(sep!T$3,1)=1,"WO","P"))</f>
        <v>P</v>
      </c>
      <c r="U24" s="4" t="str">
        <f>IFERROR(LOOKUP(2,1/((#REF!=sep!$A24)*(#REF!&lt;=sep!U$3)*(#REF!&gt;=sep!U$3)),#REF!),IF(WEEKDAY(sep!U$3,1)=1,"WO","P"))</f>
        <v>P</v>
      </c>
      <c r="V24" s="4" t="str">
        <f>IFERROR(LOOKUP(2,1/((#REF!=sep!$A24)*(#REF!&lt;=sep!V$3)*(#REF!&gt;=sep!V$3)),#REF!),IF(WEEKDAY(sep!V$3,1)=1,"WO","P"))</f>
        <v>P</v>
      </c>
      <c r="W24" s="4" t="str">
        <f>IFERROR(LOOKUP(2,1/((#REF!=sep!$A24)*(#REF!&lt;=sep!W$3)*(#REF!&gt;=sep!W$3)),#REF!),IF(WEEKDAY(sep!W$3,1)=1,"WO","P"))</f>
        <v>P</v>
      </c>
      <c r="X24" s="4" t="str">
        <f>IFERROR(LOOKUP(2,1/((#REF!=sep!$A24)*(#REF!&lt;=sep!X$3)*(#REF!&gt;=sep!X$3)),#REF!),IF(WEEKDAY(sep!X$3,1)=1,"WO","P"))</f>
        <v>P</v>
      </c>
      <c r="Y24" s="4" t="str">
        <f>IFERROR(LOOKUP(2,1/((#REF!=sep!$A24)*(#REF!&lt;=sep!Y$3)*(#REF!&gt;=sep!Y$3)),#REF!),IF(WEEKDAY(sep!Y$3,1)=1,"WO","P"))</f>
        <v>WO</v>
      </c>
      <c r="Z24" s="4" t="str">
        <f>IFERROR(LOOKUP(2,1/((#REF!=sep!$A24)*(#REF!&lt;=sep!Z$3)*(#REF!&gt;=sep!Z$3)),#REF!),IF(WEEKDAY(sep!Z$3,1)=1,"WO","P"))</f>
        <v>P</v>
      </c>
      <c r="AA24" s="4" t="str">
        <f>IFERROR(LOOKUP(2,1/((#REF!=sep!$A24)*(#REF!&lt;=sep!AA$3)*(#REF!&gt;=sep!AA$3)),#REF!),IF(WEEKDAY(sep!AA$3,1)=1,"WO","P"))</f>
        <v>P</v>
      </c>
      <c r="AB24" s="4" t="str">
        <f>IFERROR(LOOKUP(2,1/((#REF!=sep!$A24)*(#REF!&lt;=sep!AB$3)*(#REF!&gt;=sep!AB$3)),#REF!),IF(WEEKDAY(sep!AB$3,1)=1,"WO","P"))</f>
        <v>P</v>
      </c>
      <c r="AC24" s="4" t="str">
        <f>IFERROR(LOOKUP(2,1/((#REF!=sep!$A24)*(#REF!&lt;=sep!AC$3)*(#REF!&gt;=sep!AC$3)),#REF!),IF(WEEKDAY(sep!AC$3,1)=1,"WO","P"))</f>
        <v>P</v>
      </c>
      <c r="AD24" s="4" t="str">
        <f>IFERROR(LOOKUP(2,1/((#REF!=sep!$A24)*(#REF!&lt;=sep!AD$3)*(#REF!&gt;=sep!AD$3)),#REF!),IF(WEEKDAY(sep!AD$3,1)=1,"WO","P"))</f>
        <v>P</v>
      </c>
      <c r="AE24" s="4" t="str">
        <f>IFERROR(LOOKUP(2,1/((#REF!=sep!$A24)*(#REF!&lt;=sep!AE$3)*(#REF!&gt;=sep!AE$3)),#REF!),IF(WEEKDAY(sep!AE$3,1)=1,"WO","P"))</f>
        <v>P</v>
      </c>
      <c r="AF24" s="4" t="str">
        <f>IFERROR(LOOKUP(2,1/((#REF!=sep!$A24)*(#REF!&lt;=sep!AF$3)*(#REF!&gt;=sep!AF$3)),#REF!),IF(WEEKDAY(sep!AF$3,1)=1,"WO","P"))</f>
        <v>WO</v>
      </c>
      <c r="AG24" s="4" t="str">
        <f>IFERROR(LOOKUP(2,1/((#REF!=sep!$A24)*(#REF!&lt;=sep!AG$3)*(#REF!&gt;=sep!AG$3)),#REF!),IF(WEEKDAY(sep!AG$3,1)=1,"WO","P"))</f>
        <v>P</v>
      </c>
      <c r="AH24" s="4" t="str">
        <f>IFERROR(LOOKUP(2,1/((#REF!=sep!$A24)*(#REF!&lt;=sep!AH$3)*(#REF!&gt;=sep!AH$3)),#REF!),IF(WEEKDAY(sep!AH$3,1)=1,"WO","P"))</f>
        <v>P</v>
      </c>
      <c r="AI24" s="4" t="str">
        <f>IFERROR(LOOKUP(2,1/((#REF!=sep!$A24)*(#REF!&lt;=sep!AI$3)*(#REF!&gt;=sep!AI$3)),#REF!),IF(WEEKDAY(sep!AI$3,1)=1,"WO","P"))</f>
        <v>P</v>
      </c>
      <c r="AJ24" s="4">
        <f t="shared" si="3"/>
        <v>4</v>
      </c>
      <c r="AK24" s="4">
        <f t="shared" si="4"/>
        <v>0</v>
      </c>
      <c r="AL24" s="4">
        <f t="shared" si="5"/>
        <v>0</v>
      </c>
      <c r="AM24" s="4">
        <f t="shared" si="6"/>
        <v>0</v>
      </c>
      <c r="AN24" s="4">
        <f t="shared" si="7"/>
        <v>0</v>
      </c>
      <c r="AO24" s="4">
        <f t="shared" si="8"/>
        <v>0</v>
      </c>
      <c r="AP24" s="4">
        <f t="shared" si="9"/>
        <v>0</v>
      </c>
      <c r="AQ24" s="4">
        <f t="shared" si="10"/>
        <v>0</v>
      </c>
      <c r="AR24" s="4">
        <f t="shared" si="11"/>
        <v>26</v>
      </c>
      <c r="AS24" s="4">
        <f t="shared" si="2"/>
        <v>30</v>
      </c>
      <c r="AT24" s="4">
        <f t="shared" si="12"/>
        <v>30</v>
      </c>
    </row>
    <row r="25" spans="1:46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IFERROR(LOOKUP(2,1/((#REF!=sep!$A25)*(#REF!&lt;=sep!F$3)*(#REF!&gt;=sep!F$3)),#REF!),IF(WEEKDAY(sep!F$3,1)=1,"WO","P"))</f>
        <v>P</v>
      </c>
      <c r="G25" s="4" t="str">
        <f>IFERROR(LOOKUP(2,1/((#REF!=sep!$A25)*(#REF!&lt;=sep!G$3)*(#REF!&gt;=sep!G$3)),#REF!),IF(WEEKDAY(sep!G$3,1)=1,"WO","P"))</f>
        <v>P</v>
      </c>
      <c r="H25" s="4" t="str">
        <f>IFERROR(LOOKUP(2,1/((#REF!=sep!$A25)*(#REF!&lt;=sep!H$3)*(#REF!&gt;=sep!H$3)),#REF!),IF(WEEKDAY(sep!H$3,1)=1,"WO","P"))</f>
        <v>P</v>
      </c>
      <c r="I25" s="4" t="str">
        <f>IFERROR(LOOKUP(2,1/((#REF!=sep!$A25)*(#REF!&lt;=sep!I$3)*(#REF!&gt;=sep!I$3)),#REF!),IF(WEEKDAY(sep!I$3,1)=1,"WO","P"))</f>
        <v>P</v>
      </c>
      <c r="J25" s="4" t="str">
        <f>IFERROR(LOOKUP(2,1/((#REF!=sep!$A25)*(#REF!&lt;=sep!J$3)*(#REF!&gt;=sep!J$3)),#REF!),IF(WEEKDAY(sep!J$3,1)=1,"WO","P"))</f>
        <v>P</v>
      </c>
      <c r="K25" s="4" t="str">
        <f>IFERROR(LOOKUP(2,1/((#REF!=sep!$A25)*(#REF!&lt;=sep!K$3)*(#REF!&gt;=sep!K$3)),#REF!),IF(WEEKDAY(sep!K$3,1)=1,"WO","P"))</f>
        <v>WO</v>
      </c>
      <c r="L25" s="4" t="str">
        <f>IFERROR(LOOKUP(2,1/((#REF!=sep!$A25)*(#REF!&lt;=sep!L$3)*(#REF!&gt;=sep!L$3)),#REF!),IF(WEEKDAY(sep!L$3,1)=1,"WO","P"))</f>
        <v>P</v>
      </c>
      <c r="M25" s="4" t="str">
        <f>IFERROR(LOOKUP(2,1/((#REF!=sep!$A25)*(#REF!&lt;=sep!M$3)*(#REF!&gt;=sep!M$3)),#REF!),IF(WEEKDAY(sep!M$3,1)=1,"WO","P"))</f>
        <v>P</v>
      </c>
      <c r="N25" s="4" t="str">
        <f>IFERROR(LOOKUP(2,1/((#REF!=sep!$A25)*(#REF!&lt;=sep!N$3)*(#REF!&gt;=sep!N$3)),#REF!),IF(WEEKDAY(sep!N$3,1)=1,"WO","P"))</f>
        <v>P</v>
      </c>
      <c r="O25" s="4" t="str">
        <f>IFERROR(LOOKUP(2,1/((#REF!=sep!$A25)*(#REF!&lt;=sep!O$3)*(#REF!&gt;=sep!O$3)),#REF!),IF(WEEKDAY(sep!O$3,1)=1,"WO","P"))</f>
        <v>P</v>
      </c>
      <c r="P25" s="4" t="str">
        <f>IFERROR(LOOKUP(2,1/((#REF!=sep!$A25)*(#REF!&lt;=sep!P$3)*(#REF!&gt;=sep!P$3)),#REF!),IF(WEEKDAY(sep!P$3,1)=1,"WO","P"))</f>
        <v>P</v>
      </c>
      <c r="Q25" s="4" t="str">
        <f>IFERROR(LOOKUP(2,1/((#REF!=sep!$A25)*(#REF!&lt;=sep!Q$3)*(#REF!&gt;=sep!Q$3)),#REF!),IF(WEEKDAY(sep!Q$3,1)=1,"WO","P"))</f>
        <v>P</v>
      </c>
      <c r="R25" s="4" t="str">
        <f>IFERROR(LOOKUP(2,1/((#REF!=sep!$A25)*(#REF!&lt;=sep!R$3)*(#REF!&gt;=sep!R$3)),#REF!),IF(WEEKDAY(sep!R$3,1)=1,"WO","P"))</f>
        <v>WO</v>
      </c>
      <c r="S25" s="4" t="str">
        <f>IFERROR(LOOKUP(2,1/((#REF!=sep!$A25)*(#REF!&lt;=sep!S$3)*(#REF!&gt;=sep!S$3)),#REF!),IF(WEEKDAY(sep!S$3,1)=1,"WO","P"))</f>
        <v>P</v>
      </c>
      <c r="T25" s="4" t="str">
        <f>IFERROR(LOOKUP(2,1/((#REF!=sep!$A25)*(#REF!&lt;=sep!T$3)*(#REF!&gt;=sep!T$3)),#REF!),IF(WEEKDAY(sep!T$3,1)=1,"WO","P"))</f>
        <v>P</v>
      </c>
      <c r="U25" s="4" t="str">
        <f>IFERROR(LOOKUP(2,1/((#REF!=sep!$A25)*(#REF!&lt;=sep!U$3)*(#REF!&gt;=sep!U$3)),#REF!),IF(WEEKDAY(sep!U$3,1)=1,"WO","P"))</f>
        <v>P</v>
      </c>
      <c r="V25" s="4" t="str">
        <f>IFERROR(LOOKUP(2,1/((#REF!=sep!$A25)*(#REF!&lt;=sep!V$3)*(#REF!&gt;=sep!V$3)),#REF!),IF(WEEKDAY(sep!V$3,1)=1,"WO","P"))</f>
        <v>P</v>
      </c>
      <c r="W25" s="4" t="str">
        <f>IFERROR(LOOKUP(2,1/((#REF!=sep!$A25)*(#REF!&lt;=sep!W$3)*(#REF!&gt;=sep!W$3)),#REF!),IF(WEEKDAY(sep!W$3,1)=1,"WO","P"))</f>
        <v>P</v>
      </c>
      <c r="X25" s="4" t="str">
        <f>IFERROR(LOOKUP(2,1/((#REF!=sep!$A25)*(#REF!&lt;=sep!X$3)*(#REF!&gt;=sep!X$3)),#REF!),IF(WEEKDAY(sep!X$3,1)=1,"WO","P"))</f>
        <v>P</v>
      </c>
      <c r="Y25" s="4" t="str">
        <f>IFERROR(LOOKUP(2,1/((#REF!=sep!$A25)*(#REF!&lt;=sep!Y$3)*(#REF!&gt;=sep!Y$3)),#REF!),IF(WEEKDAY(sep!Y$3,1)=1,"WO","P"))</f>
        <v>WO</v>
      </c>
      <c r="Z25" s="4" t="str">
        <f>IFERROR(LOOKUP(2,1/((#REF!=sep!$A25)*(#REF!&lt;=sep!Z$3)*(#REF!&gt;=sep!Z$3)),#REF!),IF(WEEKDAY(sep!Z$3,1)=1,"WO","P"))</f>
        <v>P</v>
      </c>
      <c r="AA25" s="4" t="str">
        <f>IFERROR(LOOKUP(2,1/((#REF!=sep!$A25)*(#REF!&lt;=sep!AA$3)*(#REF!&gt;=sep!AA$3)),#REF!),IF(WEEKDAY(sep!AA$3,1)=1,"WO","P"))</f>
        <v>P</v>
      </c>
      <c r="AB25" s="4" t="str">
        <f>IFERROR(LOOKUP(2,1/((#REF!=sep!$A25)*(#REF!&lt;=sep!AB$3)*(#REF!&gt;=sep!AB$3)),#REF!),IF(WEEKDAY(sep!AB$3,1)=1,"WO","P"))</f>
        <v>P</v>
      </c>
      <c r="AC25" s="4" t="str">
        <f>IFERROR(LOOKUP(2,1/((#REF!=sep!$A25)*(#REF!&lt;=sep!AC$3)*(#REF!&gt;=sep!AC$3)),#REF!),IF(WEEKDAY(sep!AC$3,1)=1,"WO","P"))</f>
        <v>P</v>
      </c>
      <c r="AD25" s="4" t="str">
        <f>IFERROR(LOOKUP(2,1/((#REF!=sep!$A25)*(#REF!&lt;=sep!AD$3)*(#REF!&gt;=sep!AD$3)),#REF!),IF(WEEKDAY(sep!AD$3,1)=1,"WO","P"))</f>
        <v>P</v>
      </c>
      <c r="AE25" s="4" t="str">
        <f>IFERROR(LOOKUP(2,1/((#REF!=sep!$A25)*(#REF!&lt;=sep!AE$3)*(#REF!&gt;=sep!AE$3)),#REF!),IF(WEEKDAY(sep!AE$3,1)=1,"WO","P"))</f>
        <v>P</v>
      </c>
      <c r="AF25" s="4" t="str">
        <f>IFERROR(LOOKUP(2,1/((#REF!=sep!$A25)*(#REF!&lt;=sep!AF$3)*(#REF!&gt;=sep!AF$3)),#REF!),IF(WEEKDAY(sep!AF$3,1)=1,"WO","P"))</f>
        <v>WO</v>
      </c>
      <c r="AG25" s="4" t="str">
        <f>IFERROR(LOOKUP(2,1/((#REF!=sep!$A25)*(#REF!&lt;=sep!AG$3)*(#REF!&gt;=sep!AG$3)),#REF!),IF(WEEKDAY(sep!AG$3,1)=1,"WO","P"))</f>
        <v>P</v>
      </c>
      <c r="AH25" s="4" t="str">
        <f>IFERROR(LOOKUP(2,1/((#REF!=sep!$A25)*(#REF!&lt;=sep!AH$3)*(#REF!&gt;=sep!AH$3)),#REF!),IF(WEEKDAY(sep!AH$3,1)=1,"WO","P"))</f>
        <v>P</v>
      </c>
      <c r="AI25" s="4" t="str">
        <f>IFERROR(LOOKUP(2,1/((#REF!=sep!$A25)*(#REF!&lt;=sep!AI$3)*(#REF!&gt;=sep!AI$3)),#REF!),IF(WEEKDAY(sep!AI$3,1)=1,"WO","P"))</f>
        <v>P</v>
      </c>
      <c r="AJ25" s="4">
        <f t="shared" si="3"/>
        <v>4</v>
      </c>
      <c r="AK25" s="4">
        <f t="shared" si="4"/>
        <v>0</v>
      </c>
      <c r="AL25" s="4">
        <f t="shared" si="5"/>
        <v>0</v>
      </c>
      <c r="AM25" s="4">
        <f t="shared" si="6"/>
        <v>0</v>
      </c>
      <c r="AN25" s="4">
        <f t="shared" si="7"/>
        <v>0</v>
      </c>
      <c r="AO25" s="4">
        <f t="shared" si="8"/>
        <v>0</v>
      </c>
      <c r="AP25" s="4">
        <f t="shared" si="9"/>
        <v>0</v>
      </c>
      <c r="AQ25" s="4">
        <f t="shared" si="10"/>
        <v>0</v>
      </c>
      <c r="AR25" s="4">
        <f t="shared" si="11"/>
        <v>26</v>
      </c>
      <c r="AS25" s="4">
        <f t="shared" si="2"/>
        <v>30</v>
      </c>
      <c r="AT25" s="4">
        <f t="shared" si="12"/>
        <v>30</v>
      </c>
    </row>
    <row r="26" spans="1:46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IFERROR(LOOKUP(2,1/((#REF!=sep!$A26)*(#REF!&lt;=sep!F$3)*(#REF!&gt;=sep!F$3)),#REF!),IF(WEEKDAY(sep!F$3,1)=1,"WO","P"))</f>
        <v>P</v>
      </c>
      <c r="G26" s="4" t="str">
        <f>IFERROR(LOOKUP(2,1/((#REF!=sep!$A26)*(#REF!&lt;=sep!G$3)*(#REF!&gt;=sep!G$3)),#REF!),IF(WEEKDAY(sep!G$3,1)=1,"WO","P"))</f>
        <v>P</v>
      </c>
      <c r="H26" s="4" t="str">
        <f>IFERROR(LOOKUP(2,1/((#REF!=sep!$A26)*(#REF!&lt;=sep!H$3)*(#REF!&gt;=sep!H$3)),#REF!),IF(WEEKDAY(sep!H$3,1)=1,"WO","P"))</f>
        <v>P</v>
      </c>
      <c r="I26" s="4" t="str">
        <f>IFERROR(LOOKUP(2,1/((#REF!=sep!$A26)*(#REF!&lt;=sep!I$3)*(#REF!&gt;=sep!I$3)),#REF!),IF(WEEKDAY(sep!I$3,1)=1,"WO","P"))</f>
        <v>P</v>
      </c>
      <c r="J26" s="4" t="str">
        <f>IFERROR(LOOKUP(2,1/((#REF!=sep!$A26)*(#REF!&lt;=sep!J$3)*(#REF!&gt;=sep!J$3)),#REF!),IF(WEEKDAY(sep!J$3,1)=1,"WO","P"))</f>
        <v>P</v>
      </c>
      <c r="K26" s="4" t="str">
        <f>IFERROR(LOOKUP(2,1/((#REF!=sep!$A26)*(#REF!&lt;=sep!K$3)*(#REF!&gt;=sep!K$3)),#REF!),IF(WEEKDAY(sep!K$3,1)=1,"WO","P"))</f>
        <v>WO</v>
      </c>
      <c r="L26" s="4" t="str">
        <f>IFERROR(LOOKUP(2,1/((#REF!=sep!$A26)*(#REF!&lt;=sep!L$3)*(#REF!&gt;=sep!L$3)),#REF!),IF(WEEKDAY(sep!L$3,1)=1,"WO","P"))</f>
        <v>P</v>
      </c>
      <c r="M26" s="4" t="str">
        <f>IFERROR(LOOKUP(2,1/((#REF!=sep!$A26)*(#REF!&lt;=sep!M$3)*(#REF!&gt;=sep!M$3)),#REF!),IF(WEEKDAY(sep!M$3,1)=1,"WO","P"))</f>
        <v>P</v>
      </c>
      <c r="N26" s="4" t="str">
        <f>IFERROR(LOOKUP(2,1/((#REF!=sep!$A26)*(#REF!&lt;=sep!N$3)*(#REF!&gt;=sep!N$3)),#REF!),IF(WEEKDAY(sep!N$3,1)=1,"WO","P"))</f>
        <v>P</v>
      </c>
      <c r="O26" s="4" t="str">
        <f>IFERROR(LOOKUP(2,1/((#REF!=sep!$A26)*(#REF!&lt;=sep!O$3)*(#REF!&gt;=sep!O$3)),#REF!),IF(WEEKDAY(sep!O$3,1)=1,"WO","P"))</f>
        <v>P</v>
      </c>
      <c r="P26" s="4" t="str">
        <f>IFERROR(LOOKUP(2,1/((#REF!=sep!$A26)*(#REF!&lt;=sep!P$3)*(#REF!&gt;=sep!P$3)),#REF!),IF(WEEKDAY(sep!P$3,1)=1,"WO","P"))</f>
        <v>P</v>
      </c>
      <c r="Q26" s="4" t="str">
        <f>IFERROR(LOOKUP(2,1/((#REF!=sep!$A26)*(#REF!&lt;=sep!Q$3)*(#REF!&gt;=sep!Q$3)),#REF!),IF(WEEKDAY(sep!Q$3,1)=1,"WO","P"))</f>
        <v>P</v>
      </c>
      <c r="R26" s="4" t="str">
        <f>IFERROR(LOOKUP(2,1/((#REF!=sep!$A26)*(#REF!&lt;=sep!R$3)*(#REF!&gt;=sep!R$3)),#REF!),IF(WEEKDAY(sep!R$3,1)=1,"WO","P"))</f>
        <v>WO</v>
      </c>
      <c r="S26" s="4" t="str">
        <f>IFERROR(LOOKUP(2,1/((#REF!=sep!$A26)*(#REF!&lt;=sep!S$3)*(#REF!&gt;=sep!S$3)),#REF!),IF(WEEKDAY(sep!S$3,1)=1,"WO","P"))</f>
        <v>P</v>
      </c>
      <c r="T26" s="4" t="str">
        <f>IFERROR(LOOKUP(2,1/((#REF!=sep!$A26)*(#REF!&lt;=sep!T$3)*(#REF!&gt;=sep!T$3)),#REF!),IF(WEEKDAY(sep!T$3,1)=1,"WO","P"))</f>
        <v>P</v>
      </c>
      <c r="U26" s="4" t="str">
        <f>IFERROR(LOOKUP(2,1/((#REF!=sep!$A26)*(#REF!&lt;=sep!U$3)*(#REF!&gt;=sep!U$3)),#REF!),IF(WEEKDAY(sep!U$3,1)=1,"WO","P"))</f>
        <v>P</v>
      </c>
      <c r="V26" s="4" t="str">
        <f>IFERROR(LOOKUP(2,1/((#REF!=sep!$A26)*(#REF!&lt;=sep!V$3)*(#REF!&gt;=sep!V$3)),#REF!),IF(WEEKDAY(sep!V$3,1)=1,"WO","P"))</f>
        <v>P</v>
      </c>
      <c r="W26" s="4" t="str">
        <f>IFERROR(LOOKUP(2,1/((#REF!=sep!$A26)*(#REF!&lt;=sep!W$3)*(#REF!&gt;=sep!W$3)),#REF!),IF(WEEKDAY(sep!W$3,1)=1,"WO","P"))</f>
        <v>P</v>
      </c>
      <c r="X26" s="4" t="str">
        <f>IFERROR(LOOKUP(2,1/((#REF!=sep!$A26)*(#REF!&lt;=sep!X$3)*(#REF!&gt;=sep!X$3)),#REF!),IF(WEEKDAY(sep!X$3,1)=1,"WO","P"))</f>
        <v>P</v>
      </c>
      <c r="Y26" s="4" t="str">
        <f>IFERROR(LOOKUP(2,1/((#REF!=sep!$A26)*(#REF!&lt;=sep!Y$3)*(#REF!&gt;=sep!Y$3)),#REF!),IF(WEEKDAY(sep!Y$3,1)=1,"WO","P"))</f>
        <v>WO</v>
      </c>
      <c r="Z26" s="4" t="str">
        <f>IFERROR(LOOKUP(2,1/((#REF!=sep!$A26)*(#REF!&lt;=sep!Z$3)*(#REF!&gt;=sep!Z$3)),#REF!),IF(WEEKDAY(sep!Z$3,1)=1,"WO","P"))</f>
        <v>P</v>
      </c>
      <c r="AA26" s="4" t="str">
        <f>IFERROR(LOOKUP(2,1/((#REF!=sep!$A26)*(#REF!&lt;=sep!AA$3)*(#REF!&gt;=sep!AA$3)),#REF!),IF(WEEKDAY(sep!AA$3,1)=1,"WO","P"))</f>
        <v>P</v>
      </c>
      <c r="AB26" s="4" t="str">
        <f>IFERROR(LOOKUP(2,1/((#REF!=sep!$A26)*(#REF!&lt;=sep!AB$3)*(#REF!&gt;=sep!AB$3)),#REF!),IF(WEEKDAY(sep!AB$3,1)=1,"WO","P"))</f>
        <v>P</v>
      </c>
      <c r="AC26" s="4" t="str">
        <f>IFERROR(LOOKUP(2,1/((#REF!=sep!$A26)*(#REF!&lt;=sep!AC$3)*(#REF!&gt;=sep!AC$3)),#REF!),IF(WEEKDAY(sep!AC$3,1)=1,"WO","P"))</f>
        <v>P</v>
      </c>
      <c r="AD26" s="4" t="str">
        <f>IFERROR(LOOKUP(2,1/((#REF!=sep!$A26)*(#REF!&lt;=sep!AD$3)*(#REF!&gt;=sep!AD$3)),#REF!),IF(WEEKDAY(sep!AD$3,1)=1,"WO","P"))</f>
        <v>P</v>
      </c>
      <c r="AE26" s="4" t="str">
        <f>IFERROR(LOOKUP(2,1/((#REF!=sep!$A26)*(#REF!&lt;=sep!AE$3)*(#REF!&gt;=sep!AE$3)),#REF!),IF(WEEKDAY(sep!AE$3,1)=1,"WO","P"))</f>
        <v>P</v>
      </c>
      <c r="AF26" s="4" t="str">
        <f>IFERROR(LOOKUP(2,1/((#REF!=sep!$A26)*(#REF!&lt;=sep!AF$3)*(#REF!&gt;=sep!AF$3)),#REF!),IF(WEEKDAY(sep!AF$3,1)=1,"WO","P"))</f>
        <v>WO</v>
      </c>
      <c r="AG26" s="4" t="str">
        <f>IFERROR(LOOKUP(2,1/((#REF!=sep!$A26)*(#REF!&lt;=sep!AG$3)*(#REF!&gt;=sep!AG$3)),#REF!),IF(WEEKDAY(sep!AG$3,1)=1,"WO","P"))</f>
        <v>P</v>
      </c>
      <c r="AH26" s="4" t="str">
        <f>IFERROR(LOOKUP(2,1/((#REF!=sep!$A26)*(#REF!&lt;=sep!AH$3)*(#REF!&gt;=sep!AH$3)),#REF!),IF(WEEKDAY(sep!AH$3,1)=1,"WO","P"))</f>
        <v>P</v>
      </c>
      <c r="AI26" s="4" t="str">
        <f>IFERROR(LOOKUP(2,1/((#REF!=sep!$A26)*(#REF!&lt;=sep!AI$3)*(#REF!&gt;=sep!AI$3)),#REF!),IF(WEEKDAY(sep!AI$3,1)=1,"WO","P"))</f>
        <v>P</v>
      </c>
      <c r="AJ26" s="4">
        <f t="shared" si="3"/>
        <v>4</v>
      </c>
      <c r="AK26" s="4">
        <f t="shared" si="4"/>
        <v>0</v>
      </c>
      <c r="AL26" s="4">
        <f t="shared" si="5"/>
        <v>0</v>
      </c>
      <c r="AM26" s="4">
        <f t="shared" si="6"/>
        <v>0</v>
      </c>
      <c r="AN26" s="4">
        <f t="shared" si="7"/>
        <v>0</v>
      </c>
      <c r="AO26" s="4">
        <f t="shared" si="8"/>
        <v>0</v>
      </c>
      <c r="AP26" s="4">
        <f t="shared" si="9"/>
        <v>0</v>
      </c>
      <c r="AQ26" s="4">
        <f t="shared" si="10"/>
        <v>0</v>
      </c>
      <c r="AR26" s="4">
        <f t="shared" si="11"/>
        <v>26</v>
      </c>
      <c r="AS26" s="4">
        <f t="shared" si="2"/>
        <v>30</v>
      </c>
      <c r="AT26" s="4">
        <f t="shared" si="12"/>
        <v>30</v>
      </c>
    </row>
    <row r="27" spans="1:46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IFERROR(LOOKUP(2,1/((#REF!=sep!$A27)*(#REF!&lt;=sep!F$3)*(#REF!&gt;=sep!F$3)),#REF!),IF(WEEKDAY(sep!F$3,1)=1,"WO","P"))</f>
        <v>P</v>
      </c>
      <c r="G27" s="4" t="str">
        <f>IFERROR(LOOKUP(2,1/((#REF!=sep!$A27)*(#REF!&lt;=sep!G$3)*(#REF!&gt;=sep!G$3)),#REF!),IF(WEEKDAY(sep!G$3,1)=1,"WO","P"))</f>
        <v>P</v>
      </c>
      <c r="H27" s="4" t="str">
        <f>IFERROR(LOOKUP(2,1/((#REF!=sep!$A27)*(#REF!&lt;=sep!H$3)*(#REF!&gt;=sep!H$3)),#REF!),IF(WEEKDAY(sep!H$3,1)=1,"WO","P"))</f>
        <v>P</v>
      </c>
      <c r="I27" s="4" t="str">
        <f>IFERROR(LOOKUP(2,1/((#REF!=sep!$A27)*(#REF!&lt;=sep!I$3)*(#REF!&gt;=sep!I$3)),#REF!),IF(WEEKDAY(sep!I$3,1)=1,"WO","P"))</f>
        <v>P</v>
      </c>
      <c r="J27" s="4" t="str">
        <f>IFERROR(LOOKUP(2,1/((#REF!=sep!$A27)*(#REF!&lt;=sep!J$3)*(#REF!&gt;=sep!J$3)),#REF!),IF(WEEKDAY(sep!J$3,1)=1,"WO","P"))</f>
        <v>P</v>
      </c>
      <c r="K27" s="4" t="str">
        <f>IFERROR(LOOKUP(2,1/((#REF!=sep!$A27)*(#REF!&lt;=sep!K$3)*(#REF!&gt;=sep!K$3)),#REF!),IF(WEEKDAY(sep!K$3,1)=1,"WO","P"))</f>
        <v>WO</v>
      </c>
      <c r="L27" s="4" t="str">
        <f>IFERROR(LOOKUP(2,1/((#REF!=sep!$A27)*(#REF!&lt;=sep!L$3)*(#REF!&gt;=sep!L$3)),#REF!),IF(WEEKDAY(sep!L$3,1)=1,"WO","P"))</f>
        <v>P</v>
      </c>
      <c r="M27" s="4" t="str">
        <f>IFERROR(LOOKUP(2,1/((#REF!=sep!$A27)*(#REF!&lt;=sep!M$3)*(#REF!&gt;=sep!M$3)),#REF!),IF(WEEKDAY(sep!M$3,1)=1,"WO","P"))</f>
        <v>P</v>
      </c>
      <c r="N27" s="4" t="str">
        <f>IFERROR(LOOKUP(2,1/((#REF!=sep!$A27)*(#REF!&lt;=sep!N$3)*(#REF!&gt;=sep!N$3)),#REF!),IF(WEEKDAY(sep!N$3,1)=1,"WO","P"))</f>
        <v>P</v>
      </c>
      <c r="O27" s="4" t="str">
        <f>IFERROR(LOOKUP(2,1/((#REF!=sep!$A27)*(#REF!&lt;=sep!O$3)*(#REF!&gt;=sep!O$3)),#REF!),IF(WEEKDAY(sep!O$3,1)=1,"WO","P"))</f>
        <v>P</v>
      </c>
      <c r="P27" s="4" t="str">
        <f>IFERROR(LOOKUP(2,1/((#REF!=sep!$A27)*(#REF!&lt;=sep!P$3)*(#REF!&gt;=sep!P$3)),#REF!),IF(WEEKDAY(sep!P$3,1)=1,"WO","P"))</f>
        <v>P</v>
      </c>
      <c r="Q27" s="4" t="str">
        <f>IFERROR(LOOKUP(2,1/((#REF!=sep!$A27)*(#REF!&lt;=sep!Q$3)*(#REF!&gt;=sep!Q$3)),#REF!),IF(WEEKDAY(sep!Q$3,1)=1,"WO","P"))</f>
        <v>P</v>
      </c>
      <c r="R27" s="4" t="str">
        <f>IFERROR(LOOKUP(2,1/((#REF!=sep!$A27)*(#REF!&lt;=sep!R$3)*(#REF!&gt;=sep!R$3)),#REF!),IF(WEEKDAY(sep!R$3,1)=1,"WO","P"))</f>
        <v>WO</v>
      </c>
      <c r="S27" s="4" t="str">
        <f>IFERROR(LOOKUP(2,1/((#REF!=sep!$A27)*(#REF!&lt;=sep!S$3)*(#REF!&gt;=sep!S$3)),#REF!),IF(WEEKDAY(sep!S$3,1)=1,"WO","P"))</f>
        <v>P</v>
      </c>
      <c r="T27" s="4" t="str">
        <f>IFERROR(LOOKUP(2,1/((#REF!=sep!$A27)*(#REF!&lt;=sep!T$3)*(#REF!&gt;=sep!T$3)),#REF!),IF(WEEKDAY(sep!T$3,1)=1,"WO","P"))</f>
        <v>P</v>
      </c>
      <c r="U27" s="4" t="str">
        <f>IFERROR(LOOKUP(2,1/((#REF!=sep!$A27)*(#REF!&lt;=sep!U$3)*(#REF!&gt;=sep!U$3)),#REF!),IF(WEEKDAY(sep!U$3,1)=1,"WO","P"))</f>
        <v>P</v>
      </c>
      <c r="V27" s="4" t="str">
        <f>IFERROR(LOOKUP(2,1/((#REF!=sep!$A27)*(#REF!&lt;=sep!V$3)*(#REF!&gt;=sep!V$3)),#REF!),IF(WEEKDAY(sep!V$3,1)=1,"WO","P"))</f>
        <v>P</v>
      </c>
      <c r="W27" s="4" t="str">
        <f>IFERROR(LOOKUP(2,1/((#REF!=sep!$A27)*(#REF!&lt;=sep!W$3)*(#REF!&gt;=sep!W$3)),#REF!),IF(WEEKDAY(sep!W$3,1)=1,"WO","P"))</f>
        <v>P</v>
      </c>
      <c r="X27" s="4" t="str">
        <f>IFERROR(LOOKUP(2,1/((#REF!=sep!$A27)*(#REF!&lt;=sep!X$3)*(#REF!&gt;=sep!X$3)),#REF!),IF(WEEKDAY(sep!X$3,1)=1,"WO","P"))</f>
        <v>P</v>
      </c>
      <c r="Y27" s="4" t="str">
        <f>IFERROR(LOOKUP(2,1/((#REF!=sep!$A27)*(#REF!&lt;=sep!Y$3)*(#REF!&gt;=sep!Y$3)),#REF!),IF(WEEKDAY(sep!Y$3,1)=1,"WO","P"))</f>
        <v>WO</v>
      </c>
      <c r="Z27" s="4" t="str">
        <f>IFERROR(LOOKUP(2,1/((#REF!=sep!$A27)*(#REF!&lt;=sep!Z$3)*(#REF!&gt;=sep!Z$3)),#REF!),IF(WEEKDAY(sep!Z$3,1)=1,"WO","P"))</f>
        <v>P</v>
      </c>
      <c r="AA27" s="4" t="str">
        <f>IFERROR(LOOKUP(2,1/((#REF!=sep!$A27)*(#REF!&lt;=sep!AA$3)*(#REF!&gt;=sep!AA$3)),#REF!),IF(WEEKDAY(sep!AA$3,1)=1,"WO","P"))</f>
        <v>P</v>
      </c>
      <c r="AB27" s="4" t="str">
        <f>IFERROR(LOOKUP(2,1/((#REF!=sep!$A27)*(#REF!&lt;=sep!AB$3)*(#REF!&gt;=sep!AB$3)),#REF!),IF(WEEKDAY(sep!AB$3,1)=1,"WO","P"))</f>
        <v>P</v>
      </c>
      <c r="AC27" s="4" t="str">
        <f>IFERROR(LOOKUP(2,1/((#REF!=sep!$A27)*(#REF!&lt;=sep!AC$3)*(#REF!&gt;=sep!AC$3)),#REF!),IF(WEEKDAY(sep!AC$3,1)=1,"WO","P"))</f>
        <v>P</v>
      </c>
      <c r="AD27" s="4" t="str">
        <f>IFERROR(LOOKUP(2,1/((#REF!=sep!$A27)*(#REF!&lt;=sep!AD$3)*(#REF!&gt;=sep!AD$3)),#REF!),IF(WEEKDAY(sep!AD$3,1)=1,"WO","P"))</f>
        <v>P</v>
      </c>
      <c r="AE27" s="4" t="str">
        <f>IFERROR(LOOKUP(2,1/((#REF!=sep!$A27)*(#REF!&lt;=sep!AE$3)*(#REF!&gt;=sep!AE$3)),#REF!),IF(WEEKDAY(sep!AE$3,1)=1,"WO","P"))</f>
        <v>P</v>
      </c>
      <c r="AF27" s="4" t="str">
        <f>IFERROR(LOOKUP(2,1/((#REF!=sep!$A27)*(#REF!&lt;=sep!AF$3)*(#REF!&gt;=sep!AF$3)),#REF!),IF(WEEKDAY(sep!AF$3,1)=1,"WO","P"))</f>
        <v>WO</v>
      </c>
      <c r="AG27" s="4" t="str">
        <f>IFERROR(LOOKUP(2,1/((#REF!=sep!$A27)*(#REF!&lt;=sep!AG$3)*(#REF!&gt;=sep!AG$3)),#REF!),IF(WEEKDAY(sep!AG$3,1)=1,"WO","P"))</f>
        <v>P</v>
      </c>
      <c r="AH27" s="4" t="str">
        <f>IFERROR(LOOKUP(2,1/((#REF!=sep!$A27)*(#REF!&lt;=sep!AH$3)*(#REF!&gt;=sep!AH$3)),#REF!),IF(WEEKDAY(sep!AH$3,1)=1,"WO","P"))</f>
        <v>P</v>
      </c>
      <c r="AI27" s="4" t="str">
        <f>IFERROR(LOOKUP(2,1/((#REF!=sep!$A27)*(#REF!&lt;=sep!AI$3)*(#REF!&gt;=sep!AI$3)),#REF!),IF(WEEKDAY(sep!AI$3,1)=1,"WO","P"))</f>
        <v>P</v>
      </c>
      <c r="AJ27" s="4">
        <f t="shared" si="3"/>
        <v>4</v>
      </c>
      <c r="AK27" s="4">
        <f t="shared" si="4"/>
        <v>0</v>
      </c>
      <c r="AL27" s="4">
        <f t="shared" si="5"/>
        <v>0</v>
      </c>
      <c r="AM27" s="4">
        <f t="shared" si="6"/>
        <v>0</v>
      </c>
      <c r="AN27" s="4">
        <f t="shared" si="7"/>
        <v>0</v>
      </c>
      <c r="AO27" s="4">
        <f t="shared" si="8"/>
        <v>0</v>
      </c>
      <c r="AP27" s="4">
        <f t="shared" si="9"/>
        <v>0</v>
      </c>
      <c r="AQ27" s="4">
        <f t="shared" si="10"/>
        <v>0</v>
      </c>
      <c r="AR27" s="4">
        <f t="shared" si="11"/>
        <v>26</v>
      </c>
      <c r="AS27" s="4">
        <f t="shared" si="2"/>
        <v>30</v>
      </c>
      <c r="AT27" s="4">
        <f t="shared" si="12"/>
        <v>30</v>
      </c>
    </row>
    <row r="28" spans="1:46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IFERROR(LOOKUP(2,1/((#REF!=sep!$A28)*(#REF!&lt;=sep!F$3)*(#REF!&gt;=sep!F$3)),#REF!),IF(WEEKDAY(sep!F$3,1)=1,"WO","P"))</f>
        <v>P</v>
      </c>
      <c r="G28" s="4" t="str">
        <f>IFERROR(LOOKUP(2,1/((#REF!=sep!$A28)*(#REF!&lt;=sep!G$3)*(#REF!&gt;=sep!G$3)),#REF!),IF(WEEKDAY(sep!G$3,1)=1,"WO","P"))</f>
        <v>P</v>
      </c>
      <c r="H28" s="4" t="str">
        <f>IFERROR(LOOKUP(2,1/((#REF!=sep!$A28)*(#REF!&lt;=sep!H$3)*(#REF!&gt;=sep!H$3)),#REF!),IF(WEEKDAY(sep!H$3,1)=1,"WO","P"))</f>
        <v>P</v>
      </c>
      <c r="I28" s="4" t="str">
        <f>IFERROR(LOOKUP(2,1/((#REF!=sep!$A28)*(#REF!&lt;=sep!I$3)*(#REF!&gt;=sep!I$3)),#REF!),IF(WEEKDAY(sep!I$3,1)=1,"WO","P"))</f>
        <v>P</v>
      </c>
      <c r="J28" s="4" t="str">
        <f>IFERROR(LOOKUP(2,1/((#REF!=sep!$A28)*(#REF!&lt;=sep!J$3)*(#REF!&gt;=sep!J$3)),#REF!),IF(WEEKDAY(sep!J$3,1)=1,"WO","P"))</f>
        <v>P</v>
      </c>
      <c r="K28" s="4" t="str">
        <f>IFERROR(LOOKUP(2,1/((#REF!=sep!$A28)*(#REF!&lt;=sep!K$3)*(#REF!&gt;=sep!K$3)),#REF!),IF(WEEKDAY(sep!K$3,1)=1,"WO","P"))</f>
        <v>WO</v>
      </c>
      <c r="L28" s="4" t="str">
        <f>IFERROR(LOOKUP(2,1/((#REF!=sep!$A28)*(#REF!&lt;=sep!L$3)*(#REF!&gt;=sep!L$3)),#REF!),IF(WEEKDAY(sep!L$3,1)=1,"WO","P"))</f>
        <v>P</v>
      </c>
      <c r="M28" s="4" t="str">
        <f>IFERROR(LOOKUP(2,1/((#REF!=sep!$A28)*(#REF!&lt;=sep!M$3)*(#REF!&gt;=sep!M$3)),#REF!),IF(WEEKDAY(sep!M$3,1)=1,"WO","P"))</f>
        <v>P</v>
      </c>
      <c r="N28" s="4" t="str">
        <f>IFERROR(LOOKUP(2,1/((#REF!=sep!$A28)*(#REF!&lt;=sep!N$3)*(#REF!&gt;=sep!N$3)),#REF!),IF(WEEKDAY(sep!N$3,1)=1,"WO","P"))</f>
        <v>P</v>
      </c>
      <c r="O28" s="4" t="str">
        <f>IFERROR(LOOKUP(2,1/((#REF!=sep!$A28)*(#REF!&lt;=sep!O$3)*(#REF!&gt;=sep!O$3)),#REF!),IF(WEEKDAY(sep!O$3,1)=1,"WO","P"))</f>
        <v>P</v>
      </c>
      <c r="P28" s="4" t="str">
        <f>IFERROR(LOOKUP(2,1/((#REF!=sep!$A28)*(#REF!&lt;=sep!P$3)*(#REF!&gt;=sep!P$3)),#REF!),IF(WEEKDAY(sep!P$3,1)=1,"WO","P"))</f>
        <v>P</v>
      </c>
      <c r="Q28" s="4" t="str">
        <f>IFERROR(LOOKUP(2,1/((#REF!=sep!$A28)*(#REF!&lt;=sep!Q$3)*(#REF!&gt;=sep!Q$3)),#REF!),IF(WEEKDAY(sep!Q$3,1)=1,"WO","P"))</f>
        <v>P</v>
      </c>
      <c r="R28" s="4" t="str">
        <f>IFERROR(LOOKUP(2,1/((#REF!=sep!$A28)*(#REF!&lt;=sep!R$3)*(#REF!&gt;=sep!R$3)),#REF!),IF(WEEKDAY(sep!R$3,1)=1,"WO","P"))</f>
        <v>WO</v>
      </c>
      <c r="S28" s="4" t="str">
        <f>IFERROR(LOOKUP(2,1/((#REF!=sep!$A28)*(#REF!&lt;=sep!S$3)*(#REF!&gt;=sep!S$3)),#REF!),IF(WEEKDAY(sep!S$3,1)=1,"WO","P"))</f>
        <v>P</v>
      </c>
      <c r="T28" s="4" t="str">
        <f>IFERROR(LOOKUP(2,1/((#REF!=sep!$A28)*(#REF!&lt;=sep!T$3)*(#REF!&gt;=sep!T$3)),#REF!),IF(WEEKDAY(sep!T$3,1)=1,"WO","P"))</f>
        <v>P</v>
      </c>
      <c r="U28" s="4" t="str">
        <f>IFERROR(LOOKUP(2,1/((#REF!=sep!$A28)*(#REF!&lt;=sep!U$3)*(#REF!&gt;=sep!U$3)),#REF!),IF(WEEKDAY(sep!U$3,1)=1,"WO","P"))</f>
        <v>P</v>
      </c>
      <c r="V28" s="4" t="str">
        <f>IFERROR(LOOKUP(2,1/((#REF!=sep!$A28)*(#REF!&lt;=sep!V$3)*(#REF!&gt;=sep!V$3)),#REF!),IF(WEEKDAY(sep!V$3,1)=1,"WO","P"))</f>
        <v>P</v>
      </c>
      <c r="W28" s="4" t="str">
        <f>IFERROR(LOOKUP(2,1/((#REF!=sep!$A28)*(#REF!&lt;=sep!W$3)*(#REF!&gt;=sep!W$3)),#REF!),IF(WEEKDAY(sep!W$3,1)=1,"WO","P"))</f>
        <v>P</v>
      </c>
      <c r="X28" s="4" t="str">
        <f>IFERROR(LOOKUP(2,1/((#REF!=sep!$A28)*(#REF!&lt;=sep!X$3)*(#REF!&gt;=sep!X$3)),#REF!),IF(WEEKDAY(sep!X$3,1)=1,"WO","P"))</f>
        <v>P</v>
      </c>
      <c r="Y28" s="4" t="str">
        <f>IFERROR(LOOKUP(2,1/((#REF!=sep!$A28)*(#REF!&lt;=sep!Y$3)*(#REF!&gt;=sep!Y$3)),#REF!),IF(WEEKDAY(sep!Y$3,1)=1,"WO","P"))</f>
        <v>WO</v>
      </c>
      <c r="Z28" s="4" t="str">
        <f>IFERROR(LOOKUP(2,1/((#REF!=sep!$A28)*(#REF!&lt;=sep!Z$3)*(#REF!&gt;=sep!Z$3)),#REF!),IF(WEEKDAY(sep!Z$3,1)=1,"WO","P"))</f>
        <v>P</v>
      </c>
      <c r="AA28" s="4" t="str">
        <f>IFERROR(LOOKUP(2,1/((#REF!=sep!$A28)*(#REF!&lt;=sep!AA$3)*(#REF!&gt;=sep!AA$3)),#REF!),IF(WEEKDAY(sep!AA$3,1)=1,"WO","P"))</f>
        <v>P</v>
      </c>
      <c r="AB28" s="4" t="str">
        <f>IFERROR(LOOKUP(2,1/((#REF!=sep!$A28)*(#REF!&lt;=sep!AB$3)*(#REF!&gt;=sep!AB$3)),#REF!),IF(WEEKDAY(sep!AB$3,1)=1,"WO","P"))</f>
        <v>P</v>
      </c>
      <c r="AC28" s="4" t="str">
        <f>IFERROR(LOOKUP(2,1/((#REF!=sep!$A28)*(#REF!&lt;=sep!AC$3)*(#REF!&gt;=sep!AC$3)),#REF!),IF(WEEKDAY(sep!AC$3,1)=1,"WO","P"))</f>
        <v>P</v>
      </c>
      <c r="AD28" s="4" t="str">
        <f>IFERROR(LOOKUP(2,1/((#REF!=sep!$A28)*(#REF!&lt;=sep!AD$3)*(#REF!&gt;=sep!AD$3)),#REF!),IF(WEEKDAY(sep!AD$3,1)=1,"WO","P"))</f>
        <v>P</v>
      </c>
      <c r="AE28" s="4" t="str">
        <f>IFERROR(LOOKUP(2,1/((#REF!=sep!$A28)*(#REF!&lt;=sep!AE$3)*(#REF!&gt;=sep!AE$3)),#REF!),IF(WEEKDAY(sep!AE$3,1)=1,"WO","P"))</f>
        <v>P</v>
      </c>
      <c r="AF28" s="4" t="str">
        <f>IFERROR(LOOKUP(2,1/((#REF!=sep!$A28)*(#REF!&lt;=sep!AF$3)*(#REF!&gt;=sep!AF$3)),#REF!),IF(WEEKDAY(sep!AF$3,1)=1,"WO","P"))</f>
        <v>WO</v>
      </c>
      <c r="AG28" s="4" t="str">
        <f>IFERROR(LOOKUP(2,1/((#REF!=sep!$A28)*(#REF!&lt;=sep!AG$3)*(#REF!&gt;=sep!AG$3)),#REF!),IF(WEEKDAY(sep!AG$3,1)=1,"WO","P"))</f>
        <v>P</v>
      </c>
      <c r="AH28" s="4" t="str">
        <f>IFERROR(LOOKUP(2,1/((#REF!=sep!$A28)*(#REF!&lt;=sep!AH$3)*(#REF!&gt;=sep!AH$3)),#REF!),IF(WEEKDAY(sep!AH$3,1)=1,"WO","P"))</f>
        <v>P</v>
      </c>
      <c r="AI28" s="4" t="str">
        <f>IFERROR(LOOKUP(2,1/((#REF!=sep!$A28)*(#REF!&lt;=sep!AI$3)*(#REF!&gt;=sep!AI$3)),#REF!),IF(WEEKDAY(sep!AI$3,1)=1,"WO","P"))</f>
        <v>P</v>
      </c>
      <c r="AJ28" s="4">
        <f t="shared" si="3"/>
        <v>4</v>
      </c>
      <c r="AK28" s="4">
        <f t="shared" si="4"/>
        <v>0</v>
      </c>
      <c r="AL28" s="4">
        <f t="shared" si="5"/>
        <v>0</v>
      </c>
      <c r="AM28" s="4">
        <f t="shared" si="6"/>
        <v>0</v>
      </c>
      <c r="AN28" s="4">
        <f t="shared" si="7"/>
        <v>0</v>
      </c>
      <c r="AO28" s="4">
        <f t="shared" si="8"/>
        <v>0</v>
      </c>
      <c r="AP28" s="4">
        <f t="shared" si="9"/>
        <v>0</v>
      </c>
      <c r="AQ28" s="4">
        <f t="shared" si="10"/>
        <v>0</v>
      </c>
      <c r="AR28" s="4">
        <f t="shared" si="11"/>
        <v>26</v>
      </c>
      <c r="AS28" s="4">
        <f t="shared" si="2"/>
        <v>30</v>
      </c>
      <c r="AT28" s="4">
        <f t="shared" si="12"/>
        <v>30</v>
      </c>
    </row>
    <row r="29" spans="1:46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IFERROR(LOOKUP(2,1/((#REF!=sep!$A29)*(#REF!&lt;=sep!F$3)*(#REF!&gt;=sep!F$3)),#REF!),IF(WEEKDAY(sep!F$3,1)=1,"WO","P"))</f>
        <v>P</v>
      </c>
      <c r="G29" s="4" t="str">
        <f>IFERROR(LOOKUP(2,1/((#REF!=sep!$A29)*(#REF!&lt;=sep!G$3)*(#REF!&gt;=sep!G$3)),#REF!),IF(WEEKDAY(sep!G$3,1)=1,"WO","P"))</f>
        <v>P</v>
      </c>
      <c r="H29" s="4" t="str">
        <f>IFERROR(LOOKUP(2,1/((#REF!=sep!$A29)*(#REF!&lt;=sep!H$3)*(#REF!&gt;=sep!H$3)),#REF!),IF(WEEKDAY(sep!H$3,1)=1,"WO","P"))</f>
        <v>P</v>
      </c>
      <c r="I29" s="4" t="str">
        <f>IFERROR(LOOKUP(2,1/((#REF!=sep!$A29)*(#REF!&lt;=sep!I$3)*(#REF!&gt;=sep!I$3)),#REF!),IF(WEEKDAY(sep!I$3,1)=1,"WO","P"))</f>
        <v>P</v>
      </c>
      <c r="J29" s="4" t="str">
        <f>IFERROR(LOOKUP(2,1/((#REF!=sep!$A29)*(#REF!&lt;=sep!J$3)*(#REF!&gt;=sep!J$3)),#REF!),IF(WEEKDAY(sep!J$3,1)=1,"WO","P"))</f>
        <v>P</v>
      </c>
      <c r="K29" s="4" t="str">
        <f>IFERROR(LOOKUP(2,1/((#REF!=sep!$A29)*(#REF!&lt;=sep!K$3)*(#REF!&gt;=sep!K$3)),#REF!),IF(WEEKDAY(sep!K$3,1)=1,"WO","P"))</f>
        <v>WO</v>
      </c>
      <c r="L29" s="4" t="str">
        <f>IFERROR(LOOKUP(2,1/((#REF!=sep!$A29)*(#REF!&lt;=sep!L$3)*(#REF!&gt;=sep!L$3)),#REF!),IF(WEEKDAY(sep!L$3,1)=1,"WO","P"))</f>
        <v>P</v>
      </c>
      <c r="M29" s="4" t="str">
        <f>IFERROR(LOOKUP(2,1/((#REF!=sep!$A29)*(#REF!&lt;=sep!M$3)*(#REF!&gt;=sep!M$3)),#REF!),IF(WEEKDAY(sep!M$3,1)=1,"WO","P"))</f>
        <v>P</v>
      </c>
      <c r="N29" s="4" t="str">
        <f>IFERROR(LOOKUP(2,1/((#REF!=sep!$A29)*(#REF!&lt;=sep!N$3)*(#REF!&gt;=sep!N$3)),#REF!),IF(WEEKDAY(sep!N$3,1)=1,"WO","P"))</f>
        <v>P</v>
      </c>
      <c r="O29" s="4" t="str">
        <f>IFERROR(LOOKUP(2,1/((#REF!=sep!$A29)*(#REF!&lt;=sep!O$3)*(#REF!&gt;=sep!O$3)),#REF!),IF(WEEKDAY(sep!O$3,1)=1,"WO","P"))</f>
        <v>P</v>
      </c>
      <c r="P29" s="4" t="str">
        <f>IFERROR(LOOKUP(2,1/((#REF!=sep!$A29)*(#REF!&lt;=sep!P$3)*(#REF!&gt;=sep!P$3)),#REF!),IF(WEEKDAY(sep!P$3,1)=1,"WO","P"))</f>
        <v>P</v>
      </c>
      <c r="Q29" s="4" t="str">
        <f>IFERROR(LOOKUP(2,1/((#REF!=sep!$A29)*(#REF!&lt;=sep!Q$3)*(#REF!&gt;=sep!Q$3)),#REF!),IF(WEEKDAY(sep!Q$3,1)=1,"WO","P"))</f>
        <v>P</v>
      </c>
      <c r="R29" s="4" t="str">
        <f>IFERROR(LOOKUP(2,1/((#REF!=sep!$A29)*(#REF!&lt;=sep!R$3)*(#REF!&gt;=sep!R$3)),#REF!),IF(WEEKDAY(sep!R$3,1)=1,"WO","P"))</f>
        <v>WO</v>
      </c>
      <c r="S29" s="4" t="str">
        <f>IFERROR(LOOKUP(2,1/((#REF!=sep!$A29)*(#REF!&lt;=sep!S$3)*(#REF!&gt;=sep!S$3)),#REF!),IF(WEEKDAY(sep!S$3,1)=1,"WO","P"))</f>
        <v>P</v>
      </c>
      <c r="T29" s="4" t="str">
        <f>IFERROR(LOOKUP(2,1/((#REF!=sep!$A29)*(#REF!&lt;=sep!T$3)*(#REF!&gt;=sep!T$3)),#REF!),IF(WEEKDAY(sep!T$3,1)=1,"WO","P"))</f>
        <v>P</v>
      </c>
      <c r="U29" s="4" t="str">
        <f>IFERROR(LOOKUP(2,1/((#REF!=sep!$A29)*(#REF!&lt;=sep!U$3)*(#REF!&gt;=sep!U$3)),#REF!),IF(WEEKDAY(sep!U$3,1)=1,"WO","P"))</f>
        <v>P</v>
      </c>
      <c r="V29" s="4" t="str">
        <f>IFERROR(LOOKUP(2,1/((#REF!=sep!$A29)*(#REF!&lt;=sep!V$3)*(#REF!&gt;=sep!V$3)),#REF!),IF(WEEKDAY(sep!V$3,1)=1,"WO","P"))</f>
        <v>P</v>
      </c>
      <c r="W29" s="4" t="str">
        <f>IFERROR(LOOKUP(2,1/((#REF!=sep!$A29)*(#REF!&lt;=sep!W$3)*(#REF!&gt;=sep!W$3)),#REF!),IF(WEEKDAY(sep!W$3,1)=1,"WO","P"))</f>
        <v>P</v>
      </c>
      <c r="X29" s="4" t="str">
        <f>IFERROR(LOOKUP(2,1/((#REF!=sep!$A29)*(#REF!&lt;=sep!X$3)*(#REF!&gt;=sep!X$3)),#REF!),IF(WEEKDAY(sep!X$3,1)=1,"WO","P"))</f>
        <v>P</v>
      </c>
      <c r="Y29" s="4" t="str">
        <f>IFERROR(LOOKUP(2,1/((#REF!=sep!$A29)*(#REF!&lt;=sep!Y$3)*(#REF!&gt;=sep!Y$3)),#REF!),IF(WEEKDAY(sep!Y$3,1)=1,"WO","P"))</f>
        <v>WO</v>
      </c>
      <c r="Z29" s="4" t="str">
        <f>IFERROR(LOOKUP(2,1/((#REF!=sep!$A29)*(#REF!&lt;=sep!Z$3)*(#REF!&gt;=sep!Z$3)),#REF!),IF(WEEKDAY(sep!Z$3,1)=1,"WO","P"))</f>
        <v>P</v>
      </c>
      <c r="AA29" s="4" t="str">
        <f>IFERROR(LOOKUP(2,1/((#REF!=sep!$A29)*(#REF!&lt;=sep!AA$3)*(#REF!&gt;=sep!AA$3)),#REF!),IF(WEEKDAY(sep!AA$3,1)=1,"WO","P"))</f>
        <v>P</v>
      </c>
      <c r="AB29" s="4" t="str">
        <f>IFERROR(LOOKUP(2,1/((#REF!=sep!$A29)*(#REF!&lt;=sep!AB$3)*(#REF!&gt;=sep!AB$3)),#REF!),IF(WEEKDAY(sep!AB$3,1)=1,"WO","P"))</f>
        <v>P</v>
      </c>
      <c r="AC29" s="4" t="str">
        <f>IFERROR(LOOKUP(2,1/((#REF!=sep!$A29)*(#REF!&lt;=sep!AC$3)*(#REF!&gt;=sep!AC$3)),#REF!),IF(WEEKDAY(sep!AC$3,1)=1,"WO","P"))</f>
        <v>P</v>
      </c>
      <c r="AD29" s="4" t="str">
        <f>IFERROR(LOOKUP(2,1/((#REF!=sep!$A29)*(#REF!&lt;=sep!AD$3)*(#REF!&gt;=sep!AD$3)),#REF!),IF(WEEKDAY(sep!AD$3,1)=1,"WO","P"))</f>
        <v>P</v>
      </c>
      <c r="AE29" s="4" t="str">
        <f>IFERROR(LOOKUP(2,1/((#REF!=sep!$A29)*(#REF!&lt;=sep!AE$3)*(#REF!&gt;=sep!AE$3)),#REF!),IF(WEEKDAY(sep!AE$3,1)=1,"WO","P"))</f>
        <v>P</v>
      </c>
      <c r="AF29" s="4" t="str">
        <f>IFERROR(LOOKUP(2,1/((#REF!=sep!$A29)*(#REF!&lt;=sep!AF$3)*(#REF!&gt;=sep!AF$3)),#REF!),IF(WEEKDAY(sep!AF$3,1)=1,"WO","P"))</f>
        <v>WO</v>
      </c>
      <c r="AG29" s="4" t="str">
        <f>IFERROR(LOOKUP(2,1/((#REF!=sep!$A29)*(#REF!&lt;=sep!AG$3)*(#REF!&gt;=sep!AG$3)),#REF!),IF(WEEKDAY(sep!AG$3,1)=1,"WO","P"))</f>
        <v>P</v>
      </c>
      <c r="AH29" s="4" t="str">
        <f>IFERROR(LOOKUP(2,1/((#REF!=sep!$A29)*(#REF!&lt;=sep!AH$3)*(#REF!&gt;=sep!AH$3)),#REF!),IF(WEEKDAY(sep!AH$3,1)=1,"WO","P"))</f>
        <v>P</v>
      </c>
      <c r="AI29" s="4" t="str">
        <f>IFERROR(LOOKUP(2,1/((#REF!=sep!$A29)*(#REF!&lt;=sep!AI$3)*(#REF!&gt;=sep!AI$3)),#REF!),IF(WEEKDAY(sep!AI$3,1)=1,"WO","P"))</f>
        <v>P</v>
      </c>
      <c r="AJ29" s="4">
        <f t="shared" si="3"/>
        <v>4</v>
      </c>
      <c r="AK29" s="4">
        <f t="shared" si="4"/>
        <v>0</v>
      </c>
      <c r="AL29" s="4">
        <f t="shared" si="5"/>
        <v>0</v>
      </c>
      <c r="AM29" s="4">
        <f t="shared" si="6"/>
        <v>0</v>
      </c>
      <c r="AN29" s="4">
        <f t="shared" si="7"/>
        <v>0</v>
      </c>
      <c r="AO29" s="4">
        <f t="shared" si="8"/>
        <v>0</v>
      </c>
      <c r="AP29" s="4">
        <f t="shared" si="9"/>
        <v>0</v>
      </c>
      <c r="AQ29" s="4">
        <f t="shared" si="10"/>
        <v>0</v>
      </c>
      <c r="AR29" s="4">
        <f t="shared" si="11"/>
        <v>26</v>
      </c>
      <c r="AS29" s="4">
        <f t="shared" si="2"/>
        <v>30</v>
      </c>
      <c r="AT29" s="4">
        <f t="shared" si="12"/>
        <v>30</v>
      </c>
    </row>
    <row r="30" spans="1:46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IFERROR(LOOKUP(2,1/((#REF!=sep!$A30)*(#REF!&lt;=sep!F$3)*(#REF!&gt;=sep!F$3)),#REF!),IF(WEEKDAY(sep!F$3,1)=1,"WO","P"))</f>
        <v>P</v>
      </c>
      <c r="G30" s="4" t="str">
        <f>IFERROR(LOOKUP(2,1/((#REF!=sep!$A30)*(#REF!&lt;=sep!G$3)*(#REF!&gt;=sep!G$3)),#REF!),IF(WEEKDAY(sep!G$3,1)=1,"WO","P"))</f>
        <v>P</v>
      </c>
      <c r="H30" s="4" t="str">
        <f>IFERROR(LOOKUP(2,1/((#REF!=sep!$A30)*(#REF!&lt;=sep!H$3)*(#REF!&gt;=sep!H$3)),#REF!),IF(WEEKDAY(sep!H$3,1)=1,"WO","P"))</f>
        <v>P</v>
      </c>
      <c r="I30" s="4" t="str">
        <f>IFERROR(LOOKUP(2,1/((#REF!=sep!$A30)*(#REF!&lt;=sep!I$3)*(#REF!&gt;=sep!I$3)),#REF!),IF(WEEKDAY(sep!I$3,1)=1,"WO","P"))</f>
        <v>P</v>
      </c>
      <c r="J30" s="4" t="str">
        <f>IFERROR(LOOKUP(2,1/((#REF!=sep!$A30)*(#REF!&lt;=sep!J$3)*(#REF!&gt;=sep!J$3)),#REF!),IF(WEEKDAY(sep!J$3,1)=1,"WO","P"))</f>
        <v>P</v>
      </c>
      <c r="K30" s="4" t="str">
        <f>IFERROR(LOOKUP(2,1/((#REF!=sep!$A30)*(#REF!&lt;=sep!K$3)*(#REF!&gt;=sep!K$3)),#REF!),IF(WEEKDAY(sep!K$3,1)=1,"WO","P"))</f>
        <v>WO</v>
      </c>
      <c r="L30" s="4" t="str">
        <f>IFERROR(LOOKUP(2,1/((#REF!=sep!$A30)*(#REF!&lt;=sep!L$3)*(#REF!&gt;=sep!L$3)),#REF!),IF(WEEKDAY(sep!L$3,1)=1,"WO","P"))</f>
        <v>P</v>
      </c>
      <c r="M30" s="4" t="str">
        <f>IFERROR(LOOKUP(2,1/((#REF!=sep!$A30)*(#REF!&lt;=sep!M$3)*(#REF!&gt;=sep!M$3)),#REF!),IF(WEEKDAY(sep!M$3,1)=1,"WO","P"))</f>
        <v>P</v>
      </c>
      <c r="N30" s="4" t="str">
        <f>IFERROR(LOOKUP(2,1/((#REF!=sep!$A30)*(#REF!&lt;=sep!N$3)*(#REF!&gt;=sep!N$3)),#REF!),IF(WEEKDAY(sep!N$3,1)=1,"WO","P"))</f>
        <v>P</v>
      </c>
      <c r="O30" s="4" t="str">
        <f>IFERROR(LOOKUP(2,1/((#REF!=sep!$A30)*(#REF!&lt;=sep!O$3)*(#REF!&gt;=sep!O$3)),#REF!),IF(WEEKDAY(sep!O$3,1)=1,"WO","P"))</f>
        <v>P</v>
      </c>
      <c r="P30" s="4" t="str">
        <f>IFERROR(LOOKUP(2,1/((#REF!=sep!$A30)*(#REF!&lt;=sep!P$3)*(#REF!&gt;=sep!P$3)),#REF!),IF(WEEKDAY(sep!P$3,1)=1,"WO","P"))</f>
        <v>P</v>
      </c>
      <c r="Q30" s="4" t="str">
        <f>IFERROR(LOOKUP(2,1/((#REF!=sep!$A30)*(#REF!&lt;=sep!Q$3)*(#REF!&gt;=sep!Q$3)),#REF!),IF(WEEKDAY(sep!Q$3,1)=1,"WO","P"))</f>
        <v>P</v>
      </c>
      <c r="R30" s="4" t="str">
        <f>IFERROR(LOOKUP(2,1/((#REF!=sep!$A30)*(#REF!&lt;=sep!R$3)*(#REF!&gt;=sep!R$3)),#REF!),IF(WEEKDAY(sep!R$3,1)=1,"WO","P"))</f>
        <v>WO</v>
      </c>
      <c r="S30" s="4" t="str">
        <f>IFERROR(LOOKUP(2,1/((#REF!=sep!$A30)*(#REF!&lt;=sep!S$3)*(#REF!&gt;=sep!S$3)),#REF!),IF(WEEKDAY(sep!S$3,1)=1,"WO","P"))</f>
        <v>P</v>
      </c>
      <c r="T30" s="4" t="str">
        <f>IFERROR(LOOKUP(2,1/((#REF!=sep!$A30)*(#REF!&lt;=sep!T$3)*(#REF!&gt;=sep!T$3)),#REF!),IF(WEEKDAY(sep!T$3,1)=1,"WO","P"))</f>
        <v>P</v>
      </c>
      <c r="U30" s="4" t="str">
        <f>IFERROR(LOOKUP(2,1/((#REF!=sep!$A30)*(#REF!&lt;=sep!U$3)*(#REF!&gt;=sep!U$3)),#REF!),IF(WEEKDAY(sep!U$3,1)=1,"WO","P"))</f>
        <v>P</v>
      </c>
      <c r="V30" s="4" t="str">
        <f>IFERROR(LOOKUP(2,1/((#REF!=sep!$A30)*(#REF!&lt;=sep!V$3)*(#REF!&gt;=sep!V$3)),#REF!),IF(WEEKDAY(sep!V$3,1)=1,"WO","P"))</f>
        <v>P</v>
      </c>
      <c r="W30" s="4" t="str">
        <f>IFERROR(LOOKUP(2,1/((#REF!=sep!$A30)*(#REF!&lt;=sep!W$3)*(#REF!&gt;=sep!W$3)),#REF!),IF(WEEKDAY(sep!W$3,1)=1,"WO","P"))</f>
        <v>P</v>
      </c>
      <c r="X30" s="4" t="str">
        <f>IFERROR(LOOKUP(2,1/((#REF!=sep!$A30)*(#REF!&lt;=sep!X$3)*(#REF!&gt;=sep!X$3)),#REF!),IF(WEEKDAY(sep!X$3,1)=1,"WO","P"))</f>
        <v>P</v>
      </c>
      <c r="Y30" s="4" t="str">
        <f>IFERROR(LOOKUP(2,1/((#REF!=sep!$A30)*(#REF!&lt;=sep!Y$3)*(#REF!&gt;=sep!Y$3)),#REF!),IF(WEEKDAY(sep!Y$3,1)=1,"WO","P"))</f>
        <v>WO</v>
      </c>
      <c r="Z30" s="4" t="str">
        <f>IFERROR(LOOKUP(2,1/((#REF!=sep!$A30)*(#REF!&lt;=sep!Z$3)*(#REF!&gt;=sep!Z$3)),#REF!),IF(WEEKDAY(sep!Z$3,1)=1,"WO","P"))</f>
        <v>P</v>
      </c>
      <c r="AA30" s="4" t="str">
        <f>IFERROR(LOOKUP(2,1/((#REF!=sep!$A30)*(#REF!&lt;=sep!AA$3)*(#REF!&gt;=sep!AA$3)),#REF!),IF(WEEKDAY(sep!AA$3,1)=1,"WO","P"))</f>
        <v>P</v>
      </c>
      <c r="AB30" s="4" t="str">
        <f>IFERROR(LOOKUP(2,1/((#REF!=sep!$A30)*(#REF!&lt;=sep!AB$3)*(#REF!&gt;=sep!AB$3)),#REF!),IF(WEEKDAY(sep!AB$3,1)=1,"WO","P"))</f>
        <v>P</v>
      </c>
      <c r="AC30" s="4" t="str">
        <f>IFERROR(LOOKUP(2,1/((#REF!=sep!$A30)*(#REF!&lt;=sep!AC$3)*(#REF!&gt;=sep!AC$3)),#REF!),IF(WEEKDAY(sep!AC$3,1)=1,"WO","P"))</f>
        <v>P</v>
      </c>
      <c r="AD30" s="4" t="str">
        <f>IFERROR(LOOKUP(2,1/((#REF!=sep!$A30)*(#REF!&lt;=sep!AD$3)*(#REF!&gt;=sep!AD$3)),#REF!),IF(WEEKDAY(sep!AD$3,1)=1,"WO","P"))</f>
        <v>P</v>
      </c>
      <c r="AE30" s="4" t="str">
        <f>IFERROR(LOOKUP(2,1/((#REF!=sep!$A30)*(#REF!&lt;=sep!AE$3)*(#REF!&gt;=sep!AE$3)),#REF!),IF(WEEKDAY(sep!AE$3,1)=1,"WO","P"))</f>
        <v>P</v>
      </c>
      <c r="AF30" s="4" t="str">
        <f>IFERROR(LOOKUP(2,1/((#REF!=sep!$A30)*(#REF!&lt;=sep!AF$3)*(#REF!&gt;=sep!AF$3)),#REF!),IF(WEEKDAY(sep!AF$3,1)=1,"WO","P"))</f>
        <v>WO</v>
      </c>
      <c r="AG30" s="4" t="str">
        <f>IFERROR(LOOKUP(2,1/((#REF!=sep!$A30)*(#REF!&lt;=sep!AG$3)*(#REF!&gt;=sep!AG$3)),#REF!),IF(WEEKDAY(sep!AG$3,1)=1,"WO","P"))</f>
        <v>P</v>
      </c>
      <c r="AH30" s="4" t="str">
        <f>IFERROR(LOOKUP(2,1/((#REF!=sep!$A30)*(#REF!&lt;=sep!AH$3)*(#REF!&gt;=sep!AH$3)),#REF!),IF(WEEKDAY(sep!AH$3,1)=1,"WO","P"))</f>
        <v>P</v>
      </c>
      <c r="AI30" s="4" t="str">
        <f>IFERROR(LOOKUP(2,1/((#REF!=sep!$A30)*(#REF!&lt;=sep!AI$3)*(#REF!&gt;=sep!AI$3)),#REF!),IF(WEEKDAY(sep!AI$3,1)=1,"WO","P"))</f>
        <v>P</v>
      </c>
      <c r="AJ30" s="4">
        <f t="shared" si="3"/>
        <v>4</v>
      </c>
      <c r="AK30" s="4">
        <f t="shared" si="4"/>
        <v>0</v>
      </c>
      <c r="AL30" s="4">
        <f t="shared" si="5"/>
        <v>0</v>
      </c>
      <c r="AM30" s="4">
        <f t="shared" si="6"/>
        <v>0</v>
      </c>
      <c r="AN30" s="4">
        <f t="shared" si="7"/>
        <v>0</v>
      </c>
      <c r="AO30" s="4">
        <f t="shared" si="8"/>
        <v>0</v>
      </c>
      <c r="AP30" s="4">
        <f t="shared" si="9"/>
        <v>0</v>
      </c>
      <c r="AQ30" s="4">
        <f t="shared" si="10"/>
        <v>0</v>
      </c>
      <c r="AR30" s="4">
        <f t="shared" si="11"/>
        <v>26</v>
      </c>
      <c r="AS30" s="4">
        <f t="shared" si="2"/>
        <v>30</v>
      </c>
      <c r="AT30" s="4">
        <f t="shared" si="12"/>
        <v>30</v>
      </c>
    </row>
    <row r="31" spans="1:46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IFERROR(LOOKUP(2,1/((#REF!=sep!$A31)*(#REF!&lt;=sep!F$3)*(#REF!&gt;=sep!F$3)),#REF!),IF(WEEKDAY(sep!F$3,1)=1,"WO","P"))</f>
        <v>P</v>
      </c>
      <c r="G31" s="4" t="str">
        <f>IFERROR(LOOKUP(2,1/((#REF!=sep!$A31)*(#REF!&lt;=sep!G$3)*(#REF!&gt;=sep!G$3)),#REF!),IF(WEEKDAY(sep!G$3,1)=1,"WO","P"))</f>
        <v>P</v>
      </c>
      <c r="H31" s="4" t="str">
        <f>IFERROR(LOOKUP(2,1/((#REF!=sep!$A31)*(#REF!&lt;=sep!H$3)*(#REF!&gt;=sep!H$3)),#REF!),IF(WEEKDAY(sep!H$3,1)=1,"WO","P"))</f>
        <v>P</v>
      </c>
      <c r="I31" s="4" t="str">
        <f>IFERROR(LOOKUP(2,1/((#REF!=sep!$A31)*(#REF!&lt;=sep!I$3)*(#REF!&gt;=sep!I$3)),#REF!),IF(WEEKDAY(sep!I$3,1)=1,"WO","P"))</f>
        <v>P</v>
      </c>
      <c r="J31" s="4" t="str">
        <f>IFERROR(LOOKUP(2,1/((#REF!=sep!$A31)*(#REF!&lt;=sep!J$3)*(#REF!&gt;=sep!J$3)),#REF!),IF(WEEKDAY(sep!J$3,1)=1,"WO","P"))</f>
        <v>P</v>
      </c>
      <c r="K31" s="4" t="str">
        <f>IFERROR(LOOKUP(2,1/((#REF!=sep!$A31)*(#REF!&lt;=sep!K$3)*(#REF!&gt;=sep!K$3)),#REF!),IF(WEEKDAY(sep!K$3,1)=1,"WO","P"))</f>
        <v>WO</v>
      </c>
      <c r="L31" s="4" t="str">
        <f>IFERROR(LOOKUP(2,1/((#REF!=sep!$A31)*(#REF!&lt;=sep!L$3)*(#REF!&gt;=sep!L$3)),#REF!),IF(WEEKDAY(sep!L$3,1)=1,"WO","P"))</f>
        <v>P</v>
      </c>
      <c r="M31" s="4" t="str">
        <f>IFERROR(LOOKUP(2,1/((#REF!=sep!$A31)*(#REF!&lt;=sep!M$3)*(#REF!&gt;=sep!M$3)),#REF!),IF(WEEKDAY(sep!M$3,1)=1,"WO","P"))</f>
        <v>P</v>
      </c>
      <c r="N31" s="4" t="str">
        <f>IFERROR(LOOKUP(2,1/((#REF!=sep!$A31)*(#REF!&lt;=sep!N$3)*(#REF!&gt;=sep!N$3)),#REF!),IF(WEEKDAY(sep!N$3,1)=1,"WO","P"))</f>
        <v>P</v>
      </c>
      <c r="O31" s="4" t="str">
        <f>IFERROR(LOOKUP(2,1/((#REF!=sep!$A31)*(#REF!&lt;=sep!O$3)*(#REF!&gt;=sep!O$3)),#REF!),IF(WEEKDAY(sep!O$3,1)=1,"WO","P"))</f>
        <v>P</v>
      </c>
      <c r="P31" s="4" t="str">
        <f>IFERROR(LOOKUP(2,1/((#REF!=sep!$A31)*(#REF!&lt;=sep!P$3)*(#REF!&gt;=sep!P$3)),#REF!),IF(WEEKDAY(sep!P$3,1)=1,"WO","P"))</f>
        <v>P</v>
      </c>
      <c r="Q31" s="4" t="str">
        <f>IFERROR(LOOKUP(2,1/((#REF!=sep!$A31)*(#REF!&lt;=sep!Q$3)*(#REF!&gt;=sep!Q$3)),#REF!),IF(WEEKDAY(sep!Q$3,1)=1,"WO","P"))</f>
        <v>P</v>
      </c>
      <c r="R31" s="4" t="str">
        <f>IFERROR(LOOKUP(2,1/((#REF!=sep!$A31)*(#REF!&lt;=sep!R$3)*(#REF!&gt;=sep!R$3)),#REF!),IF(WEEKDAY(sep!R$3,1)=1,"WO","P"))</f>
        <v>WO</v>
      </c>
      <c r="S31" s="4" t="str">
        <f>IFERROR(LOOKUP(2,1/((#REF!=sep!$A31)*(#REF!&lt;=sep!S$3)*(#REF!&gt;=sep!S$3)),#REF!),IF(WEEKDAY(sep!S$3,1)=1,"WO","P"))</f>
        <v>P</v>
      </c>
      <c r="T31" s="4" t="str">
        <f>IFERROR(LOOKUP(2,1/((#REF!=sep!$A31)*(#REF!&lt;=sep!T$3)*(#REF!&gt;=sep!T$3)),#REF!),IF(WEEKDAY(sep!T$3,1)=1,"WO","P"))</f>
        <v>P</v>
      </c>
      <c r="U31" s="4" t="str">
        <f>IFERROR(LOOKUP(2,1/((#REF!=sep!$A31)*(#REF!&lt;=sep!U$3)*(#REF!&gt;=sep!U$3)),#REF!),IF(WEEKDAY(sep!U$3,1)=1,"WO","P"))</f>
        <v>P</v>
      </c>
      <c r="V31" s="4" t="str">
        <f>IFERROR(LOOKUP(2,1/((#REF!=sep!$A31)*(#REF!&lt;=sep!V$3)*(#REF!&gt;=sep!V$3)),#REF!),IF(WEEKDAY(sep!V$3,1)=1,"WO","P"))</f>
        <v>P</v>
      </c>
      <c r="W31" s="4" t="str">
        <f>IFERROR(LOOKUP(2,1/((#REF!=sep!$A31)*(#REF!&lt;=sep!W$3)*(#REF!&gt;=sep!W$3)),#REF!),IF(WEEKDAY(sep!W$3,1)=1,"WO","P"))</f>
        <v>P</v>
      </c>
      <c r="X31" s="4" t="str">
        <f>IFERROR(LOOKUP(2,1/((#REF!=sep!$A31)*(#REF!&lt;=sep!X$3)*(#REF!&gt;=sep!X$3)),#REF!),IF(WEEKDAY(sep!X$3,1)=1,"WO","P"))</f>
        <v>P</v>
      </c>
      <c r="Y31" s="4" t="str">
        <f>IFERROR(LOOKUP(2,1/((#REF!=sep!$A31)*(#REF!&lt;=sep!Y$3)*(#REF!&gt;=sep!Y$3)),#REF!),IF(WEEKDAY(sep!Y$3,1)=1,"WO","P"))</f>
        <v>WO</v>
      </c>
      <c r="Z31" s="4" t="str">
        <f>IFERROR(LOOKUP(2,1/((#REF!=sep!$A31)*(#REF!&lt;=sep!Z$3)*(#REF!&gt;=sep!Z$3)),#REF!),IF(WEEKDAY(sep!Z$3,1)=1,"WO","P"))</f>
        <v>P</v>
      </c>
      <c r="AA31" s="4" t="str">
        <f>IFERROR(LOOKUP(2,1/((#REF!=sep!$A31)*(#REF!&lt;=sep!AA$3)*(#REF!&gt;=sep!AA$3)),#REF!),IF(WEEKDAY(sep!AA$3,1)=1,"WO","P"))</f>
        <v>P</v>
      </c>
      <c r="AB31" s="4" t="str">
        <f>IFERROR(LOOKUP(2,1/((#REF!=sep!$A31)*(#REF!&lt;=sep!AB$3)*(#REF!&gt;=sep!AB$3)),#REF!),IF(WEEKDAY(sep!AB$3,1)=1,"WO","P"))</f>
        <v>P</v>
      </c>
      <c r="AC31" s="4" t="str">
        <f>IFERROR(LOOKUP(2,1/((#REF!=sep!$A31)*(#REF!&lt;=sep!AC$3)*(#REF!&gt;=sep!AC$3)),#REF!),IF(WEEKDAY(sep!AC$3,1)=1,"WO","P"))</f>
        <v>P</v>
      </c>
      <c r="AD31" s="4" t="str">
        <f>IFERROR(LOOKUP(2,1/((#REF!=sep!$A31)*(#REF!&lt;=sep!AD$3)*(#REF!&gt;=sep!AD$3)),#REF!),IF(WEEKDAY(sep!AD$3,1)=1,"WO","P"))</f>
        <v>P</v>
      </c>
      <c r="AE31" s="4" t="str">
        <f>IFERROR(LOOKUP(2,1/((#REF!=sep!$A31)*(#REF!&lt;=sep!AE$3)*(#REF!&gt;=sep!AE$3)),#REF!),IF(WEEKDAY(sep!AE$3,1)=1,"WO","P"))</f>
        <v>P</v>
      </c>
      <c r="AF31" s="4" t="str">
        <f>IFERROR(LOOKUP(2,1/((#REF!=sep!$A31)*(#REF!&lt;=sep!AF$3)*(#REF!&gt;=sep!AF$3)),#REF!),IF(WEEKDAY(sep!AF$3,1)=1,"WO","P"))</f>
        <v>WO</v>
      </c>
      <c r="AG31" s="4" t="str">
        <f>IFERROR(LOOKUP(2,1/((#REF!=sep!$A31)*(#REF!&lt;=sep!AG$3)*(#REF!&gt;=sep!AG$3)),#REF!),IF(WEEKDAY(sep!AG$3,1)=1,"WO","P"))</f>
        <v>P</v>
      </c>
      <c r="AH31" s="4" t="str">
        <f>IFERROR(LOOKUP(2,1/((#REF!=sep!$A31)*(#REF!&lt;=sep!AH$3)*(#REF!&gt;=sep!AH$3)),#REF!),IF(WEEKDAY(sep!AH$3,1)=1,"WO","P"))</f>
        <v>P</v>
      </c>
      <c r="AI31" s="4" t="str">
        <f>IFERROR(LOOKUP(2,1/((#REF!=sep!$A31)*(#REF!&lt;=sep!AI$3)*(#REF!&gt;=sep!AI$3)),#REF!),IF(WEEKDAY(sep!AI$3,1)=1,"WO","P"))</f>
        <v>P</v>
      </c>
      <c r="AJ31" s="4">
        <f t="shared" si="3"/>
        <v>4</v>
      </c>
      <c r="AK31" s="4">
        <f t="shared" si="4"/>
        <v>0</v>
      </c>
      <c r="AL31" s="4">
        <f t="shared" si="5"/>
        <v>0</v>
      </c>
      <c r="AM31" s="4">
        <f t="shared" si="6"/>
        <v>0</v>
      </c>
      <c r="AN31" s="4">
        <f t="shared" si="7"/>
        <v>0</v>
      </c>
      <c r="AO31" s="4">
        <f t="shared" si="8"/>
        <v>0</v>
      </c>
      <c r="AP31" s="4">
        <f t="shared" si="9"/>
        <v>0</v>
      </c>
      <c r="AQ31" s="4">
        <f t="shared" si="10"/>
        <v>0</v>
      </c>
      <c r="AR31" s="4">
        <f t="shared" si="11"/>
        <v>26</v>
      </c>
      <c r="AS31" s="4">
        <f t="shared" si="2"/>
        <v>30</v>
      </c>
      <c r="AT31" s="4">
        <f t="shared" si="12"/>
        <v>30</v>
      </c>
    </row>
    <row r="32" spans="1:46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IFERROR(LOOKUP(2,1/((#REF!=sep!$A32)*(#REF!&lt;=sep!F$3)*(#REF!&gt;=sep!F$3)),#REF!),IF(WEEKDAY(sep!F$3,1)=1,"WO","P"))</f>
        <v>P</v>
      </c>
      <c r="G32" s="4" t="str">
        <f>IFERROR(LOOKUP(2,1/((#REF!=sep!$A32)*(#REF!&lt;=sep!G$3)*(#REF!&gt;=sep!G$3)),#REF!),IF(WEEKDAY(sep!G$3,1)=1,"WO","P"))</f>
        <v>P</v>
      </c>
      <c r="H32" s="4" t="str">
        <f>IFERROR(LOOKUP(2,1/((#REF!=sep!$A32)*(#REF!&lt;=sep!H$3)*(#REF!&gt;=sep!H$3)),#REF!),IF(WEEKDAY(sep!H$3,1)=1,"WO","P"))</f>
        <v>P</v>
      </c>
      <c r="I32" s="4" t="str">
        <f>IFERROR(LOOKUP(2,1/((#REF!=sep!$A32)*(#REF!&lt;=sep!I$3)*(#REF!&gt;=sep!I$3)),#REF!),IF(WEEKDAY(sep!I$3,1)=1,"WO","P"))</f>
        <v>P</v>
      </c>
      <c r="J32" s="4" t="str">
        <f>IFERROR(LOOKUP(2,1/((#REF!=sep!$A32)*(#REF!&lt;=sep!J$3)*(#REF!&gt;=sep!J$3)),#REF!),IF(WEEKDAY(sep!J$3,1)=1,"WO","P"))</f>
        <v>P</v>
      </c>
      <c r="K32" s="4" t="str">
        <f>IFERROR(LOOKUP(2,1/((#REF!=sep!$A32)*(#REF!&lt;=sep!K$3)*(#REF!&gt;=sep!K$3)),#REF!),IF(WEEKDAY(sep!K$3,1)=1,"WO","P"))</f>
        <v>WO</v>
      </c>
      <c r="L32" s="4" t="str">
        <f>IFERROR(LOOKUP(2,1/((#REF!=sep!$A32)*(#REF!&lt;=sep!L$3)*(#REF!&gt;=sep!L$3)),#REF!),IF(WEEKDAY(sep!L$3,1)=1,"WO","P"))</f>
        <v>P</v>
      </c>
      <c r="M32" s="4" t="str">
        <f>IFERROR(LOOKUP(2,1/((#REF!=sep!$A32)*(#REF!&lt;=sep!M$3)*(#REF!&gt;=sep!M$3)),#REF!),IF(WEEKDAY(sep!M$3,1)=1,"WO","P"))</f>
        <v>P</v>
      </c>
      <c r="N32" s="4" t="str">
        <f>IFERROR(LOOKUP(2,1/((#REF!=sep!$A32)*(#REF!&lt;=sep!N$3)*(#REF!&gt;=sep!N$3)),#REF!),IF(WEEKDAY(sep!N$3,1)=1,"WO","P"))</f>
        <v>P</v>
      </c>
      <c r="O32" s="4" t="str">
        <f>IFERROR(LOOKUP(2,1/((#REF!=sep!$A32)*(#REF!&lt;=sep!O$3)*(#REF!&gt;=sep!O$3)),#REF!),IF(WEEKDAY(sep!O$3,1)=1,"WO","P"))</f>
        <v>P</v>
      </c>
      <c r="P32" s="4" t="str">
        <f>IFERROR(LOOKUP(2,1/((#REF!=sep!$A32)*(#REF!&lt;=sep!P$3)*(#REF!&gt;=sep!P$3)),#REF!),IF(WEEKDAY(sep!P$3,1)=1,"WO","P"))</f>
        <v>P</v>
      </c>
      <c r="Q32" s="4" t="str">
        <f>IFERROR(LOOKUP(2,1/((#REF!=sep!$A32)*(#REF!&lt;=sep!Q$3)*(#REF!&gt;=sep!Q$3)),#REF!),IF(WEEKDAY(sep!Q$3,1)=1,"WO","P"))</f>
        <v>P</v>
      </c>
      <c r="R32" s="4" t="str">
        <f>IFERROR(LOOKUP(2,1/((#REF!=sep!$A32)*(#REF!&lt;=sep!R$3)*(#REF!&gt;=sep!R$3)),#REF!),IF(WEEKDAY(sep!R$3,1)=1,"WO","P"))</f>
        <v>WO</v>
      </c>
      <c r="S32" s="4" t="str">
        <f>IFERROR(LOOKUP(2,1/((#REF!=sep!$A32)*(#REF!&lt;=sep!S$3)*(#REF!&gt;=sep!S$3)),#REF!),IF(WEEKDAY(sep!S$3,1)=1,"WO","P"))</f>
        <v>P</v>
      </c>
      <c r="T32" s="4" t="str">
        <f>IFERROR(LOOKUP(2,1/((#REF!=sep!$A32)*(#REF!&lt;=sep!T$3)*(#REF!&gt;=sep!T$3)),#REF!),IF(WEEKDAY(sep!T$3,1)=1,"WO","P"))</f>
        <v>P</v>
      </c>
      <c r="U32" s="4" t="str">
        <f>IFERROR(LOOKUP(2,1/((#REF!=sep!$A32)*(#REF!&lt;=sep!U$3)*(#REF!&gt;=sep!U$3)),#REF!),IF(WEEKDAY(sep!U$3,1)=1,"WO","P"))</f>
        <v>P</v>
      </c>
      <c r="V32" s="4" t="str">
        <f>IFERROR(LOOKUP(2,1/((#REF!=sep!$A32)*(#REF!&lt;=sep!V$3)*(#REF!&gt;=sep!V$3)),#REF!),IF(WEEKDAY(sep!V$3,1)=1,"WO","P"))</f>
        <v>P</v>
      </c>
      <c r="W32" s="4" t="str">
        <f>IFERROR(LOOKUP(2,1/((#REF!=sep!$A32)*(#REF!&lt;=sep!W$3)*(#REF!&gt;=sep!W$3)),#REF!),IF(WEEKDAY(sep!W$3,1)=1,"WO","P"))</f>
        <v>P</v>
      </c>
      <c r="X32" s="4" t="str">
        <f>IFERROR(LOOKUP(2,1/((#REF!=sep!$A32)*(#REF!&lt;=sep!X$3)*(#REF!&gt;=sep!X$3)),#REF!),IF(WEEKDAY(sep!X$3,1)=1,"WO","P"))</f>
        <v>P</v>
      </c>
      <c r="Y32" s="4" t="str">
        <f>IFERROR(LOOKUP(2,1/((#REF!=sep!$A32)*(#REF!&lt;=sep!Y$3)*(#REF!&gt;=sep!Y$3)),#REF!),IF(WEEKDAY(sep!Y$3,1)=1,"WO","P"))</f>
        <v>WO</v>
      </c>
      <c r="Z32" s="4" t="str">
        <f>IFERROR(LOOKUP(2,1/((#REF!=sep!$A32)*(#REF!&lt;=sep!Z$3)*(#REF!&gt;=sep!Z$3)),#REF!),IF(WEEKDAY(sep!Z$3,1)=1,"WO","P"))</f>
        <v>P</v>
      </c>
      <c r="AA32" s="4" t="str">
        <f>IFERROR(LOOKUP(2,1/((#REF!=sep!$A32)*(#REF!&lt;=sep!AA$3)*(#REF!&gt;=sep!AA$3)),#REF!),IF(WEEKDAY(sep!AA$3,1)=1,"WO","P"))</f>
        <v>P</v>
      </c>
      <c r="AB32" s="4" t="str">
        <f>IFERROR(LOOKUP(2,1/((#REF!=sep!$A32)*(#REF!&lt;=sep!AB$3)*(#REF!&gt;=sep!AB$3)),#REF!),IF(WEEKDAY(sep!AB$3,1)=1,"WO","P"))</f>
        <v>P</v>
      </c>
      <c r="AC32" s="4" t="str">
        <f>IFERROR(LOOKUP(2,1/((#REF!=sep!$A32)*(#REF!&lt;=sep!AC$3)*(#REF!&gt;=sep!AC$3)),#REF!),IF(WEEKDAY(sep!AC$3,1)=1,"WO","P"))</f>
        <v>P</v>
      </c>
      <c r="AD32" s="4" t="str">
        <f>IFERROR(LOOKUP(2,1/((#REF!=sep!$A32)*(#REF!&lt;=sep!AD$3)*(#REF!&gt;=sep!AD$3)),#REF!),IF(WEEKDAY(sep!AD$3,1)=1,"WO","P"))</f>
        <v>P</v>
      </c>
      <c r="AE32" s="4" t="str">
        <f>IFERROR(LOOKUP(2,1/((#REF!=sep!$A32)*(#REF!&lt;=sep!AE$3)*(#REF!&gt;=sep!AE$3)),#REF!),IF(WEEKDAY(sep!AE$3,1)=1,"WO","P"))</f>
        <v>P</v>
      </c>
      <c r="AF32" s="4" t="str">
        <f>IFERROR(LOOKUP(2,1/((#REF!=sep!$A32)*(#REF!&lt;=sep!AF$3)*(#REF!&gt;=sep!AF$3)),#REF!),IF(WEEKDAY(sep!AF$3,1)=1,"WO","P"))</f>
        <v>WO</v>
      </c>
      <c r="AG32" s="4" t="str">
        <f>IFERROR(LOOKUP(2,1/((#REF!=sep!$A32)*(#REF!&lt;=sep!AG$3)*(#REF!&gt;=sep!AG$3)),#REF!),IF(WEEKDAY(sep!AG$3,1)=1,"WO","P"))</f>
        <v>P</v>
      </c>
      <c r="AH32" s="4" t="str">
        <f>IFERROR(LOOKUP(2,1/((#REF!=sep!$A32)*(#REF!&lt;=sep!AH$3)*(#REF!&gt;=sep!AH$3)),#REF!),IF(WEEKDAY(sep!AH$3,1)=1,"WO","P"))</f>
        <v>P</v>
      </c>
      <c r="AI32" s="4" t="str">
        <f>IFERROR(LOOKUP(2,1/((#REF!=sep!$A32)*(#REF!&lt;=sep!AI$3)*(#REF!&gt;=sep!AI$3)),#REF!),IF(WEEKDAY(sep!AI$3,1)=1,"WO","P"))</f>
        <v>P</v>
      </c>
      <c r="AJ32" s="4">
        <f t="shared" si="3"/>
        <v>4</v>
      </c>
      <c r="AK32" s="4">
        <f t="shared" si="4"/>
        <v>0</v>
      </c>
      <c r="AL32" s="4">
        <f t="shared" si="5"/>
        <v>0</v>
      </c>
      <c r="AM32" s="4">
        <f t="shared" si="6"/>
        <v>0</v>
      </c>
      <c r="AN32" s="4">
        <f t="shared" si="7"/>
        <v>0</v>
      </c>
      <c r="AO32" s="4">
        <f t="shared" si="8"/>
        <v>0</v>
      </c>
      <c r="AP32" s="4">
        <f t="shared" si="9"/>
        <v>0</v>
      </c>
      <c r="AQ32" s="4">
        <f t="shared" si="10"/>
        <v>0</v>
      </c>
      <c r="AR32" s="4">
        <f t="shared" si="11"/>
        <v>26</v>
      </c>
      <c r="AS32" s="4">
        <f t="shared" si="2"/>
        <v>30</v>
      </c>
      <c r="AT32" s="4">
        <f t="shared" si="12"/>
        <v>30</v>
      </c>
    </row>
    <row r="33" spans="1:46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IFERROR(LOOKUP(2,1/((#REF!=sep!$A33)*(#REF!&lt;=sep!F$3)*(#REF!&gt;=sep!F$3)),#REF!),IF(WEEKDAY(sep!F$3,1)=1,"WO","P"))</f>
        <v>P</v>
      </c>
      <c r="G33" s="4" t="str">
        <f>IFERROR(LOOKUP(2,1/((#REF!=sep!$A33)*(#REF!&lt;=sep!G$3)*(#REF!&gt;=sep!G$3)),#REF!),IF(WEEKDAY(sep!G$3,1)=1,"WO","P"))</f>
        <v>P</v>
      </c>
      <c r="H33" s="4" t="str">
        <f>IFERROR(LOOKUP(2,1/((#REF!=sep!$A33)*(#REF!&lt;=sep!H$3)*(#REF!&gt;=sep!H$3)),#REF!),IF(WEEKDAY(sep!H$3,1)=1,"WO","P"))</f>
        <v>P</v>
      </c>
      <c r="I33" s="4" t="str">
        <f>IFERROR(LOOKUP(2,1/((#REF!=sep!$A33)*(#REF!&lt;=sep!I$3)*(#REF!&gt;=sep!I$3)),#REF!),IF(WEEKDAY(sep!I$3,1)=1,"WO","P"))</f>
        <v>P</v>
      </c>
      <c r="J33" s="4" t="str">
        <f>IFERROR(LOOKUP(2,1/((#REF!=sep!$A33)*(#REF!&lt;=sep!J$3)*(#REF!&gt;=sep!J$3)),#REF!),IF(WEEKDAY(sep!J$3,1)=1,"WO","P"))</f>
        <v>P</v>
      </c>
      <c r="K33" s="4" t="str">
        <f>IFERROR(LOOKUP(2,1/((#REF!=sep!$A33)*(#REF!&lt;=sep!K$3)*(#REF!&gt;=sep!K$3)),#REF!),IF(WEEKDAY(sep!K$3,1)=1,"WO","P"))</f>
        <v>WO</v>
      </c>
      <c r="L33" s="4" t="str">
        <f>IFERROR(LOOKUP(2,1/((#REF!=sep!$A33)*(#REF!&lt;=sep!L$3)*(#REF!&gt;=sep!L$3)),#REF!),IF(WEEKDAY(sep!L$3,1)=1,"WO","P"))</f>
        <v>P</v>
      </c>
      <c r="M33" s="4" t="str">
        <f>IFERROR(LOOKUP(2,1/((#REF!=sep!$A33)*(#REF!&lt;=sep!M$3)*(#REF!&gt;=sep!M$3)),#REF!),IF(WEEKDAY(sep!M$3,1)=1,"WO","P"))</f>
        <v>P</v>
      </c>
      <c r="N33" s="4" t="str">
        <f>IFERROR(LOOKUP(2,1/((#REF!=sep!$A33)*(#REF!&lt;=sep!N$3)*(#REF!&gt;=sep!N$3)),#REF!),IF(WEEKDAY(sep!N$3,1)=1,"WO","P"))</f>
        <v>P</v>
      </c>
      <c r="O33" s="4" t="str">
        <f>IFERROR(LOOKUP(2,1/((#REF!=sep!$A33)*(#REF!&lt;=sep!O$3)*(#REF!&gt;=sep!O$3)),#REF!),IF(WEEKDAY(sep!O$3,1)=1,"WO","P"))</f>
        <v>P</v>
      </c>
      <c r="P33" s="4" t="str">
        <f>IFERROR(LOOKUP(2,1/((#REF!=sep!$A33)*(#REF!&lt;=sep!P$3)*(#REF!&gt;=sep!P$3)),#REF!),IF(WEEKDAY(sep!P$3,1)=1,"WO","P"))</f>
        <v>P</v>
      </c>
      <c r="Q33" s="4" t="str">
        <f>IFERROR(LOOKUP(2,1/((#REF!=sep!$A33)*(#REF!&lt;=sep!Q$3)*(#REF!&gt;=sep!Q$3)),#REF!),IF(WEEKDAY(sep!Q$3,1)=1,"WO","P"))</f>
        <v>P</v>
      </c>
      <c r="R33" s="4" t="str">
        <f>IFERROR(LOOKUP(2,1/((#REF!=sep!$A33)*(#REF!&lt;=sep!R$3)*(#REF!&gt;=sep!R$3)),#REF!),IF(WEEKDAY(sep!R$3,1)=1,"WO","P"))</f>
        <v>WO</v>
      </c>
      <c r="S33" s="4" t="str">
        <f>IFERROR(LOOKUP(2,1/((#REF!=sep!$A33)*(#REF!&lt;=sep!S$3)*(#REF!&gt;=sep!S$3)),#REF!),IF(WEEKDAY(sep!S$3,1)=1,"WO","P"))</f>
        <v>P</v>
      </c>
      <c r="T33" s="4" t="str">
        <f>IFERROR(LOOKUP(2,1/((#REF!=sep!$A33)*(#REF!&lt;=sep!T$3)*(#REF!&gt;=sep!T$3)),#REF!),IF(WEEKDAY(sep!T$3,1)=1,"WO","P"))</f>
        <v>P</v>
      </c>
      <c r="U33" s="4" t="str">
        <f>IFERROR(LOOKUP(2,1/((#REF!=sep!$A33)*(#REF!&lt;=sep!U$3)*(#REF!&gt;=sep!U$3)),#REF!),IF(WEEKDAY(sep!U$3,1)=1,"WO","P"))</f>
        <v>P</v>
      </c>
      <c r="V33" s="4" t="str">
        <f>IFERROR(LOOKUP(2,1/((#REF!=sep!$A33)*(#REF!&lt;=sep!V$3)*(#REF!&gt;=sep!V$3)),#REF!),IF(WEEKDAY(sep!V$3,1)=1,"WO","P"))</f>
        <v>P</v>
      </c>
      <c r="W33" s="4" t="str">
        <f>IFERROR(LOOKUP(2,1/((#REF!=sep!$A33)*(#REF!&lt;=sep!W$3)*(#REF!&gt;=sep!W$3)),#REF!),IF(WEEKDAY(sep!W$3,1)=1,"WO","P"))</f>
        <v>P</v>
      </c>
      <c r="X33" s="4" t="str">
        <f>IFERROR(LOOKUP(2,1/((#REF!=sep!$A33)*(#REF!&lt;=sep!X$3)*(#REF!&gt;=sep!X$3)),#REF!),IF(WEEKDAY(sep!X$3,1)=1,"WO","P"))</f>
        <v>P</v>
      </c>
      <c r="Y33" s="4" t="str">
        <f>IFERROR(LOOKUP(2,1/((#REF!=sep!$A33)*(#REF!&lt;=sep!Y$3)*(#REF!&gt;=sep!Y$3)),#REF!),IF(WEEKDAY(sep!Y$3,1)=1,"WO","P"))</f>
        <v>WO</v>
      </c>
      <c r="Z33" s="4" t="str">
        <f>IFERROR(LOOKUP(2,1/((#REF!=sep!$A33)*(#REF!&lt;=sep!Z$3)*(#REF!&gt;=sep!Z$3)),#REF!),IF(WEEKDAY(sep!Z$3,1)=1,"WO","P"))</f>
        <v>P</v>
      </c>
      <c r="AA33" s="4" t="str">
        <f>IFERROR(LOOKUP(2,1/((#REF!=sep!$A33)*(#REF!&lt;=sep!AA$3)*(#REF!&gt;=sep!AA$3)),#REF!),IF(WEEKDAY(sep!AA$3,1)=1,"WO","P"))</f>
        <v>P</v>
      </c>
      <c r="AB33" s="4" t="str">
        <f>IFERROR(LOOKUP(2,1/((#REF!=sep!$A33)*(#REF!&lt;=sep!AB$3)*(#REF!&gt;=sep!AB$3)),#REF!),IF(WEEKDAY(sep!AB$3,1)=1,"WO","P"))</f>
        <v>P</v>
      </c>
      <c r="AC33" s="4" t="str">
        <f>IFERROR(LOOKUP(2,1/((#REF!=sep!$A33)*(#REF!&lt;=sep!AC$3)*(#REF!&gt;=sep!AC$3)),#REF!),IF(WEEKDAY(sep!AC$3,1)=1,"WO","P"))</f>
        <v>P</v>
      </c>
      <c r="AD33" s="4" t="str">
        <f>IFERROR(LOOKUP(2,1/((#REF!=sep!$A33)*(#REF!&lt;=sep!AD$3)*(#REF!&gt;=sep!AD$3)),#REF!),IF(WEEKDAY(sep!AD$3,1)=1,"WO","P"))</f>
        <v>P</v>
      </c>
      <c r="AE33" s="4" t="str">
        <f>IFERROR(LOOKUP(2,1/((#REF!=sep!$A33)*(#REF!&lt;=sep!AE$3)*(#REF!&gt;=sep!AE$3)),#REF!),IF(WEEKDAY(sep!AE$3,1)=1,"WO","P"))</f>
        <v>P</v>
      </c>
      <c r="AF33" s="4" t="str">
        <f>IFERROR(LOOKUP(2,1/((#REF!=sep!$A33)*(#REF!&lt;=sep!AF$3)*(#REF!&gt;=sep!AF$3)),#REF!),IF(WEEKDAY(sep!AF$3,1)=1,"WO","P"))</f>
        <v>WO</v>
      </c>
      <c r="AG33" s="4" t="str">
        <f>IFERROR(LOOKUP(2,1/((#REF!=sep!$A33)*(#REF!&lt;=sep!AG$3)*(#REF!&gt;=sep!AG$3)),#REF!),IF(WEEKDAY(sep!AG$3,1)=1,"WO","P"))</f>
        <v>P</v>
      </c>
      <c r="AH33" s="4" t="str">
        <f>IFERROR(LOOKUP(2,1/((#REF!=sep!$A33)*(#REF!&lt;=sep!AH$3)*(#REF!&gt;=sep!AH$3)),#REF!),IF(WEEKDAY(sep!AH$3,1)=1,"WO","P"))</f>
        <v>P</v>
      </c>
      <c r="AI33" s="4" t="str">
        <f>IFERROR(LOOKUP(2,1/((#REF!=sep!$A33)*(#REF!&lt;=sep!AI$3)*(#REF!&gt;=sep!AI$3)),#REF!),IF(WEEKDAY(sep!AI$3,1)=1,"WO","P"))</f>
        <v>P</v>
      </c>
      <c r="AJ33" s="4">
        <f t="shared" si="3"/>
        <v>4</v>
      </c>
      <c r="AK33" s="4">
        <f t="shared" si="4"/>
        <v>0</v>
      </c>
      <c r="AL33" s="4">
        <f t="shared" si="5"/>
        <v>0</v>
      </c>
      <c r="AM33" s="4">
        <f t="shared" si="6"/>
        <v>0</v>
      </c>
      <c r="AN33" s="4">
        <f t="shared" si="7"/>
        <v>0</v>
      </c>
      <c r="AO33" s="4">
        <f t="shared" si="8"/>
        <v>0</v>
      </c>
      <c r="AP33" s="4">
        <f t="shared" si="9"/>
        <v>0</v>
      </c>
      <c r="AQ33" s="4">
        <f t="shared" si="10"/>
        <v>0</v>
      </c>
      <c r="AR33" s="4">
        <f t="shared" si="11"/>
        <v>26</v>
      </c>
      <c r="AS33" s="4">
        <f t="shared" si="2"/>
        <v>30</v>
      </c>
      <c r="AT33" s="4">
        <f t="shared" si="12"/>
        <v>30</v>
      </c>
    </row>
    <row r="34" spans="1:46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IFERROR(LOOKUP(2,1/((#REF!=sep!$A34)*(#REF!&lt;=sep!F$3)*(#REF!&gt;=sep!F$3)),#REF!),IF(WEEKDAY(sep!F$3,1)=1,"WO","P"))</f>
        <v>P</v>
      </c>
      <c r="G34" s="4" t="str">
        <f>IFERROR(LOOKUP(2,1/((#REF!=sep!$A34)*(#REF!&lt;=sep!G$3)*(#REF!&gt;=sep!G$3)),#REF!),IF(WEEKDAY(sep!G$3,1)=1,"WO","P"))</f>
        <v>P</v>
      </c>
      <c r="H34" s="4" t="str">
        <f>IFERROR(LOOKUP(2,1/((#REF!=sep!$A34)*(#REF!&lt;=sep!H$3)*(#REF!&gt;=sep!H$3)),#REF!),IF(WEEKDAY(sep!H$3,1)=1,"WO","P"))</f>
        <v>P</v>
      </c>
      <c r="I34" s="4" t="str">
        <f>IFERROR(LOOKUP(2,1/((#REF!=sep!$A34)*(#REF!&lt;=sep!I$3)*(#REF!&gt;=sep!I$3)),#REF!),IF(WEEKDAY(sep!I$3,1)=1,"WO","P"))</f>
        <v>P</v>
      </c>
      <c r="J34" s="4" t="str">
        <f>IFERROR(LOOKUP(2,1/((#REF!=sep!$A34)*(#REF!&lt;=sep!J$3)*(#REF!&gt;=sep!J$3)),#REF!),IF(WEEKDAY(sep!J$3,1)=1,"WO","P"))</f>
        <v>P</v>
      </c>
      <c r="K34" s="4" t="str">
        <f>IFERROR(LOOKUP(2,1/((#REF!=sep!$A34)*(#REF!&lt;=sep!K$3)*(#REF!&gt;=sep!K$3)),#REF!),IF(WEEKDAY(sep!K$3,1)=1,"WO","P"))</f>
        <v>WO</v>
      </c>
      <c r="L34" s="4" t="str">
        <f>IFERROR(LOOKUP(2,1/((#REF!=sep!$A34)*(#REF!&lt;=sep!L$3)*(#REF!&gt;=sep!L$3)),#REF!),IF(WEEKDAY(sep!L$3,1)=1,"WO","P"))</f>
        <v>P</v>
      </c>
      <c r="M34" s="4" t="str">
        <f>IFERROR(LOOKUP(2,1/((#REF!=sep!$A34)*(#REF!&lt;=sep!M$3)*(#REF!&gt;=sep!M$3)),#REF!),IF(WEEKDAY(sep!M$3,1)=1,"WO","P"))</f>
        <v>P</v>
      </c>
      <c r="N34" s="4" t="str">
        <f>IFERROR(LOOKUP(2,1/((#REF!=sep!$A34)*(#REF!&lt;=sep!N$3)*(#REF!&gt;=sep!N$3)),#REF!),IF(WEEKDAY(sep!N$3,1)=1,"WO","P"))</f>
        <v>P</v>
      </c>
      <c r="O34" s="4" t="str">
        <f>IFERROR(LOOKUP(2,1/((#REF!=sep!$A34)*(#REF!&lt;=sep!O$3)*(#REF!&gt;=sep!O$3)),#REF!),IF(WEEKDAY(sep!O$3,1)=1,"WO","P"))</f>
        <v>P</v>
      </c>
      <c r="P34" s="4" t="str">
        <f>IFERROR(LOOKUP(2,1/((#REF!=sep!$A34)*(#REF!&lt;=sep!P$3)*(#REF!&gt;=sep!P$3)),#REF!),IF(WEEKDAY(sep!P$3,1)=1,"WO","P"))</f>
        <v>P</v>
      </c>
      <c r="Q34" s="4" t="str">
        <f>IFERROR(LOOKUP(2,1/((#REF!=sep!$A34)*(#REF!&lt;=sep!Q$3)*(#REF!&gt;=sep!Q$3)),#REF!),IF(WEEKDAY(sep!Q$3,1)=1,"WO","P"))</f>
        <v>P</v>
      </c>
      <c r="R34" s="4" t="str">
        <f>IFERROR(LOOKUP(2,1/((#REF!=sep!$A34)*(#REF!&lt;=sep!R$3)*(#REF!&gt;=sep!R$3)),#REF!),IF(WEEKDAY(sep!R$3,1)=1,"WO","P"))</f>
        <v>WO</v>
      </c>
      <c r="S34" s="4" t="str">
        <f>IFERROR(LOOKUP(2,1/((#REF!=sep!$A34)*(#REF!&lt;=sep!S$3)*(#REF!&gt;=sep!S$3)),#REF!),IF(WEEKDAY(sep!S$3,1)=1,"WO","P"))</f>
        <v>P</v>
      </c>
      <c r="T34" s="4" t="str">
        <f>IFERROR(LOOKUP(2,1/((#REF!=sep!$A34)*(#REF!&lt;=sep!T$3)*(#REF!&gt;=sep!T$3)),#REF!),IF(WEEKDAY(sep!T$3,1)=1,"WO","P"))</f>
        <v>P</v>
      </c>
      <c r="U34" s="4" t="str">
        <f>IFERROR(LOOKUP(2,1/((#REF!=sep!$A34)*(#REF!&lt;=sep!U$3)*(#REF!&gt;=sep!U$3)),#REF!),IF(WEEKDAY(sep!U$3,1)=1,"WO","P"))</f>
        <v>P</v>
      </c>
      <c r="V34" s="4" t="str">
        <f>IFERROR(LOOKUP(2,1/((#REF!=sep!$A34)*(#REF!&lt;=sep!V$3)*(#REF!&gt;=sep!V$3)),#REF!),IF(WEEKDAY(sep!V$3,1)=1,"WO","P"))</f>
        <v>P</v>
      </c>
      <c r="W34" s="4" t="str">
        <f>IFERROR(LOOKUP(2,1/((#REF!=sep!$A34)*(#REF!&lt;=sep!W$3)*(#REF!&gt;=sep!W$3)),#REF!),IF(WEEKDAY(sep!W$3,1)=1,"WO","P"))</f>
        <v>P</v>
      </c>
      <c r="X34" s="4" t="str">
        <f>IFERROR(LOOKUP(2,1/((#REF!=sep!$A34)*(#REF!&lt;=sep!X$3)*(#REF!&gt;=sep!X$3)),#REF!),IF(WEEKDAY(sep!X$3,1)=1,"WO","P"))</f>
        <v>P</v>
      </c>
      <c r="Y34" s="4" t="str">
        <f>IFERROR(LOOKUP(2,1/((#REF!=sep!$A34)*(#REF!&lt;=sep!Y$3)*(#REF!&gt;=sep!Y$3)),#REF!),IF(WEEKDAY(sep!Y$3,1)=1,"WO","P"))</f>
        <v>WO</v>
      </c>
      <c r="Z34" s="4" t="str">
        <f>IFERROR(LOOKUP(2,1/((#REF!=sep!$A34)*(#REF!&lt;=sep!Z$3)*(#REF!&gt;=sep!Z$3)),#REF!),IF(WEEKDAY(sep!Z$3,1)=1,"WO","P"))</f>
        <v>P</v>
      </c>
      <c r="AA34" s="4" t="str">
        <f>IFERROR(LOOKUP(2,1/((#REF!=sep!$A34)*(#REF!&lt;=sep!AA$3)*(#REF!&gt;=sep!AA$3)),#REF!),IF(WEEKDAY(sep!AA$3,1)=1,"WO","P"))</f>
        <v>P</v>
      </c>
      <c r="AB34" s="4" t="str">
        <f>IFERROR(LOOKUP(2,1/((#REF!=sep!$A34)*(#REF!&lt;=sep!AB$3)*(#REF!&gt;=sep!AB$3)),#REF!),IF(WEEKDAY(sep!AB$3,1)=1,"WO","P"))</f>
        <v>P</v>
      </c>
      <c r="AC34" s="4" t="str">
        <f>IFERROR(LOOKUP(2,1/((#REF!=sep!$A34)*(#REF!&lt;=sep!AC$3)*(#REF!&gt;=sep!AC$3)),#REF!),IF(WEEKDAY(sep!AC$3,1)=1,"WO","P"))</f>
        <v>P</v>
      </c>
      <c r="AD34" s="4" t="str">
        <f>IFERROR(LOOKUP(2,1/((#REF!=sep!$A34)*(#REF!&lt;=sep!AD$3)*(#REF!&gt;=sep!AD$3)),#REF!),IF(WEEKDAY(sep!AD$3,1)=1,"WO","P"))</f>
        <v>P</v>
      </c>
      <c r="AE34" s="4" t="str">
        <f>IFERROR(LOOKUP(2,1/((#REF!=sep!$A34)*(#REF!&lt;=sep!AE$3)*(#REF!&gt;=sep!AE$3)),#REF!),IF(WEEKDAY(sep!AE$3,1)=1,"WO","P"))</f>
        <v>P</v>
      </c>
      <c r="AF34" s="4" t="str">
        <f>IFERROR(LOOKUP(2,1/((#REF!=sep!$A34)*(#REF!&lt;=sep!AF$3)*(#REF!&gt;=sep!AF$3)),#REF!),IF(WEEKDAY(sep!AF$3,1)=1,"WO","P"))</f>
        <v>WO</v>
      </c>
      <c r="AG34" s="4" t="str">
        <f>IFERROR(LOOKUP(2,1/((#REF!=sep!$A34)*(#REF!&lt;=sep!AG$3)*(#REF!&gt;=sep!AG$3)),#REF!),IF(WEEKDAY(sep!AG$3,1)=1,"WO","P"))</f>
        <v>P</v>
      </c>
      <c r="AH34" s="4" t="str">
        <f>IFERROR(LOOKUP(2,1/((#REF!=sep!$A34)*(#REF!&lt;=sep!AH$3)*(#REF!&gt;=sep!AH$3)),#REF!),IF(WEEKDAY(sep!AH$3,1)=1,"WO","P"))</f>
        <v>P</v>
      </c>
      <c r="AI34" s="4" t="str">
        <f>IFERROR(LOOKUP(2,1/((#REF!=sep!$A34)*(#REF!&lt;=sep!AI$3)*(#REF!&gt;=sep!AI$3)),#REF!),IF(WEEKDAY(sep!AI$3,1)=1,"WO","P"))</f>
        <v>P</v>
      </c>
      <c r="AJ34" s="4">
        <f t="shared" si="3"/>
        <v>4</v>
      </c>
      <c r="AK34" s="4">
        <f t="shared" si="4"/>
        <v>0</v>
      </c>
      <c r="AL34" s="4">
        <f t="shared" si="5"/>
        <v>0</v>
      </c>
      <c r="AM34" s="4">
        <f t="shared" si="6"/>
        <v>0</v>
      </c>
      <c r="AN34" s="4">
        <f t="shared" si="7"/>
        <v>0</v>
      </c>
      <c r="AO34" s="4">
        <f t="shared" si="8"/>
        <v>0</v>
      </c>
      <c r="AP34" s="4">
        <f t="shared" si="9"/>
        <v>0</v>
      </c>
      <c r="AQ34" s="4">
        <f t="shared" si="10"/>
        <v>0</v>
      </c>
      <c r="AR34" s="4">
        <f t="shared" si="11"/>
        <v>26</v>
      </c>
      <c r="AS34" s="4">
        <f t="shared" si="2"/>
        <v>30</v>
      </c>
      <c r="AT34" s="4">
        <f t="shared" si="12"/>
        <v>30</v>
      </c>
    </row>
    <row r="35" spans="1:46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IFERROR(LOOKUP(2,1/((#REF!=sep!$A35)*(#REF!&lt;=sep!F$3)*(#REF!&gt;=sep!F$3)),#REF!),IF(WEEKDAY(sep!F$3,1)=1,"WO","P"))</f>
        <v>P</v>
      </c>
      <c r="G35" s="4" t="str">
        <f>IFERROR(LOOKUP(2,1/((#REF!=sep!$A35)*(#REF!&lt;=sep!G$3)*(#REF!&gt;=sep!G$3)),#REF!),IF(WEEKDAY(sep!G$3,1)=1,"WO","P"))</f>
        <v>P</v>
      </c>
      <c r="H35" s="4" t="str">
        <f>IFERROR(LOOKUP(2,1/((#REF!=sep!$A35)*(#REF!&lt;=sep!H$3)*(#REF!&gt;=sep!H$3)),#REF!),IF(WEEKDAY(sep!H$3,1)=1,"WO","P"))</f>
        <v>P</v>
      </c>
      <c r="I35" s="4" t="str">
        <f>IFERROR(LOOKUP(2,1/((#REF!=sep!$A35)*(#REF!&lt;=sep!I$3)*(#REF!&gt;=sep!I$3)),#REF!),IF(WEEKDAY(sep!I$3,1)=1,"WO","P"))</f>
        <v>P</v>
      </c>
      <c r="J35" s="4" t="str">
        <f>IFERROR(LOOKUP(2,1/((#REF!=sep!$A35)*(#REF!&lt;=sep!J$3)*(#REF!&gt;=sep!J$3)),#REF!),IF(WEEKDAY(sep!J$3,1)=1,"WO","P"))</f>
        <v>P</v>
      </c>
      <c r="K35" s="4" t="str">
        <f>IFERROR(LOOKUP(2,1/((#REF!=sep!$A35)*(#REF!&lt;=sep!K$3)*(#REF!&gt;=sep!K$3)),#REF!),IF(WEEKDAY(sep!K$3,1)=1,"WO","P"))</f>
        <v>WO</v>
      </c>
      <c r="L35" s="4" t="str">
        <f>IFERROR(LOOKUP(2,1/((#REF!=sep!$A35)*(#REF!&lt;=sep!L$3)*(#REF!&gt;=sep!L$3)),#REF!),IF(WEEKDAY(sep!L$3,1)=1,"WO","P"))</f>
        <v>P</v>
      </c>
      <c r="M35" s="4" t="str">
        <f>IFERROR(LOOKUP(2,1/((#REF!=sep!$A35)*(#REF!&lt;=sep!M$3)*(#REF!&gt;=sep!M$3)),#REF!),IF(WEEKDAY(sep!M$3,1)=1,"WO","P"))</f>
        <v>P</v>
      </c>
      <c r="N35" s="4" t="str">
        <f>IFERROR(LOOKUP(2,1/((#REF!=sep!$A35)*(#REF!&lt;=sep!N$3)*(#REF!&gt;=sep!N$3)),#REF!),IF(WEEKDAY(sep!N$3,1)=1,"WO","P"))</f>
        <v>P</v>
      </c>
      <c r="O35" s="4" t="str">
        <f>IFERROR(LOOKUP(2,1/((#REF!=sep!$A35)*(#REF!&lt;=sep!O$3)*(#REF!&gt;=sep!O$3)),#REF!),IF(WEEKDAY(sep!O$3,1)=1,"WO","P"))</f>
        <v>P</v>
      </c>
      <c r="P35" s="4" t="str">
        <f>IFERROR(LOOKUP(2,1/((#REF!=sep!$A35)*(#REF!&lt;=sep!P$3)*(#REF!&gt;=sep!P$3)),#REF!),IF(WEEKDAY(sep!P$3,1)=1,"WO","P"))</f>
        <v>P</v>
      </c>
      <c r="Q35" s="4" t="str">
        <f>IFERROR(LOOKUP(2,1/((#REF!=sep!$A35)*(#REF!&lt;=sep!Q$3)*(#REF!&gt;=sep!Q$3)),#REF!),IF(WEEKDAY(sep!Q$3,1)=1,"WO","P"))</f>
        <v>P</v>
      </c>
      <c r="R35" s="4" t="str">
        <f>IFERROR(LOOKUP(2,1/((#REF!=sep!$A35)*(#REF!&lt;=sep!R$3)*(#REF!&gt;=sep!R$3)),#REF!),IF(WEEKDAY(sep!R$3,1)=1,"WO","P"))</f>
        <v>WO</v>
      </c>
      <c r="S35" s="4" t="str">
        <f>IFERROR(LOOKUP(2,1/((#REF!=sep!$A35)*(#REF!&lt;=sep!S$3)*(#REF!&gt;=sep!S$3)),#REF!),IF(WEEKDAY(sep!S$3,1)=1,"WO","P"))</f>
        <v>P</v>
      </c>
      <c r="T35" s="4" t="str">
        <f>IFERROR(LOOKUP(2,1/((#REF!=sep!$A35)*(#REF!&lt;=sep!T$3)*(#REF!&gt;=sep!T$3)),#REF!),IF(WEEKDAY(sep!T$3,1)=1,"WO","P"))</f>
        <v>P</v>
      </c>
      <c r="U35" s="4" t="str">
        <f>IFERROR(LOOKUP(2,1/((#REF!=sep!$A35)*(#REF!&lt;=sep!U$3)*(#REF!&gt;=sep!U$3)),#REF!),IF(WEEKDAY(sep!U$3,1)=1,"WO","P"))</f>
        <v>P</v>
      </c>
      <c r="V35" s="4" t="str">
        <f>IFERROR(LOOKUP(2,1/((#REF!=sep!$A35)*(#REF!&lt;=sep!V$3)*(#REF!&gt;=sep!V$3)),#REF!),IF(WEEKDAY(sep!V$3,1)=1,"WO","P"))</f>
        <v>P</v>
      </c>
      <c r="W35" s="4" t="str">
        <f>IFERROR(LOOKUP(2,1/((#REF!=sep!$A35)*(#REF!&lt;=sep!W$3)*(#REF!&gt;=sep!W$3)),#REF!),IF(WEEKDAY(sep!W$3,1)=1,"WO","P"))</f>
        <v>P</v>
      </c>
      <c r="X35" s="4" t="str">
        <f>IFERROR(LOOKUP(2,1/((#REF!=sep!$A35)*(#REF!&lt;=sep!X$3)*(#REF!&gt;=sep!X$3)),#REF!),IF(WEEKDAY(sep!X$3,1)=1,"WO","P"))</f>
        <v>P</v>
      </c>
      <c r="Y35" s="4" t="str">
        <f>IFERROR(LOOKUP(2,1/((#REF!=sep!$A35)*(#REF!&lt;=sep!Y$3)*(#REF!&gt;=sep!Y$3)),#REF!),IF(WEEKDAY(sep!Y$3,1)=1,"WO","P"))</f>
        <v>WO</v>
      </c>
      <c r="Z35" s="4" t="str">
        <f>IFERROR(LOOKUP(2,1/((#REF!=sep!$A35)*(#REF!&lt;=sep!Z$3)*(#REF!&gt;=sep!Z$3)),#REF!),IF(WEEKDAY(sep!Z$3,1)=1,"WO","P"))</f>
        <v>P</v>
      </c>
      <c r="AA35" s="4" t="str">
        <f>IFERROR(LOOKUP(2,1/((#REF!=sep!$A35)*(#REF!&lt;=sep!AA$3)*(#REF!&gt;=sep!AA$3)),#REF!),IF(WEEKDAY(sep!AA$3,1)=1,"WO","P"))</f>
        <v>P</v>
      </c>
      <c r="AB35" s="4" t="str">
        <f>IFERROR(LOOKUP(2,1/((#REF!=sep!$A35)*(#REF!&lt;=sep!AB$3)*(#REF!&gt;=sep!AB$3)),#REF!),IF(WEEKDAY(sep!AB$3,1)=1,"WO","P"))</f>
        <v>P</v>
      </c>
      <c r="AC35" s="4" t="str">
        <f>IFERROR(LOOKUP(2,1/((#REF!=sep!$A35)*(#REF!&lt;=sep!AC$3)*(#REF!&gt;=sep!AC$3)),#REF!),IF(WEEKDAY(sep!AC$3,1)=1,"WO","P"))</f>
        <v>P</v>
      </c>
      <c r="AD35" s="4" t="str">
        <f>IFERROR(LOOKUP(2,1/((#REF!=sep!$A35)*(#REF!&lt;=sep!AD$3)*(#REF!&gt;=sep!AD$3)),#REF!),IF(WEEKDAY(sep!AD$3,1)=1,"WO","P"))</f>
        <v>P</v>
      </c>
      <c r="AE35" s="4" t="str">
        <f>IFERROR(LOOKUP(2,1/((#REF!=sep!$A35)*(#REF!&lt;=sep!AE$3)*(#REF!&gt;=sep!AE$3)),#REF!),IF(WEEKDAY(sep!AE$3,1)=1,"WO","P"))</f>
        <v>P</v>
      </c>
      <c r="AF35" s="4" t="str">
        <f>IFERROR(LOOKUP(2,1/((#REF!=sep!$A35)*(#REF!&lt;=sep!AF$3)*(#REF!&gt;=sep!AF$3)),#REF!),IF(WEEKDAY(sep!AF$3,1)=1,"WO","P"))</f>
        <v>WO</v>
      </c>
      <c r="AG35" s="4" t="str">
        <f>IFERROR(LOOKUP(2,1/((#REF!=sep!$A35)*(#REF!&lt;=sep!AG$3)*(#REF!&gt;=sep!AG$3)),#REF!),IF(WEEKDAY(sep!AG$3,1)=1,"WO","P"))</f>
        <v>P</v>
      </c>
      <c r="AH35" s="4" t="str">
        <f>IFERROR(LOOKUP(2,1/((#REF!=sep!$A35)*(#REF!&lt;=sep!AH$3)*(#REF!&gt;=sep!AH$3)),#REF!),IF(WEEKDAY(sep!AH$3,1)=1,"WO","P"))</f>
        <v>P</v>
      </c>
      <c r="AI35" s="4" t="str">
        <f>IFERROR(LOOKUP(2,1/((#REF!=sep!$A35)*(#REF!&lt;=sep!AI$3)*(#REF!&gt;=sep!AI$3)),#REF!),IF(WEEKDAY(sep!AI$3,1)=1,"WO","P"))</f>
        <v>P</v>
      </c>
      <c r="AJ35" s="4">
        <f t="shared" si="3"/>
        <v>4</v>
      </c>
      <c r="AK35" s="4">
        <f t="shared" si="4"/>
        <v>0</v>
      </c>
      <c r="AL35" s="4">
        <f t="shared" si="5"/>
        <v>0</v>
      </c>
      <c r="AM35" s="4">
        <f t="shared" si="6"/>
        <v>0</v>
      </c>
      <c r="AN35" s="4">
        <f t="shared" si="7"/>
        <v>0</v>
      </c>
      <c r="AO35" s="4">
        <f t="shared" si="8"/>
        <v>0</v>
      </c>
      <c r="AP35" s="4">
        <f t="shared" si="9"/>
        <v>0</v>
      </c>
      <c r="AQ35" s="4">
        <f t="shared" si="10"/>
        <v>0</v>
      </c>
      <c r="AR35" s="4">
        <f t="shared" si="11"/>
        <v>26</v>
      </c>
      <c r="AS35" s="4">
        <f t="shared" si="2"/>
        <v>30</v>
      </c>
      <c r="AT35" s="4">
        <f t="shared" si="12"/>
        <v>30</v>
      </c>
    </row>
    <row r="36" spans="1:46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IFERROR(LOOKUP(2,1/((#REF!=sep!$A36)*(#REF!&lt;=sep!F$3)*(#REF!&gt;=sep!F$3)),#REF!),IF(WEEKDAY(sep!F$3,1)=1,"WO","P"))</f>
        <v>P</v>
      </c>
      <c r="G36" s="4" t="str">
        <f>IFERROR(LOOKUP(2,1/((#REF!=sep!$A36)*(#REF!&lt;=sep!G$3)*(#REF!&gt;=sep!G$3)),#REF!),IF(WEEKDAY(sep!G$3,1)=1,"WO","P"))</f>
        <v>P</v>
      </c>
      <c r="H36" s="4" t="str">
        <f>IFERROR(LOOKUP(2,1/((#REF!=sep!$A36)*(#REF!&lt;=sep!H$3)*(#REF!&gt;=sep!H$3)),#REF!),IF(WEEKDAY(sep!H$3,1)=1,"WO","P"))</f>
        <v>P</v>
      </c>
      <c r="I36" s="4" t="str">
        <f>IFERROR(LOOKUP(2,1/((#REF!=sep!$A36)*(#REF!&lt;=sep!I$3)*(#REF!&gt;=sep!I$3)),#REF!),IF(WEEKDAY(sep!I$3,1)=1,"WO","P"))</f>
        <v>P</v>
      </c>
      <c r="J36" s="4" t="str">
        <f>IFERROR(LOOKUP(2,1/((#REF!=sep!$A36)*(#REF!&lt;=sep!J$3)*(#REF!&gt;=sep!J$3)),#REF!),IF(WEEKDAY(sep!J$3,1)=1,"WO","P"))</f>
        <v>P</v>
      </c>
      <c r="K36" s="4" t="str">
        <f>IFERROR(LOOKUP(2,1/((#REF!=sep!$A36)*(#REF!&lt;=sep!K$3)*(#REF!&gt;=sep!K$3)),#REF!),IF(WEEKDAY(sep!K$3,1)=1,"WO","P"))</f>
        <v>WO</v>
      </c>
      <c r="L36" s="4" t="str">
        <f>IFERROR(LOOKUP(2,1/((#REF!=sep!$A36)*(#REF!&lt;=sep!L$3)*(#REF!&gt;=sep!L$3)),#REF!),IF(WEEKDAY(sep!L$3,1)=1,"WO","P"))</f>
        <v>P</v>
      </c>
      <c r="M36" s="4" t="str">
        <f>IFERROR(LOOKUP(2,1/((#REF!=sep!$A36)*(#REF!&lt;=sep!M$3)*(#REF!&gt;=sep!M$3)),#REF!),IF(WEEKDAY(sep!M$3,1)=1,"WO","P"))</f>
        <v>P</v>
      </c>
      <c r="N36" s="4" t="str">
        <f>IFERROR(LOOKUP(2,1/((#REF!=sep!$A36)*(#REF!&lt;=sep!N$3)*(#REF!&gt;=sep!N$3)),#REF!),IF(WEEKDAY(sep!N$3,1)=1,"WO","P"))</f>
        <v>P</v>
      </c>
      <c r="O36" s="4" t="str">
        <f>IFERROR(LOOKUP(2,1/((#REF!=sep!$A36)*(#REF!&lt;=sep!O$3)*(#REF!&gt;=sep!O$3)),#REF!),IF(WEEKDAY(sep!O$3,1)=1,"WO","P"))</f>
        <v>P</v>
      </c>
      <c r="P36" s="4" t="str">
        <f>IFERROR(LOOKUP(2,1/((#REF!=sep!$A36)*(#REF!&lt;=sep!P$3)*(#REF!&gt;=sep!P$3)),#REF!),IF(WEEKDAY(sep!P$3,1)=1,"WO","P"))</f>
        <v>P</v>
      </c>
      <c r="Q36" s="4" t="str">
        <f>IFERROR(LOOKUP(2,1/((#REF!=sep!$A36)*(#REF!&lt;=sep!Q$3)*(#REF!&gt;=sep!Q$3)),#REF!),IF(WEEKDAY(sep!Q$3,1)=1,"WO","P"))</f>
        <v>P</v>
      </c>
      <c r="R36" s="4" t="str">
        <f>IFERROR(LOOKUP(2,1/((#REF!=sep!$A36)*(#REF!&lt;=sep!R$3)*(#REF!&gt;=sep!R$3)),#REF!),IF(WEEKDAY(sep!R$3,1)=1,"WO","P"))</f>
        <v>WO</v>
      </c>
      <c r="S36" s="4" t="str">
        <f>IFERROR(LOOKUP(2,1/((#REF!=sep!$A36)*(#REF!&lt;=sep!S$3)*(#REF!&gt;=sep!S$3)),#REF!),IF(WEEKDAY(sep!S$3,1)=1,"WO","P"))</f>
        <v>P</v>
      </c>
      <c r="T36" s="4" t="str">
        <f>IFERROR(LOOKUP(2,1/((#REF!=sep!$A36)*(#REF!&lt;=sep!T$3)*(#REF!&gt;=sep!T$3)),#REF!),IF(WEEKDAY(sep!T$3,1)=1,"WO","P"))</f>
        <v>P</v>
      </c>
      <c r="U36" s="4" t="str">
        <f>IFERROR(LOOKUP(2,1/((#REF!=sep!$A36)*(#REF!&lt;=sep!U$3)*(#REF!&gt;=sep!U$3)),#REF!),IF(WEEKDAY(sep!U$3,1)=1,"WO","P"))</f>
        <v>P</v>
      </c>
      <c r="V36" s="4" t="str">
        <f>IFERROR(LOOKUP(2,1/((#REF!=sep!$A36)*(#REF!&lt;=sep!V$3)*(#REF!&gt;=sep!V$3)),#REF!),IF(WEEKDAY(sep!V$3,1)=1,"WO","P"))</f>
        <v>P</v>
      </c>
      <c r="W36" s="4" t="str">
        <f>IFERROR(LOOKUP(2,1/((#REF!=sep!$A36)*(#REF!&lt;=sep!W$3)*(#REF!&gt;=sep!W$3)),#REF!),IF(WEEKDAY(sep!W$3,1)=1,"WO","P"))</f>
        <v>P</v>
      </c>
      <c r="X36" s="4" t="str">
        <f>IFERROR(LOOKUP(2,1/((#REF!=sep!$A36)*(#REF!&lt;=sep!X$3)*(#REF!&gt;=sep!X$3)),#REF!),IF(WEEKDAY(sep!X$3,1)=1,"WO","P"))</f>
        <v>P</v>
      </c>
      <c r="Y36" s="4" t="str">
        <f>IFERROR(LOOKUP(2,1/((#REF!=sep!$A36)*(#REF!&lt;=sep!Y$3)*(#REF!&gt;=sep!Y$3)),#REF!),IF(WEEKDAY(sep!Y$3,1)=1,"WO","P"))</f>
        <v>WO</v>
      </c>
      <c r="Z36" s="4" t="str">
        <f>IFERROR(LOOKUP(2,1/((#REF!=sep!$A36)*(#REF!&lt;=sep!Z$3)*(#REF!&gt;=sep!Z$3)),#REF!),IF(WEEKDAY(sep!Z$3,1)=1,"WO","P"))</f>
        <v>P</v>
      </c>
      <c r="AA36" s="4" t="str">
        <f>IFERROR(LOOKUP(2,1/((#REF!=sep!$A36)*(#REF!&lt;=sep!AA$3)*(#REF!&gt;=sep!AA$3)),#REF!),IF(WEEKDAY(sep!AA$3,1)=1,"WO","P"))</f>
        <v>P</v>
      </c>
      <c r="AB36" s="4" t="str">
        <f>IFERROR(LOOKUP(2,1/((#REF!=sep!$A36)*(#REF!&lt;=sep!AB$3)*(#REF!&gt;=sep!AB$3)),#REF!),IF(WEEKDAY(sep!AB$3,1)=1,"WO","P"))</f>
        <v>P</v>
      </c>
      <c r="AC36" s="4" t="str">
        <f>IFERROR(LOOKUP(2,1/((#REF!=sep!$A36)*(#REF!&lt;=sep!AC$3)*(#REF!&gt;=sep!AC$3)),#REF!),IF(WEEKDAY(sep!AC$3,1)=1,"WO","P"))</f>
        <v>P</v>
      </c>
      <c r="AD36" s="4" t="str">
        <f>IFERROR(LOOKUP(2,1/((#REF!=sep!$A36)*(#REF!&lt;=sep!AD$3)*(#REF!&gt;=sep!AD$3)),#REF!),IF(WEEKDAY(sep!AD$3,1)=1,"WO","P"))</f>
        <v>P</v>
      </c>
      <c r="AE36" s="4" t="str">
        <f>IFERROR(LOOKUP(2,1/((#REF!=sep!$A36)*(#REF!&lt;=sep!AE$3)*(#REF!&gt;=sep!AE$3)),#REF!),IF(WEEKDAY(sep!AE$3,1)=1,"WO","P"))</f>
        <v>P</v>
      </c>
      <c r="AF36" s="4" t="str">
        <f>IFERROR(LOOKUP(2,1/((#REF!=sep!$A36)*(#REF!&lt;=sep!AF$3)*(#REF!&gt;=sep!AF$3)),#REF!),IF(WEEKDAY(sep!AF$3,1)=1,"WO","P"))</f>
        <v>WO</v>
      </c>
      <c r="AG36" s="4" t="str">
        <f>IFERROR(LOOKUP(2,1/((#REF!=sep!$A36)*(#REF!&lt;=sep!AG$3)*(#REF!&gt;=sep!AG$3)),#REF!),IF(WEEKDAY(sep!AG$3,1)=1,"WO","P"))</f>
        <v>P</v>
      </c>
      <c r="AH36" s="4" t="str">
        <f>IFERROR(LOOKUP(2,1/((#REF!=sep!$A36)*(#REF!&lt;=sep!AH$3)*(#REF!&gt;=sep!AH$3)),#REF!),IF(WEEKDAY(sep!AH$3,1)=1,"WO","P"))</f>
        <v>P</v>
      </c>
      <c r="AI36" s="4" t="str">
        <f>IFERROR(LOOKUP(2,1/((#REF!=sep!$A36)*(#REF!&lt;=sep!AI$3)*(#REF!&gt;=sep!AI$3)),#REF!),IF(WEEKDAY(sep!AI$3,1)=1,"WO","P"))</f>
        <v>P</v>
      </c>
      <c r="AJ36" s="4">
        <f t="shared" si="3"/>
        <v>4</v>
      </c>
      <c r="AK36" s="4">
        <f t="shared" si="4"/>
        <v>0</v>
      </c>
      <c r="AL36" s="4">
        <f t="shared" si="5"/>
        <v>0</v>
      </c>
      <c r="AM36" s="4">
        <f t="shared" si="6"/>
        <v>0</v>
      </c>
      <c r="AN36" s="4">
        <f t="shared" si="7"/>
        <v>0</v>
      </c>
      <c r="AO36" s="4">
        <f t="shared" si="8"/>
        <v>0</v>
      </c>
      <c r="AP36" s="4">
        <f t="shared" si="9"/>
        <v>0</v>
      </c>
      <c r="AQ36" s="4">
        <f t="shared" si="10"/>
        <v>0</v>
      </c>
      <c r="AR36" s="4">
        <f t="shared" si="11"/>
        <v>26</v>
      </c>
      <c r="AS36" s="4">
        <f t="shared" si="2"/>
        <v>30</v>
      </c>
      <c r="AT36" s="4">
        <f t="shared" si="12"/>
        <v>30</v>
      </c>
    </row>
    <row r="37" spans="1:46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IFERROR(LOOKUP(2,1/((#REF!=sep!$A37)*(#REF!&lt;=sep!F$3)*(#REF!&gt;=sep!F$3)),#REF!),IF(WEEKDAY(sep!F$3,1)=1,"WO","P"))</f>
        <v>P</v>
      </c>
      <c r="G37" s="4" t="str">
        <f>IFERROR(LOOKUP(2,1/((#REF!=sep!$A37)*(#REF!&lt;=sep!G$3)*(#REF!&gt;=sep!G$3)),#REF!),IF(WEEKDAY(sep!G$3,1)=1,"WO","P"))</f>
        <v>P</v>
      </c>
      <c r="H37" s="4" t="str">
        <f>IFERROR(LOOKUP(2,1/((#REF!=sep!$A37)*(#REF!&lt;=sep!H$3)*(#REF!&gt;=sep!H$3)),#REF!),IF(WEEKDAY(sep!H$3,1)=1,"WO","P"))</f>
        <v>P</v>
      </c>
      <c r="I37" s="4" t="str">
        <f>IFERROR(LOOKUP(2,1/((#REF!=sep!$A37)*(#REF!&lt;=sep!I$3)*(#REF!&gt;=sep!I$3)),#REF!),IF(WEEKDAY(sep!I$3,1)=1,"WO","P"))</f>
        <v>P</v>
      </c>
      <c r="J37" s="4" t="str">
        <f>IFERROR(LOOKUP(2,1/((#REF!=sep!$A37)*(#REF!&lt;=sep!J$3)*(#REF!&gt;=sep!J$3)),#REF!),IF(WEEKDAY(sep!J$3,1)=1,"WO","P"))</f>
        <v>P</v>
      </c>
      <c r="K37" s="4" t="str">
        <f>IFERROR(LOOKUP(2,1/((#REF!=sep!$A37)*(#REF!&lt;=sep!K$3)*(#REF!&gt;=sep!K$3)),#REF!),IF(WEEKDAY(sep!K$3,1)=1,"WO","P"))</f>
        <v>WO</v>
      </c>
      <c r="L37" s="4" t="str">
        <f>IFERROR(LOOKUP(2,1/((#REF!=sep!$A37)*(#REF!&lt;=sep!L$3)*(#REF!&gt;=sep!L$3)),#REF!),IF(WEEKDAY(sep!L$3,1)=1,"WO","P"))</f>
        <v>P</v>
      </c>
      <c r="M37" s="4" t="str">
        <f>IFERROR(LOOKUP(2,1/((#REF!=sep!$A37)*(#REF!&lt;=sep!M$3)*(#REF!&gt;=sep!M$3)),#REF!),IF(WEEKDAY(sep!M$3,1)=1,"WO","P"))</f>
        <v>P</v>
      </c>
      <c r="N37" s="4" t="str">
        <f>IFERROR(LOOKUP(2,1/((#REF!=sep!$A37)*(#REF!&lt;=sep!N$3)*(#REF!&gt;=sep!N$3)),#REF!),IF(WEEKDAY(sep!N$3,1)=1,"WO","P"))</f>
        <v>P</v>
      </c>
      <c r="O37" s="4" t="str">
        <f>IFERROR(LOOKUP(2,1/((#REF!=sep!$A37)*(#REF!&lt;=sep!O$3)*(#REF!&gt;=sep!O$3)),#REF!),IF(WEEKDAY(sep!O$3,1)=1,"WO","P"))</f>
        <v>P</v>
      </c>
      <c r="P37" s="4" t="str">
        <f>IFERROR(LOOKUP(2,1/((#REF!=sep!$A37)*(#REF!&lt;=sep!P$3)*(#REF!&gt;=sep!P$3)),#REF!),IF(WEEKDAY(sep!P$3,1)=1,"WO","P"))</f>
        <v>P</v>
      </c>
      <c r="Q37" s="4" t="str">
        <f>IFERROR(LOOKUP(2,1/((#REF!=sep!$A37)*(#REF!&lt;=sep!Q$3)*(#REF!&gt;=sep!Q$3)),#REF!),IF(WEEKDAY(sep!Q$3,1)=1,"WO","P"))</f>
        <v>P</v>
      </c>
      <c r="R37" s="4" t="str">
        <f>IFERROR(LOOKUP(2,1/((#REF!=sep!$A37)*(#REF!&lt;=sep!R$3)*(#REF!&gt;=sep!R$3)),#REF!),IF(WEEKDAY(sep!R$3,1)=1,"WO","P"))</f>
        <v>WO</v>
      </c>
      <c r="S37" s="4" t="str">
        <f>IFERROR(LOOKUP(2,1/((#REF!=sep!$A37)*(#REF!&lt;=sep!S$3)*(#REF!&gt;=sep!S$3)),#REF!),IF(WEEKDAY(sep!S$3,1)=1,"WO","P"))</f>
        <v>P</v>
      </c>
      <c r="T37" s="4" t="str">
        <f>IFERROR(LOOKUP(2,1/((#REF!=sep!$A37)*(#REF!&lt;=sep!T$3)*(#REF!&gt;=sep!T$3)),#REF!),IF(WEEKDAY(sep!T$3,1)=1,"WO","P"))</f>
        <v>P</v>
      </c>
      <c r="U37" s="4" t="str">
        <f>IFERROR(LOOKUP(2,1/((#REF!=sep!$A37)*(#REF!&lt;=sep!U$3)*(#REF!&gt;=sep!U$3)),#REF!),IF(WEEKDAY(sep!U$3,1)=1,"WO","P"))</f>
        <v>P</v>
      </c>
      <c r="V37" s="4" t="str">
        <f>IFERROR(LOOKUP(2,1/((#REF!=sep!$A37)*(#REF!&lt;=sep!V$3)*(#REF!&gt;=sep!V$3)),#REF!),IF(WEEKDAY(sep!V$3,1)=1,"WO","P"))</f>
        <v>P</v>
      </c>
      <c r="W37" s="4" t="str">
        <f>IFERROR(LOOKUP(2,1/((#REF!=sep!$A37)*(#REF!&lt;=sep!W$3)*(#REF!&gt;=sep!W$3)),#REF!),IF(WEEKDAY(sep!W$3,1)=1,"WO","P"))</f>
        <v>P</v>
      </c>
      <c r="X37" s="4" t="str">
        <f>IFERROR(LOOKUP(2,1/((#REF!=sep!$A37)*(#REF!&lt;=sep!X$3)*(#REF!&gt;=sep!X$3)),#REF!),IF(WEEKDAY(sep!X$3,1)=1,"WO","P"))</f>
        <v>P</v>
      </c>
      <c r="Y37" s="4" t="str">
        <f>IFERROR(LOOKUP(2,1/((#REF!=sep!$A37)*(#REF!&lt;=sep!Y$3)*(#REF!&gt;=sep!Y$3)),#REF!),IF(WEEKDAY(sep!Y$3,1)=1,"WO","P"))</f>
        <v>WO</v>
      </c>
      <c r="Z37" s="4" t="str">
        <f>IFERROR(LOOKUP(2,1/((#REF!=sep!$A37)*(#REF!&lt;=sep!Z$3)*(#REF!&gt;=sep!Z$3)),#REF!),IF(WEEKDAY(sep!Z$3,1)=1,"WO","P"))</f>
        <v>P</v>
      </c>
      <c r="AA37" s="4" t="str">
        <f>IFERROR(LOOKUP(2,1/((#REF!=sep!$A37)*(#REF!&lt;=sep!AA$3)*(#REF!&gt;=sep!AA$3)),#REF!),IF(WEEKDAY(sep!AA$3,1)=1,"WO","P"))</f>
        <v>P</v>
      </c>
      <c r="AB37" s="4" t="str">
        <f>IFERROR(LOOKUP(2,1/((#REF!=sep!$A37)*(#REF!&lt;=sep!AB$3)*(#REF!&gt;=sep!AB$3)),#REF!),IF(WEEKDAY(sep!AB$3,1)=1,"WO","P"))</f>
        <v>P</v>
      </c>
      <c r="AC37" s="4" t="str">
        <f>IFERROR(LOOKUP(2,1/((#REF!=sep!$A37)*(#REF!&lt;=sep!AC$3)*(#REF!&gt;=sep!AC$3)),#REF!),IF(WEEKDAY(sep!AC$3,1)=1,"WO","P"))</f>
        <v>P</v>
      </c>
      <c r="AD37" s="4" t="str">
        <f>IFERROR(LOOKUP(2,1/((#REF!=sep!$A37)*(#REF!&lt;=sep!AD$3)*(#REF!&gt;=sep!AD$3)),#REF!),IF(WEEKDAY(sep!AD$3,1)=1,"WO","P"))</f>
        <v>P</v>
      </c>
      <c r="AE37" s="4" t="str">
        <f>IFERROR(LOOKUP(2,1/((#REF!=sep!$A37)*(#REF!&lt;=sep!AE$3)*(#REF!&gt;=sep!AE$3)),#REF!),IF(WEEKDAY(sep!AE$3,1)=1,"WO","P"))</f>
        <v>P</v>
      </c>
      <c r="AF37" s="4" t="str">
        <f>IFERROR(LOOKUP(2,1/((#REF!=sep!$A37)*(#REF!&lt;=sep!AF$3)*(#REF!&gt;=sep!AF$3)),#REF!),IF(WEEKDAY(sep!AF$3,1)=1,"WO","P"))</f>
        <v>WO</v>
      </c>
      <c r="AG37" s="4" t="str">
        <f>IFERROR(LOOKUP(2,1/((#REF!=sep!$A37)*(#REF!&lt;=sep!AG$3)*(#REF!&gt;=sep!AG$3)),#REF!),IF(WEEKDAY(sep!AG$3,1)=1,"WO","P"))</f>
        <v>P</v>
      </c>
      <c r="AH37" s="4" t="str">
        <f>IFERROR(LOOKUP(2,1/((#REF!=sep!$A37)*(#REF!&lt;=sep!AH$3)*(#REF!&gt;=sep!AH$3)),#REF!),IF(WEEKDAY(sep!AH$3,1)=1,"WO","P"))</f>
        <v>P</v>
      </c>
      <c r="AI37" s="4" t="str">
        <f>IFERROR(LOOKUP(2,1/((#REF!=sep!$A37)*(#REF!&lt;=sep!AI$3)*(#REF!&gt;=sep!AI$3)),#REF!),IF(WEEKDAY(sep!AI$3,1)=1,"WO","P"))</f>
        <v>P</v>
      </c>
      <c r="AJ37" s="4">
        <f t="shared" si="3"/>
        <v>4</v>
      </c>
      <c r="AK37" s="4">
        <f t="shared" si="4"/>
        <v>0</v>
      </c>
      <c r="AL37" s="4">
        <f t="shared" si="5"/>
        <v>0</v>
      </c>
      <c r="AM37" s="4">
        <f t="shared" si="6"/>
        <v>0</v>
      </c>
      <c r="AN37" s="4">
        <f t="shared" si="7"/>
        <v>0</v>
      </c>
      <c r="AO37" s="4">
        <f t="shared" si="8"/>
        <v>0</v>
      </c>
      <c r="AP37" s="4">
        <f t="shared" si="9"/>
        <v>0</v>
      </c>
      <c r="AQ37" s="4">
        <f t="shared" si="10"/>
        <v>0</v>
      </c>
      <c r="AR37" s="4">
        <f t="shared" si="11"/>
        <v>26</v>
      </c>
      <c r="AS37" s="4">
        <f t="shared" ref="AS37:AS54" si="13">COUNTA($F37:$AI37)</f>
        <v>30</v>
      </c>
      <c r="AT37" s="4">
        <f t="shared" si="12"/>
        <v>30</v>
      </c>
    </row>
    <row r="38" spans="1:46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IFERROR(LOOKUP(2,1/((#REF!=sep!$A38)*(#REF!&lt;=sep!F$3)*(#REF!&gt;=sep!F$3)),#REF!),IF(WEEKDAY(sep!F$3,1)=1,"WO","P"))</f>
        <v>P</v>
      </c>
      <c r="G38" s="4" t="str">
        <f>IFERROR(LOOKUP(2,1/((#REF!=sep!$A38)*(#REF!&lt;=sep!G$3)*(#REF!&gt;=sep!G$3)),#REF!),IF(WEEKDAY(sep!G$3,1)=1,"WO","P"))</f>
        <v>P</v>
      </c>
      <c r="H38" s="4" t="str">
        <f>IFERROR(LOOKUP(2,1/((#REF!=sep!$A38)*(#REF!&lt;=sep!H$3)*(#REF!&gt;=sep!H$3)),#REF!),IF(WEEKDAY(sep!H$3,1)=1,"WO","P"))</f>
        <v>P</v>
      </c>
      <c r="I38" s="4" t="str">
        <f>IFERROR(LOOKUP(2,1/((#REF!=sep!$A38)*(#REF!&lt;=sep!I$3)*(#REF!&gt;=sep!I$3)),#REF!),IF(WEEKDAY(sep!I$3,1)=1,"WO","P"))</f>
        <v>P</v>
      </c>
      <c r="J38" s="4" t="str">
        <f>IFERROR(LOOKUP(2,1/((#REF!=sep!$A38)*(#REF!&lt;=sep!J$3)*(#REF!&gt;=sep!J$3)),#REF!),IF(WEEKDAY(sep!J$3,1)=1,"WO","P"))</f>
        <v>P</v>
      </c>
      <c r="K38" s="4" t="str">
        <f>IFERROR(LOOKUP(2,1/((#REF!=sep!$A38)*(#REF!&lt;=sep!K$3)*(#REF!&gt;=sep!K$3)),#REF!),IF(WEEKDAY(sep!K$3,1)=1,"WO","P"))</f>
        <v>WO</v>
      </c>
      <c r="L38" s="4" t="str">
        <f>IFERROR(LOOKUP(2,1/((#REF!=sep!$A38)*(#REF!&lt;=sep!L$3)*(#REF!&gt;=sep!L$3)),#REF!),IF(WEEKDAY(sep!L$3,1)=1,"WO","P"))</f>
        <v>P</v>
      </c>
      <c r="M38" s="4" t="str">
        <f>IFERROR(LOOKUP(2,1/((#REF!=sep!$A38)*(#REF!&lt;=sep!M$3)*(#REF!&gt;=sep!M$3)),#REF!),IF(WEEKDAY(sep!M$3,1)=1,"WO","P"))</f>
        <v>P</v>
      </c>
      <c r="N38" s="4" t="str">
        <f>IFERROR(LOOKUP(2,1/((#REF!=sep!$A38)*(#REF!&lt;=sep!N$3)*(#REF!&gt;=sep!N$3)),#REF!),IF(WEEKDAY(sep!N$3,1)=1,"WO","P"))</f>
        <v>P</v>
      </c>
      <c r="O38" s="4" t="str">
        <f>IFERROR(LOOKUP(2,1/((#REF!=sep!$A38)*(#REF!&lt;=sep!O$3)*(#REF!&gt;=sep!O$3)),#REF!),IF(WEEKDAY(sep!O$3,1)=1,"WO","P"))</f>
        <v>P</v>
      </c>
      <c r="P38" s="4" t="str">
        <f>IFERROR(LOOKUP(2,1/((#REF!=sep!$A38)*(#REF!&lt;=sep!P$3)*(#REF!&gt;=sep!P$3)),#REF!),IF(WEEKDAY(sep!P$3,1)=1,"WO","P"))</f>
        <v>P</v>
      </c>
      <c r="Q38" s="4" t="str">
        <f>IFERROR(LOOKUP(2,1/((#REF!=sep!$A38)*(#REF!&lt;=sep!Q$3)*(#REF!&gt;=sep!Q$3)),#REF!),IF(WEEKDAY(sep!Q$3,1)=1,"WO","P"))</f>
        <v>P</v>
      </c>
      <c r="R38" s="4" t="str">
        <f>IFERROR(LOOKUP(2,1/((#REF!=sep!$A38)*(#REF!&lt;=sep!R$3)*(#REF!&gt;=sep!R$3)),#REF!),IF(WEEKDAY(sep!R$3,1)=1,"WO","P"))</f>
        <v>WO</v>
      </c>
      <c r="S38" s="4" t="str">
        <f>IFERROR(LOOKUP(2,1/((#REF!=sep!$A38)*(#REF!&lt;=sep!S$3)*(#REF!&gt;=sep!S$3)),#REF!),IF(WEEKDAY(sep!S$3,1)=1,"WO","P"))</f>
        <v>P</v>
      </c>
      <c r="T38" s="4" t="str">
        <f>IFERROR(LOOKUP(2,1/((#REF!=sep!$A38)*(#REF!&lt;=sep!T$3)*(#REF!&gt;=sep!T$3)),#REF!),IF(WEEKDAY(sep!T$3,1)=1,"WO","P"))</f>
        <v>P</v>
      </c>
      <c r="U38" s="4" t="str">
        <f>IFERROR(LOOKUP(2,1/((#REF!=sep!$A38)*(#REF!&lt;=sep!U$3)*(#REF!&gt;=sep!U$3)),#REF!),IF(WEEKDAY(sep!U$3,1)=1,"WO","P"))</f>
        <v>P</v>
      </c>
      <c r="V38" s="4" t="str">
        <f>IFERROR(LOOKUP(2,1/((#REF!=sep!$A38)*(#REF!&lt;=sep!V$3)*(#REF!&gt;=sep!V$3)),#REF!),IF(WEEKDAY(sep!V$3,1)=1,"WO","P"))</f>
        <v>P</v>
      </c>
      <c r="W38" s="4" t="str">
        <f>IFERROR(LOOKUP(2,1/((#REF!=sep!$A38)*(#REF!&lt;=sep!W$3)*(#REF!&gt;=sep!W$3)),#REF!),IF(WEEKDAY(sep!W$3,1)=1,"WO","P"))</f>
        <v>P</v>
      </c>
      <c r="X38" s="4" t="str">
        <f>IFERROR(LOOKUP(2,1/((#REF!=sep!$A38)*(#REF!&lt;=sep!X$3)*(#REF!&gt;=sep!X$3)),#REF!),IF(WEEKDAY(sep!X$3,1)=1,"WO","P"))</f>
        <v>P</v>
      </c>
      <c r="Y38" s="4" t="str">
        <f>IFERROR(LOOKUP(2,1/((#REF!=sep!$A38)*(#REF!&lt;=sep!Y$3)*(#REF!&gt;=sep!Y$3)),#REF!),IF(WEEKDAY(sep!Y$3,1)=1,"WO","P"))</f>
        <v>WO</v>
      </c>
      <c r="Z38" s="4" t="str">
        <f>IFERROR(LOOKUP(2,1/((#REF!=sep!$A38)*(#REF!&lt;=sep!Z$3)*(#REF!&gt;=sep!Z$3)),#REF!),IF(WEEKDAY(sep!Z$3,1)=1,"WO","P"))</f>
        <v>P</v>
      </c>
      <c r="AA38" s="4" t="str">
        <f>IFERROR(LOOKUP(2,1/((#REF!=sep!$A38)*(#REF!&lt;=sep!AA$3)*(#REF!&gt;=sep!AA$3)),#REF!),IF(WEEKDAY(sep!AA$3,1)=1,"WO","P"))</f>
        <v>P</v>
      </c>
      <c r="AB38" s="4" t="str">
        <f>IFERROR(LOOKUP(2,1/((#REF!=sep!$A38)*(#REF!&lt;=sep!AB$3)*(#REF!&gt;=sep!AB$3)),#REF!),IF(WEEKDAY(sep!AB$3,1)=1,"WO","P"))</f>
        <v>P</v>
      </c>
      <c r="AC38" s="4" t="str">
        <f>IFERROR(LOOKUP(2,1/((#REF!=sep!$A38)*(#REF!&lt;=sep!AC$3)*(#REF!&gt;=sep!AC$3)),#REF!),IF(WEEKDAY(sep!AC$3,1)=1,"WO","P"))</f>
        <v>P</v>
      </c>
      <c r="AD38" s="4" t="str">
        <f>IFERROR(LOOKUP(2,1/((#REF!=sep!$A38)*(#REF!&lt;=sep!AD$3)*(#REF!&gt;=sep!AD$3)),#REF!),IF(WEEKDAY(sep!AD$3,1)=1,"WO","P"))</f>
        <v>P</v>
      </c>
      <c r="AE38" s="4" t="str">
        <f>IFERROR(LOOKUP(2,1/((#REF!=sep!$A38)*(#REF!&lt;=sep!AE$3)*(#REF!&gt;=sep!AE$3)),#REF!),IF(WEEKDAY(sep!AE$3,1)=1,"WO","P"))</f>
        <v>P</v>
      </c>
      <c r="AF38" s="4" t="str">
        <f>IFERROR(LOOKUP(2,1/((#REF!=sep!$A38)*(#REF!&lt;=sep!AF$3)*(#REF!&gt;=sep!AF$3)),#REF!),IF(WEEKDAY(sep!AF$3,1)=1,"WO","P"))</f>
        <v>WO</v>
      </c>
      <c r="AG38" s="4" t="str">
        <f>IFERROR(LOOKUP(2,1/((#REF!=sep!$A38)*(#REF!&lt;=sep!AG$3)*(#REF!&gt;=sep!AG$3)),#REF!),IF(WEEKDAY(sep!AG$3,1)=1,"WO","P"))</f>
        <v>P</v>
      </c>
      <c r="AH38" s="4" t="str">
        <f>IFERROR(LOOKUP(2,1/((#REF!=sep!$A38)*(#REF!&lt;=sep!AH$3)*(#REF!&gt;=sep!AH$3)),#REF!),IF(WEEKDAY(sep!AH$3,1)=1,"WO","P"))</f>
        <v>P</v>
      </c>
      <c r="AI38" s="4" t="str">
        <f>IFERROR(LOOKUP(2,1/((#REF!=sep!$A38)*(#REF!&lt;=sep!AI$3)*(#REF!&gt;=sep!AI$3)),#REF!),IF(WEEKDAY(sep!AI$3,1)=1,"WO","P"))</f>
        <v>P</v>
      </c>
      <c r="AJ38" s="4">
        <f t="shared" si="3"/>
        <v>4</v>
      </c>
      <c r="AK38" s="4">
        <f t="shared" si="4"/>
        <v>0</v>
      </c>
      <c r="AL38" s="4">
        <f t="shared" si="5"/>
        <v>0</v>
      </c>
      <c r="AM38" s="4">
        <f t="shared" si="6"/>
        <v>0</v>
      </c>
      <c r="AN38" s="4">
        <f t="shared" si="7"/>
        <v>0</v>
      </c>
      <c r="AO38" s="4">
        <f t="shared" si="8"/>
        <v>0</v>
      </c>
      <c r="AP38" s="4">
        <f t="shared" si="9"/>
        <v>0</v>
      </c>
      <c r="AQ38" s="4">
        <f t="shared" si="10"/>
        <v>0</v>
      </c>
      <c r="AR38" s="4">
        <f t="shared" si="11"/>
        <v>26</v>
      </c>
      <c r="AS38" s="4">
        <f t="shared" si="13"/>
        <v>30</v>
      </c>
      <c r="AT38" s="4">
        <f t="shared" si="12"/>
        <v>30</v>
      </c>
    </row>
    <row r="39" spans="1:46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IFERROR(LOOKUP(2,1/((#REF!=sep!$A39)*(#REF!&lt;=sep!F$3)*(#REF!&gt;=sep!F$3)),#REF!),IF(WEEKDAY(sep!F$3,1)=1,"WO","P"))</f>
        <v>P</v>
      </c>
      <c r="G39" s="4" t="str">
        <f>IFERROR(LOOKUP(2,1/((#REF!=sep!$A39)*(#REF!&lt;=sep!G$3)*(#REF!&gt;=sep!G$3)),#REF!),IF(WEEKDAY(sep!G$3,1)=1,"WO","P"))</f>
        <v>P</v>
      </c>
      <c r="H39" s="4" t="str">
        <f>IFERROR(LOOKUP(2,1/((#REF!=sep!$A39)*(#REF!&lt;=sep!H$3)*(#REF!&gt;=sep!H$3)),#REF!),IF(WEEKDAY(sep!H$3,1)=1,"WO","P"))</f>
        <v>P</v>
      </c>
      <c r="I39" s="4" t="str">
        <f>IFERROR(LOOKUP(2,1/((#REF!=sep!$A39)*(#REF!&lt;=sep!I$3)*(#REF!&gt;=sep!I$3)),#REF!),IF(WEEKDAY(sep!I$3,1)=1,"WO","P"))</f>
        <v>P</v>
      </c>
      <c r="J39" s="4" t="str">
        <f>IFERROR(LOOKUP(2,1/((#REF!=sep!$A39)*(#REF!&lt;=sep!J$3)*(#REF!&gt;=sep!J$3)),#REF!),IF(WEEKDAY(sep!J$3,1)=1,"WO","P"))</f>
        <v>P</v>
      </c>
      <c r="K39" s="4" t="str">
        <f>IFERROR(LOOKUP(2,1/((#REF!=sep!$A39)*(#REF!&lt;=sep!K$3)*(#REF!&gt;=sep!K$3)),#REF!),IF(WEEKDAY(sep!K$3,1)=1,"WO","P"))</f>
        <v>WO</v>
      </c>
      <c r="L39" s="4" t="str">
        <f>IFERROR(LOOKUP(2,1/((#REF!=sep!$A39)*(#REF!&lt;=sep!L$3)*(#REF!&gt;=sep!L$3)),#REF!),IF(WEEKDAY(sep!L$3,1)=1,"WO","P"))</f>
        <v>P</v>
      </c>
      <c r="M39" s="4" t="str">
        <f>IFERROR(LOOKUP(2,1/((#REF!=sep!$A39)*(#REF!&lt;=sep!M$3)*(#REF!&gt;=sep!M$3)),#REF!),IF(WEEKDAY(sep!M$3,1)=1,"WO","P"))</f>
        <v>P</v>
      </c>
      <c r="N39" s="4" t="str">
        <f>IFERROR(LOOKUP(2,1/((#REF!=sep!$A39)*(#REF!&lt;=sep!N$3)*(#REF!&gt;=sep!N$3)),#REF!),IF(WEEKDAY(sep!N$3,1)=1,"WO","P"))</f>
        <v>P</v>
      </c>
      <c r="O39" s="4" t="str">
        <f>IFERROR(LOOKUP(2,1/((#REF!=sep!$A39)*(#REF!&lt;=sep!O$3)*(#REF!&gt;=sep!O$3)),#REF!),IF(WEEKDAY(sep!O$3,1)=1,"WO","P"))</f>
        <v>P</v>
      </c>
      <c r="P39" s="4" t="str">
        <f>IFERROR(LOOKUP(2,1/((#REF!=sep!$A39)*(#REF!&lt;=sep!P$3)*(#REF!&gt;=sep!P$3)),#REF!),IF(WEEKDAY(sep!P$3,1)=1,"WO","P"))</f>
        <v>P</v>
      </c>
      <c r="Q39" s="4" t="str">
        <f>IFERROR(LOOKUP(2,1/((#REF!=sep!$A39)*(#REF!&lt;=sep!Q$3)*(#REF!&gt;=sep!Q$3)),#REF!),IF(WEEKDAY(sep!Q$3,1)=1,"WO","P"))</f>
        <v>P</v>
      </c>
      <c r="R39" s="4" t="str">
        <f>IFERROR(LOOKUP(2,1/((#REF!=sep!$A39)*(#REF!&lt;=sep!R$3)*(#REF!&gt;=sep!R$3)),#REF!),IF(WEEKDAY(sep!R$3,1)=1,"WO","P"))</f>
        <v>WO</v>
      </c>
      <c r="S39" s="4" t="str">
        <f>IFERROR(LOOKUP(2,1/((#REF!=sep!$A39)*(#REF!&lt;=sep!S$3)*(#REF!&gt;=sep!S$3)),#REF!),IF(WEEKDAY(sep!S$3,1)=1,"WO","P"))</f>
        <v>P</v>
      </c>
      <c r="T39" s="4" t="str">
        <f>IFERROR(LOOKUP(2,1/((#REF!=sep!$A39)*(#REF!&lt;=sep!T$3)*(#REF!&gt;=sep!T$3)),#REF!),IF(WEEKDAY(sep!T$3,1)=1,"WO","P"))</f>
        <v>P</v>
      </c>
      <c r="U39" s="4" t="str">
        <f>IFERROR(LOOKUP(2,1/((#REF!=sep!$A39)*(#REF!&lt;=sep!U$3)*(#REF!&gt;=sep!U$3)),#REF!),IF(WEEKDAY(sep!U$3,1)=1,"WO","P"))</f>
        <v>P</v>
      </c>
      <c r="V39" s="4" t="str">
        <f>IFERROR(LOOKUP(2,1/((#REF!=sep!$A39)*(#REF!&lt;=sep!V$3)*(#REF!&gt;=sep!V$3)),#REF!),IF(WEEKDAY(sep!V$3,1)=1,"WO","P"))</f>
        <v>P</v>
      </c>
      <c r="W39" s="4" t="str">
        <f>IFERROR(LOOKUP(2,1/((#REF!=sep!$A39)*(#REF!&lt;=sep!W$3)*(#REF!&gt;=sep!W$3)),#REF!),IF(WEEKDAY(sep!W$3,1)=1,"WO","P"))</f>
        <v>P</v>
      </c>
      <c r="X39" s="4" t="str">
        <f>IFERROR(LOOKUP(2,1/((#REF!=sep!$A39)*(#REF!&lt;=sep!X$3)*(#REF!&gt;=sep!X$3)),#REF!),IF(WEEKDAY(sep!X$3,1)=1,"WO","P"))</f>
        <v>P</v>
      </c>
      <c r="Y39" s="4" t="str">
        <f>IFERROR(LOOKUP(2,1/((#REF!=sep!$A39)*(#REF!&lt;=sep!Y$3)*(#REF!&gt;=sep!Y$3)),#REF!),IF(WEEKDAY(sep!Y$3,1)=1,"WO","P"))</f>
        <v>WO</v>
      </c>
      <c r="Z39" s="4" t="str">
        <f>IFERROR(LOOKUP(2,1/((#REF!=sep!$A39)*(#REF!&lt;=sep!Z$3)*(#REF!&gt;=sep!Z$3)),#REF!),IF(WEEKDAY(sep!Z$3,1)=1,"WO","P"))</f>
        <v>P</v>
      </c>
      <c r="AA39" s="4" t="str">
        <f>IFERROR(LOOKUP(2,1/((#REF!=sep!$A39)*(#REF!&lt;=sep!AA$3)*(#REF!&gt;=sep!AA$3)),#REF!),IF(WEEKDAY(sep!AA$3,1)=1,"WO","P"))</f>
        <v>P</v>
      </c>
      <c r="AB39" s="4" t="str">
        <f>IFERROR(LOOKUP(2,1/((#REF!=sep!$A39)*(#REF!&lt;=sep!AB$3)*(#REF!&gt;=sep!AB$3)),#REF!),IF(WEEKDAY(sep!AB$3,1)=1,"WO","P"))</f>
        <v>P</v>
      </c>
      <c r="AC39" s="4" t="str">
        <f>IFERROR(LOOKUP(2,1/((#REF!=sep!$A39)*(#REF!&lt;=sep!AC$3)*(#REF!&gt;=sep!AC$3)),#REF!),IF(WEEKDAY(sep!AC$3,1)=1,"WO","P"))</f>
        <v>P</v>
      </c>
      <c r="AD39" s="4" t="str">
        <f>IFERROR(LOOKUP(2,1/((#REF!=sep!$A39)*(#REF!&lt;=sep!AD$3)*(#REF!&gt;=sep!AD$3)),#REF!),IF(WEEKDAY(sep!AD$3,1)=1,"WO","P"))</f>
        <v>P</v>
      </c>
      <c r="AE39" s="4" t="str">
        <f>IFERROR(LOOKUP(2,1/((#REF!=sep!$A39)*(#REF!&lt;=sep!AE$3)*(#REF!&gt;=sep!AE$3)),#REF!),IF(WEEKDAY(sep!AE$3,1)=1,"WO","P"))</f>
        <v>P</v>
      </c>
      <c r="AF39" s="4" t="str">
        <f>IFERROR(LOOKUP(2,1/((#REF!=sep!$A39)*(#REF!&lt;=sep!AF$3)*(#REF!&gt;=sep!AF$3)),#REF!),IF(WEEKDAY(sep!AF$3,1)=1,"WO","P"))</f>
        <v>WO</v>
      </c>
      <c r="AG39" s="4" t="str">
        <f>IFERROR(LOOKUP(2,1/((#REF!=sep!$A39)*(#REF!&lt;=sep!AG$3)*(#REF!&gt;=sep!AG$3)),#REF!),IF(WEEKDAY(sep!AG$3,1)=1,"WO","P"))</f>
        <v>P</v>
      </c>
      <c r="AH39" s="4" t="str">
        <f>IFERROR(LOOKUP(2,1/((#REF!=sep!$A39)*(#REF!&lt;=sep!AH$3)*(#REF!&gt;=sep!AH$3)),#REF!),IF(WEEKDAY(sep!AH$3,1)=1,"WO","P"))</f>
        <v>P</v>
      </c>
      <c r="AI39" s="4" t="str">
        <f>IFERROR(LOOKUP(2,1/((#REF!=sep!$A39)*(#REF!&lt;=sep!AI$3)*(#REF!&gt;=sep!AI$3)),#REF!),IF(WEEKDAY(sep!AI$3,1)=1,"WO","P"))</f>
        <v>P</v>
      </c>
      <c r="AJ39" s="4">
        <f t="shared" si="3"/>
        <v>4</v>
      </c>
      <c r="AK39" s="4">
        <f t="shared" si="4"/>
        <v>0</v>
      </c>
      <c r="AL39" s="4">
        <f t="shared" si="5"/>
        <v>0</v>
      </c>
      <c r="AM39" s="4">
        <f t="shared" si="6"/>
        <v>0</v>
      </c>
      <c r="AN39" s="4">
        <f t="shared" si="7"/>
        <v>0</v>
      </c>
      <c r="AO39" s="4">
        <f t="shared" si="8"/>
        <v>0</v>
      </c>
      <c r="AP39" s="4">
        <f t="shared" si="9"/>
        <v>0</v>
      </c>
      <c r="AQ39" s="4">
        <f t="shared" si="10"/>
        <v>0</v>
      </c>
      <c r="AR39" s="4">
        <f t="shared" si="11"/>
        <v>26</v>
      </c>
      <c r="AS39" s="4">
        <f t="shared" si="13"/>
        <v>30</v>
      </c>
      <c r="AT39" s="4">
        <f t="shared" si="12"/>
        <v>30</v>
      </c>
    </row>
    <row r="40" spans="1:46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IFERROR(LOOKUP(2,1/((#REF!=sep!$A40)*(#REF!&lt;=sep!F$3)*(#REF!&gt;=sep!F$3)),#REF!),IF(WEEKDAY(sep!F$3,1)=1,"WO","P"))</f>
        <v>P</v>
      </c>
      <c r="G40" s="4" t="str">
        <f>IFERROR(LOOKUP(2,1/((#REF!=sep!$A40)*(#REF!&lt;=sep!G$3)*(#REF!&gt;=sep!G$3)),#REF!),IF(WEEKDAY(sep!G$3,1)=1,"WO","P"))</f>
        <v>P</v>
      </c>
      <c r="H40" s="4" t="str">
        <f>IFERROR(LOOKUP(2,1/((#REF!=sep!$A40)*(#REF!&lt;=sep!H$3)*(#REF!&gt;=sep!H$3)),#REF!),IF(WEEKDAY(sep!H$3,1)=1,"WO","P"))</f>
        <v>P</v>
      </c>
      <c r="I40" s="4" t="str">
        <f>IFERROR(LOOKUP(2,1/((#REF!=sep!$A40)*(#REF!&lt;=sep!I$3)*(#REF!&gt;=sep!I$3)),#REF!),IF(WEEKDAY(sep!I$3,1)=1,"WO","P"))</f>
        <v>P</v>
      </c>
      <c r="J40" s="4" t="str">
        <f>IFERROR(LOOKUP(2,1/((#REF!=sep!$A40)*(#REF!&lt;=sep!J$3)*(#REF!&gt;=sep!J$3)),#REF!),IF(WEEKDAY(sep!J$3,1)=1,"WO","P"))</f>
        <v>P</v>
      </c>
      <c r="K40" s="4" t="str">
        <f>IFERROR(LOOKUP(2,1/((#REF!=sep!$A40)*(#REF!&lt;=sep!K$3)*(#REF!&gt;=sep!K$3)),#REF!),IF(WEEKDAY(sep!K$3,1)=1,"WO","P"))</f>
        <v>WO</v>
      </c>
      <c r="L40" s="4" t="str">
        <f>IFERROR(LOOKUP(2,1/((#REF!=sep!$A40)*(#REF!&lt;=sep!L$3)*(#REF!&gt;=sep!L$3)),#REF!),IF(WEEKDAY(sep!L$3,1)=1,"WO","P"))</f>
        <v>P</v>
      </c>
      <c r="M40" s="4" t="str">
        <f>IFERROR(LOOKUP(2,1/((#REF!=sep!$A40)*(#REF!&lt;=sep!M$3)*(#REF!&gt;=sep!M$3)),#REF!),IF(WEEKDAY(sep!M$3,1)=1,"WO","P"))</f>
        <v>P</v>
      </c>
      <c r="N40" s="4" t="str">
        <f>IFERROR(LOOKUP(2,1/((#REF!=sep!$A40)*(#REF!&lt;=sep!N$3)*(#REF!&gt;=sep!N$3)),#REF!),IF(WEEKDAY(sep!N$3,1)=1,"WO","P"))</f>
        <v>P</v>
      </c>
      <c r="O40" s="4" t="str">
        <f>IFERROR(LOOKUP(2,1/((#REF!=sep!$A40)*(#REF!&lt;=sep!O$3)*(#REF!&gt;=sep!O$3)),#REF!),IF(WEEKDAY(sep!O$3,1)=1,"WO","P"))</f>
        <v>P</v>
      </c>
      <c r="P40" s="4" t="str">
        <f>IFERROR(LOOKUP(2,1/((#REF!=sep!$A40)*(#REF!&lt;=sep!P$3)*(#REF!&gt;=sep!P$3)),#REF!),IF(WEEKDAY(sep!P$3,1)=1,"WO","P"))</f>
        <v>P</v>
      </c>
      <c r="Q40" s="4" t="str">
        <f>IFERROR(LOOKUP(2,1/((#REF!=sep!$A40)*(#REF!&lt;=sep!Q$3)*(#REF!&gt;=sep!Q$3)),#REF!),IF(WEEKDAY(sep!Q$3,1)=1,"WO","P"))</f>
        <v>P</v>
      </c>
      <c r="R40" s="4" t="str">
        <f>IFERROR(LOOKUP(2,1/((#REF!=sep!$A40)*(#REF!&lt;=sep!R$3)*(#REF!&gt;=sep!R$3)),#REF!),IF(WEEKDAY(sep!R$3,1)=1,"WO","P"))</f>
        <v>WO</v>
      </c>
      <c r="S40" s="4" t="str">
        <f>IFERROR(LOOKUP(2,1/((#REF!=sep!$A40)*(#REF!&lt;=sep!S$3)*(#REF!&gt;=sep!S$3)),#REF!),IF(WEEKDAY(sep!S$3,1)=1,"WO","P"))</f>
        <v>P</v>
      </c>
      <c r="T40" s="4" t="str">
        <f>IFERROR(LOOKUP(2,1/((#REF!=sep!$A40)*(#REF!&lt;=sep!T$3)*(#REF!&gt;=sep!T$3)),#REF!),IF(WEEKDAY(sep!T$3,1)=1,"WO","P"))</f>
        <v>P</v>
      </c>
      <c r="U40" s="4" t="str">
        <f>IFERROR(LOOKUP(2,1/((#REF!=sep!$A40)*(#REF!&lt;=sep!U$3)*(#REF!&gt;=sep!U$3)),#REF!),IF(WEEKDAY(sep!U$3,1)=1,"WO","P"))</f>
        <v>P</v>
      </c>
      <c r="V40" s="4" t="str">
        <f>IFERROR(LOOKUP(2,1/((#REF!=sep!$A40)*(#REF!&lt;=sep!V$3)*(#REF!&gt;=sep!V$3)),#REF!),IF(WEEKDAY(sep!V$3,1)=1,"WO","P"))</f>
        <v>P</v>
      </c>
      <c r="W40" s="4" t="str">
        <f>IFERROR(LOOKUP(2,1/((#REF!=sep!$A40)*(#REF!&lt;=sep!W$3)*(#REF!&gt;=sep!W$3)),#REF!),IF(WEEKDAY(sep!W$3,1)=1,"WO","P"))</f>
        <v>P</v>
      </c>
      <c r="X40" s="4" t="str">
        <f>IFERROR(LOOKUP(2,1/((#REF!=sep!$A40)*(#REF!&lt;=sep!X$3)*(#REF!&gt;=sep!X$3)),#REF!),IF(WEEKDAY(sep!X$3,1)=1,"WO","P"))</f>
        <v>P</v>
      </c>
      <c r="Y40" s="4" t="str">
        <f>IFERROR(LOOKUP(2,1/((#REF!=sep!$A40)*(#REF!&lt;=sep!Y$3)*(#REF!&gt;=sep!Y$3)),#REF!),IF(WEEKDAY(sep!Y$3,1)=1,"WO","P"))</f>
        <v>WO</v>
      </c>
      <c r="Z40" s="4" t="str">
        <f>IFERROR(LOOKUP(2,1/((#REF!=sep!$A40)*(#REF!&lt;=sep!Z$3)*(#REF!&gt;=sep!Z$3)),#REF!),IF(WEEKDAY(sep!Z$3,1)=1,"WO","P"))</f>
        <v>P</v>
      </c>
      <c r="AA40" s="4" t="str">
        <f>IFERROR(LOOKUP(2,1/((#REF!=sep!$A40)*(#REF!&lt;=sep!AA$3)*(#REF!&gt;=sep!AA$3)),#REF!),IF(WEEKDAY(sep!AA$3,1)=1,"WO","P"))</f>
        <v>P</v>
      </c>
      <c r="AB40" s="4" t="str">
        <f>IFERROR(LOOKUP(2,1/((#REF!=sep!$A40)*(#REF!&lt;=sep!AB$3)*(#REF!&gt;=sep!AB$3)),#REF!),IF(WEEKDAY(sep!AB$3,1)=1,"WO","P"))</f>
        <v>P</v>
      </c>
      <c r="AC40" s="4" t="str">
        <f>IFERROR(LOOKUP(2,1/((#REF!=sep!$A40)*(#REF!&lt;=sep!AC$3)*(#REF!&gt;=sep!AC$3)),#REF!),IF(WEEKDAY(sep!AC$3,1)=1,"WO","P"))</f>
        <v>P</v>
      </c>
      <c r="AD40" s="4" t="str">
        <f>IFERROR(LOOKUP(2,1/((#REF!=sep!$A40)*(#REF!&lt;=sep!AD$3)*(#REF!&gt;=sep!AD$3)),#REF!),IF(WEEKDAY(sep!AD$3,1)=1,"WO","P"))</f>
        <v>P</v>
      </c>
      <c r="AE40" s="4" t="str">
        <f>IFERROR(LOOKUP(2,1/((#REF!=sep!$A40)*(#REF!&lt;=sep!AE$3)*(#REF!&gt;=sep!AE$3)),#REF!),IF(WEEKDAY(sep!AE$3,1)=1,"WO","P"))</f>
        <v>P</v>
      </c>
      <c r="AF40" s="4" t="str">
        <f>IFERROR(LOOKUP(2,1/((#REF!=sep!$A40)*(#REF!&lt;=sep!AF$3)*(#REF!&gt;=sep!AF$3)),#REF!),IF(WEEKDAY(sep!AF$3,1)=1,"WO","P"))</f>
        <v>WO</v>
      </c>
      <c r="AG40" s="4" t="str">
        <f>IFERROR(LOOKUP(2,1/((#REF!=sep!$A40)*(#REF!&lt;=sep!AG$3)*(#REF!&gt;=sep!AG$3)),#REF!),IF(WEEKDAY(sep!AG$3,1)=1,"WO","P"))</f>
        <v>P</v>
      </c>
      <c r="AH40" s="4" t="str">
        <f>IFERROR(LOOKUP(2,1/((#REF!=sep!$A40)*(#REF!&lt;=sep!AH$3)*(#REF!&gt;=sep!AH$3)),#REF!),IF(WEEKDAY(sep!AH$3,1)=1,"WO","P"))</f>
        <v>P</v>
      </c>
      <c r="AI40" s="4" t="str">
        <f>IFERROR(LOOKUP(2,1/((#REF!=sep!$A40)*(#REF!&lt;=sep!AI$3)*(#REF!&gt;=sep!AI$3)),#REF!),IF(WEEKDAY(sep!AI$3,1)=1,"WO","P"))</f>
        <v>P</v>
      </c>
      <c r="AJ40" s="4">
        <f t="shared" si="3"/>
        <v>4</v>
      </c>
      <c r="AK40" s="4">
        <f t="shared" si="4"/>
        <v>0</v>
      </c>
      <c r="AL40" s="4">
        <f t="shared" si="5"/>
        <v>0</v>
      </c>
      <c r="AM40" s="4">
        <f t="shared" si="6"/>
        <v>0</v>
      </c>
      <c r="AN40" s="4">
        <f t="shared" si="7"/>
        <v>0</v>
      </c>
      <c r="AO40" s="4">
        <f t="shared" si="8"/>
        <v>0</v>
      </c>
      <c r="AP40" s="4">
        <f t="shared" si="9"/>
        <v>0</v>
      </c>
      <c r="AQ40" s="4">
        <f t="shared" si="10"/>
        <v>0</v>
      </c>
      <c r="AR40" s="4">
        <f t="shared" si="11"/>
        <v>26</v>
      </c>
      <c r="AS40" s="4">
        <f t="shared" si="13"/>
        <v>30</v>
      </c>
      <c r="AT40" s="4">
        <f t="shared" si="12"/>
        <v>30</v>
      </c>
    </row>
    <row r="41" spans="1:46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IFERROR(LOOKUP(2,1/((#REF!=sep!$A41)*(#REF!&lt;=sep!F$3)*(#REF!&gt;=sep!F$3)),#REF!),IF(WEEKDAY(sep!F$3,1)=1,"WO","P"))</f>
        <v>P</v>
      </c>
      <c r="G41" s="4" t="str">
        <f>IFERROR(LOOKUP(2,1/((#REF!=sep!$A41)*(#REF!&lt;=sep!G$3)*(#REF!&gt;=sep!G$3)),#REF!),IF(WEEKDAY(sep!G$3,1)=1,"WO","P"))</f>
        <v>P</v>
      </c>
      <c r="H41" s="4" t="str">
        <f>IFERROR(LOOKUP(2,1/((#REF!=sep!$A41)*(#REF!&lt;=sep!H$3)*(#REF!&gt;=sep!H$3)),#REF!),IF(WEEKDAY(sep!H$3,1)=1,"WO","P"))</f>
        <v>P</v>
      </c>
      <c r="I41" s="4" t="str">
        <f>IFERROR(LOOKUP(2,1/((#REF!=sep!$A41)*(#REF!&lt;=sep!I$3)*(#REF!&gt;=sep!I$3)),#REF!),IF(WEEKDAY(sep!I$3,1)=1,"WO","P"))</f>
        <v>P</v>
      </c>
      <c r="J41" s="4" t="str">
        <f>IFERROR(LOOKUP(2,1/((#REF!=sep!$A41)*(#REF!&lt;=sep!J$3)*(#REF!&gt;=sep!J$3)),#REF!),IF(WEEKDAY(sep!J$3,1)=1,"WO","P"))</f>
        <v>P</v>
      </c>
      <c r="K41" s="4" t="str">
        <f>IFERROR(LOOKUP(2,1/((#REF!=sep!$A41)*(#REF!&lt;=sep!K$3)*(#REF!&gt;=sep!K$3)),#REF!),IF(WEEKDAY(sep!K$3,1)=1,"WO","P"))</f>
        <v>WO</v>
      </c>
      <c r="L41" s="4" t="str">
        <f>IFERROR(LOOKUP(2,1/((#REF!=sep!$A41)*(#REF!&lt;=sep!L$3)*(#REF!&gt;=sep!L$3)),#REF!),IF(WEEKDAY(sep!L$3,1)=1,"WO","P"))</f>
        <v>P</v>
      </c>
      <c r="M41" s="4" t="str">
        <f>IFERROR(LOOKUP(2,1/((#REF!=sep!$A41)*(#REF!&lt;=sep!M$3)*(#REF!&gt;=sep!M$3)),#REF!),IF(WEEKDAY(sep!M$3,1)=1,"WO","P"))</f>
        <v>P</v>
      </c>
      <c r="N41" s="4" t="str">
        <f>IFERROR(LOOKUP(2,1/((#REF!=sep!$A41)*(#REF!&lt;=sep!N$3)*(#REF!&gt;=sep!N$3)),#REF!),IF(WEEKDAY(sep!N$3,1)=1,"WO","P"))</f>
        <v>P</v>
      </c>
      <c r="O41" s="4" t="str">
        <f>IFERROR(LOOKUP(2,1/((#REF!=sep!$A41)*(#REF!&lt;=sep!O$3)*(#REF!&gt;=sep!O$3)),#REF!),IF(WEEKDAY(sep!O$3,1)=1,"WO","P"))</f>
        <v>P</v>
      </c>
      <c r="P41" s="4" t="str">
        <f>IFERROR(LOOKUP(2,1/((#REF!=sep!$A41)*(#REF!&lt;=sep!P$3)*(#REF!&gt;=sep!P$3)),#REF!),IF(WEEKDAY(sep!P$3,1)=1,"WO","P"))</f>
        <v>P</v>
      </c>
      <c r="Q41" s="4" t="str">
        <f>IFERROR(LOOKUP(2,1/((#REF!=sep!$A41)*(#REF!&lt;=sep!Q$3)*(#REF!&gt;=sep!Q$3)),#REF!),IF(WEEKDAY(sep!Q$3,1)=1,"WO","P"))</f>
        <v>P</v>
      </c>
      <c r="R41" s="4" t="str">
        <f>IFERROR(LOOKUP(2,1/((#REF!=sep!$A41)*(#REF!&lt;=sep!R$3)*(#REF!&gt;=sep!R$3)),#REF!),IF(WEEKDAY(sep!R$3,1)=1,"WO","P"))</f>
        <v>WO</v>
      </c>
      <c r="S41" s="4" t="str">
        <f>IFERROR(LOOKUP(2,1/((#REF!=sep!$A41)*(#REF!&lt;=sep!S$3)*(#REF!&gt;=sep!S$3)),#REF!),IF(WEEKDAY(sep!S$3,1)=1,"WO","P"))</f>
        <v>P</v>
      </c>
      <c r="T41" s="4" t="str">
        <f>IFERROR(LOOKUP(2,1/((#REF!=sep!$A41)*(#REF!&lt;=sep!T$3)*(#REF!&gt;=sep!T$3)),#REF!),IF(WEEKDAY(sep!T$3,1)=1,"WO","P"))</f>
        <v>P</v>
      </c>
      <c r="U41" s="4" t="str">
        <f>IFERROR(LOOKUP(2,1/((#REF!=sep!$A41)*(#REF!&lt;=sep!U$3)*(#REF!&gt;=sep!U$3)),#REF!),IF(WEEKDAY(sep!U$3,1)=1,"WO","P"))</f>
        <v>P</v>
      </c>
      <c r="V41" s="4" t="str">
        <f>IFERROR(LOOKUP(2,1/((#REF!=sep!$A41)*(#REF!&lt;=sep!V$3)*(#REF!&gt;=sep!V$3)),#REF!),IF(WEEKDAY(sep!V$3,1)=1,"WO","P"))</f>
        <v>P</v>
      </c>
      <c r="W41" s="4" t="str">
        <f>IFERROR(LOOKUP(2,1/((#REF!=sep!$A41)*(#REF!&lt;=sep!W$3)*(#REF!&gt;=sep!W$3)),#REF!),IF(WEEKDAY(sep!W$3,1)=1,"WO","P"))</f>
        <v>P</v>
      </c>
      <c r="X41" s="4" t="str">
        <f>IFERROR(LOOKUP(2,1/((#REF!=sep!$A41)*(#REF!&lt;=sep!X$3)*(#REF!&gt;=sep!X$3)),#REF!),IF(WEEKDAY(sep!X$3,1)=1,"WO","P"))</f>
        <v>P</v>
      </c>
      <c r="Y41" s="4" t="str">
        <f>IFERROR(LOOKUP(2,1/((#REF!=sep!$A41)*(#REF!&lt;=sep!Y$3)*(#REF!&gt;=sep!Y$3)),#REF!),IF(WEEKDAY(sep!Y$3,1)=1,"WO","P"))</f>
        <v>WO</v>
      </c>
      <c r="Z41" s="4" t="str">
        <f>IFERROR(LOOKUP(2,1/((#REF!=sep!$A41)*(#REF!&lt;=sep!Z$3)*(#REF!&gt;=sep!Z$3)),#REF!),IF(WEEKDAY(sep!Z$3,1)=1,"WO","P"))</f>
        <v>P</v>
      </c>
      <c r="AA41" s="4" t="str">
        <f>IFERROR(LOOKUP(2,1/((#REF!=sep!$A41)*(#REF!&lt;=sep!AA$3)*(#REF!&gt;=sep!AA$3)),#REF!),IF(WEEKDAY(sep!AA$3,1)=1,"WO","P"))</f>
        <v>P</v>
      </c>
      <c r="AB41" s="4" t="str">
        <f>IFERROR(LOOKUP(2,1/((#REF!=sep!$A41)*(#REF!&lt;=sep!AB$3)*(#REF!&gt;=sep!AB$3)),#REF!),IF(WEEKDAY(sep!AB$3,1)=1,"WO","P"))</f>
        <v>P</v>
      </c>
      <c r="AC41" s="4" t="str">
        <f>IFERROR(LOOKUP(2,1/((#REF!=sep!$A41)*(#REF!&lt;=sep!AC$3)*(#REF!&gt;=sep!AC$3)),#REF!),IF(WEEKDAY(sep!AC$3,1)=1,"WO","P"))</f>
        <v>P</v>
      </c>
      <c r="AD41" s="4" t="str">
        <f>IFERROR(LOOKUP(2,1/((#REF!=sep!$A41)*(#REF!&lt;=sep!AD$3)*(#REF!&gt;=sep!AD$3)),#REF!),IF(WEEKDAY(sep!AD$3,1)=1,"WO","P"))</f>
        <v>P</v>
      </c>
      <c r="AE41" s="4" t="str">
        <f>IFERROR(LOOKUP(2,1/((#REF!=sep!$A41)*(#REF!&lt;=sep!AE$3)*(#REF!&gt;=sep!AE$3)),#REF!),IF(WEEKDAY(sep!AE$3,1)=1,"WO","P"))</f>
        <v>P</v>
      </c>
      <c r="AF41" s="4" t="str">
        <f>IFERROR(LOOKUP(2,1/((#REF!=sep!$A41)*(#REF!&lt;=sep!AF$3)*(#REF!&gt;=sep!AF$3)),#REF!),IF(WEEKDAY(sep!AF$3,1)=1,"WO","P"))</f>
        <v>WO</v>
      </c>
      <c r="AG41" s="4" t="str">
        <f>IFERROR(LOOKUP(2,1/((#REF!=sep!$A41)*(#REF!&lt;=sep!AG$3)*(#REF!&gt;=sep!AG$3)),#REF!),IF(WEEKDAY(sep!AG$3,1)=1,"WO","P"))</f>
        <v>P</v>
      </c>
      <c r="AH41" s="4" t="str">
        <f>IFERROR(LOOKUP(2,1/((#REF!=sep!$A41)*(#REF!&lt;=sep!AH$3)*(#REF!&gt;=sep!AH$3)),#REF!),IF(WEEKDAY(sep!AH$3,1)=1,"WO","P"))</f>
        <v>P</v>
      </c>
      <c r="AI41" s="4" t="str">
        <f>IFERROR(LOOKUP(2,1/((#REF!=sep!$A41)*(#REF!&lt;=sep!AI$3)*(#REF!&gt;=sep!AI$3)),#REF!),IF(WEEKDAY(sep!AI$3,1)=1,"WO","P"))</f>
        <v>P</v>
      </c>
      <c r="AJ41" s="4">
        <f t="shared" si="3"/>
        <v>4</v>
      </c>
      <c r="AK41" s="4">
        <f t="shared" si="4"/>
        <v>0</v>
      </c>
      <c r="AL41" s="4">
        <f t="shared" si="5"/>
        <v>0</v>
      </c>
      <c r="AM41" s="4">
        <f t="shared" si="6"/>
        <v>0</v>
      </c>
      <c r="AN41" s="4">
        <f t="shared" si="7"/>
        <v>0</v>
      </c>
      <c r="AO41" s="4">
        <f t="shared" si="8"/>
        <v>0</v>
      </c>
      <c r="AP41" s="4">
        <f t="shared" si="9"/>
        <v>0</v>
      </c>
      <c r="AQ41" s="4">
        <f t="shared" si="10"/>
        <v>0</v>
      </c>
      <c r="AR41" s="4">
        <f t="shared" si="11"/>
        <v>26</v>
      </c>
      <c r="AS41" s="4">
        <f t="shared" si="13"/>
        <v>30</v>
      </c>
      <c r="AT41" s="4">
        <f t="shared" si="12"/>
        <v>30</v>
      </c>
    </row>
    <row r="42" spans="1:46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IFERROR(LOOKUP(2,1/((#REF!=sep!$A42)*(#REF!&lt;=sep!F$3)*(#REF!&gt;=sep!F$3)),#REF!),IF(WEEKDAY(sep!F$3,1)=1,"WO","P"))</f>
        <v>P</v>
      </c>
      <c r="G42" s="4" t="str">
        <f>IFERROR(LOOKUP(2,1/((#REF!=sep!$A42)*(#REF!&lt;=sep!G$3)*(#REF!&gt;=sep!G$3)),#REF!),IF(WEEKDAY(sep!G$3,1)=1,"WO","P"))</f>
        <v>P</v>
      </c>
      <c r="H42" s="4" t="str">
        <f>IFERROR(LOOKUP(2,1/((#REF!=sep!$A42)*(#REF!&lt;=sep!H$3)*(#REF!&gt;=sep!H$3)),#REF!),IF(WEEKDAY(sep!H$3,1)=1,"WO","P"))</f>
        <v>P</v>
      </c>
      <c r="I42" s="4" t="str">
        <f>IFERROR(LOOKUP(2,1/((#REF!=sep!$A42)*(#REF!&lt;=sep!I$3)*(#REF!&gt;=sep!I$3)),#REF!),IF(WEEKDAY(sep!I$3,1)=1,"WO","P"))</f>
        <v>P</v>
      </c>
      <c r="J42" s="4" t="str">
        <f>IFERROR(LOOKUP(2,1/((#REF!=sep!$A42)*(#REF!&lt;=sep!J$3)*(#REF!&gt;=sep!J$3)),#REF!),IF(WEEKDAY(sep!J$3,1)=1,"WO","P"))</f>
        <v>P</v>
      </c>
      <c r="K42" s="4" t="str">
        <f>IFERROR(LOOKUP(2,1/((#REF!=sep!$A42)*(#REF!&lt;=sep!K$3)*(#REF!&gt;=sep!K$3)),#REF!),IF(WEEKDAY(sep!K$3,1)=1,"WO","P"))</f>
        <v>WO</v>
      </c>
      <c r="L42" s="4" t="str">
        <f>IFERROR(LOOKUP(2,1/((#REF!=sep!$A42)*(#REF!&lt;=sep!L$3)*(#REF!&gt;=sep!L$3)),#REF!),IF(WEEKDAY(sep!L$3,1)=1,"WO","P"))</f>
        <v>P</v>
      </c>
      <c r="M42" s="4" t="str">
        <f>IFERROR(LOOKUP(2,1/((#REF!=sep!$A42)*(#REF!&lt;=sep!M$3)*(#REF!&gt;=sep!M$3)),#REF!),IF(WEEKDAY(sep!M$3,1)=1,"WO","P"))</f>
        <v>P</v>
      </c>
      <c r="N42" s="4" t="str">
        <f>IFERROR(LOOKUP(2,1/((#REF!=sep!$A42)*(#REF!&lt;=sep!N$3)*(#REF!&gt;=sep!N$3)),#REF!),IF(WEEKDAY(sep!N$3,1)=1,"WO","P"))</f>
        <v>P</v>
      </c>
      <c r="O42" s="4" t="str">
        <f>IFERROR(LOOKUP(2,1/((#REF!=sep!$A42)*(#REF!&lt;=sep!O$3)*(#REF!&gt;=sep!O$3)),#REF!),IF(WEEKDAY(sep!O$3,1)=1,"WO","P"))</f>
        <v>P</v>
      </c>
      <c r="P42" s="4" t="str">
        <f>IFERROR(LOOKUP(2,1/((#REF!=sep!$A42)*(#REF!&lt;=sep!P$3)*(#REF!&gt;=sep!P$3)),#REF!),IF(WEEKDAY(sep!P$3,1)=1,"WO","P"))</f>
        <v>P</v>
      </c>
      <c r="Q42" s="4" t="str">
        <f>IFERROR(LOOKUP(2,1/((#REF!=sep!$A42)*(#REF!&lt;=sep!Q$3)*(#REF!&gt;=sep!Q$3)),#REF!),IF(WEEKDAY(sep!Q$3,1)=1,"WO","P"))</f>
        <v>P</v>
      </c>
      <c r="R42" s="4" t="str">
        <f>IFERROR(LOOKUP(2,1/((#REF!=sep!$A42)*(#REF!&lt;=sep!R$3)*(#REF!&gt;=sep!R$3)),#REF!),IF(WEEKDAY(sep!R$3,1)=1,"WO","P"))</f>
        <v>WO</v>
      </c>
      <c r="S42" s="4" t="str">
        <f>IFERROR(LOOKUP(2,1/((#REF!=sep!$A42)*(#REF!&lt;=sep!S$3)*(#REF!&gt;=sep!S$3)),#REF!),IF(WEEKDAY(sep!S$3,1)=1,"WO","P"))</f>
        <v>P</v>
      </c>
      <c r="T42" s="4" t="str">
        <f>IFERROR(LOOKUP(2,1/((#REF!=sep!$A42)*(#REF!&lt;=sep!T$3)*(#REF!&gt;=sep!T$3)),#REF!),IF(WEEKDAY(sep!T$3,1)=1,"WO","P"))</f>
        <v>P</v>
      </c>
      <c r="U42" s="4" t="str">
        <f>IFERROR(LOOKUP(2,1/((#REF!=sep!$A42)*(#REF!&lt;=sep!U$3)*(#REF!&gt;=sep!U$3)),#REF!),IF(WEEKDAY(sep!U$3,1)=1,"WO","P"))</f>
        <v>P</v>
      </c>
      <c r="V42" s="4" t="str">
        <f>IFERROR(LOOKUP(2,1/((#REF!=sep!$A42)*(#REF!&lt;=sep!V$3)*(#REF!&gt;=sep!V$3)),#REF!),IF(WEEKDAY(sep!V$3,1)=1,"WO","P"))</f>
        <v>P</v>
      </c>
      <c r="W42" s="4" t="str">
        <f>IFERROR(LOOKUP(2,1/((#REF!=sep!$A42)*(#REF!&lt;=sep!W$3)*(#REF!&gt;=sep!W$3)),#REF!),IF(WEEKDAY(sep!W$3,1)=1,"WO","P"))</f>
        <v>P</v>
      </c>
      <c r="X42" s="4" t="str">
        <f>IFERROR(LOOKUP(2,1/((#REF!=sep!$A42)*(#REF!&lt;=sep!X$3)*(#REF!&gt;=sep!X$3)),#REF!),IF(WEEKDAY(sep!X$3,1)=1,"WO","P"))</f>
        <v>P</v>
      </c>
      <c r="Y42" s="4" t="str">
        <f>IFERROR(LOOKUP(2,1/((#REF!=sep!$A42)*(#REF!&lt;=sep!Y$3)*(#REF!&gt;=sep!Y$3)),#REF!),IF(WEEKDAY(sep!Y$3,1)=1,"WO","P"))</f>
        <v>WO</v>
      </c>
      <c r="Z42" s="4" t="str">
        <f>IFERROR(LOOKUP(2,1/((#REF!=sep!$A42)*(#REF!&lt;=sep!Z$3)*(#REF!&gt;=sep!Z$3)),#REF!),IF(WEEKDAY(sep!Z$3,1)=1,"WO","P"))</f>
        <v>P</v>
      </c>
      <c r="AA42" s="4" t="str">
        <f>IFERROR(LOOKUP(2,1/((#REF!=sep!$A42)*(#REF!&lt;=sep!AA$3)*(#REF!&gt;=sep!AA$3)),#REF!),IF(WEEKDAY(sep!AA$3,1)=1,"WO","P"))</f>
        <v>P</v>
      </c>
      <c r="AB42" s="4" t="str">
        <f>IFERROR(LOOKUP(2,1/((#REF!=sep!$A42)*(#REF!&lt;=sep!AB$3)*(#REF!&gt;=sep!AB$3)),#REF!),IF(WEEKDAY(sep!AB$3,1)=1,"WO","P"))</f>
        <v>P</v>
      </c>
      <c r="AC42" s="4" t="str">
        <f>IFERROR(LOOKUP(2,1/((#REF!=sep!$A42)*(#REF!&lt;=sep!AC$3)*(#REF!&gt;=sep!AC$3)),#REF!),IF(WEEKDAY(sep!AC$3,1)=1,"WO","P"))</f>
        <v>P</v>
      </c>
      <c r="AD42" s="4" t="str">
        <f>IFERROR(LOOKUP(2,1/((#REF!=sep!$A42)*(#REF!&lt;=sep!AD$3)*(#REF!&gt;=sep!AD$3)),#REF!),IF(WEEKDAY(sep!AD$3,1)=1,"WO","P"))</f>
        <v>P</v>
      </c>
      <c r="AE42" s="4" t="str">
        <f>IFERROR(LOOKUP(2,1/((#REF!=sep!$A42)*(#REF!&lt;=sep!AE$3)*(#REF!&gt;=sep!AE$3)),#REF!),IF(WEEKDAY(sep!AE$3,1)=1,"WO","P"))</f>
        <v>P</v>
      </c>
      <c r="AF42" s="4" t="str">
        <f>IFERROR(LOOKUP(2,1/((#REF!=sep!$A42)*(#REF!&lt;=sep!AF$3)*(#REF!&gt;=sep!AF$3)),#REF!),IF(WEEKDAY(sep!AF$3,1)=1,"WO","P"))</f>
        <v>WO</v>
      </c>
      <c r="AG42" s="4" t="str">
        <f>IFERROR(LOOKUP(2,1/((#REF!=sep!$A42)*(#REF!&lt;=sep!AG$3)*(#REF!&gt;=sep!AG$3)),#REF!),IF(WEEKDAY(sep!AG$3,1)=1,"WO","P"))</f>
        <v>P</v>
      </c>
      <c r="AH42" s="4" t="str">
        <f>IFERROR(LOOKUP(2,1/((#REF!=sep!$A42)*(#REF!&lt;=sep!AH$3)*(#REF!&gt;=sep!AH$3)),#REF!),IF(WEEKDAY(sep!AH$3,1)=1,"WO","P"))</f>
        <v>P</v>
      </c>
      <c r="AI42" s="4" t="str">
        <f>IFERROR(LOOKUP(2,1/((#REF!=sep!$A42)*(#REF!&lt;=sep!AI$3)*(#REF!&gt;=sep!AI$3)),#REF!),IF(WEEKDAY(sep!AI$3,1)=1,"WO","P"))</f>
        <v>P</v>
      </c>
      <c r="AJ42" s="4">
        <f t="shared" si="3"/>
        <v>4</v>
      </c>
      <c r="AK42" s="4">
        <f t="shared" si="4"/>
        <v>0</v>
      </c>
      <c r="AL42" s="4">
        <f t="shared" si="5"/>
        <v>0</v>
      </c>
      <c r="AM42" s="4">
        <f t="shared" si="6"/>
        <v>0</v>
      </c>
      <c r="AN42" s="4">
        <f t="shared" si="7"/>
        <v>0</v>
      </c>
      <c r="AO42" s="4">
        <f t="shared" si="8"/>
        <v>0</v>
      </c>
      <c r="AP42" s="4">
        <f t="shared" si="9"/>
        <v>0</v>
      </c>
      <c r="AQ42" s="4">
        <f t="shared" si="10"/>
        <v>0</v>
      </c>
      <c r="AR42" s="4">
        <f t="shared" si="11"/>
        <v>26</v>
      </c>
      <c r="AS42" s="4">
        <f t="shared" si="13"/>
        <v>30</v>
      </c>
      <c r="AT42" s="4">
        <f t="shared" si="12"/>
        <v>30</v>
      </c>
    </row>
    <row r="43" spans="1:46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IFERROR(LOOKUP(2,1/((#REF!=sep!$A43)*(#REF!&lt;=sep!F$3)*(#REF!&gt;=sep!F$3)),#REF!),IF(WEEKDAY(sep!F$3,1)=1,"WO","P"))</f>
        <v>P</v>
      </c>
      <c r="G43" s="4" t="str">
        <f>IFERROR(LOOKUP(2,1/((#REF!=sep!$A43)*(#REF!&lt;=sep!G$3)*(#REF!&gt;=sep!G$3)),#REF!),IF(WEEKDAY(sep!G$3,1)=1,"WO","P"))</f>
        <v>P</v>
      </c>
      <c r="H43" s="4" t="str">
        <f>IFERROR(LOOKUP(2,1/((#REF!=sep!$A43)*(#REF!&lt;=sep!H$3)*(#REF!&gt;=sep!H$3)),#REF!),IF(WEEKDAY(sep!H$3,1)=1,"WO","P"))</f>
        <v>P</v>
      </c>
      <c r="I43" s="4" t="str">
        <f>IFERROR(LOOKUP(2,1/((#REF!=sep!$A43)*(#REF!&lt;=sep!I$3)*(#REF!&gt;=sep!I$3)),#REF!),IF(WEEKDAY(sep!I$3,1)=1,"WO","P"))</f>
        <v>P</v>
      </c>
      <c r="J43" s="4" t="str">
        <f>IFERROR(LOOKUP(2,1/((#REF!=sep!$A43)*(#REF!&lt;=sep!J$3)*(#REF!&gt;=sep!J$3)),#REF!),IF(WEEKDAY(sep!J$3,1)=1,"WO","P"))</f>
        <v>P</v>
      </c>
      <c r="K43" s="4" t="str">
        <f>IFERROR(LOOKUP(2,1/((#REF!=sep!$A43)*(#REF!&lt;=sep!K$3)*(#REF!&gt;=sep!K$3)),#REF!),IF(WEEKDAY(sep!K$3,1)=1,"WO","P"))</f>
        <v>WO</v>
      </c>
      <c r="L43" s="4" t="str">
        <f>IFERROR(LOOKUP(2,1/((#REF!=sep!$A43)*(#REF!&lt;=sep!L$3)*(#REF!&gt;=sep!L$3)),#REF!),IF(WEEKDAY(sep!L$3,1)=1,"WO","P"))</f>
        <v>P</v>
      </c>
      <c r="M43" s="4" t="str">
        <f>IFERROR(LOOKUP(2,1/((#REF!=sep!$A43)*(#REF!&lt;=sep!M$3)*(#REF!&gt;=sep!M$3)),#REF!),IF(WEEKDAY(sep!M$3,1)=1,"WO","P"))</f>
        <v>P</v>
      </c>
      <c r="N43" s="4" t="str">
        <f>IFERROR(LOOKUP(2,1/((#REF!=sep!$A43)*(#REF!&lt;=sep!N$3)*(#REF!&gt;=sep!N$3)),#REF!),IF(WEEKDAY(sep!N$3,1)=1,"WO","P"))</f>
        <v>P</v>
      </c>
      <c r="O43" s="4" t="str">
        <f>IFERROR(LOOKUP(2,1/((#REF!=sep!$A43)*(#REF!&lt;=sep!O$3)*(#REF!&gt;=sep!O$3)),#REF!),IF(WEEKDAY(sep!O$3,1)=1,"WO","P"))</f>
        <v>P</v>
      </c>
      <c r="P43" s="4" t="str">
        <f>IFERROR(LOOKUP(2,1/((#REF!=sep!$A43)*(#REF!&lt;=sep!P$3)*(#REF!&gt;=sep!P$3)),#REF!),IF(WEEKDAY(sep!P$3,1)=1,"WO","P"))</f>
        <v>P</v>
      </c>
      <c r="Q43" s="4" t="str">
        <f>IFERROR(LOOKUP(2,1/((#REF!=sep!$A43)*(#REF!&lt;=sep!Q$3)*(#REF!&gt;=sep!Q$3)),#REF!),IF(WEEKDAY(sep!Q$3,1)=1,"WO","P"))</f>
        <v>P</v>
      </c>
      <c r="R43" s="4" t="str">
        <f>IFERROR(LOOKUP(2,1/((#REF!=sep!$A43)*(#REF!&lt;=sep!R$3)*(#REF!&gt;=sep!R$3)),#REF!),IF(WEEKDAY(sep!R$3,1)=1,"WO","P"))</f>
        <v>WO</v>
      </c>
      <c r="S43" s="4" t="str">
        <f>IFERROR(LOOKUP(2,1/((#REF!=sep!$A43)*(#REF!&lt;=sep!S$3)*(#REF!&gt;=sep!S$3)),#REF!),IF(WEEKDAY(sep!S$3,1)=1,"WO","P"))</f>
        <v>P</v>
      </c>
      <c r="T43" s="4" t="str">
        <f>IFERROR(LOOKUP(2,1/((#REF!=sep!$A43)*(#REF!&lt;=sep!T$3)*(#REF!&gt;=sep!T$3)),#REF!),IF(WEEKDAY(sep!T$3,1)=1,"WO","P"))</f>
        <v>P</v>
      </c>
      <c r="U43" s="4" t="str">
        <f>IFERROR(LOOKUP(2,1/((#REF!=sep!$A43)*(#REF!&lt;=sep!U$3)*(#REF!&gt;=sep!U$3)),#REF!),IF(WEEKDAY(sep!U$3,1)=1,"WO","P"))</f>
        <v>P</v>
      </c>
      <c r="V43" s="4" t="str">
        <f>IFERROR(LOOKUP(2,1/((#REF!=sep!$A43)*(#REF!&lt;=sep!V$3)*(#REF!&gt;=sep!V$3)),#REF!),IF(WEEKDAY(sep!V$3,1)=1,"WO","P"))</f>
        <v>P</v>
      </c>
      <c r="W43" s="4" t="str">
        <f>IFERROR(LOOKUP(2,1/((#REF!=sep!$A43)*(#REF!&lt;=sep!W$3)*(#REF!&gt;=sep!W$3)),#REF!),IF(WEEKDAY(sep!W$3,1)=1,"WO","P"))</f>
        <v>P</v>
      </c>
      <c r="X43" s="4" t="str">
        <f>IFERROR(LOOKUP(2,1/((#REF!=sep!$A43)*(#REF!&lt;=sep!X$3)*(#REF!&gt;=sep!X$3)),#REF!),IF(WEEKDAY(sep!X$3,1)=1,"WO","P"))</f>
        <v>P</v>
      </c>
      <c r="Y43" s="4" t="str">
        <f>IFERROR(LOOKUP(2,1/((#REF!=sep!$A43)*(#REF!&lt;=sep!Y$3)*(#REF!&gt;=sep!Y$3)),#REF!),IF(WEEKDAY(sep!Y$3,1)=1,"WO","P"))</f>
        <v>WO</v>
      </c>
      <c r="Z43" s="4" t="str">
        <f>IFERROR(LOOKUP(2,1/((#REF!=sep!$A43)*(#REF!&lt;=sep!Z$3)*(#REF!&gt;=sep!Z$3)),#REF!),IF(WEEKDAY(sep!Z$3,1)=1,"WO","P"))</f>
        <v>P</v>
      </c>
      <c r="AA43" s="4" t="str">
        <f>IFERROR(LOOKUP(2,1/((#REF!=sep!$A43)*(#REF!&lt;=sep!AA$3)*(#REF!&gt;=sep!AA$3)),#REF!),IF(WEEKDAY(sep!AA$3,1)=1,"WO","P"))</f>
        <v>P</v>
      </c>
      <c r="AB43" s="4" t="str">
        <f>IFERROR(LOOKUP(2,1/((#REF!=sep!$A43)*(#REF!&lt;=sep!AB$3)*(#REF!&gt;=sep!AB$3)),#REF!),IF(WEEKDAY(sep!AB$3,1)=1,"WO","P"))</f>
        <v>P</v>
      </c>
      <c r="AC43" s="4" t="str">
        <f>IFERROR(LOOKUP(2,1/((#REF!=sep!$A43)*(#REF!&lt;=sep!AC$3)*(#REF!&gt;=sep!AC$3)),#REF!),IF(WEEKDAY(sep!AC$3,1)=1,"WO","P"))</f>
        <v>P</v>
      </c>
      <c r="AD43" s="4" t="str">
        <f>IFERROR(LOOKUP(2,1/((#REF!=sep!$A43)*(#REF!&lt;=sep!AD$3)*(#REF!&gt;=sep!AD$3)),#REF!),IF(WEEKDAY(sep!AD$3,1)=1,"WO","P"))</f>
        <v>P</v>
      </c>
      <c r="AE43" s="4" t="str">
        <f>IFERROR(LOOKUP(2,1/((#REF!=sep!$A43)*(#REF!&lt;=sep!AE$3)*(#REF!&gt;=sep!AE$3)),#REF!),IF(WEEKDAY(sep!AE$3,1)=1,"WO","P"))</f>
        <v>P</v>
      </c>
      <c r="AF43" s="4" t="str">
        <f>IFERROR(LOOKUP(2,1/((#REF!=sep!$A43)*(#REF!&lt;=sep!AF$3)*(#REF!&gt;=sep!AF$3)),#REF!),IF(WEEKDAY(sep!AF$3,1)=1,"WO","P"))</f>
        <v>WO</v>
      </c>
      <c r="AG43" s="4" t="str">
        <f>IFERROR(LOOKUP(2,1/((#REF!=sep!$A43)*(#REF!&lt;=sep!AG$3)*(#REF!&gt;=sep!AG$3)),#REF!),IF(WEEKDAY(sep!AG$3,1)=1,"WO","P"))</f>
        <v>P</v>
      </c>
      <c r="AH43" s="4" t="str">
        <f>IFERROR(LOOKUP(2,1/((#REF!=sep!$A43)*(#REF!&lt;=sep!AH$3)*(#REF!&gt;=sep!AH$3)),#REF!),IF(WEEKDAY(sep!AH$3,1)=1,"WO","P"))</f>
        <v>P</v>
      </c>
      <c r="AI43" s="4" t="str">
        <f>IFERROR(LOOKUP(2,1/((#REF!=sep!$A43)*(#REF!&lt;=sep!AI$3)*(#REF!&gt;=sep!AI$3)),#REF!),IF(WEEKDAY(sep!AI$3,1)=1,"WO","P"))</f>
        <v>P</v>
      </c>
      <c r="AJ43" s="4">
        <f t="shared" si="3"/>
        <v>4</v>
      </c>
      <c r="AK43" s="4">
        <f t="shared" si="4"/>
        <v>0</v>
      </c>
      <c r="AL43" s="4">
        <f t="shared" si="5"/>
        <v>0</v>
      </c>
      <c r="AM43" s="4">
        <f t="shared" si="6"/>
        <v>0</v>
      </c>
      <c r="AN43" s="4">
        <f t="shared" si="7"/>
        <v>0</v>
      </c>
      <c r="AO43" s="4">
        <f t="shared" si="8"/>
        <v>0</v>
      </c>
      <c r="AP43" s="4">
        <f t="shared" si="9"/>
        <v>0</v>
      </c>
      <c r="AQ43" s="4">
        <f t="shared" si="10"/>
        <v>0</v>
      </c>
      <c r="AR43" s="4">
        <f t="shared" si="11"/>
        <v>26</v>
      </c>
      <c r="AS43" s="4">
        <f t="shared" si="13"/>
        <v>30</v>
      </c>
      <c r="AT43" s="4">
        <f t="shared" si="12"/>
        <v>30</v>
      </c>
    </row>
    <row r="44" spans="1:46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IFERROR(LOOKUP(2,1/((#REF!=sep!$A44)*(#REF!&lt;=sep!F$3)*(#REF!&gt;=sep!F$3)),#REF!),IF(WEEKDAY(sep!F$3,1)=1,"WO","P"))</f>
        <v>P</v>
      </c>
      <c r="G44" s="4" t="str">
        <f>IFERROR(LOOKUP(2,1/((#REF!=sep!$A44)*(#REF!&lt;=sep!G$3)*(#REF!&gt;=sep!G$3)),#REF!),IF(WEEKDAY(sep!G$3,1)=1,"WO","P"))</f>
        <v>P</v>
      </c>
      <c r="H44" s="4" t="str">
        <f>IFERROR(LOOKUP(2,1/((#REF!=sep!$A44)*(#REF!&lt;=sep!H$3)*(#REF!&gt;=sep!H$3)),#REF!),IF(WEEKDAY(sep!H$3,1)=1,"WO","P"))</f>
        <v>P</v>
      </c>
      <c r="I44" s="4" t="str">
        <f>IFERROR(LOOKUP(2,1/((#REF!=sep!$A44)*(#REF!&lt;=sep!I$3)*(#REF!&gt;=sep!I$3)),#REF!),IF(WEEKDAY(sep!I$3,1)=1,"WO","P"))</f>
        <v>P</v>
      </c>
      <c r="J44" s="4" t="str">
        <f>IFERROR(LOOKUP(2,1/((#REF!=sep!$A44)*(#REF!&lt;=sep!J$3)*(#REF!&gt;=sep!J$3)),#REF!),IF(WEEKDAY(sep!J$3,1)=1,"WO","P"))</f>
        <v>P</v>
      </c>
      <c r="K44" s="4" t="str">
        <f>IFERROR(LOOKUP(2,1/((#REF!=sep!$A44)*(#REF!&lt;=sep!K$3)*(#REF!&gt;=sep!K$3)),#REF!),IF(WEEKDAY(sep!K$3,1)=1,"WO","P"))</f>
        <v>WO</v>
      </c>
      <c r="L44" s="4" t="str">
        <f>IFERROR(LOOKUP(2,1/((#REF!=sep!$A44)*(#REF!&lt;=sep!L$3)*(#REF!&gt;=sep!L$3)),#REF!),IF(WEEKDAY(sep!L$3,1)=1,"WO","P"))</f>
        <v>P</v>
      </c>
      <c r="M44" s="4" t="str">
        <f>IFERROR(LOOKUP(2,1/((#REF!=sep!$A44)*(#REF!&lt;=sep!M$3)*(#REF!&gt;=sep!M$3)),#REF!),IF(WEEKDAY(sep!M$3,1)=1,"WO","P"))</f>
        <v>P</v>
      </c>
      <c r="N44" s="4" t="str">
        <f>IFERROR(LOOKUP(2,1/((#REF!=sep!$A44)*(#REF!&lt;=sep!N$3)*(#REF!&gt;=sep!N$3)),#REF!),IF(WEEKDAY(sep!N$3,1)=1,"WO","P"))</f>
        <v>P</v>
      </c>
      <c r="O44" s="4" t="str">
        <f>IFERROR(LOOKUP(2,1/((#REF!=sep!$A44)*(#REF!&lt;=sep!O$3)*(#REF!&gt;=sep!O$3)),#REF!),IF(WEEKDAY(sep!O$3,1)=1,"WO","P"))</f>
        <v>P</v>
      </c>
      <c r="P44" s="4" t="str">
        <f>IFERROR(LOOKUP(2,1/((#REF!=sep!$A44)*(#REF!&lt;=sep!P$3)*(#REF!&gt;=sep!P$3)),#REF!),IF(WEEKDAY(sep!P$3,1)=1,"WO","P"))</f>
        <v>P</v>
      </c>
      <c r="Q44" s="4" t="str">
        <f>IFERROR(LOOKUP(2,1/((#REF!=sep!$A44)*(#REF!&lt;=sep!Q$3)*(#REF!&gt;=sep!Q$3)),#REF!),IF(WEEKDAY(sep!Q$3,1)=1,"WO","P"))</f>
        <v>P</v>
      </c>
      <c r="R44" s="4" t="str">
        <f>IFERROR(LOOKUP(2,1/((#REF!=sep!$A44)*(#REF!&lt;=sep!R$3)*(#REF!&gt;=sep!R$3)),#REF!),IF(WEEKDAY(sep!R$3,1)=1,"WO","P"))</f>
        <v>WO</v>
      </c>
      <c r="S44" s="4" t="str">
        <f>IFERROR(LOOKUP(2,1/((#REF!=sep!$A44)*(#REF!&lt;=sep!S$3)*(#REF!&gt;=sep!S$3)),#REF!),IF(WEEKDAY(sep!S$3,1)=1,"WO","P"))</f>
        <v>P</v>
      </c>
      <c r="T44" s="4" t="str">
        <f>IFERROR(LOOKUP(2,1/((#REF!=sep!$A44)*(#REF!&lt;=sep!T$3)*(#REF!&gt;=sep!T$3)),#REF!),IF(WEEKDAY(sep!T$3,1)=1,"WO","P"))</f>
        <v>P</v>
      </c>
      <c r="U44" s="4" t="str">
        <f>IFERROR(LOOKUP(2,1/((#REF!=sep!$A44)*(#REF!&lt;=sep!U$3)*(#REF!&gt;=sep!U$3)),#REF!),IF(WEEKDAY(sep!U$3,1)=1,"WO","P"))</f>
        <v>P</v>
      </c>
      <c r="V44" s="4" t="str">
        <f>IFERROR(LOOKUP(2,1/((#REF!=sep!$A44)*(#REF!&lt;=sep!V$3)*(#REF!&gt;=sep!V$3)),#REF!),IF(WEEKDAY(sep!V$3,1)=1,"WO","P"))</f>
        <v>P</v>
      </c>
      <c r="W44" s="4" t="str">
        <f>IFERROR(LOOKUP(2,1/((#REF!=sep!$A44)*(#REF!&lt;=sep!W$3)*(#REF!&gt;=sep!W$3)),#REF!),IF(WEEKDAY(sep!W$3,1)=1,"WO","P"))</f>
        <v>P</v>
      </c>
      <c r="X44" s="4" t="str">
        <f>IFERROR(LOOKUP(2,1/((#REF!=sep!$A44)*(#REF!&lt;=sep!X$3)*(#REF!&gt;=sep!X$3)),#REF!),IF(WEEKDAY(sep!X$3,1)=1,"WO","P"))</f>
        <v>P</v>
      </c>
      <c r="Y44" s="4" t="str">
        <f>IFERROR(LOOKUP(2,1/((#REF!=sep!$A44)*(#REF!&lt;=sep!Y$3)*(#REF!&gt;=sep!Y$3)),#REF!),IF(WEEKDAY(sep!Y$3,1)=1,"WO","P"))</f>
        <v>WO</v>
      </c>
      <c r="Z44" s="4" t="str">
        <f>IFERROR(LOOKUP(2,1/((#REF!=sep!$A44)*(#REF!&lt;=sep!Z$3)*(#REF!&gt;=sep!Z$3)),#REF!),IF(WEEKDAY(sep!Z$3,1)=1,"WO","P"))</f>
        <v>P</v>
      </c>
      <c r="AA44" s="4" t="str">
        <f>IFERROR(LOOKUP(2,1/((#REF!=sep!$A44)*(#REF!&lt;=sep!AA$3)*(#REF!&gt;=sep!AA$3)),#REF!),IF(WEEKDAY(sep!AA$3,1)=1,"WO","P"))</f>
        <v>P</v>
      </c>
      <c r="AB44" s="4" t="str">
        <f>IFERROR(LOOKUP(2,1/((#REF!=sep!$A44)*(#REF!&lt;=sep!AB$3)*(#REF!&gt;=sep!AB$3)),#REF!),IF(WEEKDAY(sep!AB$3,1)=1,"WO","P"))</f>
        <v>P</v>
      </c>
      <c r="AC44" s="4" t="str">
        <f>IFERROR(LOOKUP(2,1/((#REF!=sep!$A44)*(#REF!&lt;=sep!AC$3)*(#REF!&gt;=sep!AC$3)),#REF!),IF(WEEKDAY(sep!AC$3,1)=1,"WO","P"))</f>
        <v>P</v>
      </c>
      <c r="AD44" s="4" t="str">
        <f>IFERROR(LOOKUP(2,1/((#REF!=sep!$A44)*(#REF!&lt;=sep!AD$3)*(#REF!&gt;=sep!AD$3)),#REF!),IF(WEEKDAY(sep!AD$3,1)=1,"WO","P"))</f>
        <v>P</v>
      </c>
      <c r="AE44" s="4" t="str">
        <f>IFERROR(LOOKUP(2,1/((#REF!=sep!$A44)*(#REF!&lt;=sep!AE$3)*(#REF!&gt;=sep!AE$3)),#REF!),IF(WEEKDAY(sep!AE$3,1)=1,"WO","P"))</f>
        <v>P</v>
      </c>
      <c r="AF44" s="4" t="str">
        <f>IFERROR(LOOKUP(2,1/((#REF!=sep!$A44)*(#REF!&lt;=sep!AF$3)*(#REF!&gt;=sep!AF$3)),#REF!),IF(WEEKDAY(sep!AF$3,1)=1,"WO","P"))</f>
        <v>WO</v>
      </c>
      <c r="AG44" s="4" t="str">
        <f>IFERROR(LOOKUP(2,1/((#REF!=sep!$A44)*(#REF!&lt;=sep!AG$3)*(#REF!&gt;=sep!AG$3)),#REF!),IF(WEEKDAY(sep!AG$3,1)=1,"WO","P"))</f>
        <v>P</v>
      </c>
      <c r="AH44" s="4" t="str">
        <f>IFERROR(LOOKUP(2,1/((#REF!=sep!$A44)*(#REF!&lt;=sep!AH$3)*(#REF!&gt;=sep!AH$3)),#REF!),IF(WEEKDAY(sep!AH$3,1)=1,"WO","P"))</f>
        <v>P</v>
      </c>
      <c r="AI44" s="4" t="str">
        <f>IFERROR(LOOKUP(2,1/((#REF!=sep!$A44)*(#REF!&lt;=sep!AI$3)*(#REF!&gt;=sep!AI$3)),#REF!),IF(WEEKDAY(sep!AI$3,1)=1,"WO","P"))</f>
        <v>P</v>
      </c>
      <c r="AJ44" s="4">
        <f t="shared" si="3"/>
        <v>4</v>
      </c>
      <c r="AK44" s="4">
        <f t="shared" si="4"/>
        <v>0</v>
      </c>
      <c r="AL44" s="4">
        <f t="shared" si="5"/>
        <v>0</v>
      </c>
      <c r="AM44" s="4">
        <f t="shared" si="6"/>
        <v>0</v>
      </c>
      <c r="AN44" s="4">
        <f t="shared" si="7"/>
        <v>0</v>
      </c>
      <c r="AO44" s="4">
        <f t="shared" si="8"/>
        <v>0</v>
      </c>
      <c r="AP44" s="4">
        <f t="shared" si="9"/>
        <v>0</v>
      </c>
      <c r="AQ44" s="4">
        <f t="shared" si="10"/>
        <v>0</v>
      </c>
      <c r="AR44" s="4">
        <f t="shared" si="11"/>
        <v>26</v>
      </c>
      <c r="AS44" s="4">
        <f t="shared" si="13"/>
        <v>30</v>
      </c>
      <c r="AT44" s="4">
        <f t="shared" si="12"/>
        <v>30</v>
      </c>
    </row>
    <row r="45" spans="1:46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IFERROR(LOOKUP(2,1/((#REF!=sep!$A45)*(#REF!&lt;=sep!F$3)*(#REF!&gt;=sep!F$3)),#REF!),IF(WEEKDAY(sep!F$3,1)=1,"WO","P"))</f>
        <v>P</v>
      </c>
      <c r="G45" s="4" t="str">
        <f>IFERROR(LOOKUP(2,1/((#REF!=sep!$A45)*(#REF!&lt;=sep!G$3)*(#REF!&gt;=sep!G$3)),#REF!),IF(WEEKDAY(sep!G$3,1)=1,"WO","P"))</f>
        <v>P</v>
      </c>
      <c r="H45" s="4" t="str">
        <f>IFERROR(LOOKUP(2,1/((#REF!=sep!$A45)*(#REF!&lt;=sep!H$3)*(#REF!&gt;=sep!H$3)),#REF!),IF(WEEKDAY(sep!H$3,1)=1,"WO","P"))</f>
        <v>P</v>
      </c>
      <c r="I45" s="4" t="str">
        <f>IFERROR(LOOKUP(2,1/((#REF!=sep!$A45)*(#REF!&lt;=sep!I$3)*(#REF!&gt;=sep!I$3)),#REF!),IF(WEEKDAY(sep!I$3,1)=1,"WO","P"))</f>
        <v>P</v>
      </c>
      <c r="J45" s="4" t="str">
        <f>IFERROR(LOOKUP(2,1/((#REF!=sep!$A45)*(#REF!&lt;=sep!J$3)*(#REF!&gt;=sep!J$3)),#REF!),IF(WEEKDAY(sep!J$3,1)=1,"WO","P"))</f>
        <v>P</v>
      </c>
      <c r="K45" s="4" t="str">
        <f>IFERROR(LOOKUP(2,1/((#REF!=sep!$A45)*(#REF!&lt;=sep!K$3)*(#REF!&gt;=sep!K$3)),#REF!),IF(WEEKDAY(sep!K$3,1)=1,"WO","P"))</f>
        <v>WO</v>
      </c>
      <c r="L45" s="4" t="str">
        <f>IFERROR(LOOKUP(2,1/((#REF!=sep!$A45)*(#REF!&lt;=sep!L$3)*(#REF!&gt;=sep!L$3)),#REF!),IF(WEEKDAY(sep!L$3,1)=1,"WO","P"))</f>
        <v>P</v>
      </c>
      <c r="M45" s="4" t="str">
        <f>IFERROR(LOOKUP(2,1/((#REF!=sep!$A45)*(#REF!&lt;=sep!M$3)*(#REF!&gt;=sep!M$3)),#REF!),IF(WEEKDAY(sep!M$3,1)=1,"WO","P"))</f>
        <v>P</v>
      </c>
      <c r="N45" s="4" t="str">
        <f>IFERROR(LOOKUP(2,1/((#REF!=sep!$A45)*(#REF!&lt;=sep!N$3)*(#REF!&gt;=sep!N$3)),#REF!),IF(WEEKDAY(sep!N$3,1)=1,"WO","P"))</f>
        <v>P</v>
      </c>
      <c r="O45" s="4" t="str">
        <f>IFERROR(LOOKUP(2,1/((#REF!=sep!$A45)*(#REF!&lt;=sep!O$3)*(#REF!&gt;=sep!O$3)),#REF!),IF(WEEKDAY(sep!O$3,1)=1,"WO","P"))</f>
        <v>P</v>
      </c>
      <c r="P45" s="4" t="str">
        <f>IFERROR(LOOKUP(2,1/((#REF!=sep!$A45)*(#REF!&lt;=sep!P$3)*(#REF!&gt;=sep!P$3)),#REF!),IF(WEEKDAY(sep!P$3,1)=1,"WO","P"))</f>
        <v>P</v>
      </c>
      <c r="Q45" s="4" t="str">
        <f>IFERROR(LOOKUP(2,1/((#REF!=sep!$A45)*(#REF!&lt;=sep!Q$3)*(#REF!&gt;=sep!Q$3)),#REF!),IF(WEEKDAY(sep!Q$3,1)=1,"WO","P"))</f>
        <v>P</v>
      </c>
      <c r="R45" s="4" t="str">
        <f>IFERROR(LOOKUP(2,1/((#REF!=sep!$A45)*(#REF!&lt;=sep!R$3)*(#REF!&gt;=sep!R$3)),#REF!),IF(WEEKDAY(sep!R$3,1)=1,"WO","P"))</f>
        <v>WO</v>
      </c>
      <c r="S45" s="4" t="str">
        <f>IFERROR(LOOKUP(2,1/((#REF!=sep!$A45)*(#REF!&lt;=sep!S$3)*(#REF!&gt;=sep!S$3)),#REF!),IF(WEEKDAY(sep!S$3,1)=1,"WO","P"))</f>
        <v>P</v>
      </c>
      <c r="T45" s="4" t="str">
        <f>IFERROR(LOOKUP(2,1/((#REF!=sep!$A45)*(#REF!&lt;=sep!T$3)*(#REF!&gt;=sep!T$3)),#REF!),IF(WEEKDAY(sep!T$3,1)=1,"WO","P"))</f>
        <v>P</v>
      </c>
      <c r="U45" s="4" t="str">
        <f>IFERROR(LOOKUP(2,1/((#REF!=sep!$A45)*(#REF!&lt;=sep!U$3)*(#REF!&gt;=sep!U$3)),#REF!),IF(WEEKDAY(sep!U$3,1)=1,"WO","P"))</f>
        <v>P</v>
      </c>
      <c r="V45" s="4" t="str">
        <f>IFERROR(LOOKUP(2,1/((#REF!=sep!$A45)*(#REF!&lt;=sep!V$3)*(#REF!&gt;=sep!V$3)),#REF!),IF(WEEKDAY(sep!V$3,1)=1,"WO","P"))</f>
        <v>P</v>
      </c>
      <c r="W45" s="4" t="str">
        <f>IFERROR(LOOKUP(2,1/((#REF!=sep!$A45)*(#REF!&lt;=sep!W$3)*(#REF!&gt;=sep!W$3)),#REF!),IF(WEEKDAY(sep!W$3,1)=1,"WO","P"))</f>
        <v>P</v>
      </c>
      <c r="X45" s="4" t="str">
        <f>IFERROR(LOOKUP(2,1/((#REF!=sep!$A45)*(#REF!&lt;=sep!X$3)*(#REF!&gt;=sep!X$3)),#REF!),IF(WEEKDAY(sep!X$3,1)=1,"WO","P"))</f>
        <v>P</v>
      </c>
      <c r="Y45" s="4" t="str">
        <f>IFERROR(LOOKUP(2,1/((#REF!=sep!$A45)*(#REF!&lt;=sep!Y$3)*(#REF!&gt;=sep!Y$3)),#REF!),IF(WEEKDAY(sep!Y$3,1)=1,"WO","P"))</f>
        <v>WO</v>
      </c>
      <c r="Z45" s="4" t="str">
        <f>IFERROR(LOOKUP(2,1/((#REF!=sep!$A45)*(#REF!&lt;=sep!Z$3)*(#REF!&gt;=sep!Z$3)),#REF!),IF(WEEKDAY(sep!Z$3,1)=1,"WO","P"))</f>
        <v>P</v>
      </c>
      <c r="AA45" s="4" t="str">
        <f>IFERROR(LOOKUP(2,1/((#REF!=sep!$A45)*(#REF!&lt;=sep!AA$3)*(#REF!&gt;=sep!AA$3)),#REF!),IF(WEEKDAY(sep!AA$3,1)=1,"WO","P"))</f>
        <v>P</v>
      </c>
      <c r="AB45" s="4" t="str">
        <f>IFERROR(LOOKUP(2,1/((#REF!=sep!$A45)*(#REF!&lt;=sep!AB$3)*(#REF!&gt;=sep!AB$3)),#REF!),IF(WEEKDAY(sep!AB$3,1)=1,"WO","P"))</f>
        <v>P</v>
      </c>
      <c r="AC45" s="4" t="str">
        <f>IFERROR(LOOKUP(2,1/((#REF!=sep!$A45)*(#REF!&lt;=sep!AC$3)*(#REF!&gt;=sep!AC$3)),#REF!),IF(WEEKDAY(sep!AC$3,1)=1,"WO","P"))</f>
        <v>P</v>
      </c>
      <c r="AD45" s="4" t="str">
        <f>IFERROR(LOOKUP(2,1/((#REF!=sep!$A45)*(#REF!&lt;=sep!AD$3)*(#REF!&gt;=sep!AD$3)),#REF!),IF(WEEKDAY(sep!AD$3,1)=1,"WO","P"))</f>
        <v>P</v>
      </c>
      <c r="AE45" s="4" t="str">
        <f>IFERROR(LOOKUP(2,1/((#REF!=sep!$A45)*(#REF!&lt;=sep!AE$3)*(#REF!&gt;=sep!AE$3)),#REF!),IF(WEEKDAY(sep!AE$3,1)=1,"WO","P"))</f>
        <v>P</v>
      </c>
      <c r="AF45" s="4" t="str">
        <f>IFERROR(LOOKUP(2,1/((#REF!=sep!$A45)*(#REF!&lt;=sep!AF$3)*(#REF!&gt;=sep!AF$3)),#REF!),IF(WEEKDAY(sep!AF$3,1)=1,"WO","P"))</f>
        <v>WO</v>
      </c>
      <c r="AG45" s="4" t="str">
        <f>IFERROR(LOOKUP(2,1/((#REF!=sep!$A45)*(#REF!&lt;=sep!AG$3)*(#REF!&gt;=sep!AG$3)),#REF!),IF(WEEKDAY(sep!AG$3,1)=1,"WO","P"))</f>
        <v>P</v>
      </c>
      <c r="AH45" s="4" t="str">
        <f>IFERROR(LOOKUP(2,1/((#REF!=sep!$A45)*(#REF!&lt;=sep!AH$3)*(#REF!&gt;=sep!AH$3)),#REF!),IF(WEEKDAY(sep!AH$3,1)=1,"WO","P"))</f>
        <v>P</v>
      </c>
      <c r="AI45" s="4" t="str">
        <f>IFERROR(LOOKUP(2,1/((#REF!=sep!$A45)*(#REF!&lt;=sep!AI$3)*(#REF!&gt;=sep!AI$3)),#REF!),IF(WEEKDAY(sep!AI$3,1)=1,"WO","P"))</f>
        <v>P</v>
      </c>
      <c r="AJ45" s="4">
        <f t="shared" si="3"/>
        <v>4</v>
      </c>
      <c r="AK45" s="4">
        <f t="shared" si="4"/>
        <v>0</v>
      </c>
      <c r="AL45" s="4">
        <f t="shared" si="5"/>
        <v>0</v>
      </c>
      <c r="AM45" s="4">
        <f t="shared" si="6"/>
        <v>0</v>
      </c>
      <c r="AN45" s="4">
        <f t="shared" si="7"/>
        <v>0</v>
      </c>
      <c r="AO45" s="4">
        <f t="shared" si="8"/>
        <v>0</v>
      </c>
      <c r="AP45" s="4">
        <f t="shared" si="9"/>
        <v>0</v>
      </c>
      <c r="AQ45" s="4">
        <f t="shared" si="10"/>
        <v>0</v>
      </c>
      <c r="AR45" s="4">
        <f t="shared" si="11"/>
        <v>26</v>
      </c>
      <c r="AS45" s="4">
        <f t="shared" si="13"/>
        <v>30</v>
      </c>
      <c r="AT45" s="4">
        <f t="shared" si="12"/>
        <v>30</v>
      </c>
    </row>
    <row r="46" spans="1:46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IFERROR(LOOKUP(2,1/((#REF!=sep!$A46)*(#REF!&lt;=sep!F$3)*(#REF!&gt;=sep!F$3)),#REF!),IF(WEEKDAY(sep!F$3,1)=1,"WO","P"))</f>
        <v>P</v>
      </c>
      <c r="G46" s="4" t="str">
        <f>IFERROR(LOOKUP(2,1/((#REF!=sep!$A46)*(#REF!&lt;=sep!G$3)*(#REF!&gt;=sep!G$3)),#REF!),IF(WEEKDAY(sep!G$3,1)=1,"WO","P"))</f>
        <v>P</v>
      </c>
      <c r="H46" s="4" t="str">
        <f>IFERROR(LOOKUP(2,1/((#REF!=sep!$A46)*(#REF!&lt;=sep!H$3)*(#REF!&gt;=sep!H$3)),#REF!),IF(WEEKDAY(sep!H$3,1)=1,"WO","P"))</f>
        <v>P</v>
      </c>
      <c r="I46" s="4" t="str">
        <f>IFERROR(LOOKUP(2,1/((#REF!=sep!$A46)*(#REF!&lt;=sep!I$3)*(#REF!&gt;=sep!I$3)),#REF!),IF(WEEKDAY(sep!I$3,1)=1,"WO","P"))</f>
        <v>P</v>
      </c>
      <c r="J46" s="4" t="str">
        <f>IFERROR(LOOKUP(2,1/((#REF!=sep!$A46)*(#REF!&lt;=sep!J$3)*(#REF!&gt;=sep!J$3)),#REF!),IF(WEEKDAY(sep!J$3,1)=1,"WO","P"))</f>
        <v>P</v>
      </c>
      <c r="K46" s="4" t="str">
        <f>IFERROR(LOOKUP(2,1/((#REF!=sep!$A46)*(#REF!&lt;=sep!K$3)*(#REF!&gt;=sep!K$3)),#REF!),IF(WEEKDAY(sep!K$3,1)=1,"WO","P"))</f>
        <v>WO</v>
      </c>
      <c r="L46" s="4" t="str">
        <f>IFERROR(LOOKUP(2,1/((#REF!=sep!$A46)*(#REF!&lt;=sep!L$3)*(#REF!&gt;=sep!L$3)),#REF!),IF(WEEKDAY(sep!L$3,1)=1,"WO","P"))</f>
        <v>P</v>
      </c>
      <c r="M46" s="4" t="str">
        <f>IFERROR(LOOKUP(2,1/((#REF!=sep!$A46)*(#REF!&lt;=sep!M$3)*(#REF!&gt;=sep!M$3)),#REF!),IF(WEEKDAY(sep!M$3,1)=1,"WO","P"))</f>
        <v>P</v>
      </c>
      <c r="N46" s="4" t="str">
        <f>IFERROR(LOOKUP(2,1/((#REF!=sep!$A46)*(#REF!&lt;=sep!N$3)*(#REF!&gt;=sep!N$3)),#REF!),IF(WEEKDAY(sep!N$3,1)=1,"WO","P"))</f>
        <v>P</v>
      </c>
      <c r="O46" s="4" t="str">
        <f>IFERROR(LOOKUP(2,1/((#REF!=sep!$A46)*(#REF!&lt;=sep!O$3)*(#REF!&gt;=sep!O$3)),#REF!),IF(WEEKDAY(sep!O$3,1)=1,"WO","P"))</f>
        <v>P</v>
      </c>
      <c r="P46" s="4" t="str">
        <f>IFERROR(LOOKUP(2,1/((#REF!=sep!$A46)*(#REF!&lt;=sep!P$3)*(#REF!&gt;=sep!P$3)),#REF!),IF(WEEKDAY(sep!P$3,1)=1,"WO","P"))</f>
        <v>P</v>
      </c>
      <c r="Q46" s="4" t="str">
        <f>IFERROR(LOOKUP(2,1/((#REF!=sep!$A46)*(#REF!&lt;=sep!Q$3)*(#REF!&gt;=sep!Q$3)),#REF!),IF(WEEKDAY(sep!Q$3,1)=1,"WO","P"))</f>
        <v>P</v>
      </c>
      <c r="R46" s="4" t="str">
        <f>IFERROR(LOOKUP(2,1/((#REF!=sep!$A46)*(#REF!&lt;=sep!R$3)*(#REF!&gt;=sep!R$3)),#REF!),IF(WEEKDAY(sep!R$3,1)=1,"WO","P"))</f>
        <v>WO</v>
      </c>
      <c r="S46" s="4" t="str">
        <f>IFERROR(LOOKUP(2,1/((#REF!=sep!$A46)*(#REF!&lt;=sep!S$3)*(#REF!&gt;=sep!S$3)),#REF!),IF(WEEKDAY(sep!S$3,1)=1,"WO","P"))</f>
        <v>P</v>
      </c>
      <c r="T46" s="4" t="str">
        <f>IFERROR(LOOKUP(2,1/((#REF!=sep!$A46)*(#REF!&lt;=sep!T$3)*(#REF!&gt;=sep!T$3)),#REF!),IF(WEEKDAY(sep!T$3,1)=1,"WO","P"))</f>
        <v>P</v>
      </c>
      <c r="U46" s="4" t="str">
        <f>IFERROR(LOOKUP(2,1/((#REF!=sep!$A46)*(#REF!&lt;=sep!U$3)*(#REF!&gt;=sep!U$3)),#REF!),IF(WEEKDAY(sep!U$3,1)=1,"WO","P"))</f>
        <v>P</v>
      </c>
      <c r="V46" s="4" t="str">
        <f>IFERROR(LOOKUP(2,1/((#REF!=sep!$A46)*(#REF!&lt;=sep!V$3)*(#REF!&gt;=sep!V$3)),#REF!),IF(WEEKDAY(sep!V$3,1)=1,"WO","P"))</f>
        <v>P</v>
      </c>
      <c r="W46" s="4" t="str">
        <f>IFERROR(LOOKUP(2,1/((#REF!=sep!$A46)*(#REF!&lt;=sep!W$3)*(#REF!&gt;=sep!W$3)),#REF!),IF(WEEKDAY(sep!W$3,1)=1,"WO","P"))</f>
        <v>P</v>
      </c>
      <c r="X46" s="4" t="str">
        <f>IFERROR(LOOKUP(2,1/((#REF!=sep!$A46)*(#REF!&lt;=sep!X$3)*(#REF!&gt;=sep!X$3)),#REF!),IF(WEEKDAY(sep!X$3,1)=1,"WO","P"))</f>
        <v>P</v>
      </c>
      <c r="Y46" s="4" t="str">
        <f>IFERROR(LOOKUP(2,1/((#REF!=sep!$A46)*(#REF!&lt;=sep!Y$3)*(#REF!&gt;=sep!Y$3)),#REF!),IF(WEEKDAY(sep!Y$3,1)=1,"WO","P"))</f>
        <v>WO</v>
      </c>
      <c r="Z46" s="4" t="str">
        <f>IFERROR(LOOKUP(2,1/((#REF!=sep!$A46)*(#REF!&lt;=sep!Z$3)*(#REF!&gt;=sep!Z$3)),#REF!),IF(WEEKDAY(sep!Z$3,1)=1,"WO","P"))</f>
        <v>P</v>
      </c>
      <c r="AA46" s="4" t="str">
        <f>IFERROR(LOOKUP(2,1/((#REF!=sep!$A46)*(#REF!&lt;=sep!AA$3)*(#REF!&gt;=sep!AA$3)),#REF!),IF(WEEKDAY(sep!AA$3,1)=1,"WO","P"))</f>
        <v>P</v>
      </c>
      <c r="AB46" s="4" t="str">
        <f>IFERROR(LOOKUP(2,1/((#REF!=sep!$A46)*(#REF!&lt;=sep!AB$3)*(#REF!&gt;=sep!AB$3)),#REF!),IF(WEEKDAY(sep!AB$3,1)=1,"WO","P"))</f>
        <v>P</v>
      </c>
      <c r="AC46" s="4" t="str">
        <f>IFERROR(LOOKUP(2,1/((#REF!=sep!$A46)*(#REF!&lt;=sep!AC$3)*(#REF!&gt;=sep!AC$3)),#REF!),IF(WEEKDAY(sep!AC$3,1)=1,"WO","P"))</f>
        <v>P</v>
      </c>
      <c r="AD46" s="4" t="str">
        <f>IFERROR(LOOKUP(2,1/((#REF!=sep!$A46)*(#REF!&lt;=sep!AD$3)*(#REF!&gt;=sep!AD$3)),#REF!),IF(WEEKDAY(sep!AD$3,1)=1,"WO","P"))</f>
        <v>P</v>
      </c>
      <c r="AE46" s="4" t="str">
        <f>IFERROR(LOOKUP(2,1/((#REF!=sep!$A46)*(#REF!&lt;=sep!AE$3)*(#REF!&gt;=sep!AE$3)),#REF!),IF(WEEKDAY(sep!AE$3,1)=1,"WO","P"))</f>
        <v>P</v>
      </c>
      <c r="AF46" s="4" t="str">
        <f>IFERROR(LOOKUP(2,1/((#REF!=sep!$A46)*(#REF!&lt;=sep!AF$3)*(#REF!&gt;=sep!AF$3)),#REF!),IF(WEEKDAY(sep!AF$3,1)=1,"WO","P"))</f>
        <v>WO</v>
      </c>
      <c r="AG46" s="4" t="str">
        <f>IFERROR(LOOKUP(2,1/((#REF!=sep!$A46)*(#REF!&lt;=sep!AG$3)*(#REF!&gt;=sep!AG$3)),#REF!),IF(WEEKDAY(sep!AG$3,1)=1,"WO","P"))</f>
        <v>P</v>
      </c>
      <c r="AH46" s="4" t="str">
        <f>IFERROR(LOOKUP(2,1/((#REF!=sep!$A46)*(#REF!&lt;=sep!AH$3)*(#REF!&gt;=sep!AH$3)),#REF!),IF(WEEKDAY(sep!AH$3,1)=1,"WO","P"))</f>
        <v>P</v>
      </c>
      <c r="AI46" s="4" t="str">
        <f>IFERROR(LOOKUP(2,1/((#REF!=sep!$A46)*(#REF!&lt;=sep!AI$3)*(#REF!&gt;=sep!AI$3)),#REF!),IF(WEEKDAY(sep!AI$3,1)=1,"WO","P"))</f>
        <v>P</v>
      </c>
      <c r="AJ46" s="4">
        <f t="shared" si="3"/>
        <v>4</v>
      </c>
      <c r="AK46" s="4">
        <f t="shared" si="4"/>
        <v>0</v>
      </c>
      <c r="AL46" s="4">
        <f t="shared" si="5"/>
        <v>0</v>
      </c>
      <c r="AM46" s="4">
        <f t="shared" si="6"/>
        <v>0</v>
      </c>
      <c r="AN46" s="4">
        <f t="shared" si="7"/>
        <v>0</v>
      </c>
      <c r="AO46" s="4">
        <f t="shared" si="8"/>
        <v>0</v>
      </c>
      <c r="AP46" s="4">
        <f t="shared" si="9"/>
        <v>0</v>
      </c>
      <c r="AQ46" s="4">
        <f t="shared" si="10"/>
        <v>0</v>
      </c>
      <c r="AR46" s="4">
        <f t="shared" si="11"/>
        <v>26</v>
      </c>
      <c r="AS46" s="4">
        <f t="shared" si="13"/>
        <v>30</v>
      </c>
      <c r="AT46" s="4">
        <f t="shared" si="12"/>
        <v>30</v>
      </c>
    </row>
    <row r="47" spans="1:46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IFERROR(LOOKUP(2,1/((#REF!=sep!$A47)*(#REF!&lt;=sep!F$3)*(#REF!&gt;=sep!F$3)),#REF!),IF(WEEKDAY(sep!F$3,1)=1,"WO","P"))</f>
        <v>P</v>
      </c>
      <c r="G47" s="4" t="str">
        <f>IFERROR(LOOKUP(2,1/((#REF!=sep!$A47)*(#REF!&lt;=sep!G$3)*(#REF!&gt;=sep!G$3)),#REF!),IF(WEEKDAY(sep!G$3,1)=1,"WO","P"))</f>
        <v>P</v>
      </c>
      <c r="H47" s="4" t="str">
        <f>IFERROR(LOOKUP(2,1/((#REF!=sep!$A47)*(#REF!&lt;=sep!H$3)*(#REF!&gt;=sep!H$3)),#REF!),IF(WEEKDAY(sep!H$3,1)=1,"WO","P"))</f>
        <v>P</v>
      </c>
      <c r="I47" s="4" t="str">
        <f>IFERROR(LOOKUP(2,1/((#REF!=sep!$A47)*(#REF!&lt;=sep!I$3)*(#REF!&gt;=sep!I$3)),#REF!),IF(WEEKDAY(sep!I$3,1)=1,"WO","P"))</f>
        <v>P</v>
      </c>
      <c r="J47" s="4" t="str">
        <f>IFERROR(LOOKUP(2,1/((#REF!=sep!$A47)*(#REF!&lt;=sep!J$3)*(#REF!&gt;=sep!J$3)),#REF!),IF(WEEKDAY(sep!J$3,1)=1,"WO","P"))</f>
        <v>P</v>
      </c>
      <c r="K47" s="4" t="str">
        <f>IFERROR(LOOKUP(2,1/((#REF!=sep!$A47)*(#REF!&lt;=sep!K$3)*(#REF!&gt;=sep!K$3)),#REF!),IF(WEEKDAY(sep!K$3,1)=1,"WO","P"))</f>
        <v>WO</v>
      </c>
      <c r="L47" s="4" t="str">
        <f>IFERROR(LOOKUP(2,1/((#REF!=sep!$A47)*(#REF!&lt;=sep!L$3)*(#REF!&gt;=sep!L$3)),#REF!),IF(WEEKDAY(sep!L$3,1)=1,"WO","P"))</f>
        <v>P</v>
      </c>
      <c r="M47" s="4" t="str">
        <f>IFERROR(LOOKUP(2,1/((#REF!=sep!$A47)*(#REF!&lt;=sep!M$3)*(#REF!&gt;=sep!M$3)),#REF!),IF(WEEKDAY(sep!M$3,1)=1,"WO","P"))</f>
        <v>P</v>
      </c>
      <c r="N47" s="4" t="str">
        <f>IFERROR(LOOKUP(2,1/((#REF!=sep!$A47)*(#REF!&lt;=sep!N$3)*(#REF!&gt;=sep!N$3)),#REF!),IF(WEEKDAY(sep!N$3,1)=1,"WO","P"))</f>
        <v>P</v>
      </c>
      <c r="O47" s="4" t="str">
        <f>IFERROR(LOOKUP(2,1/((#REF!=sep!$A47)*(#REF!&lt;=sep!O$3)*(#REF!&gt;=sep!O$3)),#REF!),IF(WEEKDAY(sep!O$3,1)=1,"WO","P"))</f>
        <v>P</v>
      </c>
      <c r="P47" s="4" t="str">
        <f>IFERROR(LOOKUP(2,1/((#REF!=sep!$A47)*(#REF!&lt;=sep!P$3)*(#REF!&gt;=sep!P$3)),#REF!),IF(WEEKDAY(sep!P$3,1)=1,"WO","P"))</f>
        <v>P</v>
      </c>
      <c r="Q47" s="4" t="str">
        <f>IFERROR(LOOKUP(2,1/((#REF!=sep!$A47)*(#REF!&lt;=sep!Q$3)*(#REF!&gt;=sep!Q$3)),#REF!),IF(WEEKDAY(sep!Q$3,1)=1,"WO","P"))</f>
        <v>P</v>
      </c>
      <c r="R47" s="4" t="str">
        <f>IFERROR(LOOKUP(2,1/((#REF!=sep!$A47)*(#REF!&lt;=sep!R$3)*(#REF!&gt;=sep!R$3)),#REF!),IF(WEEKDAY(sep!R$3,1)=1,"WO","P"))</f>
        <v>WO</v>
      </c>
      <c r="S47" s="4" t="str">
        <f>IFERROR(LOOKUP(2,1/((#REF!=sep!$A47)*(#REF!&lt;=sep!S$3)*(#REF!&gt;=sep!S$3)),#REF!),IF(WEEKDAY(sep!S$3,1)=1,"WO","P"))</f>
        <v>P</v>
      </c>
      <c r="T47" s="4" t="str">
        <f>IFERROR(LOOKUP(2,1/((#REF!=sep!$A47)*(#REF!&lt;=sep!T$3)*(#REF!&gt;=sep!T$3)),#REF!),IF(WEEKDAY(sep!T$3,1)=1,"WO","P"))</f>
        <v>P</v>
      </c>
      <c r="U47" s="4" t="str">
        <f>IFERROR(LOOKUP(2,1/((#REF!=sep!$A47)*(#REF!&lt;=sep!U$3)*(#REF!&gt;=sep!U$3)),#REF!),IF(WEEKDAY(sep!U$3,1)=1,"WO","P"))</f>
        <v>P</v>
      </c>
      <c r="V47" s="4" t="str">
        <f>IFERROR(LOOKUP(2,1/((#REF!=sep!$A47)*(#REF!&lt;=sep!V$3)*(#REF!&gt;=sep!V$3)),#REF!),IF(WEEKDAY(sep!V$3,1)=1,"WO","P"))</f>
        <v>P</v>
      </c>
      <c r="W47" s="4" t="str">
        <f>IFERROR(LOOKUP(2,1/((#REF!=sep!$A47)*(#REF!&lt;=sep!W$3)*(#REF!&gt;=sep!W$3)),#REF!),IF(WEEKDAY(sep!W$3,1)=1,"WO","P"))</f>
        <v>P</v>
      </c>
      <c r="X47" s="4" t="str">
        <f>IFERROR(LOOKUP(2,1/((#REF!=sep!$A47)*(#REF!&lt;=sep!X$3)*(#REF!&gt;=sep!X$3)),#REF!),IF(WEEKDAY(sep!X$3,1)=1,"WO","P"))</f>
        <v>P</v>
      </c>
      <c r="Y47" s="4" t="str">
        <f>IFERROR(LOOKUP(2,1/((#REF!=sep!$A47)*(#REF!&lt;=sep!Y$3)*(#REF!&gt;=sep!Y$3)),#REF!),IF(WEEKDAY(sep!Y$3,1)=1,"WO","P"))</f>
        <v>WO</v>
      </c>
      <c r="Z47" s="4" t="str">
        <f>IFERROR(LOOKUP(2,1/((#REF!=sep!$A47)*(#REF!&lt;=sep!Z$3)*(#REF!&gt;=sep!Z$3)),#REF!),IF(WEEKDAY(sep!Z$3,1)=1,"WO","P"))</f>
        <v>P</v>
      </c>
      <c r="AA47" s="4" t="str">
        <f>IFERROR(LOOKUP(2,1/((#REF!=sep!$A47)*(#REF!&lt;=sep!AA$3)*(#REF!&gt;=sep!AA$3)),#REF!),IF(WEEKDAY(sep!AA$3,1)=1,"WO","P"))</f>
        <v>P</v>
      </c>
      <c r="AB47" s="4" t="str">
        <f>IFERROR(LOOKUP(2,1/((#REF!=sep!$A47)*(#REF!&lt;=sep!AB$3)*(#REF!&gt;=sep!AB$3)),#REF!),IF(WEEKDAY(sep!AB$3,1)=1,"WO","P"))</f>
        <v>P</v>
      </c>
      <c r="AC47" s="4" t="str">
        <f>IFERROR(LOOKUP(2,1/((#REF!=sep!$A47)*(#REF!&lt;=sep!AC$3)*(#REF!&gt;=sep!AC$3)),#REF!),IF(WEEKDAY(sep!AC$3,1)=1,"WO","P"))</f>
        <v>P</v>
      </c>
      <c r="AD47" s="4" t="str">
        <f>IFERROR(LOOKUP(2,1/((#REF!=sep!$A47)*(#REF!&lt;=sep!AD$3)*(#REF!&gt;=sep!AD$3)),#REF!),IF(WEEKDAY(sep!AD$3,1)=1,"WO","P"))</f>
        <v>P</v>
      </c>
      <c r="AE47" s="4" t="str">
        <f>IFERROR(LOOKUP(2,1/((#REF!=sep!$A47)*(#REF!&lt;=sep!AE$3)*(#REF!&gt;=sep!AE$3)),#REF!),IF(WEEKDAY(sep!AE$3,1)=1,"WO","P"))</f>
        <v>P</v>
      </c>
      <c r="AF47" s="4" t="str">
        <f>IFERROR(LOOKUP(2,1/((#REF!=sep!$A47)*(#REF!&lt;=sep!AF$3)*(#REF!&gt;=sep!AF$3)),#REF!),IF(WEEKDAY(sep!AF$3,1)=1,"WO","P"))</f>
        <v>WO</v>
      </c>
      <c r="AG47" s="4" t="str">
        <f>IFERROR(LOOKUP(2,1/((#REF!=sep!$A47)*(#REF!&lt;=sep!AG$3)*(#REF!&gt;=sep!AG$3)),#REF!),IF(WEEKDAY(sep!AG$3,1)=1,"WO","P"))</f>
        <v>P</v>
      </c>
      <c r="AH47" s="4" t="str">
        <f>IFERROR(LOOKUP(2,1/((#REF!=sep!$A47)*(#REF!&lt;=sep!AH$3)*(#REF!&gt;=sep!AH$3)),#REF!),IF(WEEKDAY(sep!AH$3,1)=1,"WO","P"))</f>
        <v>P</v>
      </c>
      <c r="AI47" s="4" t="str">
        <f>IFERROR(LOOKUP(2,1/((#REF!=sep!$A47)*(#REF!&lt;=sep!AI$3)*(#REF!&gt;=sep!AI$3)),#REF!),IF(WEEKDAY(sep!AI$3,1)=1,"WO","P"))</f>
        <v>P</v>
      </c>
      <c r="AJ47" s="4">
        <f t="shared" si="3"/>
        <v>4</v>
      </c>
      <c r="AK47" s="4">
        <f t="shared" si="4"/>
        <v>0</v>
      </c>
      <c r="AL47" s="4">
        <f t="shared" si="5"/>
        <v>0</v>
      </c>
      <c r="AM47" s="4">
        <f t="shared" si="6"/>
        <v>0</v>
      </c>
      <c r="AN47" s="4">
        <f t="shared" si="7"/>
        <v>0</v>
      </c>
      <c r="AO47" s="4">
        <f t="shared" si="8"/>
        <v>0</v>
      </c>
      <c r="AP47" s="4">
        <f t="shared" si="9"/>
        <v>0</v>
      </c>
      <c r="AQ47" s="4">
        <f t="shared" si="10"/>
        <v>0</v>
      </c>
      <c r="AR47" s="4">
        <f t="shared" si="11"/>
        <v>26</v>
      </c>
      <c r="AS47" s="4">
        <f t="shared" si="13"/>
        <v>30</v>
      </c>
      <c r="AT47" s="4">
        <f t="shared" si="12"/>
        <v>30</v>
      </c>
    </row>
    <row r="48" spans="1:46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IFERROR(LOOKUP(2,1/((#REF!=sep!$A48)*(#REF!&lt;=sep!F$3)*(#REF!&gt;=sep!F$3)),#REF!),IF(WEEKDAY(sep!F$3,1)=1,"WO","P"))</f>
        <v>P</v>
      </c>
      <c r="G48" s="4" t="str">
        <f>IFERROR(LOOKUP(2,1/((#REF!=sep!$A48)*(#REF!&lt;=sep!G$3)*(#REF!&gt;=sep!G$3)),#REF!),IF(WEEKDAY(sep!G$3,1)=1,"WO","P"))</f>
        <v>P</v>
      </c>
      <c r="H48" s="4" t="str">
        <f>IFERROR(LOOKUP(2,1/((#REF!=sep!$A48)*(#REF!&lt;=sep!H$3)*(#REF!&gt;=sep!H$3)),#REF!),IF(WEEKDAY(sep!H$3,1)=1,"WO","P"))</f>
        <v>P</v>
      </c>
      <c r="I48" s="4" t="str">
        <f>IFERROR(LOOKUP(2,1/((#REF!=sep!$A48)*(#REF!&lt;=sep!I$3)*(#REF!&gt;=sep!I$3)),#REF!),IF(WEEKDAY(sep!I$3,1)=1,"WO","P"))</f>
        <v>P</v>
      </c>
      <c r="J48" s="4" t="str">
        <f>IFERROR(LOOKUP(2,1/((#REF!=sep!$A48)*(#REF!&lt;=sep!J$3)*(#REF!&gt;=sep!J$3)),#REF!),IF(WEEKDAY(sep!J$3,1)=1,"WO","P"))</f>
        <v>P</v>
      </c>
      <c r="K48" s="4" t="str">
        <f>IFERROR(LOOKUP(2,1/((#REF!=sep!$A48)*(#REF!&lt;=sep!K$3)*(#REF!&gt;=sep!K$3)),#REF!),IF(WEEKDAY(sep!K$3,1)=1,"WO","P"))</f>
        <v>WO</v>
      </c>
      <c r="L48" s="4" t="str">
        <f>IFERROR(LOOKUP(2,1/((#REF!=sep!$A48)*(#REF!&lt;=sep!L$3)*(#REF!&gt;=sep!L$3)),#REF!),IF(WEEKDAY(sep!L$3,1)=1,"WO","P"))</f>
        <v>P</v>
      </c>
      <c r="M48" s="4" t="str">
        <f>IFERROR(LOOKUP(2,1/((#REF!=sep!$A48)*(#REF!&lt;=sep!M$3)*(#REF!&gt;=sep!M$3)),#REF!),IF(WEEKDAY(sep!M$3,1)=1,"WO","P"))</f>
        <v>P</v>
      </c>
      <c r="N48" s="4" t="str">
        <f>IFERROR(LOOKUP(2,1/((#REF!=sep!$A48)*(#REF!&lt;=sep!N$3)*(#REF!&gt;=sep!N$3)),#REF!),IF(WEEKDAY(sep!N$3,1)=1,"WO","P"))</f>
        <v>P</v>
      </c>
      <c r="O48" s="4" t="str">
        <f>IFERROR(LOOKUP(2,1/((#REF!=sep!$A48)*(#REF!&lt;=sep!O$3)*(#REF!&gt;=sep!O$3)),#REF!),IF(WEEKDAY(sep!O$3,1)=1,"WO","P"))</f>
        <v>P</v>
      </c>
      <c r="P48" s="4" t="str">
        <f>IFERROR(LOOKUP(2,1/((#REF!=sep!$A48)*(#REF!&lt;=sep!P$3)*(#REF!&gt;=sep!P$3)),#REF!),IF(WEEKDAY(sep!P$3,1)=1,"WO","P"))</f>
        <v>P</v>
      </c>
      <c r="Q48" s="4" t="str">
        <f>IFERROR(LOOKUP(2,1/((#REF!=sep!$A48)*(#REF!&lt;=sep!Q$3)*(#REF!&gt;=sep!Q$3)),#REF!),IF(WEEKDAY(sep!Q$3,1)=1,"WO","P"))</f>
        <v>P</v>
      </c>
      <c r="R48" s="4" t="str">
        <f>IFERROR(LOOKUP(2,1/((#REF!=sep!$A48)*(#REF!&lt;=sep!R$3)*(#REF!&gt;=sep!R$3)),#REF!),IF(WEEKDAY(sep!R$3,1)=1,"WO","P"))</f>
        <v>WO</v>
      </c>
      <c r="S48" s="4" t="str">
        <f>IFERROR(LOOKUP(2,1/((#REF!=sep!$A48)*(#REF!&lt;=sep!S$3)*(#REF!&gt;=sep!S$3)),#REF!),IF(WEEKDAY(sep!S$3,1)=1,"WO","P"))</f>
        <v>P</v>
      </c>
      <c r="T48" s="4" t="str">
        <f>IFERROR(LOOKUP(2,1/((#REF!=sep!$A48)*(#REF!&lt;=sep!T$3)*(#REF!&gt;=sep!T$3)),#REF!),IF(WEEKDAY(sep!T$3,1)=1,"WO","P"))</f>
        <v>P</v>
      </c>
      <c r="U48" s="4" t="str">
        <f>IFERROR(LOOKUP(2,1/((#REF!=sep!$A48)*(#REF!&lt;=sep!U$3)*(#REF!&gt;=sep!U$3)),#REF!),IF(WEEKDAY(sep!U$3,1)=1,"WO","P"))</f>
        <v>P</v>
      </c>
      <c r="V48" s="4" t="str">
        <f>IFERROR(LOOKUP(2,1/((#REF!=sep!$A48)*(#REF!&lt;=sep!V$3)*(#REF!&gt;=sep!V$3)),#REF!),IF(WEEKDAY(sep!V$3,1)=1,"WO","P"))</f>
        <v>P</v>
      </c>
      <c r="W48" s="4" t="str">
        <f>IFERROR(LOOKUP(2,1/((#REF!=sep!$A48)*(#REF!&lt;=sep!W$3)*(#REF!&gt;=sep!W$3)),#REF!),IF(WEEKDAY(sep!W$3,1)=1,"WO","P"))</f>
        <v>P</v>
      </c>
      <c r="X48" s="4" t="str">
        <f>IFERROR(LOOKUP(2,1/((#REF!=sep!$A48)*(#REF!&lt;=sep!X$3)*(#REF!&gt;=sep!X$3)),#REF!),IF(WEEKDAY(sep!X$3,1)=1,"WO","P"))</f>
        <v>P</v>
      </c>
      <c r="Y48" s="4" t="str">
        <f>IFERROR(LOOKUP(2,1/((#REF!=sep!$A48)*(#REF!&lt;=sep!Y$3)*(#REF!&gt;=sep!Y$3)),#REF!),IF(WEEKDAY(sep!Y$3,1)=1,"WO","P"))</f>
        <v>WO</v>
      </c>
      <c r="Z48" s="4" t="str">
        <f>IFERROR(LOOKUP(2,1/((#REF!=sep!$A48)*(#REF!&lt;=sep!Z$3)*(#REF!&gt;=sep!Z$3)),#REF!),IF(WEEKDAY(sep!Z$3,1)=1,"WO","P"))</f>
        <v>P</v>
      </c>
      <c r="AA48" s="4" t="str">
        <f>IFERROR(LOOKUP(2,1/((#REF!=sep!$A48)*(#REF!&lt;=sep!AA$3)*(#REF!&gt;=sep!AA$3)),#REF!),IF(WEEKDAY(sep!AA$3,1)=1,"WO","P"))</f>
        <v>P</v>
      </c>
      <c r="AB48" s="4" t="str">
        <f>IFERROR(LOOKUP(2,1/((#REF!=sep!$A48)*(#REF!&lt;=sep!AB$3)*(#REF!&gt;=sep!AB$3)),#REF!),IF(WEEKDAY(sep!AB$3,1)=1,"WO","P"))</f>
        <v>P</v>
      </c>
      <c r="AC48" s="4" t="str">
        <f>IFERROR(LOOKUP(2,1/((#REF!=sep!$A48)*(#REF!&lt;=sep!AC$3)*(#REF!&gt;=sep!AC$3)),#REF!),IF(WEEKDAY(sep!AC$3,1)=1,"WO","P"))</f>
        <v>P</v>
      </c>
      <c r="AD48" s="4" t="str">
        <f>IFERROR(LOOKUP(2,1/((#REF!=sep!$A48)*(#REF!&lt;=sep!AD$3)*(#REF!&gt;=sep!AD$3)),#REF!),IF(WEEKDAY(sep!AD$3,1)=1,"WO","P"))</f>
        <v>P</v>
      </c>
      <c r="AE48" s="4" t="str">
        <f>IFERROR(LOOKUP(2,1/((#REF!=sep!$A48)*(#REF!&lt;=sep!AE$3)*(#REF!&gt;=sep!AE$3)),#REF!),IF(WEEKDAY(sep!AE$3,1)=1,"WO","P"))</f>
        <v>P</v>
      </c>
      <c r="AF48" s="4" t="str">
        <f>IFERROR(LOOKUP(2,1/((#REF!=sep!$A48)*(#REF!&lt;=sep!AF$3)*(#REF!&gt;=sep!AF$3)),#REF!),IF(WEEKDAY(sep!AF$3,1)=1,"WO","P"))</f>
        <v>WO</v>
      </c>
      <c r="AG48" s="4" t="str">
        <f>IFERROR(LOOKUP(2,1/((#REF!=sep!$A48)*(#REF!&lt;=sep!AG$3)*(#REF!&gt;=sep!AG$3)),#REF!),IF(WEEKDAY(sep!AG$3,1)=1,"WO","P"))</f>
        <v>P</v>
      </c>
      <c r="AH48" s="4" t="str">
        <f>IFERROR(LOOKUP(2,1/((#REF!=sep!$A48)*(#REF!&lt;=sep!AH$3)*(#REF!&gt;=sep!AH$3)),#REF!),IF(WEEKDAY(sep!AH$3,1)=1,"WO","P"))</f>
        <v>P</v>
      </c>
      <c r="AI48" s="4" t="str">
        <f>IFERROR(LOOKUP(2,1/((#REF!=sep!$A48)*(#REF!&lt;=sep!AI$3)*(#REF!&gt;=sep!AI$3)),#REF!),IF(WEEKDAY(sep!AI$3,1)=1,"WO","P"))</f>
        <v>P</v>
      </c>
      <c r="AJ48" s="4">
        <f t="shared" si="3"/>
        <v>4</v>
      </c>
      <c r="AK48" s="4">
        <f t="shared" si="4"/>
        <v>0</v>
      </c>
      <c r="AL48" s="4">
        <f t="shared" si="5"/>
        <v>0</v>
      </c>
      <c r="AM48" s="4">
        <f t="shared" si="6"/>
        <v>0</v>
      </c>
      <c r="AN48" s="4">
        <f t="shared" si="7"/>
        <v>0</v>
      </c>
      <c r="AO48" s="4">
        <f t="shared" si="8"/>
        <v>0</v>
      </c>
      <c r="AP48" s="4">
        <f t="shared" si="9"/>
        <v>0</v>
      </c>
      <c r="AQ48" s="4">
        <f t="shared" si="10"/>
        <v>0</v>
      </c>
      <c r="AR48" s="4">
        <f t="shared" si="11"/>
        <v>26</v>
      </c>
      <c r="AS48" s="4">
        <f t="shared" si="13"/>
        <v>30</v>
      </c>
      <c r="AT48" s="4">
        <f t="shared" si="12"/>
        <v>30</v>
      </c>
    </row>
    <row r="49" spans="1:46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IFERROR(LOOKUP(2,1/((#REF!=sep!$A49)*(#REF!&lt;=sep!F$3)*(#REF!&gt;=sep!F$3)),#REF!),IF(WEEKDAY(sep!F$3,1)=1,"WO","P"))</f>
        <v>P</v>
      </c>
      <c r="G49" s="4" t="str">
        <f>IFERROR(LOOKUP(2,1/((#REF!=sep!$A49)*(#REF!&lt;=sep!G$3)*(#REF!&gt;=sep!G$3)),#REF!),IF(WEEKDAY(sep!G$3,1)=1,"WO","P"))</f>
        <v>P</v>
      </c>
      <c r="H49" s="4" t="str">
        <f>IFERROR(LOOKUP(2,1/((#REF!=sep!$A49)*(#REF!&lt;=sep!H$3)*(#REF!&gt;=sep!H$3)),#REF!),IF(WEEKDAY(sep!H$3,1)=1,"WO","P"))</f>
        <v>P</v>
      </c>
      <c r="I49" s="4" t="str">
        <f>IFERROR(LOOKUP(2,1/((#REF!=sep!$A49)*(#REF!&lt;=sep!I$3)*(#REF!&gt;=sep!I$3)),#REF!),IF(WEEKDAY(sep!I$3,1)=1,"WO","P"))</f>
        <v>P</v>
      </c>
      <c r="J49" s="4" t="str">
        <f>IFERROR(LOOKUP(2,1/((#REF!=sep!$A49)*(#REF!&lt;=sep!J$3)*(#REF!&gt;=sep!J$3)),#REF!),IF(WEEKDAY(sep!J$3,1)=1,"WO","P"))</f>
        <v>P</v>
      </c>
      <c r="K49" s="4" t="str">
        <f>IFERROR(LOOKUP(2,1/((#REF!=sep!$A49)*(#REF!&lt;=sep!K$3)*(#REF!&gt;=sep!K$3)),#REF!),IF(WEEKDAY(sep!K$3,1)=1,"WO","P"))</f>
        <v>WO</v>
      </c>
      <c r="L49" s="4" t="str">
        <f>IFERROR(LOOKUP(2,1/((#REF!=sep!$A49)*(#REF!&lt;=sep!L$3)*(#REF!&gt;=sep!L$3)),#REF!),IF(WEEKDAY(sep!L$3,1)=1,"WO","P"))</f>
        <v>P</v>
      </c>
      <c r="M49" s="4" t="str">
        <f>IFERROR(LOOKUP(2,1/((#REF!=sep!$A49)*(#REF!&lt;=sep!M$3)*(#REF!&gt;=sep!M$3)),#REF!),IF(WEEKDAY(sep!M$3,1)=1,"WO","P"))</f>
        <v>P</v>
      </c>
      <c r="N49" s="4" t="str">
        <f>IFERROR(LOOKUP(2,1/((#REF!=sep!$A49)*(#REF!&lt;=sep!N$3)*(#REF!&gt;=sep!N$3)),#REF!),IF(WEEKDAY(sep!N$3,1)=1,"WO","P"))</f>
        <v>P</v>
      </c>
      <c r="O49" s="4" t="str">
        <f>IFERROR(LOOKUP(2,1/((#REF!=sep!$A49)*(#REF!&lt;=sep!O$3)*(#REF!&gt;=sep!O$3)),#REF!),IF(WEEKDAY(sep!O$3,1)=1,"WO","P"))</f>
        <v>P</v>
      </c>
      <c r="P49" s="4" t="str">
        <f>IFERROR(LOOKUP(2,1/((#REF!=sep!$A49)*(#REF!&lt;=sep!P$3)*(#REF!&gt;=sep!P$3)),#REF!),IF(WEEKDAY(sep!P$3,1)=1,"WO","P"))</f>
        <v>P</v>
      </c>
      <c r="Q49" s="4" t="str">
        <f>IFERROR(LOOKUP(2,1/((#REF!=sep!$A49)*(#REF!&lt;=sep!Q$3)*(#REF!&gt;=sep!Q$3)),#REF!),IF(WEEKDAY(sep!Q$3,1)=1,"WO","P"))</f>
        <v>P</v>
      </c>
      <c r="R49" s="4" t="str">
        <f>IFERROR(LOOKUP(2,1/((#REF!=sep!$A49)*(#REF!&lt;=sep!R$3)*(#REF!&gt;=sep!R$3)),#REF!),IF(WEEKDAY(sep!R$3,1)=1,"WO","P"))</f>
        <v>WO</v>
      </c>
      <c r="S49" s="4" t="str">
        <f>IFERROR(LOOKUP(2,1/((#REF!=sep!$A49)*(#REF!&lt;=sep!S$3)*(#REF!&gt;=sep!S$3)),#REF!),IF(WEEKDAY(sep!S$3,1)=1,"WO","P"))</f>
        <v>P</v>
      </c>
      <c r="T49" s="4" t="str">
        <f>IFERROR(LOOKUP(2,1/((#REF!=sep!$A49)*(#REF!&lt;=sep!T$3)*(#REF!&gt;=sep!T$3)),#REF!),IF(WEEKDAY(sep!T$3,1)=1,"WO","P"))</f>
        <v>P</v>
      </c>
      <c r="U49" s="4" t="str">
        <f>IFERROR(LOOKUP(2,1/((#REF!=sep!$A49)*(#REF!&lt;=sep!U$3)*(#REF!&gt;=sep!U$3)),#REF!),IF(WEEKDAY(sep!U$3,1)=1,"WO","P"))</f>
        <v>P</v>
      </c>
      <c r="V49" s="4" t="str">
        <f>IFERROR(LOOKUP(2,1/((#REF!=sep!$A49)*(#REF!&lt;=sep!V$3)*(#REF!&gt;=sep!V$3)),#REF!),IF(WEEKDAY(sep!V$3,1)=1,"WO","P"))</f>
        <v>P</v>
      </c>
      <c r="W49" s="4" t="str">
        <f>IFERROR(LOOKUP(2,1/((#REF!=sep!$A49)*(#REF!&lt;=sep!W$3)*(#REF!&gt;=sep!W$3)),#REF!),IF(WEEKDAY(sep!W$3,1)=1,"WO","P"))</f>
        <v>P</v>
      </c>
      <c r="X49" s="4" t="str">
        <f>IFERROR(LOOKUP(2,1/((#REF!=sep!$A49)*(#REF!&lt;=sep!X$3)*(#REF!&gt;=sep!X$3)),#REF!),IF(WEEKDAY(sep!X$3,1)=1,"WO","P"))</f>
        <v>P</v>
      </c>
      <c r="Y49" s="4" t="str">
        <f>IFERROR(LOOKUP(2,1/((#REF!=sep!$A49)*(#REF!&lt;=sep!Y$3)*(#REF!&gt;=sep!Y$3)),#REF!),IF(WEEKDAY(sep!Y$3,1)=1,"WO","P"))</f>
        <v>WO</v>
      </c>
      <c r="Z49" s="4" t="str">
        <f>IFERROR(LOOKUP(2,1/((#REF!=sep!$A49)*(#REF!&lt;=sep!Z$3)*(#REF!&gt;=sep!Z$3)),#REF!),IF(WEEKDAY(sep!Z$3,1)=1,"WO","P"))</f>
        <v>P</v>
      </c>
      <c r="AA49" s="4" t="str">
        <f>IFERROR(LOOKUP(2,1/((#REF!=sep!$A49)*(#REF!&lt;=sep!AA$3)*(#REF!&gt;=sep!AA$3)),#REF!),IF(WEEKDAY(sep!AA$3,1)=1,"WO","P"))</f>
        <v>P</v>
      </c>
      <c r="AB49" s="4" t="str">
        <f>IFERROR(LOOKUP(2,1/((#REF!=sep!$A49)*(#REF!&lt;=sep!AB$3)*(#REF!&gt;=sep!AB$3)),#REF!),IF(WEEKDAY(sep!AB$3,1)=1,"WO","P"))</f>
        <v>P</v>
      </c>
      <c r="AC49" s="4" t="str">
        <f>IFERROR(LOOKUP(2,1/((#REF!=sep!$A49)*(#REF!&lt;=sep!AC$3)*(#REF!&gt;=sep!AC$3)),#REF!),IF(WEEKDAY(sep!AC$3,1)=1,"WO","P"))</f>
        <v>P</v>
      </c>
      <c r="AD49" s="4" t="str">
        <f>IFERROR(LOOKUP(2,1/((#REF!=sep!$A49)*(#REF!&lt;=sep!AD$3)*(#REF!&gt;=sep!AD$3)),#REF!),IF(WEEKDAY(sep!AD$3,1)=1,"WO","P"))</f>
        <v>P</v>
      </c>
      <c r="AE49" s="4" t="str">
        <f>IFERROR(LOOKUP(2,1/((#REF!=sep!$A49)*(#REF!&lt;=sep!AE$3)*(#REF!&gt;=sep!AE$3)),#REF!),IF(WEEKDAY(sep!AE$3,1)=1,"WO","P"))</f>
        <v>P</v>
      </c>
      <c r="AF49" s="4" t="str">
        <f>IFERROR(LOOKUP(2,1/((#REF!=sep!$A49)*(#REF!&lt;=sep!AF$3)*(#REF!&gt;=sep!AF$3)),#REF!),IF(WEEKDAY(sep!AF$3,1)=1,"WO","P"))</f>
        <v>WO</v>
      </c>
      <c r="AG49" s="4" t="str">
        <f>IFERROR(LOOKUP(2,1/((#REF!=sep!$A49)*(#REF!&lt;=sep!AG$3)*(#REF!&gt;=sep!AG$3)),#REF!),IF(WEEKDAY(sep!AG$3,1)=1,"WO","P"))</f>
        <v>P</v>
      </c>
      <c r="AH49" s="4" t="str">
        <f>IFERROR(LOOKUP(2,1/((#REF!=sep!$A49)*(#REF!&lt;=sep!AH$3)*(#REF!&gt;=sep!AH$3)),#REF!),IF(WEEKDAY(sep!AH$3,1)=1,"WO","P"))</f>
        <v>P</v>
      </c>
      <c r="AI49" s="4" t="str">
        <f>IFERROR(LOOKUP(2,1/((#REF!=sep!$A49)*(#REF!&lt;=sep!AI$3)*(#REF!&gt;=sep!AI$3)),#REF!),IF(WEEKDAY(sep!AI$3,1)=1,"WO","P"))</f>
        <v>P</v>
      </c>
      <c r="AJ49" s="4">
        <f t="shared" si="3"/>
        <v>4</v>
      </c>
      <c r="AK49" s="4">
        <f t="shared" si="4"/>
        <v>0</v>
      </c>
      <c r="AL49" s="4">
        <f t="shared" si="5"/>
        <v>0</v>
      </c>
      <c r="AM49" s="4">
        <f t="shared" si="6"/>
        <v>0</v>
      </c>
      <c r="AN49" s="4">
        <f t="shared" si="7"/>
        <v>0</v>
      </c>
      <c r="AO49" s="4">
        <f t="shared" si="8"/>
        <v>0</v>
      </c>
      <c r="AP49" s="4">
        <f t="shared" si="9"/>
        <v>0</v>
      </c>
      <c r="AQ49" s="4">
        <f t="shared" si="10"/>
        <v>0</v>
      </c>
      <c r="AR49" s="4">
        <f t="shared" si="11"/>
        <v>26</v>
      </c>
      <c r="AS49" s="4">
        <f t="shared" si="13"/>
        <v>30</v>
      </c>
      <c r="AT49" s="4">
        <f t="shared" si="12"/>
        <v>30</v>
      </c>
    </row>
    <row r="50" spans="1:46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IFERROR(LOOKUP(2,1/((#REF!=sep!$A50)*(#REF!&lt;=sep!F$3)*(#REF!&gt;=sep!F$3)),#REF!),IF(WEEKDAY(sep!F$3,1)=1,"WO","P"))</f>
        <v>P</v>
      </c>
      <c r="G50" s="4" t="str">
        <f>IFERROR(LOOKUP(2,1/((#REF!=sep!$A50)*(#REF!&lt;=sep!G$3)*(#REF!&gt;=sep!G$3)),#REF!),IF(WEEKDAY(sep!G$3,1)=1,"WO","P"))</f>
        <v>P</v>
      </c>
      <c r="H50" s="4" t="str">
        <f>IFERROR(LOOKUP(2,1/((#REF!=sep!$A50)*(#REF!&lt;=sep!H$3)*(#REF!&gt;=sep!H$3)),#REF!),IF(WEEKDAY(sep!H$3,1)=1,"WO","P"))</f>
        <v>P</v>
      </c>
      <c r="I50" s="4" t="str">
        <f>IFERROR(LOOKUP(2,1/((#REF!=sep!$A50)*(#REF!&lt;=sep!I$3)*(#REF!&gt;=sep!I$3)),#REF!),IF(WEEKDAY(sep!I$3,1)=1,"WO","P"))</f>
        <v>P</v>
      </c>
      <c r="J50" s="4" t="str">
        <f>IFERROR(LOOKUP(2,1/((#REF!=sep!$A50)*(#REF!&lt;=sep!J$3)*(#REF!&gt;=sep!J$3)),#REF!),IF(WEEKDAY(sep!J$3,1)=1,"WO","P"))</f>
        <v>P</v>
      </c>
      <c r="K50" s="4" t="str">
        <f>IFERROR(LOOKUP(2,1/((#REF!=sep!$A50)*(#REF!&lt;=sep!K$3)*(#REF!&gt;=sep!K$3)),#REF!),IF(WEEKDAY(sep!K$3,1)=1,"WO","P"))</f>
        <v>WO</v>
      </c>
      <c r="L50" s="4" t="str">
        <f>IFERROR(LOOKUP(2,1/((#REF!=sep!$A50)*(#REF!&lt;=sep!L$3)*(#REF!&gt;=sep!L$3)),#REF!),IF(WEEKDAY(sep!L$3,1)=1,"WO","P"))</f>
        <v>P</v>
      </c>
      <c r="M50" s="4" t="str">
        <f>IFERROR(LOOKUP(2,1/((#REF!=sep!$A50)*(#REF!&lt;=sep!M$3)*(#REF!&gt;=sep!M$3)),#REF!),IF(WEEKDAY(sep!M$3,1)=1,"WO","P"))</f>
        <v>P</v>
      </c>
      <c r="N50" s="4" t="str">
        <f>IFERROR(LOOKUP(2,1/((#REF!=sep!$A50)*(#REF!&lt;=sep!N$3)*(#REF!&gt;=sep!N$3)),#REF!),IF(WEEKDAY(sep!N$3,1)=1,"WO","P"))</f>
        <v>P</v>
      </c>
      <c r="O50" s="4" t="str">
        <f>IFERROR(LOOKUP(2,1/((#REF!=sep!$A50)*(#REF!&lt;=sep!O$3)*(#REF!&gt;=sep!O$3)),#REF!),IF(WEEKDAY(sep!O$3,1)=1,"WO","P"))</f>
        <v>P</v>
      </c>
      <c r="P50" s="4" t="str">
        <f>IFERROR(LOOKUP(2,1/((#REF!=sep!$A50)*(#REF!&lt;=sep!P$3)*(#REF!&gt;=sep!P$3)),#REF!),IF(WEEKDAY(sep!P$3,1)=1,"WO","P"))</f>
        <v>P</v>
      </c>
      <c r="Q50" s="4" t="str">
        <f>IFERROR(LOOKUP(2,1/((#REF!=sep!$A50)*(#REF!&lt;=sep!Q$3)*(#REF!&gt;=sep!Q$3)),#REF!),IF(WEEKDAY(sep!Q$3,1)=1,"WO","P"))</f>
        <v>P</v>
      </c>
      <c r="R50" s="4" t="str">
        <f>IFERROR(LOOKUP(2,1/((#REF!=sep!$A50)*(#REF!&lt;=sep!R$3)*(#REF!&gt;=sep!R$3)),#REF!),IF(WEEKDAY(sep!R$3,1)=1,"WO","P"))</f>
        <v>WO</v>
      </c>
      <c r="S50" s="4" t="str">
        <f>IFERROR(LOOKUP(2,1/((#REF!=sep!$A50)*(#REF!&lt;=sep!S$3)*(#REF!&gt;=sep!S$3)),#REF!),IF(WEEKDAY(sep!S$3,1)=1,"WO","P"))</f>
        <v>P</v>
      </c>
      <c r="T50" s="4" t="str">
        <f>IFERROR(LOOKUP(2,1/((#REF!=sep!$A50)*(#REF!&lt;=sep!T$3)*(#REF!&gt;=sep!T$3)),#REF!),IF(WEEKDAY(sep!T$3,1)=1,"WO","P"))</f>
        <v>P</v>
      </c>
      <c r="U50" s="4" t="str">
        <f>IFERROR(LOOKUP(2,1/((#REF!=sep!$A50)*(#REF!&lt;=sep!U$3)*(#REF!&gt;=sep!U$3)),#REF!),IF(WEEKDAY(sep!U$3,1)=1,"WO","P"))</f>
        <v>P</v>
      </c>
      <c r="V50" s="4" t="str">
        <f>IFERROR(LOOKUP(2,1/((#REF!=sep!$A50)*(#REF!&lt;=sep!V$3)*(#REF!&gt;=sep!V$3)),#REF!),IF(WEEKDAY(sep!V$3,1)=1,"WO","P"))</f>
        <v>P</v>
      </c>
      <c r="W50" s="4" t="str">
        <f>IFERROR(LOOKUP(2,1/((#REF!=sep!$A50)*(#REF!&lt;=sep!W$3)*(#REF!&gt;=sep!W$3)),#REF!),IF(WEEKDAY(sep!W$3,1)=1,"WO","P"))</f>
        <v>P</v>
      </c>
      <c r="X50" s="4" t="str">
        <f>IFERROR(LOOKUP(2,1/((#REF!=sep!$A50)*(#REF!&lt;=sep!X$3)*(#REF!&gt;=sep!X$3)),#REF!),IF(WEEKDAY(sep!X$3,1)=1,"WO","P"))</f>
        <v>P</v>
      </c>
      <c r="Y50" s="4" t="str">
        <f>IFERROR(LOOKUP(2,1/((#REF!=sep!$A50)*(#REF!&lt;=sep!Y$3)*(#REF!&gt;=sep!Y$3)),#REF!),IF(WEEKDAY(sep!Y$3,1)=1,"WO","P"))</f>
        <v>WO</v>
      </c>
      <c r="Z50" s="4" t="str">
        <f>IFERROR(LOOKUP(2,1/((#REF!=sep!$A50)*(#REF!&lt;=sep!Z$3)*(#REF!&gt;=sep!Z$3)),#REF!),IF(WEEKDAY(sep!Z$3,1)=1,"WO","P"))</f>
        <v>P</v>
      </c>
      <c r="AA50" s="4" t="str">
        <f>IFERROR(LOOKUP(2,1/((#REF!=sep!$A50)*(#REF!&lt;=sep!AA$3)*(#REF!&gt;=sep!AA$3)),#REF!),IF(WEEKDAY(sep!AA$3,1)=1,"WO","P"))</f>
        <v>P</v>
      </c>
      <c r="AB50" s="4" t="str">
        <f>IFERROR(LOOKUP(2,1/((#REF!=sep!$A50)*(#REF!&lt;=sep!AB$3)*(#REF!&gt;=sep!AB$3)),#REF!),IF(WEEKDAY(sep!AB$3,1)=1,"WO","P"))</f>
        <v>P</v>
      </c>
      <c r="AC50" s="4" t="str">
        <f>IFERROR(LOOKUP(2,1/((#REF!=sep!$A50)*(#REF!&lt;=sep!AC$3)*(#REF!&gt;=sep!AC$3)),#REF!),IF(WEEKDAY(sep!AC$3,1)=1,"WO","P"))</f>
        <v>P</v>
      </c>
      <c r="AD50" s="4" t="str">
        <f>IFERROR(LOOKUP(2,1/((#REF!=sep!$A50)*(#REF!&lt;=sep!AD$3)*(#REF!&gt;=sep!AD$3)),#REF!),IF(WEEKDAY(sep!AD$3,1)=1,"WO","P"))</f>
        <v>P</v>
      </c>
      <c r="AE50" s="4" t="str">
        <f>IFERROR(LOOKUP(2,1/((#REF!=sep!$A50)*(#REF!&lt;=sep!AE$3)*(#REF!&gt;=sep!AE$3)),#REF!),IF(WEEKDAY(sep!AE$3,1)=1,"WO","P"))</f>
        <v>P</v>
      </c>
      <c r="AF50" s="4" t="str">
        <f>IFERROR(LOOKUP(2,1/((#REF!=sep!$A50)*(#REF!&lt;=sep!AF$3)*(#REF!&gt;=sep!AF$3)),#REF!),IF(WEEKDAY(sep!AF$3,1)=1,"WO","P"))</f>
        <v>WO</v>
      </c>
      <c r="AG50" s="4" t="str">
        <f>IFERROR(LOOKUP(2,1/((#REF!=sep!$A50)*(#REF!&lt;=sep!AG$3)*(#REF!&gt;=sep!AG$3)),#REF!),IF(WEEKDAY(sep!AG$3,1)=1,"WO","P"))</f>
        <v>P</v>
      </c>
      <c r="AH50" s="4" t="str">
        <f>IFERROR(LOOKUP(2,1/((#REF!=sep!$A50)*(#REF!&lt;=sep!AH$3)*(#REF!&gt;=sep!AH$3)),#REF!),IF(WEEKDAY(sep!AH$3,1)=1,"WO","P"))</f>
        <v>P</v>
      </c>
      <c r="AI50" s="4" t="str">
        <f>IFERROR(LOOKUP(2,1/((#REF!=sep!$A50)*(#REF!&lt;=sep!AI$3)*(#REF!&gt;=sep!AI$3)),#REF!),IF(WEEKDAY(sep!AI$3,1)=1,"WO","P"))</f>
        <v>P</v>
      </c>
      <c r="AJ50" s="4">
        <f t="shared" si="3"/>
        <v>4</v>
      </c>
      <c r="AK50" s="4">
        <f t="shared" si="4"/>
        <v>0</v>
      </c>
      <c r="AL50" s="4">
        <f t="shared" si="5"/>
        <v>0</v>
      </c>
      <c r="AM50" s="4">
        <f t="shared" si="6"/>
        <v>0</v>
      </c>
      <c r="AN50" s="4">
        <f t="shared" si="7"/>
        <v>0</v>
      </c>
      <c r="AO50" s="4">
        <f t="shared" si="8"/>
        <v>0</v>
      </c>
      <c r="AP50" s="4">
        <f t="shared" si="9"/>
        <v>0</v>
      </c>
      <c r="AQ50" s="4">
        <f t="shared" si="10"/>
        <v>0</v>
      </c>
      <c r="AR50" s="4">
        <f t="shared" si="11"/>
        <v>26</v>
      </c>
      <c r="AS50" s="4">
        <f t="shared" si="13"/>
        <v>30</v>
      </c>
      <c r="AT50" s="4">
        <f t="shared" si="12"/>
        <v>30</v>
      </c>
    </row>
    <row r="51" spans="1:46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IFERROR(LOOKUP(2,1/((#REF!=sep!$A51)*(#REF!&lt;=sep!F$3)*(#REF!&gt;=sep!F$3)),#REF!),IF(WEEKDAY(sep!F$3,1)=1,"WO","P"))</f>
        <v>P</v>
      </c>
      <c r="G51" s="4" t="str">
        <f>IFERROR(LOOKUP(2,1/((#REF!=sep!$A51)*(#REF!&lt;=sep!G$3)*(#REF!&gt;=sep!G$3)),#REF!),IF(WEEKDAY(sep!G$3,1)=1,"WO","P"))</f>
        <v>P</v>
      </c>
      <c r="H51" s="4" t="str">
        <f>IFERROR(LOOKUP(2,1/((#REF!=sep!$A51)*(#REF!&lt;=sep!H$3)*(#REF!&gt;=sep!H$3)),#REF!),IF(WEEKDAY(sep!H$3,1)=1,"WO","P"))</f>
        <v>P</v>
      </c>
      <c r="I51" s="4" t="str">
        <f>IFERROR(LOOKUP(2,1/((#REF!=sep!$A51)*(#REF!&lt;=sep!I$3)*(#REF!&gt;=sep!I$3)),#REF!),IF(WEEKDAY(sep!I$3,1)=1,"WO","P"))</f>
        <v>P</v>
      </c>
      <c r="J51" s="4" t="str">
        <f>IFERROR(LOOKUP(2,1/((#REF!=sep!$A51)*(#REF!&lt;=sep!J$3)*(#REF!&gt;=sep!J$3)),#REF!),IF(WEEKDAY(sep!J$3,1)=1,"WO","P"))</f>
        <v>P</v>
      </c>
      <c r="K51" s="4" t="str">
        <f>IFERROR(LOOKUP(2,1/((#REF!=sep!$A51)*(#REF!&lt;=sep!K$3)*(#REF!&gt;=sep!K$3)),#REF!),IF(WEEKDAY(sep!K$3,1)=1,"WO","P"))</f>
        <v>WO</v>
      </c>
      <c r="L51" s="4" t="str">
        <f>IFERROR(LOOKUP(2,1/((#REF!=sep!$A51)*(#REF!&lt;=sep!L$3)*(#REF!&gt;=sep!L$3)),#REF!),IF(WEEKDAY(sep!L$3,1)=1,"WO","P"))</f>
        <v>P</v>
      </c>
      <c r="M51" s="4" t="str">
        <f>IFERROR(LOOKUP(2,1/((#REF!=sep!$A51)*(#REF!&lt;=sep!M$3)*(#REF!&gt;=sep!M$3)),#REF!),IF(WEEKDAY(sep!M$3,1)=1,"WO","P"))</f>
        <v>P</v>
      </c>
      <c r="N51" s="4" t="str">
        <f>IFERROR(LOOKUP(2,1/((#REF!=sep!$A51)*(#REF!&lt;=sep!N$3)*(#REF!&gt;=sep!N$3)),#REF!),IF(WEEKDAY(sep!N$3,1)=1,"WO","P"))</f>
        <v>P</v>
      </c>
      <c r="O51" s="4" t="str">
        <f>IFERROR(LOOKUP(2,1/((#REF!=sep!$A51)*(#REF!&lt;=sep!O$3)*(#REF!&gt;=sep!O$3)),#REF!),IF(WEEKDAY(sep!O$3,1)=1,"WO","P"))</f>
        <v>P</v>
      </c>
      <c r="P51" s="4" t="str">
        <f>IFERROR(LOOKUP(2,1/((#REF!=sep!$A51)*(#REF!&lt;=sep!P$3)*(#REF!&gt;=sep!P$3)),#REF!),IF(WEEKDAY(sep!P$3,1)=1,"WO","P"))</f>
        <v>P</v>
      </c>
      <c r="Q51" s="4" t="str">
        <f>IFERROR(LOOKUP(2,1/((#REF!=sep!$A51)*(#REF!&lt;=sep!Q$3)*(#REF!&gt;=sep!Q$3)),#REF!),IF(WEEKDAY(sep!Q$3,1)=1,"WO","P"))</f>
        <v>P</v>
      </c>
      <c r="R51" s="4" t="str">
        <f>IFERROR(LOOKUP(2,1/((#REF!=sep!$A51)*(#REF!&lt;=sep!R$3)*(#REF!&gt;=sep!R$3)),#REF!),IF(WEEKDAY(sep!R$3,1)=1,"WO","P"))</f>
        <v>WO</v>
      </c>
      <c r="S51" s="4" t="str">
        <f>IFERROR(LOOKUP(2,1/((#REF!=sep!$A51)*(#REF!&lt;=sep!S$3)*(#REF!&gt;=sep!S$3)),#REF!),IF(WEEKDAY(sep!S$3,1)=1,"WO","P"))</f>
        <v>P</v>
      </c>
      <c r="T51" s="4" t="str">
        <f>IFERROR(LOOKUP(2,1/((#REF!=sep!$A51)*(#REF!&lt;=sep!T$3)*(#REF!&gt;=sep!T$3)),#REF!),IF(WEEKDAY(sep!T$3,1)=1,"WO","P"))</f>
        <v>P</v>
      </c>
      <c r="U51" s="4" t="str">
        <f>IFERROR(LOOKUP(2,1/((#REF!=sep!$A51)*(#REF!&lt;=sep!U$3)*(#REF!&gt;=sep!U$3)),#REF!),IF(WEEKDAY(sep!U$3,1)=1,"WO","P"))</f>
        <v>P</v>
      </c>
      <c r="V51" s="4" t="str">
        <f>IFERROR(LOOKUP(2,1/((#REF!=sep!$A51)*(#REF!&lt;=sep!V$3)*(#REF!&gt;=sep!V$3)),#REF!),IF(WEEKDAY(sep!V$3,1)=1,"WO","P"))</f>
        <v>P</v>
      </c>
      <c r="W51" s="4" t="str">
        <f>IFERROR(LOOKUP(2,1/((#REF!=sep!$A51)*(#REF!&lt;=sep!W$3)*(#REF!&gt;=sep!W$3)),#REF!),IF(WEEKDAY(sep!W$3,1)=1,"WO","P"))</f>
        <v>P</v>
      </c>
      <c r="X51" s="4" t="str">
        <f>IFERROR(LOOKUP(2,1/((#REF!=sep!$A51)*(#REF!&lt;=sep!X$3)*(#REF!&gt;=sep!X$3)),#REF!),IF(WEEKDAY(sep!X$3,1)=1,"WO","P"))</f>
        <v>P</v>
      </c>
      <c r="Y51" s="4" t="str">
        <f>IFERROR(LOOKUP(2,1/((#REF!=sep!$A51)*(#REF!&lt;=sep!Y$3)*(#REF!&gt;=sep!Y$3)),#REF!),IF(WEEKDAY(sep!Y$3,1)=1,"WO","P"))</f>
        <v>WO</v>
      </c>
      <c r="Z51" s="4" t="str">
        <f>IFERROR(LOOKUP(2,1/((#REF!=sep!$A51)*(#REF!&lt;=sep!Z$3)*(#REF!&gt;=sep!Z$3)),#REF!),IF(WEEKDAY(sep!Z$3,1)=1,"WO","P"))</f>
        <v>P</v>
      </c>
      <c r="AA51" s="4" t="str">
        <f>IFERROR(LOOKUP(2,1/((#REF!=sep!$A51)*(#REF!&lt;=sep!AA$3)*(#REF!&gt;=sep!AA$3)),#REF!),IF(WEEKDAY(sep!AA$3,1)=1,"WO","P"))</f>
        <v>P</v>
      </c>
      <c r="AB51" s="4" t="str">
        <f>IFERROR(LOOKUP(2,1/((#REF!=sep!$A51)*(#REF!&lt;=sep!AB$3)*(#REF!&gt;=sep!AB$3)),#REF!),IF(WEEKDAY(sep!AB$3,1)=1,"WO","P"))</f>
        <v>P</v>
      </c>
      <c r="AC51" s="4" t="str">
        <f>IFERROR(LOOKUP(2,1/((#REF!=sep!$A51)*(#REF!&lt;=sep!AC$3)*(#REF!&gt;=sep!AC$3)),#REF!),IF(WEEKDAY(sep!AC$3,1)=1,"WO","P"))</f>
        <v>P</v>
      </c>
      <c r="AD51" s="4" t="str">
        <f>IFERROR(LOOKUP(2,1/((#REF!=sep!$A51)*(#REF!&lt;=sep!AD$3)*(#REF!&gt;=sep!AD$3)),#REF!),IF(WEEKDAY(sep!AD$3,1)=1,"WO","P"))</f>
        <v>P</v>
      </c>
      <c r="AE51" s="4" t="str">
        <f>IFERROR(LOOKUP(2,1/((#REF!=sep!$A51)*(#REF!&lt;=sep!AE$3)*(#REF!&gt;=sep!AE$3)),#REF!),IF(WEEKDAY(sep!AE$3,1)=1,"WO","P"))</f>
        <v>P</v>
      </c>
      <c r="AF51" s="4" t="str">
        <f>IFERROR(LOOKUP(2,1/((#REF!=sep!$A51)*(#REF!&lt;=sep!AF$3)*(#REF!&gt;=sep!AF$3)),#REF!),IF(WEEKDAY(sep!AF$3,1)=1,"WO","P"))</f>
        <v>WO</v>
      </c>
      <c r="AG51" s="4" t="str">
        <f>IFERROR(LOOKUP(2,1/((#REF!=sep!$A51)*(#REF!&lt;=sep!AG$3)*(#REF!&gt;=sep!AG$3)),#REF!),IF(WEEKDAY(sep!AG$3,1)=1,"WO","P"))</f>
        <v>P</v>
      </c>
      <c r="AH51" s="4" t="str">
        <f>IFERROR(LOOKUP(2,1/((#REF!=sep!$A51)*(#REF!&lt;=sep!AH$3)*(#REF!&gt;=sep!AH$3)),#REF!),IF(WEEKDAY(sep!AH$3,1)=1,"WO","P"))</f>
        <v>P</v>
      </c>
      <c r="AI51" s="4" t="str">
        <f>IFERROR(LOOKUP(2,1/((#REF!=sep!$A51)*(#REF!&lt;=sep!AI$3)*(#REF!&gt;=sep!AI$3)),#REF!),IF(WEEKDAY(sep!AI$3,1)=1,"WO","P"))</f>
        <v>P</v>
      </c>
      <c r="AJ51" s="4">
        <f t="shared" si="3"/>
        <v>4</v>
      </c>
      <c r="AK51" s="4">
        <f t="shared" si="4"/>
        <v>0</v>
      </c>
      <c r="AL51" s="4">
        <f t="shared" si="5"/>
        <v>0</v>
      </c>
      <c r="AM51" s="4">
        <f t="shared" si="6"/>
        <v>0</v>
      </c>
      <c r="AN51" s="4">
        <f t="shared" si="7"/>
        <v>0</v>
      </c>
      <c r="AO51" s="4">
        <f t="shared" si="8"/>
        <v>0</v>
      </c>
      <c r="AP51" s="4">
        <f t="shared" si="9"/>
        <v>0</v>
      </c>
      <c r="AQ51" s="4">
        <f t="shared" si="10"/>
        <v>0</v>
      </c>
      <c r="AR51" s="4">
        <f t="shared" si="11"/>
        <v>26</v>
      </c>
      <c r="AS51" s="4">
        <f t="shared" si="13"/>
        <v>30</v>
      </c>
      <c r="AT51" s="4">
        <f t="shared" si="12"/>
        <v>30</v>
      </c>
    </row>
    <row r="52" spans="1:46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IFERROR(LOOKUP(2,1/((#REF!=sep!$A52)*(#REF!&lt;=sep!F$3)*(#REF!&gt;=sep!F$3)),#REF!),IF(WEEKDAY(sep!F$3,1)=1,"WO","P"))</f>
        <v>P</v>
      </c>
      <c r="G52" s="4" t="str">
        <f>IFERROR(LOOKUP(2,1/((#REF!=sep!$A52)*(#REF!&lt;=sep!G$3)*(#REF!&gt;=sep!G$3)),#REF!),IF(WEEKDAY(sep!G$3,1)=1,"WO","P"))</f>
        <v>P</v>
      </c>
      <c r="H52" s="4" t="str">
        <f>IFERROR(LOOKUP(2,1/((#REF!=sep!$A52)*(#REF!&lt;=sep!H$3)*(#REF!&gt;=sep!H$3)),#REF!),IF(WEEKDAY(sep!H$3,1)=1,"WO","P"))</f>
        <v>P</v>
      </c>
      <c r="I52" s="4" t="str">
        <f>IFERROR(LOOKUP(2,1/((#REF!=sep!$A52)*(#REF!&lt;=sep!I$3)*(#REF!&gt;=sep!I$3)),#REF!),IF(WEEKDAY(sep!I$3,1)=1,"WO","P"))</f>
        <v>P</v>
      </c>
      <c r="J52" s="4" t="str">
        <f>IFERROR(LOOKUP(2,1/((#REF!=sep!$A52)*(#REF!&lt;=sep!J$3)*(#REF!&gt;=sep!J$3)),#REF!),IF(WEEKDAY(sep!J$3,1)=1,"WO","P"))</f>
        <v>P</v>
      </c>
      <c r="K52" s="4" t="str">
        <f>IFERROR(LOOKUP(2,1/((#REF!=sep!$A52)*(#REF!&lt;=sep!K$3)*(#REF!&gt;=sep!K$3)),#REF!),IF(WEEKDAY(sep!K$3,1)=1,"WO","P"))</f>
        <v>WO</v>
      </c>
      <c r="L52" s="4" t="str">
        <f>IFERROR(LOOKUP(2,1/((#REF!=sep!$A52)*(#REF!&lt;=sep!L$3)*(#REF!&gt;=sep!L$3)),#REF!),IF(WEEKDAY(sep!L$3,1)=1,"WO","P"))</f>
        <v>P</v>
      </c>
      <c r="M52" s="4" t="str">
        <f>IFERROR(LOOKUP(2,1/((#REF!=sep!$A52)*(#REF!&lt;=sep!M$3)*(#REF!&gt;=sep!M$3)),#REF!),IF(WEEKDAY(sep!M$3,1)=1,"WO","P"))</f>
        <v>P</v>
      </c>
      <c r="N52" s="4" t="str">
        <f>IFERROR(LOOKUP(2,1/((#REF!=sep!$A52)*(#REF!&lt;=sep!N$3)*(#REF!&gt;=sep!N$3)),#REF!),IF(WEEKDAY(sep!N$3,1)=1,"WO","P"))</f>
        <v>P</v>
      </c>
      <c r="O52" s="4" t="str">
        <f>IFERROR(LOOKUP(2,1/((#REF!=sep!$A52)*(#REF!&lt;=sep!O$3)*(#REF!&gt;=sep!O$3)),#REF!),IF(WEEKDAY(sep!O$3,1)=1,"WO","P"))</f>
        <v>P</v>
      </c>
      <c r="P52" s="4" t="str">
        <f>IFERROR(LOOKUP(2,1/((#REF!=sep!$A52)*(#REF!&lt;=sep!P$3)*(#REF!&gt;=sep!P$3)),#REF!),IF(WEEKDAY(sep!P$3,1)=1,"WO","P"))</f>
        <v>P</v>
      </c>
      <c r="Q52" s="4" t="str">
        <f>IFERROR(LOOKUP(2,1/((#REF!=sep!$A52)*(#REF!&lt;=sep!Q$3)*(#REF!&gt;=sep!Q$3)),#REF!),IF(WEEKDAY(sep!Q$3,1)=1,"WO","P"))</f>
        <v>P</v>
      </c>
      <c r="R52" s="4" t="str">
        <f>IFERROR(LOOKUP(2,1/((#REF!=sep!$A52)*(#REF!&lt;=sep!R$3)*(#REF!&gt;=sep!R$3)),#REF!),IF(WEEKDAY(sep!R$3,1)=1,"WO","P"))</f>
        <v>WO</v>
      </c>
      <c r="S52" s="4" t="str">
        <f>IFERROR(LOOKUP(2,1/((#REF!=sep!$A52)*(#REF!&lt;=sep!S$3)*(#REF!&gt;=sep!S$3)),#REF!),IF(WEEKDAY(sep!S$3,1)=1,"WO","P"))</f>
        <v>P</v>
      </c>
      <c r="T52" s="4" t="str">
        <f>IFERROR(LOOKUP(2,1/((#REF!=sep!$A52)*(#REF!&lt;=sep!T$3)*(#REF!&gt;=sep!T$3)),#REF!),IF(WEEKDAY(sep!T$3,1)=1,"WO","P"))</f>
        <v>P</v>
      </c>
      <c r="U52" s="4" t="str">
        <f>IFERROR(LOOKUP(2,1/((#REF!=sep!$A52)*(#REF!&lt;=sep!U$3)*(#REF!&gt;=sep!U$3)),#REF!),IF(WEEKDAY(sep!U$3,1)=1,"WO","P"))</f>
        <v>P</v>
      </c>
      <c r="V52" s="4" t="str">
        <f>IFERROR(LOOKUP(2,1/((#REF!=sep!$A52)*(#REF!&lt;=sep!V$3)*(#REF!&gt;=sep!V$3)),#REF!),IF(WEEKDAY(sep!V$3,1)=1,"WO","P"))</f>
        <v>P</v>
      </c>
      <c r="W52" s="4" t="str">
        <f>IFERROR(LOOKUP(2,1/((#REF!=sep!$A52)*(#REF!&lt;=sep!W$3)*(#REF!&gt;=sep!W$3)),#REF!),IF(WEEKDAY(sep!W$3,1)=1,"WO","P"))</f>
        <v>P</v>
      </c>
      <c r="X52" s="4" t="str">
        <f>IFERROR(LOOKUP(2,1/((#REF!=sep!$A52)*(#REF!&lt;=sep!X$3)*(#REF!&gt;=sep!X$3)),#REF!),IF(WEEKDAY(sep!X$3,1)=1,"WO","P"))</f>
        <v>P</v>
      </c>
      <c r="Y52" s="4" t="str">
        <f>IFERROR(LOOKUP(2,1/((#REF!=sep!$A52)*(#REF!&lt;=sep!Y$3)*(#REF!&gt;=sep!Y$3)),#REF!),IF(WEEKDAY(sep!Y$3,1)=1,"WO","P"))</f>
        <v>WO</v>
      </c>
      <c r="Z52" s="4" t="str">
        <f>IFERROR(LOOKUP(2,1/((#REF!=sep!$A52)*(#REF!&lt;=sep!Z$3)*(#REF!&gt;=sep!Z$3)),#REF!),IF(WEEKDAY(sep!Z$3,1)=1,"WO","P"))</f>
        <v>P</v>
      </c>
      <c r="AA52" s="4" t="str">
        <f>IFERROR(LOOKUP(2,1/((#REF!=sep!$A52)*(#REF!&lt;=sep!AA$3)*(#REF!&gt;=sep!AA$3)),#REF!),IF(WEEKDAY(sep!AA$3,1)=1,"WO","P"))</f>
        <v>P</v>
      </c>
      <c r="AB52" s="4" t="str">
        <f>IFERROR(LOOKUP(2,1/((#REF!=sep!$A52)*(#REF!&lt;=sep!AB$3)*(#REF!&gt;=sep!AB$3)),#REF!),IF(WEEKDAY(sep!AB$3,1)=1,"WO","P"))</f>
        <v>P</v>
      </c>
      <c r="AC52" s="4" t="str">
        <f>IFERROR(LOOKUP(2,1/((#REF!=sep!$A52)*(#REF!&lt;=sep!AC$3)*(#REF!&gt;=sep!AC$3)),#REF!),IF(WEEKDAY(sep!AC$3,1)=1,"WO","P"))</f>
        <v>P</v>
      </c>
      <c r="AD52" s="4" t="str">
        <f>IFERROR(LOOKUP(2,1/((#REF!=sep!$A52)*(#REF!&lt;=sep!AD$3)*(#REF!&gt;=sep!AD$3)),#REF!),IF(WEEKDAY(sep!AD$3,1)=1,"WO","P"))</f>
        <v>P</v>
      </c>
      <c r="AE52" s="4" t="str">
        <f>IFERROR(LOOKUP(2,1/((#REF!=sep!$A52)*(#REF!&lt;=sep!AE$3)*(#REF!&gt;=sep!AE$3)),#REF!),IF(WEEKDAY(sep!AE$3,1)=1,"WO","P"))</f>
        <v>P</v>
      </c>
      <c r="AF52" s="4" t="str">
        <f>IFERROR(LOOKUP(2,1/((#REF!=sep!$A52)*(#REF!&lt;=sep!AF$3)*(#REF!&gt;=sep!AF$3)),#REF!),IF(WEEKDAY(sep!AF$3,1)=1,"WO","P"))</f>
        <v>WO</v>
      </c>
      <c r="AG52" s="4" t="str">
        <f>IFERROR(LOOKUP(2,1/((#REF!=sep!$A52)*(#REF!&lt;=sep!AG$3)*(#REF!&gt;=sep!AG$3)),#REF!),IF(WEEKDAY(sep!AG$3,1)=1,"WO","P"))</f>
        <v>P</v>
      </c>
      <c r="AH52" s="4" t="str">
        <f>IFERROR(LOOKUP(2,1/((#REF!=sep!$A52)*(#REF!&lt;=sep!AH$3)*(#REF!&gt;=sep!AH$3)),#REF!),IF(WEEKDAY(sep!AH$3,1)=1,"WO","P"))</f>
        <v>P</v>
      </c>
      <c r="AI52" s="4" t="str">
        <f>IFERROR(LOOKUP(2,1/((#REF!=sep!$A52)*(#REF!&lt;=sep!AI$3)*(#REF!&gt;=sep!AI$3)),#REF!),IF(WEEKDAY(sep!AI$3,1)=1,"WO","P"))</f>
        <v>P</v>
      </c>
      <c r="AJ52" s="4">
        <f t="shared" si="3"/>
        <v>4</v>
      </c>
      <c r="AK52" s="4">
        <f t="shared" si="4"/>
        <v>0</v>
      </c>
      <c r="AL52" s="4">
        <f t="shared" si="5"/>
        <v>0</v>
      </c>
      <c r="AM52" s="4">
        <f t="shared" si="6"/>
        <v>0</v>
      </c>
      <c r="AN52" s="4">
        <f t="shared" si="7"/>
        <v>0</v>
      </c>
      <c r="AO52" s="4">
        <f t="shared" si="8"/>
        <v>0</v>
      </c>
      <c r="AP52" s="4">
        <f t="shared" si="9"/>
        <v>0</v>
      </c>
      <c r="AQ52" s="4">
        <f t="shared" si="10"/>
        <v>0</v>
      </c>
      <c r="AR52" s="4">
        <f t="shared" si="11"/>
        <v>26</v>
      </c>
      <c r="AS52" s="4">
        <f t="shared" si="13"/>
        <v>30</v>
      </c>
      <c r="AT52" s="4">
        <f t="shared" si="12"/>
        <v>30</v>
      </c>
    </row>
    <row r="53" spans="1:46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IFERROR(LOOKUP(2,1/((#REF!=sep!$A53)*(#REF!&lt;=sep!F$3)*(#REF!&gt;=sep!F$3)),#REF!),IF(WEEKDAY(sep!F$3,1)=1,"WO","P"))</f>
        <v>P</v>
      </c>
      <c r="G53" s="4" t="str">
        <f>IFERROR(LOOKUP(2,1/((#REF!=sep!$A53)*(#REF!&lt;=sep!G$3)*(#REF!&gt;=sep!G$3)),#REF!),IF(WEEKDAY(sep!G$3,1)=1,"WO","P"))</f>
        <v>P</v>
      </c>
      <c r="H53" s="4" t="str">
        <f>IFERROR(LOOKUP(2,1/((#REF!=sep!$A53)*(#REF!&lt;=sep!H$3)*(#REF!&gt;=sep!H$3)),#REF!),IF(WEEKDAY(sep!H$3,1)=1,"WO","P"))</f>
        <v>P</v>
      </c>
      <c r="I53" s="4" t="str">
        <f>IFERROR(LOOKUP(2,1/((#REF!=sep!$A53)*(#REF!&lt;=sep!I$3)*(#REF!&gt;=sep!I$3)),#REF!),IF(WEEKDAY(sep!I$3,1)=1,"WO","P"))</f>
        <v>P</v>
      </c>
      <c r="J53" s="4" t="str">
        <f>IFERROR(LOOKUP(2,1/((#REF!=sep!$A53)*(#REF!&lt;=sep!J$3)*(#REF!&gt;=sep!J$3)),#REF!),IF(WEEKDAY(sep!J$3,1)=1,"WO","P"))</f>
        <v>P</v>
      </c>
      <c r="K53" s="4" t="str">
        <f>IFERROR(LOOKUP(2,1/((#REF!=sep!$A53)*(#REF!&lt;=sep!K$3)*(#REF!&gt;=sep!K$3)),#REF!),IF(WEEKDAY(sep!K$3,1)=1,"WO","P"))</f>
        <v>WO</v>
      </c>
      <c r="L53" s="4" t="str">
        <f>IFERROR(LOOKUP(2,1/((#REF!=sep!$A53)*(#REF!&lt;=sep!L$3)*(#REF!&gt;=sep!L$3)),#REF!),IF(WEEKDAY(sep!L$3,1)=1,"WO","P"))</f>
        <v>P</v>
      </c>
      <c r="M53" s="4" t="str">
        <f>IFERROR(LOOKUP(2,1/((#REF!=sep!$A53)*(#REF!&lt;=sep!M$3)*(#REF!&gt;=sep!M$3)),#REF!),IF(WEEKDAY(sep!M$3,1)=1,"WO","P"))</f>
        <v>P</v>
      </c>
      <c r="N53" s="4" t="str">
        <f>IFERROR(LOOKUP(2,1/((#REF!=sep!$A53)*(#REF!&lt;=sep!N$3)*(#REF!&gt;=sep!N$3)),#REF!),IF(WEEKDAY(sep!N$3,1)=1,"WO","P"))</f>
        <v>P</v>
      </c>
      <c r="O53" s="4" t="str">
        <f>IFERROR(LOOKUP(2,1/((#REF!=sep!$A53)*(#REF!&lt;=sep!O$3)*(#REF!&gt;=sep!O$3)),#REF!),IF(WEEKDAY(sep!O$3,1)=1,"WO","P"))</f>
        <v>P</v>
      </c>
      <c r="P53" s="4" t="str">
        <f>IFERROR(LOOKUP(2,1/((#REF!=sep!$A53)*(#REF!&lt;=sep!P$3)*(#REF!&gt;=sep!P$3)),#REF!),IF(WEEKDAY(sep!P$3,1)=1,"WO","P"))</f>
        <v>P</v>
      </c>
      <c r="Q53" s="4" t="str">
        <f>IFERROR(LOOKUP(2,1/((#REF!=sep!$A53)*(#REF!&lt;=sep!Q$3)*(#REF!&gt;=sep!Q$3)),#REF!),IF(WEEKDAY(sep!Q$3,1)=1,"WO","P"))</f>
        <v>P</v>
      </c>
      <c r="R53" s="4" t="str">
        <f>IFERROR(LOOKUP(2,1/((#REF!=sep!$A53)*(#REF!&lt;=sep!R$3)*(#REF!&gt;=sep!R$3)),#REF!),IF(WEEKDAY(sep!R$3,1)=1,"WO","P"))</f>
        <v>WO</v>
      </c>
      <c r="S53" s="4" t="str">
        <f>IFERROR(LOOKUP(2,1/((#REF!=sep!$A53)*(#REF!&lt;=sep!S$3)*(#REF!&gt;=sep!S$3)),#REF!),IF(WEEKDAY(sep!S$3,1)=1,"WO","P"))</f>
        <v>P</v>
      </c>
      <c r="T53" s="4" t="str">
        <f>IFERROR(LOOKUP(2,1/((#REF!=sep!$A53)*(#REF!&lt;=sep!T$3)*(#REF!&gt;=sep!T$3)),#REF!),IF(WEEKDAY(sep!T$3,1)=1,"WO","P"))</f>
        <v>P</v>
      </c>
      <c r="U53" s="4" t="str">
        <f>IFERROR(LOOKUP(2,1/((#REF!=sep!$A53)*(#REF!&lt;=sep!U$3)*(#REF!&gt;=sep!U$3)),#REF!),IF(WEEKDAY(sep!U$3,1)=1,"WO","P"))</f>
        <v>P</v>
      </c>
      <c r="V53" s="4" t="str">
        <f>IFERROR(LOOKUP(2,1/((#REF!=sep!$A53)*(#REF!&lt;=sep!V$3)*(#REF!&gt;=sep!V$3)),#REF!),IF(WEEKDAY(sep!V$3,1)=1,"WO","P"))</f>
        <v>P</v>
      </c>
      <c r="W53" s="4" t="str">
        <f>IFERROR(LOOKUP(2,1/((#REF!=sep!$A53)*(#REF!&lt;=sep!W$3)*(#REF!&gt;=sep!W$3)),#REF!),IF(WEEKDAY(sep!W$3,1)=1,"WO","P"))</f>
        <v>P</v>
      </c>
      <c r="X53" s="4" t="str">
        <f>IFERROR(LOOKUP(2,1/((#REF!=sep!$A53)*(#REF!&lt;=sep!X$3)*(#REF!&gt;=sep!X$3)),#REF!),IF(WEEKDAY(sep!X$3,1)=1,"WO","P"))</f>
        <v>P</v>
      </c>
      <c r="Y53" s="4" t="str">
        <f>IFERROR(LOOKUP(2,1/((#REF!=sep!$A53)*(#REF!&lt;=sep!Y$3)*(#REF!&gt;=sep!Y$3)),#REF!),IF(WEEKDAY(sep!Y$3,1)=1,"WO","P"))</f>
        <v>WO</v>
      </c>
      <c r="Z53" s="4" t="str">
        <f>IFERROR(LOOKUP(2,1/((#REF!=sep!$A53)*(#REF!&lt;=sep!Z$3)*(#REF!&gt;=sep!Z$3)),#REF!),IF(WEEKDAY(sep!Z$3,1)=1,"WO","P"))</f>
        <v>P</v>
      </c>
      <c r="AA53" s="4" t="str">
        <f>IFERROR(LOOKUP(2,1/((#REF!=sep!$A53)*(#REF!&lt;=sep!AA$3)*(#REF!&gt;=sep!AA$3)),#REF!),IF(WEEKDAY(sep!AA$3,1)=1,"WO","P"))</f>
        <v>P</v>
      </c>
      <c r="AB53" s="4" t="str">
        <f>IFERROR(LOOKUP(2,1/((#REF!=sep!$A53)*(#REF!&lt;=sep!AB$3)*(#REF!&gt;=sep!AB$3)),#REF!),IF(WEEKDAY(sep!AB$3,1)=1,"WO","P"))</f>
        <v>P</v>
      </c>
      <c r="AC53" s="4" t="str">
        <f>IFERROR(LOOKUP(2,1/((#REF!=sep!$A53)*(#REF!&lt;=sep!AC$3)*(#REF!&gt;=sep!AC$3)),#REF!),IF(WEEKDAY(sep!AC$3,1)=1,"WO","P"))</f>
        <v>P</v>
      </c>
      <c r="AD53" s="4" t="str">
        <f>IFERROR(LOOKUP(2,1/((#REF!=sep!$A53)*(#REF!&lt;=sep!AD$3)*(#REF!&gt;=sep!AD$3)),#REF!),IF(WEEKDAY(sep!AD$3,1)=1,"WO","P"))</f>
        <v>P</v>
      </c>
      <c r="AE53" s="4" t="str">
        <f>IFERROR(LOOKUP(2,1/((#REF!=sep!$A53)*(#REF!&lt;=sep!AE$3)*(#REF!&gt;=sep!AE$3)),#REF!),IF(WEEKDAY(sep!AE$3,1)=1,"WO","P"))</f>
        <v>P</v>
      </c>
      <c r="AF53" s="4" t="str">
        <f>IFERROR(LOOKUP(2,1/((#REF!=sep!$A53)*(#REF!&lt;=sep!AF$3)*(#REF!&gt;=sep!AF$3)),#REF!),IF(WEEKDAY(sep!AF$3,1)=1,"WO","P"))</f>
        <v>WO</v>
      </c>
      <c r="AG53" s="4" t="str">
        <f>IFERROR(LOOKUP(2,1/((#REF!=sep!$A53)*(#REF!&lt;=sep!AG$3)*(#REF!&gt;=sep!AG$3)),#REF!),IF(WEEKDAY(sep!AG$3,1)=1,"WO","P"))</f>
        <v>P</v>
      </c>
      <c r="AH53" s="4" t="str">
        <f>IFERROR(LOOKUP(2,1/((#REF!=sep!$A53)*(#REF!&lt;=sep!AH$3)*(#REF!&gt;=sep!AH$3)),#REF!),IF(WEEKDAY(sep!AH$3,1)=1,"WO","P"))</f>
        <v>P</v>
      </c>
      <c r="AI53" s="4" t="str">
        <f>IFERROR(LOOKUP(2,1/((#REF!=sep!$A53)*(#REF!&lt;=sep!AI$3)*(#REF!&gt;=sep!AI$3)),#REF!),IF(WEEKDAY(sep!AI$3,1)=1,"WO","P"))</f>
        <v>P</v>
      </c>
      <c r="AJ53" s="4">
        <f t="shared" si="3"/>
        <v>4</v>
      </c>
      <c r="AK53" s="4">
        <f t="shared" si="4"/>
        <v>0</v>
      </c>
      <c r="AL53" s="4">
        <f t="shared" si="5"/>
        <v>0</v>
      </c>
      <c r="AM53" s="4">
        <f t="shared" si="6"/>
        <v>0</v>
      </c>
      <c r="AN53" s="4">
        <f t="shared" si="7"/>
        <v>0</v>
      </c>
      <c r="AO53" s="4">
        <f t="shared" si="8"/>
        <v>0</v>
      </c>
      <c r="AP53" s="4">
        <f t="shared" si="9"/>
        <v>0</v>
      </c>
      <c r="AQ53" s="4">
        <f t="shared" si="10"/>
        <v>0</v>
      </c>
      <c r="AR53" s="4">
        <f t="shared" si="11"/>
        <v>26</v>
      </c>
      <c r="AS53" s="4">
        <f t="shared" si="13"/>
        <v>30</v>
      </c>
      <c r="AT53" s="4">
        <f t="shared" si="12"/>
        <v>30</v>
      </c>
    </row>
    <row r="54" spans="1:46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IFERROR(LOOKUP(2,1/((#REF!=sep!$A54)*(#REF!&lt;=sep!F$3)*(#REF!&gt;=sep!F$3)),#REF!),IF(WEEKDAY(sep!F$3,1)=1,"WO","P"))</f>
        <v>P</v>
      </c>
      <c r="G54" s="4" t="str">
        <f>IFERROR(LOOKUP(2,1/((#REF!=sep!$A54)*(#REF!&lt;=sep!G$3)*(#REF!&gt;=sep!G$3)),#REF!),IF(WEEKDAY(sep!G$3,1)=1,"WO","P"))</f>
        <v>P</v>
      </c>
      <c r="H54" s="4" t="str">
        <f>IFERROR(LOOKUP(2,1/((#REF!=sep!$A54)*(#REF!&lt;=sep!H$3)*(#REF!&gt;=sep!H$3)),#REF!),IF(WEEKDAY(sep!H$3,1)=1,"WO","P"))</f>
        <v>P</v>
      </c>
      <c r="I54" s="4" t="str">
        <f>IFERROR(LOOKUP(2,1/((#REF!=sep!$A54)*(#REF!&lt;=sep!I$3)*(#REF!&gt;=sep!I$3)),#REF!),IF(WEEKDAY(sep!I$3,1)=1,"WO","P"))</f>
        <v>P</v>
      </c>
      <c r="J54" s="4" t="str">
        <f>IFERROR(LOOKUP(2,1/((#REF!=sep!$A54)*(#REF!&lt;=sep!J$3)*(#REF!&gt;=sep!J$3)),#REF!),IF(WEEKDAY(sep!J$3,1)=1,"WO","P"))</f>
        <v>P</v>
      </c>
      <c r="K54" s="4" t="str">
        <f>IFERROR(LOOKUP(2,1/((#REF!=sep!$A54)*(#REF!&lt;=sep!K$3)*(#REF!&gt;=sep!K$3)),#REF!),IF(WEEKDAY(sep!K$3,1)=1,"WO","P"))</f>
        <v>WO</v>
      </c>
      <c r="L54" s="4" t="str">
        <f>IFERROR(LOOKUP(2,1/((#REF!=sep!$A54)*(#REF!&lt;=sep!L$3)*(#REF!&gt;=sep!L$3)),#REF!),IF(WEEKDAY(sep!L$3,1)=1,"WO","P"))</f>
        <v>P</v>
      </c>
      <c r="M54" s="4" t="str">
        <f>IFERROR(LOOKUP(2,1/((#REF!=sep!$A54)*(#REF!&lt;=sep!M$3)*(#REF!&gt;=sep!M$3)),#REF!),IF(WEEKDAY(sep!M$3,1)=1,"WO","P"))</f>
        <v>P</v>
      </c>
      <c r="N54" s="4" t="str">
        <f>IFERROR(LOOKUP(2,1/((#REF!=sep!$A54)*(#REF!&lt;=sep!N$3)*(#REF!&gt;=sep!N$3)),#REF!),IF(WEEKDAY(sep!N$3,1)=1,"WO","P"))</f>
        <v>P</v>
      </c>
      <c r="O54" s="4" t="str">
        <f>IFERROR(LOOKUP(2,1/((#REF!=sep!$A54)*(#REF!&lt;=sep!O$3)*(#REF!&gt;=sep!O$3)),#REF!),IF(WEEKDAY(sep!O$3,1)=1,"WO","P"))</f>
        <v>P</v>
      </c>
      <c r="P54" s="4" t="str">
        <f>IFERROR(LOOKUP(2,1/((#REF!=sep!$A54)*(#REF!&lt;=sep!P$3)*(#REF!&gt;=sep!P$3)),#REF!),IF(WEEKDAY(sep!P$3,1)=1,"WO","P"))</f>
        <v>P</v>
      </c>
      <c r="Q54" s="4" t="str">
        <f>IFERROR(LOOKUP(2,1/((#REF!=sep!$A54)*(#REF!&lt;=sep!Q$3)*(#REF!&gt;=sep!Q$3)),#REF!),IF(WEEKDAY(sep!Q$3,1)=1,"WO","P"))</f>
        <v>P</v>
      </c>
      <c r="R54" s="4" t="str">
        <f>IFERROR(LOOKUP(2,1/((#REF!=sep!$A54)*(#REF!&lt;=sep!R$3)*(#REF!&gt;=sep!R$3)),#REF!),IF(WEEKDAY(sep!R$3,1)=1,"WO","P"))</f>
        <v>WO</v>
      </c>
      <c r="S54" s="4" t="str">
        <f>IFERROR(LOOKUP(2,1/((#REF!=sep!$A54)*(#REF!&lt;=sep!S$3)*(#REF!&gt;=sep!S$3)),#REF!),IF(WEEKDAY(sep!S$3,1)=1,"WO","P"))</f>
        <v>P</v>
      </c>
      <c r="T54" s="4" t="str">
        <f>IFERROR(LOOKUP(2,1/((#REF!=sep!$A54)*(#REF!&lt;=sep!T$3)*(#REF!&gt;=sep!T$3)),#REF!),IF(WEEKDAY(sep!T$3,1)=1,"WO","P"))</f>
        <v>P</v>
      </c>
      <c r="U54" s="4" t="str">
        <f>IFERROR(LOOKUP(2,1/((#REF!=sep!$A54)*(#REF!&lt;=sep!U$3)*(#REF!&gt;=sep!U$3)),#REF!),IF(WEEKDAY(sep!U$3,1)=1,"WO","P"))</f>
        <v>P</v>
      </c>
      <c r="V54" s="4" t="str">
        <f>IFERROR(LOOKUP(2,1/((#REF!=sep!$A54)*(#REF!&lt;=sep!V$3)*(#REF!&gt;=sep!V$3)),#REF!),IF(WEEKDAY(sep!V$3,1)=1,"WO","P"))</f>
        <v>P</v>
      </c>
      <c r="W54" s="4" t="str">
        <f>IFERROR(LOOKUP(2,1/((#REF!=sep!$A54)*(#REF!&lt;=sep!W$3)*(#REF!&gt;=sep!W$3)),#REF!),IF(WEEKDAY(sep!W$3,1)=1,"WO","P"))</f>
        <v>P</v>
      </c>
      <c r="X54" s="4" t="str">
        <f>IFERROR(LOOKUP(2,1/((#REF!=sep!$A54)*(#REF!&lt;=sep!X$3)*(#REF!&gt;=sep!X$3)),#REF!),IF(WEEKDAY(sep!X$3,1)=1,"WO","P"))</f>
        <v>P</v>
      </c>
      <c r="Y54" s="4" t="str">
        <f>IFERROR(LOOKUP(2,1/((#REF!=sep!$A54)*(#REF!&lt;=sep!Y$3)*(#REF!&gt;=sep!Y$3)),#REF!),IF(WEEKDAY(sep!Y$3,1)=1,"WO","P"))</f>
        <v>WO</v>
      </c>
      <c r="Z54" s="4" t="str">
        <f>IFERROR(LOOKUP(2,1/((#REF!=sep!$A54)*(#REF!&lt;=sep!Z$3)*(#REF!&gt;=sep!Z$3)),#REF!),IF(WEEKDAY(sep!Z$3,1)=1,"WO","P"))</f>
        <v>P</v>
      </c>
      <c r="AA54" s="4" t="str">
        <f>IFERROR(LOOKUP(2,1/((#REF!=sep!$A54)*(#REF!&lt;=sep!AA$3)*(#REF!&gt;=sep!AA$3)),#REF!),IF(WEEKDAY(sep!AA$3,1)=1,"WO","P"))</f>
        <v>P</v>
      </c>
      <c r="AB54" s="4" t="str">
        <f>IFERROR(LOOKUP(2,1/((#REF!=sep!$A54)*(#REF!&lt;=sep!AB$3)*(#REF!&gt;=sep!AB$3)),#REF!),IF(WEEKDAY(sep!AB$3,1)=1,"WO","P"))</f>
        <v>P</v>
      </c>
      <c r="AC54" s="4" t="str">
        <f>IFERROR(LOOKUP(2,1/((#REF!=sep!$A54)*(#REF!&lt;=sep!AC$3)*(#REF!&gt;=sep!AC$3)),#REF!),IF(WEEKDAY(sep!AC$3,1)=1,"WO","P"))</f>
        <v>P</v>
      </c>
      <c r="AD54" s="4" t="str">
        <f>IFERROR(LOOKUP(2,1/((#REF!=sep!$A54)*(#REF!&lt;=sep!AD$3)*(#REF!&gt;=sep!AD$3)),#REF!),IF(WEEKDAY(sep!AD$3,1)=1,"WO","P"))</f>
        <v>P</v>
      </c>
      <c r="AE54" s="4" t="str">
        <f>IFERROR(LOOKUP(2,1/((#REF!=sep!$A54)*(#REF!&lt;=sep!AE$3)*(#REF!&gt;=sep!AE$3)),#REF!),IF(WEEKDAY(sep!AE$3,1)=1,"WO","P"))</f>
        <v>P</v>
      </c>
      <c r="AF54" s="4" t="str">
        <f>IFERROR(LOOKUP(2,1/((#REF!=sep!$A54)*(#REF!&lt;=sep!AF$3)*(#REF!&gt;=sep!AF$3)),#REF!),IF(WEEKDAY(sep!AF$3,1)=1,"WO","P"))</f>
        <v>WO</v>
      </c>
      <c r="AG54" s="4" t="str">
        <f>IFERROR(LOOKUP(2,1/((#REF!=sep!$A54)*(#REF!&lt;=sep!AG$3)*(#REF!&gt;=sep!AG$3)),#REF!),IF(WEEKDAY(sep!AG$3,1)=1,"WO","P"))</f>
        <v>P</v>
      </c>
      <c r="AH54" s="4" t="str">
        <f>IFERROR(LOOKUP(2,1/((#REF!=sep!$A54)*(#REF!&lt;=sep!AH$3)*(#REF!&gt;=sep!AH$3)),#REF!),IF(WEEKDAY(sep!AH$3,1)=1,"WO","P"))</f>
        <v>P</v>
      </c>
      <c r="AI54" s="4" t="str">
        <f>IFERROR(LOOKUP(2,1/((#REF!=sep!$A54)*(#REF!&lt;=sep!AI$3)*(#REF!&gt;=sep!AI$3)),#REF!),IF(WEEKDAY(sep!AI$3,1)=1,"WO","P"))</f>
        <v>P</v>
      </c>
      <c r="AJ54" s="4">
        <f t="shared" si="3"/>
        <v>4</v>
      </c>
      <c r="AK54" s="4">
        <f t="shared" si="4"/>
        <v>0</v>
      </c>
      <c r="AL54" s="4">
        <f t="shared" si="5"/>
        <v>0</v>
      </c>
      <c r="AM54" s="4">
        <f t="shared" si="6"/>
        <v>0</v>
      </c>
      <c r="AN54" s="4">
        <f t="shared" si="7"/>
        <v>0</v>
      </c>
      <c r="AO54" s="4">
        <f t="shared" si="8"/>
        <v>0</v>
      </c>
      <c r="AP54" s="4">
        <f t="shared" si="9"/>
        <v>0</v>
      </c>
      <c r="AQ54" s="4">
        <f t="shared" si="10"/>
        <v>0</v>
      </c>
      <c r="AR54" s="4">
        <f t="shared" si="11"/>
        <v>26</v>
      </c>
      <c r="AS54" s="4">
        <f t="shared" si="13"/>
        <v>30</v>
      </c>
      <c r="AT54" s="4">
        <f t="shared" si="12"/>
        <v>30</v>
      </c>
    </row>
  </sheetData>
  <mergeCells count="22">
    <mergeCell ref="A3:A4"/>
    <mergeCell ref="B3:B4"/>
    <mergeCell ref="C3:C4"/>
    <mergeCell ref="D3:D4"/>
    <mergeCell ref="A1:AT1"/>
    <mergeCell ref="A2:K2"/>
    <mergeCell ref="L2:O2"/>
    <mergeCell ref="P2:AA2"/>
    <mergeCell ref="AB2:AE2"/>
    <mergeCell ref="AF2:AT2"/>
    <mergeCell ref="E3:E4"/>
    <mergeCell ref="AQ3:AQ4"/>
    <mergeCell ref="AR3:AR4"/>
    <mergeCell ref="AS3:AS4"/>
    <mergeCell ref="AT3:AT4"/>
    <mergeCell ref="AP3:AP4"/>
    <mergeCell ref="AO3:AO4"/>
    <mergeCell ref="AJ3:AJ4"/>
    <mergeCell ref="AK3:AK4"/>
    <mergeCell ref="AL3:AL4"/>
    <mergeCell ref="AM3:AM4"/>
    <mergeCell ref="AN3:AN4"/>
  </mergeCells>
  <conditionalFormatting sqref="F5:AI54">
    <cfRule type="cellIs" dxfId="33" priority="4" operator="equal">
      <formula>"HD"</formula>
    </cfRule>
    <cfRule type="cellIs" dxfId="32" priority="5" operator="equal">
      <formula>"LWP"</formula>
    </cfRule>
    <cfRule type="cellIs" dxfId="31" priority="6" operator="equal">
      <formula>"PL"</formula>
    </cfRule>
    <cfRule type="cellIs" dxfId="30" priority="7" operator="equal">
      <formula>"H"</formula>
    </cfRule>
    <cfRule type="cellIs" dxfId="29" priority="8" operator="equal">
      <formula>"A"</formula>
    </cfRule>
    <cfRule type="cellIs" dxfId="28" priority="9" operator="equal">
      <formula>"P"</formula>
    </cfRule>
    <cfRule type="expression" dxfId="27" priority="10">
      <formula>F$4="Sun"</formula>
    </cfRule>
  </conditionalFormatting>
  <conditionalFormatting sqref="AU4:BZ54">
    <cfRule type="cellIs" dxfId="26" priority="1" operator="equal">
      <formula>"A"</formula>
    </cfRule>
  </conditionalFormatting>
  <conditionalFormatting sqref="AV4:BZ4">
    <cfRule type="cellIs" dxfId="25" priority="2" operator="equal">
      <formula>"A"</formula>
    </cfRule>
  </conditionalFormatting>
  <dataValidations count="1">
    <dataValidation type="list" allowBlank="1" showInputMessage="1" showErrorMessage="1" sqref="F5:AI54" xr:uid="{34C59935-5308-4B45-95D2-76560BCAD15E}">
      <formula1>"A,P,WO,H,PL,LWP,HD"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3BA7C-7C37-4407-AAE1-79CA246C832A}">
  <sheetPr codeName="Sheet15"/>
  <dimension ref="A1:AV54"/>
  <sheetViews>
    <sheetView workbookViewId="0">
      <selection activeCell="F5" sqref="F5:AJ54"/>
    </sheetView>
  </sheetViews>
  <sheetFormatPr defaultRowHeight="15" x14ac:dyDescent="0.25"/>
  <cols>
    <col min="1" max="1" width="10.140625" bestFit="1" customWidth="1"/>
    <col min="2" max="2" width="17.28515625" bestFit="1" customWidth="1"/>
    <col min="3" max="3" width="10.42578125" bestFit="1" customWidth="1"/>
    <col min="4" max="4" width="13.28515625" bestFit="1" customWidth="1"/>
    <col min="5" max="5" width="21.42578125" bestFit="1" customWidth="1"/>
    <col min="6" max="14" width="4.7109375" bestFit="1" customWidth="1"/>
    <col min="15" max="16" width="5.140625" bestFit="1" customWidth="1"/>
    <col min="17" max="35" width="4.7109375" bestFit="1" customWidth="1"/>
    <col min="36" max="38" width="5.140625" bestFit="1" customWidth="1"/>
    <col min="39" max="39" width="6.140625" customWidth="1"/>
    <col min="40" max="45" width="5.140625" bestFit="1" customWidth="1"/>
    <col min="46" max="46" width="9" bestFit="1" customWidth="1"/>
    <col min="47" max="47" width="5.140625" bestFit="1" customWidth="1"/>
  </cols>
  <sheetData>
    <row r="1" spans="1:48" ht="51" x14ac:dyDescent="0.25">
      <c r="A1" s="79" t="s">
        <v>336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Oct</v>
      </c>
      <c r="M2" s="67"/>
      <c r="N2" s="67"/>
      <c r="O2" s="67"/>
      <c r="P2" s="80">
        <f>DATE(2026,10,1)</f>
        <v>46296</v>
      </c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71" t="s">
        <v>337</v>
      </c>
      <c r="AC2" s="71"/>
      <c r="AD2" s="71"/>
      <c r="AE2" s="71"/>
      <c r="AF2" s="80">
        <f>EOMONTH(P2,0)</f>
        <v>46326</v>
      </c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</row>
    <row r="3" spans="1:48" ht="18.75" customHeight="1" x14ac:dyDescent="0.25">
      <c r="A3" s="77" t="s">
        <v>338</v>
      </c>
      <c r="B3" s="77" t="s">
        <v>339</v>
      </c>
      <c r="C3" s="77" t="s">
        <v>1</v>
      </c>
      <c r="D3" s="77" t="s">
        <v>340</v>
      </c>
      <c r="E3" s="77" t="s">
        <v>341</v>
      </c>
      <c r="F3" s="7">
        <f>P2</f>
        <v>46296</v>
      </c>
      <c r="G3" s="7">
        <f>IF(F3&lt;$AF$2,F3+1,"")</f>
        <v>46297</v>
      </c>
      <c r="H3" s="7">
        <f t="shared" ref="H3:AJ3" si="0">IF(G3&lt;$AF$2,G3+1,"")</f>
        <v>46298</v>
      </c>
      <c r="I3" s="7">
        <f t="shared" si="0"/>
        <v>46299</v>
      </c>
      <c r="J3" s="7">
        <f t="shared" si="0"/>
        <v>46300</v>
      </c>
      <c r="K3" s="7">
        <f t="shared" si="0"/>
        <v>46301</v>
      </c>
      <c r="L3" s="7">
        <f t="shared" si="0"/>
        <v>46302</v>
      </c>
      <c r="M3" s="7">
        <f t="shared" si="0"/>
        <v>46303</v>
      </c>
      <c r="N3" s="7">
        <f t="shared" si="0"/>
        <v>46304</v>
      </c>
      <c r="O3" s="7">
        <f t="shared" si="0"/>
        <v>46305</v>
      </c>
      <c r="P3" s="7">
        <f t="shared" si="0"/>
        <v>46306</v>
      </c>
      <c r="Q3" s="7">
        <f t="shared" si="0"/>
        <v>46307</v>
      </c>
      <c r="R3" s="7">
        <f t="shared" si="0"/>
        <v>46308</v>
      </c>
      <c r="S3" s="7">
        <f t="shared" si="0"/>
        <v>46309</v>
      </c>
      <c r="T3" s="7">
        <f t="shared" si="0"/>
        <v>46310</v>
      </c>
      <c r="U3" s="7">
        <f t="shared" si="0"/>
        <v>46311</v>
      </c>
      <c r="V3" s="7">
        <f t="shared" si="0"/>
        <v>46312</v>
      </c>
      <c r="W3" s="7">
        <f t="shared" si="0"/>
        <v>46313</v>
      </c>
      <c r="X3" s="7">
        <f t="shared" si="0"/>
        <v>46314</v>
      </c>
      <c r="Y3" s="7">
        <f t="shared" si="0"/>
        <v>46315</v>
      </c>
      <c r="Z3" s="7">
        <f t="shared" si="0"/>
        <v>46316</v>
      </c>
      <c r="AA3" s="7">
        <f t="shared" si="0"/>
        <v>46317</v>
      </c>
      <c r="AB3" s="7">
        <f t="shared" si="0"/>
        <v>46318</v>
      </c>
      <c r="AC3" s="7">
        <f t="shared" si="0"/>
        <v>46319</v>
      </c>
      <c r="AD3" s="7">
        <f t="shared" si="0"/>
        <v>46320</v>
      </c>
      <c r="AE3" s="7">
        <f t="shared" si="0"/>
        <v>46321</v>
      </c>
      <c r="AF3" s="7">
        <f t="shared" si="0"/>
        <v>46322</v>
      </c>
      <c r="AG3" s="7">
        <f t="shared" si="0"/>
        <v>46323</v>
      </c>
      <c r="AH3" s="7">
        <f t="shared" si="0"/>
        <v>46324</v>
      </c>
      <c r="AI3" s="7">
        <f t="shared" si="0"/>
        <v>46325</v>
      </c>
      <c r="AJ3" s="7">
        <f t="shared" si="0"/>
        <v>46326</v>
      </c>
      <c r="AK3" s="76" t="s">
        <v>342</v>
      </c>
      <c r="AL3" s="76" t="s">
        <v>343</v>
      </c>
      <c r="AM3" s="76" t="s">
        <v>344</v>
      </c>
      <c r="AN3" s="78" t="s">
        <v>84</v>
      </c>
      <c r="AO3" s="76" t="s">
        <v>345</v>
      </c>
      <c r="AP3" s="76" t="s">
        <v>351</v>
      </c>
      <c r="AQ3" s="76" t="s">
        <v>352</v>
      </c>
      <c r="AR3" s="76" t="s">
        <v>346</v>
      </c>
      <c r="AS3" s="76" t="s">
        <v>347</v>
      </c>
      <c r="AT3" s="76" t="s">
        <v>348</v>
      </c>
      <c r="AU3" s="76" t="s">
        <v>349</v>
      </c>
      <c r="AV3" s="76" t="s">
        <v>353</v>
      </c>
    </row>
    <row r="4" spans="1:48" ht="34.5" x14ac:dyDescent="0.25">
      <c r="A4" s="77"/>
      <c r="B4" s="77"/>
      <c r="C4" s="77"/>
      <c r="D4" s="77"/>
      <c r="E4" s="77"/>
      <c r="F4" s="8" t="str">
        <f>TEXT(F3,"ddd")</f>
        <v>Thu</v>
      </c>
      <c r="G4" s="8" t="str">
        <f t="shared" ref="G4:AJ4" si="1">TEXT(G3,"ddd")</f>
        <v>Fri</v>
      </c>
      <c r="H4" s="8" t="str">
        <f t="shared" si="1"/>
        <v>Sat</v>
      </c>
      <c r="I4" s="8" t="str">
        <f t="shared" si="1"/>
        <v>Sun</v>
      </c>
      <c r="J4" s="8" t="str">
        <f t="shared" si="1"/>
        <v>Mon</v>
      </c>
      <c r="K4" s="8" t="str">
        <f t="shared" si="1"/>
        <v>Tue</v>
      </c>
      <c r="L4" s="8" t="str">
        <f t="shared" si="1"/>
        <v>Wed</v>
      </c>
      <c r="M4" s="8" t="str">
        <f t="shared" si="1"/>
        <v>Thu</v>
      </c>
      <c r="N4" s="8" t="str">
        <f t="shared" si="1"/>
        <v>Fri</v>
      </c>
      <c r="O4" s="8" t="str">
        <f t="shared" si="1"/>
        <v>Sat</v>
      </c>
      <c r="P4" s="8" t="str">
        <f t="shared" si="1"/>
        <v>Sun</v>
      </c>
      <c r="Q4" s="8" t="str">
        <f t="shared" si="1"/>
        <v>Mon</v>
      </c>
      <c r="R4" s="8" t="str">
        <f t="shared" si="1"/>
        <v>Tue</v>
      </c>
      <c r="S4" s="8" t="str">
        <f t="shared" si="1"/>
        <v>Wed</v>
      </c>
      <c r="T4" s="8" t="str">
        <f t="shared" si="1"/>
        <v>Thu</v>
      </c>
      <c r="U4" s="8" t="str">
        <f t="shared" si="1"/>
        <v>Fri</v>
      </c>
      <c r="V4" s="8" t="str">
        <f t="shared" si="1"/>
        <v>Sat</v>
      </c>
      <c r="W4" s="8" t="str">
        <f t="shared" si="1"/>
        <v>Sun</v>
      </c>
      <c r="X4" s="8" t="str">
        <f t="shared" si="1"/>
        <v>Mon</v>
      </c>
      <c r="Y4" s="8" t="str">
        <f t="shared" si="1"/>
        <v>Tue</v>
      </c>
      <c r="Z4" s="8" t="str">
        <f t="shared" si="1"/>
        <v>Wed</v>
      </c>
      <c r="AA4" s="8" t="str">
        <f t="shared" si="1"/>
        <v>Thu</v>
      </c>
      <c r="AB4" s="8" t="str">
        <f t="shared" si="1"/>
        <v>Fri</v>
      </c>
      <c r="AC4" s="8" t="str">
        <f t="shared" si="1"/>
        <v>Sat</v>
      </c>
      <c r="AD4" s="8" t="str">
        <f t="shared" si="1"/>
        <v>Sun</v>
      </c>
      <c r="AE4" s="8" t="str">
        <f t="shared" si="1"/>
        <v>Mon</v>
      </c>
      <c r="AF4" s="8" t="str">
        <f t="shared" si="1"/>
        <v>Tue</v>
      </c>
      <c r="AG4" s="8" t="str">
        <f t="shared" si="1"/>
        <v>Wed</v>
      </c>
      <c r="AH4" s="8" t="str">
        <f t="shared" si="1"/>
        <v>Thu</v>
      </c>
      <c r="AI4" s="8" t="str">
        <f t="shared" si="1"/>
        <v>Fri</v>
      </c>
      <c r="AJ4" s="8" t="str">
        <f t="shared" si="1"/>
        <v>Sat</v>
      </c>
      <c r="AK4" s="76"/>
      <c r="AL4" s="76"/>
      <c r="AM4" s="76"/>
      <c r="AN4" s="78"/>
      <c r="AO4" s="76"/>
      <c r="AP4" s="76"/>
      <c r="AQ4" s="76"/>
      <c r="AR4" s="76"/>
      <c r="AS4" s="76"/>
      <c r="AT4" s="76"/>
      <c r="AU4" s="76"/>
      <c r="AV4" s="76"/>
    </row>
    <row r="5" spans="1:48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IFERROR(LOOKUP(2,1/((#REF!=oct!$A5)*(#REF!&lt;=oct!F$3)*(#REF!&gt;=oct!F$3)),#REF!),IF(WEEKDAY(oct!F$3,1)=1,"WO","P"))</f>
        <v>P</v>
      </c>
      <c r="G5" s="4" t="str">
        <f>IFERROR(LOOKUP(2,1/((#REF!=oct!$A5)*(#REF!&lt;=oct!G$3)*(#REF!&gt;=oct!G$3)),#REF!),IF(WEEKDAY(oct!G$3,1)=1,"WO","P"))</f>
        <v>P</v>
      </c>
      <c r="H5" s="4" t="str">
        <f>IFERROR(LOOKUP(2,1/((#REF!=oct!$A5)*(#REF!&lt;=oct!H$3)*(#REF!&gt;=oct!H$3)),#REF!),IF(WEEKDAY(oct!H$3,1)=1,"WO","P"))</f>
        <v>P</v>
      </c>
      <c r="I5" s="4" t="str">
        <f>IFERROR(LOOKUP(2,1/((#REF!=oct!$A5)*(#REF!&lt;=oct!I$3)*(#REF!&gt;=oct!I$3)),#REF!),IF(WEEKDAY(oct!I$3,1)=1,"WO","P"))</f>
        <v>WO</v>
      </c>
      <c r="J5" s="4" t="str">
        <f>IFERROR(LOOKUP(2,1/((#REF!=oct!$A5)*(#REF!&lt;=oct!J$3)*(#REF!&gt;=oct!J$3)),#REF!),IF(WEEKDAY(oct!J$3,1)=1,"WO","P"))</f>
        <v>P</v>
      </c>
      <c r="K5" s="4" t="str">
        <f>IFERROR(LOOKUP(2,1/((#REF!=oct!$A5)*(#REF!&lt;=oct!K$3)*(#REF!&gt;=oct!K$3)),#REF!),IF(WEEKDAY(oct!K$3,1)=1,"WO","P"))</f>
        <v>P</v>
      </c>
      <c r="L5" s="4" t="str">
        <f>IFERROR(LOOKUP(2,1/((#REF!=oct!$A5)*(#REF!&lt;=oct!L$3)*(#REF!&gt;=oct!L$3)),#REF!),IF(WEEKDAY(oct!L$3,1)=1,"WO","P"))</f>
        <v>P</v>
      </c>
      <c r="M5" s="4" t="str">
        <f>IFERROR(LOOKUP(2,1/((#REF!=oct!$A5)*(#REF!&lt;=oct!M$3)*(#REF!&gt;=oct!M$3)),#REF!),IF(WEEKDAY(oct!M$3,1)=1,"WO","P"))</f>
        <v>P</v>
      </c>
      <c r="N5" s="4" t="str">
        <f>IFERROR(LOOKUP(2,1/((#REF!=oct!$A5)*(#REF!&lt;=oct!N$3)*(#REF!&gt;=oct!N$3)),#REF!),IF(WEEKDAY(oct!N$3,1)=1,"WO","P"))</f>
        <v>P</v>
      </c>
      <c r="O5" s="4" t="str">
        <f>IFERROR(LOOKUP(2,1/((#REF!=oct!$A5)*(#REF!&lt;=oct!O$3)*(#REF!&gt;=oct!O$3)),#REF!),IF(WEEKDAY(oct!O$3,1)=1,"WO","P"))</f>
        <v>P</v>
      </c>
      <c r="P5" s="4" t="str">
        <f>IFERROR(LOOKUP(2,1/((#REF!=oct!$A5)*(#REF!&lt;=oct!P$3)*(#REF!&gt;=oct!P$3)),#REF!),IF(WEEKDAY(oct!P$3,1)=1,"WO","P"))</f>
        <v>WO</v>
      </c>
      <c r="Q5" s="4" t="str">
        <f>IFERROR(LOOKUP(2,1/((#REF!=oct!$A5)*(#REF!&lt;=oct!Q$3)*(#REF!&gt;=oct!Q$3)),#REF!),IF(WEEKDAY(oct!Q$3,1)=1,"WO","P"))</f>
        <v>P</v>
      </c>
      <c r="R5" s="4" t="str">
        <f>IFERROR(LOOKUP(2,1/((#REF!=oct!$A5)*(#REF!&lt;=oct!R$3)*(#REF!&gt;=oct!R$3)),#REF!),IF(WEEKDAY(oct!R$3,1)=1,"WO","P"))</f>
        <v>P</v>
      </c>
      <c r="S5" s="4" t="str">
        <f>IFERROR(LOOKUP(2,1/((#REF!=oct!$A5)*(#REF!&lt;=oct!S$3)*(#REF!&gt;=oct!S$3)),#REF!),IF(WEEKDAY(oct!S$3,1)=1,"WO","P"))</f>
        <v>P</v>
      </c>
      <c r="T5" s="4" t="str">
        <f>IFERROR(LOOKUP(2,1/((#REF!=oct!$A5)*(#REF!&lt;=oct!T$3)*(#REF!&gt;=oct!T$3)),#REF!),IF(WEEKDAY(oct!T$3,1)=1,"WO","P"))</f>
        <v>P</v>
      </c>
      <c r="U5" s="4" t="str">
        <f>IFERROR(LOOKUP(2,1/((#REF!=oct!$A5)*(#REF!&lt;=oct!U$3)*(#REF!&gt;=oct!U$3)),#REF!),IF(WEEKDAY(oct!U$3,1)=1,"WO","P"))</f>
        <v>P</v>
      </c>
      <c r="V5" s="4" t="str">
        <f>IFERROR(LOOKUP(2,1/((#REF!=oct!$A5)*(#REF!&lt;=oct!V$3)*(#REF!&gt;=oct!V$3)),#REF!),IF(WEEKDAY(oct!V$3,1)=1,"WO","P"))</f>
        <v>P</v>
      </c>
      <c r="W5" s="4" t="str">
        <f>IFERROR(LOOKUP(2,1/((#REF!=oct!$A5)*(#REF!&lt;=oct!W$3)*(#REF!&gt;=oct!W$3)),#REF!),IF(WEEKDAY(oct!W$3,1)=1,"WO","P"))</f>
        <v>WO</v>
      </c>
      <c r="X5" s="4" t="str">
        <f>IFERROR(LOOKUP(2,1/((#REF!=oct!$A5)*(#REF!&lt;=oct!X$3)*(#REF!&gt;=oct!X$3)),#REF!),IF(WEEKDAY(oct!X$3,1)=1,"WO","P"))</f>
        <v>P</v>
      </c>
      <c r="Y5" s="4" t="str">
        <f>IFERROR(LOOKUP(2,1/((#REF!=oct!$A5)*(#REF!&lt;=oct!Y$3)*(#REF!&gt;=oct!Y$3)),#REF!),IF(WEEKDAY(oct!Y$3,1)=1,"WO","P"))</f>
        <v>P</v>
      </c>
      <c r="Z5" s="4" t="str">
        <f>IFERROR(LOOKUP(2,1/((#REF!=oct!$A5)*(#REF!&lt;=oct!Z$3)*(#REF!&gt;=oct!Z$3)),#REF!),IF(WEEKDAY(oct!Z$3,1)=1,"WO","P"))</f>
        <v>P</v>
      </c>
      <c r="AA5" s="4" t="str">
        <f>IFERROR(LOOKUP(2,1/((#REF!=oct!$A5)*(#REF!&lt;=oct!AA$3)*(#REF!&gt;=oct!AA$3)),#REF!),IF(WEEKDAY(oct!AA$3,1)=1,"WO","P"))</f>
        <v>P</v>
      </c>
      <c r="AB5" s="4" t="str">
        <f>IFERROR(LOOKUP(2,1/((#REF!=oct!$A5)*(#REF!&lt;=oct!AB$3)*(#REF!&gt;=oct!AB$3)),#REF!),IF(WEEKDAY(oct!AB$3,1)=1,"WO","P"))</f>
        <v>P</v>
      </c>
      <c r="AC5" s="4" t="str">
        <f>IFERROR(LOOKUP(2,1/((#REF!=oct!$A5)*(#REF!&lt;=oct!AC$3)*(#REF!&gt;=oct!AC$3)),#REF!),IF(WEEKDAY(oct!AC$3,1)=1,"WO","P"))</f>
        <v>P</v>
      </c>
      <c r="AD5" s="4" t="str">
        <f>IFERROR(LOOKUP(2,1/((#REF!=oct!$A5)*(#REF!&lt;=oct!AD$3)*(#REF!&gt;=oct!AD$3)),#REF!),IF(WEEKDAY(oct!AD$3,1)=1,"WO","P"))</f>
        <v>WO</v>
      </c>
      <c r="AE5" s="4" t="str">
        <f>IFERROR(LOOKUP(2,1/((#REF!=oct!$A5)*(#REF!&lt;=oct!AE$3)*(#REF!&gt;=oct!AE$3)),#REF!),IF(WEEKDAY(oct!AE$3,1)=1,"WO","P"))</f>
        <v>P</v>
      </c>
      <c r="AF5" s="4" t="str">
        <f>IFERROR(LOOKUP(2,1/((#REF!=oct!$A5)*(#REF!&lt;=oct!AF$3)*(#REF!&gt;=oct!AF$3)),#REF!),IF(WEEKDAY(oct!AF$3,1)=1,"WO","P"))</f>
        <v>P</v>
      </c>
      <c r="AG5" s="4" t="str">
        <f>IFERROR(LOOKUP(2,1/((#REF!=oct!$A5)*(#REF!&lt;=oct!AG$3)*(#REF!&gt;=oct!AG$3)),#REF!),IF(WEEKDAY(oct!AG$3,1)=1,"WO","P"))</f>
        <v>P</v>
      </c>
      <c r="AH5" s="4" t="str">
        <f>IFERROR(LOOKUP(2,1/((#REF!=oct!$A5)*(#REF!&lt;=oct!AH$3)*(#REF!&gt;=oct!AH$3)),#REF!),IF(WEEKDAY(oct!AH$3,1)=1,"WO","P"))</f>
        <v>P</v>
      </c>
      <c r="AI5" s="4" t="str">
        <f>IFERROR(LOOKUP(2,1/((#REF!=oct!$A5)*(#REF!&lt;=oct!AI$3)*(#REF!&gt;=oct!AI$3)),#REF!),IF(WEEKDAY(oct!AI$3,1)=1,"WO","P"))</f>
        <v>P</v>
      </c>
      <c r="AJ5" s="4" t="str">
        <f>IFERROR(LOOKUP(2,1/((#REF!=oct!$A5)*(#REF!&lt;=oct!AJ$3)*(#REF!&gt;=oct!AJ$3)),#REF!),IF(WEEKDAY(oct!AJ$3,1)=1,"WO","P"))</f>
        <v>P</v>
      </c>
      <c r="AK5" s="4">
        <f>COUNTIF(mar!$F5:$AJ5,"WO")</f>
        <v>5</v>
      </c>
      <c r="AL5" s="4">
        <f>COUNTIF(mar!$F5:$AJ5,"H")</f>
        <v>2</v>
      </c>
      <c r="AM5" s="4">
        <f>COUNTIF(mar!$F5:$AJ5,"pl")</f>
        <v>0</v>
      </c>
      <c r="AN5" s="4">
        <f>COUNTIF(mar!$F5:$AJ5,"LWP")</f>
        <v>0</v>
      </c>
      <c r="AO5" s="4">
        <f>COUNTIF(mar!$F5:$AJ5,"HD")</f>
        <v>0</v>
      </c>
      <c r="AP5" s="4">
        <f>COUNTIF(mar!$F5:$AJ5,"SL")</f>
        <v>0</v>
      </c>
      <c r="AQ5" s="4">
        <f>COUNTIF(mar!$F5:$AJ5,"CL")</f>
        <v>0</v>
      </c>
      <c r="AR5" s="4">
        <f>COUNTIF(mar!$F5:$AJ5,"A")</f>
        <v>2</v>
      </c>
      <c r="AS5" s="4">
        <f>COUNTIF(mar!$F5:$AJ5,"P")</f>
        <v>22</v>
      </c>
      <c r="AT5" s="4">
        <f>COUNTA($F5:$AJ5)</f>
        <v>31</v>
      </c>
      <c r="AU5" s="4">
        <f>AK5+AL5+AM5+AP5+AQ5+AS5+(AO5/2)</f>
        <v>29</v>
      </c>
      <c r="AV5" s="4">
        <f>SUMIFS(holly!$L$2:$L$122,holly!$I$2:$I$122,mar!$A5,holly!$K$2:$K$122,"Mar")</f>
        <v>0</v>
      </c>
    </row>
    <row r="6" spans="1:48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IFERROR(LOOKUP(2,1/((#REF!=oct!$A6)*(#REF!&lt;=oct!F$3)*(#REF!&gt;=oct!F$3)),#REF!),IF(WEEKDAY(oct!F$3,1)=1,"WO","P"))</f>
        <v>P</v>
      </c>
      <c r="G6" s="4" t="str">
        <f>IFERROR(LOOKUP(2,1/((#REF!=oct!$A6)*(#REF!&lt;=oct!G$3)*(#REF!&gt;=oct!G$3)),#REF!),IF(WEEKDAY(oct!G$3,1)=1,"WO","P"))</f>
        <v>P</v>
      </c>
      <c r="H6" s="4" t="str">
        <f>IFERROR(LOOKUP(2,1/((#REF!=oct!$A6)*(#REF!&lt;=oct!H$3)*(#REF!&gt;=oct!H$3)),#REF!),IF(WEEKDAY(oct!H$3,1)=1,"WO","P"))</f>
        <v>P</v>
      </c>
      <c r="I6" s="4" t="str">
        <f>IFERROR(LOOKUP(2,1/((#REF!=oct!$A6)*(#REF!&lt;=oct!I$3)*(#REF!&gt;=oct!I$3)),#REF!),IF(WEEKDAY(oct!I$3,1)=1,"WO","P"))</f>
        <v>WO</v>
      </c>
      <c r="J6" s="4" t="str">
        <f>IFERROR(LOOKUP(2,1/((#REF!=oct!$A6)*(#REF!&lt;=oct!J$3)*(#REF!&gt;=oct!J$3)),#REF!),IF(WEEKDAY(oct!J$3,1)=1,"WO","P"))</f>
        <v>P</v>
      </c>
      <c r="K6" s="4" t="str">
        <f>IFERROR(LOOKUP(2,1/((#REF!=oct!$A6)*(#REF!&lt;=oct!K$3)*(#REF!&gt;=oct!K$3)),#REF!),IF(WEEKDAY(oct!K$3,1)=1,"WO","P"))</f>
        <v>P</v>
      </c>
      <c r="L6" s="4" t="str">
        <f>IFERROR(LOOKUP(2,1/((#REF!=oct!$A6)*(#REF!&lt;=oct!L$3)*(#REF!&gt;=oct!L$3)),#REF!),IF(WEEKDAY(oct!L$3,1)=1,"WO","P"))</f>
        <v>P</v>
      </c>
      <c r="M6" s="4" t="str">
        <f>IFERROR(LOOKUP(2,1/((#REF!=oct!$A6)*(#REF!&lt;=oct!M$3)*(#REF!&gt;=oct!M$3)),#REF!),IF(WEEKDAY(oct!M$3,1)=1,"WO","P"))</f>
        <v>P</v>
      </c>
      <c r="N6" s="4" t="str">
        <f>IFERROR(LOOKUP(2,1/((#REF!=oct!$A6)*(#REF!&lt;=oct!N$3)*(#REF!&gt;=oct!N$3)),#REF!),IF(WEEKDAY(oct!N$3,1)=1,"WO","P"))</f>
        <v>P</v>
      </c>
      <c r="O6" s="4" t="str">
        <f>IFERROR(LOOKUP(2,1/((#REF!=oct!$A6)*(#REF!&lt;=oct!O$3)*(#REF!&gt;=oct!O$3)),#REF!),IF(WEEKDAY(oct!O$3,1)=1,"WO","P"))</f>
        <v>P</v>
      </c>
      <c r="P6" s="4" t="str">
        <f>IFERROR(LOOKUP(2,1/((#REF!=oct!$A6)*(#REF!&lt;=oct!P$3)*(#REF!&gt;=oct!P$3)),#REF!),IF(WEEKDAY(oct!P$3,1)=1,"WO","P"))</f>
        <v>WO</v>
      </c>
      <c r="Q6" s="4" t="str">
        <f>IFERROR(LOOKUP(2,1/((#REF!=oct!$A6)*(#REF!&lt;=oct!Q$3)*(#REF!&gt;=oct!Q$3)),#REF!),IF(WEEKDAY(oct!Q$3,1)=1,"WO","P"))</f>
        <v>P</v>
      </c>
      <c r="R6" s="4" t="str">
        <f>IFERROR(LOOKUP(2,1/((#REF!=oct!$A6)*(#REF!&lt;=oct!R$3)*(#REF!&gt;=oct!R$3)),#REF!),IF(WEEKDAY(oct!R$3,1)=1,"WO","P"))</f>
        <v>P</v>
      </c>
      <c r="S6" s="4" t="str">
        <f>IFERROR(LOOKUP(2,1/((#REF!=oct!$A6)*(#REF!&lt;=oct!S$3)*(#REF!&gt;=oct!S$3)),#REF!),IF(WEEKDAY(oct!S$3,1)=1,"WO","P"))</f>
        <v>P</v>
      </c>
      <c r="T6" s="4" t="str">
        <f>IFERROR(LOOKUP(2,1/((#REF!=oct!$A6)*(#REF!&lt;=oct!T$3)*(#REF!&gt;=oct!T$3)),#REF!),IF(WEEKDAY(oct!T$3,1)=1,"WO","P"))</f>
        <v>P</v>
      </c>
      <c r="U6" s="4" t="str">
        <f>IFERROR(LOOKUP(2,1/((#REF!=oct!$A6)*(#REF!&lt;=oct!U$3)*(#REF!&gt;=oct!U$3)),#REF!),IF(WEEKDAY(oct!U$3,1)=1,"WO","P"))</f>
        <v>P</v>
      </c>
      <c r="V6" s="4" t="str">
        <f>IFERROR(LOOKUP(2,1/((#REF!=oct!$A6)*(#REF!&lt;=oct!V$3)*(#REF!&gt;=oct!V$3)),#REF!),IF(WEEKDAY(oct!V$3,1)=1,"WO","P"))</f>
        <v>P</v>
      </c>
      <c r="W6" s="4" t="str">
        <f>IFERROR(LOOKUP(2,1/((#REF!=oct!$A6)*(#REF!&lt;=oct!W$3)*(#REF!&gt;=oct!W$3)),#REF!),IF(WEEKDAY(oct!W$3,1)=1,"WO","P"))</f>
        <v>WO</v>
      </c>
      <c r="X6" s="4" t="str">
        <f>IFERROR(LOOKUP(2,1/((#REF!=oct!$A6)*(#REF!&lt;=oct!X$3)*(#REF!&gt;=oct!X$3)),#REF!),IF(WEEKDAY(oct!X$3,1)=1,"WO","P"))</f>
        <v>P</v>
      </c>
      <c r="Y6" s="4" t="str">
        <f>IFERROR(LOOKUP(2,1/((#REF!=oct!$A6)*(#REF!&lt;=oct!Y$3)*(#REF!&gt;=oct!Y$3)),#REF!),IF(WEEKDAY(oct!Y$3,1)=1,"WO","P"))</f>
        <v>P</v>
      </c>
      <c r="Z6" s="4" t="str">
        <f>IFERROR(LOOKUP(2,1/((#REF!=oct!$A6)*(#REF!&lt;=oct!Z$3)*(#REF!&gt;=oct!Z$3)),#REF!),IF(WEEKDAY(oct!Z$3,1)=1,"WO","P"))</f>
        <v>P</v>
      </c>
      <c r="AA6" s="4" t="str">
        <f>IFERROR(LOOKUP(2,1/((#REF!=oct!$A6)*(#REF!&lt;=oct!AA$3)*(#REF!&gt;=oct!AA$3)),#REF!),IF(WEEKDAY(oct!AA$3,1)=1,"WO","P"))</f>
        <v>P</v>
      </c>
      <c r="AB6" s="4" t="str">
        <f>IFERROR(LOOKUP(2,1/((#REF!=oct!$A6)*(#REF!&lt;=oct!AB$3)*(#REF!&gt;=oct!AB$3)),#REF!),IF(WEEKDAY(oct!AB$3,1)=1,"WO","P"))</f>
        <v>P</v>
      </c>
      <c r="AC6" s="4" t="str">
        <f>IFERROR(LOOKUP(2,1/((#REF!=oct!$A6)*(#REF!&lt;=oct!AC$3)*(#REF!&gt;=oct!AC$3)),#REF!),IF(WEEKDAY(oct!AC$3,1)=1,"WO","P"))</f>
        <v>P</v>
      </c>
      <c r="AD6" s="4" t="str">
        <f>IFERROR(LOOKUP(2,1/((#REF!=oct!$A6)*(#REF!&lt;=oct!AD$3)*(#REF!&gt;=oct!AD$3)),#REF!),IF(WEEKDAY(oct!AD$3,1)=1,"WO","P"))</f>
        <v>WO</v>
      </c>
      <c r="AE6" s="4" t="str">
        <f>IFERROR(LOOKUP(2,1/((#REF!=oct!$A6)*(#REF!&lt;=oct!AE$3)*(#REF!&gt;=oct!AE$3)),#REF!),IF(WEEKDAY(oct!AE$3,1)=1,"WO","P"))</f>
        <v>P</v>
      </c>
      <c r="AF6" s="4" t="str">
        <f>IFERROR(LOOKUP(2,1/((#REF!=oct!$A6)*(#REF!&lt;=oct!AF$3)*(#REF!&gt;=oct!AF$3)),#REF!),IF(WEEKDAY(oct!AF$3,1)=1,"WO","P"))</f>
        <v>P</v>
      </c>
      <c r="AG6" s="4" t="str">
        <f>IFERROR(LOOKUP(2,1/((#REF!=oct!$A6)*(#REF!&lt;=oct!AG$3)*(#REF!&gt;=oct!AG$3)),#REF!),IF(WEEKDAY(oct!AG$3,1)=1,"WO","P"))</f>
        <v>P</v>
      </c>
      <c r="AH6" s="4" t="str">
        <f>IFERROR(LOOKUP(2,1/((#REF!=oct!$A6)*(#REF!&lt;=oct!AH$3)*(#REF!&gt;=oct!AH$3)),#REF!),IF(WEEKDAY(oct!AH$3,1)=1,"WO","P"))</f>
        <v>P</v>
      </c>
      <c r="AI6" s="4" t="str">
        <f>IFERROR(LOOKUP(2,1/((#REF!=oct!$A6)*(#REF!&lt;=oct!AI$3)*(#REF!&gt;=oct!AI$3)),#REF!),IF(WEEKDAY(oct!AI$3,1)=1,"WO","P"))</f>
        <v>P</v>
      </c>
      <c r="AJ6" s="4" t="str">
        <f>IFERROR(LOOKUP(2,1/((#REF!=oct!$A6)*(#REF!&lt;=oct!AJ$3)*(#REF!&gt;=oct!AJ$3)),#REF!),IF(WEEKDAY(oct!AJ$3,1)=1,"WO","P"))</f>
        <v>P</v>
      </c>
      <c r="AK6" s="4">
        <f>COUNTIF(mar!$F6:$AJ6,"WO")</f>
        <v>5</v>
      </c>
      <c r="AL6" s="4">
        <f>COUNTIF(mar!$F6:$AJ6,"H")</f>
        <v>2</v>
      </c>
      <c r="AM6" s="4">
        <f>COUNTIF(mar!$F6:$AJ6,"pl")</f>
        <v>0</v>
      </c>
      <c r="AN6" s="4">
        <f>COUNTIF(mar!$F6:$AJ6,"LWP")</f>
        <v>0</v>
      </c>
      <c r="AO6" s="4">
        <f>COUNTIF(mar!$F6:$AJ6,"HD")</f>
        <v>0</v>
      </c>
      <c r="AP6" s="4">
        <f>COUNTIF(mar!$F6:$AJ6,"SL")</f>
        <v>0</v>
      </c>
      <c r="AQ6" s="4">
        <f>COUNTIF(mar!$F6:$AJ6,"CL")</f>
        <v>0</v>
      </c>
      <c r="AR6" s="4">
        <f>COUNTIF(mar!$F6:$AJ6,"A")</f>
        <v>0</v>
      </c>
      <c r="AS6" s="4">
        <f>COUNTIF(mar!$F6:$AJ6,"P")</f>
        <v>24</v>
      </c>
      <c r="AT6" s="4">
        <f t="shared" ref="AT6:AT54" si="2">COUNTA($F6:$AJ6)</f>
        <v>31</v>
      </c>
      <c r="AU6" s="4">
        <f t="shared" ref="AU6:AU54" si="3">AK6+AL6+AM6+AP6+AQ6+AS6+(AO6/2)</f>
        <v>31</v>
      </c>
      <c r="AV6" s="4">
        <f>SUMIFS(holly!$L$2:$L$122,holly!$I$2:$I$122,mar!$A6,holly!$K$2:$K$122,"Mar")</f>
        <v>0</v>
      </c>
    </row>
    <row r="7" spans="1:48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IFERROR(LOOKUP(2,1/((#REF!=oct!$A7)*(#REF!&lt;=oct!F$3)*(#REF!&gt;=oct!F$3)),#REF!),IF(WEEKDAY(oct!F$3,1)=1,"WO","P"))</f>
        <v>P</v>
      </c>
      <c r="G7" s="4" t="str">
        <f>IFERROR(LOOKUP(2,1/((#REF!=oct!$A7)*(#REF!&lt;=oct!G$3)*(#REF!&gt;=oct!G$3)),#REF!),IF(WEEKDAY(oct!G$3,1)=1,"WO","P"))</f>
        <v>P</v>
      </c>
      <c r="H7" s="4" t="str">
        <f>IFERROR(LOOKUP(2,1/((#REF!=oct!$A7)*(#REF!&lt;=oct!H$3)*(#REF!&gt;=oct!H$3)),#REF!),IF(WEEKDAY(oct!H$3,1)=1,"WO","P"))</f>
        <v>P</v>
      </c>
      <c r="I7" s="4" t="str">
        <f>IFERROR(LOOKUP(2,1/((#REF!=oct!$A7)*(#REF!&lt;=oct!I$3)*(#REF!&gt;=oct!I$3)),#REF!),IF(WEEKDAY(oct!I$3,1)=1,"WO","P"))</f>
        <v>WO</v>
      </c>
      <c r="J7" s="4" t="str">
        <f>IFERROR(LOOKUP(2,1/((#REF!=oct!$A7)*(#REF!&lt;=oct!J$3)*(#REF!&gt;=oct!J$3)),#REF!),IF(WEEKDAY(oct!J$3,1)=1,"WO","P"))</f>
        <v>P</v>
      </c>
      <c r="K7" s="4" t="str">
        <f>IFERROR(LOOKUP(2,1/((#REF!=oct!$A7)*(#REF!&lt;=oct!K$3)*(#REF!&gt;=oct!K$3)),#REF!),IF(WEEKDAY(oct!K$3,1)=1,"WO","P"))</f>
        <v>P</v>
      </c>
      <c r="L7" s="4" t="str">
        <f>IFERROR(LOOKUP(2,1/((#REF!=oct!$A7)*(#REF!&lt;=oct!L$3)*(#REF!&gt;=oct!L$3)),#REF!),IF(WEEKDAY(oct!L$3,1)=1,"WO","P"))</f>
        <v>P</v>
      </c>
      <c r="M7" s="4" t="str">
        <f>IFERROR(LOOKUP(2,1/((#REF!=oct!$A7)*(#REF!&lt;=oct!M$3)*(#REF!&gt;=oct!M$3)),#REF!),IF(WEEKDAY(oct!M$3,1)=1,"WO","P"))</f>
        <v>P</v>
      </c>
      <c r="N7" s="4" t="str">
        <f>IFERROR(LOOKUP(2,1/((#REF!=oct!$A7)*(#REF!&lt;=oct!N$3)*(#REF!&gt;=oct!N$3)),#REF!),IF(WEEKDAY(oct!N$3,1)=1,"WO","P"))</f>
        <v>P</v>
      </c>
      <c r="O7" s="4" t="str">
        <f>IFERROR(LOOKUP(2,1/((#REF!=oct!$A7)*(#REF!&lt;=oct!O$3)*(#REF!&gt;=oct!O$3)),#REF!),IF(WEEKDAY(oct!O$3,1)=1,"WO","P"))</f>
        <v>P</v>
      </c>
      <c r="P7" s="4" t="str">
        <f>IFERROR(LOOKUP(2,1/((#REF!=oct!$A7)*(#REF!&lt;=oct!P$3)*(#REF!&gt;=oct!P$3)),#REF!),IF(WEEKDAY(oct!P$3,1)=1,"WO","P"))</f>
        <v>WO</v>
      </c>
      <c r="Q7" s="4" t="str">
        <f>IFERROR(LOOKUP(2,1/((#REF!=oct!$A7)*(#REF!&lt;=oct!Q$3)*(#REF!&gt;=oct!Q$3)),#REF!),IF(WEEKDAY(oct!Q$3,1)=1,"WO","P"))</f>
        <v>P</v>
      </c>
      <c r="R7" s="4" t="str">
        <f>IFERROR(LOOKUP(2,1/((#REF!=oct!$A7)*(#REF!&lt;=oct!R$3)*(#REF!&gt;=oct!R$3)),#REF!),IF(WEEKDAY(oct!R$3,1)=1,"WO","P"))</f>
        <v>P</v>
      </c>
      <c r="S7" s="4" t="str">
        <f>IFERROR(LOOKUP(2,1/((#REF!=oct!$A7)*(#REF!&lt;=oct!S$3)*(#REF!&gt;=oct!S$3)),#REF!),IF(WEEKDAY(oct!S$3,1)=1,"WO","P"))</f>
        <v>P</v>
      </c>
      <c r="T7" s="4" t="str">
        <f>IFERROR(LOOKUP(2,1/((#REF!=oct!$A7)*(#REF!&lt;=oct!T$3)*(#REF!&gt;=oct!T$3)),#REF!),IF(WEEKDAY(oct!T$3,1)=1,"WO","P"))</f>
        <v>P</v>
      </c>
      <c r="U7" s="4" t="str">
        <f>IFERROR(LOOKUP(2,1/((#REF!=oct!$A7)*(#REF!&lt;=oct!U$3)*(#REF!&gt;=oct!U$3)),#REF!),IF(WEEKDAY(oct!U$3,1)=1,"WO","P"))</f>
        <v>P</v>
      </c>
      <c r="V7" s="4" t="str">
        <f>IFERROR(LOOKUP(2,1/((#REF!=oct!$A7)*(#REF!&lt;=oct!V$3)*(#REF!&gt;=oct!V$3)),#REF!),IF(WEEKDAY(oct!V$3,1)=1,"WO","P"))</f>
        <v>P</v>
      </c>
      <c r="W7" s="4" t="str">
        <f>IFERROR(LOOKUP(2,1/((#REF!=oct!$A7)*(#REF!&lt;=oct!W$3)*(#REF!&gt;=oct!W$3)),#REF!),IF(WEEKDAY(oct!W$3,1)=1,"WO","P"))</f>
        <v>WO</v>
      </c>
      <c r="X7" s="4" t="str">
        <f>IFERROR(LOOKUP(2,1/((#REF!=oct!$A7)*(#REF!&lt;=oct!X$3)*(#REF!&gt;=oct!X$3)),#REF!),IF(WEEKDAY(oct!X$3,1)=1,"WO","P"))</f>
        <v>P</v>
      </c>
      <c r="Y7" s="4" t="str">
        <f>IFERROR(LOOKUP(2,1/((#REF!=oct!$A7)*(#REF!&lt;=oct!Y$3)*(#REF!&gt;=oct!Y$3)),#REF!),IF(WEEKDAY(oct!Y$3,1)=1,"WO","P"))</f>
        <v>P</v>
      </c>
      <c r="Z7" s="4" t="str">
        <f>IFERROR(LOOKUP(2,1/((#REF!=oct!$A7)*(#REF!&lt;=oct!Z$3)*(#REF!&gt;=oct!Z$3)),#REF!),IF(WEEKDAY(oct!Z$3,1)=1,"WO","P"))</f>
        <v>P</v>
      </c>
      <c r="AA7" s="4" t="str">
        <f>IFERROR(LOOKUP(2,1/((#REF!=oct!$A7)*(#REF!&lt;=oct!AA$3)*(#REF!&gt;=oct!AA$3)),#REF!),IF(WEEKDAY(oct!AA$3,1)=1,"WO","P"))</f>
        <v>P</v>
      </c>
      <c r="AB7" s="4" t="str">
        <f>IFERROR(LOOKUP(2,1/((#REF!=oct!$A7)*(#REF!&lt;=oct!AB$3)*(#REF!&gt;=oct!AB$3)),#REF!),IF(WEEKDAY(oct!AB$3,1)=1,"WO","P"))</f>
        <v>P</v>
      </c>
      <c r="AC7" s="4" t="str">
        <f>IFERROR(LOOKUP(2,1/((#REF!=oct!$A7)*(#REF!&lt;=oct!AC$3)*(#REF!&gt;=oct!AC$3)),#REF!),IF(WEEKDAY(oct!AC$3,1)=1,"WO","P"))</f>
        <v>P</v>
      </c>
      <c r="AD7" s="4" t="str">
        <f>IFERROR(LOOKUP(2,1/((#REF!=oct!$A7)*(#REF!&lt;=oct!AD$3)*(#REF!&gt;=oct!AD$3)),#REF!),IF(WEEKDAY(oct!AD$3,1)=1,"WO","P"))</f>
        <v>WO</v>
      </c>
      <c r="AE7" s="4" t="str">
        <f>IFERROR(LOOKUP(2,1/((#REF!=oct!$A7)*(#REF!&lt;=oct!AE$3)*(#REF!&gt;=oct!AE$3)),#REF!),IF(WEEKDAY(oct!AE$3,1)=1,"WO","P"))</f>
        <v>P</v>
      </c>
      <c r="AF7" s="4" t="str">
        <f>IFERROR(LOOKUP(2,1/((#REF!=oct!$A7)*(#REF!&lt;=oct!AF$3)*(#REF!&gt;=oct!AF$3)),#REF!),IF(WEEKDAY(oct!AF$3,1)=1,"WO","P"))</f>
        <v>P</v>
      </c>
      <c r="AG7" s="4" t="str">
        <f>IFERROR(LOOKUP(2,1/((#REF!=oct!$A7)*(#REF!&lt;=oct!AG$3)*(#REF!&gt;=oct!AG$3)),#REF!),IF(WEEKDAY(oct!AG$3,1)=1,"WO","P"))</f>
        <v>P</v>
      </c>
      <c r="AH7" s="4" t="str">
        <f>IFERROR(LOOKUP(2,1/((#REF!=oct!$A7)*(#REF!&lt;=oct!AH$3)*(#REF!&gt;=oct!AH$3)),#REF!),IF(WEEKDAY(oct!AH$3,1)=1,"WO","P"))</f>
        <v>P</v>
      </c>
      <c r="AI7" s="4" t="str">
        <f>IFERROR(LOOKUP(2,1/((#REF!=oct!$A7)*(#REF!&lt;=oct!AI$3)*(#REF!&gt;=oct!AI$3)),#REF!),IF(WEEKDAY(oct!AI$3,1)=1,"WO","P"))</f>
        <v>P</v>
      </c>
      <c r="AJ7" s="4" t="str">
        <f>IFERROR(LOOKUP(2,1/((#REF!=oct!$A7)*(#REF!&lt;=oct!AJ$3)*(#REF!&gt;=oct!AJ$3)),#REF!),IF(WEEKDAY(oct!AJ$3,1)=1,"WO","P"))</f>
        <v>P</v>
      </c>
      <c r="AK7" s="4">
        <f>COUNTIF(mar!$F7:$AJ7,"WO")</f>
        <v>5</v>
      </c>
      <c r="AL7" s="4">
        <f>COUNTIF(mar!$F7:$AJ7,"H")</f>
        <v>2</v>
      </c>
      <c r="AM7" s="4">
        <f>COUNTIF(mar!$F7:$AJ7,"pl")</f>
        <v>0</v>
      </c>
      <c r="AN7" s="4">
        <f>COUNTIF(mar!$F7:$AJ7,"LWP")</f>
        <v>0</v>
      </c>
      <c r="AO7" s="4">
        <f>COUNTIF(mar!$F7:$AJ7,"HD")</f>
        <v>0</v>
      </c>
      <c r="AP7" s="4">
        <f>COUNTIF(mar!$F7:$AJ7,"SL")</f>
        <v>0</v>
      </c>
      <c r="AQ7" s="4">
        <f>COUNTIF(mar!$F7:$AJ7,"CL")</f>
        <v>0</v>
      </c>
      <c r="AR7" s="4">
        <f>COUNTIF(mar!$F7:$AJ7,"A")</f>
        <v>2</v>
      </c>
      <c r="AS7" s="4">
        <f>COUNTIF(mar!$F7:$AJ7,"P")</f>
        <v>22</v>
      </c>
      <c r="AT7" s="4">
        <f t="shared" si="2"/>
        <v>31</v>
      </c>
      <c r="AU7" s="4">
        <f t="shared" si="3"/>
        <v>29</v>
      </c>
      <c r="AV7" s="4">
        <f>SUMIFS(holly!$L$2:$L$122,holly!$I$2:$I$122,mar!$A7,holly!$K$2:$K$122,"Mar")</f>
        <v>0</v>
      </c>
    </row>
    <row r="8" spans="1:48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IFERROR(LOOKUP(2,1/((#REF!=oct!$A8)*(#REF!&lt;=oct!F$3)*(#REF!&gt;=oct!F$3)),#REF!),IF(WEEKDAY(oct!F$3,1)=1,"WO","P"))</f>
        <v>P</v>
      </c>
      <c r="G8" s="4" t="str">
        <f>IFERROR(LOOKUP(2,1/((#REF!=oct!$A8)*(#REF!&lt;=oct!G$3)*(#REF!&gt;=oct!G$3)),#REF!),IF(WEEKDAY(oct!G$3,1)=1,"WO","P"))</f>
        <v>P</v>
      </c>
      <c r="H8" s="4" t="str">
        <f>IFERROR(LOOKUP(2,1/((#REF!=oct!$A8)*(#REF!&lt;=oct!H$3)*(#REF!&gt;=oct!H$3)),#REF!),IF(WEEKDAY(oct!H$3,1)=1,"WO","P"))</f>
        <v>P</v>
      </c>
      <c r="I8" s="4" t="str">
        <f>IFERROR(LOOKUP(2,1/((#REF!=oct!$A8)*(#REF!&lt;=oct!I$3)*(#REF!&gt;=oct!I$3)),#REF!),IF(WEEKDAY(oct!I$3,1)=1,"WO","P"))</f>
        <v>WO</v>
      </c>
      <c r="J8" s="4" t="str">
        <f>IFERROR(LOOKUP(2,1/((#REF!=oct!$A8)*(#REF!&lt;=oct!J$3)*(#REF!&gt;=oct!J$3)),#REF!),IF(WEEKDAY(oct!J$3,1)=1,"WO","P"))</f>
        <v>P</v>
      </c>
      <c r="K8" s="4" t="str">
        <f>IFERROR(LOOKUP(2,1/((#REF!=oct!$A8)*(#REF!&lt;=oct!K$3)*(#REF!&gt;=oct!K$3)),#REF!),IF(WEEKDAY(oct!K$3,1)=1,"WO","P"))</f>
        <v>P</v>
      </c>
      <c r="L8" s="4" t="str">
        <f>IFERROR(LOOKUP(2,1/((#REF!=oct!$A8)*(#REF!&lt;=oct!L$3)*(#REF!&gt;=oct!L$3)),#REF!),IF(WEEKDAY(oct!L$3,1)=1,"WO","P"))</f>
        <v>P</v>
      </c>
      <c r="M8" s="4" t="str">
        <f>IFERROR(LOOKUP(2,1/((#REF!=oct!$A8)*(#REF!&lt;=oct!M$3)*(#REF!&gt;=oct!M$3)),#REF!),IF(WEEKDAY(oct!M$3,1)=1,"WO","P"))</f>
        <v>P</v>
      </c>
      <c r="N8" s="4" t="str">
        <f>IFERROR(LOOKUP(2,1/((#REF!=oct!$A8)*(#REF!&lt;=oct!N$3)*(#REF!&gt;=oct!N$3)),#REF!),IF(WEEKDAY(oct!N$3,1)=1,"WO","P"))</f>
        <v>P</v>
      </c>
      <c r="O8" s="4" t="str">
        <f>IFERROR(LOOKUP(2,1/((#REF!=oct!$A8)*(#REF!&lt;=oct!O$3)*(#REF!&gt;=oct!O$3)),#REF!),IF(WEEKDAY(oct!O$3,1)=1,"WO","P"))</f>
        <v>P</v>
      </c>
      <c r="P8" s="4" t="str">
        <f>IFERROR(LOOKUP(2,1/((#REF!=oct!$A8)*(#REF!&lt;=oct!P$3)*(#REF!&gt;=oct!P$3)),#REF!),IF(WEEKDAY(oct!P$3,1)=1,"WO","P"))</f>
        <v>WO</v>
      </c>
      <c r="Q8" s="4" t="str">
        <f>IFERROR(LOOKUP(2,1/((#REF!=oct!$A8)*(#REF!&lt;=oct!Q$3)*(#REF!&gt;=oct!Q$3)),#REF!),IF(WEEKDAY(oct!Q$3,1)=1,"WO","P"))</f>
        <v>P</v>
      </c>
      <c r="R8" s="4" t="str">
        <f>IFERROR(LOOKUP(2,1/((#REF!=oct!$A8)*(#REF!&lt;=oct!R$3)*(#REF!&gt;=oct!R$3)),#REF!),IF(WEEKDAY(oct!R$3,1)=1,"WO","P"))</f>
        <v>P</v>
      </c>
      <c r="S8" s="4" t="str">
        <f>IFERROR(LOOKUP(2,1/((#REF!=oct!$A8)*(#REF!&lt;=oct!S$3)*(#REF!&gt;=oct!S$3)),#REF!),IF(WEEKDAY(oct!S$3,1)=1,"WO","P"))</f>
        <v>P</v>
      </c>
      <c r="T8" s="4" t="str">
        <f>IFERROR(LOOKUP(2,1/((#REF!=oct!$A8)*(#REF!&lt;=oct!T$3)*(#REF!&gt;=oct!T$3)),#REF!),IF(WEEKDAY(oct!T$3,1)=1,"WO","P"))</f>
        <v>P</v>
      </c>
      <c r="U8" s="4" t="str">
        <f>IFERROR(LOOKUP(2,1/((#REF!=oct!$A8)*(#REF!&lt;=oct!U$3)*(#REF!&gt;=oct!U$3)),#REF!),IF(WEEKDAY(oct!U$3,1)=1,"WO","P"))</f>
        <v>P</v>
      </c>
      <c r="V8" s="4" t="str">
        <f>IFERROR(LOOKUP(2,1/((#REF!=oct!$A8)*(#REF!&lt;=oct!V$3)*(#REF!&gt;=oct!V$3)),#REF!),IF(WEEKDAY(oct!V$3,1)=1,"WO","P"))</f>
        <v>P</v>
      </c>
      <c r="W8" s="4" t="str">
        <f>IFERROR(LOOKUP(2,1/((#REF!=oct!$A8)*(#REF!&lt;=oct!W$3)*(#REF!&gt;=oct!W$3)),#REF!),IF(WEEKDAY(oct!W$3,1)=1,"WO","P"))</f>
        <v>WO</v>
      </c>
      <c r="X8" s="4" t="str">
        <f>IFERROR(LOOKUP(2,1/((#REF!=oct!$A8)*(#REF!&lt;=oct!X$3)*(#REF!&gt;=oct!X$3)),#REF!),IF(WEEKDAY(oct!X$3,1)=1,"WO","P"))</f>
        <v>P</v>
      </c>
      <c r="Y8" s="4" t="str">
        <f>IFERROR(LOOKUP(2,1/((#REF!=oct!$A8)*(#REF!&lt;=oct!Y$3)*(#REF!&gt;=oct!Y$3)),#REF!),IF(WEEKDAY(oct!Y$3,1)=1,"WO","P"))</f>
        <v>P</v>
      </c>
      <c r="Z8" s="4" t="str">
        <f>IFERROR(LOOKUP(2,1/((#REF!=oct!$A8)*(#REF!&lt;=oct!Z$3)*(#REF!&gt;=oct!Z$3)),#REF!),IF(WEEKDAY(oct!Z$3,1)=1,"WO","P"))</f>
        <v>P</v>
      </c>
      <c r="AA8" s="4" t="str">
        <f>IFERROR(LOOKUP(2,1/((#REF!=oct!$A8)*(#REF!&lt;=oct!AA$3)*(#REF!&gt;=oct!AA$3)),#REF!),IF(WEEKDAY(oct!AA$3,1)=1,"WO","P"))</f>
        <v>P</v>
      </c>
      <c r="AB8" s="4" t="str">
        <f>IFERROR(LOOKUP(2,1/((#REF!=oct!$A8)*(#REF!&lt;=oct!AB$3)*(#REF!&gt;=oct!AB$3)),#REF!),IF(WEEKDAY(oct!AB$3,1)=1,"WO","P"))</f>
        <v>P</v>
      </c>
      <c r="AC8" s="4" t="str">
        <f>IFERROR(LOOKUP(2,1/((#REF!=oct!$A8)*(#REF!&lt;=oct!AC$3)*(#REF!&gt;=oct!AC$3)),#REF!),IF(WEEKDAY(oct!AC$3,1)=1,"WO","P"))</f>
        <v>P</v>
      </c>
      <c r="AD8" s="4" t="str">
        <f>IFERROR(LOOKUP(2,1/((#REF!=oct!$A8)*(#REF!&lt;=oct!AD$3)*(#REF!&gt;=oct!AD$3)),#REF!),IF(WEEKDAY(oct!AD$3,1)=1,"WO","P"))</f>
        <v>WO</v>
      </c>
      <c r="AE8" s="4" t="str">
        <f>IFERROR(LOOKUP(2,1/((#REF!=oct!$A8)*(#REF!&lt;=oct!AE$3)*(#REF!&gt;=oct!AE$3)),#REF!),IF(WEEKDAY(oct!AE$3,1)=1,"WO","P"))</f>
        <v>P</v>
      </c>
      <c r="AF8" s="4" t="str">
        <f>IFERROR(LOOKUP(2,1/((#REF!=oct!$A8)*(#REF!&lt;=oct!AF$3)*(#REF!&gt;=oct!AF$3)),#REF!),IF(WEEKDAY(oct!AF$3,1)=1,"WO","P"))</f>
        <v>P</v>
      </c>
      <c r="AG8" s="4" t="str">
        <f>IFERROR(LOOKUP(2,1/((#REF!=oct!$A8)*(#REF!&lt;=oct!AG$3)*(#REF!&gt;=oct!AG$3)),#REF!),IF(WEEKDAY(oct!AG$3,1)=1,"WO","P"))</f>
        <v>P</v>
      </c>
      <c r="AH8" s="4" t="str">
        <f>IFERROR(LOOKUP(2,1/((#REF!=oct!$A8)*(#REF!&lt;=oct!AH$3)*(#REF!&gt;=oct!AH$3)),#REF!),IF(WEEKDAY(oct!AH$3,1)=1,"WO","P"))</f>
        <v>P</v>
      </c>
      <c r="AI8" s="4" t="str">
        <f>IFERROR(LOOKUP(2,1/((#REF!=oct!$A8)*(#REF!&lt;=oct!AI$3)*(#REF!&gt;=oct!AI$3)),#REF!),IF(WEEKDAY(oct!AI$3,1)=1,"WO","P"))</f>
        <v>P</v>
      </c>
      <c r="AJ8" s="4" t="str">
        <f>IFERROR(LOOKUP(2,1/((#REF!=oct!$A8)*(#REF!&lt;=oct!AJ$3)*(#REF!&gt;=oct!AJ$3)),#REF!),IF(WEEKDAY(oct!AJ$3,1)=1,"WO","P"))</f>
        <v>P</v>
      </c>
      <c r="AK8" s="4">
        <f>COUNTIF(mar!$F8:$AJ8,"WO")</f>
        <v>5</v>
      </c>
      <c r="AL8" s="4">
        <f>COUNTIF(mar!$F8:$AJ8,"H")</f>
        <v>2</v>
      </c>
      <c r="AM8" s="4">
        <f>COUNTIF(mar!$F8:$AJ8,"pl")</f>
        <v>0</v>
      </c>
      <c r="AN8" s="4">
        <f>COUNTIF(mar!$F8:$AJ8,"LWP")</f>
        <v>0</v>
      </c>
      <c r="AO8" s="4">
        <f>COUNTIF(mar!$F8:$AJ8,"HD")</f>
        <v>0</v>
      </c>
      <c r="AP8" s="4">
        <f>COUNTIF(mar!$F8:$AJ8,"SL")</f>
        <v>0</v>
      </c>
      <c r="AQ8" s="4">
        <f>COUNTIF(mar!$F8:$AJ8,"CL")</f>
        <v>0</v>
      </c>
      <c r="AR8" s="4">
        <f>COUNTIF(mar!$F8:$AJ8,"A")</f>
        <v>1</v>
      </c>
      <c r="AS8" s="4">
        <f>COUNTIF(mar!$F8:$AJ8,"P")</f>
        <v>23</v>
      </c>
      <c r="AT8" s="4">
        <f t="shared" si="2"/>
        <v>31</v>
      </c>
      <c r="AU8" s="4">
        <f t="shared" si="3"/>
        <v>30</v>
      </c>
      <c r="AV8" s="4">
        <f>SUMIFS(holly!$L$2:$L$122,holly!$I$2:$I$122,mar!$A8,holly!$K$2:$K$122,"Mar")</f>
        <v>2</v>
      </c>
    </row>
    <row r="9" spans="1:48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IFERROR(LOOKUP(2,1/((#REF!=oct!$A9)*(#REF!&lt;=oct!F$3)*(#REF!&gt;=oct!F$3)),#REF!),IF(WEEKDAY(oct!F$3,1)=1,"WO","P"))</f>
        <v>P</v>
      </c>
      <c r="G9" s="4" t="str">
        <f>IFERROR(LOOKUP(2,1/((#REF!=oct!$A9)*(#REF!&lt;=oct!G$3)*(#REF!&gt;=oct!G$3)),#REF!),IF(WEEKDAY(oct!G$3,1)=1,"WO","P"))</f>
        <v>P</v>
      </c>
      <c r="H9" s="4" t="str">
        <f>IFERROR(LOOKUP(2,1/((#REF!=oct!$A9)*(#REF!&lt;=oct!H$3)*(#REF!&gt;=oct!H$3)),#REF!),IF(WEEKDAY(oct!H$3,1)=1,"WO","P"))</f>
        <v>P</v>
      </c>
      <c r="I9" s="4" t="str">
        <f>IFERROR(LOOKUP(2,1/((#REF!=oct!$A9)*(#REF!&lt;=oct!I$3)*(#REF!&gt;=oct!I$3)),#REF!),IF(WEEKDAY(oct!I$3,1)=1,"WO","P"))</f>
        <v>WO</v>
      </c>
      <c r="J9" s="4" t="str">
        <f>IFERROR(LOOKUP(2,1/((#REF!=oct!$A9)*(#REF!&lt;=oct!J$3)*(#REF!&gt;=oct!J$3)),#REF!),IF(WEEKDAY(oct!J$3,1)=1,"WO","P"))</f>
        <v>P</v>
      </c>
      <c r="K9" s="4" t="str">
        <f>IFERROR(LOOKUP(2,1/((#REF!=oct!$A9)*(#REF!&lt;=oct!K$3)*(#REF!&gt;=oct!K$3)),#REF!),IF(WEEKDAY(oct!K$3,1)=1,"WO","P"))</f>
        <v>P</v>
      </c>
      <c r="L9" s="4" t="str">
        <f>IFERROR(LOOKUP(2,1/((#REF!=oct!$A9)*(#REF!&lt;=oct!L$3)*(#REF!&gt;=oct!L$3)),#REF!),IF(WEEKDAY(oct!L$3,1)=1,"WO","P"))</f>
        <v>P</v>
      </c>
      <c r="M9" s="4" t="str">
        <f>IFERROR(LOOKUP(2,1/((#REF!=oct!$A9)*(#REF!&lt;=oct!M$3)*(#REF!&gt;=oct!M$3)),#REF!),IF(WEEKDAY(oct!M$3,1)=1,"WO","P"))</f>
        <v>P</v>
      </c>
      <c r="N9" s="4" t="str">
        <f>IFERROR(LOOKUP(2,1/((#REF!=oct!$A9)*(#REF!&lt;=oct!N$3)*(#REF!&gt;=oct!N$3)),#REF!),IF(WEEKDAY(oct!N$3,1)=1,"WO","P"))</f>
        <v>P</v>
      </c>
      <c r="O9" s="4" t="str">
        <f>IFERROR(LOOKUP(2,1/((#REF!=oct!$A9)*(#REF!&lt;=oct!O$3)*(#REF!&gt;=oct!O$3)),#REF!),IF(WEEKDAY(oct!O$3,1)=1,"WO","P"))</f>
        <v>P</v>
      </c>
      <c r="P9" s="4" t="str">
        <f>IFERROR(LOOKUP(2,1/((#REF!=oct!$A9)*(#REF!&lt;=oct!P$3)*(#REF!&gt;=oct!P$3)),#REF!),IF(WEEKDAY(oct!P$3,1)=1,"WO","P"))</f>
        <v>WO</v>
      </c>
      <c r="Q9" s="4" t="str">
        <f>IFERROR(LOOKUP(2,1/((#REF!=oct!$A9)*(#REF!&lt;=oct!Q$3)*(#REF!&gt;=oct!Q$3)),#REF!),IF(WEEKDAY(oct!Q$3,1)=1,"WO","P"))</f>
        <v>P</v>
      </c>
      <c r="R9" s="4" t="str">
        <f>IFERROR(LOOKUP(2,1/((#REF!=oct!$A9)*(#REF!&lt;=oct!R$3)*(#REF!&gt;=oct!R$3)),#REF!),IF(WEEKDAY(oct!R$3,1)=1,"WO","P"))</f>
        <v>P</v>
      </c>
      <c r="S9" s="4" t="str">
        <f>IFERROR(LOOKUP(2,1/((#REF!=oct!$A9)*(#REF!&lt;=oct!S$3)*(#REF!&gt;=oct!S$3)),#REF!),IF(WEEKDAY(oct!S$3,1)=1,"WO","P"))</f>
        <v>P</v>
      </c>
      <c r="T9" s="4" t="str">
        <f>IFERROR(LOOKUP(2,1/((#REF!=oct!$A9)*(#REF!&lt;=oct!T$3)*(#REF!&gt;=oct!T$3)),#REF!),IF(WEEKDAY(oct!T$3,1)=1,"WO","P"))</f>
        <v>P</v>
      </c>
      <c r="U9" s="4" t="str">
        <f>IFERROR(LOOKUP(2,1/((#REF!=oct!$A9)*(#REF!&lt;=oct!U$3)*(#REF!&gt;=oct!U$3)),#REF!),IF(WEEKDAY(oct!U$3,1)=1,"WO","P"))</f>
        <v>P</v>
      </c>
      <c r="V9" s="4" t="str">
        <f>IFERROR(LOOKUP(2,1/((#REF!=oct!$A9)*(#REF!&lt;=oct!V$3)*(#REF!&gt;=oct!V$3)),#REF!),IF(WEEKDAY(oct!V$3,1)=1,"WO","P"))</f>
        <v>P</v>
      </c>
      <c r="W9" s="4" t="str">
        <f>IFERROR(LOOKUP(2,1/((#REF!=oct!$A9)*(#REF!&lt;=oct!W$3)*(#REF!&gt;=oct!W$3)),#REF!),IF(WEEKDAY(oct!W$3,1)=1,"WO","P"))</f>
        <v>WO</v>
      </c>
      <c r="X9" s="4" t="str">
        <f>IFERROR(LOOKUP(2,1/((#REF!=oct!$A9)*(#REF!&lt;=oct!X$3)*(#REF!&gt;=oct!X$3)),#REF!),IF(WEEKDAY(oct!X$3,1)=1,"WO","P"))</f>
        <v>P</v>
      </c>
      <c r="Y9" s="4" t="str">
        <f>IFERROR(LOOKUP(2,1/((#REF!=oct!$A9)*(#REF!&lt;=oct!Y$3)*(#REF!&gt;=oct!Y$3)),#REF!),IF(WEEKDAY(oct!Y$3,1)=1,"WO","P"))</f>
        <v>P</v>
      </c>
      <c r="Z9" s="4" t="str">
        <f>IFERROR(LOOKUP(2,1/((#REF!=oct!$A9)*(#REF!&lt;=oct!Z$3)*(#REF!&gt;=oct!Z$3)),#REF!),IF(WEEKDAY(oct!Z$3,1)=1,"WO","P"))</f>
        <v>P</v>
      </c>
      <c r="AA9" s="4" t="str">
        <f>IFERROR(LOOKUP(2,1/((#REF!=oct!$A9)*(#REF!&lt;=oct!AA$3)*(#REF!&gt;=oct!AA$3)),#REF!),IF(WEEKDAY(oct!AA$3,1)=1,"WO","P"))</f>
        <v>P</v>
      </c>
      <c r="AB9" s="4" t="str">
        <f>IFERROR(LOOKUP(2,1/((#REF!=oct!$A9)*(#REF!&lt;=oct!AB$3)*(#REF!&gt;=oct!AB$3)),#REF!),IF(WEEKDAY(oct!AB$3,1)=1,"WO","P"))</f>
        <v>P</v>
      </c>
      <c r="AC9" s="4" t="str">
        <f>IFERROR(LOOKUP(2,1/((#REF!=oct!$A9)*(#REF!&lt;=oct!AC$3)*(#REF!&gt;=oct!AC$3)),#REF!),IF(WEEKDAY(oct!AC$3,1)=1,"WO","P"))</f>
        <v>P</v>
      </c>
      <c r="AD9" s="4" t="str">
        <f>IFERROR(LOOKUP(2,1/((#REF!=oct!$A9)*(#REF!&lt;=oct!AD$3)*(#REF!&gt;=oct!AD$3)),#REF!),IF(WEEKDAY(oct!AD$3,1)=1,"WO","P"))</f>
        <v>WO</v>
      </c>
      <c r="AE9" s="4" t="str">
        <f>IFERROR(LOOKUP(2,1/((#REF!=oct!$A9)*(#REF!&lt;=oct!AE$3)*(#REF!&gt;=oct!AE$3)),#REF!),IF(WEEKDAY(oct!AE$3,1)=1,"WO","P"))</f>
        <v>P</v>
      </c>
      <c r="AF9" s="4" t="str">
        <f>IFERROR(LOOKUP(2,1/((#REF!=oct!$A9)*(#REF!&lt;=oct!AF$3)*(#REF!&gt;=oct!AF$3)),#REF!),IF(WEEKDAY(oct!AF$3,1)=1,"WO","P"))</f>
        <v>P</v>
      </c>
      <c r="AG9" s="4" t="str">
        <f>IFERROR(LOOKUP(2,1/((#REF!=oct!$A9)*(#REF!&lt;=oct!AG$3)*(#REF!&gt;=oct!AG$3)),#REF!),IF(WEEKDAY(oct!AG$3,1)=1,"WO","P"))</f>
        <v>P</v>
      </c>
      <c r="AH9" s="4" t="str">
        <f>IFERROR(LOOKUP(2,1/((#REF!=oct!$A9)*(#REF!&lt;=oct!AH$3)*(#REF!&gt;=oct!AH$3)),#REF!),IF(WEEKDAY(oct!AH$3,1)=1,"WO","P"))</f>
        <v>P</v>
      </c>
      <c r="AI9" s="4" t="str">
        <f>IFERROR(LOOKUP(2,1/((#REF!=oct!$A9)*(#REF!&lt;=oct!AI$3)*(#REF!&gt;=oct!AI$3)),#REF!),IF(WEEKDAY(oct!AI$3,1)=1,"WO","P"))</f>
        <v>P</v>
      </c>
      <c r="AJ9" s="4" t="str">
        <f>IFERROR(LOOKUP(2,1/((#REF!=oct!$A9)*(#REF!&lt;=oct!AJ$3)*(#REF!&gt;=oct!AJ$3)),#REF!),IF(WEEKDAY(oct!AJ$3,1)=1,"WO","P"))</f>
        <v>P</v>
      </c>
      <c r="AK9" s="4">
        <f>COUNTIF(mar!$F9:$AJ9,"WO")</f>
        <v>5</v>
      </c>
      <c r="AL9" s="4">
        <f>COUNTIF(mar!$F9:$AJ9,"H")</f>
        <v>2</v>
      </c>
      <c r="AM9" s="4">
        <f>COUNTIF(mar!$F9:$AJ9,"pl")</f>
        <v>0</v>
      </c>
      <c r="AN9" s="4">
        <f>COUNTIF(mar!$F9:$AJ9,"LWP")</f>
        <v>0</v>
      </c>
      <c r="AO9" s="4">
        <f>COUNTIF(mar!$F9:$AJ9,"HD")</f>
        <v>0</v>
      </c>
      <c r="AP9" s="4">
        <f>COUNTIF(mar!$F9:$AJ9,"SL")</f>
        <v>0</v>
      </c>
      <c r="AQ9" s="4">
        <f>COUNTIF(mar!$F9:$AJ9,"CL")</f>
        <v>0</v>
      </c>
      <c r="AR9" s="4">
        <f>COUNTIF(mar!$F9:$AJ9,"A")</f>
        <v>2</v>
      </c>
      <c r="AS9" s="4">
        <f>COUNTIF(mar!$F9:$AJ9,"P")</f>
        <v>22</v>
      </c>
      <c r="AT9" s="4">
        <f t="shared" si="2"/>
        <v>31</v>
      </c>
      <c r="AU9" s="4">
        <f t="shared" si="3"/>
        <v>29</v>
      </c>
      <c r="AV9" s="4">
        <f>SUMIFS(holly!$L$2:$L$122,holly!$I$2:$I$122,mar!$A9,holly!$K$2:$K$122,"Mar")</f>
        <v>1</v>
      </c>
    </row>
    <row r="10" spans="1:48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IFERROR(LOOKUP(2,1/((#REF!=oct!$A10)*(#REF!&lt;=oct!F$3)*(#REF!&gt;=oct!F$3)),#REF!),IF(WEEKDAY(oct!F$3,1)=1,"WO","P"))</f>
        <v>P</v>
      </c>
      <c r="G10" s="4" t="str">
        <f>IFERROR(LOOKUP(2,1/((#REF!=oct!$A10)*(#REF!&lt;=oct!G$3)*(#REF!&gt;=oct!G$3)),#REF!),IF(WEEKDAY(oct!G$3,1)=1,"WO","P"))</f>
        <v>P</v>
      </c>
      <c r="H10" s="4" t="str">
        <f>IFERROR(LOOKUP(2,1/((#REF!=oct!$A10)*(#REF!&lt;=oct!H$3)*(#REF!&gt;=oct!H$3)),#REF!),IF(WEEKDAY(oct!H$3,1)=1,"WO","P"))</f>
        <v>P</v>
      </c>
      <c r="I10" s="4" t="str">
        <f>IFERROR(LOOKUP(2,1/((#REF!=oct!$A10)*(#REF!&lt;=oct!I$3)*(#REF!&gt;=oct!I$3)),#REF!),IF(WEEKDAY(oct!I$3,1)=1,"WO","P"))</f>
        <v>WO</v>
      </c>
      <c r="J10" s="4" t="str">
        <f>IFERROR(LOOKUP(2,1/((#REF!=oct!$A10)*(#REF!&lt;=oct!J$3)*(#REF!&gt;=oct!J$3)),#REF!),IF(WEEKDAY(oct!J$3,1)=1,"WO","P"))</f>
        <v>P</v>
      </c>
      <c r="K10" s="4" t="str">
        <f>IFERROR(LOOKUP(2,1/((#REF!=oct!$A10)*(#REF!&lt;=oct!K$3)*(#REF!&gt;=oct!K$3)),#REF!),IF(WEEKDAY(oct!K$3,1)=1,"WO","P"))</f>
        <v>P</v>
      </c>
      <c r="L10" s="4" t="str">
        <f>IFERROR(LOOKUP(2,1/((#REF!=oct!$A10)*(#REF!&lt;=oct!L$3)*(#REF!&gt;=oct!L$3)),#REF!),IF(WEEKDAY(oct!L$3,1)=1,"WO","P"))</f>
        <v>P</v>
      </c>
      <c r="M10" s="4" t="str">
        <f>IFERROR(LOOKUP(2,1/((#REF!=oct!$A10)*(#REF!&lt;=oct!M$3)*(#REF!&gt;=oct!M$3)),#REF!),IF(WEEKDAY(oct!M$3,1)=1,"WO","P"))</f>
        <v>P</v>
      </c>
      <c r="N10" s="4" t="str">
        <f>IFERROR(LOOKUP(2,1/((#REF!=oct!$A10)*(#REF!&lt;=oct!N$3)*(#REF!&gt;=oct!N$3)),#REF!),IF(WEEKDAY(oct!N$3,1)=1,"WO","P"))</f>
        <v>P</v>
      </c>
      <c r="O10" s="4" t="str">
        <f>IFERROR(LOOKUP(2,1/((#REF!=oct!$A10)*(#REF!&lt;=oct!O$3)*(#REF!&gt;=oct!O$3)),#REF!),IF(WEEKDAY(oct!O$3,1)=1,"WO","P"))</f>
        <v>P</v>
      </c>
      <c r="P10" s="4" t="str">
        <f>IFERROR(LOOKUP(2,1/((#REF!=oct!$A10)*(#REF!&lt;=oct!P$3)*(#REF!&gt;=oct!P$3)),#REF!),IF(WEEKDAY(oct!P$3,1)=1,"WO","P"))</f>
        <v>WO</v>
      </c>
      <c r="Q10" s="4" t="str">
        <f>IFERROR(LOOKUP(2,1/((#REF!=oct!$A10)*(#REF!&lt;=oct!Q$3)*(#REF!&gt;=oct!Q$3)),#REF!),IF(WEEKDAY(oct!Q$3,1)=1,"WO","P"))</f>
        <v>P</v>
      </c>
      <c r="R10" s="4" t="str">
        <f>IFERROR(LOOKUP(2,1/((#REF!=oct!$A10)*(#REF!&lt;=oct!R$3)*(#REF!&gt;=oct!R$3)),#REF!),IF(WEEKDAY(oct!R$3,1)=1,"WO","P"))</f>
        <v>P</v>
      </c>
      <c r="S10" s="4" t="str">
        <f>IFERROR(LOOKUP(2,1/((#REF!=oct!$A10)*(#REF!&lt;=oct!S$3)*(#REF!&gt;=oct!S$3)),#REF!),IF(WEEKDAY(oct!S$3,1)=1,"WO","P"))</f>
        <v>P</v>
      </c>
      <c r="T10" s="4" t="str">
        <f>IFERROR(LOOKUP(2,1/((#REF!=oct!$A10)*(#REF!&lt;=oct!T$3)*(#REF!&gt;=oct!T$3)),#REF!),IF(WEEKDAY(oct!T$3,1)=1,"WO","P"))</f>
        <v>P</v>
      </c>
      <c r="U10" s="4" t="str">
        <f>IFERROR(LOOKUP(2,1/((#REF!=oct!$A10)*(#REF!&lt;=oct!U$3)*(#REF!&gt;=oct!U$3)),#REF!),IF(WEEKDAY(oct!U$3,1)=1,"WO","P"))</f>
        <v>P</v>
      </c>
      <c r="V10" s="4" t="str">
        <f>IFERROR(LOOKUP(2,1/((#REF!=oct!$A10)*(#REF!&lt;=oct!V$3)*(#REF!&gt;=oct!V$3)),#REF!),IF(WEEKDAY(oct!V$3,1)=1,"WO","P"))</f>
        <v>P</v>
      </c>
      <c r="W10" s="4" t="str">
        <f>IFERROR(LOOKUP(2,1/((#REF!=oct!$A10)*(#REF!&lt;=oct!W$3)*(#REF!&gt;=oct!W$3)),#REF!),IF(WEEKDAY(oct!W$3,1)=1,"WO","P"))</f>
        <v>WO</v>
      </c>
      <c r="X10" s="4" t="str">
        <f>IFERROR(LOOKUP(2,1/((#REF!=oct!$A10)*(#REF!&lt;=oct!X$3)*(#REF!&gt;=oct!X$3)),#REF!),IF(WEEKDAY(oct!X$3,1)=1,"WO","P"))</f>
        <v>P</v>
      </c>
      <c r="Y10" s="4" t="str">
        <f>IFERROR(LOOKUP(2,1/((#REF!=oct!$A10)*(#REF!&lt;=oct!Y$3)*(#REF!&gt;=oct!Y$3)),#REF!),IF(WEEKDAY(oct!Y$3,1)=1,"WO","P"))</f>
        <v>P</v>
      </c>
      <c r="Z10" s="4" t="str">
        <f>IFERROR(LOOKUP(2,1/((#REF!=oct!$A10)*(#REF!&lt;=oct!Z$3)*(#REF!&gt;=oct!Z$3)),#REF!),IF(WEEKDAY(oct!Z$3,1)=1,"WO","P"))</f>
        <v>P</v>
      </c>
      <c r="AA10" s="4" t="str">
        <f>IFERROR(LOOKUP(2,1/((#REF!=oct!$A10)*(#REF!&lt;=oct!AA$3)*(#REF!&gt;=oct!AA$3)),#REF!),IF(WEEKDAY(oct!AA$3,1)=1,"WO","P"))</f>
        <v>P</v>
      </c>
      <c r="AB10" s="4" t="str">
        <f>IFERROR(LOOKUP(2,1/((#REF!=oct!$A10)*(#REF!&lt;=oct!AB$3)*(#REF!&gt;=oct!AB$3)),#REF!),IF(WEEKDAY(oct!AB$3,1)=1,"WO","P"))</f>
        <v>P</v>
      </c>
      <c r="AC10" s="4" t="str">
        <f>IFERROR(LOOKUP(2,1/((#REF!=oct!$A10)*(#REF!&lt;=oct!AC$3)*(#REF!&gt;=oct!AC$3)),#REF!),IF(WEEKDAY(oct!AC$3,1)=1,"WO","P"))</f>
        <v>P</v>
      </c>
      <c r="AD10" s="4" t="str">
        <f>IFERROR(LOOKUP(2,1/((#REF!=oct!$A10)*(#REF!&lt;=oct!AD$3)*(#REF!&gt;=oct!AD$3)),#REF!),IF(WEEKDAY(oct!AD$3,1)=1,"WO","P"))</f>
        <v>WO</v>
      </c>
      <c r="AE10" s="4" t="str">
        <f>IFERROR(LOOKUP(2,1/((#REF!=oct!$A10)*(#REF!&lt;=oct!AE$3)*(#REF!&gt;=oct!AE$3)),#REF!),IF(WEEKDAY(oct!AE$3,1)=1,"WO","P"))</f>
        <v>P</v>
      </c>
      <c r="AF10" s="4" t="str">
        <f>IFERROR(LOOKUP(2,1/((#REF!=oct!$A10)*(#REF!&lt;=oct!AF$3)*(#REF!&gt;=oct!AF$3)),#REF!),IF(WEEKDAY(oct!AF$3,1)=1,"WO","P"))</f>
        <v>P</v>
      </c>
      <c r="AG10" s="4" t="str">
        <f>IFERROR(LOOKUP(2,1/((#REF!=oct!$A10)*(#REF!&lt;=oct!AG$3)*(#REF!&gt;=oct!AG$3)),#REF!),IF(WEEKDAY(oct!AG$3,1)=1,"WO","P"))</f>
        <v>P</v>
      </c>
      <c r="AH10" s="4" t="str">
        <f>IFERROR(LOOKUP(2,1/((#REF!=oct!$A10)*(#REF!&lt;=oct!AH$3)*(#REF!&gt;=oct!AH$3)),#REF!),IF(WEEKDAY(oct!AH$3,1)=1,"WO","P"))</f>
        <v>P</v>
      </c>
      <c r="AI10" s="4" t="str">
        <f>IFERROR(LOOKUP(2,1/((#REF!=oct!$A10)*(#REF!&lt;=oct!AI$3)*(#REF!&gt;=oct!AI$3)),#REF!),IF(WEEKDAY(oct!AI$3,1)=1,"WO","P"))</f>
        <v>P</v>
      </c>
      <c r="AJ10" s="4" t="str">
        <f>IFERROR(LOOKUP(2,1/((#REF!=oct!$A10)*(#REF!&lt;=oct!AJ$3)*(#REF!&gt;=oct!AJ$3)),#REF!),IF(WEEKDAY(oct!AJ$3,1)=1,"WO","P"))</f>
        <v>P</v>
      </c>
      <c r="AK10" s="4">
        <f>COUNTIF(mar!$F10:$AJ10,"WO")</f>
        <v>5</v>
      </c>
      <c r="AL10" s="4">
        <f>COUNTIF(mar!$F10:$AJ10,"H")</f>
        <v>2</v>
      </c>
      <c r="AM10" s="4">
        <f>COUNTIF(mar!$F10:$AJ10,"pl")</f>
        <v>0</v>
      </c>
      <c r="AN10" s="4">
        <f>COUNTIF(mar!$F10:$AJ10,"LWP")</f>
        <v>0</v>
      </c>
      <c r="AO10" s="4">
        <f>COUNTIF(mar!$F10:$AJ10,"HD")</f>
        <v>0</v>
      </c>
      <c r="AP10" s="4">
        <f>COUNTIF(mar!$F10:$AJ10,"SL")</f>
        <v>0</v>
      </c>
      <c r="AQ10" s="4">
        <f>COUNTIF(mar!$F10:$AJ10,"CL")</f>
        <v>0</v>
      </c>
      <c r="AR10" s="4">
        <f>COUNTIF(mar!$F10:$AJ10,"A")</f>
        <v>1</v>
      </c>
      <c r="AS10" s="4">
        <f>COUNTIF(mar!$F10:$AJ10,"P")</f>
        <v>23</v>
      </c>
      <c r="AT10" s="4">
        <f t="shared" si="2"/>
        <v>31</v>
      </c>
      <c r="AU10" s="4">
        <f t="shared" si="3"/>
        <v>30</v>
      </c>
      <c r="AV10" s="4">
        <f>SUMIFS(holly!$L$2:$L$122,holly!$I$2:$I$122,mar!$A10,holly!$K$2:$K$122,"Mar")</f>
        <v>0</v>
      </c>
    </row>
    <row r="11" spans="1:48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IFERROR(LOOKUP(2,1/((#REF!=oct!$A11)*(#REF!&lt;=oct!F$3)*(#REF!&gt;=oct!F$3)),#REF!),IF(WEEKDAY(oct!F$3,1)=1,"WO","P"))</f>
        <v>P</v>
      </c>
      <c r="G11" s="4" t="str">
        <f>IFERROR(LOOKUP(2,1/((#REF!=oct!$A11)*(#REF!&lt;=oct!G$3)*(#REF!&gt;=oct!G$3)),#REF!),IF(WEEKDAY(oct!G$3,1)=1,"WO","P"))</f>
        <v>P</v>
      </c>
      <c r="H11" s="4" t="str">
        <f>IFERROR(LOOKUP(2,1/((#REF!=oct!$A11)*(#REF!&lt;=oct!H$3)*(#REF!&gt;=oct!H$3)),#REF!),IF(WEEKDAY(oct!H$3,1)=1,"WO","P"))</f>
        <v>P</v>
      </c>
      <c r="I11" s="4" t="str">
        <f>IFERROR(LOOKUP(2,1/((#REF!=oct!$A11)*(#REF!&lt;=oct!I$3)*(#REF!&gt;=oct!I$3)),#REF!),IF(WEEKDAY(oct!I$3,1)=1,"WO","P"))</f>
        <v>WO</v>
      </c>
      <c r="J11" s="4" t="str">
        <f>IFERROR(LOOKUP(2,1/((#REF!=oct!$A11)*(#REF!&lt;=oct!J$3)*(#REF!&gt;=oct!J$3)),#REF!),IF(WEEKDAY(oct!J$3,1)=1,"WO","P"))</f>
        <v>P</v>
      </c>
      <c r="K11" s="4" t="str">
        <f>IFERROR(LOOKUP(2,1/((#REF!=oct!$A11)*(#REF!&lt;=oct!K$3)*(#REF!&gt;=oct!K$3)),#REF!),IF(WEEKDAY(oct!K$3,1)=1,"WO","P"))</f>
        <v>P</v>
      </c>
      <c r="L11" s="4" t="str">
        <f>IFERROR(LOOKUP(2,1/((#REF!=oct!$A11)*(#REF!&lt;=oct!L$3)*(#REF!&gt;=oct!L$3)),#REF!),IF(WEEKDAY(oct!L$3,1)=1,"WO","P"))</f>
        <v>P</v>
      </c>
      <c r="M11" s="4" t="str">
        <f>IFERROR(LOOKUP(2,1/((#REF!=oct!$A11)*(#REF!&lt;=oct!M$3)*(#REF!&gt;=oct!M$3)),#REF!),IF(WEEKDAY(oct!M$3,1)=1,"WO","P"))</f>
        <v>P</v>
      </c>
      <c r="N11" s="4" t="str">
        <f>IFERROR(LOOKUP(2,1/((#REF!=oct!$A11)*(#REF!&lt;=oct!N$3)*(#REF!&gt;=oct!N$3)),#REF!),IF(WEEKDAY(oct!N$3,1)=1,"WO","P"))</f>
        <v>P</v>
      </c>
      <c r="O11" s="4" t="str">
        <f>IFERROR(LOOKUP(2,1/((#REF!=oct!$A11)*(#REF!&lt;=oct!O$3)*(#REF!&gt;=oct!O$3)),#REF!),IF(WEEKDAY(oct!O$3,1)=1,"WO","P"))</f>
        <v>P</v>
      </c>
      <c r="P11" s="4" t="str">
        <f>IFERROR(LOOKUP(2,1/((#REF!=oct!$A11)*(#REF!&lt;=oct!P$3)*(#REF!&gt;=oct!P$3)),#REF!),IF(WEEKDAY(oct!P$3,1)=1,"WO","P"))</f>
        <v>WO</v>
      </c>
      <c r="Q11" s="4" t="str">
        <f>IFERROR(LOOKUP(2,1/((#REF!=oct!$A11)*(#REF!&lt;=oct!Q$3)*(#REF!&gt;=oct!Q$3)),#REF!),IF(WEEKDAY(oct!Q$3,1)=1,"WO","P"))</f>
        <v>P</v>
      </c>
      <c r="R11" s="4" t="str">
        <f>IFERROR(LOOKUP(2,1/((#REF!=oct!$A11)*(#REF!&lt;=oct!R$3)*(#REF!&gt;=oct!R$3)),#REF!),IF(WEEKDAY(oct!R$3,1)=1,"WO","P"))</f>
        <v>P</v>
      </c>
      <c r="S11" s="4" t="str">
        <f>IFERROR(LOOKUP(2,1/((#REF!=oct!$A11)*(#REF!&lt;=oct!S$3)*(#REF!&gt;=oct!S$3)),#REF!),IF(WEEKDAY(oct!S$3,1)=1,"WO","P"))</f>
        <v>P</v>
      </c>
      <c r="T11" s="4" t="str">
        <f>IFERROR(LOOKUP(2,1/((#REF!=oct!$A11)*(#REF!&lt;=oct!T$3)*(#REF!&gt;=oct!T$3)),#REF!),IF(WEEKDAY(oct!T$3,1)=1,"WO","P"))</f>
        <v>P</v>
      </c>
      <c r="U11" s="4" t="str">
        <f>IFERROR(LOOKUP(2,1/((#REF!=oct!$A11)*(#REF!&lt;=oct!U$3)*(#REF!&gt;=oct!U$3)),#REF!),IF(WEEKDAY(oct!U$3,1)=1,"WO","P"))</f>
        <v>P</v>
      </c>
      <c r="V11" s="4" t="str">
        <f>IFERROR(LOOKUP(2,1/((#REF!=oct!$A11)*(#REF!&lt;=oct!V$3)*(#REF!&gt;=oct!V$3)),#REF!),IF(WEEKDAY(oct!V$3,1)=1,"WO","P"))</f>
        <v>P</v>
      </c>
      <c r="W11" s="4" t="str">
        <f>IFERROR(LOOKUP(2,1/((#REF!=oct!$A11)*(#REF!&lt;=oct!W$3)*(#REF!&gt;=oct!W$3)),#REF!),IF(WEEKDAY(oct!W$3,1)=1,"WO","P"))</f>
        <v>WO</v>
      </c>
      <c r="X11" s="4" t="str">
        <f>IFERROR(LOOKUP(2,1/((#REF!=oct!$A11)*(#REF!&lt;=oct!X$3)*(#REF!&gt;=oct!X$3)),#REF!),IF(WEEKDAY(oct!X$3,1)=1,"WO","P"))</f>
        <v>P</v>
      </c>
      <c r="Y11" s="4" t="str">
        <f>IFERROR(LOOKUP(2,1/((#REF!=oct!$A11)*(#REF!&lt;=oct!Y$3)*(#REF!&gt;=oct!Y$3)),#REF!),IF(WEEKDAY(oct!Y$3,1)=1,"WO","P"))</f>
        <v>P</v>
      </c>
      <c r="Z11" s="4" t="str">
        <f>IFERROR(LOOKUP(2,1/((#REF!=oct!$A11)*(#REF!&lt;=oct!Z$3)*(#REF!&gt;=oct!Z$3)),#REF!),IF(WEEKDAY(oct!Z$3,1)=1,"WO","P"))</f>
        <v>P</v>
      </c>
      <c r="AA11" s="4" t="str">
        <f>IFERROR(LOOKUP(2,1/((#REF!=oct!$A11)*(#REF!&lt;=oct!AA$3)*(#REF!&gt;=oct!AA$3)),#REF!),IF(WEEKDAY(oct!AA$3,1)=1,"WO","P"))</f>
        <v>P</v>
      </c>
      <c r="AB11" s="4" t="str">
        <f>IFERROR(LOOKUP(2,1/((#REF!=oct!$A11)*(#REF!&lt;=oct!AB$3)*(#REF!&gt;=oct!AB$3)),#REF!),IF(WEEKDAY(oct!AB$3,1)=1,"WO","P"))</f>
        <v>P</v>
      </c>
      <c r="AC11" s="4" t="str">
        <f>IFERROR(LOOKUP(2,1/((#REF!=oct!$A11)*(#REF!&lt;=oct!AC$3)*(#REF!&gt;=oct!AC$3)),#REF!),IF(WEEKDAY(oct!AC$3,1)=1,"WO","P"))</f>
        <v>P</v>
      </c>
      <c r="AD11" s="4" t="str">
        <f>IFERROR(LOOKUP(2,1/((#REF!=oct!$A11)*(#REF!&lt;=oct!AD$3)*(#REF!&gt;=oct!AD$3)),#REF!),IF(WEEKDAY(oct!AD$3,1)=1,"WO","P"))</f>
        <v>WO</v>
      </c>
      <c r="AE11" s="4" t="str">
        <f>IFERROR(LOOKUP(2,1/((#REF!=oct!$A11)*(#REF!&lt;=oct!AE$3)*(#REF!&gt;=oct!AE$3)),#REF!),IF(WEEKDAY(oct!AE$3,1)=1,"WO","P"))</f>
        <v>P</v>
      </c>
      <c r="AF11" s="4" t="str">
        <f>IFERROR(LOOKUP(2,1/((#REF!=oct!$A11)*(#REF!&lt;=oct!AF$3)*(#REF!&gt;=oct!AF$3)),#REF!),IF(WEEKDAY(oct!AF$3,1)=1,"WO","P"))</f>
        <v>P</v>
      </c>
      <c r="AG11" s="4" t="str">
        <f>IFERROR(LOOKUP(2,1/((#REF!=oct!$A11)*(#REF!&lt;=oct!AG$3)*(#REF!&gt;=oct!AG$3)),#REF!),IF(WEEKDAY(oct!AG$3,1)=1,"WO","P"))</f>
        <v>P</v>
      </c>
      <c r="AH11" s="4" t="str">
        <f>IFERROR(LOOKUP(2,1/((#REF!=oct!$A11)*(#REF!&lt;=oct!AH$3)*(#REF!&gt;=oct!AH$3)),#REF!),IF(WEEKDAY(oct!AH$3,1)=1,"WO","P"))</f>
        <v>P</v>
      </c>
      <c r="AI11" s="4" t="str">
        <f>IFERROR(LOOKUP(2,1/((#REF!=oct!$A11)*(#REF!&lt;=oct!AI$3)*(#REF!&gt;=oct!AI$3)),#REF!),IF(WEEKDAY(oct!AI$3,1)=1,"WO","P"))</f>
        <v>P</v>
      </c>
      <c r="AJ11" s="4" t="str">
        <f>IFERROR(LOOKUP(2,1/((#REF!=oct!$A11)*(#REF!&lt;=oct!AJ$3)*(#REF!&gt;=oct!AJ$3)),#REF!),IF(WEEKDAY(oct!AJ$3,1)=1,"WO","P"))</f>
        <v>P</v>
      </c>
      <c r="AK11" s="4">
        <f>COUNTIF(mar!$F11:$AJ11,"WO")</f>
        <v>5</v>
      </c>
      <c r="AL11" s="4">
        <f>COUNTIF(mar!$F11:$AJ11,"H")</f>
        <v>2</v>
      </c>
      <c r="AM11" s="4">
        <f>COUNTIF(mar!$F11:$AJ11,"pl")</f>
        <v>0</v>
      </c>
      <c r="AN11" s="4">
        <f>COUNTIF(mar!$F11:$AJ11,"LWP")</f>
        <v>0</v>
      </c>
      <c r="AO11" s="4">
        <f>COUNTIF(mar!$F11:$AJ11,"HD")</f>
        <v>0</v>
      </c>
      <c r="AP11" s="4">
        <f>COUNTIF(mar!$F11:$AJ11,"SL")</f>
        <v>0</v>
      </c>
      <c r="AQ11" s="4">
        <f>COUNTIF(mar!$F11:$AJ11,"CL")</f>
        <v>0</v>
      </c>
      <c r="AR11" s="4">
        <f>COUNTIF(mar!$F11:$AJ11,"A")</f>
        <v>1</v>
      </c>
      <c r="AS11" s="4">
        <f>COUNTIF(mar!$F11:$AJ11,"P")</f>
        <v>23</v>
      </c>
      <c r="AT11" s="4">
        <f t="shared" si="2"/>
        <v>31</v>
      </c>
      <c r="AU11" s="4">
        <f t="shared" si="3"/>
        <v>30</v>
      </c>
      <c r="AV11" s="4">
        <f>SUMIFS(holly!$L$2:$L$122,holly!$I$2:$I$122,mar!$A11,holly!$K$2:$K$122,"Mar")</f>
        <v>0</v>
      </c>
    </row>
    <row r="12" spans="1:48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IFERROR(LOOKUP(2,1/((#REF!=oct!$A12)*(#REF!&lt;=oct!F$3)*(#REF!&gt;=oct!F$3)),#REF!),IF(WEEKDAY(oct!F$3,1)=1,"WO","P"))</f>
        <v>P</v>
      </c>
      <c r="G12" s="4" t="str">
        <f>IFERROR(LOOKUP(2,1/((#REF!=oct!$A12)*(#REF!&lt;=oct!G$3)*(#REF!&gt;=oct!G$3)),#REF!),IF(WEEKDAY(oct!G$3,1)=1,"WO","P"))</f>
        <v>P</v>
      </c>
      <c r="H12" s="4" t="str">
        <f>IFERROR(LOOKUP(2,1/((#REF!=oct!$A12)*(#REF!&lt;=oct!H$3)*(#REF!&gt;=oct!H$3)),#REF!),IF(WEEKDAY(oct!H$3,1)=1,"WO","P"))</f>
        <v>P</v>
      </c>
      <c r="I12" s="4" t="str">
        <f>IFERROR(LOOKUP(2,1/((#REF!=oct!$A12)*(#REF!&lt;=oct!I$3)*(#REF!&gt;=oct!I$3)),#REF!),IF(WEEKDAY(oct!I$3,1)=1,"WO","P"))</f>
        <v>WO</v>
      </c>
      <c r="J12" s="4" t="str">
        <f>IFERROR(LOOKUP(2,1/((#REF!=oct!$A12)*(#REF!&lt;=oct!J$3)*(#REF!&gt;=oct!J$3)),#REF!),IF(WEEKDAY(oct!J$3,1)=1,"WO","P"))</f>
        <v>P</v>
      </c>
      <c r="K12" s="4" t="str">
        <f>IFERROR(LOOKUP(2,1/((#REF!=oct!$A12)*(#REF!&lt;=oct!K$3)*(#REF!&gt;=oct!K$3)),#REF!),IF(WEEKDAY(oct!K$3,1)=1,"WO","P"))</f>
        <v>P</v>
      </c>
      <c r="L12" s="4" t="str">
        <f>IFERROR(LOOKUP(2,1/((#REF!=oct!$A12)*(#REF!&lt;=oct!L$3)*(#REF!&gt;=oct!L$3)),#REF!),IF(WEEKDAY(oct!L$3,1)=1,"WO","P"))</f>
        <v>P</v>
      </c>
      <c r="M12" s="4" t="str">
        <f>IFERROR(LOOKUP(2,1/((#REF!=oct!$A12)*(#REF!&lt;=oct!M$3)*(#REF!&gt;=oct!M$3)),#REF!),IF(WEEKDAY(oct!M$3,1)=1,"WO","P"))</f>
        <v>P</v>
      </c>
      <c r="N12" s="4" t="str">
        <f>IFERROR(LOOKUP(2,1/((#REF!=oct!$A12)*(#REF!&lt;=oct!N$3)*(#REF!&gt;=oct!N$3)),#REF!),IF(WEEKDAY(oct!N$3,1)=1,"WO","P"))</f>
        <v>P</v>
      </c>
      <c r="O12" s="4" t="str">
        <f>IFERROR(LOOKUP(2,1/((#REF!=oct!$A12)*(#REF!&lt;=oct!O$3)*(#REF!&gt;=oct!O$3)),#REF!),IF(WEEKDAY(oct!O$3,1)=1,"WO","P"))</f>
        <v>P</v>
      </c>
      <c r="P12" s="4" t="str">
        <f>IFERROR(LOOKUP(2,1/((#REF!=oct!$A12)*(#REF!&lt;=oct!P$3)*(#REF!&gt;=oct!P$3)),#REF!),IF(WEEKDAY(oct!P$3,1)=1,"WO","P"))</f>
        <v>WO</v>
      </c>
      <c r="Q12" s="4" t="str">
        <f>IFERROR(LOOKUP(2,1/((#REF!=oct!$A12)*(#REF!&lt;=oct!Q$3)*(#REF!&gt;=oct!Q$3)),#REF!),IF(WEEKDAY(oct!Q$3,1)=1,"WO","P"))</f>
        <v>P</v>
      </c>
      <c r="R12" s="4" t="str">
        <f>IFERROR(LOOKUP(2,1/((#REF!=oct!$A12)*(#REF!&lt;=oct!R$3)*(#REF!&gt;=oct!R$3)),#REF!),IF(WEEKDAY(oct!R$3,1)=1,"WO","P"))</f>
        <v>P</v>
      </c>
      <c r="S12" s="4" t="str">
        <f>IFERROR(LOOKUP(2,1/((#REF!=oct!$A12)*(#REF!&lt;=oct!S$3)*(#REF!&gt;=oct!S$3)),#REF!),IF(WEEKDAY(oct!S$3,1)=1,"WO","P"))</f>
        <v>P</v>
      </c>
      <c r="T12" s="4" t="str">
        <f>IFERROR(LOOKUP(2,1/((#REF!=oct!$A12)*(#REF!&lt;=oct!T$3)*(#REF!&gt;=oct!T$3)),#REF!),IF(WEEKDAY(oct!T$3,1)=1,"WO","P"))</f>
        <v>P</v>
      </c>
      <c r="U12" s="4" t="str">
        <f>IFERROR(LOOKUP(2,1/((#REF!=oct!$A12)*(#REF!&lt;=oct!U$3)*(#REF!&gt;=oct!U$3)),#REF!),IF(WEEKDAY(oct!U$3,1)=1,"WO","P"))</f>
        <v>P</v>
      </c>
      <c r="V12" s="4" t="str">
        <f>IFERROR(LOOKUP(2,1/((#REF!=oct!$A12)*(#REF!&lt;=oct!V$3)*(#REF!&gt;=oct!V$3)),#REF!),IF(WEEKDAY(oct!V$3,1)=1,"WO","P"))</f>
        <v>P</v>
      </c>
      <c r="W12" s="4" t="str">
        <f>IFERROR(LOOKUP(2,1/((#REF!=oct!$A12)*(#REF!&lt;=oct!W$3)*(#REF!&gt;=oct!W$3)),#REF!),IF(WEEKDAY(oct!W$3,1)=1,"WO","P"))</f>
        <v>WO</v>
      </c>
      <c r="X12" s="4" t="str">
        <f>IFERROR(LOOKUP(2,1/((#REF!=oct!$A12)*(#REF!&lt;=oct!X$3)*(#REF!&gt;=oct!X$3)),#REF!),IF(WEEKDAY(oct!X$3,1)=1,"WO","P"))</f>
        <v>P</v>
      </c>
      <c r="Y12" s="4" t="str">
        <f>IFERROR(LOOKUP(2,1/((#REF!=oct!$A12)*(#REF!&lt;=oct!Y$3)*(#REF!&gt;=oct!Y$3)),#REF!),IF(WEEKDAY(oct!Y$3,1)=1,"WO","P"))</f>
        <v>P</v>
      </c>
      <c r="Z12" s="4" t="str">
        <f>IFERROR(LOOKUP(2,1/((#REF!=oct!$A12)*(#REF!&lt;=oct!Z$3)*(#REF!&gt;=oct!Z$3)),#REF!),IF(WEEKDAY(oct!Z$3,1)=1,"WO","P"))</f>
        <v>P</v>
      </c>
      <c r="AA12" s="4" t="str">
        <f>IFERROR(LOOKUP(2,1/((#REF!=oct!$A12)*(#REF!&lt;=oct!AA$3)*(#REF!&gt;=oct!AA$3)),#REF!),IF(WEEKDAY(oct!AA$3,1)=1,"WO","P"))</f>
        <v>P</v>
      </c>
      <c r="AB12" s="4" t="str">
        <f>IFERROR(LOOKUP(2,1/((#REF!=oct!$A12)*(#REF!&lt;=oct!AB$3)*(#REF!&gt;=oct!AB$3)),#REF!),IF(WEEKDAY(oct!AB$3,1)=1,"WO","P"))</f>
        <v>P</v>
      </c>
      <c r="AC12" s="4" t="str">
        <f>IFERROR(LOOKUP(2,1/((#REF!=oct!$A12)*(#REF!&lt;=oct!AC$3)*(#REF!&gt;=oct!AC$3)),#REF!),IF(WEEKDAY(oct!AC$3,1)=1,"WO","P"))</f>
        <v>P</v>
      </c>
      <c r="AD12" s="4" t="str">
        <f>IFERROR(LOOKUP(2,1/((#REF!=oct!$A12)*(#REF!&lt;=oct!AD$3)*(#REF!&gt;=oct!AD$3)),#REF!),IF(WEEKDAY(oct!AD$3,1)=1,"WO","P"))</f>
        <v>WO</v>
      </c>
      <c r="AE12" s="4" t="str">
        <f>IFERROR(LOOKUP(2,1/((#REF!=oct!$A12)*(#REF!&lt;=oct!AE$3)*(#REF!&gt;=oct!AE$3)),#REF!),IF(WEEKDAY(oct!AE$3,1)=1,"WO","P"))</f>
        <v>P</v>
      </c>
      <c r="AF12" s="4" t="str">
        <f>IFERROR(LOOKUP(2,1/((#REF!=oct!$A12)*(#REF!&lt;=oct!AF$3)*(#REF!&gt;=oct!AF$3)),#REF!),IF(WEEKDAY(oct!AF$3,1)=1,"WO","P"))</f>
        <v>P</v>
      </c>
      <c r="AG12" s="4" t="str">
        <f>IFERROR(LOOKUP(2,1/((#REF!=oct!$A12)*(#REF!&lt;=oct!AG$3)*(#REF!&gt;=oct!AG$3)),#REF!),IF(WEEKDAY(oct!AG$3,1)=1,"WO","P"))</f>
        <v>P</v>
      </c>
      <c r="AH12" s="4" t="str">
        <f>IFERROR(LOOKUP(2,1/((#REF!=oct!$A12)*(#REF!&lt;=oct!AH$3)*(#REF!&gt;=oct!AH$3)),#REF!),IF(WEEKDAY(oct!AH$3,1)=1,"WO","P"))</f>
        <v>P</v>
      </c>
      <c r="AI12" s="4" t="str">
        <f>IFERROR(LOOKUP(2,1/((#REF!=oct!$A12)*(#REF!&lt;=oct!AI$3)*(#REF!&gt;=oct!AI$3)),#REF!),IF(WEEKDAY(oct!AI$3,1)=1,"WO","P"))</f>
        <v>P</v>
      </c>
      <c r="AJ12" s="4" t="str">
        <f>IFERROR(LOOKUP(2,1/((#REF!=oct!$A12)*(#REF!&lt;=oct!AJ$3)*(#REF!&gt;=oct!AJ$3)),#REF!),IF(WEEKDAY(oct!AJ$3,1)=1,"WO","P"))</f>
        <v>P</v>
      </c>
      <c r="AK12" s="4">
        <f>COUNTIF(mar!$F12:$AJ12,"WO")</f>
        <v>5</v>
      </c>
      <c r="AL12" s="4">
        <f>COUNTIF(mar!$F12:$AJ12,"H")</f>
        <v>2</v>
      </c>
      <c r="AM12" s="4">
        <f>COUNTIF(mar!$F12:$AJ12,"pl")</f>
        <v>0</v>
      </c>
      <c r="AN12" s="4">
        <f>COUNTIF(mar!$F12:$AJ12,"LWP")</f>
        <v>0</v>
      </c>
      <c r="AO12" s="4">
        <f>COUNTIF(mar!$F12:$AJ12,"HD")</f>
        <v>0</v>
      </c>
      <c r="AP12" s="4">
        <f>COUNTIF(mar!$F12:$AJ12,"SL")</f>
        <v>0</v>
      </c>
      <c r="AQ12" s="4">
        <f>COUNTIF(mar!$F12:$AJ12,"CL")</f>
        <v>0</v>
      </c>
      <c r="AR12" s="4">
        <f>COUNTIF(mar!$F12:$AJ12,"A")</f>
        <v>0</v>
      </c>
      <c r="AS12" s="4">
        <f>COUNTIF(mar!$F12:$AJ12,"P")</f>
        <v>24</v>
      </c>
      <c r="AT12" s="4">
        <f t="shared" si="2"/>
        <v>31</v>
      </c>
      <c r="AU12" s="4">
        <f t="shared" si="3"/>
        <v>31</v>
      </c>
      <c r="AV12" s="4">
        <f>SUMIFS(holly!$L$2:$L$122,holly!$I$2:$I$122,mar!$A12,holly!$K$2:$K$122,"Mar")</f>
        <v>0</v>
      </c>
    </row>
    <row r="13" spans="1:48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IFERROR(LOOKUP(2,1/((#REF!=oct!$A13)*(#REF!&lt;=oct!F$3)*(#REF!&gt;=oct!F$3)),#REF!),IF(WEEKDAY(oct!F$3,1)=1,"WO","P"))</f>
        <v>P</v>
      </c>
      <c r="G13" s="4" t="str">
        <f>IFERROR(LOOKUP(2,1/((#REF!=oct!$A13)*(#REF!&lt;=oct!G$3)*(#REF!&gt;=oct!G$3)),#REF!),IF(WEEKDAY(oct!G$3,1)=1,"WO","P"))</f>
        <v>P</v>
      </c>
      <c r="H13" s="4" t="str">
        <f>IFERROR(LOOKUP(2,1/((#REF!=oct!$A13)*(#REF!&lt;=oct!H$3)*(#REF!&gt;=oct!H$3)),#REF!),IF(WEEKDAY(oct!H$3,1)=1,"WO","P"))</f>
        <v>P</v>
      </c>
      <c r="I13" s="4" t="str">
        <f>IFERROR(LOOKUP(2,1/((#REF!=oct!$A13)*(#REF!&lt;=oct!I$3)*(#REF!&gt;=oct!I$3)),#REF!),IF(WEEKDAY(oct!I$3,1)=1,"WO","P"))</f>
        <v>WO</v>
      </c>
      <c r="J13" s="4" t="str">
        <f>IFERROR(LOOKUP(2,1/((#REF!=oct!$A13)*(#REF!&lt;=oct!J$3)*(#REF!&gt;=oct!J$3)),#REF!),IF(WEEKDAY(oct!J$3,1)=1,"WO","P"))</f>
        <v>P</v>
      </c>
      <c r="K13" s="4" t="str">
        <f>IFERROR(LOOKUP(2,1/((#REF!=oct!$A13)*(#REF!&lt;=oct!K$3)*(#REF!&gt;=oct!K$3)),#REF!),IF(WEEKDAY(oct!K$3,1)=1,"WO","P"))</f>
        <v>P</v>
      </c>
      <c r="L13" s="4" t="str">
        <f>IFERROR(LOOKUP(2,1/((#REF!=oct!$A13)*(#REF!&lt;=oct!L$3)*(#REF!&gt;=oct!L$3)),#REF!),IF(WEEKDAY(oct!L$3,1)=1,"WO","P"))</f>
        <v>P</v>
      </c>
      <c r="M13" s="4" t="str">
        <f>IFERROR(LOOKUP(2,1/((#REF!=oct!$A13)*(#REF!&lt;=oct!M$3)*(#REF!&gt;=oct!M$3)),#REF!),IF(WEEKDAY(oct!M$3,1)=1,"WO","P"))</f>
        <v>P</v>
      </c>
      <c r="N13" s="4" t="str">
        <f>IFERROR(LOOKUP(2,1/((#REF!=oct!$A13)*(#REF!&lt;=oct!N$3)*(#REF!&gt;=oct!N$3)),#REF!),IF(WEEKDAY(oct!N$3,1)=1,"WO","P"))</f>
        <v>P</v>
      </c>
      <c r="O13" s="4" t="str">
        <f>IFERROR(LOOKUP(2,1/((#REF!=oct!$A13)*(#REF!&lt;=oct!O$3)*(#REF!&gt;=oct!O$3)),#REF!),IF(WEEKDAY(oct!O$3,1)=1,"WO","P"))</f>
        <v>P</v>
      </c>
      <c r="P13" s="4" t="str">
        <f>IFERROR(LOOKUP(2,1/((#REF!=oct!$A13)*(#REF!&lt;=oct!P$3)*(#REF!&gt;=oct!P$3)),#REF!),IF(WEEKDAY(oct!P$3,1)=1,"WO","P"))</f>
        <v>WO</v>
      </c>
      <c r="Q13" s="4" t="str">
        <f>IFERROR(LOOKUP(2,1/((#REF!=oct!$A13)*(#REF!&lt;=oct!Q$3)*(#REF!&gt;=oct!Q$3)),#REF!),IF(WEEKDAY(oct!Q$3,1)=1,"WO","P"))</f>
        <v>P</v>
      </c>
      <c r="R13" s="4" t="str">
        <f>IFERROR(LOOKUP(2,1/((#REF!=oct!$A13)*(#REF!&lt;=oct!R$3)*(#REF!&gt;=oct!R$3)),#REF!),IF(WEEKDAY(oct!R$3,1)=1,"WO","P"))</f>
        <v>P</v>
      </c>
      <c r="S13" s="4" t="str">
        <f>IFERROR(LOOKUP(2,1/((#REF!=oct!$A13)*(#REF!&lt;=oct!S$3)*(#REF!&gt;=oct!S$3)),#REF!),IF(WEEKDAY(oct!S$3,1)=1,"WO","P"))</f>
        <v>P</v>
      </c>
      <c r="T13" s="4" t="str">
        <f>IFERROR(LOOKUP(2,1/((#REF!=oct!$A13)*(#REF!&lt;=oct!T$3)*(#REF!&gt;=oct!T$3)),#REF!),IF(WEEKDAY(oct!T$3,1)=1,"WO","P"))</f>
        <v>P</v>
      </c>
      <c r="U13" s="4" t="str">
        <f>IFERROR(LOOKUP(2,1/((#REF!=oct!$A13)*(#REF!&lt;=oct!U$3)*(#REF!&gt;=oct!U$3)),#REF!),IF(WEEKDAY(oct!U$3,1)=1,"WO","P"))</f>
        <v>P</v>
      </c>
      <c r="V13" s="4" t="str">
        <f>IFERROR(LOOKUP(2,1/((#REF!=oct!$A13)*(#REF!&lt;=oct!V$3)*(#REF!&gt;=oct!V$3)),#REF!),IF(WEEKDAY(oct!V$3,1)=1,"WO","P"))</f>
        <v>P</v>
      </c>
      <c r="W13" s="4" t="str">
        <f>IFERROR(LOOKUP(2,1/((#REF!=oct!$A13)*(#REF!&lt;=oct!W$3)*(#REF!&gt;=oct!W$3)),#REF!),IF(WEEKDAY(oct!W$3,1)=1,"WO","P"))</f>
        <v>WO</v>
      </c>
      <c r="X13" s="4" t="str">
        <f>IFERROR(LOOKUP(2,1/((#REF!=oct!$A13)*(#REF!&lt;=oct!X$3)*(#REF!&gt;=oct!X$3)),#REF!),IF(WEEKDAY(oct!X$3,1)=1,"WO","P"))</f>
        <v>P</v>
      </c>
      <c r="Y13" s="4" t="str">
        <f>IFERROR(LOOKUP(2,1/((#REF!=oct!$A13)*(#REF!&lt;=oct!Y$3)*(#REF!&gt;=oct!Y$3)),#REF!),IF(WEEKDAY(oct!Y$3,1)=1,"WO","P"))</f>
        <v>P</v>
      </c>
      <c r="Z13" s="4" t="str">
        <f>IFERROR(LOOKUP(2,1/((#REF!=oct!$A13)*(#REF!&lt;=oct!Z$3)*(#REF!&gt;=oct!Z$3)),#REF!),IF(WEEKDAY(oct!Z$3,1)=1,"WO","P"))</f>
        <v>P</v>
      </c>
      <c r="AA13" s="4" t="str">
        <f>IFERROR(LOOKUP(2,1/((#REF!=oct!$A13)*(#REF!&lt;=oct!AA$3)*(#REF!&gt;=oct!AA$3)),#REF!),IF(WEEKDAY(oct!AA$3,1)=1,"WO","P"))</f>
        <v>P</v>
      </c>
      <c r="AB13" s="4" t="str">
        <f>IFERROR(LOOKUP(2,1/((#REF!=oct!$A13)*(#REF!&lt;=oct!AB$3)*(#REF!&gt;=oct!AB$3)),#REF!),IF(WEEKDAY(oct!AB$3,1)=1,"WO","P"))</f>
        <v>P</v>
      </c>
      <c r="AC13" s="4" t="str">
        <f>IFERROR(LOOKUP(2,1/((#REF!=oct!$A13)*(#REF!&lt;=oct!AC$3)*(#REF!&gt;=oct!AC$3)),#REF!),IF(WEEKDAY(oct!AC$3,1)=1,"WO","P"))</f>
        <v>P</v>
      </c>
      <c r="AD13" s="4" t="str">
        <f>IFERROR(LOOKUP(2,1/((#REF!=oct!$A13)*(#REF!&lt;=oct!AD$3)*(#REF!&gt;=oct!AD$3)),#REF!),IF(WEEKDAY(oct!AD$3,1)=1,"WO","P"))</f>
        <v>WO</v>
      </c>
      <c r="AE13" s="4" t="str">
        <f>IFERROR(LOOKUP(2,1/((#REF!=oct!$A13)*(#REF!&lt;=oct!AE$3)*(#REF!&gt;=oct!AE$3)),#REF!),IF(WEEKDAY(oct!AE$3,1)=1,"WO","P"))</f>
        <v>P</v>
      </c>
      <c r="AF13" s="4" t="str">
        <f>IFERROR(LOOKUP(2,1/((#REF!=oct!$A13)*(#REF!&lt;=oct!AF$3)*(#REF!&gt;=oct!AF$3)),#REF!),IF(WEEKDAY(oct!AF$3,1)=1,"WO","P"))</f>
        <v>P</v>
      </c>
      <c r="AG13" s="4" t="str">
        <f>IFERROR(LOOKUP(2,1/((#REF!=oct!$A13)*(#REF!&lt;=oct!AG$3)*(#REF!&gt;=oct!AG$3)),#REF!),IF(WEEKDAY(oct!AG$3,1)=1,"WO","P"))</f>
        <v>P</v>
      </c>
      <c r="AH13" s="4" t="str">
        <f>IFERROR(LOOKUP(2,1/((#REF!=oct!$A13)*(#REF!&lt;=oct!AH$3)*(#REF!&gt;=oct!AH$3)),#REF!),IF(WEEKDAY(oct!AH$3,1)=1,"WO","P"))</f>
        <v>P</v>
      </c>
      <c r="AI13" s="4" t="str">
        <f>IFERROR(LOOKUP(2,1/((#REF!=oct!$A13)*(#REF!&lt;=oct!AI$3)*(#REF!&gt;=oct!AI$3)),#REF!),IF(WEEKDAY(oct!AI$3,1)=1,"WO","P"))</f>
        <v>P</v>
      </c>
      <c r="AJ13" s="4" t="str">
        <f>IFERROR(LOOKUP(2,1/((#REF!=oct!$A13)*(#REF!&lt;=oct!AJ$3)*(#REF!&gt;=oct!AJ$3)),#REF!),IF(WEEKDAY(oct!AJ$3,1)=1,"WO","P"))</f>
        <v>P</v>
      </c>
      <c r="AK13" s="4">
        <f>COUNTIF(mar!$F13:$AJ13,"WO")</f>
        <v>5</v>
      </c>
      <c r="AL13" s="4">
        <f>COUNTIF(mar!$F13:$AJ13,"H")</f>
        <v>2</v>
      </c>
      <c r="AM13" s="4">
        <f>COUNTIF(mar!$F13:$AJ13,"pl")</f>
        <v>0</v>
      </c>
      <c r="AN13" s="4">
        <f>COUNTIF(mar!$F13:$AJ13,"LWP")</f>
        <v>0</v>
      </c>
      <c r="AO13" s="4">
        <f>COUNTIF(mar!$F13:$AJ13,"HD")</f>
        <v>0</v>
      </c>
      <c r="AP13" s="4">
        <f>COUNTIF(mar!$F13:$AJ13,"SL")</f>
        <v>0</v>
      </c>
      <c r="AQ13" s="4">
        <f>COUNTIF(mar!$F13:$AJ13,"CL")</f>
        <v>0</v>
      </c>
      <c r="AR13" s="4">
        <f>COUNTIF(mar!$F13:$AJ13,"A")</f>
        <v>2</v>
      </c>
      <c r="AS13" s="4">
        <f>COUNTIF(mar!$F13:$AJ13,"P")</f>
        <v>22</v>
      </c>
      <c r="AT13" s="4">
        <f t="shared" si="2"/>
        <v>31</v>
      </c>
      <c r="AU13" s="4">
        <f t="shared" si="3"/>
        <v>29</v>
      </c>
      <c r="AV13" s="4">
        <f>SUMIFS(holly!$L$2:$L$122,holly!$I$2:$I$122,mar!$A13,holly!$K$2:$K$122,"Mar")</f>
        <v>0</v>
      </c>
    </row>
    <row r="14" spans="1:48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IFERROR(LOOKUP(2,1/((#REF!=oct!$A14)*(#REF!&lt;=oct!F$3)*(#REF!&gt;=oct!F$3)),#REF!),IF(WEEKDAY(oct!F$3,1)=1,"WO","P"))</f>
        <v>P</v>
      </c>
      <c r="G14" s="4" t="str">
        <f>IFERROR(LOOKUP(2,1/((#REF!=oct!$A14)*(#REF!&lt;=oct!G$3)*(#REF!&gt;=oct!G$3)),#REF!),IF(WEEKDAY(oct!G$3,1)=1,"WO","P"))</f>
        <v>P</v>
      </c>
      <c r="H14" s="4" t="str">
        <f>IFERROR(LOOKUP(2,1/((#REF!=oct!$A14)*(#REF!&lt;=oct!H$3)*(#REF!&gt;=oct!H$3)),#REF!),IF(WEEKDAY(oct!H$3,1)=1,"WO","P"))</f>
        <v>P</v>
      </c>
      <c r="I14" s="4" t="str">
        <f>IFERROR(LOOKUP(2,1/((#REF!=oct!$A14)*(#REF!&lt;=oct!I$3)*(#REF!&gt;=oct!I$3)),#REF!),IF(WEEKDAY(oct!I$3,1)=1,"WO","P"))</f>
        <v>WO</v>
      </c>
      <c r="J14" s="4" t="str">
        <f>IFERROR(LOOKUP(2,1/((#REF!=oct!$A14)*(#REF!&lt;=oct!J$3)*(#REF!&gt;=oct!J$3)),#REF!),IF(WEEKDAY(oct!J$3,1)=1,"WO","P"))</f>
        <v>P</v>
      </c>
      <c r="K14" s="4" t="str">
        <f>IFERROR(LOOKUP(2,1/((#REF!=oct!$A14)*(#REF!&lt;=oct!K$3)*(#REF!&gt;=oct!K$3)),#REF!),IF(WEEKDAY(oct!K$3,1)=1,"WO","P"))</f>
        <v>P</v>
      </c>
      <c r="L14" s="4" t="str">
        <f>IFERROR(LOOKUP(2,1/((#REF!=oct!$A14)*(#REF!&lt;=oct!L$3)*(#REF!&gt;=oct!L$3)),#REF!),IF(WEEKDAY(oct!L$3,1)=1,"WO","P"))</f>
        <v>P</v>
      </c>
      <c r="M14" s="4" t="str">
        <f>IFERROR(LOOKUP(2,1/((#REF!=oct!$A14)*(#REF!&lt;=oct!M$3)*(#REF!&gt;=oct!M$3)),#REF!),IF(WEEKDAY(oct!M$3,1)=1,"WO","P"))</f>
        <v>P</v>
      </c>
      <c r="N14" s="4" t="str">
        <f>IFERROR(LOOKUP(2,1/((#REF!=oct!$A14)*(#REF!&lt;=oct!N$3)*(#REF!&gt;=oct!N$3)),#REF!),IF(WEEKDAY(oct!N$3,1)=1,"WO","P"))</f>
        <v>P</v>
      </c>
      <c r="O14" s="4" t="str">
        <f>IFERROR(LOOKUP(2,1/((#REF!=oct!$A14)*(#REF!&lt;=oct!O$3)*(#REF!&gt;=oct!O$3)),#REF!),IF(WEEKDAY(oct!O$3,1)=1,"WO","P"))</f>
        <v>P</v>
      </c>
      <c r="P14" s="4" t="str">
        <f>IFERROR(LOOKUP(2,1/((#REF!=oct!$A14)*(#REF!&lt;=oct!P$3)*(#REF!&gt;=oct!P$3)),#REF!),IF(WEEKDAY(oct!P$3,1)=1,"WO","P"))</f>
        <v>WO</v>
      </c>
      <c r="Q14" s="4" t="str">
        <f>IFERROR(LOOKUP(2,1/((#REF!=oct!$A14)*(#REF!&lt;=oct!Q$3)*(#REF!&gt;=oct!Q$3)),#REF!),IF(WEEKDAY(oct!Q$3,1)=1,"WO","P"))</f>
        <v>P</v>
      </c>
      <c r="R14" s="4" t="str">
        <f>IFERROR(LOOKUP(2,1/((#REF!=oct!$A14)*(#REF!&lt;=oct!R$3)*(#REF!&gt;=oct!R$3)),#REF!),IF(WEEKDAY(oct!R$3,1)=1,"WO","P"))</f>
        <v>P</v>
      </c>
      <c r="S14" s="4" t="str">
        <f>IFERROR(LOOKUP(2,1/((#REF!=oct!$A14)*(#REF!&lt;=oct!S$3)*(#REF!&gt;=oct!S$3)),#REF!),IF(WEEKDAY(oct!S$3,1)=1,"WO","P"))</f>
        <v>P</v>
      </c>
      <c r="T14" s="4" t="str">
        <f>IFERROR(LOOKUP(2,1/((#REF!=oct!$A14)*(#REF!&lt;=oct!T$3)*(#REF!&gt;=oct!T$3)),#REF!),IF(WEEKDAY(oct!T$3,1)=1,"WO","P"))</f>
        <v>P</v>
      </c>
      <c r="U14" s="4" t="str">
        <f>IFERROR(LOOKUP(2,1/((#REF!=oct!$A14)*(#REF!&lt;=oct!U$3)*(#REF!&gt;=oct!U$3)),#REF!),IF(WEEKDAY(oct!U$3,1)=1,"WO","P"))</f>
        <v>P</v>
      </c>
      <c r="V14" s="4" t="str">
        <f>IFERROR(LOOKUP(2,1/((#REF!=oct!$A14)*(#REF!&lt;=oct!V$3)*(#REF!&gt;=oct!V$3)),#REF!),IF(WEEKDAY(oct!V$3,1)=1,"WO","P"))</f>
        <v>P</v>
      </c>
      <c r="W14" s="4" t="str">
        <f>IFERROR(LOOKUP(2,1/((#REF!=oct!$A14)*(#REF!&lt;=oct!W$3)*(#REF!&gt;=oct!W$3)),#REF!),IF(WEEKDAY(oct!W$3,1)=1,"WO","P"))</f>
        <v>WO</v>
      </c>
      <c r="X14" s="4" t="str">
        <f>IFERROR(LOOKUP(2,1/((#REF!=oct!$A14)*(#REF!&lt;=oct!X$3)*(#REF!&gt;=oct!X$3)),#REF!),IF(WEEKDAY(oct!X$3,1)=1,"WO","P"))</f>
        <v>P</v>
      </c>
      <c r="Y14" s="4" t="str">
        <f>IFERROR(LOOKUP(2,1/((#REF!=oct!$A14)*(#REF!&lt;=oct!Y$3)*(#REF!&gt;=oct!Y$3)),#REF!),IF(WEEKDAY(oct!Y$3,1)=1,"WO","P"))</f>
        <v>P</v>
      </c>
      <c r="Z14" s="4" t="str">
        <f>IFERROR(LOOKUP(2,1/((#REF!=oct!$A14)*(#REF!&lt;=oct!Z$3)*(#REF!&gt;=oct!Z$3)),#REF!),IF(WEEKDAY(oct!Z$3,1)=1,"WO","P"))</f>
        <v>P</v>
      </c>
      <c r="AA14" s="4" t="str">
        <f>IFERROR(LOOKUP(2,1/((#REF!=oct!$A14)*(#REF!&lt;=oct!AA$3)*(#REF!&gt;=oct!AA$3)),#REF!),IF(WEEKDAY(oct!AA$3,1)=1,"WO","P"))</f>
        <v>P</v>
      </c>
      <c r="AB14" s="4" t="str">
        <f>IFERROR(LOOKUP(2,1/((#REF!=oct!$A14)*(#REF!&lt;=oct!AB$3)*(#REF!&gt;=oct!AB$3)),#REF!),IF(WEEKDAY(oct!AB$3,1)=1,"WO","P"))</f>
        <v>P</v>
      </c>
      <c r="AC14" s="4" t="str">
        <f>IFERROR(LOOKUP(2,1/((#REF!=oct!$A14)*(#REF!&lt;=oct!AC$3)*(#REF!&gt;=oct!AC$3)),#REF!),IF(WEEKDAY(oct!AC$3,1)=1,"WO","P"))</f>
        <v>P</v>
      </c>
      <c r="AD14" s="4" t="str">
        <f>IFERROR(LOOKUP(2,1/((#REF!=oct!$A14)*(#REF!&lt;=oct!AD$3)*(#REF!&gt;=oct!AD$3)),#REF!),IF(WEEKDAY(oct!AD$3,1)=1,"WO","P"))</f>
        <v>WO</v>
      </c>
      <c r="AE14" s="4" t="str">
        <f>IFERROR(LOOKUP(2,1/((#REF!=oct!$A14)*(#REF!&lt;=oct!AE$3)*(#REF!&gt;=oct!AE$3)),#REF!),IF(WEEKDAY(oct!AE$3,1)=1,"WO","P"))</f>
        <v>P</v>
      </c>
      <c r="AF14" s="4" t="str">
        <f>IFERROR(LOOKUP(2,1/((#REF!=oct!$A14)*(#REF!&lt;=oct!AF$3)*(#REF!&gt;=oct!AF$3)),#REF!),IF(WEEKDAY(oct!AF$3,1)=1,"WO","P"))</f>
        <v>P</v>
      </c>
      <c r="AG14" s="4" t="str">
        <f>IFERROR(LOOKUP(2,1/((#REF!=oct!$A14)*(#REF!&lt;=oct!AG$3)*(#REF!&gt;=oct!AG$3)),#REF!),IF(WEEKDAY(oct!AG$3,1)=1,"WO","P"))</f>
        <v>P</v>
      </c>
      <c r="AH14" s="4" t="str">
        <f>IFERROR(LOOKUP(2,1/((#REF!=oct!$A14)*(#REF!&lt;=oct!AH$3)*(#REF!&gt;=oct!AH$3)),#REF!),IF(WEEKDAY(oct!AH$3,1)=1,"WO","P"))</f>
        <v>P</v>
      </c>
      <c r="AI14" s="4" t="str">
        <f>IFERROR(LOOKUP(2,1/((#REF!=oct!$A14)*(#REF!&lt;=oct!AI$3)*(#REF!&gt;=oct!AI$3)),#REF!),IF(WEEKDAY(oct!AI$3,1)=1,"WO","P"))</f>
        <v>P</v>
      </c>
      <c r="AJ14" s="4" t="str">
        <f>IFERROR(LOOKUP(2,1/((#REF!=oct!$A14)*(#REF!&lt;=oct!AJ$3)*(#REF!&gt;=oct!AJ$3)),#REF!),IF(WEEKDAY(oct!AJ$3,1)=1,"WO","P"))</f>
        <v>P</v>
      </c>
      <c r="AK14" s="4">
        <f>COUNTIF(mar!$F14:$AJ14,"WO")</f>
        <v>5</v>
      </c>
      <c r="AL14" s="4">
        <f>COUNTIF(mar!$F14:$AJ14,"H")</f>
        <v>2</v>
      </c>
      <c r="AM14" s="4">
        <f>COUNTIF(mar!$F14:$AJ14,"pl")</f>
        <v>0</v>
      </c>
      <c r="AN14" s="4">
        <f>COUNTIF(mar!$F14:$AJ14,"LWP")</f>
        <v>0</v>
      </c>
      <c r="AO14" s="4">
        <f>COUNTIF(mar!$F14:$AJ14,"HD")</f>
        <v>0</v>
      </c>
      <c r="AP14" s="4">
        <f>COUNTIF(mar!$F14:$AJ14,"SL")</f>
        <v>0</v>
      </c>
      <c r="AQ14" s="4">
        <f>COUNTIF(mar!$F14:$AJ14,"CL")</f>
        <v>0</v>
      </c>
      <c r="AR14" s="4">
        <f>COUNTIF(mar!$F14:$AJ14,"A")</f>
        <v>1</v>
      </c>
      <c r="AS14" s="4">
        <f>COUNTIF(mar!$F14:$AJ14,"P")</f>
        <v>23</v>
      </c>
      <c r="AT14" s="4">
        <f t="shared" si="2"/>
        <v>31</v>
      </c>
      <c r="AU14" s="4">
        <f t="shared" si="3"/>
        <v>30</v>
      </c>
      <c r="AV14" s="4">
        <f>SUMIFS(holly!$L$2:$L$122,holly!$I$2:$I$122,mar!$A14,holly!$K$2:$K$122,"Mar")</f>
        <v>4</v>
      </c>
    </row>
    <row r="15" spans="1:48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IFERROR(LOOKUP(2,1/((#REF!=oct!$A15)*(#REF!&lt;=oct!F$3)*(#REF!&gt;=oct!F$3)),#REF!),IF(WEEKDAY(oct!F$3,1)=1,"WO","P"))</f>
        <v>P</v>
      </c>
      <c r="G15" s="4" t="str">
        <f>IFERROR(LOOKUP(2,1/((#REF!=oct!$A15)*(#REF!&lt;=oct!G$3)*(#REF!&gt;=oct!G$3)),#REF!),IF(WEEKDAY(oct!G$3,1)=1,"WO","P"))</f>
        <v>P</v>
      </c>
      <c r="H15" s="4" t="str">
        <f>IFERROR(LOOKUP(2,1/((#REF!=oct!$A15)*(#REF!&lt;=oct!H$3)*(#REF!&gt;=oct!H$3)),#REF!),IF(WEEKDAY(oct!H$3,1)=1,"WO","P"))</f>
        <v>P</v>
      </c>
      <c r="I15" s="4" t="str">
        <f>IFERROR(LOOKUP(2,1/((#REF!=oct!$A15)*(#REF!&lt;=oct!I$3)*(#REF!&gt;=oct!I$3)),#REF!),IF(WEEKDAY(oct!I$3,1)=1,"WO","P"))</f>
        <v>WO</v>
      </c>
      <c r="J15" s="4" t="str">
        <f>IFERROR(LOOKUP(2,1/((#REF!=oct!$A15)*(#REF!&lt;=oct!J$3)*(#REF!&gt;=oct!J$3)),#REF!),IF(WEEKDAY(oct!J$3,1)=1,"WO","P"))</f>
        <v>P</v>
      </c>
      <c r="K15" s="4" t="str">
        <f>IFERROR(LOOKUP(2,1/((#REF!=oct!$A15)*(#REF!&lt;=oct!K$3)*(#REF!&gt;=oct!K$3)),#REF!),IF(WEEKDAY(oct!K$3,1)=1,"WO","P"))</f>
        <v>P</v>
      </c>
      <c r="L15" s="4" t="str">
        <f>IFERROR(LOOKUP(2,1/((#REF!=oct!$A15)*(#REF!&lt;=oct!L$3)*(#REF!&gt;=oct!L$3)),#REF!),IF(WEEKDAY(oct!L$3,1)=1,"WO","P"))</f>
        <v>P</v>
      </c>
      <c r="M15" s="4" t="str">
        <f>IFERROR(LOOKUP(2,1/((#REF!=oct!$A15)*(#REF!&lt;=oct!M$3)*(#REF!&gt;=oct!M$3)),#REF!),IF(WEEKDAY(oct!M$3,1)=1,"WO","P"))</f>
        <v>P</v>
      </c>
      <c r="N15" s="4" t="str">
        <f>IFERROR(LOOKUP(2,1/((#REF!=oct!$A15)*(#REF!&lt;=oct!N$3)*(#REF!&gt;=oct!N$3)),#REF!),IF(WEEKDAY(oct!N$3,1)=1,"WO","P"))</f>
        <v>P</v>
      </c>
      <c r="O15" s="4" t="str">
        <f>IFERROR(LOOKUP(2,1/((#REF!=oct!$A15)*(#REF!&lt;=oct!O$3)*(#REF!&gt;=oct!O$3)),#REF!),IF(WEEKDAY(oct!O$3,1)=1,"WO","P"))</f>
        <v>P</v>
      </c>
      <c r="P15" s="4" t="str">
        <f>IFERROR(LOOKUP(2,1/((#REF!=oct!$A15)*(#REF!&lt;=oct!P$3)*(#REF!&gt;=oct!P$3)),#REF!),IF(WEEKDAY(oct!P$3,1)=1,"WO","P"))</f>
        <v>WO</v>
      </c>
      <c r="Q15" s="4" t="str">
        <f>IFERROR(LOOKUP(2,1/((#REF!=oct!$A15)*(#REF!&lt;=oct!Q$3)*(#REF!&gt;=oct!Q$3)),#REF!),IF(WEEKDAY(oct!Q$3,1)=1,"WO","P"))</f>
        <v>P</v>
      </c>
      <c r="R15" s="4" t="str">
        <f>IFERROR(LOOKUP(2,1/((#REF!=oct!$A15)*(#REF!&lt;=oct!R$3)*(#REF!&gt;=oct!R$3)),#REF!),IF(WEEKDAY(oct!R$3,1)=1,"WO","P"))</f>
        <v>P</v>
      </c>
      <c r="S15" s="4" t="str">
        <f>IFERROR(LOOKUP(2,1/((#REF!=oct!$A15)*(#REF!&lt;=oct!S$3)*(#REF!&gt;=oct!S$3)),#REF!),IF(WEEKDAY(oct!S$3,1)=1,"WO","P"))</f>
        <v>P</v>
      </c>
      <c r="T15" s="4" t="str">
        <f>IFERROR(LOOKUP(2,1/((#REF!=oct!$A15)*(#REF!&lt;=oct!T$3)*(#REF!&gt;=oct!T$3)),#REF!),IF(WEEKDAY(oct!T$3,1)=1,"WO","P"))</f>
        <v>P</v>
      </c>
      <c r="U15" s="4" t="str">
        <f>IFERROR(LOOKUP(2,1/((#REF!=oct!$A15)*(#REF!&lt;=oct!U$3)*(#REF!&gt;=oct!U$3)),#REF!),IF(WEEKDAY(oct!U$3,1)=1,"WO","P"))</f>
        <v>P</v>
      </c>
      <c r="V15" s="4" t="str">
        <f>IFERROR(LOOKUP(2,1/((#REF!=oct!$A15)*(#REF!&lt;=oct!V$3)*(#REF!&gt;=oct!V$3)),#REF!),IF(WEEKDAY(oct!V$3,1)=1,"WO","P"))</f>
        <v>P</v>
      </c>
      <c r="W15" s="4" t="str">
        <f>IFERROR(LOOKUP(2,1/((#REF!=oct!$A15)*(#REF!&lt;=oct!W$3)*(#REF!&gt;=oct!W$3)),#REF!),IF(WEEKDAY(oct!W$3,1)=1,"WO","P"))</f>
        <v>WO</v>
      </c>
      <c r="X15" s="4" t="str">
        <f>IFERROR(LOOKUP(2,1/((#REF!=oct!$A15)*(#REF!&lt;=oct!X$3)*(#REF!&gt;=oct!X$3)),#REF!),IF(WEEKDAY(oct!X$3,1)=1,"WO","P"))</f>
        <v>P</v>
      </c>
      <c r="Y15" s="4" t="str">
        <f>IFERROR(LOOKUP(2,1/((#REF!=oct!$A15)*(#REF!&lt;=oct!Y$3)*(#REF!&gt;=oct!Y$3)),#REF!),IF(WEEKDAY(oct!Y$3,1)=1,"WO","P"))</f>
        <v>P</v>
      </c>
      <c r="Z15" s="4" t="str">
        <f>IFERROR(LOOKUP(2,1/((#REF!=oct!$A15)*(#REF!&lt;=oct!Z$3)*(#REF!&gt;=oct!Z$3)),#REF!),IF(WEEKDAY(oct!Z$3,1)=1,"WO","P"))</f>
        <v>P</v>
      </c>
      <c r="AA15" s="4" t="str">
        <f>IFERROR(LOOKUP(2,1/((#REF!=oct!$A15)*(#REF!&lt;=oct!AA$3)*(#REF!&gt;=oct!AA$3)),#REF!),IF(WEEKDAY(oct!AA$3,1)=1,"WO","P"))</f>
        <v>P</v>
      </c>
      <c r="AB15" s="4" t="str">
        <f>IFERROR(LOOKUP(2,1/((#REF!=oct!$A15)*(#REF!&lt;=oct!AB$3)*(#REF!&gt;=oct!AB$3)),#REF!),IF(WEEKDAY(oct!AB$3,1)=1,"WO","P"))</f>
        <v>P</v>
      </c>
      <c r="AC15" s="4" t="str">
        <f>IFERROR(LOOKUP(2,1/((#REF!=oct!$A15)*(#REF!&lt;=oct!AC$3)*(#REF!&gt;=oct!AC$3)),#REF!),IF(WEEKDAY(oct!AC$3,1)=1,"WO","P"))</f>
        <v>P</v>
      </c>
      <c r="AD15" s="4" t="str">
        <f>IFERROR(LOOKUP(2,1/((#REF!=oct!$A15)*(#REF!&lt;=oct!AD$3)*(#REF!&gt;=oct!AD$3)),#REF!),IF(WEEKDAY(oct!AD$3,1)=1,"WO","P"))</f>
        <v>WO</v>
      </c>
      <c r="AE15" s="4" t="str">
        <f>IFERROR(LOOKUP(2,1/((#REF!=oct!$A15)*(#REF!&lt;=oct!AE$3)*(#REF!&gt;=oct!AE$3)),#REF!),IF(WEEKDAY(oct!AE$3,1)=1,"WO","P"))</f>
        <v>P</v>
      </c>
      <c r="AF15" s="4" t="str">
        <f>IFERROR(LOOKUP(2,1/((#REF!=oct!$A15)*(#REF!&lt;=oct!AF$3)*(#REF!&gt;=oct!AF$3)),#REF!),IF(WEEKDAY(oct!AF$3,1)=1,"WO","P"))</f>
        <v>P</v>
      </c>
      <c r="AG15" s="4" t="str">
        <f>IFERROR(LOOKUP(2,1/((#REF!=oct!$A15)*(#REF!&lt;=oct!AG$3)*(#REF!&gt;=oct!AG$3)),#REF!),IF(WEEKDAY(oct!AG$3,1)=1,"WO","P"))</f>
        <v>P</v>
      </c>
      <c r="AH15" s="4" t="str">
        <f>IFERROR(LOOKUP(2,1/((#REF!=oct!$A15)*(#REF!&lt;=oct!AH$3)*(#REF!&gt;=oct!AH$3)),#REF!),IF(WEEKDAY(oct!AH$3,1)=1,"WO","P"))</f>
        <v>P</v>
      </c>
      <c r="AI15" s="4" t="str">
        <f>IFERROR(LOOKUP(2,1/((#REF!=oct!$A15)*(#REF!&lt;=oct!AI$3)*(#REF!&gt;=oct!AI$3)),#REF!),IF(WEEKDAY(oct!AI$3,1)=1,"WO","P"))</f>
        <v>P</v>
      </c>
      <c r="AJ15" s="4" t="str">
        <f>IFERROR(LOOKUP(2,1/((#REF!=oct!$A15)*(#REF!&lt;=oct!AJ$3)*(#REF!&gt;=oct!AJ$3)),#REF!),IF(WEEKDAY(oct!AJ$3,1)=1,"WO","P"))</f>
        <v>P</v>
      </c>
      <c r="AK15" s="4">
        <f>COUNTIF(mar!$F15:$AJ15,"WO")</f>
        <v>5</v>
      </c>
      <c r="AL15" s="4">
        <f>COUNTIF(mar!$F15:$AJ15,"H")</f>
        <v>2</v>
      </c>
      <c r="AM15" s="4">
        <f>COUNTIF(mar!$F15:$AJ15,"pl")</f>
        <v>0</v>
      </c>
      <c r="AN15" s="4">
        <f>COUNTIF(mar!$F15:$AJ15,"LWP")</f>
        <v>0</v>
      </c>
      <c r="AO15" s="4">
        <f>COUNTIF(mar!$F15:$AJ15,"HD")</f>
        <v>0</v>
      </c>
      <c r="AP15" s="4">
        <f>COUNTIF(mar!$F15:$AJ15,"SL")</f>
        <v>0</v>
      </c>
      <c r="AQ15" s="4">
        <f>COUNTIF(mar!$F15:$AJ15,"CL")</f>
        <v>0</v>
      </c>
      <c r="AR15" s="4">
        <f>COUNTIF(mar!$F15:$AJ15,"A")</f>
        <v>2</v>
      </c>
      <c r="AS15" s="4">
        <f>COUNTIF(mar!$F15:$AJ15,"P")</f>
        <v>22</v>
      </c>
      <c r="AT15" s="4">
        <f t="shared" si="2"/>
        <v>31</v>
      </c>
      <c r="AU15" s="4">
        <f t="shared" si="3"/>
        <v>29</v>
      </c>
      <c r="AV15" s="4">
        <f>SUMIFS(holly!$L$2:$L$122,holly!$I$2:$I$122,mar!$A15,holly!$K$2:$K$122,"Mar")</f>
        <v>1</v>
      </c>
    </row>
    <row r="16" spans="1:48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IFERROR(LOOKUP(2,1/((#REF!=oct!$A16)*(#REF!&lt;=oct!F$3)*(#REF!&gt;=oct!F$3)),#REF!),IF(WEEKDAY(oct!F$3,1)=1,"WO","P"))</f>
        <v>P</v>
      </c>
      <c r="G16" s="4" t="str">
        <f>IFERROR(LOOKUP(2,1/((#REF!=oct!$A16)*(#REF!&lt;=oct!G$3)*(#REF!&gt;=oct!G$3)),#REF!),IF(WEEKDAY(oct!G$3,1)=1,"WO","P"))</f>
        <v>P</v>
      </c>
      <c r="H16" s="4" t="str">
        <f>IFERROR(LOOKUP(2,1/((#REF!=oct!$A16)*(#REF!&lt;=oct!H$3)*(#REF!&gt;=oct!H$3)),#REF!),IF(WEEKDAY(oct!H$3,1)=1,"WO","P"))</f>
        <v>P</v>
      </c>
      <c r="I16" s="4" t="str">
        <f>IFERROR(LOOKUP(2,1/((#REF!=oct!$A16)*(#REF!&lt;=oct!I$3)*(#REF!&gt;=oct!I$3)),#REF!),IF(WEEKDAY(oct!I$3,1)=1,"WO","P"))</f>
        <v>WO</v>
      </c>
      <c r="J16" s="4" t="str">
        <f>IFERROR(LOOKUP(2,1/((#REF!=oct!$A16)*(#REF!&lt;=oct!J$3)*(#REF!&gt;=oct!J$3)),#REF!),IF(WEEKDAY(oct!J$3,1)=1,"WO","P"))</f>
        <v>P</v>
      </c>
      <c r="K16" s="4" t="str">
        <f>IFERROR(LOOKUP(2,1/((#REF!=oct!$A16)*(#REF!&lt;=oct!K$3)*(#REF!&gt;=oct!K$3)),#REF!),IF(WEEKDAY(oct!K$3,1)=1,"WO","P"))</f>
        <v>P</v>
      </c>
      <c r="L16" s="4" t="str">
        <f>IFERROR(LOOKUP(2,1/((#REF!=oct!$A16)*(#REF!&lt;=oct!L$3)*(#REF!&gt;=oct!L$3)),#REF!),IF(WEEKDAY(oct!L$3,1)=1,"WO","P"))</f>
        <v>P</v>
      </c>
      <c r="M16" s="4" t="str">
        <f>IFERROR(LOOKUP(2,1/((#REF!=oct!$A16)*(#REF!&lt;=oct!M$3)*(#REF!&gt;=oct!M$3)),#REF!),IF(WEEKDAY(oct!M$3,1)=1,"WO","P"))</f>
        <v>P</v>
      </c>
      <c r="N16" s="4" t="str">
        <f>IFERROR(LOOKUP(2,1/((#REF!=oct!$A16)*(#REF!&lt;=oct!N$3)*(#REF!&gt;=oct!N$3)),#REF!),IF(WEEKDAY(oct!N$3,1)=1,"WO","P"))</f>
        <v>P</v>
      </c>
      <c r="O16" s="4" t="str">
        <f>IFERROR(LOOKUP(2,1/((#REF!=oct!$A16)*(#REF!&lt;=oct!O$3)*(#REF!&gt;=oct!O$3)),#REF!),IF(WEEKDAY(oct!O$3,1)=1,"WO","P"))</f>
        <v>P</v>
      </c>
      <c r="P16" s="4" t="str">
        <f>IFERROR(LOOKUP(2,1/((#REF!=oct!$A16)*(#REF!&lt;=oct!P$3)*(#REF!&gt;=oct!P$3)),#REF!),IF(WEEKDAY(oct!P$3,1)=1,"WO","P"))</f>
        <v>WO</v>
      </c>
      <c r="Q16" s="4" t="str">
        <f>IFERROR(LOOKUP(2,1/((#REF!=oct!$A16)*(#REF!&lt;=oct!Q$3)*(#REF!&gt;=oct!Q$3)),#REF!),IF(WEEKDAY(oct!Q$3,1)=1,"WO","P"))</f>
        <v>P</v>
      </c>
      <c r="R16" s="4" t="str">
        <f>IFERROR(LOOKUP(2,1/((#REF!=oct!$A16)*(#REF!&lt;=oct!R$3)*(#REF!&gt;=oct!R$3)),#REF!),IF(WEEKDAY(oct!R$3,1)=1,"WO","P"))</f>
        <v>P</v>
      </c>
      <c r="S16" s="4" t="str">
        <f>IFERROR(LOOKUP(2,1/((#REF!=oct!$A16)*(#REF!&lt;=oct!S$3)*(#REF!&gt;=oct!S$3)),#REF!),IF(WEEKDAY(oct!S$3,1)=1,"WO","P"))</f>
        <v>P</v>
      </c>
      <c r="T16" s="4" t="str">
        <f>IFERROR(LOOKUP(2,1/((#REF!=oct!$A16)*(#REF!&lt;=oct!T$3)*(#REF!&gt;=oct!T$3)),#REF!),IF(WEEKDAY(oct!T$3,1)=1,"WO","P"))</f>
        <v>P</v>
      </c>
      <c r="U16" s="4" t="str">
        <f>IFERROR(LOOKUP(2,1/((#REF!=oct!$A16)*(#REF!&lt;=oct!U$3)*(#REF!&gt;=oct!U$3)),#REF!),IF(WEEKDAY(oct!U$3,1)=1,"WO","P"))</f>
        <v>P</v>
      </c>
      <c r="V16" s="4" t="str">
        <f>IFERROR(LOOKUP(2,1/((#REF!=oct!$A16)*(#REF!&lt;=oct!V$3)*(#REF!&gt;=oct!V$3)),#REF!),IF(WEEKDAY(oct!V$3,1)=1,"WO","P"))</f>
        <v>P</v>
      </c>
      <c r="W16" s="4" t="str">
        <f>IFERROR(LOOKUP(2,1/((#REF!=oct!$A16)*(#REF!&lt;=oct!W$3)*(#REF!&gt;=oct!W$3)),#REF!),IF(WEEKDAY(oct!W$3,1)=1,"WO","P"))</f>
        <v>WO</v>
      </c>
      <c r="X16" s="4" t="str">
        <f>IFERROR(LOOKUP(2,1/((#REF!=oct!$A16)*(#REF!&lt;=oct!X$3)*(#REF!&gt;=oct!X$3)),#REF!),IF(WEEKDAY(oct!X$3,1)=1,"WO","P"))</f>
        <v>P</v>
      </c>
      <c r="Y16" s="4" t="str">
        <f>IFERROR(LOOKUP(2,1/((#REF!=oct!$A16)*(#REF!&lt;=oct!Y$3)*(#REF!&gt;=oct!Y$3)),#REF!),IF(WEEKDAY(oct!Y$3,1)=1,"WO","P"))</f>
        <v>P</v>
      </c>
      <c r="Z16" s="4" t="str">
        <f>IFERROR(LOOKUP(2,1/((#REF!=oct!$A16)*(#REF!&lt;=oct!Z$3)*(#REF!&gt;=oct!Z$3)),#REF!),IF(WEEKDAY(oct!Z$3,1)=1,"WO","P"))</f>
        <v>P</v>
      </c>
      <c r="AA16" s="4" t="str">
        <f>IFERROR(LOOKUP(2,1/((#REF!=oct!$A16)*(#REF!&lt;=oct!AA$3)*(#REF!&gt;=oct!AA$3)),#REF!),IF(WEEKDAY(oct!AA$3,1)=1,"WO","P"))</f>
        <v>P</v>
      </c>
      <c r="AB16" s="4" t="str">
        <f>IFERROR(LOOKUP(2,1/((#REF!=oct!$A16)*(#REF!&lt;=oct!AB$3)*(#REF!&gt;=oct!AB$3)),#REF!),IF(WEEKDAY(oct!AB$3,1)=1,"WO","P"))</f>
        <v>P</v>
      </c>
      <c r="AC16" s="4" t="str">
        <f>IFERROR(LOOKUP(2,1/((#REF!=oct!$A16)*(#REF!&lt;=oct!AC$3)*(#REF!&gt;=oct!AC$3)),#REF!),IF(WEEKDAY(oct!AC$3,1)=1,"WO","P"))</f>
        <v>P</v>
      </c>
      <c r="AD16" s="4" t="str">
        <f>IFERROR(LOOKUP(2,1/((#REF!=oct!$A16)*(#REF!&lt;=oct!AD$3)*(#REF!&gt;=oct!AD$3)),#REF!),IF(WEEKDAY(oct!AD$3,1)=1,"WO","P"))</f>
        <v>WO</v>
      </c>
      <c r="AE16" s="4" t="str">
        <f>IFERROR(LOOKUP(2,1/((#REF!=oct!$A16)*(#REF!&lt;=oct!AE$3)*(#REF!&gt;=oct!AE$3)),#REF!),IF(WEEKDAY(oct!AE$3,1)=1,"WO","P"))</f>
        <v>P</v>
      </c>
      <c r="AF16" s="4" t="str">
        <f>IFERROR(LOOKUP(2,1/((#REF!=oct!$A16)*(#REF!&lt;=oct!AF$3)*(#REF!&gt;=oct!AF$3)),#REF!),IF(WEEKDAY(oct!AF$3,1)=1,"WO","P"))</f>
        <v>P</v>
      </c>
      <c r="AG16" s="4" t="str">
        <f>IFERROR(LOOKUP(2,1/((#REF!=oct!$A16)*(#REF!&lt;=oct!AG$3)*(#REF!&gt;=oct!AG$3)),#REF!),IF(WEEKDAY(oct!AG$3,1)=1,"WO","P"))</f>
        <v>P</v>
      </c>
      <c r="AH16" s="4" t="str">
        <f>IFERROR(LOOKUP(2,1/((#REF!=oct!$A16)*(#REF!&lt;=oct!AH$3)*(#REF!&gt;=oct!AH$3)),#REF!),IF(WEEKDAY(oct!AH$3,1)=1,"WO","P"))</f>
        <v>P</v>
      </c>
      <c r="AI16" s="4" t="str">
        <f>IFERROR(LOOKUP(2,1/((#REF!=oct!$A16)*(#REF!&lt;=oct!AI$3)*(#REF!&gt;=oct!AI$3)),#REF!),IF(WEEKDAY(oct!AI$3,1)=1,"WO","P"))</f>
        <v>P</v>
      </c>
      <c r="AJ16" s="4" t="str">
        <f>IFERROR(LOOKUP(2,1/((#REF!=oct!$A16)*(#REF!&lt;=oct!AJ$3)*(#REF!&gt;=oct!AJ$3)),#REF!),IF(WEEKDAY(oct!AJ$3,1)=1,"WO","P"))</f>
        <v>P</v>
      </c>
      <c r="AK16" s="4">
        <f>COUNTIF(mar!$F16:$AJ16,"WO")</f>
        <v>5</v>
      </c>
      <c r="AL16" s="4">
        <f>COUNTIF(mar!$F16:$AJ16,"H")</f>
        <v>2</v>
      </c>
      <c r="AM16" s="4">
        <f>COUNTIF(mar!$F16:$AJ16,"pl")</f>
        <v>0</v>
      </c>
      <c r="AN16" s="4">
        <f>COUNTIF(mar!$F16:$AJ16,"LWP")</f>
        <v>0</v>
      </c>
      <c r="AO16" s="4">
        <f>COUNTIF(mar!$F16:$AJ16,"HD")</f>
        <v>0</v>
      </c>
      <c r="AP16" s="4">
        <f>COUNTIF(mar!$F16:$AJ16,"SL")</f>
        <v>0</v>
      </c>
      <c r="AQ16" s="4">
        <f>COUNTIF(mar!$F16:$AJ16,"CL")</f>
        <v>0</v>
      </c>
      <c r="AR16" s="4">
        <f>COUNTIF(mar!$F16:$AJ16,"A")</f>
        <v>1</v>
      </c>
      <c r="AS16" s="4">
        <f>COUNTIF(mar!$F16:$AJ16,"P")</f>
        <v>23</v>
      </c>
      <c r="AT16" s="4">
        <f t="shared" si="2"/>
        <v>31</v>
      </c>
      <c r="AU16" s="4">
        <f t="shared" si="3"/>
        <v>30</v>
      </c>
      <c r="AV16" s="4">
        <f>SUMIFS(holly!$L$2:$L$122,holly!$I$2:$I$122,mar!$A16,holly!$K$2:$K$122,"Mar")</f>
        <v>0</v>
      </c>
    </row>
    <row r="17" spans="1:48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IFERROR(LOOKUP(2,1/((#REF!=oct!$A17)*(#REF!&lt;=oct!F$3)*(#REF!&gt;=oct!F$3)),#REF!),IF(WEEKDAY(oct!F$3,1)=1,"WO","P"))</f>
        <v>P</v>
      </c>
      <c r="G17" s="4" t="str">
        <f>IFERROR(LOOKUP(2,1/((#REF!=oct!$A17)*(#REF!&lt;=oct!G$3)*(#REF!&gt;=oct!G$3)),#REF!),IF(WEEKDAY(oct!G$3,1)=1,"WO","P"))</f>
        <v>P</v>
      </c>
      <c r="H17" s="4" t="str">
        <f>IFERROR(LOOKUP(2,1/((#REF!=oct!$A17)*(#REF!&lt;=oct!H$3)*(#REF!&gt;=oct!H$3)),#REF!),IF(WEEKDAY(oct!H$3,1)=1,"WO","P"))</f>
        <v>P</v>
      </c>
      <c r="I17" s="4" t="str">
        <f>IFERROR(LOOKUP(2,1/((#REF!=oct!$A17)*(#REF!&lt;=oct!I$3)*(#REF!&gt;=oct!I$3)),#REF!),IF(WEEKDAY(oct!I$3,1)=1,"WO","P"))</f>
        <v>WO</v>
      </c>
      <c r="J17" s="4" t="str">
        <f>IFERROR(LOOKUP(2,1/((#REF!=oct!$A17)*(#REF!&lt;=oct!J$3)*(#REF!&gt;=oct!J$3)),#REF!),IF(WEEKDAY(oct!J$3,1)=1,"WO","P"))</f>
        <v>P</v>
      </c>
      <c r="K17" s="4" t="str">
        <f>IFERROR(LOOKUP(2,1/((#REF!=oct!$A17)*(#REF!&lt;=oct!K$3)*(#REF!&gt;=oct!K$3)),#REF!),IF(WEEKDAY(oct!K$3,1)=1,"WO","P"))</f>
        <v>P</v>
      </c>
      <c r="L17" s="4" t="str">
        <f>IFERROR(LOOKUP(2,1/((#REF!=oct!$A17)*(#REF!&lt;=oct!L$3)*(#REF!&gt;=oct!L$3)),#REF!),IF(WEEKDAY(oct!L$3,1)=1,"WO","P"))</f>
        <v>P</v>
      </c>
      <c r="M17" s="4" t="str">
        <f>IFERROR(LOOKUP(2,1/((#REF!=oct!$A17)*(#REF!&lt;=oct!M$3)*(#REF!&gt;=oct!M$3)),#REF!),IF(WEEKDAY(oct!M$3,1)=1,"WO","P"))</f>
        <v>P</v>
      </c>
      <c r="N17" s="4" t="str">
        <f>IFERROR(LOOKUP(2,1/((#REF!=oct!$A17)*(#REF!&lt;=oct!N$3)*(#REF!&gt;=oct!N$3)),#REF!),IF(WEEKDAY(oct!N$3,1)=1,"WO","P"))</f>
        <v>P</v>
      </c>
      <c r="O17" s="4" t="str">
        <f>IFERROR(LOOKUP(2,1/((#REF!=oct!$A17)*(#REF!&lt;=oct!O$3)*(#REF!&gt;=oct!O$3)),#REF!),IF(WEEKDAY(oct!O$3,1)=1,"WO","P"))</f>
        <v>P</v>
      </c>
      <c r="P17" s="4" t="str">
        <f>IFERROR(LOOKUP(2,1/((#REF!=oct!$A17)*(#REF!&lt;=oct!P$3)*(#REF!&gt;=oct!P$3)),#REF!),IF(WEEKDAY(oct!P$3,1)=1,"WO","P"))</f>
        <v>WO</v>
      </c>
      <c r="Q17" s="4" t="str">
        <f>IFERROR(LOOKUP(2,1/((#REF!=oct!$A17)*(#REF!&lt;=oct!Q$3)*(#REF!&gt;=oct!Q$3)),#REF!),IF(WEEKDAY(oct!Q$3,1)=1,"WO","P"))</f>
        <v>P</v>
      </c>
      <c r="R17" s="4" t="str">
        <f>IFERROR(LOOKUP(2,1/((#REF!=oct!$A17)*(#REF!&lt;=oct!R$3)*(#REF!&gt;=oct!R$3)),#REF!),IF(WEEKDAY(oct!R$3,1)=1,"WO","P"))</f>
        <v>P</v>
      </c>
      <c r="S17" s="4" t="str">
        <f>IFERROR(LOOKUP(2,1/((#REF!=oct!$A17)*(#REF!&lt;=oct!S$3)*(#REF!&gt;=oct!S$3)),#REF!),IF(WEEKDAY(oct!S$3,1)=1,"WO","P"))</f>
        <v>P</v>
      </c>
      <c r="T17" s="4" t="str">
        <f>IFERROR(LOOKUP(2,1/((#REF!=oct!$A17)*(#REF!&lt;=oct!T$3)*(#REF!&gt;=oct!T$3)),#REF!),IF(WEEKDAY(oct!T$3,1)=1,"WO","P"))</f>
        <v>P</v>
      </c>
      <c r="U17" s="4" t="str">
        <f>IFERROR(LOOKUP(2,1/((#REF!=oct!$A17)*(#REF!&lt;=oct!U$3)*(#REF!&gt;=oct!U$3)),#REF!),IF(WEEKDAY(oct!U$3,1)=1,"WO","P"))</f>
        <v>P</v>
      </c>
      <c r="V17" s="4" t="str">
        <f>IFERROR(LOOKUP(2,1/((#REF!=oct!$A17)*(#REF!&lt;=oct!V$3)*(#REF!&gt;=oct!V$3)),#REF!),IF(WEEKDAY(oct!V$3,1)=1,"WO","P"))</f>
        <v>P</v>
      </c>
      <c r="W17" s="4" t="str">
        <f>IFERROR(LOOKUP(2,1/((#REF!=oct!$A17)*(#REF!&lt;=oct!W$3)*(#REF!&gt;=oct!W$3)),#REF!),IF(WEEKDAY(oct!W$3,1)=1,"WO","P"))</f>
        <v>WO</v>
      </c>
      <c r="X17" s="4" t="str">
        <f>IFERROR(LOOKUP(2,1/((#REF!=oct!$A17)*(#REF!&lt;=oct!X$3)*(#REF!&gt;=oct!X$3)),#REF!),IF(WEEKDAY(oct!X$3,1)=1,"WO","P"))</f>
        <v>P</v>
      </c>
      <c r="Y17" s="4" t="str">
        <f>IFERROR(LOOKUP(2,1/((#REF!=oct!$A17)*(#REF!&lt;=oct!Y$3)*(#REF!&gt;=oct!Y$3)),#REF!),IF(WEEKDAY(oct!Y$3,1)=1,"WO","P"))</f>
        <v>P</v>
      </c>
      <c r="Z17" s="4" t="str">
        <f>IFERROR(LOOKUP(2,1/((#REF!=oct!$A17)*(#REF!&lt;=oct!Z$3)*(#REF!&gt;=oct!Z$3)),#REF!),IF(WEEKDAY(oct!Z$3,1)=1,"WO","P"))</f>
        <v>P</v>
      </c>
      <c r="AA17" s="4" t="str">
        <f>IFERROR(LOOKUP(2,1/((#REF!=oct!$A17)*(#REF!&lt;=oct!AA$3)*(#REF!&gt;=oct!AA$3)),#REF!),IF(WEEKDAY(oct!AA$3,1)=1,"WO","P"))</f>
        <v>P</v>
      </c>
      <c r="AB17" s="4" t="str">
        <f>IFERROR(LOOKUP(2,1/((#REF!=oct!$A17)*(#REF!&lt;=oct!AB$3)*(#REF!&gt;=oct!AB$3)),#REF!),IF(WEEKDAY(oct!AB$3,1)=1,"WO","P"))</f>
        <v>P</v>
      </c>
      <c r="AC17" s="4" t="str">
        <f>IFERROR(LOOKUP(2,1/((#REF!=oct!$A17)*(#REF!&lt;=oct!AC$3)*(#REF!&gt;=oct!AC$3)),#REF!),IF(WEEKDAY(oct!AC$3,1)=1,"WO","P"))</f>
        <v>P</v>
      </c>
      <c r="AD17" s="4" t="str">
        <f>IFERROR(LOOKUP(2,1/((#REF!=oct!$A17)*(#REF!&lt;=oct!AD$3)*(#REF!&gt;=oct!AD$3)),#REF!),IF(WEEKDAY(oct!AD$3,1)=1,"WO","P"))</f>
        <v>WO</v>
      </c>
      <c r="AE17" s="4" t="str">
        <f>IFERROR(LOOKUP(2,1/((#REF!=oct!$A17)*(#REF!&lt;=oct!AE$3)*(#REF!&gt;=oct!AE$3)),#REF!),IF(WEEKDAY(oct!AE$3,1)=1,"WO","P"))</f>
        <v>P</v>
      </c>
      <c r="AF17" s="4" t="str">
        <f>IFERROR(LOOKUP(2,1/((#REF!=oct!$A17)*(#REF!&lt;=oct!AF$3)*(#REF!&gt;=oct!AF$3)),#REF!),IF(WEEKDAY(oct!AF$3,1)=1,"WO","P"))</f>
        <v>P</v>
      </c>
      <c r="AG17" s="4" t="str">
        <f>IFERROR(LOOKUP(2,1/((#REF!=oct!$A17)*(#REF!&lt;=oct!AG$3)*(#REF!&gt;=oct!AG$3)),#REF!),IF(WEEKDAY(oct!AG$3,1)=1,"WO","P"))</f>
        <v>P</v>
      </c>
      <c r="AH17" s="4" t="str">
        <f>IFERROR(LOOKUP(2,1/((#REF!=oct!$A17)*(#REF!&lt;=oct!AH$3)*(#REF!&gt;=oct!AH$3)),#REF!),IF(WEEKDAY(oct!AH$3,1)=1,"WO","P"))</f>
        <v>P</v>
      </c>
      <c r="AI17" s="4" t="str">
        <f>IFERROR(LOOKUP(2,1/((#REF!=oct!$A17)*(#REF!&lt;=oct!AI$3)*(#REF!&gt;=oct!AI$3)),#REF!),IF(WEEKDAY(oct!AI$3,1)=1,"WO","P"))</f>
        <v>P</v>
      </c>
      <c r="AJ17" s="4" t="str">
        <f>IFERROR(LOOKUP(2,1/((#REF!=oct!$A17)*(#REF!&lt;=oct!AJ$3)*(#REF!&gt;=oct!AJ$3)),#REF!),IF(WEEKDAY(oct!AJ$3,1)=1,"WO","P"))</f>
        <v>P</v>
      </c>
      <c r="AK17" s="4">
        <f>COUNTIF(mar!$F17:$AJ17,"WO")</f>
        <v>5</v>
      </c>
      <c r="AL17" s="4">
        <f>COUNTIF(mar!$F17:$AJ17,"H")</f>
        <v>2</v>
      </c>
      <c r="AM17" s="4">
        <f>COUNTIF(mar!$F17:$AJ17,"pl")</f>
        <v>0</v>
      </c>
      <c r="AN17" s="4">
        <f>COUNTIF(mar!$F17:$AJ17,"LWP")</f>
        <v>0</v>
      </c>
      <c r="AO17" s="4">
        <f>COUNTIF(mar!$F17:$AJ17,"HD")</f>
        <v>0</v>
      </c>
      <c r="AP17" s="4">
        <f>COUNTIF(mar!$F17:$AJ17,"SL")</f>
        <v>0</v>
      </c>
      <c r="AQ17" s="4">
        <f>COUNTIF(mar!$F17:$AJ17,"CL")</f>
        <v>0</v>
      </c>
      <c r="AR17" s="4">
        <f>COUNTIF(mar!$F17:$AJ17,"A")</f>
        <v>0</v>
      </c>
      <c r="AS17" s="4">
        <f>COUNTIF(mar!$F17:$AJ17,"P")</f>
        <v>24</v>
      </c>
      <c r="AT17" s="4">
        <f t="shared" si="2"/>
        <v>31</v>
      </c>
      <c r="AU17" s="4">
        <f t="shared" si="3"/>
        <v>31</v>
      </c>
      <c r="AV17" s="4">
        <f>SUMIFS(holly!$L$2:$L$122,holly!$I$2:$I$122,mar!$A17,holly!$K$2:$K$122,"Mar")</f>
        <v>0</v>
      </c>
    </row>
    <row r="18" spans="1:48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IFERROR(LOOKUP(2,1/((#REF!=oct!$A18)*(#REF!&lt;=oct!F$3)*(#REF!&gt;=oct!F$3)),#REF!),IF(WEEKDAY(oct!F$3,1)=1,"WO","P"))</f>
        <v>P</v>
      </c>
      <c r="G18" s="4" t="str">
        <f>IFERROR(LOOKUP(2,1/((#REF!=oct!$A18)*(#REF!&lt;=oct!G$3)*(#REF!&gt;=oct!G$3)),#REF!),IF(WEEKDAY(oct!G$3,1)=1,"WO","P"))</f>
        <v>P</v>
      </c>
      <c r="H18" s="4" t="str">
        <f>IFERROR(LOOKUP(2,1/((#REF!=oct!$A18)*(#REF!&lt;=oct!H$3)*(#REF!&gt;=oct!H$3)),#REF!),IF(WEEKDAY(oct!H$3,1)=1,"WO","P"))</f>
        <v>P</v>
      </c>
      <c r="I18" s="4" t="str">
        <f>IFERROR(LOOKUP(2,1/((#REF!=oct!$A18)*(#REF!&lt;=oct!I$3)*(#REF!&gt;=oct!I$3)),#REF!),IF(WEEKDAY(oct!I$3,1)=1,"WO","P"))</f>
        <v>WO</v>
      </c>
      <c r="J18" s="4" t="str">
        <f>IFERROR(LOOKUP(2,1/((#REF!=oct!$A18)*(#REF!&lt;=oct!J$3)*(#REF!&gt;=oct!J$3)),#REF!),IF(WEEKDAY(oct!J$3,1)=1,"WO","P"))</f>
        <v>P</v>
      </c>
      <c r="K18" s="4" t="str">
        <f>IFERROR(LOOKUP(2,1/((#REF!=oct!$A18)*(#REF!&lt;=oct!K$3)*(#REF!&gt;=oct!K$3)),#REF!),IF(WEEKDAY(oct!K$3,1)=1,"WO","P"))</f>
        <v>P</v>
      </c>
      <c r="L18" s="4" t="str">
        <f>IFERROR(LOOKUP(2,1/((#REF!=oct!$A18)*(#REF!&lt;=oct!L$3)*(#REF!&gt;=oct!L$3)),#REF!),IF(WEEKDAY(oct!L$3,1)=1,"WO","P"))</f>
        <v>P</v>
      </c>
      <c r="M18" s="4" t="str">
        <f>IFERROR(LOOKUP(2,1/((#REF!=oct!$A18)*(#REF!&lt;=oct!M$3)*(#REF!&gt;=oct!M$3)),#REF!),IF(WEEKDAY(oct!M$3,1)=1,"WO","P"))</f>
        <v>P</v>
      </c>
      <c r="N18" s="4" t="str">
        <f>IFERROR(LOOKUP(2,1/((#REF!=oct!$A18)*(#REF!&lt;=oct!N$3)*(#REF!&gt;=oct!N$3)),#REF!),IF(WEEKDAY(oct!N$3,1)=1,"WO","P"))</f>
        <v>P</v>
      </c>
      <c r="O18" s="4" t="str">
        <f>IFERROR(LOOKUP(2,1/((#REF!=oct!$A18)*(#REF!&lt;=oct!O$3)*(#REF!&gt;=oct!O$3)),#REF!),IF(WEEKDAY(oct!O$3,1)=1,"WO","P"))</f>
        <v>P</v>
      </c>
      <c r="P18" s="4" t="str">
        <f>IFERROR(LOOKUP(2,1/((#REF!=oct!$A18)*(#REF!&lt;=oct!P$3)*(#REF!&gt;=oct!P$3)),#REF!),IF(WEEKDAY(oct!P$3,1)=1,"WO","P"))</f>
        <v>WO</v>
      </c>
      <c r="Q18" s="4" t="str">
        <f>IFERROR(LOOKUP(2,1/((#REF!=oct!$A18)*(#REF!&lt;=oct!Q$3)*(#REF!&gt;=oct!Q$3)),#REF!),IF(WEEKDAY(oct!Q$3,1)=1,"WO","P"))</f>
        <v>P</v>
      </c>
      <c r="R18" s="4" t="str">
        <f>IFERROR(LOOKUP(2,1/((#REF!=oct!$A18)*(#REF!&lt;=oct!R$3)*(#REF!&gt;=oct!R$3)),#REF!),IF(WEEKDAY(oct!R$3,1)=1,"WO","P"))</f>
        <v>P</v>
      </c>
      <c r="S18" s="4" t="str">
        <f>IFERROR(LOOKUP(2,1/((#REF!=oct!$A18)*(#REF!&lt;=oct!S$3)*(#REF!&gt;=oct!S$3)),#REF!),IF(WEEKDAY(oct!S$3,1)=1,"WO","P"))</f>
        <v>P</v>
      </c>
      <c r="T18" s="4" t="str">
        <f>IFERROR(LOOKUP(2,1/((#REF!=oct!$A18)*(#REF!&lt;=oct!T$3)*(#REF!&gt;=oct!T$3)),#REF!),IF(WEEKDAY(oct!T$3,1)=1,"WO","P"))</f>
        <v>P</v>
      </c>
      <c r="U18" s="4" t="str">
        <f>IFERROR(LOOKUP(2,1/((#REF!=oct!$A18)*(#REF!&lt;=oct!U$3)*(#REF!&gt;=oct!U$3)),#REF!),IF(WEEKDAY(oct!U$3,1)=1,"WO","P"))</f>
        <v>P</v>
      </c>
      <c r="V18" s="4" t="str">
        <f>IFERROR(LOOKUP(2,1/((#REF!=oct!$A18)*(#REF!&lt;=oct!V$3)*(#REF!&gt;=oct!V$3)),#REF!),IF(WEEKDAY(oct!V$3,1)=1,"WO","P"))</f>
        <v>P</v>
      </c>
      <c r="W18" s="4" t="str">
        <f>IFERROR(LOOKUP(2,1/((#REF!=oct!$A18)*(#REF!&lt;=oct!W$3)*(#REF!&gt;=oct!W$3)),#REF!),IF(WEEKDAY(oct!W$3,1)=1,"WO","P"))</f>
        <v>WO</v>
      </c>
      <c r="X18" s="4" t="str">
        <f>IFERROR(LOOKUP(2,1/((#REF!=oct!$A18)*(#REF!&lt;=oct!X$3)*(#REF!&gt;=oct!X$3)),#REF!),IF(WEEKDAY(oct!X$3,1)=1,"WO","P"))</f>
        <v>P</v>
      </c>
      <c r="Y18" s="4" t="str">
        <f>IFERROR(LOOKUP(2,1/((#REF!=oct!$A18)*(#REF!&lt;=oct!Y$3)*(#REF!&gt;=oct!Y$3)),#REF!),IF(WEEKDAY(oct!Y$3,1)=1,"WO","P"))</f>
        <v>P</v>
      </c>
      <c r="Z18" s="4" t="str">
        <f>IFERROR(LOOKUP(2,1/((#REF!=oct!$A18)*(#REF!&lt;=oct!Z$3)*(#REF!&gt;=oct!Z$3)),#REF!),IF(WEEKDAY(oct!Z$3,1)=1,"WO","P"))</f>
        <v>P</v>
      </c>
      <c r="AA18" s="4" t="str">
        <f>IFERROR(LOOKUP(2,1/((#REF!=oct!$A18)*(#REF!&lt;=oct!AA$3)*(#REF!&gt;=oct!AA$3)),#REF!),IF(WEEKDAY(oct!AA$3,1)=1,"WO","P"))</f>
        <v>P</v>
      </c>
      <c r="AB18" s="4" t="str">
        <f>IFERROR(LOOKUP(2,1/((#REF!=oct!$A18)*(#REF!&lt;=oct!AB$3)*(#REF!&gt;=oct!AB$3)),#REF!),IF(WEEKDAY(oct!AB$3,1)=1,"WO","P"))</f>
        <v>P</v>
      </c>
      <c r="AC18" s="4" t="str">
        <f>IFERROR(LOOKUP(2,1/((#REF!=oct!$A18)*(#REF!&lt;=oct!AC$3)*(#REF!&gt;=oct!AC$3)),#REF!),IF(WEEKDAY(oct!AC$3,1)=1,"WO","P"))</f>
        <v>P</v>
      </c>
      <c r="AD18" s="4" t="str">
        <f>IFERROR(LOOKUP(2,1/((#REF!=oct!$A18)*(#REF!&lt;=oct!AD$3)*(#REF!&gt;=oct!AD$3)),#REF!),IF(WEEKDAY(oct!AD$3,1)=1,"WO","P"))</f>
        <v>WO</v>
      </c>
      <c r="AE18" s="4" t="str">
        <f>IFERROR(LOOKUP(2,1/((#REF!=oct!$A18)*(#REF!&lt;=oct!AE$3)*(#REF!&gt;=oct!AE$3)),#REF!),IF(WEEKDAY(oct!AE$3,1)=1,"WO","P"))</f>
        <v>P</v>
      </c>
      <c r="AF18" s="4" t="str">
        <f>IFERROR(LOOKUP(2,1/((#REF!=oct!$A18)*(#REF!&lt;=oct!AF$3)*(#REF!&gt;=oct!AF$3)),#REF!),IF(WEEKDAY(oct!AF$3,1)=1,"WO","P"))</f>
        <v>P</v>
      </c>
      <c r="AG18" s="4" t="str">
        <f>IFERROR(LOOKUP(2,1/((#REF!=oct!$A18)*(#REF!&lt;=oct!AG$3)*(#REF!&gt;=oct!AG$3)),#REF!),IF(WEEKDAY(oct!AG$3,1)=1,"WO","P"))</f>
        <v>P</v>
      </c>
      <c r="AH18" s="4" t="str">
        <f>IFERROR(LOOKUP(2,1/((#REF!=oct!$A18)*(#REF!&lt;=oct!AH$3)*(#REF!&gt;=oct!AH$3)),#REF!),IF(WEEKDAY(oct!AH$3,1)=1,"WO","P"))</f>
        <v>P</v>
      </c>
      <c r="AI18" s="4" t="str">
        <f>IFERROR(LOOKUP(2,1/((#REF!=oct!$A18)*(#REF!&lt;=oct!AI$3)*(#REF!&gt;=oct!AI$3)),#REF!),IF(WEEKDAY(oct!AI$3,1)=1,"WO","P"))</f>
        <v>P</v>
      </c>
      <c r="AJ18" s="4" t="str">
        <f>IFERROR(LOOKUP(2,1/((#REF!=oct!$A18)*(#REF!&lt;=oct!AJ$3)*(#REF!&gt;=oct!AJ$3)),#REF!),IF(WEEKDAY(oct!AJ$3,1)=1,"WO","P"))</f>
        <v>P</v>
      </c>
      <c r="AK18" s="4">
        <f>COUNTIF(mar!$F18:$AJ18,"WO")</f>
        <v>5</v>
      </c>
      <c r="AL18" s="4">
        <f>COUNTIF(mar!$F18:$AJ18,"H")</f>
        <v>2</v>
      </c>
      <c r="AM18" s="4">
        <f>COUNTIF(mar!$F18:$AJ18,"pl")</f>
        <v>0</v>
      </c>
      <c r="AN18" s="4">
        <f>COUNTIF(mar!$F18:$AJ18,"LWP")</f>
        <v>0</v>
      </c>
      <c r="AO18" s="4">
        <f>COUNTIF(mar!$F18:$AJ18,"HD")</f>
        <v>0</v>
      </c>
      <c r="AP18" s="4">
        <f>COUNTIF(mar!$F18:$AJ18,"SL")</f>
        <v>0</v>
      </c>
      <c r="AQ18" s="4">
        <f>COUNTIF(mar!$F18:$AJ18,"CL")</f>
        <v>0</v>
      </c>
      <c r="AR18" s="4">
        <f>COUNTIF(mar!$F18:$AJ18,"A")</f>
        <v>1</v>
      </c>
      <c r="AS18" s="4">
        <f>COUNTIF(mar!$F18:$AJ18,"P")</f>
        <v>23</v>
      </c>
      <c r="AT18" s="4">
        <f t="shared" si="2"/>
        <v>31</v>
      </c>
      <c r="AU18" s="4">
        <f t="shared" si="3"/>
        <v>30</v>
      </c>
      <c r="AV18" s="4">
        <f>SUMIFS(holly!$L$2:$L$122,holly!$I$2:$I$122,mar!$A18,holly!$K$2:$K$122,"Mar")</f>
        <v>0</v>
      </c>
    </row>
    <row r="19" spans="1:48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IFERROR(LOOKUP(2,1/((#REF!=oct!$A19)*(#REF!&lt;=oct!F$3)*(#REF!&gt;=oct!F$3)),#REF!),IF(WEEKDAY(oct!F$3,1)=1,"WO","P"))</f>
        <v>P</v>
      </c>
      <c r="G19" s="4" t="str">
        <f>IFERROR(LOOKUP(2,1/((#REF!=oct!$A19)*(#REF!&lt;=oct!G$3)*(#REF!&gt;=oct!G$3)),#REF!),IF(WEEKDAY(oct!G$3,1)=1,"WO","P"))</f>
        <v>P</v>
      </c>
      <c r="H19" s="4" t="str">
        <f>IFERROR(LOOKUP(2,1/((#REF!=oct!$A19)*(#REF!&lt;=oct!H$3)*(#REF!&gt;=oct!H$3)),#REF!),IF(WEEKDAY(oct!H$3,1)=1,"WO","P"))</f>
        <v>P</v>
      </c>
      <c r="I19" s="4" t="str">
        <f>IFERROR(LOOKUP(2,1/((#REF!=oct!$A19)*(#REF!&lt;=oct!I$3)*(#REF!&gt;=oct!I$3)),#REF!),IF(WEEKDAY(oct!I$3,1)=1,"WO","P"))</f>
        <v>WO</v>
      </c>
      <c r="J19" s="4" t="str">
        <f>IFERROR(LOOKUP(2,1/((#REF!=oct!$A19)*(#REF!&lt;=oct!J$3)*(#REF!&gt;=oct!J$3)),#REF!),IF(WEEKDAY(oct!J$3,1)=1,"WO","P"))</f>
        <v>P</v>
      </c>
      <c r="K19" s="4" t="str">
        <f>IFERROR(LOOKUP(2,1/((#REF!=oct!$A19)*(#REF!&lt;=oct!K$3)*(#REF!&gt;=oct!K$3)),#REF!),IF(WEEKDAY(oct!K$3,1)=1,"WO","P"))</f>
        <v>P</v>
      </c>
      <c r="L19" s="4" t="str">
        <f>IFERROR(LOOKUP(2,1/((#REF!=oct!$A19)*(#REF!&lt;=oct!L$3)*(#REF!&gt;=oct!L$3)),#REF!),IF(WEEKDAY(oct!L$3,1)=1,"WO","P"))</f>
        <v>P</v>
      </c>
      <c r="M19" s="4" t="str">
        <f>IFERROR(LOOKUP(2,1/((#REF!=oct!$A19)*(#REF!&lt;=oct!M$3)*(#REF!&gt;=oct!M$3)),#REF!),IF(WEEKDAY(oct!M$3,1)=1,"WO","P"))</f>
        <v>P</v>
      </c>
      <c r="N19" s="4" t="str">
        <f>IFERROR(LOOKUP(2,1/((#REF!=oct!$A19)*(#REF!&lt;=oct!N$3)*(#REF!&gt;=oct!N$3)),#REF!),IF(WEEKDAY(oct!N$3,1)=1,"WO","P"))</f>
        <v>P</v>
      </c>
      <c r="O19" s="4" t="str">
        <f>IFERROR(LOOKUP(2,1/((#REF!=oct!$A19)*(#REF!&lt;=oct!O$3)*(#REF!&gt;=oct!O$3)),#REF!),IF(WEEKDAY(oct!O$3,1)=1,"WO","P"))</f>
        <v>P</v>
      </c>
      <c r="P19" s="4" t="str">
        <f>IFERROR(LOOKUP(2,1/((#REF!=oct!$A19)*(#REF!&lt;=oct!P$3)*(#REF!&gt;=oct!P$3)),#REF!),IF(WEEKDAY(oct!P$3,1)=1,"WO","P"))</f>
        <v>WO</v>
      </c>
      <c r="Q19" s="4" t="str">
        <f>IFERROR(LOOKUP(2,1/((#REF!=oct!$A19)*(#REF!&lt;=oct!Q$3)*(#REF!&gt;=oct!Q$3)),#REF!),IF(WEEKDAY(oct!Q$3,1)=1,"WO","P"))</f>
        <v>P</v>
      </c>
      <c r="R19" s="4" t="str">
        <f>IFERROR(LOOKUP(2,1/((#REF!=oct!$A19)*(#REF!&lt;=oct!R$3)*(#REF!&gt;=oct!R$3)),#REF!),IF(WEEKDAY(oct!R$3,1)=1,"WO","P"))</f>
        <v>P</v>
      </c>
      <c r="S19" s="4" t="str">
        <f>IFERROR(LOOKUP(2,1/((#REF!=oct!$A19)*(#REF!&lt;=oct!S$3)*(#REF!&gt;=oct!S$3)),#REF!),IF(WEEKDAY(oct!S$3,1)=1,"WO","P"))</f>
        <v>P</v>
      </c>
      <c r="T19" s="4" t="str">
        <f>IFERROR(LOOKUP(2,1/((#REF!=oct!$A19)*(#REF!&lt;=oct!T$3)*(#REF!&gt;=oct!T$3)),#REF!),IF(WEEKDAY(oct!T$3,1)=1,"WO","P"))</f>
        <v>P</v>
      </c>
      <c r="U19" s="4" t="str">
        <f>IFERROR(LOOKUP(2,1/((#REF!=oct!$A19)*(#REF!&lt;=oct!U$3)*(#REF!&gt;=oct!U$3)),#REF!),IF(WEEKDAY(oct!U$3,1)=1,"WO","P"))</f>
        <v>P</v>
      </c>
      <c r="V19" s="4" t="str">
        <f>IFERROR(LOOKUP(2,1/((#REF!=oct!$A19)*(#REF!&lt;=oct!V$3)*(#REF!&gt;=oct!V$3)),#REF!),IF(WEEKDAY(oct!V$3,1)=1,"WO","P"))</f>
        <v>P</v>
      </c>
      <c r="W19" s="4" t="str">
        <f>IFERROR(LOOKUP(2,1/((#REF!=oct!$A19)*(#REF!&lt;=oct!W$3)*(#REF!&gt;=oct!W$3)),#REF!),IF(WEEKDAY(oct!W$3,1)=1,"WO","P"))</f>
        <v>WO</v>
      </c>
      <c r="X19" s="4" t="str">
        <f>IFERROR(LOOKUP(2,1/((#REF!=oct!$A19)*(#REF!&lt;=oct!X$3)*(#REF!&gt;=oct!X$3)),#REF!),IF(WEEKDAY(oct!X$3,1)=1,"WO","P"))</f>
        <v>P</v>
      </c>
      <c r="Y19" s="4" t="str">
        <f>IFERROR(LOOKUP(2,1/((#REF!=oct!$A19)*(#REF!&lt;=oct!Y$3)*(#REF!&gt;=oct!Y$3)),#REF!),IF(WEEKDAY(oct!Y$3,1)=1,"WO","P"))</f>
        <v>P</v>
      </c>
      <c r="Z19" s="4" t="str">
        <f>IFERROR(LOOKUP(2,1/((#REF!=oct!$A19)*(#REF!&lt;=oct!Z$3)*(#REF!&gt;=oct!Z$3)),#REF!),IF(WEEKDAY(oct!Z$3,1)=1,"WO","P"))</f>
        <v>P</v>
      </c>
      <c r="AA19" s="4" t="str">
        <f>IFERROR(LOOKUP(2,1/((#REF!=oct!$A19)*(#REF!&lt;=oct!AA$3)*(#REF!&gt;=oct!AA$3)),#REF!),IF(WEEKDAY(oct!AA$3,1)=1,"WO","P"))</f>
        <v>P</v>
      </c>
      <c r="AB19" s="4" t="str">
        <f>IFERROR(LOOKUP(2,1/((#REF!=oct!$A19)*(#REF!&lt;=oct!AB$3)*(#REF!&gt;=oct!AB$3)),#REF!),IF(WEEKDAY(oct!AB$3,1)=1,"WO","P"))</f>
        <v>P</v>
      </c>
      <c r="AC19" s="4" t="str">
        <f>IFERROR(LOOKUP(2,1/((#REF!=oct!$A19)*(#REF!&lt;=oct!AC$3)*(#REF!&gt;=oct!AC$3)),#REF!),IF(WEEKDAY(oct!AC$3,1)=1,"WO","P"))</f>
        <v>P</v>
      </c>
      <c r="AD19" s="4" t="str">
        <f>IFERROR(LOOKUP(2,1/((#REF!=oct!$A19)*(#REF!&lt;=oct!AD$3)*(#REF!&gt;=oct!AD$3)),#REF!),IF(WEEKDAY(oct!AD$3,1)=1,"WO","P"))</f>
        <v>WO</v>
      </c>
      <c r="AE19" s="4" t="str">
        <f>IFERROR(LOOKUP(2,1/((#REF!=oct!$A19)*(#REF!&lt;=oct!AE$3)*(#REF!&gt;=oct!AE$3)),#REF!),IF(WEEKDAY(oct!AE$3,1)=1,"WO","P"))</f>
        <v>P</v>
      </c>
      <c r="AF19" s="4" t="str">
        <f>IFERROR(LOOKUP(2,1/((#REF!=oct!$A19)*(#REF!&lt;=oct!AF$3)*(#REF!&gt;=oct!AF$3)),#REF!),IF(WEEKDAY(oct!AF$3,1)=1,"WO","P"))</f>
        <v>P</v>
      </c>
      <c r="AG19" s="4" t="str">
        <f>IFERROR(LOOKUP(2,1/((#REF!=oct!$A19)*(#REF!&lt;=oct!AG$3)*(#REF!&gt;=oct!AG$3)),#REF!),IF(WEEKDAY(oct!AG$3,1)=1,"WO","P"))</f>
        <v>P</v>
      </c>
      <c r="AH19" s="4" t="str">
        <f>IFERROR(LOOKUP(2,1/((#REF!=oct!$A19)*(#REF!&lt;=oct!AH$3)*(#REF!&gt;=oct!AH$3)),#REF!),IF(WEEKDAY(oct!AH$3,1)=1,"WO","P"))</f>
        <v>P</v>
      </c>
      <c r="AI19" s="4" t="str">
        <f>IFERROR(LOOKUP(2,1/((#REF!=oct!$A19)*(#REF!&lt;=oct!AI$3)*(#REF!&gt;=oct!AI$3)),#REF!),IF(WEEKDAY(oct!AI$3,1)=1,"WO","P"))</f>
        <v>P</v>
      </c>
      <c r="AJ19" s="4" t="str">
        <f>IFERROR(LOOKUP(2,1/((#REF!=oct!$A19)*(#REF!&lt;=oct!AJ$3)*(#REF!&gt;=oct!AJ$3)),#REF!),IF(WEEKDAY(oct!AJ$3,1)=1,"WO","P"))</f>
        <v>P</v>
      </c>
      <c r="AK19" s="4">
        <f>COUNTIF(mar!$F19:$AJ19,"WO")</f>
        <v>5</v>
      </c>
      <c r="AL19" s="4">
        <f>COUNTIF(mar!$F19:$AJ19,"H")</f>
        <v>2</v>
      </c>
      <c r="AM19" s="4">
        <f>COUNTIF(mar!$F19:$AJ19,"pl")</f>
        <v>0</v>
      </c>
      <c r="AN19" s="4">
        <f>COUNTIF(mar!$F19:$AJ19,"LWP")</f>
        <v>0</v>
      </c>
      <c r="AO19" s="4">
        <f>COUNTIF(mar!$F19:$AJ19,"HD")</f>
        <v>0</v>
      </c>
      <c r="AP19" s="4">
        <f>COUNTIF(mar!$F19:$AJ19,"SL")</f>
        <v>0</v>
      </c>
      <c r="AQ19" s="4">
        <f>COUNTIF(mar!$F19:$AJ19,"CL")</f>
        <v>0</v>
      </c>
      <c r="AR19" s="4">
        <f>COUNTIF(mar!$F19:$AJ19,"A")</f>
        <v>2</v>
      </c>
      <c r="AS19" s="4">
        <f>COUNTIF(mar!$F19:$AJ19,"P")</f>
        <v>22</v>
      </c>
      <c r="AT19" s="4">
        <f t="shared" si="2"/>
        <v>31</v>
      </c>
      <c r="AU19" s="4">
        <f t="shared" si="3"/>
        <v>29</v>
      </c>
      <c r="AV19" s="4">
        <f>SUMIFS(holly!$L$2:$L$122,holly!$I$2:$I$122,mar!$A19,holly!$K$2:$K$122,"Mar")</f>
        <v>0</v>
      </c>
    </row>
    <row r="20" spans="1:48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IFERROR(LOOKUP(2,1/((#REF!=oct!$A20)*(#REF!&lt;=oct!F$3)*(#REF!&gt;=oct!F$3)),#REF!),IF(WEEKDAY(oct!F$3,1)=1,"WO","P"))</f>
        <v>P</v>
      </c>
      <c r="G20" s="4" t="str">
        <f>IFERROR(LOOKUP(2,1/((#REF!=oct!$A20)*(#REF!&lt;=oct!G$3)*(#REF!&gt;=oct!G$3)),#REF!),IF(WEEKDAY(oct!G$3,1)=1,"WO","P"))</f>
        <v>P</v>
      </c>
      <c r="H20" s="4" t="str">
        <f>IFERROR(LOOKUP(2,1/((#REF!=oct!$A20)*(#REF!&lt;=oct!H$3)*(#REF!&gt;=oct!H$3)),#REF!),IF(WEEKDAY(oct!H$3,1)=1,"WO","P"))</f>
        <v>P</v>
      </c>
      <c r="I20" s="4" t="str">
        <f>IFERROR(LOOKUP(2,1/((#REF!=oct!$A20)*(#REF!&lt;=oct!I$3)*(#REF!&gt;=oct!I$3)),#REF!),IF(WEEKDAY(oct!I$3,1)=1,"WO","P"))</f>
        <v>WO</v>
      </c>
      <c r="J20" s="4" t="str">
        <f>IFERROR(LOOKUP(2,1/((#REF!=oct!$A20)*(#REF!&lt;=oct!J$3)*(#REF!&gt;=oct!J$3)),#REF!),IF(WEEKDAY(oct!J$3,1)=1,"WO","P"))</f>
        <v>P</v>
      </c>
      <c r="K20" s="4" t="str">
        <f>IFERROR(LOOKUP(2,1/((#REF!=oct!$A20)*(#REF!&lt;=oct!K$3)*(#REF!&gt;=oct!K$3)),#REF!),IF(WEEKDAY(oct!K$3,1)=1,"WO","P"))</f>
        <v>P</v>
      </c>
      <c r="L20" s="4" t="str">
        <f>IFERROR(LOOKUP(2,1/((#REF!=oct!$A20)*(#REF!&lt;=oct!L$3)*(#REF!&gt;=oct!L$3)),#REF!),IF(WEEKDAY(oct!L$3,1)=1,"WO","P"))</f>
        <v>P</v>
      </c>
      <c r="M20" s="4" t="str">
        <f>IFERROR(LOOKUP(2,1/((#REF!=oct!$A20)*(#REF!&lt;=oct!M$3)*(#REF!&gt;=oct!M$3)),#REF!),IF(WEEKDAY(oct!M$3,1)=1,"WO","P"))</f>
        <v>P</v>
      </c>
      <c r="N20" s="4" t="str">
        <f>IFERROR(LOOKUP(2,1/((#REF!=oct!$A20)*(#REF!&lt;=oct!N$3)*(#REF!&gt;=oct!N$3)),#REF!),IF(WEEKDAY(oct!N$3,1)=1,"WO","P"))</f>
        <v>P</v>
      </c>
      <c r="O20" s="4" t="str">
        <f>IFERROR(LOOKUP(2,1/((#REF!=oct!$A20)*(#REF!&lt;=oct!O$3)*(#REF!&gt;=oct!O$3)),#REF!),IF(WEEKDAY(oct!O$3,1)=1,"WO","P"))</f>
        <v>P</v>
      </c>
      <c r="P20" s="4" t="str">
        <f>IFERROR(LOOKUP(2,1/((#REF!=oct!$A20)*(#REF!&lt;=oct!P$3)*(#REF!&gt;=oct!P$3)),#REF!),IF(WEEKDAY(oct!P$3,1)=1,"WO","P"))</f>
        <v>WO</v>
      </c>
      <c r="Q20" s="4" t="str">
        <f>IFERROR(LOOKUP(2,1/((#REF!=oct!$A20)*(#REF!&lt;=oct!Q$3)*(#REF!&gt;=oct!Q$3)),#REF!),IF(WEEKDAY(oct!Q$3,1)=1,"WO","P"))</f>
        <v>P</v>
      </c>
      <c r="R20" s="4" t="str">
        <f>IFERROR(LOOKUP(2,1/((#REF!=oct!$A20)*(#REF!&lt;=oct!R$3)*(#REF!&gt;=oct!R$3)),#REF!),IF(WEEKDAY(oct!R$3,1)=1,"WO","P"))</f>
        <v>P</v>
      </c>
      <c r="S20" s="4" t="str">
        <f>IFERROR(LOOKUP(2,1/((#REF!=oct!$A20)*(#REF!&lt;=oct!S$3)*(#REF!&gt;=oct!S$3)),#REF!),IF(WEEKDAY(oct!S$3,1)=1,"WO","P"))</f>
        <v>P</v>
      </c>
      <c r="T20" s="4" t="str">
        <f>IFERROR(LOOKUP(2,1/((#REF!=oct!$A20)*(#REF!&lt;=oct!T$3)*(#REF!&gt;=oct!T$3)),#REF!),IF(WEEKDAY(oct!T$3,1)=1,"WO","P"))</f>
        <v>P</v>
      </c>
      <c r="U20" s="4" t="str">
        <f>IFERROR(LOOKUP(2,1/((#REF!=oct!$A20)*(#REF!&lt;=oct!U$3)*(#REF!&gt;=oct!U$3)),#REF!),IF(WEEKDAY(oct!U$3,1)=1,"WO","P"))</f>
        <v>P</v>
      </c>
      <c r="V20" s="4" t="str">
        <f>IFERROR(LOOKUP(2,1/((#REF!=oct!$A20)*(#REF!&lt;=oct!V$3)*(#REF!&gt;=oct!V$3)),#REF!),IF(WEEKDAY(oct!V$3,1)=1,"WO","P"))</f>
        <v>P</v>
      </c>
      <c r="W20" s="4" t="str">
        <f>IFERROR(LOOKUP(2,1/((#REF!=oct!$A20)*(#REF!&lt;=oct!W$3)*(#REF!&gt;=oct!W$3)),#REF!),IF(WEEKDAY(oct!W$3,1)=1,"WO","P"))</f>
        <v>WO</v>
      </c>
      <c r="X20" s="4" t="str">
        <f>IFERROR(LOOKUP(2,1/((#REF!=oct!$A20)*(#REF!&lt;=oct!X$3)*(#REF!&gt;=oct!X$3)),#REF!),IF(WEEKDAY(oct!X$3,1)=1,"WO","P"))</f>
        <v>P</v>
      </c>
      <c r="Y20" s="4" t="str">
        <f>IFERROR(LOOKUP(2,1/((#REF!=oct!$A20)*(#REF!&lt;=oct!Y$3)*(#REF!&gt;=oct!Y$3)),#REF!),IF(WEEKDAY(oct!Y$3,1)=1,"WO","P"))</f>
        <v>P</v>
      </c>
      <c r="Z20" s="4" t="str">
        <f>IFERROR(LOOKUP(2,1/((#REF!=oct!$A20)*(#REF!&lt;=oct!Z$3)*(#REF!&gt;=oct!Z$3)),#REF!),IF(WEEKDAY(oct!Z$3,1)=1,"WO","P"))</f>
        <v>P</v>
      </c>
      <c r="AA20" s="4" t="str">
        <f>IFERROR(LOOKUP(2,1/((#REF!=oct!$A20)*(#REF!&lt;=oct!AA$3)*(#REF!&gt;=oct!AA$3)),#REF!),IF(WEEKDAY(oct!AA$3,1)=1,"WO","P"))</f>
        <v>P</v>
      </c>
      <c r="AB20" s="4" t="str">
        <f>IFERROR(LOOKUP(2,1/((#REF!=oct!$A20)*(#REF!&lt;=oct!AB$3)*(#REF!&gt;=oct!AB$3)),#REF!),IF(WEEKDAY(oct!AB$3,1)=1,"WO","P"))</f>
        <v>P</v>
      </c>
      <c r="AC20" s="4" t="str">
        <f>IFERROR(LOOKUP(2,1/((#REF!=oct!$A20)*(#REF!&lt;=oct!AC$3)*(#REF!&gt;=oct!AC$3)),#REF!),IF(WEEKDAY(oct!AC$3,1)=1,"WO","P"))</f>
        <v>P</v>
      </c>
      <c r="AD20" s="4" t="str">
        <f>IFERROR(LOOKUP(2,1/((#REF!=oct!$A20)*(#REF!&lt;=oct!AD$3)*(#REF!&gt;=oct!AD$3)),#REF!),IF(WEEKDAY(oct!AD$3,1)=1,"WO","P"))</f>
        <v>WO</v>
      </c>
      <c r="AE20" s="4" t="str">
        <f>IFERROR(LOOKUP(2,1/((#REF!=oct!$A20)*(#REF!&lt;=oct!AE$3)*(#REF!&gt;=oct!AE$3)),#REF!),IF(WEEKDAY(oct!AE$3,1)=1,"WO","P"))</f>
        <v>P</v>
      </c>
      <c r="AF20" s="4" t="str">
        <f>IFERROR(LOOKUP(2,1/((#REF!=oct!$A20)*(#REF!&lt;=oct!AF$3)*(#REF!&gt;=oct!AF$3)),#REF!),IF(WEEKDAY(oct!AF$3,1)=1,"WO","P"))</f>
        <v>P</v>
      </c>
      <c r="AG20" s="4" t="str">
        <f>IFERROR(LOOKUP(2,1/((#REF!=oct!$A20)*(#REF!&lt;=oct!AG$3)*(#REF!&gt;=oct!AG$3)),#REF!),IF(WEEKDAY(oct!AG$3,1)=1,"WO","P"))</f>
        <v>P</v>
      </c>
      <c r="AH20" s="4" t="str">
        <f>IFERROR(LOOKUP(2,1/((#REF!=oct!$A20)*(#REF!&lt;=oct!AH$3)*(#REF!&gt;=oct!AH$3)),#REF!),IF(WEEKDAY(oct!AH$3,1)=1,"WO","P"))</f>
        <v>P</v>
      </c>
      <c r="AI20" s="4" t="str">
        <f>IFERROR(LOOKUP(2,1/((#REF!=oct!$A20)*(#REF!&lt;=oct!AI$3)*(#REF!&gt;=oct!AI$3)),#REF!),IF(WEEKDAY(oct!AI$3,1)=1,"WO","P"))</f>
        <v>P</v>
      </c>
      <c r="AJ20" s="4" t="str">
        <f>IFERROR(LOOKUP(2,1/((#REF!=oct!$A20)*(#REF!&lt;=oct!AJ$3)*(#REF!&gt;=oct!AJ$3)),#REF!),IF(WEEKDAY(oct!AJ$3,1)=1,"WO","P"))</f>
        <v>P</v>
      </c>
      <c r="AK20" s="4">
        <f>COUNTIF(mar!$F20:$AJ20,"WO")</f>
        <v>5</v>
      </c>
      <c r="AL20" s="4">
        <f>COUNTIF(mar!$F20:$AJ20,"H")</f>
        <v>2</v>
      </c>
      <c r="AM20" s="4">
        <f>COUNTIF(mar!$F20:$AJ20,"pl")</f>
        <v>0</v>
      </c>
      <c r="AN20" s="4">
        <f>COUNTIF(mar!$F20:$AJ20,"LWP")</f>
        <v>0</v>
      </c>
      <c r="AO20" s="4">
        <f>COUNTIF(mar!$F20:$AJ20,"HD")</f>
        <v>0</v>
      </c>
      <c r="AP20" s="4">
        <f>COUNTIF(mar!$F20:$AJ20,"SL")</f>
        <v>0</v>
      </c>
      <c r="AQ20" s="4">
        <f>COUNTIF(mar!$F20:$AJ20,"CL")</f>
        <v>0</v>
      </c>
      <c r="AR20" s="4">
        <f>COUNTIF(mar!$F20:$AJ20,"A")</f>
        <v>0</v>
      </c>
      <c r="AS20" s="4">
        <f>COUNTIF(mar!$F20:$AJ20,"P")</f>
        <v>24</v>
      </c>
      <c r="AT20" s="4">
        <f t="shared" si="2"/>
        <v>31</v>
      </c>
      <c r="AU20" s="4">
        <f t="shared" si="3"/>
        <v>31</v>
      </c>
      <c r="AV20" s="4">
        <f>SUMIFS(holly!$L$2:$L$122,holly!$I$2:$I$122,mar!$A20,holly!$K$2:$K$122,"Mar")</f>
        <v>4</v>
      </c>
    </row>
    <row r="21" spans="1:48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IFERROR(LOOKUP(2,1/((#REF!=oct!$A21)*(#REF!&lt;=oct!F$3)*(#REF!&gt;=oct!F$3)),#REF!),IF(WEEKDAY(oct!F$3,1)=1,"WO","P"))</f>
        <v>P</v>
      </c>
      <c r="G21" s="4" t="str">
        <f>IFERROR(LOOKUP(2,1/((#REF!=oct!$A21)*(#REF!&lt;=oct!G$3)*(#REF!&gt;=oct!G$3)),#REF!),IF(WEEKDAY(oct!G$3,1)=1,"WO","P"))</f>
        <v>P</v>
      </c>
      <c r="H21" s="4" t="str">
        <f>IFERROR(LOOKUP(2,1/((#REF!=oct!$A21)*(#REF!&lt;=oct!H$3)*(#REF!&gt;=oct!H$3)),#REF!),IF(WEEKDAY(oct!H$3,1)=1,"WO","P"))</f>
        <v>P</v>
      </c>
      <c r="I21" s="4" t="str">
        <f>IFERROR(LOOKUP(2,1/((#REF!=oct!$A21)*(#REF!&lt;=oct!I$3)*(#REF!&gt;=oct!I$3)),#REF!),IF(WEEKDAY(oct!I$3,1)=1,"WO","P"))</f>
        <v>WO</v>
      </c>
      <c r="J21" s="4" t="str">
        <f>IFERROR(LOOKUP(2,1/((#REF!=oct!$A21)*(#REF!&lt;=oct!J$3)*(#REF!&gt;=oct!J$3)),#REF!),IF(WEEKDAY(oct!J$3,1)=1,"WO","P"))</f>
        <v>P</v>
      </c>
      <c r="K21" s="4" t="str">
        <f>IFERROR(LOOKUP(2,1/((#REF!=oct!$A21)*(#REF!&lt;=oct!K$3)*(#REF!&gt;=oct!K$3)),#REF!),IF(WEEKDAY(oct!K$3,1)=1,"WO","P"))</f>
        <v>P</v>
      </c>
      <c r="L21" s="4" t="str">
        <f>IFERROR(LOOKUP(2,1/((#REF!=oct!$A21)*(#REF!&lt;=oct!L$3)*(#REF!&gt;=oct!L$3)),#REF!),IF(WEEKDAY(oct!L$3,1)=1,"WO","P"))</f>
        <v>P</v>
      </c>
      <c r="M21" s="4" t="str">
        <f>IFERROR(LOOKUP(2,1/((#REF!=oct!$A21)*(#REF!&lt;=oct!M$3)*(#REF!&gt;=oct!M$3)),#REF!),IF(WEEKDAY(oct!M$3,1)=1,"WO","P"))</f>
        <v>P</v>
      </c>
      <c r="N21" s="4" t="str">
        <f>IFERROR(LOOKUP(2,1/((#REF!=oct!$A21)*(#REF!&lt;=oct!N$3)*(#REF!&gt;=oct!N$3)),#REF!),IF(WEEKDAY(oct!N$3,1)=1,"WO","P"))</f>
        <v>P</v>
      </c>
      <c r="O21" s="4" t="str">
        <f>IFERROR(LOOKUP(2,1/((#REF!=oct!$A21)*(#REF!&lt;=oct!O$3)*(#REF!&gt;=oct!O$3)),#REF!),IF(WEEKDAY(oct!O$3,1)=1,"WO","P"))</f>
        <v>P</v>
      </c>
      <c r="P21" s="4" t="str">
        <f>IFERROR(LOOKUP(2,1/((#REF!=oct!$A21)*(#REF!&lt;=oct!P$3)*(#REF!&gt;=oct!P$3)),#REF!),IF(WEEKDAY(oct!P$3,1)=1,"WO","P"))</f>
        <v>WO</v>
      </c>
      <c r="Q21" s="4" t="str">
        <f>IFERROR(LOOKUP(2,1/((#REF!=oct!$A21)*(#REF!&lt;=oct!Q$3)*(#REF!&gt;=oct!Q$3)),#REF!),IF(WEEKDAY(oct!Q$3,1)=1,"WO","P"))</f>
        <v>P</v>
      </c>
      <c r="R21" s="4" t="str">
        <f>IFERROR(LOOKUP(2,1/((#REF!=oct!$A21)*(#REF!&lt;=oct!R$3)*(#REF!&gt;=oct!R$3)),#REF!),IF(WEEKDAY(oct!R$3,1)=1,"WO","P"))</f>
        <v>P</v>
      </c>
      <c r="S21" s="4" t="str">
        <f>IFERROR(LOOKUP(2,1/((#REF!=oct!$A21)*(#REF!&lt;=oct!S$3)*(#REF!&gt;=oct!S$3)),#REF!),IF(WEEKDAY(oct!S$3,1)=1,"WO","P"))</f>
        <v>P</v>
      </c>
      <c r="T21" s="4" t="str">
        <f>IFERROR(LOOKUP(2,1/((#REF!=oct!$A21)*(#REF!&lt;=oct!T$3)*(#REF!&gt;=oct!T$3)),#REF!),IF(WEEKDAY(oct!T$3,1)=1,"WO","P"))</f>
        <v>P</v>
      </c>
      <c r="U21" s="4" t="str">
        <f>IFERROR(LOOKUP(2,1/((#REF!=oct!$A21)*(#REF!&lt;=oct!U$3)*(#REF!&gt;=oct!U$3)),#REF!),IF(WEEKDAY(oct!U$3,1)=1,"WO","P"))</f>
        <v>P</v>
      </c>
      <c r="V21" s="4" t="str">
        <f>IFERROR(LOOKUP(2,1/((#REF!=oct!$A21)*(#REF!&lt;=oct!V$3)*(#REF!&gt;=oct!V$3)),#REF!),IF(WEEKDAY(oct!V$3,1)=1,"WO","P"))</f>
        <v>P</v>
      </c>
      <c r="W21" s="4" t="str">
        <f>IFERROR(LOOKUP(2,1/((#REF!=oct!$A21)*(#REF!&lt;=oct!W$3)*(#REF!&gt;=oct!W$3)),#REF!),IF(WEEKDAY(oct!W$3,1)=1,"WO","P"))</f>
        <v>WO</v>
      </c>
      <c r="X21" s="4" t="str">
        <f>IFERROR(LOOKUP(2,1/((#REF!=oct!$A21)*(#REF!&lt;=oct!X$3)*(#REF!&gt;=oct!X$3)),#REF!),IF(WEEKDAY(oct!X$3,1)=1,"WO","P"))</f>
        <v>P</v>
      </c>
      <c r="Y21" s="4" t="str">
        <f>IFERROR(LOOKUP(2,1/((#REF!=oct!$A21)*(#REF!&lt;=oct!Y$3)*(#REF!&gt;=oct!Y$3)),#REF!),IF(WEEKDAY(oct!Y$3,1)=1,"WO","P"))</f>
        <v>P</v>
      </c>
      <c r="Z21" s="4" t="str">
        <f>IFERROR(LOOKUP(2,1/((#REF!=oct!$A21)*(#REF!&lt;=oct!Z$3)*(#REF!&gt;=oct!Z$3)),#REF!),IF(WEEKDAY(oct!Z$3,1)=1,"WO","P"))</f>
        <v>P</v>
      </c>
      <c r="AA21" s="4" t="str">
        <f>IFERROR(LOOKUP(2,1/((#REF!=oct!$A21)*(#REF!&lt;=oct!AA$3)*(#REF!&gt;=oct!AA$3)),#REF!),IF(WEEKDAY(oct!AA$3,1)=1,"WO","P"))</f>
        <v>P</v>
      </c>
      <c r="AB21" s="4" t="str">
        <f>IFERROR(LOOKUP(2,1/((#REF!=oct!$A21)*(#REF!&lt;=oct!AB$3)*(#REF!&gt;=oct!AB$3)),#REF!),IF(WEEKDAY(oct!AB$3,1)=1,"WO","P"))</f>
        <v>P</v>
      </c>
      <c r="AC21" s="4" t="str">
        <f>IFERROR(LOOKUP(2,1/((#REF!=oct!$A21)*(#REF!&lt;=oct!AC$3)*(#REF!&gt;=oct!AC$3)),#REF!),IF(WEEKDAY(oct!AC$3,1)=1,"WO","P"))</f>
        <v>P</v>
      </c>
      <c r="AD21" s="4" t="str">
        <f>IFERROR(LOOKUP(2,1/((#REF!=oct!$A21)*(#REF!&lt;=oct!AD$3)*(#REF!&gt;=oct!AD$3)),#REF!),IF(WEEKDAY(oct!AD$3,1)=1,"WO","P"))</f>
        <v>WO</v>
      </c>
      <c r="AE21" s="4" t="str">
        <f>IFERROR(LOOKUP(2,1/((#REF!=oct!$A21)*(#REF!&lt;=oct!AE$3)*(#REF!&gt;=oct!AE$3)),#REF!),IF(WEEKDAY(oct!AE$3,1)=1,"WO","P"))</f>
        <v>P</v>
      </c>
      <c r="AF21" s="4" t="str">
        <f>IFERROR(LOOKUP(2,1/((#REF!=oct!$A21)*(#REF!&lt;=oct!AF$3)*(#REF!&gt;=oct!AF$3)),#REF!),IF(WEEKDAY(oct!AF$3,1)=1,"WO","P"))</f>
        <v>P</v>
      </c>
      <c r="AG21" s="4" t="str">
        <f>IFERROR(LOOKUP(2,1/((#REF!=oct!$A21)*(#REF!&lt;=oct!AG$3)*(#REF!&gt;=oct!AG$3)),#REF!),IF(WEEKDAY(oct!AG$3,1)=1,"WO","P"))</f>
        <v>P</v>
      </c>
      <c r="AH21" s="4" t="str">
        <f>IFERROR(LOOKUP(2,1/((#REF!=oct!$A21)*(#REF!&lt;=oct!AH$3)*(#REF!&gt;=oct!AH$3)),#REF!),IF(WEEKDAY(oct!AH$3,1)=1,"WO","P"))</f>
        <v>P</v>
      </c>
      <c r="AI21" s="4" t="str">
        <f>IFERROR(LOOKUP(2,1/((#REF!=oct!$A21)*(#REF!&lt;=oct!AI$3)*(#REF!&gt;=oct!AI$3)),#REF!),IF(WEEKDAY(oct!AI$3,1)=1,"WO","P"))</f>
        <v>P</v>
      </c>
      <c r="AJ21" s="4" t="str">
        <f>IFERROR(LOOKUP(2,1/((#REF!=oct!$A21)*(#REF!&lt;=oct!AJ$3)*(#REF!&gt;=oct!AJ$3)),#REF!),IF(WEEKDAY(oct!AJ$3,1)=1,"WO","P"))</f>
        <v>P</v>
      </c>
      <c r="AK21" s="4">
        <f>COUNTIF(mar!$F21:$AJ21,"WO")</f>
        <v>5</v>
      </c>
      <c r="AL21" s="4">
        <f>COUNTIF(mar!$F21:$AJ21,"H")</f>
        <v>2</v>
      </c>
      <c r="AM21" s="4">
        <f>COUNTIF(mar!$F21:$AJ21,"pl")</f>
        <v>0</v>
      </c>
      <c r="AN21" s="4">
        <f>COUNTIF(mar!$F21:$AJ21,"LWP")</f>
        <v>0</v>
      </c>
      <c r="AO21" s="4">
        <f>COUNTIF(mar!$F21:$AJ21,"HD")</f>
        <v>0</v>
      </c>
      <c r="AP21" s="4">
        <f>COUNTIF(mar!$F21:$AJ21,"SL")</f>
        <v>0</v>
      </c>
      <c r="AQ21" s="4">
        <f>COUNTIF(mar!$F21:$AJ21,"CL")</f>
        <v>0</v>
      </c>
      <c r="AR21" s="4">
        <f>COUNTIF(mar!$F21:$AJ21,"A")</f>
        <v>1</v>
      </c>
      <c r="AS21" s="4">
        <f>COUNTIF(mar!$F21:$AJ21,"P")</f>
        <v>23</v>
      </c>
      <c r="AT21" s="4">
        <f t="shared" si="2"/>
        <v>31</v>
      </c>
      <c r="AU21" s="4">
        <f t="shared" si="3"/>
        <v>30</v>
      </c>
      <c r="AV21" s="4">
        <f>SUMIFS(holly!$L$2:$L$122,holly!$I$2:$I$122,mar!$A21,holly!$K$2:$K$122,"Mar")</f>
        <v>0</v>
      </c>
    </row>
    <row r="22" spans="1:48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IFERROR(LOOKUP(2,1/((#REF!=oct!$A22)*(#REF!&lt;=oct!F$3)*(#REF!&gt;=oct!F$3)),#REF!),IF(WEEKDAY(oct!F$3,1)=1,"WO","P"))</f>
        <v>P</v>
      </c>
      <c r="G22" s="4" t="str">
        <f>IFERROR(LOOKUP(2,1/((#REF!=oct!$A22)*(#REF!&lt;=oct!G$3)*(#REF!&gt;=oct!G$3)),#REF!),IF(WEEKDAY(oct!G$3,1)=1,"WO","P"))</f>
        <v>P</v>
      </c>
      <c r="H22" s="4" t="str">
        <f>IFERROR(LOOKUP(2,1/((#REF!=oct!$A22)*(#REF!&lt;=oct!H$3)*(#REF!&gt;=oct!H$3)),#REF!),IF(WEEKDAY(oct!H$3,1)=1,"WO","P"))</f>
        <v>P</v>
      </c>
      <c r="I22" s="4" t="str">
        <f>IFERROR(LOOKUP(2,1/((#REF!=oct!$A22)*(#REF!&lt;=oct!I$3)*(#REF!&gt;=oct!I$3)),#REF!),IF(WEEKDAY(oct!I$3,1)=1,"WO","P"))</f>
        <v>WO</v>
      </c>
      <c r="J22" s="4" t="str">
        <f>IFERROR(LOOKUP(2,1/((#REF!=oct!$A22)*(#REF!&lt;=oct!J$3)*(#REF!&gt;=oct!J$3)),#REF!),IF(WEEKDAY(oct!J$3,1)=1,"WO","P"))</f>
        <v>P</v>
      </c>
      <c r="K22" s="4" t="str">
        <f>IFERROR(LOOKUP(2,1/((#REF!=oct!$A22)*(#REF!&lt;=oct!K$3)*(#REF!&gt;=oct!K$3)),#REF!),IF(WEEKDAY(oct!K$3,1)=1,"WO","P"))</f>
        <v>P</v>
      </c>
      <c r="L22" s="4" t="str">
        <f>IFERROR(LOOKUP(2,1/((#REF!=oct!$A22)*(#REF!&lt;=oct!L$3)*(#REF!&gt;=oct!L$3)),#REF!),IF(WEEKDAY(oct!L$3,1)=1,"WO","P"))</f>
        <v>P</v>
      </c>
      <c r="M22" s="4" t="str">
        <f>IFERROR(LOOKUP(2,1/((#REF!=oct!$A22)*(#REF!&lt;=oct!M$3)*(#REF!&gt;=oct!M$3)),#REF!),IF(WEEKDAY(oct!M$3,1)=1,"WO","P"))</f>
        <v>P</v>
      </c>
      <c r="N22" s="4" t="str">
        <f>IFERROR(LOOKUP(2,1/((#REF!=oct!$A22)*(#REF!&lt;=oct!N$3)*(#REF!&gt;=oct!N$3)),#REF!),IF(WEEKDAY(oct!N$3,1)=1,"WO","P"))</f>
        <v>P</v>
      </c>
      <c r="O22" s="4" t="str">
        <f>IFERROR(LOOKUP(2,1/((#REF!=oct!$A22)*(#REF!&lt;=oct!O$3)*(#REF!&gt;=oct!O$3)),#REF!),IF(WEEKDAY(oct!O$3,1)=1,"WO","P"))</f>
        <v>P</v>
      </c>
      <c r="P22" s="4" t="str">
        <f>IFERROR(LOOKUP(2,1/((#REF!=oct!$A22)*(#REF!&lt;=oct!P$3)*(#REF!&gt;=oct!P$3)),#REF!),IF(WEEKDAY(oct!P$3,1)=1,"WO","P"))</f>
        <v>WO</v>
      </c>
      <c r="Q22" s="4" t="str">
        <f>IFERROR(LOOKUP(2,1/((#REF!=oct!$A22)*(#REF!&lt;=oct!Q$3)*(#REF!&gt;=oct!Q$3)),#REF!),IF(WEEKDAY(oct!Q$3,1)=1,"WO","P"))</f>
        <v>P</v>
      </c>
      <c r="R22" s="4" t="str">
        <f>IFERROR(LOOKUP(2,1/((#REF!=oct!$A22)*(#REF!&lt;=oct!R$3)*(#REF!&gt;=oct!R$3)),#REF!),IF(WEEKDAY(oct!R$3,1)=1,"WO","P"))</f>
        <v>P</v>
      </c>
      <c r="S22" s="4" t="str">
        <f>IFERROR(LOOKUP(2,1/((#REF!=oct!$A22)*(#REF!&lt;=oct!S$3)*(#REF!&gt;=oct!S$3)),#REF!),IF(WEEKDAY(oct!S$3,1)=1,"WO","P"))</f>
        <v>P</v>
      </c>
      <c r="T22" s="4" t="str">
        <f>IFERROR(LOOKUP(2,1/((#REF!=oct!$A22)*(#REF!&lt;=oct!T$3)*(#REF!&gt;=oct!T$3)),#REF!),IF(WEEKDAY(oct!T$3,1)=1,"WO","P"))</f>
        <v>P</v>
      </c>
      <c r="U22" s="4" t="str">
        <f>IFERROR(LOOKUP(2,1/((#REF!=oct!$A22)*(#REF!&lt;=oct!U$3)*(#REF!&gt;=oct!U$3)),#REF!),IF(WEEKDAY(oct!U$3,1)=1,"WO","P"))</f>
        <v>P</v>
      </c>
      <c r="V22" s="4" t="str">
        <f>IFERROR(LOOKUP(2,1/((#REF!=oct!$A22)*(#REF!&lt;=oct!V$3)*(#REF!&gt;=oct!V$3)),#REF!),IF(WEEKDAY(oct!V$3,1)=1,"WO","P"))</f>
        <v>P</v>
      </c>
      <c r="W22" s="4" t="str">
        <f>IFERROR(LOOKUP(2,1/((#REF!=oct!$A22)*(#REF!&lt;=oct!W$3)*(#REF!&gt;=oct!W$3)),#REF!),IF(WEEKDAY(oct!W$3,1)=1,"WO","P"))</f>
        <v>WO</v>
      </c>
      <c r="X22" s="4" t="str">
        <f>IFERROR(LOOKUP(2,1/((#REF!=oct!$A22)*(#REF!&lt;=oct!X$3)*(#REF!&gt;=oct!X$3)),#REF!),IF(WEEKDAY(oct!X$3,1)=1,"WO","P"))</f>
        <v>P</v>
      </c>
      <c r="Y22" s="4" t="str">
        <f>IFERROR(LOOKUP(2,1/((#REF!=oct!$A22)*(#REF!&lt;=oct!Y$3)*(#REF!&gt;=oct!Y$3)),#REF!),IF(WEEKDAY(oct!Y$3,1)=1,"WO","P"))</f>
        <v>P</v>
      </c>
      <c r="Z22" s="4" t="str">
        <f>IFERROR(LOOKUP(2,1/((#REF!=oct!$A22)*(#REF!&lt;=oct!Z$3)*(#REF!&gt;=oct!Z$3)),#REF!),IF(WEEKDAY(oct!Z$3,1)=1,"WO","P"))</f>
        <v>P</v>
      </c>
      <c r="AA22" s="4" t="str">
        <f>IFERROR(LOOKUP(2,1/((#REF!=oct!$A22)*(#REF!&lt;=oct!AA$3)*(#REF!&gt;=oct!AA$3)),#REF!),IF(WEEKDAY(oct!AA$3,1)=1,"WO","P"))</f>
        <v>P</v>
      </c>
      <c r="AB22" s="4" t="str">
        <f>IFERROR(LOOKUP(2,1/((#REF!=oct!$A22)*(#REF!&lt;=oct!AB$3)*(#REF!&gt;=oct!AB$3)),#REF!),IF(WEEKDAY(oct!AB$3,1)=1,"WO","P"))</f>
        <v>P</v>
      </c>
      <c r="AC22" s="4" t="str">
        <f>IFERROR(LOOKUP(2,1/((#REF!=oct!$A22)*(#REF!&lt;=oct!AC$3)*(#REF!&gt;=oct!AC$3)),#REF!),IF(WEEKDAY(oct!AC$3,1)=1,"WO","P"))</f>
        <v>P</v>
      </c>
      <c r="AD22" s="4" t="str">
        <f>IFERROR(LOOKUP(2,1/((#REF!=oct!$A22)*(#REF!&lt;=oct!AD$3)*(#REF!&gt;=oct!AD$3)),#REF!),IF(WEEKDAY(oct!AD$3,1)=1,"WO","P"))</f>
        <v>WO</v>
      </c>
      <c r="AE22" s="4" t="str">
        <f>IFERROR(LOOKUP(2,1/((#REF!=oct!$A22)*(#REF!&lt;=oct!AE$3)*(#REF!&gt;=oct!AE$3)),#REF!),IF(WEEKDAY(oct!AE$3,1)=1,"WO","P"))</f>
        <v>P</v>
      </c>
      <c r="AF22" s="4" t="str">
        <f>IFERROR(LOOKUP(2,1/((#REF!=oct!$A22)*(#REF!&lt;=oct!AF$3)*(#REF!&gt;=oct!AF$3)),#REF!),IF(WEEKDAY(oct!AF$3,1)=1,"WO","P"))</f>
        <v>P</v>
      </c>
      <c r="AG22" s="4" t="str">
        <f>IFERROR(LOOKUP(2,1/((#REF!=oct!$A22)*(#REF!&lt;=oct!AG$3)*(#REF!&gt;=oct!AG$3)),#REF!),IF(WEEKDAY(oct!AG$3,1)=1,"WO","P"))</f>
        <v>P</v>
      </c>
      <c r="AH22" s="4" t="str">
        <f>IFERROR(LOOKUP(2,1/((#REF!=oct!$A22)*(#REF!&lt;=oct!AH$3)*(#REF!&gt;=oct!AH$3)),#REF!),IF(WEEKDAY(oct!AH$3,1)=1,"WO","P"))</f>
        <v>P</v>
      </c>
      <c r="AI22" s="4" t="str">
        <f>IFERROR(LOOKUP(2,1/((#REF!=oct!$A22)*(#REF!&lt;=oct!AI$3)*(#REF!&gt;=oct!AI$3)),#REF!),IF(WEEKDAY(oct!AI$3,1)=1,"WO","P"))</f>
        <v>P</v>
      </c>
      <c r="AJ22" s="4" t="str">
        <f>IFERROR(LOOKUP(2,1/((#REF!=oct!$A22)*(#REF!&lt;=oct!AJ$3)*(#REF!&gt;=oct!AJ$3)),#REF!),IF(WEEKDAY(oct!AJ$3,1)=1,"WO","P"))</f>
        <v>P</v>
      </c>
      <c r="AK22" s="4">
        <f>COUNTIF(mar!$F22:$AJ22,"WO")</f>
        <v>5</v>
      </c>
      <c r="AL22" s="4">
        <f>COUNTIF(mar!$F22:$AJ22,"H")</f>
        <v>2</v>
      </c>
      <c r="AM22" s="4">
        <f>COUNTIF(mar!$F22:$AJ22,"pl")</f>
        <v>0</v>
      </c>
      <c r="AN22" s="4">
        <f>COUNTIF(mar!$F22:$AJ22,"LWP")</f>
        <v>0</v>
      </c>
      <c r="AO22" s="4">
        <f>COUNTIF(mar!$F22:$AJ22,"HD")</f>
        <v>0</v>
      </c>
      <c r="AP22" s="4">
        <f>COUNTIF(mar!$F22:$AJ22,"SL")</f>
        <v>0</v>
      </c>
      <c r="AQ22" s="4">
        <f>COUNTIF(mar!$F22:$AJ22,"CL")</f>
        <v>0</v>
      </c>
      <c r="AR22" s="4">
        <f>COUNTIF(mar!$F22:$AJ22,"A")</f>
        <v>1</v>
      </c>
      <c r="AS22" s="4">
        <f>COUNTIF(mar!$F22:$AJ22,"P")</f>
        <v>23</v>
      </c>
      <c r="AT22" s="4">
        <f t="shared" si="2"/>
        <v>31</v>
      </c>
      <c r="AU22" s="4">
        <f t="shared" si="3"/>
        <v>30</v>
      </c>
      <c r="AV22" s="4">
        <f>SUMIFS(holly!$L$2:$L$122,holly!$I$2:$I$122,mar!$A22,holly!$K$2:$K$122,"Mar")</f>
        <v>1</v>
      </c>
    </row>
    <row r="23" spans="1:48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IFERROR(LOOKUP(2,1/((#REF!=oct!$A23)*(#REF!&lt;=oct!F$3)*(#REF!&gt;=oct!F$3)),#REF!),IF(WEEKDAY(oct!F$3,1)=1,"WO","P"))</f>
        <v>P</v>
      </c>
      <c r="G23" s="4" t="str">
        <f>IFERROR(LOOKUP(2,1/((#REF!=oct!$A23)*(#REF!&lt;=oct!G$3)*(#REF!&gt;=oct!G$3)),#REF!),IF(WEEKDAY(oct!G$3,1)=1,"WO","P"))</f>
        <v>P</v>
      </c>
      <c r="H23" s="4" t="str">
        <f>IFERROR(LOOKUP(2,1/((#REF!=oct!$A23)*(#REF!&lt;=oct!H$3)*(#REF!&gt;=oct!H$3)),#REF!),IF(WEEKDAY(oct!H$3,1)=1,"WO","P"))</f>
        <v>P</v>
      </c>
      <c r="I23" s="4" t="str">
        <f>IFERROR(LOOKUP(2,1/((#REF!=oct!$A23)*(#REF!&lt;=oct!I$3)*(#REF!&gt;=oct!I$3)),#REF!),IF(WEEKDAY(oct!I$3,1)=1,"WO","P"))</f>
        <v>WO</v>
      </c>
      <c r="J23" s="4" t="str">
        <f>IFERROR(LOOKUP(2,1/((#REF!=oct!$A23)*(#REF!&lt;=oct!J$3)*(#REF!&gt;=oct!J$3)),#REF!),IF(WEEKDAY(oct!J$3,1)=1,"WO","P"))</f>
        <v>P</v>
      </c>
      <c r="K23" s="4" t="str">
        <f>IFERROR(LOOKUP(2,1/((#REF!=oct!$A23)*(#REF!&lt;=oct!K$3)*(#REF!&gt;=oct!K$3)),#REF!),IF(WEEKDAY(oct!K$3,1)=1,"WO","P"))</f>
        <v>P</v>
      </c>
      <c r="L23" s="4" t="str">
        <f>IFERROR(LOOKUP(2,1/((#REF!=oct!$A23)*(#REF!&lt;=oct!L$3)*(#REF!&gt;=oct!L$3)),#REF!),IF(WEEKDAY(oct!L$3,1)=1,"WO","P"))</f>
        <v>P</v>
      </c>
      <c r="M23" s="4" t="str">
        <f>IFERROR(LOOKUP(2,1/((#REF!=oct!$A23)*(#REF!&lt;=oct!M$3)*(#REF!&gt;=oct!M$3)),#REF!),IF(WEEKDAY(oct!M$3,1)=1,"WO","P"))</f>
        <v>P</v>
      </c>
      <c r="N23" s="4" t="str">
        <f>IFERROR(LOOKUP(2,1/((#REF!=oct!$A23)*(#REF!&lt;=oct!N$3)*(#REF!&gt;=oct!N$3)),#REF!),IF(WEEKDAY(oct!N$3,1)=1,"WO","P"))</f>
        <v>P</v>
      </c>
      <c r="O23" s="4" t="str">
        <f>IFERROR(LOOKUP(2,1/((#REF!=oct!$A23)*(#REF!&lt;=oct!O$3)*(#REF!&gt;=oct!O$3)),#REF!),IF(WEEKDAY(oct!O$3,1)=1,"WO","P"))</f>
        <v>P</v>
      </c>
      <c r="P23" s="4" t="str">
        <f>IFERROR(LOOKUP(2,1/((#REF!=oct!$A23)*(#REF!&lt;=oct!P$3)*(#REF!&gt;=oct!P$3)),#REF!),IF(WEEKDAY(oct!P$3,1)=1,"WO","P"))</f>
        <v>WO</v>
      </c>
      <c r="Q23" s="4" t="str">
        <f>IFERROR(LOOKUP(2,1/((#REF!=oct!$A23)*(#REF!&lt;=oct!Q$3)*(#REF!&gt;=oct!Q$3)),#REF!),IF(WEEKDAY(oct!Q$3,1)=1,"WO","P"))</f>
        <v>P</v>
      </c>
      <c r="R23" s="4" t="str">
        <f>IFERROR(LOOKUP(2,1/((#REF!=oct!$A23)*(#REF!&lt;=oct!R$3)*(#REF!&gt;=oct!R$3)),#REF!),IF(WEEKDAY(oct!R$3,1)=1,"WO","P"))</f>
        <v>P</v>
      </c>
      <c r="S23" s="4" t="str">
        <f>IFERROR(LOOKUP(2,1/((#REF!=oct!$A23)*(#REF!&lt;=oct!S$3)*(#REF!&gt;=oct!S$3)),#REF!),IF(WEEKDAY(oct!S$3,1)=1,"WO","P"))</f>
        <v>P</v>
      </c>
      <c r="T23" s="4" t="str">
        <f>IFERROR(LOOKUP(2,1/((#REF!=oct!$A23)*(#REF!&lt;=oct!T$3)*(#REF!&gt;=oct!T$3)),#REF!),IF(WEEKDAY(oct!T$3,1)=1,"WO","P"))</f>
        <v>P</v>
      </c>
      <c r="U23" s="4" t="str">
        <f>IFERROR(LOOKUP(2,1/((#REF!=oct!$A23)*(#REF!&lt;=oct!U$3)*(#REF!&gt;=oct!U$3)),#REF!),IF(WEEKDAY(oct!U$3,1)=1,"WO","P"))</f>
        <v>P</v>
      </c>
      <c r="V23" s="4" t="str">
        <f>IFERROR(LOOKUP(2,1/((#REF!=oct!$A23)*(#REF!&lt;=oct!V$3)*(#REF!&gt;=oct!V$3)),#REF!),IF(WEEKDAY(oct!V$3,1)=1,"WO","P"))</f>
        <v>P</v>
      </c>
      <c r="W23" s="4" t="str">
        <f>IFERROR(LOOKUP(2,1/((#REF!=oct!$A23)*(#REF!&lt;=oct!W$3)*(#REF!&gt;=oct!W$3)),#REF!),IF(WEEKDAY(oct!W$3,1)=1,"WO","P"))</f>
        <v>WO</v>
      </c>
      <c r="X23" s="4" t="str">
        <f>IFERROR(LOOKUP(2,1/((#REF!=oct!$A23)*(#REF!&lt;=oct!X$3)*(#REF!&gt;=oct!X$3)),#REF!),IF(WEEKDAY(oct!X$3,1)=1,"WO","P"))</f>
        <v>P</v>
      </c>
      <c r="Y23" s="4" t="str">
        <f>IFERROR(LOOKUP(2,1/((#REF!=oct!$A23)*(#REF!&lt;=oct!Y$3)*(#REF!&gt;=oct!Y$3)),#REF!),IF(WEEKDAY(oct!Y$3,1)=1,"WO","P"))</f>
        <v>P</v>
      </c>
      <c r="Z23" s="4" t="str">
        <f>IFERROR(LOOKUP(2,1/((#REF!=oct!$A23)*(#REF!&lt;=oct!Z$3)*(#REF!&gt;=oct!Z$3)),#REF!),IF(WEEKDAY(oct!Z$3,1)=1,"WO","P"))</f>
        <v>P</v>
      </c>
      <c r="AA23" s="4" t="str">
        <f>IFERROR(LOOKUP(2,1/((#REF!=oct!$A23)*(#REF!&lt;=oct!AA$3)*(#REF!&gt;=oct!AA$3)),#REF!),IF(WEEKDAY(oct!AA$3,1)=1,"WO","P"))</f>
        <v>P</v>
      </c>
      <c r="AB23" s="4" t="str">
        <f>IFERROR(LOOKUP(2,1/((#REF!=oct!$A23)*(#REF!&lt;=oct!AB$3)*(#REF!&gt;=oct!AB$3)),#REF!),IF(WEEKDAY(oct!AB$3,1)=1,"WO","P"))</f>
        <v>P</v>
      </c>
      <c r="AC23" s="4" t="str">
        <f>IFERROR(LOOKUP(2,1/((#REF!=oct!$A23)*(#REF!&lt;=oct!AC$3)*(#REF!&gt;=oct!AC$3)),#REF!),IF(WEEKDAY(oct!AC$3,1)=1,"WO","P"))</f>
        <v>P</v>
      </c>
      <c r="AD23" s="4" t="str">
        <f>IFERROR(LOOKUP(2,1/((#REF!=oct!$A23)*(#REF!&lt;=oct!AD$3)*(#REF!&gt;=oct!AD$3)),#REF!),IF(WEEKDAY(oct!AD$3,1)=1,"WO","P"))</f>
        <v>WO</v>
      </c>
      <c r="AE23" s="4" t="str">
        <f>IFERROR(LOOKUP(2,1/((#REF!=oct!$A23)*(#REF!&lt;=oct!AE$3)*(#REF!&gt;=oct!AE$3)),#REF!),IF(WEEKDAY(oct!AE$3,1)=1,"WO","P"))</f>
        <v>P</v>
      </c>
      <c r="AF23" s="4" t="str">
        <f>IFERROR(LOOKUP(2,1/((#REF!=oct!$A23)*(#REF!&lt;=oct!AF$3)*(#REF!&gt;=oct!AF$3)),#REF!),IF(WEEKDAY(oct!AF$3,1)=1,"WO","P"))</f>
        <v>P</v>
      </c>
      <c r="AG23" s="4" t="str">
        <f>IFERROR(LOOKUP(2,1/((#REF!=oct!$A23)*(#REF!&lt;=oct!AG$3)*(#REF!&gt;=oct!AG$3)),#REF!),IF(WEEKDAY(oct!AG$3,1)=1,"WO","P"))</f>
        <v>P</v>
      </c>
      <c r="AH23" s="4" t="str">
        <f>IFERROR(LOOKUP(2,1/((#REF!=oct!$A23)*(#REF!&lt;=oct!AH$3)*(#REF!&gt;=oct!AH$3)),#REF!),IF(WEEKDAY(oct!AH$3,1)=1,"WO","P"))</f>
        <v>P</v>
      </c>
      <c r="AI23" s="4" t="str">
        <f>IFERROR(LOOKUP(2,1/((#REF!=oct!$A23)*(#REF!&lt;=oct!AI$3)*(#REF!&gt;=oct!AI$3)),#REF!),IF(WEEKDAY(oct!AI$3,1)=1,"WO","P"))</f>
        <v>P</v>
      </c>
      <c r="AJ23" s="4" t="str">
        <f>IFERROR(LOOKUP(2,1/((#REF!=oct!$A23)*(#REF!&lt;=oct!AJ$3)*(#REF!&gt;=oct!AJ$3)),#REF!),IF(WEEKDAY(oct!AJ$3,1)=1,"WO","P"))</f>
        <v>P</v>
      </c>
      <c r="AK23" s="4">
        <f>COUNTIF(mar!$F23:$AJ23,"WO")</f>
        <v>5</v>
      </c>
      <c r="AL23" s="4">
        <f>COUNTIF(mar!$F23:$AJ23,"H")</f>
        <v>2</v>
      </c>
      <c r="AM23" s="4">
        <f>COUNTIF(mar!$F23:$AJ23,"pl")</f>
        <v>0</v>
      </c>
      <c r="AN23" s="4">
        <f>COUNTIF(mar!$F23:$AJ23,"LWP")</f>
        <v>0</v>
      </c>
      <c r="AO23" s="4">
        <f>COUNTIF(mar!$F23:$AJ23,"HD")</f>
        <v>0</v>
      </c>
      <c r="AP23" s="4">
        <f>COUNTIF(mar!$F23:$AJ23,"SL")</f>
        <v>0</v>
      </c>
      <c r="AQ23" s="4">
        <f>COUNTIF(mar!$F23:$AJ23,"CL")</f>
        <v>0</v>
      </c>
      <c r="AR23" s="4">
        <f>COUNTIF(mar!$F23:$AJ23,"A")</f>
        <v>0</v>
      </c>
      <c r="AS23" s="4">
        <f>COUNTIF(mar!$F23:$AJ23,"P")</f>
        <v>24</v>
      </c>
      <c r="AT23" s="4">
        <f t="shared" si="2"/>
        <v>31</v>
      </c>
      <c r="AU23" s="4">
        <f t="shared" si="3"/>
        <v>31</v>
      </c>
      <c r="AV23" s="4">
        <f>SUMIFS(holly!$L$2:$L$122,holly!$I$2:$I$122,mar!$A23,holly!$K$2:$K$122,"Mar")</f>
        <v>0</v>
      </c>
    </row>
    <row r="24" spans="1:48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IFERROR(LOOKUP(2,1/((#REF!=oct!$A24)*(#REF!&lt;=oct!F$3)*(#REF!&gt;=oct!F$3)),#REF!),IF(WEEKDAY(oct!F$3,1)=1,"WO","P"))</f>
        <v>P</v>
      </c>
      <c r="G24" s="4" t="str">
        <f>IFERROR(LOOKUP(2,1/((#REF!=oct!$A24)*(#REF!&lt;=oct!G$3)*(#REF!&gt;=oct!G$3)),#REF!),IF(WEEKDAY(oct!G$3,1)=1,"WO","P"))</f>
        <v>P</v>
      </c>
      <c r="H24" s="4" t="str">
        <f>IFERROR(LOOKUP(2,1/((#REF!=oct!$A24)*(#REF!&lt;=oct!H$3)*(#REF!&gt;=oct!H$3)),#REF!),IF(WEEKDAY(oct!H$3,1)=1,"WO","P"))</f>
        <v>P</v>
      </c>
      <c r="I24" s="4" t="str">
        <f>IFERROR(LOOKUP(2,1/((#REF!=oct!$A24)*(#REF!&lt;=oct!I$3)*(#REF!&gt;=oct!I$3)),#REF!),IF(WEEKDAY(oct!I$3,1)=1,"WO","P"))</f>
        <v>WO</v>
      </c>
      <c r="J24" s="4" t="str">
        <f>IFERROR(LOOKUP(2,1/((#REF!=oct!$A24)*(#REF!&lt;=oct!J$3)*(#REF!&gt;=oct!J$3)),#REF!),IF(WEEKDAY(oct!J$3,1)=1,"WO","P"))</f>
        <v>P</v>
      </c>
      <c r="K24" s="4" t="str">
        <f>IFERROR(LOOKUP(2,1/((#REF!=oct!$A24)*(#REF!&lt;=oct!K$3)*(#REF!&gt;=oct!K$3)),#REF!),IF(WEEKDAY(oct!K$3,1)=1,"WO","P"))</f>
        <v>P</v>
      </c>
      <c r="L24" s="4" t="str">
        <f>IFERROR(LOOKUP(2,1/((#REF!=oct!$A24)*(#REF!&lt;=oct!L$3)*(#REF!&gt;=oct!L$3)),#REF!),IF(WEEKDAY(oct!L$3,1)=1,"WO","P"))</f>
        <v>P</v>
      </c>
      <c r="M24" s="4" t="str">
        <f>IFERROR(LOOKUP(2,1/((#REF!=oct!$A24)*(#REF!&lt;=oct!M$3)*(#REF!&gt;=oct!M$3)),#REF!),IF(WEEKDAY(oct!M$3,1)=1,"WO","P"))</f>
        <v>P</v>
      </c>
      <c r="N24" s="4" t="str">
        <f>IFERROR(LOOKUP(2,1/((#REF!=oct!$A24)*(#REF!&lt;=oct!N$3)*(#REF!&gt;=oct!N$3)),#REF!),IF(WEEKDAY(oct!N$3,1)=1,"WO","P"))</f>
        <v>P</v>
      </c>
      <c r="O24" s="4" t="str">
        <f>IFERROR(LOOKUP(2,1/((#REF!=oct!$A24)*(#REF!&lt;=oct!O$3)*(#REF!&gt;=oct!O$3)),#REF!),IF(WEEKDAY(oct!O$3,1)=1,"WO","P"))</f>
        <v>P</v>
      </c>
      <c r="P24" s="4" t="str">
        <f>IFERROR(LOOKUP(2,1/((#REF!=oct!$A24)*(#REF!&lt;=oct!P$3)*(#REF!&gt;=oct!P$3)),#REF!),IF(WEEKDAY(oct!P$3,1)=1,"WO","P"))</f>
        <v>WO</v>
      </c>
      <c r="Q24" s="4" t="str">
        <f>IFERROR(LOOKUP(2,1/((#REF!=oct!$A24)*(#REF!&lt;=oct!Q$3)*(#REF!&gt;=oct!Q$3)),#REF!),IF(WEEKDAY(oct!Q$3,1)=1,"WO","P"))</f>
        <v>P</v>
      </c>
      <c r="R24" s="4" t="str">
        <f>IFERROR(LOOKUP(2,1/((#REF!=oct!$A24)*(#REF!&lt;=oct!R$3)*(#REF!&gt;=oct!R$3)),#REF!),IF(WEEKDAY(oct!R$3,1)=1,"WO","P"))</f>
        <v>P</v>
      </c>
      <c r="S24" s="4" t="str">
        <f>IFERROR(LOOKUP(2,1/((#REF!=oct!$A24)*(#REF!&lt;=oct!S$3)*(#REF!&gt;=oct!S$3)),#REF!),IF(WEEKDAY(oct!S$3,1)=1,"WO","P"))</f>
        <v>P</v>
      </c>
      <c r="T24" s="4" t="str">
        <f>IFERROR(LOOKUP(2,1/((#REF!=oct!$A24)*(#REF!&lt;=oct!T$3)*(#REF!&gt;=oct!T$3)),#REF!),IF(WEEKDAY(oct!T$3,1)=1,"WO","P"))</f>
        <v>P</v>
      </c>
      <c r="U24" s="4" t="str">
        <f>IFERROR(LOOKUP(2,1/((#REF!=oct!$A24)*(#REF!&lt;=oct!U$3)*(#REF!&gt;=oct!U$3)),#REF!),IF(WEEKDAY(oct!U$3,1)=1,"WO","P"))</f>
        <v>P</v>
      </c>
      <c r="V24" s="4" t="str">
        <f>IFERROR(LOOKUP(2,1/((#REF!=oct!$A24)*(#REF!&lt;=oct!V$3)*(#REF!&gt;=oct!V$3)),#REF!),IF(WEEKDAY(oct!V$3,1)=1,"WO","P"))</f>
        <v>P</v>
      </c>
      <c r="W24" s="4" t="str">
        <f>IFERROR(LOOKUP(2,1/((#REF!=oct!$A24)*(#REF!&lt;=oct!W$3)*(#REF!&gt;=oct!W$3)),#REF!),IF(WEEKDAY(oct!W$3,1)=1,"WO","P"))</f>
        <v>WO</v>
      </c>
      <c r="X24" s="4" t="str">
        <f>IFERROR(LOOKUP(2,1/((#REF!=oct!$A24)*(#REF!&lt;=oct!X$3)*(#REF!&gt;=oct!X$3)),#REF!),IF(WEEKDAY(oct!X$3,1)=1,"WO","P"))</f>
        <v>P</v>
      </c>
      <c r="Y24" s="4" t="str">
        <f>IFERROR(LOOKUP(2,1/((#REF!=oct!$A24)*(#REF!&lt;=oct!Y$3)*(#REF!&gt;=oct!Y$3)),#REF!),IF(WEEKDAY(oct!Y$3,1)=1,"WO","P"))</f>
        <v>P</v>
      </c>
      <c r="Z24" s="4" t="str">
        <f>IFERROR(LOOKUP(2,1/((#REF!=oct!$A24)*(#REF!&lt;=oct!Z$3)*(#REF!&gt;=oct!Z$3)),#REF!),IF(WEEKDAY(oct!Z$3,1)=1,"WO","P"))</f>
        <v>P</v>
      </c>
      <c r="AA24" s="4" t="str">
        <f>IFERROR(LOOKUP(2,1/((#REF!=oct!$A24)*(#REF!&lt;=oct!AA$3)*(#REF!&gt;=oct!AA$3)),#REF!),IF(WEEKDAY(oct!AA$3,1)=1,"WO","P"))</f>
        <v>P</v>
      </c>
      <c r="AB24" s="4" t="str">
        <f>IFERROR(LOOKUP(2,1/((#REF!=oct!$A24)*(#REF!&lt;=oct!AB$3)*(#REF!&gt;=oct!AB$3)),#REF!),IF(WEEKDAY(oct!AB$3,1)=1,"WO","P"))</f>
        <v>P</v>
      </c>
      <c r="AC24" s="4" t="str">
        <f>IFERROR(LOOKUP(2,1/((#REF!=oct!$A24)*(#REF!&lt;=oct!AC$3)*(#REF!&gt;=oct!AC$3)),#REF!),IF(WEEKDAY(oct!AC$3,1)=1,"WO","P"))</f>
        <v>P</v>
      </c>
      <c r="AD24" s="4" t="str">
        <f>IFERROR(LOOKUP(2,1/((#REF!=oct!$A24)*(#REF!&lt;=oct!AD$3)*(#REF!&gt;=oct!AD$3)),#REF!),IF(WEEKDAY(oct!AD$3,1)=1,"WO","P"))</f>
        <v>WO</v>
      </c>
      <c r="AE24" s="4" t="str">
        <f>IFERROR(LOOKUP(2,1/((#REF!=oct!$A24)*(#REF!&lt;=oct!AE$3)*(#REF!&gt;=oct!AE$3)),#REF!),IF(WEEKDAY(oct!AE$3,1)=1,"WO","P"))</f>
        <v>P</v>
      </c>
      <c r="AF24" s="4" t="str">
        <f>IFERROR(LOOKUP(2,1/((#REF!=oct!$A24)*(#REF!&lt;=oct!AF$3)*(#REF!&gt;=oct!AF$3)),#REF!),IF(WEEKDAY(oct!AF$3,1)=1,"WO","P"))</f>
        <v>P</v>
      </c>
      <c r="AG24" s="4" t="str">
        <f>IFERROR(LOOKUP(2,1/((#REF!=oct!$A24)*(#REF!&lt;=oct!AG$3)*(#REF!&gt;=oct!AG$3)),#REF!),IF(WEEKDAY(oct!AG$3,1)=1,"WO","P"))</f>
        <v>P</v>
      </c>
      <c r="AH24" s="4" t="str">
        <f>IFERROR(LOOKUP(2,1/((#REF!=oct!$A24)*(#REF!&lt;=oct!AH$3)*(#REF!&gt;=oct!AH$3)),#REF!),IF(WEEKDAY(oct!AH$3,1)=1,"WO","P"))</f>
        <v>P</v>
      </c>
      <c r="AI24" s="4" t="str">
        <f>IFERROR(LOOKUP(2,1/((#REF!=oct!$A24)*(#REF!&lt;=oct!AI$3)*(#REF!&gt;=oct!AI$3)),#REF!),IF(WEEKDAY(oct!AI$3,1)=1,"WO","P"))</f>
        <v>P</v>
      </c>
      <c r="AJ24" s="4" t="str">
        <f>IFERROR(LOOKUP(2,1/((#REF!=oct!$A24)*(#REF!&lt;=oct!AJ$3)*(#REF!&gt;=oct!AJ$3)),#REF!),IF(WEEKDAY(oct!AJ$3,1)=1,"WO","P"))</f>
        <v>P</v>
      </c>
      <c r="AK24" s="4">
        <f>COUNTIF(mar!$F24:$AJ24,"WO")</f>
        <v>5</v>
      </c>
      <c r="AL24" s="4">
        <f>COUNTIF(mar!$F24:$AJ24,"H")</f>
        <v>2</v>
      </c>
      <c r="AM24" s="4">
        <f>COUNTIF(mar!$F24:$AJ24,"pl")</f>
        <v>0</v>
      </c>
      <c r="AN24" s="4">
        <f>COUNTIF(mar!$F24:$AJ24,"LWP")</f>
        <v>0</v>
      </c>
      <c r="AO24" s="4">
        <f>COUNTIF(mar!$F24:$AJ24,"HD")</f>
        <v>0</v>
      </c>
      <c r="AP24" s="4">
        <f>COUNTIF(mar!$F24:$AJ24,"SL")</f>
        <v>0</v>
      </c>
      <c r="AQ24" s="4">
        <f>COUNTIF(mar!$F24:$AJ24,"CL")</f>
        <v>0</v>
      </c>
      <c r="AR24" s="4">
        <f>COUNTIF(mar!$F24:$AJ24,"A")</f>
        <v>1</v>
      </c>
      <c r="AS24" s="4">
        <f>COUNTIF(mar!$F24:$AJ24,"P")</f>
        <v>23</v>
      </c>
      <c r="AT24" s="4">
        <f t="shared" si="2"/>
        <v>31</v>
      </c>
      <c r="AU24" s="4">
        <f t="shared" si="3"/>
        <v>30</v>
      </c>
      <c r="AV24" s="4">
        <f>SUMIFS(holly!$L$2:$L$122,holly!$I$2:$I$122,mar!$A24,holly!$K$2:$K$122,"Mar")</f>
        <v>0</v>
      </c>
    </row>
    <row r="25" spans="1:48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IFERROR(LOOKUP(2,1/((#REF!=oct!$A25)*(#REF!&lt;=oct!F$3)*(#REF!&gt;=oct!F$3)),#REF!),IF(WEEKDAY(oct!F$3,1)=1,"WO","P"))</f>
        <v>P</v>
      </c>
      <c r="G25" s="4" t="str">
        <f>IFERROR(LOOKUP(2,1/((#REF!=oct!$A25)*(#REF!&lt;=oct!G$3)*(#REF!&gt;=oct!G$3)),#REF!),IF(WEEKDAY(oct!G$3,1)=1,"WO","P"))</f>
        <v>P</v>
      </c>
      <c r="H25" s="4" t="str">
        <f>IFERROR(LOOKUP(2,1/((#REF!=oct!$A25)*(#REF!&lt;=oct!H$3)*(#REF!&gt;=oct!H$3)),#REF!),IF(WEEKDAY(oct!H$3,1)=1,"WO","P"))</f>
        <v>P</v>
      </c>
      <c r="I25" s="4" t="str">
        <f>IFERROR(LOOKUP(2,1/((#REF!=oct!$A25)*(#REF!&lt;=oct!I$3)*(#REF!&gt;=oct!I$3)),#REF!),IF(WEEKDAY(oct!I$3,1)=1,"WO","P"))</f>
        <v>WO</v>
      </c>
      <c r="J25" s="4" t="str">
        <f>IFERROR(LOOKUP(2,1/((#REF!=oct!$A25)*(#REF!&lt;=oct!J$3)*(#REF!&gt;=oct!J$3)),#REF!),IF(WEEKDAY(oct!J$3,1)=1,"WO","P"))</f>
        <v>P</v>
      </c>
      <c r="K25" s="4" t="str">
        <f>IFERROR(LOOKUP(2,1/((#REF!=oct!$A25)*(#REF!&lt;=oct!K$3)*(#REF!&gt;=oct!K$3)),#REF!),IF(WEEKDAY(oct!K$3,1)=1,"WO","P"))</f>
        <v>P</v>
      </c>
      <c r="L25" s="4" t="str">
        <f>IFERROR(LOOKUP(2,1/((#REF!=oct!$A25)*(#REF!&lt;=oct!L$3)*(#REF!&gt;=oct!L$3)),#REF!),IF(WEEKDAY(oct!L$3,1)=1,"WO","P"))</f>
        <v>P</v>
      </c>
      <c r="M25" s="4" t="str">
        <f>IFERROR(LOOKUP(2,1/((#REF!=oct!$A25)*(#REF!&lt;=oct!M$3)*(#REF!&gt;=oct!M$3)),#REF!),IF(WEEKDAY(oct!M$3,1)=1,"WO","P"))</f>
        <v>P</v>
      </c>
      <c r="N25" s="4" t="str">
        <f>IFERROR(LOOKUP(2,1/((#REF!=oct!$A25)*(#REF!&lt;=oct!N$3)*(#REF!&gt;=oct!N$3)),#REF!),IF(WEEKDAY(oct!N$3,1)=1,"WO","P"))</f>
        <v>P</v>
      </c>
      <c r="O25" s="4" t="str">
        <f>IFERROR(LOOKUP(2,1/((#REF!=oct!$A25)*(#REF!&lt;=oct!O$3)*(#REF!&gt;=oct!O$3)),#REF!),IF(WEEKDAY(oct!O$3,1)=1,"WO","P"))</f>
        <v>P</v>
      </c>
      <c r="P25" s="4" t="str">
        <f>IFERROR(LOOKUP(2,1/((#REF!=oct!$A25)*(#REF!&lt;=oct!P$3)*(#REF!&gt;=oct!P$3)),#REF!),IF(WEEKDAY(oct!P$3,1)=1,"WO","P"))</f>
        <v>WO</v>
      </c>
      <c r="Q25" s="4" t="str">
        <f>IFERROR(LOOKUP(2,1/((#REF!=oct!$A25)*(#REF!&lt;=oct!Q$3)*(#REF!&gt;=oct!Q$3)),#REF!),IF(WEEKDAY(oct!Q$3,1)=1,"WO","P"))</f>
        <v>P</v>
      </c>
      <c r="R25" s="4" t="str">
        <f>IFERROR(LOOKUP(2,1/((#REF!=oct!$A25)*(#REF!&lt;=oct!R$3)*(#REF!&gt;=oct!R$3)),#REF!),IF(WEEKDAY(oct!R$3,1)=1,"WO","P"))</f>
        <v>P</v>
      </c>
      <c r="S25" s="4" t="str">
        <f>IFERROR(LOOKUP(2,1/((#REF!=oct!$A25)*(#REF!&lt;=oct!S$3)*(#REF!&gt;=oct!S$3)),#REF!),IF(WEEKDAY(oct!S$3,1)=1,"WO","P"))</f>
        <v>P</v>
      </c>
      <c r="T25" s="4" t="str">
        <f>IFERROR(LOOKUP(2,1/((#REF!=oct!$A25)*(#REF!&lt;=oct!T$3)*(#REF!&gt;=oct!T$3)),#REF!),IF(WEEKDAY(oct!T$3,1)=1,"WO","P"))</f>
        <v>P</v>
      </c>
      <c r="U25" s="4" t="str">
        <f>IFERROR(LOOKUP(2,1/((#REF!=oct!$A25)*(#REF!&lt;=oct!U$3)*(#REF!&gt;=oct!U$3)),#REF!),IF(WEEKDAY(oct!U$3,1)=1,"WO","P"))</f>
        <v>P</v>
      </c>
      <c r="V25" s="4" t="str">
        <f>IFERROR(LOOKUP(2,1/((#REF!=oct!$A25)*(#REF!&lt;=oct!V$3)*(#REF!&gt;=oct!V$3)),#REF!),IF(WEEKDAY(oct!V$3,1)=1,"WO","P"))</f>
        <v>P</v>
      </c>
      <c r="W25" s="4" t="str">
        <f>IFERROR(LOOKUP(2,1/((#REF!=oct!$A25)*(#REF!&lt;=oct!W$3)*(#REF!&gt;=oct!W$3)),#REF!),IF(WEEKDAY(oct!W$3,1)=1,"WO","P"))</f>
        <v>WO</v>
      </c>
      <c r="X25" s="4" t="str">
        <f>IFERROR(LOOKUP(2,1/((#REF!=oct!$A25)*(#REF!&lt;=oct!X$3)*(#REF!&gt;=oct!X$3)),#REF!),IF(WEEKDAY(oct!X$3,1)=1,"WO","P"))</f>
        <v>P</v>
      </c>
      <c r="Y25" s="4" t="str">
        <f>IFERROR(LOOKUP(2,1/((#REF!=oct!$A25)*(#REF!&lt;=oct!Y$3)*(#REF!&gt;=oct!Y$3)),#REF!),IF(WEEKDAY(oct!Y$3,1)=1,"WO","P"))</f>
        <v>P</v>
      </c>
      <c r="Z25" s="4" t="str">
        <f>IFERROR(LOOKUP(2,1/((#REF!=oct!$A25)*(#REF!&lt;=oct!Z$3)*(#REF!&gt;=oct!Z$3)),#REF!),IF(WEEKDAY(oct!Z$3,1)=1,"WO","P"))</f>
        <v>P</v>
      </c>
      <c r="AA25" s="4" t="str">
        <f>IFERROR(LOOKUP(2,1/((#REF!=oct!$A25)*(#REF!&lt;=oct!AA$3)*(#REF!&gt;=oct!AA$3)),#REF!),IF(WEEKDAY(oct!AA$3,1)=1,"WO","P"))</f>
        <v>P</v>
      </c>
      <c r="AB25" s="4" t="str">
        <f>IFERROR(LOOKUP(2,1/((#REF!=oct!$A25)*(#REF!&lt;=oct!AB$3)*(#REF!&gt;=oct!AB$3)),#REF!),IF(WEEKDAY(oct!AB$3,1)=1,"WO","P"))</f>
        <v>P</v>
      </c>
      <c r="AC25" s="4" t="str">
        <f>IFERROR(LOOKUP(2,1/((#REF!=oct!$A25)*(#REF!&lt;=oct!AC$3)*(#REF!&gt;=oct!AC$3)),#REF!),IF(WEEKDAY(oct!AC$3,1)=1,"WO","P"))</f>
        <v>P</v>
      </c>
      <c r="AD25" s="4" t="str">
        <f>IFERROR(LOOKUP(2,1/((#REF!=oct!$A25)*(#REF!&lt;=oct!AD$3)*(#REF!&gt;=oct!AD$3)),#REF!),IF(WEEKDAY(oct!AD$3,1)=1,"WO","P"))</f>
        <v>WO</v>
      </c>
      <c r="AE25" s="4" t="str">
        <f>IFERROR(LOOKUP(2,1/((#REF!=oct!$A25)*(#REF!&lt;=oct!AE$3)*(#REF!&gt;=oct!AE$3)),#REF!),IF(WEEKDAY(oct!AE$3,1)=1,"WO","P"))</f>
        <v>P</v>
      </c>
      <c r="AF25" s="4" t="str">
        <f>IFERROR(LOOKUP(2,1/((#REF!=oct!$A25)*(#REF!&lt;=oct!AF$3)*(#REF!&gt;=oct!AF$3)),#REF!),IF(WEEKDAY(oct!AF$3,1)=1,"WO","P"))</f>
        <v>P</v>
      </c>
      <c r="AG25" s="4" t="str">
        <f>IFERROR(LOOKUP(2,1/((#REF!=oct!$A25)*(#REF!&lt;=oct!AG$3)*(#REF!&gt;=oct!AG$3)),#REF!),IF(WEEKDAY(oct!AG$3,1)=1,"WO","P"))</f>
        <v>P</v>
      </c>
      <c r="AH25" s="4" t="str">
        <f>IFERROR(LOOKUP(2,1/((#REF!=oct!$A25)*(#REF!&lt;=oct!AH$3)*(#REF!&gt;=oct!AH$3)),#REF!),IF(WEEKDAY(oct!AH$3,1)=1,"WO","P"))</f>
        <v>P</v>
      </c>
      <c r="AI25" s="4" t="str">
        <f>IFERROR(LOOKUP(2,1/((#REF!=oct!$A25)*(#REF!&lt;=oct!AI$3)*(#REF!&gt;=oct!AI$3)),#REF!),IF(WEEKDAY(oct!AI$3,1)=1,"WO","P"))</f>
        <v>P</v>
      </c>
      <c r="AJ25" s="4" t="str">
        <f>IFERROR(LOOKUP(2,1/((#REF!=oct!$A25)*(#REF!&lt;=oct!AJ$3)*(#REF!&gt;=oct!AJ$3)),#REF!),IF(WEEKDAY(oct!AJ$3,1)=1,"WO","P"))</f>
        <v>P</v>
      </c>
      <c r="AK25" s="4">
        <f>COUNTIF(mar!$F25:$AJ25,"WO")</f>
        <v>5</v>
      </c>
      <c r="AL25" s="4">
        <f>COUNTIF(mar!$F25:$AJ25,"H")</f>
        <v>2</v>
      </c>
      <c r="AM25" s="4">
        <f>COUNTIF(mar!$F25:$AJ25,"pl")</f>
        <v>0</v>
      </c>
      <c r="AN25" s="4">
        <f>COUNTIF(mar!$F25:$AJ25,"LWP")</f>
        <v>0</v>
      </c>
      <c r="AO25" s="4">
        <f>COUNTIF(mar!$F25:$AJ25,"HD")</f>
        <v>0</v>
      </c>
      <c r="AP25" s="4">
        <f>COUNTIF(mar!$F25:$AJ25,"SL")</f>
        <v>0</v>
      </c>
      <c r="AQ25" s="4">
        <f>COUNTIF(mar!$F25:$AJ25,"CL")</f>
        <v>0</v>
      </c>
      <c r="AR25" s="4">
        <f>COUNTIF(mar!$F25:$AJ25,"A")</f>
        <v>2</v>
      </c>
      <c r="AS25" s="4">
        <f>COUNTIF(mar!$F25:$AJ25,"P")</f>
        <v>22</v>
      </c>
      <c r="AT25" s="4">
        <f t="shared" si="2"/>
        <v>31</v>
      </c>
      <c r="AU25" s="4">
        <f t="shared" si="3"/>
        <v>29</v>
      </c>
      <c r="AV25" s="4">
        <f>SUMIFS(holly!$L$2:$L$122,holly!$I$2:$I$122,mar!$A25,holly!$K$2:$K$122,"Mar")</f>
        <v>0</v>
      </c>
    </row>
    <row r="26" spans="1:48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IFERROR(LOOKUP(2,1/((#REF!=oct!$A26)*(#REF!&lt;=oct!F$3)*(#REF!&gt;=oct!F$3)),#REF!),IF(WEEKDAY(oct!F$3,1)=1,"WO","P"))</f>
        <v>P</v>
      </c>
      <c r="G26" s="4" t="str">
        <f>IFERROR(LOOKUP(2,1/((#REF!=oct!$A26)*(#REF!&lt;=oct!G$3)*(#REF!&gt;=oct!G$3)),#REF!),IF(WEEKDAY(oct!G$3,1)=1,"WO","P"))</f>
        <v>P</v>
      </c>
      <c r="H26" s="4" t="str">
        <f>IFERROR(LOOKUP(2,1/((#REF!=oct!$A26)*(#REF!&lt;=oct!H$3)*(#REF!&gt;=oct!H$3)),#REF!),IF(WEEKDAY(oct!H$3,1)=1,"WO","P"))</f>
        <v>P</v>
      </c>
      <c r="I26" s="4" t="str">
        <f>IFERROR(LOOKUP(2,1/((#REF!=oct!$A26)*(#REF!&lt;=oct!I$3)*(#REF!&gt;=oct!I$3)),#REF!),IF(WEEKDAY(oct!I$3,1)=1,"WO","P"))</f>
        <v>WO</v>
      </c>
      <c r="J26" s="4" t="str">
        <f>IFERROR(LOOKUP(2,1/((#REF!=oct!$A26)*(#REF!&lt;=oct!J$3)*(#REF!&gt;=oct!J$3)),#REF!),IF(WEEKDAY(oct!J$3,1)=1,"WO","P"))</f>
        <v>P</v>
      </c>
      <c r="K26" s="4" t="str">
        <f>IFERROR(LOOKUP(2,1/((#REF!=oct!$A26)*(#REF!&lt;=oct!K$3)*(#REF!&gt;=oct!K$3)),#REF!),IF(WEEKDAY(oct!K$3,1)=1,"WO","P"))</f>
        <v>P</v>
      </c>
      <c r="L26" s="4" t="str">
        <f>IFERROR(LOOKUP(2,1/((#REF!=oct!$A26)*(#REF!&lt;=oct!L$3)*(#REF!&gt;=oct!L$3)),#REF!),IF(WEEKDAY(oct!L$3,1)=1,"WO","P"))</f>
        <v>P</v>
      </c>
      <c r="M26" s="4" t="str">
        <f>IFERROR(LOOKUP(2,1/((#REF!=oct!$A26)*(#REF!&lt;=oct!M$3)*(#REF!&gt;=oct!M$3)),#REF!),IF(WEEKDAY(oct!M$3,1)=1,"WO","P"))</f>
        <v>P</v>
      </c>
      <c r="N26" s="4" t="str">
        <f>IFERROR(LOOKUP(2,1/((#REF!=oct!$A26)*(#REF!&lt;=oct!N$3)*(#REF!&gt;=oct!N$3)),#REF!),IF(WEEKDAY(oct!N$3,1)=1,"WO","P"))</f>
        <v>P</v>
      </c>
      <c r="O26" s="4" t="str">
        <f>IFERROR(LOOKUP(2,1/((#REF!=oct!$A26)*(#REF!&lt;=oct!O$3)*(#REF!&gt;=oct!O$3)),#REF!),IF(WEEKDAY(oct!O$3,1)=1,"WO","P"))</f>
        <v>P</v>
      </c>
      <c r="P26" s="4" t="str">
        <f>IFERROR(LOOKUP(2,1/((#REF!=oct!$A26)*(#REF!&lt;=oct!P$3)*(#REF!&gt;=oct!P$3)),#REF!),IF(WEEKDAY(oct!P$3,1)=1,"WO","P"))</f>
        <v>WO</v>
      </c>
      <c r="Q26" s="4" t="str">
        <f>IFERROR(LOOKUP(2,1/((#REF!=oct!$A26)*(#REF!&lt;=oct!Q$3)*(#REF!&gt;=oct!Q$3)),#REF!),IF(WEEKDAY(oct!Q$3,1)=1,"WO","P"))</f>
        <v>P</v>
      </c>
      <c r="R26" s="4" t="str">
        <f>IFERROR(LOOKUP(2,1/((#REF!=oct!$A26)*(#REF!&lt;=oct!R$3)*(#REF!&gt;=oct!R$3)),#REF!),IF(WEEKDAY(oct!R$3,1)=1,"WO","P"))</f>
        <v>P</v>
      </c>
      <c r="S26" s="4" t="str">
        <f>IFERROR(LOOKUP(2,1/((#REF!=oct!$A26)*(#REF!&lt;=oct!S$3)*(#REF!&gt;=oct!S$3)),#REF!),IF(WEEKDAY(oct!S$3,1)=1,"WO","P"))</f>
        <v>P</v>
      </c>
      <c r="T26" s="4" t="str">
        <f>IFERROR(LOOKUP(2,1/((#REF!=oct!$A26)*(#REF!&lt;=oct!T$3)*(#REF!&gt;=oct!T$3)),#REF!),IF(WEEKDAY(oct!T$3,1)=1,"WO","P"))</f>
        <v>P</v>
      </c>
      <c r="U26" s="4" t="str">
        <f>IFERROR(LOOKUP(2,1/((#REF!=oct!$A26)*(#REF!&lt;=oct!U$3)*(#REF!&gt;=oct!U$3)),#REF!),IF(WEEKDAY(oct!U$3,1)=1,"WO","P"))</f>
        <v>P</v>
      </c>
      <c r="V26" s="4" t="str">
        <f>IFERROR(LOOKUP(2,1/((#REF!=oct!$A26)*(#REF!&lt;=oct!V$3)*(#REF!&gt;=oct!V$3)),#REF!),IF(WEEKDAY(oct!V$3,1)=1,"WO","P"))</f>
        <v>P</v>
      </c>
      <c r="W26" s="4" t="str">
        <f>IFERROR(LOOKUP(2,1/((#REF!=oct!$A26)*(#REF!&lt;=oct!W$3)*(#REF!&gt;=oct!W$3)),#REF!),IF(WEEKDAY(oct!W$3,1)=1,"WO","P"))</f>
        <v>WO</v>
      </c>
      <c r="X26" s="4" t="str">
        <f>IFERROR(LOOKUP(2,1/((#REF!=oct!$A26)*(#REF!&lt;=oct!X$3)*(#REF!&gt;=oct!X$3)),#REF!),IF(WEEKDAY(oct!X$3,1)=1,"WO","P"))</f>
        <v>P</v>
      </c>
      <c r="Y26" s="4" t="str">
        <f>IFERROR(LOOKUP(2,1/((#REF!=oct!$A26)*(#REF!&lt;=oct!Y$3)*(#REF!&gt;=oct!Y$3)),#REF!),IF(WEEKDAY(oct!Y$3,1)=1,"WO","P"))</f>
        <v>P</v>
      </c>
      <c r="Z26" s="4" t="str">
        <f>IFERROR(LOOKUP(2,1/((#REF!=oct!$A26)*(#REF!&lt;=oct!Z$3)*(#REF!&gt;=oct!Z$3)),#REF!),IF(WEEKDAY(oct!Z$3,1)=1,"WO","P"))</f>
        <v>P</v>
      </c>
      <c r="AA26" s="4" t="str">
        <f>IFERROR(LOOKUP(2,1/((#REF!=oct!$A26)*(#REF!&lt;=oct!AA$3)*(#REF!&gt;=oct!AA$3)),#REF!),IF(WEEKDAY(oct!AA$3,1)=1,"WO","P"))</f>
        <v>P</v>
      </c>
      <c r="AB26" s="4" t="str">
        <f>IFERROR(LOOKUP(2,1/((#REF!=oct!$A26)*(#REF!&lt;=oct!AB$3)*(#REF!&gt;=oct!AB$3)),#REF!),IF(WEEKDAY(oct!AB$3,1)=1,"WO","P"))</f>
        <v>P</v>
      </c>
      <c r="AC26" s="4" t="str">
        <f>IFERROR(LOOKUP(2,1/((#REF!=oct!$A26)*(#REF!&lt;=oct!AC$3)*(#REF!&gt;=oct!AC$3)),#REF!),IF(WEEKDAY(oct!AC$3,1)=1,"WO","P"))</f>
        <v>P</v>
      </c>
      <c r="AD26" s="4" t="str">
        <f>IFERROR(LOOKUP(2,1/((#REF!=oct!$A26)*(#REF!&lt;=oct!AD$3)*(#REF!&gt;=oct!AD$3)),#REF!),IF(WEEKDAY(oct!AD$3,1)=1,"WO","P"))</f>
        <v>WO</v>
      </c>
      <c r="AE26" s="4" t="str">
        <f>IFERROR(LOOKUP(2,1/((#REF!=oct!$A26)*(#REF!&lt;=oct!AE$3)*(#REF!&gt;=oct!AE$3)),#REF!),IF(WEEKDAY(oct!AE$3,1)=1,"WO","P"))</f>
        <v>P</v>
      </c>
      <c r="AF26" s="4" t="str">
        <f>IFERROR(LOOKUP(2,1/((#REF!=oct!$A26)*(#REF!&lt;=oct!AF$3)*(#REF!&gt;=oct!AF$3)),#REF!),IF(WEEKDAY(oct!AF$3,1)=1,"WO","P"))</f>
        <v>P</v>
      </c>
      <c r="AG26" s="4" t="str">
        <f>IFERROR(LOOKUP(2,1/((#REF!=oct!$A26)*(#REF!&lt;=oct!AG$3)*(#REF!&gt;=oct!AG$3)),#REF!),IF(WEEKDAY(oct!AG$3,1)=1,"WO","P"))</f>
        <v>P</v>
      </c>
      <c r="AH26" s="4" t="str">
        <f>IFERROR(LOOKUP(2,1/((#REF!=oct!$A26)*(#REF!&lt;=oct!AH$3)*(#REF!&gt;=oct!AH$3)),#REF!),IF(WEEKDAY(oct!AH$3,1)=1,"WO","P"))</f>
        <v>P</v>
      </c>
      <c r="AI26" s="4" t="str">
        <f>IFERROR(LOOKUP(2,1/((#REF!=oct!$A26)*(#REF!&lt;=oct!AI$3)*(#REF!&gt;=oct!AI$3)),#REF!),IF(WEEKDAY(oct!AI$3,1)=1,"WO","P"))</f>
        <v>P</v>
      </c>
      <c r="AJ26" s="4" t="str">
        <f>IFERROR(LOOKUP(2,1/((#REF!=oct!$A26)*(#REF!&lt;=oct!AJ$3)*(#REF!&gt;=oct!AJ$3)),#REF!),IF(WEEKDAY(oct!AJ$3,1)=1,"WO","P"))</f>
        <v>P</v>
      </c>
      <c r="AK26" s="4">
        <f>COUNTIF(mar!$F26:$AJ26,"WO")</f>
        <v>5</v>
      </c>
      <c r="AL26" s="4">
        <f>COUNTIF(mar!$F26:$AJ26,"H")</f>
        <v>2</v>
      </c>
      <c r="AM26" s="4">
        <f>COUNTIF(mar!$F26:$AJ26,"pl")</f>
        <v>0</v>
      </c>
      <c r="AN26" s="4">
        <f>COUNTIF(mar!$F26:$AJ26,"LWP")</f>
        <v>0</v>
      </c>
      <c r="AO26" s="4">
        <f>COUNTIF(mar!$F26:$AJ26,"HD")</f>
        <v>0</v>
      </c>
      <c r="AP26" s="4">
        <f>COUNTIF(mar!$F26:$AJ26,"SL")</f>
        <v>0</v>
      </c>
      <c r="AQ26" s="4">
        <f>COUNTIF(mar!$F26:$AJ26,"CL")</f>
        <v>0</v>
      </c>
      <c r="AR26" s="4">
        <f>COUNTIF(mar!$F26:$AJ26,"A")</f>
        <v>1</v>
      </c>
      <c r="AS26" s="4">
        <f>COUNTIF(mar!$F26:$AJ26,"P")</f>
        <v>23</v>
      </c>
      <c r="AT26" s="4">
        <f t="shared" si="2"/>
        <v>31</v>
      </c>
      <c r="AU26" s="4">
        <f t="shared" si="3"/>
        <v>30</v>
      </c>
      <c r="AV26" s="4">
        <f>SUMIFS(holly!$L$2:$L$122,holly!$I$2:$I$122,mar!$A26,holly!$K$2:$K$122,"Mar")</f>
        <v>0</v>
      </c>
    </row>
    <row r="27" spans="1:48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IFERROR(LOOKUP(2,1/((#REF!=oct!$A27)*(#REF!&lt;=oct!F$3)*(#REF!&gt;=oct!F$3)),#REF!),IF(WEEKDAY(oct!F$3,1)=1,"WO","P"))</f>
        <v>P</v>
      </c>
      <c r="G27" s="4" t="str">
        <f>IFERROR(LOOKUP(2,1/((#REF!=oct!$A27)*(#REF!&lt;=oct!G$3)*(#REF!&gt;=oct!G$3)),#REF!),IF(WEEKDAY(oct!G$3,1)=1,"WO","P"))</f>
        <v>P</v>
      </c>
      <c r="H27" s="4" t="str">
        <f>IFERROR(LOOKUP(2,1/((#REF!=oct!$A27)*(#REF!&lt;=oct!H$3)*(#REF!&gt;=oct!H$3)),#REF!),IF(WEEKDAY(oct!H$3,1)=1,"WO","P"))</f>
        <v>P</v>
      </c>
      <c r="I27" s="4" t="str">
        <f>IFERROR(LOOKUP(2,1/((#REF!=oct!$A27)*(#REF!&lt;=oct!I$3)*(#REF!&gt;=oct!I$3)),#REF!),IF(WEEKDAY(oct!I$3,1)=1,"WO","P"))</f>
        <v>WO</v>
      </c>
      <c r="J27" s="4" t="str">
        <f>IFERROR(LOOKUP(2,1/((#REF!=oct!$A27)*(#REF!&lt;=oct!J$3)*(#REF!&gt;=oct!J$3)),#REF!),IF(WEEKDAY(oct!J$3,1)=1,"WO","P"))</f>
        <v>P</v>
      </c>
      <c r="K27" s="4" t="str">
        <f>IFERROR(LOOKUP(2,1/((#REF!=oct!$A27)*(#REF!&lt;=oct!K$3)*(#REF!&gt;=oct!K$3)),#REF!),IF(WEEKDAY(oct!K$3,1)=1,"WO","P"))</f>
        <v>P</v>
      </c>
      <c r="L27" s="4" t="str">
        <f>IFERROR(LOOKUP(2,1/((#REF!=oct!$A27)*(#REF!&lt;=oct!L$3)*(#REF!&gt;=oct!L$3)),#REF!),IF(WEEKDAY(oct!L$3,1)=1,"WO","P"))</f>
        <v>P</v>
      </c>
      <c r="M27" s="4" t="str">
        <f>IFERROR(LOOKUP(2,1/((#REF!=oct!$A27)*(#REF!&lt;=oct!M$3)*(#REF!&gt;=oct!M$3)),#REF!),IF(WEEKDAY(oct!M$3,1)=1,"WO","P"))</f>
        <v>P</v>
      </c>
      <c r="N27" s="4" t="str">
        <f>IFERROR(LOOKUP(2,1/((#REF!=oct!$A27)*(#REF!&lt;=oct!N$3)*(#REF!&gt;=oct!N$3)),#REF!),IF(WEEKDAY(oct!N$3,1)=1,"WO","P"))</f>
        <v>P</v>
      </c>
      <c r="O27" s="4" t="str">
        <f>IFERROR(LOOKUP(2,1/((#REF!=oct!$A27)*(#REF!&lt;=oct!O$3)*(#REF!&gt;=oct!O$3)),#REF!),IF(WEEKDAY(oct!O$3,1)=1,"WO","P"))</f>
        <v>P</v>
      </c>
      <c r="P27" s="4" t="str">
        <f>IFERROR(LOOKUP(2,1/((#REF!=oct!$A27)*(#REF!&lt;=oct!P$3)*(#REF!&gt;=oct!P$3)),#REF!),IF(WEEKDAY(oct!P$3,1)=1,"WO","P"))</f>
        <v>WO</v>
      </c>
      <c r="Q27" s="4" t="str">
        <f>IFERROR(LOOKUP(2,1/((#REF!=oct!$A27)*(#REF!&lt;=oct!Q$3)*(#REF!&gt;=oct!Q$3)),#REF!),IF(WEEKDAY(oct!Q$3,1)=1,"WO","P"))</f>
        <v>P</v>
      </c>
      <c r="R27" s="4" t="str">
        <f>IFERROR(LOOKUP(2,1/((#REF!=oct!$A27)*(#REF!&lt;=oct!R$3)*(#REF!&gt;=oct!R$3)),#REF!),IF(WEEKDAY(oct!R$3,1)=1,"WO","P"))</f>
        <v>P</v>
      </c>
      <c r="S27" s="4" t="str">
        <f>IFERROR(LOOKUP(2,1/((#REF!=oct!$A27)*(#REF!&lt;=oct!S$3)*(#REF!&gt;=oct!S$3)),#REF!),IF(WEEKDAY(oct!S$3,1)=1,"WO","P"))</f>
        <v>P</v>
      </c>
      <c r="T27" s="4" t="str">
        <f>IFERROR(LOOKUP(2,1/((#REF!=oct!$A27)*(#REF!&lt;=oct!T$3)*(#REF!&gt;=oct!T$3)),#REF!),IF(WEEKDAY(oct!T$3,1)=1,"WO","P"))</f>
        <v>P</v>
      </c>
      <c r="U27" s="4" t="str">
        <f>IFERROR(LOOKUP(2,1/((#REF!=oct!$A27)*(#REF!&lt;=oct!U$3)*(#REF!&gt;=oct!U$3)),#REF!),IF(WEEKDAY(oct!U$3,1)=1,"WO","P"))</f>
        <v>P</v>
      </c>
      <c r="V27" s="4" t="str">
        <f>IFERROR(LOOKUP(2,1/((#REF!=oct!$A27)*(#REF!&lt;=oct!V$3)*(#REF!&gt;=oct!V$3)),#REF!),IF(WEEKDAY(oct!V$3,1)=1,"WO","P"))</f>
        <v>P</v>
      </c>
      <c r="W27" s="4" t="str">
        <f>IFERROR(LOOKUP(2,1/((#REF!=oct!$A27)*(#REF!&lt;=oct!W$3)*(#REF!&gt;=oct!W$3)),#REF!),IF(WEEKDAY(oct!W$3,1)=1,"WO","P"))</f>
        <v>WO</v>
      </c>
      <c r="X27" s="4" t="str">
        <f>IFERROR(LOOKUP(2,1/((#REF!=oct!$A27)*(#REF!&lt;=oct!X$3)*(#REF!&gt;=oct!X$3)),#REF!),IF(WEEKDAY(oct!X$3,1)=1,"WO","P"))</f>
        <v>P</v>
      </c>
      <c r="Y27" s="4" t="str">
        <f>IFERROR(LOOKUP(2,1/((#REF!=oct!$A27)*(#REF!&lt;=oct!Y$3)*(#REF!&gt;=oct!Y$3)),#REF!),IF(WEEKDAY(oct!Y$3,1)=1,"WO","P"))</f>
        <v>P</v>
      </c>
      <c r="Z27" s="4" t="str">
        <f>IFERROR(LOOKUP(2,1/((#REF!=oct!$A27)*(#REF!&lt;=oct!Z$3)*(#REF!&gt;=oct!Z$3)),#REF!),IF(WEEKDAY(oct!Z$3,1)=1,"WO","P"))</f>
        <v>P</v>
      </c>
      <c r="AA27" s="4" t="str">
        <f>IFERROR(LOOKUP(2,1/((#REF!=oct!$A27)*(#REF!&lt;=oct!AA$3)*(#REF!&gt;=oct!AA$3)),#REF!),IF(WEEKDAY(oct!AA$3,1)=1,"WO","P"))</f>
        <v>P</v>
      </c>
      <c r="AB27" s="4" t="str">
        <f>IFERROR(LOOKUP(2,1/((#REF!=oct!$A27)*(#REF!&lt;=oct!AB$3)*(#REF!&gt;=oct!AB$3)),#REF!),IF(WEEKDAY(oct!AB$3,1)=1,"WO","P"))</f>
        <v>P</v>
      </c>
      <c r="AC27" s="4" t="str">
        <f>IFERROR(LOOKUP(2,1/((#REF!=oct!$A27)*(#REF!&lt;=oct!AC$3)*(#REF!&gt;=oct!AC$3)),#REF!),IF(WEEKDAY(oct!AC$3,1)=1,"WO","P"))</f>
        <v>P</v>
      </c>
      <c r="AD27" s="4" t="str">
        <f>IFERROR(LOOKUP(2,1/((#REF!=oct!$A27)*(#REF!&lt;=oct!AD$3)*(#REF!&gt;=oct!AD$3)),#REF!),IF(WEEKDAY(oct!AD$3,1)=1,"WO","P"))</f>
        <v>WO</v>
      </c>
      <c r="AE27" s="4" t="str">
        <f>IFERROR(LOOKUP(2,1/((#REF!=oct!$A27)*(#REF!&lt;=oct!AE$3)*(#REF!&gt;=oct!AE$3)),#REF!),IF(WEEKDAY(oct!AE$3,1)=1,"WO","P"))</f>
        <v>P</v>
      </c>
      <c r="AF27" s="4" t="str">
        <f>IFERROR(LOOKUP(2,1/((#REF!=oct!$A27)*(#REF!&lt;=oct!AF$3)*(#REF!&gt;=oct!AF$3)),#REF!),IF(WEEKDAY(oct!AF$3,1)=1,"WO","P"))</f>
        <v>P</v>
      </c>
      <c r="AG27" s="4" t="str">
        <f>IFERROR(LOOKUP(2,1/((#REF!=oct!$A27)*(#REF!&lt;=oct!AG$3)*(#REF!&gt;=oct!AG$3)),#REF!),IF(WEEKDAY(oct!AG$3,1)=1,"WO","P"))</f>
        <v>P</v>
      </c>
      <c r="AH27" s="4" t="str">
        <f>IFERROR(LOOKUP(2,1/((#REF!=oct!$A27)*(#REF!&lt;=oct!AH$3)*(#REF!&gt;=oct!AH$3)),#REF!),IF(WEEKDAY(oct!AH$3,1)=1,"WO","P"))</f>
        <v>P</v>
      </c>
      <c r="AI27" s="4" t="str">
        <f>IFERROR(LOOKUP(2,1/((#REF!=oct!$A27)*(#REF!&lt;=oct!AI$3)*(#REF!&gt;=oct!AI$3)),#REF!),IF(WEEKDAY(oct!AI$3,1)=1,"WO","P"))</f>
        <v>P</v>
      </c>
      <c r="AJ27" s="4" t="str">
        <f>IFERROR(LOOKUP(2,1/((#REF!=oct!$A27)*(#REF!&lt;=oct!AJ$3)*(#REF!&gt;=oct!AJ$3)),#REF!),IF(WEEKDAY(oct!AJ$3,1)=1,"WO","P"))</f>
        <v>P</v>
      </c>
      <c r="AK27" s="4">
        <f>COUNTIF(mar!$F27:$AJ27,"WO")</f>
        <v>5</v>
      </c>
      <c r="AL27" s="4">
        <f>COUNTIF(mar!$F27:$AJ27,"H")</f>
        <v>2</v>
      </c>
      <c r="AM27" s="4">
        <f>COUNTIF(mar!$F27:$AJ27,"pl")</f>
        <v>0</v>
      </c>
      <c r="AN27" s="4">
        <f>COUNTIF(mar!$F27:$AJ27,"LWP")</f>
        <v>0</v>
      </c>
      <c r="AO27" s="4">
        <f>COUNTIF(mar!$F27:$AJ27,"HD")</f>
        <v>0</v>
      </c>
      <c r="AP27" s="4">
        <f>COUNTIF(mar!$F27:$AJ27,"SL")</f>
        <v>0</v>
      </c>
      <c r="AQ27" s="4">
        <f>COUNTIF(mar!$F27:$AJ27,"CL")</f>
        <v>0</v>
      </c>
      <c r="AR27" s="4">
        <f>COUNTIF(mar!$F27:$AJ27,"A")</f>
        <v>0</v>
      </c>
      <c r="AS27" s="4">
        <f>COUNTIF(mar!$F27:$AJ27,"P")</f>
        <v>24</v>
      </c>
      <c r="AT27" s="4">
        <f t="shared" si="2"/>
        <v>31</v>
      </c>
      <c r="AU27" s="4">
        <f t="shared" si="3"/>
        <v>31</v>
      </c>
      <c r="AV27" s="4">
        <f>SUMIFS(holly!$L$2:$L$122,holly!$I$2:$I$122,mar!$A27,holly!$K$2:$K$122,"Mar")</f>
        <v>0</v>
      </c>
    </row>
    <row r="28" spans="1:48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IFERROR(LOOKUP(2,1/((#REF!=oct!$A28)*(#REF!&lt;=oct!F$3)*(#REF!&gt;=oct!F$3)),#REF!),IF(WEEKDAY(oct!F$3,1)=1,"WO","P"))</f>
        <v>P</v>
      </c>
      <c r="G28" s="4" t="str">
        <f>IFERROR(LOOKUP(2,1/((#REF!=oct!$A28)*(#REF!&lt;=oct!G$3)*(#REF!&gt;=oct!G$3)),#REF!),IF(WEEKDAY(oct!G$3,1)=1,"WO","P"))</f>
        <v>P</v>
      </c>
      <c r="H28" s="4" t="str">
        <f>IFERROR(LOOKUP(2,1/((#REF!=oct!$A28)*(#REF!&lt;=oct!H$3)*(#REF!&gt;=oct!H$3)),#REF!),IF(WEEKDAY(oct!H$3,1)=1,"WO","P"))</f>
        <v>P</v>
      </c>
      <c r="I28" s="4" t="str">
        <f>IFERROR(LOOKUP(2,1/((#REF!=oct!$A28)*(#REF!&lt;=oct!I$3)*(#REF!&gt;=oct!I$3)),#REF!),IF(WEEKDAY(oct!I$3,1)=1,"WO","P"))</f>
        <v>WO</v>
      </c>
      <c r="J28" s="4" t="str">
        <f>IFERROR(LOOKUP(2,1/((#REF!=oct!$A28)*(#REF!&lt;=oct!J$3)*(#REF!&gt;=oct!J$3)),#REF!),IF(WEEKDAY(oct!J$3,1)=1,"WO","P"))</f>
        <v>P</v>
      </c>
      <c r="K28" s="4" t="str">
        <f>IFERROR(LOOKUP(2,1/((#REF!=oct!$A28)*(#REF!&lt;=oct!K$3)*(#REF!&gt;=oct!K$3)),#REF!),IF(WEEKDAY(oct!K$3,1)=1,"WO","P"))</f>
        <v>P</v>
      </c>
      <c r="L28" s="4" t="str">
        <f>IFERROR(LOOKUP(2,1/((#REF!=oct!$A28)*(#REF!&lt;=oct!L$3)*(#REF!&gt;=oct!L$3)),#REF!),IF(WEEKDAY(oct!L$3,1)=1,"WO","P"))</f>
        <v>P</v>
      </c>
      <c r="M28" s="4" t="str">
        <f>IFERROR(LOOKUP(2,1/((#REF!=oct!$A28)*(#REF!&lt;=oct!M$3)*(#REF!&gt;=oct!M$3)),#REF!),IF(WEEKDAY(oct!M$3,1)=1,"WO","P"))</f>
        <v>P</v>
      </c>
      <c r="N28" s="4" t="str">
        <f>IFERROR(LOOKUP(2,1/((#REF!=oct!$A28)*(#REF!&lt;=oct!N$3)*(#REF!&gt;=oct!N$3)),#REF!),IF(WEEKDAY(oct!N$3,1)=1,"WO","P"))</f>
        <v>P</v>
      </c>
      <c r="O28" s="4" t="str">
        <f>IFERROR(LOOKUP(2,1/((#REF!=oct!$A28)*(#REF!&lt;=oct!O$3)*(#REF!&gt;=oct!O$3)),#REF!),IF(WEEKDAY(oct!O$3,1)=1,"WO","P"))</f>
        <v>P</v>
      </c>
      <c r="P28" s="4" t="str">
        <f>IFERROR(LOOKUP(2,1/((#REF!=oct!$A28)*(#REF!&lt;=oct!P$3)*(#REF!&gt;=oct!P$3)),#REF!),IF(WEEKDAY(oct!P$3,1)=1,"WO","P"))</f>
        <v>WO</v>
      </c>
      <c r="Q28" s="4" t="str">
        <f>IFERROR(LOOKUP(2,1/((#REF!=oct!$A28)*(#REF!&lt;=oct!Q$3)*(#REF!&gt;=oct!Q$3)),#REF!),IF(WEEKDAY(oct!Q$3,1)=1,"WO","P"))</f>
        <v>P</v>
      </c>
      <c r="R28" s="4" t="str">
        <f>IFERROR(LOOKUP(2,1/((#REF!=oct!$A28)*(#REF!&lt;=oct!R$3)*(#REF!&gt;=oct!R$3)),#REF!),IF(WEEKDAY(oct!R$3,1)=1,"WO","P"))</f>
        <v>P</v>
      </c>
      <c r="S28" s="4" t="str">
        <f>IFERROR(LOOKUP(2,1/((#REF!=oct!$A28)*(#REF!&lt;=oct!S$3)*(#REF!&gt;=oct!S$3)),#REF!),IF(WEEKDAY(oct!S$3,1)=1,"WO","P"))</f>
        <v>P</v>
      </c>
      <c r="T28" s="4" t="str">
        <f>IFERROR(LOOKUP(2,1/((#REF!=oct!$A28)*(#REF!&lt;=oct!T$3)*(#REF!&gt;=oct!T$3)),#REF!),IF(WEEKDAY(oct!T$3,1)=1,"WO","P"))</f>
        <v>P</v>
      </c>
      <c r="U28" s="4" t="str">
        <f>IFERROR(LOOKUP(2,1/((#REF!=oct!$A28)*(#REF!&lt;=oct!U$3)*(#REF!&gt;=oct!U$3)),#REF!),IF(WEEKDAY(oct!U$3,1)=1,"WO","P"))</f>
        <v>P</v>
      </c>
      <c r="V28" s="4" t="str">
        <f>IFERROR(LOOKUP(2,1/((#REF!=oct!$A28)*(#REF!&lt;=oct!V$3)*(#REF!&gt;=oct!V$3)),#REF!),IF(WEEKDAY(oct!V$3,1)=1,"WO","P"))</f>
        <v>P</v>
      </c>
      <c r="W28" s="4" t="str">
        <f>IFERROR(LOOKUP(2,1/((#REF!=oct!$A28)*(#REF!&lt;=oct!W$3)*(#REF!&gt;=oct!W$3)),#REF!),IF(WEEKDAY(oct!W$3,1)=1,"WO","P"))</f>
        <v>WO</v>
      </c>
      <c r="X28" s="4" t="str">
        <f>IFERROR(LOOKUP(2,1/((#REF!=oct!$A28)*(#REF!&lt;=oct!X$3)*(#REF!&gt;=oct!X$3)),#REF!),IF(WEEKDAY(oct!X$3,1)=1,"WO","P"))</f>
        <v>P</v>
      </c>
      <c r="Y28" s="4" t="str">
        <f>IFERROR(LOOKUP(2,1/((#REF!=oct!$A28)*(#REF!&lt;=oct!Y$3)*(#REF!&gt;=oct!Y$3)),#REF!),IF(WEEKDAY(oct!Y$3,1)=1,"WO","P"))</f>
        <v>P</v>
      </c>
      <c r="Z28" s="4" t="str">
        <f>IFERROR(LOOKUP(2,1/((#REF!=oct!$A28)*(#REF!&lt;=oct!Z$3)*(#REF!&gt;=oct!Z$3)),#REF!),IF(WEEKDAY(oct!Z$3,1)=1,"WO","P"))</f>
        <v>P</v>
      </c>
      <c r="AA28" s="4" t="str">
        <f>IFERROR(LOOKUP(2,1/((#REF!=oct!$A28)*(#REF!&lt;=oct!AA$3)*(#REF!&gt;=oct!AA$3)),#REF!),IF(WEEKDAY(oct!AA$3,1)=1,"WO","P"))</f>
        <v>P</v>
      </c>
      <c r="AB28" s="4" t="str">
        <f>IFERROR(LOOKUP(2,1/((#REF!=oct!$A28)*(#REF!&lt;=oct!AB$3)*(#REF!&gt;=oct!AB$3)),#REF!),IF(WEEKDAY(oct!AB$3,1)=1,"WO","P"))</f>
        <v>P</v>
      </c>
      <c r="AC28" s="4" t="str">
        <f>IFERROR(LOOKUP(2,1/((#REF!=oct!$A28)*(#REF!&lt;=oct!AC$3)*(#REF!&gt;=oct!AC$3)),#REF!),IF(WEEKDAY(oct!AC$3,1)=1,"WO","P"))</f>
        <v>P</v>
      </c>
      <c r="AD28" s="4" t="str">
        <f>IFERROR(LOOKUP(2,1/((#REF!=oct!$A28)*(#REF!&lt;=oct!AD$3)*(#REF!&gt;=oct!AD$3)),#REF!),IF(WEEKDAY(oct!AD$3,1)=1,"WO","P"))</f>
        <v>WO</v>
      </c>
      <c r="AE28" s="4" t="str">
        <f>IFERROR(LOOKUP(2,1/((#REF!=oct!$A28)*(#REF!&lt;=oct!AE$3)*(#REF!&gt;=oct!AE$3)),#REF!),IF(WEEKDAY(oct!AE$3,1)=1,"WO","P"))</f>
        <v>P</v>
      </c>
      <c r="AF28" s="4" t="str">
        <f>IFERROR(LOOKUP(2,1/((#REF!=oct!$A28)*(#REF!&lt;=oct!AF$3)*(#REF!&gt;=oct!AF$3)),#REF!),IF(WEEKDAY(oct!AF$3,1)=1,"WO","P"))</f>
        <v>P</v>
      </c>
      <c r="AG28" s="4" t="str">
        <f>IFERROR(LOOKUP(2,1/((#REF!=oct!$A28)*(#REF!&lt;=oct!AG$3)*(#REF!&gt;=oct!AG$3)),#REF!),IF(WEEKDAY(oct!AG$3,1)=1,"WO","P"))</f>
        <v>P</v>
      </c>
      <c r="AH28" s="4" t="str">
        <f>IFERROR(LOOKUP(2,1/((#REF!=oct!$A28)*(#REF!&lt;=oct!AH$3)*(#REF!&gt;=oct!AH$3)),#REF!),IF(WEEKDAY(oct!AH$3,1)=1,"WO","P"))</f>
        <v>P</v>
      </c>
      <c r="AI28" s="4" t="str">
        <f>IFERROR(LOOKUP(2,1/((#REF!=oct!$A28)*(#REF!&lt;=oct!AI$3)*(#REF!&gt;=oct!AI$3)),#REF!),IF(WEEKDAY(oct!AI$3,1)=1,"WO","P"))</f>
        <v>P</v>
      </c>
      <c r="AJ28" s="4" t="str">
        <f>IFERROR(LOOKUP(2,1/((#REF!=oct!$A28)*(#REF!&lt;=oct!AJ$3)*(#REF!&gt;=oct!AJ$3)),#REF!),IF(WEEKDAY(oct!AJ$3,1)=1,"WO","P"))</f>
        <v>P</v>
      </c>
      <c r="AK28" s="4">
        <f>COUNTIF(mar!$F28:$AJ28,"WO")</f>
        <v>5</v>
      </c>
      <c r="AL28" s="4">
        <f>COUNTIF(mar!$F28:$AJ28,"H")</f>
        <v>2</v>
      </c>
      <c r="AM28" s="4">
        <f>COUNTIF(mar!$F28:$AJ28,"pl")</f>
        <v>0</v>
      </c>
      <c r="AN28" s="4">
        <f>COUNTIF(mar!$F28:$AJ28,"LWP")</f>
        <v>0</v>
      </c>
      <c r="AO28" s="4">
        <f>COUNTIF(mar!$F28:$AJ28,"HD")</f>
        <v>0</v>
      </c>
      <c r="AP28" s="4">
        <f>COUNTIF(mar!$F28:$AJ28,"SL")</f>
        <v>0</v>
      </c>
      <c r="AQ28" s="4">
        <f>COUNTIF(mar!$F28:$AJ28,"CL")</f>
        <v>0</v>
      </c>
      <c r="AR28" s="4">
        <f>COUNTIF(mar!$F28:$AJ28,"A")</f>
        <v>0</v>
      </c>
      <c r="AS28" s="4">
        <f>COUNTIF(mar!$F28:$AJ28,"P")</f>
        <v>24</v>
      </c>
      <c r="AT28" s="4">
        <f t="shared" si="2"/>
        <v>31</v>
      </c>
      <c r="AU28" s="4">
        <f t="shared" si="3"/>
        <v>31</v>
      </c>
      <c r="AV28" s="4">
        <f>SUMIFS(holly!$L$2:$L$122,holly!$I$2:$I$122,mar!$A28,holly!$K$2:$K$122,"Mar")</f>
        <v>0</v>
      </c>
    </row>
    <row r="29" spans="1:48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IFERROR(LOOKUP(2,1/((#REF!=oct!$A29)*(#REF!&lt;=oct!F$3)*(#REF!&gt;=oct!F$3)),#REF!),IF(WEEKDAY(oct!F$3,1)=1,"WO","P"))</f>
        <v>P</v>
      </c>
      <c r="G29" s="4" t="str">
        <f>IFERROR(LOOKUP(2,1/((#REF!=oct!$A29)*(#REF!&lt;=oct!G$3)*(#REF!&gt;=oct!G$3)),#REF!),IF(WEEKDAY(oct!G$3,1)=1,"WO","P"))</f>
        <v>P</v>
      </c>
      <c r="H29" s="4" t="str">
        <f>IFERROR(LOOKUP(2,1/((#REF!=oct!$A29)*(#REF!&lt;=oct!H$3)*(#REF!&gt;=oct!H$3)),#REF!),IF(WEEKDAY(oct!H$3,1)=1,"WO","P"))</f>
        <v>P</v>
      </c>
      <c r="I29" s="4" t="str">
        <f>IFERROR(LOOKUP(2,1/((#REF!=oct!$A29)*(#REF!&lt;=oct!I$3)*(#REF!&gt;=oct!I$3)),#REF!),IF(WEEKDAY(oct!I$3,1)=1,"WO","P"))</f>
        <v>WO</v>
      </c>
      <c r="J29" s="4" t="str">
        <f>IFERROR(LOOKUP(2,1/((#REF!=oct!$A29)*(#REF!&lt;=oct!J$3)*(#REF!&gt;=oct!J$3)),#REF!),IF(WEEKDAY(oct!J$3,1)=1,"WO","P"))</f>
        <v>P</v>
      </c>
      <c r="K29" s="4" t="str">
        <f>IFERROR(LOOKUP(2,1/((#REF!=oct!$A29)*(#REF!&lt;=oct!K$3)*(#REF!&gt;=oct!K$3)),#REF!),IF(WEEKDAY(oct!K$3,1)=1,"WO","P"))</f>
        <v>P</v>
      </c>
      <c r="L29" s="4" t="str">
        <f>IFERROR(LOOKUP(2,1/((#REF!=oct!$A29)*(#REF!&lt;=oct!L$3)*(#REF!&gt;=oct!L$3)),#REF!),IF(WEEKDAY(oct!L$3,1)=1,"WO","P"))</f>
        <v>P</v>
      </c>
      <c r="M29" s="4" t="str">
        <f>IFERROR(LOOKUP(2,1/((#REF!=oct!$A29)*(#REF!&lt;=oct!M$3)*(#REF!&gt;=oct!M$3)),#REF!),IF(WEEKDAY(oct!M$3,1)=1,"WO","P"))</f>
        <v>P</v>
      </c>
      <c r="N29" s="4" t="str">
        <f>IFERROR(LOOKUP(2,1/((#REF!=oct!$A29)*(#REF!&lt;=oct!N$3)*(#REF!&gt;=oct!N$3)),#REF!),IF(WEEKDAY(oct!N$3,1)=1,"WO","P"))</f>
        <v>P</v>
      </c>
      <c r="O29" s="4" t="str">
        <f>IFERROR(LOOKUP(2,1/((#REF!=oct!$A29)*(#REF!&lt;=oct!O$3)*(#REF!&gt;=oct!O$3)),#REF!),IF(WEEKDAY(oct!O$3,1)=1,"WO","P"))</f>
        <v>P</v>
      </c>
      <c r="P29" s="4" t="str">
        <f>IFERROR(LOOKUP(2,1/((#REF!=oct!$A29)*(#REF!&lt;=oct!P$3)*(#REF!&gt;=oct!P$3)),#REF!),IF(WEEKDAY(oct!P$3,1)=1,"WO","P"))</f>
        <v>WO</v>
      </c>
      <c r="Q29" s="4" t="str">
        <f>IFERROR(LOOKUP(2,1/((#REF!=oct!$A29)*(#REF!&lt;=oct!Q$3)*(#REF!&gt;=oct!Q$3)),#REF!),IF(WEEKDAY(oct!Q$3,1)=1,"WO","P"))</f>
        <v>P</v>
      </c>
      <c r="R29" s="4" t="str">
        <f>IFERROR(LOOKUP(2,1/((#REF!=oct!$A29)*(#REF!&lt;=oct!R$3)*(#REF!&gt;=oct!R$3)),#REF!),IF(WEEKDAY(oct!R$3,1)=1,"WO","P"))</f>
        <v>P</v>
      </c>
      <c r="S29" s="4" t="str">
        <f>IFERROR(LOOKUP(2,1/((#REF!=oct!$A29)*(#REF!&lt;=oct!S$3)*(#REF!&gt;=oct!S$3)),#REF!),IF(WEEKDAY(oct!S$3,1)=1,"WO","P"))</f>
        <v>P</v>
      </c>
      <c r="T29" s="4" t="str">
        <f>IFERROR(LOOKUP(2,1/((#REF!=oct!$A29)*(#REF!&lt;=oct!T$3)*(#REF!&gt;=oct!T$3)),#REF!),IF(WEEKDAY(oct!T$3,1)=1,"WO","P"))</f>
        <v>P</v>
      </c>
      <c r="U29" s="4" t="str">
        <f>IFERROR(LOOKUP(2,1/((#REF!=oct!$A29)*(#REF!&lt;=oct!U$3)*(#REF!&gt;=oct!U$3)),#REF!),IF(WEEKDAY(oct!U$3,1)=1,"WO","P"))</f>
        <v>P</v>
      </c>
      <c r="V29" s="4" t="str">
        <f>IFERROR(LOOKUP(2,1/((#REF!=oct!$A29)*(#REF!&lt;=oct!V$3)*(#REF!&gt;=oct!V$3)),#REF!),IF(WEEKDAY(oct!V$3,1)=1,"WO","P"))</f>
        <v>P</v>
      </c>
      <c r="W29" s="4" t="str">
        <f>IFERROR(LOOKUP(2,1/((#REF!=oct!$A29)*(#REF!&lt;=oct!W$3)*(#REF!&gt;=oct!W$3)),#REF!),IF(WEEKDAY(oct!W$3,1)=1,"WO","P"))</f>
        <v>WO</v>
      </c>
      <c r="X29" s="4" t="str">
        <f>IFERROR(LOOKUP(2,1/((#REF!=oct!$A29)*(#REF!&lt;=oct!X$3)*(#REF!&gt;=oct!X$3)),#REF!),IF(WEEKDAY(oct!X$3,1)=1,"WO","P"))</f>
        <v>P</v>
      </c>
      <c r="Y29" s="4" t="str">
        <f>IFERROR(LOOKUP(2,1/((#REF!=oct!$A29)*(#REF!&lt;=oct!Y$3)*(#REF!&gt;=oct!Y$3)),#REF!),IF(WEEKDAY(oct!Y$3,1)=1,"WO","P"))</f>
        <v>P</v>
      </c>
      <c r="Z29" s="4" t="str">
        <f>IFERROR(LOOKUP(2,1/((#REF!=oct!$A29)*(#REF!&lt;=oct!Z$3)*(#REF!&gt;=oct!Z$3)),#REF!),IF(WEEKDAY(oct!Z$3,1)=1,"WO","P"))</f>
        <v>P</v>
      </c>
      <c r="AA29" s="4" t="str">
        <f>IFERROR(LOOKUP(2,1/((#REF!=oct!$A29)*(#REF!&lt;=oct!AA$3)*(#REF!&gt;=oct!AA$3)),#REF!),IF(WEEKDAY(oct!AA$3,1)=1,"WO","P"))</f>
        <v>P</v>
      </c>
      <c r="AB29" s="4" t="str">
        <f>IFERROR(LOOKUP(2,1/((#REF!=oct!$A29)*(#REF!&lt;=oct!AB$3)*(#REF!&gt;=oct!AB$3)),#REF!),IF(WEEKDAY(oct!AB$3,1)=1,"WO","P"))</f>
        <v>P</v>
      </c>
      <c r="AC29" s="4" t="str">
        <f>IFERROR(LOOKUP(2,1/((#REF!=oct!$A29)*(#REF!&lt;=oct!AC$3)*(#REF!&gt;=oct!AC$3)),#REF!),IF(WEEKDAY(oct!AC$3,1)=1,"WO","P"))</f>
        <v>P</v>
      </c>
      <c r="AD29" s="4" t="str">
        <f>IFERROR(LOOKUP(2,1/((#REF!=oct!$A29)*(#REF!&lt;=oct!AD$3)*(#REF!&gt;=oct!AD$3)),#REF!),IF(WEEKDAY(oct!AD$3,1)=1,"WO","P"))</f>
        <v>WO</v>
      </c>
      <c r="AE29" s="4" t="str">
        <f>IFERROR(LOOKUP(2,1/((#REF!=oct!$A29)*(#REF!&lt;=oct!AE$3)*(#REF!&gt;=oct!AE$3)),#REF!),IF(WEEKDAY(oct!AE$3,1)=1,"WO","P"))</f>
        <v>P</v>
      </c>
      <c r="AF29" s="4" t="str">
        <f>IFERROR(LOOKUP(2,1/((#REF!=oct!$A29)*(#REF!&lt;=oct!AF$3)*(#REF!&gt;=oct!AF$3)),#REF!),IF(WEEKDAY(oct!AF$3,1)=1,"WO","P"))</f>
        <v>P</v>
      </c>
      <c r="AG29" s="4" t="str">
        <f>IFERROR(LOOKUP(2,1/((#REF!=oct!$A29)*(#REF!&lt;=oct!AG$3)*(#REF!&gt;=oct!AG$3)),#REF!),IF(WEEKDAY(oct!AG$3,1)=1,"WO","P"))</f>
        <v>P</v>
      </c>
      <c r="AH29" s="4" t="str">
        <f>IFERROR(LOOKUP(2,1/((#REF!=oct!$A29)*(#REF!&lt;=oct!AH$3)*(#REF!&gt;=oct!AH$3)),#REF!),IF(WEEKDAY(oct!AH$3,1)=1,"WO","P"))</f>
        <v>P</v>
      </c>
      <c r="AI29" s="4" t="str">
        <f>IFERROR(LOOKUP(2,1/((#REF!=oct!$A29)*(#REF!&lt;=oct!AI$3)*(#REF!&gt;=oct!AI$3)),#REF!),IF(WEEKDAY(oct!AI$3,1)=1,"WO","P"))</f>
        <v>P</v>
      </c>
      <c r="AJ29" s="4" t="str">
        <f>IFERROR(LOOKUP(2,1/((#REF!=oct!$A29)*(#REF!&lt;=oct!AJ$3)*(#REF!&gt;=oct!AJ$3)),#REF!),IF(WEEKDAY(oct!AJ$3,1)=1,"WO","P"))</f>
        <v>P</v>
      </c>
      <c r="AK29" s="4">
        <f>COUNTIF(mar!$F29:$AJ29,"WO")</f>
        <v>5</v>
      </c>
      <c r="AL29" s="4">
        <f>COUNTIF(mar!$F29:$AJ29,"H")</f>
        <v>2</v>
      </c>
      <c r="AM29" s="4">
        <f>COUNTIF(mar!$F29:$AJ29,"pl")</f>
        <v>0</v>
      </c>
      <c r="AN29" s="4">
        <f>COUNTIF(mar!$F29:$AJ29,"LWP")</f>
        <v>0</v>
      </c>
      <c r="AO29" s="4">
        <f>COUNTIF(mar!$F29:$AJ29,"HD")</f>
        <v>0</v>
      </c>
      <c r="AP29" s="4">
        <f>COUNTIF(mar!$F29:$AJ29,"SL")</f>
        <v>0</v>
      </c>
      <c r="AQ29" s="4">
        <f>COUNTIF(mar!$F29:$AJ29,"CL")</f>
        <v>0</v>
      </c>
      <c r="AR29" s="4">
        <f>COUNTIF(mar!$F29:$AJ29,"A")</f>
        <v>0</v>
      </c>
      <c r="AS29" s="4">
        <f>COUNTIF(mar!$F29:$AJ29,"P")</f>
        <v>24</v>
      </c>
      <c r="AT29" s="4">
        <f t="shared" si="2"/>
        <v>31</v>
      </c>
      <c r="AU29" s="4">
        <f t="shared" si="3"/>
        <v>31</v>
      </c>
      <c r="AV29" s="4">
        <f>SUMIFS(holly!$L$2:$L$122,holly!$I$2:$I$122,mar!$A29,holly!$K$2:$K$122,"Mar")</f>
        <v>0</v>
      </c>
    </row>
    <row r="30" spans="1:48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IFERROR(LOOKUP(2,1/((#REF!=oct!$A30)*(#REF!&lt;=oct!F$3)*(#REF!&gt;=oct!F$3)),#REF!),IF(WEEKDAY(oct!F$3,1)=1,"WO","P"))</f>
        <v>P</v>
      </c>
      <c r="G30" s="4" t="str">
        <f>IFERROR(LOOKUP(2,1/((#REF!=oct!$A30)*(#REF!&lt;=oct!G$3)*(#REF!&gt;=oct!G$3)),#REF!),IF(WEEKDAY(oct!G$3,1)=1,"WO","P"))</f>
        <v>P</v>
      </c>
      <c r="H30" s="4" t="str">
        <f>IFERROR(LOOKUP(2,1/((#REF!=oct!$A30)*(#REF!&lt;=oct!H$3)*(#REF!&gt;=oct!H$3)),#REF!),IF(WEEKDAY(oct!H$3,1)=1,"WO","P"))</f>
        <v>P</v>
      </c>
      <c r="I30" s="4" t="str">
        <f>IFERROR(LOOKUP(2,1/((#REF!=oct!$A30)*(#REF!&lt;=oct!I$3)*(#REF!&gt;=oct!I$3)),#REF!),IF(WEEKDAY(oct!I$3,1)=1,"WO","P"))</f>
        <v>WO</v>
      </c>
      <c r="J30" s="4" t="str">
        <f>IFERROR(LOOKUP(2,1/((#REF!=oct!$A30)*(#REF!&lt;=oct!J$3)*(#REF!&gt;=oct!J$3)),#REF!),IF(WEEKDAY(oct!J$3,1)=1,"WO","P"))</f>
        <v>P</v>
      </c>
      <c r="K30" s="4" t="str">
        <f>IFERROR(LOOKUP(2,1/((#REF!=oct!$A30)*(#REF!&lt;=oct!K$3)*(#REF!&gt;=oct!K$3)),#REF!),IF(WEEKDAY(oct!K$3,1)=1,"WO","P"))</f>
        <v>P</v>
      </c>
      <c r="L30" s="4" t="str">
        <f>IFERROR(LOOKUP(2,1/((#REF!=oct!$A30)*(#REF!&lt;=oct!L$3)*(#REF!&gt;=oct!L$3)),#REF!),IF(WEEKDAY(oct!L$3,1)=1,"WO","P"))</f>
        <v>P</v>
      </c>
      <c r="M30" s="4" t="str">
        <f>IFERROR(LOOKUP(2,1/((#REF!=oct!$A30)*(#REF!&lt;=oct!M$3)*(#REF!&gt;=oct!M$3)),#REF!),IF(WEEKDAY(oct!M$3,1)=1,"WO","P"))</f>
        <v>P</v>
      </c>
      <c r="N30" s="4" t="str">
        <f>IFERROR(LOOKUP(2,1/((#REF!=oct!$A30)*(#REF!&lt;=oct!N$3)*(#REF!&gt;=oct!N$3)),#REF!),IF(WEEKDAY(oct!N$3,1)=1,"WO","P"))</f>
        <v>P</v>
      </c>
      <c r="O30" s="4" t="str">
        <f>IFERROR(LOOKUP(2,1/((#REF!=oct!$A30)*(#REF!&lt;=oct!O$3)*(#REF!&gt;=oct!O$3)),#REF!),IF(WEEKDAY(oct!O$3,1)=1,"WO","P"))</f>
        <v>P</v>
      </c>
      <c r="P30" s="4" t="str">
        <f>IFERROR(LOOKUP(2,1/((#REF!=oct!$A30)*(#REF!&lt;=oct!P$3)*(#REF!&gt;=oct!P$3)),#REF!),IF(WEEKDAY(oct!P$3,1)=1,"WO","P"))</f>
        <v>WO</v>
      </c>
      <c r="Q30" s="4" t="str">
        <f>IFERROR(LOOKUP(2,1/((#REF!=oct!$A30)*(#REF!&lt;=oct!Q$3)*(#REF!&gt;=oct!Q$3)),#REF!),IF(WEEKDAY(oct!Q$3,1)=1,"WO","P"))</f>
        <v>P</v>
      </c>
      <c r="R30" s="4" t="str">
        <f>IFERROR(LOOKUP(2,1/((#REF!=oct!$A30)*(#REF!&lt;=oct!R$3)*(#REF!&gt;=oct!R$3)),#REF!),IF(WEEKDAY(oct!R$3,1)=1,"WO","P"))</f>
        <v>P</v>
      </c>
      <c r="S30" s="4" t="str">
        <f>IFERROR(LOOKUP(2,1/((#REF!=oct!$A30)*(#REF!&lt;=oct!S$3)*(#REF!&gt;=oct!S$3)),#REF!),IF(WEEKDAY(oct!S$3,1)=1,"WO","P"))</f>
        <v>P</v>
      </c>
      <c r="T30" s="4" t="str">
        <f>IFERROR(LOOKUP(2,1/((#REF!=oct!$A30)*(#REF!&lt;=oct!T$3)*(#REF!&gt;=oct!T$3)),#REF!),IF(WEEKDAY(oct!T$3,1)=1,"WO","P"))</f>
        <v>P</v>
      </c>
      <c r="U30" s="4" t="str">
        <f>IFERROR(LOOKUP(2,1/((#REF!=oct!$A30)*(#REF!&lt;=oct!U$3)*(#REF!&gt;=oct!U$3)),#REF!),IF(WEEKDAY(oct!U$3,1)=1,"WO","P"))</f>
        <v>P</v>
      </c>
      <c r="V30" s="4" t="str">
        <f>IFERROR(LOOKUP(2,1/((#REF!=oct!$A30)*(#REF!&lt;=oct!V$3)*(#REF!&gt;=oct!V$3)),#REF!),IF(WEEKDAY(oct!V$3,1)=1,"WO","P"))</f>
        <v>P</v>
      </c>
      <c r="W30" s="4" t="str">
        <f>IFERROR(LOOKUP(2,1/((#REF!=oct!$A30)*(#REF!&lt;=oct!W$3)*(#REF!&gt;=oct!W$3)),#REF!),IF(WEEKDAY(oct!W$3,1)=1,"WO","P"))</f>
        <v>WO</v>
      </c>
      <c r="X30" s="4" t="str">
        <f>IFERROR(LOOKUP(2,1/((#REF!=oct!$A30)*(#REF!&lt;=oct!X$3)*(#REF!&gt;=oct!X$3)),#REF!),IF(WEEKDAY(oct!X$3,1)=1,"WO","P"))</f>
        <v>P</v>
      </c>
      <c r="Y30" s="4" t="str">
        <f>IFERROR(LOOKUP(2,1/((#REF!=oct!$A30)*(#REF!&lt;=oct!Y$3)*(#REF!&gt;=oct!Y$3)),#REF!),IF(WEEKDAY(oct!Y$3,1)=1,"WO","P"))</f>
        <v>P</v>
      </c>
      <c r="Z30" s="4" t="str">
        <f>IFERROR(LOOKUP(2,1/((#REF!=oct!$A30)*(#REF!&lt;=oct!Z$3)*(#REF!&gt;=oct!Z$3)),#REF!),IF(WEEKDAY(oct!Z$3,1)=1,"WO","P"))</f>
        <v>P</v>
      </c>
      <c r="AA30" s="4" t="str">
        <f>IFERROR(LOOKUP(2,1/((#REF!=oct!$A30)*(#REF!&lt;=oct!AA$3)*(#REF!&gt;=oct!AA$3)),#REF!),IF(WEEKDAY(oct!AA$3,1)=1,"WO","P"))</f>
        <v>P</v>
      </c>
      <c r="AB30" s="4" t="str">
        <f>IFERROR(LOOKUP(2,1/((#REF!=oct!$A30)*(#REF!&lt;=oct!AB$3)*(#REF!&gt;=oct!AB$3)),#REF!),IF(WEEKDAY(oct!AB$3,1)=1,"WO","P"))</f>
        <v>P</v>
      </c>
      <c r="AC30" s="4" t="str">
        <f>IFERROR(LOOKUP(2,1/((#REF!=oct!$A30)*(#REF!&lt;=oct!AC$3)*(#REF!&gt;=oct!AC$3)),#REF!),IF(WEEKDAY(oct!AC$3,1)=1,"WO","P"))</f>
        <v>P</v>
      </c>
      <c r="AD30" s="4" t="str">
        <f>IFERROR(LOOKUP(2,1/((#REF!=oct!$A30)*(#REF!&lt;=oct!AD$3)*(#REF!&gt;=oct!AD$3)),#REF!),IF(WEEKDAY(oct!AD$3,1)=1,"WO","P"))</f>
        <v>WO</v>
      </c>
      <c r="AE30" s="4" t="str">
        <f>IFERROR(LOOKUP(2,1/((#REF!=oct!$A30)*(#REF!&lt;=oct!AE$3)*(#REF!&gt;=oct!AE$3)),#REF!),IF(WEEKDAY(oct!AE$3,1)=1,"WO","P"))</f>
        <v>P</v>
      </c>
      <c r="AF30" s="4" t="str">
        <f>IFERROR(LOOKUP(2,1/((#REF!=oct!$A30)*(#REF!&lt;=oct!AF$3)*(#REF!&gt;=oct!AF$3)),#REF!),IF(WEEKDAY(oct!AF$3,1)=1,"WO","P"))</f>
        <v>P</v>
      </c>
      <c r="AG30" s="4" t="str">
        <f>IFERROR(LOOKUP(2,1/((#REF!=oct!$A30)*(#REF!&lt;=oct!AG$3)*(#REF!&gt;=oct!AG$3)),#REF!),IF(WEEKDAY(oct!AG$3,1)=1,"WO","P"))</f>
        <v>P</v>
      </c>
      <c r="AH30" s="4" t="str">
        <f>IFERROR(LOOKUP(2,1/((#REF!=oct!$A30)*(#REF!&lt;=oct!AH$3)*(#REF!&gt;=oct!AH$3)),#REF!),IF(WEEKDAY(oct!AH$3,1)=1,"WO","P"))</f>
        <v>P</v>
      </c>
      <c r="AI30" s="4" t="str">
        <f>IFERROR(LOOKUP(2,1/((#REF!=oct!$A30)*(#REF!&lt;=oct!AI$3)*(#REF!&gt;=oct!AI$3)),#REF!),IF(WEEKDAY(oct!AI$3,1)=1,"WO","P"))</f>
        <v>P</v>
      </c>
      <c r="AJ30" s="4" t="str">
        <f>IFERROR(LOOKUP(2,1/((#REF!=oct!$A30)*(#REF!&lt;=oct!AJ$3)*(#REF!&gt;=oct!AJ$3)),#REF!),IF(WEEKDAY(oct!AJ$3,1)=1,"WO","P"))</f>
        <v>P</v>
      </c>
      <c r="AK30" s="4">
        <f>COUNTIF(mar!$F30:$AJ30,"WO")</f>
        <v>5</v>
      </c>
      <c r="AL30" s="4">
        <f>COUNTIF(mar!$F30:$AJ30,"H")</f>
        <v>2</v>
      </c>
      <c r="AM30" s="4">
        <f>COUNTIF(mar!$F30:$AJ30,"pl")</f>
        <v>0</v>
      </c>
      <c r="AN30" s="4">
        <f>COUNTIF(mar!$F30:$AJ30,"LWP")</f>
        <v>0</v>
      </c>
      <c r="AO30" s="4">
        <f>COUNTIF(mar!$F30:$AJ30,"HD")</f>
        <v>0</v>
      </c>
      <c r="AP30" s="4">
        <f>COUNTIF(mar!$F30:$AJ30,"SL")</f>
        <v>2</v>
      </c>
      <c r="AQ30" s="4">
        <f>COUNTIF(mar!$F30:$AJ30,"CL")</f>
        <v>0</v>
      </c>
      <c r="AR30" s="4">
        <f>COUNTIF(mar!$F30:$AJ30,"A")</f>
        <v>0</v>
      </c>
      <c r="AS30" s="4">
        <f>COUNTIF(mar!$F30:$AJ30,"P")</f>
        <v>22</v>
      </c>
      <c r="AT30" s="4">
        <f t="shared" si="2"/>
        <v>31</v>
      </c>
      <c r="AU30" s="4">
        <f t="shared" si="3"/>
        <v>31</v>
      </c>
      <c r="AV30" s="4">
        <f>SUMIFS(holly!$L$2:$L$122,holly!$I$2:$I$122,mar!$A30,holly!$K$2:$K$122,"Mar")</f>
        <v>0</v>
      </c>
    </row>
    <row r="31" spans="1:48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IFERROR(LOOKUP(2,1/((#REF!=oct!$A31)*(#REF!&lt;=oct!F$3)*(#REF!&gt;=oct!F$3)),#REF!),IF(WEEKDAY(oct!F$3,1)=1,"WO","P"))</f>
        <v>P</v>
      </c>
      <c r="G31" s="4" t="str">
        <f>IFERROR(LOOKUP(2,1/((#REF!=oct!$A31)*(#REF!&lt;=oct!G$3)*(#REF!&gt;=oct!G$3)),#REF!),IF(WEEKDAY(oct!G$3,1)=1,"WO","P"))</f>
        <v>P</v>
      </c>
      <c r="H31" s="4" t="str">
        <f>IFERROR(LOOKUP(2,1/((#REF!=oct!$A31)*(#REF!&lt;=oct!H$3)*(#REF!&gt;=oct!H$3)),#REF!),IF(WEEKDAY(oct!H$3,1)=1,"WO","P"))</f>
        <v>P</v>
      </c>
      <c r="I31" s="4" t="str">
        <f>IFERROR(LOOKUP(2,1/((#REF!=oct!$A31)*(#REF!&lt;=oct!I$3)*(#REF!&gt;=oct!I$3)),#REF!),IF(WEEKDAY(oct!I$3,1)=1,"WO","P"))</f>
        <v>WO</v>
      </c>
      <c r="J31" s="4" t="str">
        <f>IFERROR(LOOKUP(2,1/((#REF!=oct!$A31)*(#REF!&lt;=oct!J$3)*(#REF!&gt;=oct!J$3)),#REF!),IF(WEEKDAY(oct!J$3,1)=1,"WO","P"))</f>
        <v>P</v>
      </c>
      <c r="K31" s="4" t="str">
        <f>IFERROR(LOOKUP(2,1/((#REF!=oct!$A31)*(#REF!&lt;=oct!K$3)*(#REF!&gt;=oct!K$3)),#REF!),IF(WEEKDAY(oct!K$3,1)=1,"WO","P"))</f>
        <v>P</v>
      </c>
      <c r="L31" s="4" t="str">
        <f>IFERROR(LOOKUP(2,1/((#REF!=oct!$A31)*(#REF!&lt;=oct!L$3)*(#REF!&gt;=oct!L$3)),#REF!),IF(WEEKDAY(oct!L$3,1)=1,"WO","P"))</f>
        <v>P</v>
      </c>
      <c r="M31" s="4" t="str">
        <f>IFERROR(LOOKUP(2,1/((#REF!=oct!$A31)*(#REF!&lt;=oct!M$3)*(#REF!&gt;=oct!M$3)),#REF!),IF(WEEKDAY(oct!M$3,1)=1,"WO","P"))</f>
        <v>P</v>
      </c>
      <c r="N31" s="4" t="str">
        <f>IFERROR(LOOKUP(2,1/((#REF!=oct!$A31)*(#REF!&lt;=oct!N$3)*(#REF!&gt;=oct!N$3)),#REF!),IF(WEEKDAY(oct!N$3,1)=1,"WO","P"))</f>
        <v>P</v>
      </c>
      <c r="O31" s="4" t="str">
        <f>IFERROR(LOOKUP(2,1/((#REF!=oct!$A31)*(#REF!&lt;=oct!O$3)*(#REF!&gt;=oct!O$3)),#REF!),IF(WEEKDAY(oct!O$3,1)=1,"WO","P"))</f>
        <v>P</v>
      </c>
      <c r="P31" s="4" t="str">
        <f>IFERROR(LOOKUP(2,1/((#REF!=oct!$A31)*(#REF!&lt;=oct!P$3)*(#REF!&gt;=oct!P$3)),#REF!),IF(WEEKDAY(oct!P$3,1)=1,"WO","P"))</f>
        <v>WO</v>
      </c>
      <c r="Q31" s="4" t="str">
        <f>IFERROR(LOOKUP(2,1/((#REF!=oct!$A31)*(#REF!&lt;=oct!Q$3)*(#REF!&gt;=oct!Q$3)),#REF!),IF(WEEKDAY(oct!Q$3,1)=1,"WO","P"))</f>
        <v>P</v>
      </c>
      <c r="R31" s="4" t="str">
        <f>IFERROR(LOOKUP(2,1/((#REF!=oct!$A31)*(#REF!&lt;=oct!R$3)*(#REF!&gt;=oct!R$3)),#REF!),IF(WEEKDAY(oct!R$3,1)=1,"WO","P"))</f>
        <v>P</v>
      </c>
      <c r="S31" s="4" t="str">
        <f>IFERROR(LOOKUP(2,1/((#REF!=oct!$A31)*(#REF!&lt;=oct!S$3)*(#REF!&gt;=oct!S$3)),#REF!),IF(WEEKDAY(oct!S$3,1)=1,"WO","P"))</f>
        <v>P</v>
      </c>
      <c r="T31" s="4" t="str">
        <f>IFERROR(LOOKUP(2,1/((#REF!=oct!$A31)*(#REF!&lt;=oct!T$3)*(#REF!&gt;=oct!T$3)),#REF!),IF(WEEKDAY(oct!T$3,1)=1,"WO","P"))</f>
        <v>P</v>
      </c>
      <c r="U31" s="4" t="str">
        <f>IFERROR(LOOKUP(2,1/((#REF!=oct!$A31)*(#REF!&lt;=oct!U$3)*(#REF!&gt;=oct!U$3)),#REF!),IF(WEEKDAY(oct!U$3,1)=1,"WO","P"))</f>
        <v>P</v>
      </c>
      <c r="V31" s="4" t="str">
        <f>IFERROR(LOOKUP(2,1/((#REF!=oct!$A31)*(#REF!&lt;=oct!V$3)*(#REF!&gt;=oct!V$3)),#REF!),IF(WEEKDAY(oct!V$3,1)=1,"WO","P"))</f>
        <v>P</v>
      </c>
      <c r="W31" s="4" t="str">
        <f>IFERROR(LOOKUP(2,1/((#REF!=oct!$A31)*(#REF!&lt;=oct!W$3)*(#REF!&gt;=oct!W$3)),#REF!),IF(WEEKDAY(oct!W$3,1)=1,"WO","P"))</f>
        <v>WO</v>
      </c>
      <c r="X31" s="4" t="str">
        <f>IFERROR(LOOKUP(2,1/((#REF!=oct!$A31)*(#REF!&lt;=oct!X$3)*(#REF!&gt;=oct!X$3)),#REF!),IF(WEEKDAY(oct!X$3,1)=1,"WO","P"))</f>
        <v>P</v>
      </c>
      <c r="Y31" s="4" t="str">
        <f>IFERROR(LOOKUP(2,1/((#REF!=oct!$A31)*(#REF!&lt;=oct!Y$3)*(#REF!&gt;=oct!Y$3)),#REF!),IF(WEEKDAY(oct!Y$3,1)=1,"WO","P"))</f>
        <v>P</v>
      </c>
      <c r="Z31" s="4" t="str">
        <f>IFERROR(LOOKUP(2,1/((#REF!=oct!$A31)*(#REF!&lt;=oct!Z$3)*(#REF!&gt;=oct!Z$3)),#REF!),IF(WEEKDAY(oct!Z$3,1)=1,"WO","P"))</f>
        <v>P</v>
      </c>
      <c r="AA31" s="4" t="str">
        <f>IFERROR(LOOKUP(2,1/((#REF!=oct!$A31)*(#REF!&lt;=oct!AA$3)*(#REF!&gt;=oct!AA$3)),#REF!),IF(WEEKDAY(oct!AA$3,1)=1,"WO","P"))</f>
        <v>P</v>
      </c>
      <c r="AB31" s="4" t="str">
        <f>IFERROR(LOOKUP(2,1/((#REF!=oct!$A31)*(#REF!&lt;=oct!AB$3)*(#REF!&gt;=oct!AB$3)),#REF!),IF(WEEKDAY(oct!AB$3,1)=1,"WO","P"))</f>
        <v>P</v>
      </c>
      <c r="AC31" s="4" t="str">
        <f>IFERROR(LOOKUP(2,1/((#REF!=oct!$A31)*(#REF!&lt;=oct!AC$3)*(#REF!&gt;=oct!AC$3)),#REF!),IF(WEEKDAY(oct!AC$3,1)=1,"WO","P"))</f>
        <v>P</v>
      </c>
      <c r="AD31" s="4" t="str">
        <f>IFERROR(LOOKUP(2,1/((#REF!=oct!$A31)*(#REF!&lt;=oct!AD$3)*(#REF!&gt;=oct!AD$3)),#REF!),IF(WEEKDAY(oct!AD$3,1)=1,"WO","P"))</f>
        <v>WO</v>
      </c>
      <c r="AE31" s="4" t="str">
        <f>IFERROR(LOOKUP(2,1/((#REF!=oct!$A31)*(#REF!&lt;=oct!AE$3)*(#REF!&gt;=oct!AE$3)),#REF!),IF(WEEKDAY(oct!AE$3,1)=1,"WO","P"))</f>
        <v>P</v>
      </c>
      <c r="AF31" s="4" t="str">
        <f>IFERROR(LOOKUP(2,1/((#REF!=oct!$A31)*(#REF!&lt;=oct!AF$3)*(#REF!&gt;=oct!AF$3)),#REF!),IF(WEEKDAY(oct!AF$3,1)=1,"WO","P"))</f>
        <v>P</v>
      </c>
      <c r="AG31" s="4" t="str">
        <f>IFERROR(LOOKUP(2,1/((#REF!=oct!$A31)*(#REF!&lt;=oct!AG$3)*(#REF!&gt;=oct!AG$3)),#REF!),IF(WEEKDAY(oct!AG$3,1)=1,"WO","P"))</f>
        <v>P</v>
      </c>
      <c r="AH31" s="4" t="str">
        <f>IFERROR(LOOKUP(2,1/((#REF!=oct!$A31)*(#REF!&lt;=oct!AH$3)*(#REF!&gt;=oct!AH$3)),#REF!),IF(WEEKDAY(oct!AH$3,1)=1,"WO","P"))</f>
        <v>P</v>
      </c>
      <c r="AI31" s="4" t="str">
        <f>IFERROR(LOOKUP(2,1/((#REF!=oct!$A31)*(#REF!&lt;=oct!AI$3)*(#REF!&gt;=oct!AI$3)),#REF!),IF(WEEKDAY(oct!AI$3,1)=1,"WO","P"))</f>
        <v>P</v>
      </c>
      <c r="AJ31" s="4" t="str">
        <f>IFERROR(LOOKUP(2,1/((#REF!=oct!$A31)*(#REF!&lt;=oct!AJ$3)*(#REF!&gt;=oct!AJ$3)),#REF!),IF(WEEKDAY(oct!AJ$3,1)=1,"WO","P"))</f>
        <v>P</v>
      </c>
      <c r="AK31" s="4">
        <f>COUNTIF(mar!$F31:$AJ31,"WO")</f>
        <v>5</v>
      </c>
      <c r="AL31" s="4">
        <f>COUNTIF(mar!$F31:$AJ31,"H")</f>
        <v>2</v>
      </c>
      <c r="AM31" s="4">
        <f>COUNTIF(mar!$F31:$AJ31,"pl")</f>
        <v>0</v>
      </c>
      <c r="AN31" s="4">
        <f>COUNTIF(mar!$F31:$AJ31,"LWP")</f>
        <v>0</v>
      </c>
      <c r="AO31" s="4">
        <f>COUNTIF(mar!$F31:$AJ31,"HD")</f>
        <v>0</v>
      </c>
      <c r="AP31" s="4">
        <f>COUNTIF(mar!$F31:$AJ31,"SL")</f>
        <v>0</v>
      </c>
      <c r="AQ31" s="4">
        <f>COUNTIF(mar!$F31:$AJ31,"CL")</f>
        <v>0</v>
      </c>
      <c r="AR31" s="4">
        <f>COUNTIF(mar!$F31:$AJ31,"A")</f>
        <v>0</v>
      </c>
      <c r="AS31" s="4">
        <f>COUNTIF(mar!$F31:$AJ31,"P")</f>
        <v>24</v>
      </c>
      <c r="AT31" s="4">
        <f t="shared" si="2"/>
        <v>31</v>
      </c>
      <c r="AU31" s="4">
        <f t="shared" si="3"/>
        <v>31</v>
      </c>
      <c r="AV31" s="4">
        <f>SUMIFS(holly!$L$2:$L$122,holly!$I$2:$I$122,mar!$A31,holly!$K$2:$K$122,"Mar")</f>
        <v>0</v>
      </c>
    </row>
    <row r="32" spans="1:48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IFERROR(LOOKUP(2,1/((#REF!=oct!$A32)*(#REF!&lt;=oct!F$3)*(#REF!&gt;=oct!F$3)),#REF!),IF(WEEKDAY(oct!F$3,1)=1,"WO","P"))</f>
        <v>P</v>
      </c>
      <c r="G32" s="4" t="str">
        <f>IFERROR(LOOKUP(2,1/((#REF!=oct!$A32)*(#REF!&lt;=oct!G$3)*(#REF!&gt;=oct!G$3)),#REF!),IF(WEEKDAY(oct!G$3,1)=1,"WO","P"))</f>
        <v>P</v>
      </c>
      <c r="H32" s="4" t="str">
        <f>IFERROR(LOOKUP(2,1/((#REF!=oct!$A32)*(#REF!&lt;=oct!H$3)*(#REF!&gt;=oct!H$3)),#REF!),IF(WEEKDAY(oct!H$3,1)=1,"WO","P"))</f>
        <v>P</v>
      </c>
      <c r="I32" s="4" t="str">
        <f>IFERROR(LOOKUP(2,1/((#REF!=oct!$A32)*(#REF!&lt;=oct!I$3)*(#REF!&gt;=oct!I$3)),#REF!),IF(WEEKDAY(oct!I$3,1)=1,"WO","P"))</f>
        <v>WO</v>
      </c>
      <c r="J32" s="4" t="str">
        <f>IFERROR(LOOKUP(2,1/((#REF!=oct!$A32)*(#REF!&lt;=oct!J$3)*(#REF!&gt;=oct!J$3)),#REF!),IF(WEEKDAY(oct!J$3,1)=1,"WO","P"))</f>
        <v>P</v>
      </c>
      <c r="K32" s="4" t="str">
        <f>IFERROR(LOOKUP(2,1/((#REF!=oct!$A32)*(#REF!&lt;=oct!K$3)*(#REF!&gt;=oct!K$3)),#REF!),IF(WEEKDAY(oct!K$3,1)=1,"WO","P"))</f>
        <v>P</v>
      </c>
      <c r="L32" s="4" t="str">
        <f>IFERROR(LOOKUP(2,1/((#REF!=oct!$A32)*(#REF!&lt;=oct!L$3)*(#REF!&gt;=oct!L$3)),#REF!),IF(WEEKDAY(oct!L$3,1)=1,"WO","P"))</f>
        <v>P</v>
      </c>
      <c r="M32" s="4" t="str">
        <f>IFERROR(LOOKUP(2,1/((#REF!=oct!$A32)*(#REF!&lt;=oct!M$3)*(#REF!&gt;=oct!M$3)),#REF!),IF(WEEKDAY(oct!M$3,1)=1,"WO","P"))</f>
        <v>P</v>
      </c>
      <c r="N32" s="4" t="str">
        <f>IFERROR(LOOKUP(2,1/((#REF!=oct!$A32)*(#REF!&lt;=oct!N$3)*(#REF!&gt;=oct!N$3)),#REF!),IF(WEEKDAY(oct!N$3,1)=1,"WO","P"))</f>
        <v>P</v>
      </c>
      <c r="O32" s="4" t="str">
        <f>IFERROR(LOOKUP(2,1/((#REF!=oct!$A32)*(#REF!&lt;=oct!O$3)*(#REF!&gt;=oct!O$3)),#REF!),IF(WEEKDAY(oct!O$3,1)=1,"WO","P"))</f>
        <v>P</v>
      </c>
      <c r="P32" s="4" t="str">
        <f>IFERROR(LOOKUP(2,1/((#REF!=oct!$A32)*(#REF!&lt;=oct!P$3)*(#REF!&gt;=oct!P$3)),#REF!),IF(WEEKDAY(oct!P$3,1)=1,"WO","P"))</f>
        <v>WO</v>
      </c>
      <c r="Q32" s="4" t="str">
        <f>IFERROR(LOOKUP(2,1/((#REF!=oct!$A32)*(#REF!&lt;=oct!Q$3)*(#REF!&gt;=oct!Q$3)),#REF!),IF(WEEKDAY(oct!Q$3,1)=1,"WO","P"))</f>
        <v>P</v>
      </c>
      <c r="R32" s="4" t="str">
        <f>IFERROR(LOOKUP(2,1/((#REF!=oct!$A32)*(#REF!&lt;=oct!R$3)*(#REF!&gt;=oct!R$3)),#REF!),IF(WEEKDAY(oct!R$3,1)=1,"WO","P"))</f>
        <v>P</v>
      </c>
      <c r="S32" s="4" t="str">
        <f>IFERROR(LOOKUP(2,1/((#REF!=oct!$A32)*(#REF!&lt;=oct!S$3)*(#REF!&gt;=oct!S$3)),#REF!),IF(WEEKDAY(oct!S$3,1)=1,"WO","P"))</f>
        <v>P</v>
      </c>
      <c r="T32" s="4" t="str">
        <f>IFERROR(LOOKUP(2,1/((#REF!=oct!$A32)*(#REF!&lt;=oct!T$3)*(#REF!&gt;=oct!T$3)),#REF!),IF(WEEKDAY(oct!T$3,1)=1,"WO","P"))</f>
        <v>P</v>
      </c>
      <c r="U32" s="4" t="str">
        <f>IFERROR(LOOKUP(2,1/((#REF!=oct!$A32)*(#REF!&lt;=oct!U$3)*(#REF!&gt;=oct!U$3)),#REF!),IF(WEEKDAY(oct!U$3,1)=1,"WO","P"))</f>
        <v>P</v>
      </c>
      <c r="V32" s="4" t="str">
        <f>IFERROR(LOOKUP(2,1/((#REF!=oct!$A32)*(#REF!&lt;=oct!V$3)*(#REF!&gt;=oct!V$3)),#REF!),IF(WEEKDAY(oct!V$3,1)=1,"WO","P"))</f>
        <v>P</v>
      </c>
      <c r="W32" s="4" t="str">
        <f>IFERROR(LOOKUP(2,1/((#REF!=oct!$A32)*(#REF!&lt;=oct!W$3)*(#REF!&gt;=oct!W$3)),#REF!),IF(WEEKDAY(oct!W$3,1)=1,"WO","P"))</f>
        <v>WO</v>
      </c>
      <c r="X32" s="4" t="str">
        <f>IFERROR(LOOKUP(2,1/((#REF!=oct!$A32)*(#REF!&lt;=oct!X$3)*(#REF!&gt;=oct!X$3)),#REF!),IF(WEEKDAY(oct!X$3,1)=1,"WO","P"))</f>
        <v>P</v>
      </c>
      <c r="Y32" s="4" t="str">
        <f>IFERROR(LOOKUP(2,1/((#REF!=oct!$A32)*(#REF!&lt;=oct!Y$3)*(#REF!&gt;=oct!Y$3)),#REF!),IF(WEEKDAY(oct!Y$3,1)=1,"WO","P"))</f>
        <v>P</v>
      </c>
      <c r="Z32" s="4" t="str">
        <f>IFERROR(LOOKUP(2,1/((#REF!=oct!$A32)*(#REF!&lt;=oct!Z$3)*(#REF!&gt;=oct!Z$3)),#REF!),IF(WEEKDAY(oct!Z$3,1)=1,"WO","P"))</f>
        <v>P</v>
      </c>
      <c r="AA32" s="4" t="str">
        <f>IFERROR(LOOKUP(2,1/((#REF!=oct!$A32)*(#REF!&lt;=oct!AA$3)*(#REF!&gt;=oct!AA$3)),#REF!),IF(WEEKDAY(oct!AA$3,1)=1,"WO","P"))</f>
        <v>P</v>
      </c>
      <c r="AB32" s="4" t="str">
        <f>IFERROR(LOOKUP(2,1/((#REF!=oct!$A32)*(#REF!&lt;=oct!AB$3)*(#REF!&gt;=oct!AB$3)),#REF!),IF(WEEKDAY(oct!AB$3,1)=1,"WO","P"))</f>
        <v>P</v>
      </c>
      <c r="AC32" s="4" t="str">
        <f>IFERROR(LOOKUP(2,1/((#REF!=oct!$A32)*(#REF!&lt;=oct!AC$3)*(#REF!&gt;=oct!AC$3)),#REF!),IF(WEEKDAY(oct!AC$3,1)=1,"WO","P"))</f>
        <v>P</v>
      </c>
      <c r="AD32" s="4" t="str">
        <f>IFERROR(LOOKUP(2,1/((#REF!=oct!$A32)*(#REF!&lt;=oct!AD$3)*(#REF!&gt;=oct!AD$3)),#REF!),IF(WEEKDAY(oct!AD$3,1)=1,"WO","P"))</f>
        <v>WO</v>
      </c>
      <c r="AE32" s="4" t="str">
        <f>IFERROR(LOOKUP(2,1/((#REF!=oct!$A32)*(#REF!&lt;=oct!AE$3)*(#REF!&gt;=oct!AE$3)),#REF!),IF(WEEKDAY(oct!AE$3,1)=1,"WO","P"))</f>
        <v>P</v>
      </c>
      <c r="AF32" s="4" t="str">
        <f>IFERROR(LOOKUP(2,1/((#REF!=oct!$A32)*(#REF!&lt;=oct!AF$3)*(#REF!&gt;=oct!AF$3)),#REF!),IF(WEEKDAY(oct!AF$3,1)=1,"WO","P"))</f>
        <v>P</v>
      </c>
      <c r="AG32" s="4" t="str">
        <f>IFERROR(LOOKUP(2,1/((#REF!=oct!$A32)*(#REF!&lt;=oct!AG$3)*(#REF!&gt;=oct!AG$3)),#REF!),IF(WEEKDAY(oct!AG$3,1)=1,"WO","P"))</f>
        <v>P</v>
      </c>
      <c r="AH32" s="4" t="str">
        <f>IFERROR(LOOKUP(2,1/((#REF!=oct!$A32)*(#REF!&lt;=oct!AH$3)*(#REF!&gt;=oct!AH$3)),#REF!),IF(WEEKDAY(oct!AH$3,1)=1,"WO","P"))</f>
        <v>P</v>
      </c>
      <c r="AI32" s="4" t="str">
        <f>IFERROR(LOOKUP(2,1/((#REF!=oct!$A32)*(#REF!&lt;=oct!AI$3)*(#REF!&gt;=oct!AI$3)),#REF!),IF(WEEKDAY(oct!AI$3,1)=1,"WO","P"))</f>
        <v>P</v>
      </c>
      <c r="AJ32" s="4" t="str">
        <f>IFERROR(LOOKUP(2,1/((#REF!=oct!$A32)*(#REF!&lt;=oct!AJ$3)*(#REF!&gt;=oct!AJ$3)),#REF!),IF(WEEKDAY(oct!AJ$3,1)=1,"WO","P"))</f>
        <v>P</v>
      </c>
      <c r="AK32" s="4">
        <f>COUNTIF(mar!$F32:$AJ32,"WO")</f>
        <v>5</v>
      </c>
      <c r="AL32" s="4">
        <f>COUNTIF(mar!$F32:$AJ32,"H")</f>
        <v>2</v>
      </c>
      <c r="AM32" s="4">
        <f>COUNTIF(mar!$F32:$AJ32,"pl")</f>
        <v>0</v>
      </c>
      <c r="AN32" s="4">
        <f>COUNTIF(mar!$F32:$AJ32,"LWP")</f>
        <v>0</v>
      </c>
      <c r="AO32" s="4">
        <f>COUNTIF(mar!$F32:$AJ32,"HD")</f>
        <v>0</v>
      </c>
      <c r="AP32" s="4">
        <f>COUNTIF(mar!$F32:$AJ32,"SL")</f>
        <v>0</v>
      </c>
      <c r="AQ32" s="4">
        <f>COUNTIF(mar!$F32:$AJ32,"CL")</f>
        <v>0</v>
      </c>
      <c r="AR32" s="4">
        <f>COUNTIF(mar!$F32:$AJ32,"A")</f>
        <v>1</v>
      </c>
      <c r="AS32" s="4">
        <f>COUNTIF(mar!$F32:$AJ32,"P")</f>
        <v>23</v>
      </c>
      <c r="AT32" s="4">
        <f t="shared" si="2"/>
        <v>31</v>
      </c>
      <c r="AU32" s="4">
        <f t="shared" si="3"/>
        <v>30</v>
      </c>
      <c r="AV32" s="4">
        <f>SUMIFS(holly!$L$2:$L$122,holly!$I$2:$I$122,mar!$A32,holly!$K$2:$K$122,"Mar")</f>
        <v>0</v>
      </c>
    </row>
    <row r="33" spans="1:48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IFERROR(LOOKUP(2,1/((#REF!=oct!$A33)*(#REF!&lt;=oct!F$3)*(#REF!&gt;=oct!F$3)),#REF!),IF(WEEKDAY(oct!F$3,1)=1,"WO","P"))</f>
        <v>P</v>
      </c>
      <c r="G33" s="4" t="str">
        <f>IFERROR(LOOKUP(2,1/((#REF!=oct!$A33)*(#REF!&lt;=oct!G$3)*(#REF!&gt;=oct!G$3)),#REF!),IF(WEEKDAY(oct!G$3,1)=1,"WO","P"))</f>
        <v>P</v>
      </c>
      <c r="H33" s="4" t="str">
        <f>IFERROR(LOOKUP(2,1/((#REF!=oct!$A33)*(#REF!&lt;=oct!H$3)*(#REF!&gt;=oct!H$3)),#REF!),IF(WEEKDAY(oct!H$3,1)=1,"WO","P"))</f>
        <v>P</v>
      </c>
      <c r="I33" s="4" t="str">
        <f>IFERROR(LOOKUP(2,1/((#REF!=oct!$A33)*(#REF!&lt;=oct!I$3)*(#REF!&gt;=oct!I$3)),#REF!),IF(WEEKDAY(oct!I$3,1)=1,"WO","P"))</f>
        <v>WO</v>
      </c>
      <c r="J33" s="4" t="str">
        <f>IFERROR(LOOKUP(2,1/((#REF!=oct!$A33)*(#REF!&lt;=oct!J$3)*(#REF!&gt;=oct!J$3)),#REF!),IF(WEEKDAY(oct!J$3,1)=1,"WO","P"))</f>
        <v>P</v>
      </c>
      <c r="K33" s="4" t="str">
        <f>IFERROR(LOOKUP(2,1/((#REF!=oct!$A33)*(#REF!&lt;=oct!K$3)*(#REF!&gt;=oct!K$3)),#REF!),IF(WEEKDAY(oct!K$3,1)=1,"WO","P"))</f>
        <v>P</v>
      </c>
      <c r="L33" s="4" t="str">
        <f>IFERROR(LOOKUP(2,1/((#REF!=oct!$A33)*(#REF!&lt;=oct!L$3)*(#REF!&gt;=oct!L$3)),#REF!),IF(WEEKDAY(oct!L$3,1)=1,"WO","P"))</f>
        <v>P</v>
      </c>
      <c r="M33" s="4" t="str">
        <f>IFERROR(LOOKUP(2,1/((#REF!=oct!$A33)*(#REF!&lt;=oct!M$3)*(#REF!&gt;=oct!M$3)),#REF!),IF(WEEKDAY(oct!M$3,1)=1,"WO","P"))</f>
        <v>P</v>
      </c>
      <c r="N33" s="4" t="str">
        <f>IFERROR(LOOKUP(2,1/((#REF!=oct!$A33)*(#REF!&lt;=oct!N$3)*(#REF!&gt;=oct!N$3)),#REF!),IF(WEEKDAY(oct!N$3,1)=1,"WO","P"))</f>
        <v>P</v>
      </c>
      <c r="O33" s="4" t="str">
        <f>IFERROR(LOOKUP(2,1/((#REF!=oct!$A33)*(#REF!&lt;=oct!O$3)*(#REF!&gt;=oct!O$3)),#REF!),IF(WEEKDAY(oct!O$3,1)=1,"WO","P"))</f>
        <v>P</v>
      </c>
      <c r="P33" s="4" t="str">
        <f>IFERROR(LOOKUP(2,1/((#REF!=oct!$A33)*(#REF!&lt;=oct!P$3)*(#REF!&gt;=oct!P$3)),#REF!),IF(WEEKDAY(oct!P$3,1)=1,"WO","P"))</f>
        <v>WO</v>
      </c>
      <c r="Q33" s="4" t="str">
        <f>IFERROR(LOOKUP(2,1/((#REF!=oct!$A33)*(#REF!&lt;=oct!Q$3)*(#REF!&gt;=oct!Q$3)),#REF!),IF(WEEKDAY(oct!Q$3,1)=1,"WO","P"))</f>
        <v>P</v>
      </c>
      <c r="R33" s="4" t="str">
        <f>IFERROR(LOOKUP(2,1/((#REF!=oct!$A33)*(#REF!&lt;=oct!R$3)*(#REF!&gt;=oct!R$3)),#REF!),IF(WEEKDAY(oct!R$3,1)=1,"WO","P"))</f>
        <v>P</v>
      </c>
      <c r="S33" s="4" t="str">
        <f>IFERROR(LOOKUP(2,1/((#REF!=oct!$A33)*(#REF!&lt;=oct!S$3)*(#REF!&gt;=oct!S$3)),#REF!),IF(WEEKDAY(oct!S$3,1)=1,"WO","P"))</f>
        <v>P</v>
      </c>
      <c r="T33" s="4" t="str">
        <f>IFERROR(LOOKUP(2,1/((#REF!=oct!$A33)*(#REF!&lt;=oct!T$3)*(#REF!&gt;=oct!T$3)),#REF!),IF(WEEKDAY(oct!T$3,1)=1,"WO","P"))</f>
        <v>P</v>
      </c>
      <c r="U33" s="4" t="str">
        <f>IFERROR(LOOKUP(2,1/((#REF!=oct!$A33)*(#REF!&lt;=oct!U$3)*(#REF!&gt;=oct!U$3)),#REF!),IF(WEEKDAY(oct!U$3,1)=1,"WO","P"))</f>
        <v>P</v>
      </c>
      <c r="V33" s="4" t="str">
        <f>IFERROR(LOOKUP(2,1/((#REF!=oct!$A33)*(#REF!&lt;=oct!V$3)*(#REF!&gt;=oct!V$3)),#REF!),IF(WEEKDAY(oct!V$3,1)=1,"WO","P"))</f>
        <v>P</v>
      </c>
      <c r="W33" s="4" t="str">
        <f>IFERROR(LOOKUP(2,1/((#REF!=oct!$A33)*(#REF!&lt;=oct!W$3)*(#REF!&gt;=oct!W$3)),#REF!),IF(WEEKDAY(oct!W$3,1)=1,"WO","P"))</f>
        <v>WO</v>
      </c>
      <c r="X33" s="4" t="str">
        <f>IFERROR(LOOKUP(2,1/((#REF!=oct!$A33)*(#REF!&lt;=oct!X$3)*(#REF!&gt;=oct!X$3)),#REF!),IF(WEEKDAY(oct!X$3,1)=1,"WO","P"))</f>
        <v>P</v>
      </c>
      <c r="Y33" s="4" t="str">
        <f>IFERROR(LOOKUP(2,1/((#REF!=oct!$A33)*(#REF!&lt;=oct!Y$3)*(#REF!&gt;=oct!Y$3)),#REF!),IF(WEEKDAY(oct!Y$3,1)=1,"WO","P"))</f>
        <v>P</v>
      </c>
      <c r="Z33" s="4" t="str">
        <f>IFERROR(LOOKUP(2,1/((#REF!=oct!$A33)*(#REF!&lt;=oct!Z$3)*(#REF!&gt;=oct!Z$3)),#REF!),IF(WEEKDAY(oct!Z$3,1)=1,"WO","P"))</f>
        <v>P</v>
      </c>
      <c r="AA33" s="4" t="str">
        <f>IFERROR(LOOKUP(2,1/((#REF!=oct!$A33)*(#REF!&lt;=oct!AA$3)*(#REF!&gt;=oct!AA$3)),#REF!),IF(WEEKDAY(oct!AA$3,1)=1,"WO","P"))</f>
        <v>P</v>
      </c>
      <c r="AB33" s="4" t="str">
        <f>IFERROR(LOOKUP(2,1/((#REF!=oct!$A33)*(#REF!&lt;=oct!AB$3)*(#REF!&gt;=oct!AB$3)),#REF!),IF(WEEKDAY(oct!AB$3,1)=1,"WO","P"))</f>
        <v>P</v>
      </c>
      <c r="AC33" s="4" t="str">
        <f>IFERROR(LOOKUP(2,1/((#REF!=oct!$A33)*(#REF!&lt;=oct!AC$3)*(#REF!&gt;=oct!AC$3)),#REF!),IF(WEEKDAY(oct!AC$3,1)=1,"WO","P"))</f>
        <v>P</v>
      </c>
      <c r="AD33" s="4" t="str">
        <f>IFERROR(LOOKUP(2,1/((#REF!=oct!$A33)*(#REF!&lt;=oct!AD$3)*(#REF!&gt;=oct!AD$3)),#REF!),IF(WEEKDAY(oct!AD$3,1)=1,"WO","P"))</f>
        <v>WO</v>
      </c>
      <c r="AE33" s="4" t="str">
        <f>IFERROR(LOOKUP(2,1/((#REF!=oct!$A33)*(#REF!&lt;=oct!AE$3)*(#REF!&gt;=oct!AE$3)),#REF!),IF(WEEKDAY(oct!AE$3,1)=1,"WO","P"))</f>
        <v>P</v>
      </c>
      <c r="AF33" s="4" t="str">
        <f>IFERROR(LOOKUP(2,1/((#REF!=oct!$A33)*(#REF!&lt;=oct!AF$3)*(#REF!&gt;=oct!AF$3)),#REF!),IF(WEEKDAY(oct!AF$3,1)=1,"WO","P"))</f>
        <v>P</v>
      </c>
      <c r="AG33" s="4" t="str">
        <f>IFERROR(LOOKUP(2,1/((#REF!=oct!$A33)*(#REF!&lt;=oct!AG$3)*(#REF!&gt;=oct!AG$3)),#REF!),IF(WEEKDAY(oct!AG$3,1)=1,"WO","P"))</f>
        <v>P</v>
      </c>
      <c r="AH33" s="4" t="str">
        <f>IFERROR(LOOKUP(2,1/((#REF!=oct!$A33)*(#REF!&lt;=oct!AH$3)*(#REF!&gt;=oct!AH$3)),#REF!),IF(WEEKDAY(oct!AH$3,1)=1,"WO","P"))</f>
        <v>P</v>
      </c>
      <c r="AI33" s="4" t="str">
        <f>IFERROR(LOOKUP(2,1/((#REF!=oct!$A33)*(#REF!&lt;=oct!AI$3)*(#REF!&gt;=oct!AI$3)),#REF!),IF(WEEKDAY(oct!AI$3,1)=1,"WO","P"))</f>
        <v>P</v>
      </c>
      <c r="AJ33" s="4" t="str">
        <f>IFERROR(LOOKUP(2,1/((#REF!=oct!$A33)*(#REF!&lt;=oct!AJ$3)*(#REF!&gt;=oct!AJ$3)),#REF!),IF(WEEKDAY(oct!AJ$3,1)=1,"WO","P"))</f>
        <v>P</v>
      </c>
      <c r="AK33" s="4">
        <f>COUNTIF(mar!$F33:$AJ33,"WO")</f>
        <v>5</v>
      </c>
      <c r="AL33" s="4">
        <f>COUNTIF(mar!$F33:$AJ33,"H")</f>
        <v>2</v>
      </c>
      <c r="AM33" s="4">
        <f>COUNTIF(mar!$F33:$AJ33,"pl")</f>
        <v>0</v>
      </c>
      <c r="AN33" s="4">
        <f>COUNTIF(mar!$F33:$AJ33,"LWP")</f>
        <v>0</v>
      </c>
      <c r="AO33" s="4">
        <f>COUNTIF(mar!$F33:$AJ33,"HD")</f>
        <v>0</v>
      </c>
      <c r="AP33" s="4">
        <f>COUNTIF(mar!$F33:$AJ33,"SL")</f>
        <v>0</v>
      </c>
      <c r="AQ33" s="4">
        <f>COUNTIF(mar!$F33:$AJ33,"CL")</f>
        <v>0</v>
      </c>
      <c r="AR33" s="4">
        <f>COUNTIF(mar!$F33:$AJ33,"A")</f>
        <v>0</v>
      </c>
      <c r="AS33" s="4">
        <f>COUNTIF(mar!$F33:$AJ33,"P")</f>
        <v>24</v>
      </c>
      <c r="AT33" s="4">
        <f t="shared" si="2"/>
        <v>31</v>
      </c>
      <c r="AU33" s="4">
        <f t="shared" si="3"/>
        <v>31</v>
      </c>
      <c r="AV33" s="4">
        <f>SUMIFS(holly!$L$2:$L$122,holly!$I$2:$I$122,mar!$A33,holly!$K$2:$K$122,"Mar")</f>
        <v>5</v>
      </c>
    </row>
    <row r="34" spans="1:48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IFERROR(LOOKUP(2,1/((#REF!=oct!$A34)*(#REF!&lt;=oct!F$3)*(#REF!&gt;=oct!F$3)),#REF!),IF(WEEKDAY(oct!F$3,1)=1,"WO","P"))</f>
        <v>P</v>
      </c>
      <c r="G34" s="4" t="str">
        <f>IFERROR(LOOKUP(2,1/((#REF!=oct!$A34)*(#REF!&lt;=oct!G$3)*(#REF!&gt;=oct!G$3)),#REF!),IF(WEEKDAY(oct!G$3,1)=1,"WO","P"))</f>
        <v>P</v>
      </c>
      <c r="H34" s="4" t="str">
        <f>IFERROR(LOOKUP(2,1/((#REF!=oct!$A34)*(#REF!&lt;=oct!H$3)*(#REF!&gt;=oct!H$3)),#REF!),IF(WEEKDAY(oct!H$3,1)=1,"WO","P"))</f>
        <v>P</v>
      </c>
      <c r="I34" s="4" t="str">
        <f>IFERROR(LOOKUP(2,1/((#REF!=oct!$A34)*(#REF!&lt;=oct!I$3)*(#REF!&gt;=oct!I$3)),#REF!),IF(WEEKDAY(oct!I$3,1)=1,"WO","P"))</f>
        <v>WO</v>
      </c>
      <c r="J34" s="4" t="str">
        <f>IFERROR(LOOKUP(2,1/((#REF!=oct!$A34)*(#REF!&lt;=oct!J$3)*(#REF!&gt;=oct!J$3)),#REF!),IF(WEEKDAY(oct!J$3,1)=1,"WO","P"))</f>
        <v>P</v>
      </c>
      <c r="K34" s="4" t="str">
        <f>IFERROR(LOOKUP(2,1/((#REF!=oct!$A34)*(#REF!&lt;=oct!K$3)*(#REF!&gt;=oct!K$3)),#REF!),IF(WEEKDAY(oct!K$3,1)=1,"WO","P"))</f>
        <v>P</v>
      </c>
      <c r="L34" s="4" t="str">
        <f>IFERROR(LOOKUP(2,1/((#REF!=oct!$A34)*(#REF!&lt;=oct!L$3)*(#REF!&gt;=oct!L$3)),#REF!),IF(WEEKDAY(oct!L$3,1)=1,"WO","P"))</f>
        <v>P</v>
      </c>
      <c r="M34" s="4" t="str">
        <f>IFERROR(LOOKUP(2,1/((#REF!=oct!$A34)*(#REF!&lt;=oct!M$3)*(#REF!&gt;=oct!M$3)),#REF!),IF(WEEKDAY(oct!M$3,1)=1,"WO","P"))</f>
        <v>P</v>
      </c>
      <c r="N34" s="4" t="str">
        <f>IFERROR(LOOKUP(2,1/((#REF!=oct!$A34)*(#REF!&lt;=oct!N$3)*(#REF!&gt;=oct!N$3)),#REF!),IF(WEEKDAY(oct!N$3,1)=1,"WO","P"))</f>
        <v>P</v>
      </c>
      <c r="O34" s="4" t="str">
        <f>IFERROR(LOOKUP(2,1/((#REF!=oct!$A34)*(#REF!&lt;=oct!O$3)*(#REF!&gt;=oct!O$3)),#REF!),IF(WEEKDAY(oct!O$3,1)=1,"WO","P"))</f>
        <v>P</v>
      </c>
      <c r="P34" s="4" t="str">
        <f>IFERROR(LOOKUP(2,1/((#REF!=oct!$A34)*(#REF!&lt;=oct!P$3)*(#REF!&gt;=oct!P$3)),#REF!),IF(WEEKDAY(oct!P$3,1)=1,"WO","P"))</f>
        <v>WO</v>
      </c>
      <c r="Q34" s="4" t="str">
        <f>IFERROR(LOOKUP(2,1/((#REF!=oct!$A34)*(#REF!&lt;=oct!Q$3)*(#REF!&gt;=oct!Q$3)),#REF!),IF(WEEKDAY(oct!Q$3,1)=1,"WO","P"))</f>
        <v>P</v>
      </c>
      <c r="R34" s="4" t="str">
        <f>IFERROR(LOOKUP(2,1/((#REF!=oct!$A34)*(#REF!&lt;=oct!R$3)*(#REF!&gt;=oct!R$3)),#REF!),IF(WEEKDAY(oct!R$3,1)=1,"WO","P"))</f>
        <v>P</v>
      </c>
      <c r="S34" s="4" t="str">
        <f>IFERROR(LOOKUP(2,1/((#REF!=oct!$A34)*(#REF!&lt;=oct!S$3)*(#REF!&gt;=oct!S$3)),#REF!),IF(WEEKDAY(oct!S$3,1)=1,"WO","P"))</f>
        <v>P</v>
      </c>
      <c r="T34" s="4" t="str">
        <f>IFERROR(LOOKUP(2,1/((#REF!=oct!$A34)*(#REF!&lt;=oct!T$3)*(#REF!&gt;=oct!T$3)),#REF!),IF(WEEKDAY(oct!T$3,1)=1,"WO","P"))</f>
        <v>P</v>
      </c>
      <c r="U34" s="4" t="str">
        <f>IFERROR(LOOKUP(2,1/((#REF!=oct!$A34)*(#REF!&lt;=oct!U$3)*(#REF!&gt;=oct!U$3)),#REF!),IF(WEEKDAY(oct!U$3,1)=1,"WO","P"))</f>
        <v>P</v>
      </c>
      <c r="V34" s="4" t="str">
        <f>IFERROR(LOOKUP(2,1/((#REF!=oct!$A34)*(#REF!&lt;=oct!V$3)*(#REF!&gt;=oct!V$3)),#REF!),IF(WEEKDAY(oct!V$3,1)=1,"WO","P"))</f>
        <v>P</v>
      </c>
      <c r="W34" s="4" t="str">
        <f>IFERROR(LOOKUP(2,1/((#REF!=oct!$A34)*(#REF!&lt;=oct!W$3)*(#REF!&gt;=oct!W$3)),#REF!),IF(WEEKDAY(oct!W$3,1)=1,"WO","P"))</f>
        <v>WO</v>
      </c>
      <c r="X34" s="4" t="str">
        <f>IFERROR(LOOKUP(2,1/((#REF!=oct!$A34)*(#REF!&lt;=oct!X$3)*(#REF!&gt;=oct!X$3)),#REF!),IF(WEEKDAY(oct!X$3,1)=1,"WO","P"))</f>
        <v>P</v>
      </c>
      <c r="Y34" s="4" t="str">
        <f>IFERROR(LOOKUP(2,1/((#REF!=oct!$A34)*(#REF!&lt;=oct!Y$3)*(#REF!&gt;=oct!Y$3)),#REF!),IF(WEEKDAY(oct!Y$3,1)=1,"WO","P"))</f>
        <v>P</v>
      </c>
      <c r="Z34" s="4" t="str">
        <f>IFERROR(LOOKUP(2,1/((#REF!=oct!$A34)*(#REF!&lt;=oct!Z$3)*(#REF!&gt;=oct!Z$3)),#REF!),IF(WEEKDAY(oct!Z$3,1)=1,"WO","P"))</f>
        <v>P</v>
      </c>
      <c r="AA34" s="4" t="str">
        <f>IFERROR(LOOKUP(2,1/((#REF!=oct!$A34)*(#REF!&lt;=oct!AA$3)*(#REF!&gt;=oct!AA$3)),#REF!),IF(WEEKDAY(oct!AA$3,1)=1,"WO","P"))</f>
        <v>P</v>
      </c>
      <c r="AB34" s="4" t="str">
        <f>IFERROR(LOOKUP(2,1/((#REF!=oct!$A34)*(#REF!&lt;=oct!AB$3)*(#REF!&gt;=oct!AB$3)),#REF!),IF(WEEKDAY(oct!AB$3,1)=1,"WO","P"))</f>
        <v>P</v>
      </c>
      <c r="AC34" s="4" t="str">
        <f>IFERROR(LOOKUP(2,1/((#REF!=oct!$A34)*(#REF!&lt;=oct!AC$3)*(#REF!&gt;=oct!AC$3)),#REF!),IF(WEEKDAY(oct!AC$3,1)=1,"WO","P"))</f>
        <v>P</v>
      </c>
      <c r="AD34" s="4" t="str">
        <f>IFERROR(LOOKUP(2,1/((#REF!=oct!$A34)*(#REF!&lt;=oct!AD$3)*(#REF!&gt;=oct!AD$3)),#REF!),IF(WEEKDAY(oct!AD$3,1)=1,"WO","P"))</f>
        <v>WO</v>
      </c>
      <c r="AE34" s="4" t="str">
        <f>IFERROR(LOOKUP(2,1/((#REF!=oct!$A34)*(#REF!&lt;=oct!AE$3)*(#REF!&gt;=oct!AE$3)),#REF!),IF(WEEKDAY(oct!AE$3,1)=1,"WO","P"))</f>
        <v>P</v>
      </c>
      <c r="AF34" s="4" t="str">
        <f>IFERROR(LOOKUP(2,1/((#REF!=oct!$A34)*(#REF!&lt;=oct!AF$3)*(#REF!&gt;=oct!AF$3)),#REF!),IF(WEEKDAY(oct!AF$3,1)=1,"WO","P"))</f>
        <v>P</v>
      </c>
      <c r="AG34" s="4" t="str">
        <f>IFERROR(LOOKUP(2,1/((#REF!=oct!$A34)*(#REF!&lt;=oct!AG$3)*(#REF!&gt;=oct!AG$3)),#REF!),IF(WEEKDAY(oct!AG$3,1)=1,"WO","P"))</f>
        <v>P</v>
      </c>
      <c r="AH34" s="4" t="str">
        <f>IFERROR(LOOKUP(2,1/((#REF!=oct!$A34)*(#REF!&lt;=oct!AH$3)*(#REF!&gt;=oct!AH$3)),#REF!),IF(WEEKDAY(oct!AH$3,1)=1,"WO","P"))</f>
        <v>P</v>
      </c>
      <c r="AI34" s="4" t="str">
        <f>IFERROR(LOOKUP(2,1/((#REF!=oct!$A34)*(#REF!&lt;=oct!AI$3)*(#REF!&gt;=oct!AI$3)),#REF!),IF(WEEKDAY(oct!AI$3,1)=1,"WO","P"))</f>
        <v>P</v>
      </c>
      <c r="AJ34" s="4" t="str">
        <f>IFERROR(LOOKUP(2,1/((#REF!=oct!$A34)*(#REF!&lt;=oct!AJ$3)*(#REF!&gt;=oct!AJ$3)),#REF!),IF(WEEKDAY(oct!AJ$3,1)=1,"WO","P"))</f>
        <v>P</v>
      </c>
      <c r="AK34" s="4">
        <f>COUNTIF(mar!$F34:$AJ34,"WO")</f>
        <v>5</v>
      </c>
      <c r="AL34" s="4">
        <f>COUNTIF(mar!$F34:$AJ34,"H")</f>
        <v>2</v>
      </c>
      <c r="AM34" s="4">
        <f>COUNTIF(mar!$F34:$AJ34,"pl")</f>
        <v>0</v>
      </c>
      <c r="AN34" s="4">
        <f>COUNTIF(mar!$F34:$AJ34,"LWP")</f>
        <v>1</v>
      </c>
      <c r="AO34" s="4">
        <f>COUNTIF(mar!$F34:$AJ34,"HD")</f>
        <v>0</v>
      </c>
      <c r="AP34" s="4">
        <f>COUNTIF(mar!$F34:$AJ34,"SL")</f>
        <v>0</v>
      </c>
      <c r="AQ34" s="4">
        <f>COUNTIF(mar!$F34:$AJ34,"CL")</f>
        <v>0</v>
      </c>
      <c r="AR34" s="4">
        <f>COUNTIF(mar!$F34:$AJ34,"A")</f>
        <v>0</v>
      </c>
      <c r="AS34" s="4">
        <f>COUNTIF(mar!$F34:$AJ34,"P")</f>
        <v>23</v>
      </c>
      <c r="AT34" s="4">
        <f t="shared" si="2"/>
        <v>31</v>
      </c>
      <c r="AU34" s="4">
        <f t="shared" si="3"/>
        <v>30</v>
      </c>
      <c r="AV34" s="4">
        <f>SUMIFS(holly!$L$2:$L$122,holly!$I$2:$I$122,mar!$A34,holly!$K$2:$K$122,"Mar")</f>
        <v>0</v>
      </c>
    </row>
    <row r="35" spans="1:48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IFERROR(LOOKUP(2,1/((#REF!=oct!$A35)*(#REF!&lt;=oct!F$3)*(#REF!&gt;=oct!F$3)),#REF!),IF(WEEKDAY(oct!F$3,1)=1,"WO","P"))</f>
        <v>P</v>
      </c>
      <c r="G35" s="4" t="str">
        <f>IFERROR(LOOKUP(2,1/((#REF!=oct!$A35)*(#REF!&lt;=oct!G$3)*(#REF!&gt;=oct!G$3)),#REF!),IF(WEEKDAY(oct!G$3,1)=1,"WO","P"))</f>
        <v>P</v>
      </c>
      <c r="H35" s="4" t="str">
        <f>IFERROR(LOOKUP(2,1/((#REF!=oct!$A35)*(#REF!&lt;=oct!H$3)*(#REF!&gt;=oct!H$3)),#REF!),IF(WEEKDAY(oct!H$3,1)=1,"WO","P"))</f>
        <v>P</v>
      </c>
      <c r="I35" s="4" t="str">
        <f>IFERROR(LOOKUP(2,1/((#REF!=oct!$A35)*(#REF!&lt;=oct!I$3)*(#REF!&gt;=oct!I$3)),#REF!),IF(WEEKDAY(oct!I$3,1)=1,"WO","P"))</f>
        <v>WO</v>
      </c>
      <c r="J35" s="4" t="str">
        <f>IFERROR(LOOKUP(2,1/((#REF!=oct!$A35)*(#REF!&lt;=oct!J$3)*(#REF!&gt;=oct!J$3)),#REF!),IF(WEEKDAY(oct!J$3,1)=1,"WO","P"))</f>
        <v>P</v>
      </c>
      <c r="K35" s="4" t="str">
        <f>IFERROR(LOOKUP(2,1/((#REF!=oct!$A35)*(#REF!&lt;=oct!K$3)*(#REF!&gt;=oct!K$3)),#REF!),IF(WEEKDAY(oct!K$3,1)=1,"WO","P"))</f>
        <v>P</v>
      </c>
      <c r="L35" s="4" t="str">
        <f>IFERROR(LOOKUP(2,1/((#REF!=oct!$A35)*(#REF!&lt;=oct!L$3)*(#REF!&gt;=oct!L$3)),#REF!),IF(WEEKDAY(oct!L$3,1)=1,"WO","P"))</f>
        <v>P</v>
      </c>
      <c r="M35" s="4" t="str">
        <f>IFERROR(LOOKUP(2,1/((#REF!=oct!$A35)*(#REF!&lt;=oct!M$3)*(#REF!&gt;=oct!M$3)),#REF!),IF(WEEKDAY(oct!M$3,1)=1,"WO","P"))</f>
        <v>P</v>
      </c>
      <c r="N35" s="4" t="str">
        <f>IFERROR(LOOKUP(2,1/((#REF!=oct!$A35)*(#REF!&lt;=oct!N$3)*(#REF!&gt;=oct!N$3)),#REF!),IF(WEEKDAY(oct!N$3,1)=1,"WO","P"))</f>
        <v>P</v>
      </c>
      <c r="O35" s="4" t="str">
        <f>IFERROR(LOOKUP(2,1/((#REF!=oct!$A35)*(#REF!&lt;=oct!O$3)*(#REF!&gt;=oct!O$3)),#REF!),IF(WEEKDAY(oct!O$3,1)=1,"WO","P"))</f>
        <v>P</v>
      </c>
      <c r="P35" s="4" t="str">
        <f>IFERROR(LOOKUP(2,1/((#REF!=oct!$A35)*(#REF!&lt;=oct!P$3)*(#REF!&gt;=oct!P$3)),#REF!),IF(WEEKDAY(oct!P$3,1)=1,"WO","P"))</f>
        <v>WO</v>
      </c>
      <c r="Q35" s="4" t="str">
        <f>IFERROR(LOOKUP(2,1/((#REF!=oct!$A35)*(#REF!&lt;=oct!Q$3)*(#REF!&gt;=oct!Q$3)),#REF!),IF(WEEKDAY(oct!Q$3,1)=1,"WO","P"))</f>
        <v>P</v>
      </c>
      <c r="R35" s="4" t="str">
        <f>IFERROR(LOOKUP(2,1/((#REF!=oct!$A35)*(#REF!&lt;=oct!R$3)*(#REF!&gt;=oct!R$3)),#REF!),IF(WEEKDAY(oct!R$3,1)=1,"WO","P"))</f>
        <v>P</v>
      </c>
      <c r="S35" s="4" t="str">
        <f>IFERROR(LOOKUP(2,1/((#REF!=oct!$A35)*(#REF!&lt;=oct!S$3)*(#REF!&gt;=oct!S$3)),#REF!),IF(WEEKDAY(oct!S$3,1)=1,"WO","P"))</f>
        <v>P</v>
      </c>
      <c r="T35" s="4" t="str">
        <f>IFERROR(LOOKUP(2,1/((#REF!=oct!$A35)*(#REF!&lt;=oct!T$3)*(#REF!&gt;=oct!T$3)),#REF!),IF(WEEKDAY(oct!T$3,1)=1,"WO","P"))</f>
        <v>P</v>
      </c>
      <c r="U35" s="4" t="str">
        <f>IFERROR(LOOKUP(2,1/((#REF!=oct!$A35)*(#REF!&lt;=oct!U$3)*(#REF!&gt;=oct!U$3)),#REF!),IF(WEEKDAY(oct!U$3,1)=1,"WO","P"))</f>
        <v>P</v>
      </c>
      <c r="V35" s="4" t="str">
        <f>IFERROR(LOOKUP(2,1/((#REF!=oct!$A35)*(#REF!&lt;=oct!V$3)*(#REF!&gt;=oct!V$3)),#REF!),IF(WEEKDAY(oct!V$3,1)=1,"WO","P"))</f>
        <v>P</v>
      </c>
      <c r="W35" s="4" t="str">
        <f>IFERROR(LOOKUP(2,1/((#REF!=oct!$A35)*(#REF!&lt;=oct!W$3)*(#REF!&gt;=oct!W$3)),#REF!),IF(WEEKDAY(oct!W$3,1)=1,"WO","P"))</f>
        <v>WO</v>
      </c>
      <c r="X35" s="4" t="str">
        <f>IFERROR(LOOKUP(2,1/((#REF!=oct!$A35)*(#REF!&lt;=oct!X$3)*(#REF!&gt;=oct!X$3)),#REF!),IF(WEEKDAY(oct!X$3,1)=1,"WO","P"))</f>
        <v>P</v>
      </c>
      <c r="Y35" s="4" t="str">
        <f>IFERROR(LOOKUP(2,1/((#REF!=oct!$A35)*(#REF!&lt;=oct!Y$3)*(#REF!&gt;=oct!Y$3)),#REF!),IF(WEEKDAY(oct!Y$3,1)=1,"WO","P"))</f>
        <v>P</v>
      </c>
      <c r="Z35" s="4" t="str">
        <f>IFERROR(LOOKUP(2,1/((#REF!=oct!$A35)*(#REF!&lt;=oct!Z$3)*(#REF!&gt;=oct!Z$3)),#REF!),IF(WEEKDAY(oct!Z$3,1)=1,"WO","P"))</f>
        <v>P</v>
      </c>
      <c r="AA35" s="4" t="str">
        <f>IFERROR(LOOKUP(2,1/((#REF!=oct!$A35)*(#REF!&lt;=oct!AA$3)*(#REF!&gt;=oct!AA$3)),#REF!),IF(WEEKDAY(oct!AA$3,1)=1,"WO","P"))</f>
        <v>P</v>
      </c>
      <c r="AB35" s="4" t="str">
        <f>IFERROR(LOOKUP(2,1/((#REF!=oct!$A35)*(#REF!&lt;=oct!AB$3)*(#REF!&gt;=oct!AB$3)),#REF!),IF(WEEKDAY(oct!AB$3,1)=1,"WO","P"))</f>
        <v>P</v>
      </c>
      <c r="AC35" s="4" t="str">
        <f>IFERROR(LOOKUP(2,1/((#REF!=oct!$A35)*(#REF!&lt;=oct!AC$3)*(#REF!&gt;=oct!AC$3)),#REF!),IF(WEEKDAY(oct!AC$3,1)=1,"WO","P"))</f>
        <v>P</v>
      </c>
      <c r="AD35" s="4" t="str">
        <f>IFERROR(LOOKUP(2,1/((#REF!=oct!$A35)*(#REF!&lt;=oct!AD$3)*(#REF!&gt;=oct!AD$3)),#REF!),IF(WEEKDAY(oct!AD$3,1)=1,"WO","P"))</f>
        <v>WO</v>
      </c>
      <c r="AE35" s="4" t="str">
        <f>IFERROR(LOOKUP(2,1/((#REF!=oct!$A35)*(#REF!&lt;=oct!AE$3)*(#REF!&gt;=oct!AE$3)),#REF!),IF(WEEKDAY(oct!AE$3,1)=1,"WO","P"))</f>
        <v>P</v>
      </c>
      <c r="AF35" s="4" t="str">
        <f>IFERROR(LOOKUP(2,1/((#REF!=oct!$A35)*(#REF!&lt;=oct!AF$3)*(#REF!&gt;=oct!AF$3)),#REF!),IF(WEEKDAY(oct!AF$3,1)=1,"WO","P"))</f>
        <v>P</v>
      </c>
      <c r="AG35" s="4" t="str">
        <f>IFERROR(LOOKUP(2,1/((#REF!=oct!$A35)*(#REF!&lt;=oct!AG$3)*(#REF!&gt;=oct!AG$3)),#REF!),IF(WEEKDAY(oct!AG$3,1)=1,"WO","P"))</f>
        <v>P</v>
      </c>
      <c r="AH35" s="4" t="str">
        <f>IFERROR(LOOKUP(2,1/((#REF!=oct!$A35)*(#REF!&lt;=oct!AH$3)*(#REF!&gt;=oct!AH$3)),#REF!),IF(WEEKDAY(oct!AH$3,1)=1,"WO","P"))</f>
        <v>P</v>
      </c>
      <c r="AI35" s="4" t="str">
        <f>IFERROR(LOOKUP(2,1/((#REF!=oct!$A35)*(#REF!&lt;=oct!AI$3)*(#REF!&gt;=oct!AI$3)),#REF!),IF(WEEKDAY(oct!AI$3,1)=1,"WO","P"))</f>
        <v>P</v>
      </c>
      <c r="AJ35" s="4" t="str">
        <f>IFERROR(LOOKUP(2,1/((#REF!=oct!$A35)*(#REF!&lt;=oct!AJ$3)*(#REF!&gt;=oct!AJ$3)),#REF!),IF(WEEKDAY(oct!AJ$3,1)=1,"WO","P"))</f>
        <v>P</v>
      </c>
      <c r="AK35" s="4">
        <f>COUNTIF(mar!$F35:$AJ35,"WO")</f>
        <v>5</v>
      </c>
      <c r="AL35" s="4">
        <f>COUNTIF(mar!$F35:$AJ35,"H")</f>
        <v>2</v>
      </c>
      <c r="AM35" s="4">
        <f>COUNTIF(mar!$F35:$AJ35,"pl")</f>
        <v>0</v>
      </c>
      <c r="AN35" s="4">
        <f>COUNTIF(mar!$F35:$AJ35,"LWP")</f>
        <v>0</v>
      </c>
      <c r="AO35" s="4">
        <f>COUNTIF(mar!$F35:$AJ35,"HD")</f>
        <v>0</v>
      </c>
      <c r="AP35" s="4">
        <f>COUNTIF(mar!$F35:$AJ35,"SL")</f>
        <v>0</v>
      </c>
      <c r="AQ35" s="4">
        <f>COUNTIF(mar!$F35:$AJ35,"CL")</f>
        <v>0</v>
      </c>
      <c r="AR35" s="4">
        <f>COUNTIF(mar!$F35:$AJ35,"A")</f>
        <v>0</v>
      </c>
      <c r="AS35" s="4">
        <f>COUNTIF(mar!$F35:$AJ35,"P")</f>
        <v>24</v>
      </c>
      <c r="AT35" s="4">
        <f t="shared" si="2"/>
        <v>31</v>
      </c>
      <c r="AU35" s="4">
        <f t="shared" si="3"/>
        <v>31</v>
      </c>
      <c r="AV35" s="4">
        <f>SUMIFS(holly!$L$2:$L$122,holly!$I$2:$I$122,mar!$A35,holly!$K$2:$K$122,"Mar")</f>
        <v>0</v>
      </c>
    </row>
    <row r="36" spans="1:48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IFERROR(LOOKUP(2,1/((#REF!=oct!$A36)*(#REF!&lt;=oct!F$3)*(#REF!&gt;=oct!F$3)),#REF!),IF(WEEKDAY(oct!F$3,1)=1,"WO","P"))</f>
        <v>P</v>
      </c>
      <c r="G36" s="4" t="str">
        <f>IFERROR(LOOKUP(2,1/((#REF!=oct!$A36)*(#REF!&lt;=oct!G$3)*(#REF!&gt;=oct!G$3)),#REF!),IF(WEEKDAY(oct!G$3,1)=1,"WO","P"))</f>
        <v>P</v>
      </c>
      <c r="H36" s="4" t="str">
        <f>IFERROR(LOOKUP(2,1/((#REF!=oct!$A36)*(#REF!&lt;=oct!H$3)*(#REF!&gt;=oct!H$3)),#REF!),IF(WEEKDAY(oct!H$3,1)=1,"WO","P"))</f>
        <v>P</v>
      </c>
      <c r="I36" s="4" t="str">
        <f>IFERROR(LOOKUP(2,1/((#REF!=oct!$A36)*(#REF!&lt;=oct!I$3)*(#REF!&gt;=oct!I$3)),#REF!),IF(WEEKDAY(oct!I$3,1)=1,"WO","P"))</f>
        <v>WO</v>
      </c>
      <c r="J36" s="4" t="str">
        <f>IFERROR(LOOKUP(2,1/((#REF!=oct!$A36)*(#REF!&lt;=oct!J$3)*(#REF!&gt;=oct!J$3)),#REF!),IF(WEEKDAY(oct!J$3,1)=1,"WO","P"))</f>
        <v>P</v>
      </c>
      <c r="K36" s="4" t="str">
        <f>IFERROR(LOOKUP(2,1/((#REF!=oct!$A36)*(#REF!&lt;=oct!K$3)*(#REF!&gt;=oct!K$3)),#REF!),IF(WEEKDAY(oct!K$3,1)=1,"WO","P"))</f>
        <v>P</v>
      </c>
      <c r="L36" s="4" t="str">
        <f>IFERROR(LOOKUP(2,1/((#REF!=oct!$A36)*(#REF!&lt;=oct!L$3)*(#REF!&gt;=oct!L$3)),#REF!),IF(WEEKDAY(oct!L$3,1)=1,"WO","P"))</f>
        <v>P</v>
      </c>
      <c r="M36" s="4" t="str">
        <f>IFERROR(LOOKUP(2,1/((#REF!=oct!$A36)*(#REF!&lt;=oct!M$3)*(#REF!&gt;=oct!M$3)),#REF!),IF(WEEKDAY(oct!M$3,1)=1,"WO","P"))</f>
        <v>P</v>
      </c>
      <c r="N36" s="4" t="str">
        <f>IFERROR(LOOKUP(2,1/((#REF!=oct!$A36)*(#REF!&lt;=oct!N$3)*(#REF!&gt;=oct!N$3)),#REF!),IF(WEEKDAY(oct!N$3,1)=1,"WO","P"))</f>
        <v>P</v>
      </c>
      <c r="O36" s="4" t="str">
        <f>IFERROR(LOOKUP(2,1/((#REF!=oct!$A36)*(#REF!&lt;=oct!O$3)*(#REF!&gt;=oct!O$3)),#REF!),IF(WEEKDAY(oct!O$3,1)=1,"WO","P"))</f>
        <v>P</v>
      </c>
      <c r="P36" s="4" t="str">
        <f>IFERROR(LOOKUP(2,1/((#REF!=oct!$A36)*(#REF!&lt;=oct!P$3)*(#REF!&gt;=oct!P$3)),#REF!),IF(WEEKDAY(oct!P$3,1)=1,"WO","P"))</f>
        <v>WO</v>
      </c>
      <c r="Q36" s="4" t="str">
        <f>IFERROR(LOOKUP(2,1/((#REF!=oct!$A36)*(#REF!&lt;=oct!Q$3)*(#REF!&gt;=oct!Q$3)),#REF!),IF(WEEKDAY(oct!Q$3,1)=1,"WO","P"))</f>
        <v>P</v>
      </c>
      <c r="R36" s="4" t="str">
        <f>IFERROR(LOOKUP(2,1/((#REF!=oct!$A36)*(#REF!&lt;=oct!R$3)*(#REF!&gt;=oct!R$3)),#REF!),IF(WEEKDAY(oct!R$3,1)=1,"WO","P"))</f>
        <v>P</v>
      </c>
      <c r="S36" s="4" t="str">
        <f>IFERROR(LOOKUP(2,1/((#REF!=oct!$A36)*(#REF!&lt;=oct!S$3)*(#REF!&gt;=oct!S$3)),#REF!),IF(WEEKDAY(oct!S$3,1)=1,"WO","P"))</f>
        <v>P</v>
      </c>
      <c r="T36" s="4" t="str">
        <f>IFERROR(LOOKUP(2,1/((#REF!=oct!$A36)*(#REF!&lt;=oct!T$3)*(#REF!&gt;=oct!T$3)),#REF!),IF(WEEKDAY(oct!T$3,1)=1,"WO","P"))</f>
        <v>P</v>
      </c>
      <c r="U36" s="4" t="str">
        <f>IFERROR(LOOKUP(2,1/((#REF!=oct!$A36)*(#REF!&lt;=oct!U$3)*(#REF!&gt;=oct!U$3)),#REF!),IF(WEEKDAY(oct!U$3,1)=1,"WO","P"))</f>
        <v>P</v>
      </c>
      <c r="V36" s="4" t="str">
        <f>IFERROR(LOOKUP(2,1/((#REF!=oct!$A36)*(#REF!&lt;=oct!V$3)*(#REF!&gt;=oct!V$3)),#REF!),IF(WEEKDAY(oct!V$3,1)=1,"WO","P"))</f>
        <v>P</v>
      </c>
      <c r="W36" s="4" t="str">
        <f>IFERROR(LOOKUP(2,1/((#REF!=oct!$A36)*(#REF!&lt;=oct!W$3)*(#REF!&gt;=oct!W$3)),#REF!),IF(WEEKDAY(oct!W$3,1)=1,"WO","P"))</f>
        <v>WO</v>
      </c>
      <c r="X36" s="4" t="str">
        <f>IFERROR(LOOKUP(2,1/((#REF!=oct!$A36)*(#REF!&lt;=oct!X$3)*(#REF!&gt;=oct!X$3)),#REF!),IF(WEEKDAY(oct!X$3,1)=1,"WO","P"))</f>
        <v>P</v>
      </c>
      <c r="Y36" s="4" t="str">
        <f>IFERROR(LOOKUP(2,1/((#REF!=oct!$A36)*(#REF!&lt;=oct!Y$3)*(#REF!&gt;=oct!Y$3)),#REF!),IF(WEEKDAY(oct!Y$3,1)=1,"WO","P"))</f>
        <v>P</v>
      </c>
      <c r="Z36" s="4" t="str">
        <f>IFERROR(LOOKUP(2,1/((#REF!=oct!$A36)*(#REF!&lt;=oct!Z$3)*(#REF!&gt;=oct!Z$3)),#REF!),IF(WEEKDAY(oct!Z$3,1)=1,"WO","P"))</f>
        <v>P</v>
      </c>
      <c r="AA36" s="4" t="str">
        <f>IFERROR(LOOKUP(2,1/((#REF!=oct!$A36)*(#REF!&lt;=oct!AA$3)*(#REF!&gt;=oct!AA$3)),#REF!),IF(WEEKDAY(oct!AA$3,1)=1,"WO","P"))</f>
        <v>P</v>
      </c>
      <c r="AB36" s="4" t="str">
        <f>IFERROR(LOOKUP(2,1/((#REF!=oct!$A36)*(#REF!&lt;=oct!AB$3)*(#REF!&gt;=oct!AB$3)),#REF!),IF(WEEKDAY(oct!AB$3,1)=1,"WO","P"))</f>
        <v>P</v>
      </c>
      <c r="AC36" s="4" t="str">
        <f>IFERROR(LOOKUP(2,1/((#REF!=oct!$A36)*(#REF!&lt;=oct!AC$3)*(#REF!&gt;=oct!AC$3)),#REF!),IF(WEEKDAY(oct!AC$3,1)=1,"WO","P"))</f>
        <v>P</v>
      </c>
      <c r="AD36" s="4" t="str">
        <f>IFERROR(LOOKUP(2,1/((#REF!=oct!$A36)*(#REF!&lt;=oct!AD$3)*(#REF!&gt;=oct!AD$3)),#REF!),IF(WEEKDAY(oct!AD$3,1)=1,"WO","P"))</f>
        <v>WO</v>
      </c>
      <c r="AE36" s="4" t="str">
        <f>IFERROR(LOOKUP(2,1/((#REF!=oct!$A36)*(#REF!&lt;=oct!AE$3)*(#REF!&gt;=oct!AE$3)),#REF!),IF(WEEKDAY(oct!AE$3,1)=1,"WO","P"))</f>
        <v>P</v>
      </c>
      <c r="AF36" s="4" t="str">
        <f>IFERROR(LOOKUP(2,1/((#REF!=oct!$A36)*(#REF!&lt;=oct!AF$3)*(#REF!&gt;=oct!AF$3)),#REF!),IF(WEEKDAY(oct!AF$3,1)=1,"WO","P"))</f>
        <v>P</v>
      </c>
      <c r="AG36" s="4" t="str">
        <f>IFERROR(LOOKUP(2,1/((#REF!=oct!$A36)*(#REF!&lt;=oct!AG$3)*(#REF!&gt;=oct!AG$3)),#REF!),IF(WEEKDAY(oct!AG$3,1)=1,"WO","P"))</f>
        <v>P</v>
      </c>
      <c r="AH36" s="4" t="str">
        <f>IFERROR(LOOKUP(2,1/((#REF!=oct!$A36)*(#REF!&lt;=oct!AH$3)*(#REF!&gt;=oct!AH$3)),#REF!),IF(WEEKDAY(oct!AH$3,1)=1,"WO","P"))</f>
        <v>P</v>
      </c>
      <c r="AI36" s="4" t="str">
        <f>IFERROR(LOOKUP(2,1/((#REF!=oct!$A36)*(#REF!&lt;=oct!AI$3)*(#REF!&gt;=oct!AI$3)),#REF!),IF(WEEKDAY(oct!AI$3,1)=1,"WO","P"))</f>
        <v>P</v>
      </c>
      <c r="AJ36" s="4" t="str">
        <f>IFERROR(LOOKUP(2,1/((#REF!=oct!$A36)*(#REF!&lt;=oct!AJ$3)*(#REF!&gt;=oct!AJ$3)),#REF!),IF(WEEKDAY(oct!AJ$3,1)=1,"WO","P"))</f>
        <v>P</v>
      </c>
      <c r="AK36" s="4">
        <f>COUNTIF(mar!$F36:$AJ36,"WO")</f>
        <v>5</v>
      </c>
      <c r="AL36" s="4">
        <f>COUNTIF(mar!$F36:$AJ36,"H")</f>
        <v>2</v>
      </c>
      <c r="AM36" s="4">
        <f>COUNTIF(mar!$F36:$AJ36,"pl")</f>
        <v>0</v>
      </c>
      <c r="AN36" s="4">
        <f>COUNTIF(mar!$F36:$AJ36,"LWP")</f>
        <v>0</v>
      </c>
      <c r="AO36" s="4">
        <f>COUNTIF(mar!$F36:$AJ36,"HD")</f>
        <v>0</v>
      </c>
      <c r="AP36" s="4">
        <f>COUNTIF(mar!$F36:$AJ36,"SL")</f>
        <v>0</v>
      </c>
      <c r="AQ36" s="4">
        <f>COUNTIF(mar!$F36:$AJ36,"CL")</f>
        <v>0</v>
      </c>
      <c r="AR36" s="4">
        <f>COUNTIF(mar!$F36:$AJ36,"A")</f>
        <v>0</v>
      </c>
      <c r="AS36" s="4">
        <f>COUNTIF(mar!$F36:$AJ36,"P")</f>
        <v>24</v>
      </c>
      <c r="AT36" s="4">
        <f t="shared" si="2"/>
        <v>31</v>
      </c>
      <c r="AU36" s="4">
        <f t="shared" si="3"/>
        <v>31</v>
      </c>
      <c r="AV36" s="4">
        <f>SUMIFS(holly!$L$2:$L$122,holly!$I$2:$I$122,mar!$A36,holly!$K$2:$K$122,"Mar")</f>
        <v>0</v>
      </c>
    </row>
    <row r="37" spans="1:48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IFERROR(LOOKUP(2,1/((#REF!=oct!$A37)*(#REF!&lt;=oct!F$3)*(#REF!&gt;=oct!F$3)),#REF!),IF(WEEKDAY(oct!F$3,1)=1,"WO","P"))</f>
        <v>P</v>
      </c>
      <c r="G37" s="4" t="str">
        <f>IFERROR(LOOKUP(2,1/((#REF!=oct!$A37)*(#REF!&lt;=oct!G$3)*(#REF!&gt;=oct!G$3)),#REF!),IF(WEEKDAY(oct!G$3,1)=1,"WO","P"))</f>
        <v>P</v>
      </c>
      <c r="H37" s="4" t="str">
        <f>IFERROR(LOOKUP(2,1/((#REF!=oct!$A37)*(#REF!&lt;=oct!H$3)*(#REF!&gt;=oct!H$3)),#REF!),IF(WEEKDAY(oct!H$3,1)=1,"WO","P"))</f>
        <v>P</v>
      </c>
      <c r="I37" s="4" t="str">
        <f>IFERROR(LOOKUP(2,1/((#REF!=oct!$A37)*(#REF!&lt;=oct!I$3)*(#REF!&gt;=oct!I$3)),#REF!),IF(WEEKDAY(oct!I$3,1)=1,"WO","P"))</f>
        <v>WO</v>
      </c>
      <c r="J37" s="4" t="str">
        <f>IFERROR(LOOKUP(2,1/((#REF!=oct!$A37)*(#REF!&lt;=oct!J$3)*(#REF!&gt;=oct!J$3)),#REF!),IF(WEEKDAY(oct!J$3,1)=1,"WO","P"))</f>
        <v>P</v>
      </c>
      <c r="K37" s="4" t="str">
        <f>IFERROR(LOOKUP(2,1/((#REF!=oct!$A37)*(#REF!&lt;=oct!K$3)*(#REF!&gt;=oct!K$3)),#REF!),IF(WEEKDAY(oct!K$3,1)=1,"WO","P"))</f>
        <v>P</v>
      </c>
      <c r="L37" s="4" t="str">
        <f>IFERROR(LOOKUP(2,1/((#REF!=oct!$A37)*(#REF!&lt;=oct!L$3)*(#REF!&gt;=oct!L$3)),#REF!),IF(WEEKDAY(oct!L$3,1)=1,"WO","P"))</f>
        <v>P</v>
      </c>
      <c r="M37" s="4" t="str">
        <f>IFERROR(LOOKUP(2,1/((#REF!=oct!$A37)*(#REF!&lt;=oct!M$3)*(#REF!&gt;=oct!M$3)),#REF!),IF(WEEKDAY(oct!M$3,1)=1,"WO","P"))</f>
        <v>P</v>
      </c>
      <c r="N37" s="4" t="str">
        <f>IFERROR(LOOKUP(2,1/((#REF!=oct!$A37)*(#REF!&lt;=oct!N$3)*(#REF!&gt;=oct!N$3)),#REF!),IF(WEEKDAY(oct!N$3,1)=1,"WO","P"))</f>
        <v>P</v>
      </c>
      <c r="O37" s="4" t="str">
        <f>IFERROR(LOOKUP(2,1/((#REF!=oct!$A37)*(#REF!&lt;=oct!O$3)*(#REF!&gt;=oct!O$3)),#REF!),IF(WEEKDAY(oct!O$3,1)=1,"WO","P"))</f>
        <v>P</v>
      </c>
      <c r="P37" s="4" t="str">
        <f>IFERROR(LOOKUP(2,1/((#REF!=oct!$A37)*(#REF!&lt;=oct!P$3)*(#REF!&gt;=oct!P$3)),#REF!),IF(WEEKDAY(oct!P$3,1)=1,"WO","P"))</f>
        <v>WO</v>
      </c>
      <c r="Q37" s="4" t="str">
        <f>IFERROR(LOOKUP(2,1/((#REF!=oct!$A37)*(#REF!&lt;=oct!Q$3)*(#REF!&gt;=oct!Q$3)),#REF!),IF(WEEKDAY(oct!Q$3,1)=1,"WO","P"))</f>
        <v>P</v>
      </c>
      <c r="R37" s="4" t="str">
        <f>IFERROR(LOOKUP(2,1/((#REF!=oct!$A37)*(#REF!&lt;=oct!R$3)*(#REF!&gt;=oct!R$3)),#REF!),IF(WEEKDAY(oct!R$3,1)=1,"WO","P"))</f>
        <v>P</v>
      </c>
      <c r="S37" s="4" t="str">
        <f>IFERROR(LOOKUP(2,1/((#REF!=oct!$A37)*(#REF!&lt;=oct!S$3)*(#REF!&gt;=oct!S$3)),#REF!),IF(WEEKDAY(oct!S$3,1)=1,"WO","P"))</f>
        <v>P</v>
      </c>
      <c r="T37" s="4" t="str">
        <f>IFERROR(LOOKUP(2,1/((#REF!=oct!$A37)*(#REF!&lt;=oct!T$3)*(#REF!&gt;=oct!T$3)),#REF!),IF(WEEKDAY(oct!T$3,1)=1,"WO","P"))</f>
        <v>P</v>
      </c>
      <c r="U37" s="4" t="str">
        <f>IFERROR(LOOKUP(2,1/((#REF!=oct!$A37)*(#REF!&lt;=oct!U$3)*(#REF!&gt;=oct!U$3)),#REF!),IF(WEEKDAY(oct!U$3,1)=1,"WO","P"))</f>
        <v>P</v>
      </c>
      <c r="V37" s="4" t="str">
        <f>IFERROR(LOOKUP(2,1/((#REF!=oct!$A37)*(#REF!&lt;=oct!V$3)*(#REF!&gt;=oct!V$3)),#REF!),IF(WEEKDAY(oct!V$3,1)=1,"WO","P"))</f>
        <v>P</v>
      </c>
      <c r="W37" s="4" t="str">
        <f>IFERROR(LOOKUP(2,1/((#REF!=oct!$A37)*(#REF!&lt;=oct!W$3)*(#REF!&gt;=oct!W$3)),#REF!),IF(WEEKDAY(oct!W$3,1)=1,"WO","P"))</f>
        <v>WO</v>
      </c>
      <c r="X37" s="4" t="str">
        <f>IFERROR(LOOKUP(2,1/((#REF!=oct!$A37)*(#REF!&lt;=oct!X$3)*(#REF!&gt;=oct!X$3)),#REF!),IF(WEEKDAY(oct!X$3,1)=1,"WO","P"))</f>
        <v>P</v>
      </c>
      <c r="Y37" s="4" t="str">
        <f>IFERROR(LOOKUP(2,1/((#REF!=oct!$A37)*(#REF!&lt;=oct!Y$3)*(#REF!&gt;=oct!Y$3)),#REF!),IF(WEEKDAY(oct!Y$3,1)=1,"WO","P"))</f>
        <v>P</v>
      </c>
      <c r="Z37" s="4" t="str">
        <f>IFERROR(LOOKUP(2,1/((#REF!=oct!$A37)*(#REF!&lt;=oct!Z$3)*(#REF!&gt;=oct!Z$3)),#REF!),IF(WEEKDAY(oct!Z$3,1)=1,"WO","P"))</f>
        <v>P</v>
      </c>
      <c r="AA37" s="4" t="str">
        <f>IFERROR(LOOKUP(2,1/((#REF!=oct!$A37)*(#REF!&lt;=oct!AA$3)*(#REF!&gt;=oct!AA$3)),#REF!),IF(WEEKDAY(oct!AA$3,1)=1,"WO","P"))</f>
        <v>P</v>
      </c>
      <c r="AB37" s="4" t="str">
        <f>IFERROR(LOOKUP(2,1/((#REF!=oct!$A37)*(#REF!&lt;=oct!AB$3)*(#REF!&gt;=oct!AB$3)),#REF!),IF(WEEKDAY(oct!AB$3,1)=1,"WO","P"))</f>
        <v>P</v>
      </c>
      <c r="AC37" s="4" t="str">
        <f>IFERROR(LOOKUP(2,1/((#REF!=oct!$A37)*(#REF!&lt;=oct!AC$3)*(#REF!&gt;=oct!AC$3)),#REF!),IF(WEEKDAY(oct!AC$3,1)=1,"WO","P"))</f>
        <v>P</v>
      </c>
      <c r="AD37" s="4" t="str">
        <f>IFERROR(LOOKUP(2,1/((#REF!=oct!$A37)*(#REF!&lt;=oct!AD$3)*(#REF!&gt;=oct!AD$3)),#REF!),IF(WEEKDAY(oct!AD$3,1)=1,"WO","P"))</f>
        <v>WO</v>
      </c>
      <c r="AE37" s="4" t="str">
        <f>IFERROR(LOOKUP(2,1/((#REF!=oct!$A37)*(#REF!&lt;=oct!AE$3)*(#REF!&gt;=oct!AE$3)),#REF!),IF(WEEKDAY(oct!AE$3,1)=1,"WO","P"))</f>
        <v>P</v>
      </c>
      <c r="AF37" s="4" t="str">
        <f>IFERROR(LOOKUP(2,1/((#REF!=oct!$A37)*(#REF!&lt;=oct!AF$3)*(#REF!&gt;=oct!AF$3)),#REF!),IF(WEEKDAY(oct!AF$3,1)=1,"WO","P"))</f>
        <v>P</v>
      </c>
      <c r="AG37" s="4" t="str">
        <f>IFERROR(LOOKUP(2,1/((#REF!=oct!$A37)*(#REF!&lt;=oct!AG$3)*(#REF!&gt;=oct!AG$3)),#REF!),IF(WEEKDAY(oct!AG$3,1)=1,"WO","P"))</f>
        <v>P</v>
      </c>
      <c r="AH37" s="4" t="str">
        <f>IFERROR(LOOKUP(2,1/((#REF!=oct!$A37)*(#REF!&lt;=oct!AH$3)*(#REF!&gt;=oct!AH$3)),#REF!),IF(WEEKDAY(oct!AH$3,1)=1,"WO","P"))</f>
        <v>P</v>
      </c>
      <c r="AI37" s="4" t="str">
        <f>IFERROR(LOOKUP(2,1/((#REF!=oct!$A37)*(#REF!&lt;=oct!AI$3)*(#REF!&gt;=oct!AI$3)),#REF!),IF(WEEKDAY(oct!AI$3,1)=1,"WO","P"))</f>
        <v>P</v>
      </c>
      <c r="AJ37" s="4" t="str">
        <f>IFERROR(LOOKUP(2,1/((#REF!=oct!$A37)*(#REF!&lt;=oct!AJ$3)*(#REF!&gt;=oct!AJ$3)),#REF!),IF(WEEKDAY(oct!AJ$3,1)=1,"WO","P"))</f>
        <v>P</v>
      </c>
      <c r="AK37" s="4">
        <f>COUNTIF(mar!$F37:$AJ37,"WO")</f>
        <v>5</v>
      </c>
      <c r="AL37" s="4">
        <f>COUNTIF(mar!$F37:$AJ37,"H")</f>
        <v>2</v>
      </c>
      <c r="AM37" s="4">
        <f>COUNTIF(mar!$F37:$AJ37,"pl")</f>
        <v>0</v>
      </c>
      <c r="AN37" s="4">
        <f>COUNTIF(mar!$F37:$AJ37,"LWP")</f>
        <v>0</v>
      </c>
      <c r="AO37" s="4">
        <f>COUNTIF(mar!$F37:$AJ37,"HD")</f>
        <v>0</v>
      </c>
      <c r="AP37" s="4">
        <f>COUNTIF(mar!$F37:$AJ37,"SL")</f>
        <v>0</v>
      </c>
      <c r="AQ37" s="4">
        <f>COUNTIF(mar!$F37:$AJ37,"CL")</f>
        <v>0</v>
      </c>
      <c r="AR37" s="4">
        <f>COUNTIF(mar!$F37:$AJ37,"A")</f>
        <v>2</v>
      </c>
      <c r="AS37" s="4">
        <f>COUNTIF(mar!$F37:$AJ37,"P")</f>
        <v>22</v>
      </c>
      <c r="AT37" s="4">
        <f t="shared" si="2"/>
        <v>31</v>
      </c>
      <c r="AU37" s="4">
        <f t="shared" si="3"/>
        <v>29</v>
      </c>
      <c r="AV37" s="4">
        <f>SUMIFS(holly!$L$2:$L$122,holly!$I$2:$I$122,mar!$A37,holly!$K$2:$K$122,"Mar")</f>
        <v>1</v>
      </c>
    </row>
    <row r="38" spans="1:48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IFERROR(LOOKUP(2,1/((#REF!=oct!$A38)*(#REF!&lt;=oct!F$3)*(#REF!&gt;=oct!F$3)),#REF!),IF(WEEKDAY(oct!F$3,1)=1,"WO","P"))</f>
        <v>P</v>
      </c>
      <c r="G38" s="4" t="str">
        <f>IFERROR(LOOKUP(2,1/((#REF!=oct!$A38)*(#REF!&lt;=oct!G$3)*(#REF!&gt;=oct!G$3)),#REF!),IF(WEEKDAY(oct!G$3,1)=1,"WO","P"))</f>
        <v>P</v>
      </c>
      <c r="H38" s="4" t="str">
        <f>IFERROR(LOOKUP(2,1/((#REF!=oct!$A38)*(#REF!&lt;=oct!H$3)*(#REF!&gt;=oct!H$3)),#REF!),IF(WEEKDAY(oct!H$3,1)=1,"WO","P"))</f>
        <v>P</v>
      </c>
      <c r="I38" s="4" t="str">
        <f>IFERROR(LOOKUP(2,1/((#REF!=oct!$A38)*(#REF!&lt;=oct!I$3)*(#REF!&gt;=oct!I$3)),#REF!),IF(WEEKDAY(oct!I$3,1)=1,"WO","P"))</f>
        <v>WO</v>
      </c>
      <c r="J38" s="4" t="str">
        <f>IFERROR(LOOKUP(2,1/((#REF!=oct!$A38)*(#REF!&lt;=oct!J$3)*(#REF!&gt;=oct!J$3)),#REF!),IF(WEEKDAY(oct!J$3,1)=1,"WO","P"))</f>
        <v>P</v>
      </c>
      <c r="K38" s="4" t="str">
        <f>IFERROR(LOOKUP(2,1/((#REF!=oct!$A38)*(#REF!&lt;=oct!K$3)*(#REF!&gt;=oct!K$3)),#REF!),IF(WEEKDAY(oct!K$3,1)=1,"WO","P"))</f>
        <v>P</v>
      </c>
      <c r="L38" s="4" t="str">
        <f>IFERROR(LOOKUP(2,1/((#REF!=oct!$A38)*(#REF!&lt;=oct!L$3)*(#REF!&gt;=oct!L$3)),#REF!),IF(WEEKDAY(oct!L$3,1)=1,"WO","P"))</f>
        <v>P</v>
      </c>
      <c r="M38" s="4" t="str">
        <f>IFERROR(LOOKUP(2,1/((#REF!=oct!$A38)*(#REF!&lt;=oct!M$3)*(#REF!&gt;=oct!M$3)),#REF!),IF(WEEKDAY(oct!M$3,1)=1,"WO","P"))</f>
        <v>P</v>
      </c>
      <c r="N38" s="4" t="str">
        <f>IFERROR(LOOKUP(2,1/((#REF!=oct!$A38)*(#REF!&lt;=oct!N$3)*(#REF!&gt;=oct!N$3)),#REF!),IF(WEEKDAY(oct!N$3,1)=1,"WO","P"))</f>
        <v>P</v>
      </c>
      <c r="O38" s="4" t="str">
        <f>IFERROR(LOOKUP(2,1/((#REF!=oct!$A38)*(#REF!&lt;=oct!O$3)*(#REF!&gt;=oct!O$3)),#REF!),IF(WEEKDAY(oct!O$3,1)=1,"WO","P"))</f>
        <v>P</v>
      </c>
      <c r="P38" s="4" t="str">
        <f>IFERROR(LOOKUP(2,1/((#REF!=oct!$A38)*(#REF!&lt;=oct!P$3)*(#REF!&gt;=oct!P$3)),#REF!),IF(WEEKDAY(oct!P$3,1)=1,"WO","P"))</f>
        <v>WO</v>
      </c>
      <c r="Q38" s="4" t="str">
        <f>IFERROR(LOOKUP(2,1/((#REF!=oct!$A38)*(#REF!&lt;=oct!Q$3)*(#REF!&gt;=oct!Q$3)),#REF!),IF(WEEKDAY(oct!Q$3,1)=1,"WO","P"))</f>
        <v>P</v>
      </c>
      <c r="R38" s="4" t="str">
        <f>IFERROR(LOOKUP(2,1/((#REF!=oct!$A38)*(#REF!&lt;=oct!R$3)*(#REF!&gt;=oct!R$3)),#REF!),IF(WEEKDAY(oct!R$3,1)=1,"WO","P"))</f>
        <v>P</v>
      </c>
      <c r="S38" s="4" t="str">
        <f>IFERROR(LOOKUP(2,1/((#REF!=oct!$A38)*(#REF!&lt;=oct!S$3)*(#REF!&gt;=oct!S$3)),#REF!),IF(WEEKDAY(oct!S$3,1)=1,"WO","P"))</f>
        <v>P</v>
      </c>
      <c r="T38" s="4" t="str">
        <f>IFERROR(LOOKUP(2,1/((#REF!=oct!$A38)*(#REF!&lt;=oct!T$3)*(#REF!&gt;=oct!T$3)),#REF!),IF(WEEKDAY(oct!T$3,1)=1,"WO","P"))</f>
        <v>P</v>
      </c>
      <c r="U38" s="4" t="str">
        <f>IFERROR(LOOKUP(2,1/((#REF!=oct!$A38)*(#REF!&lt;=oct!U$3)*(#REF!&gt;=oct!U$3)),#REF!),IF(WEEKDAY(oct!U$3,1)=1,"WO","P"))</f>
        <v>P</v>
      </c>
      <c r="V38" s="4" t="str">
        <f>IFERROR(LOOKUP(2,1/((#REF!=oct!$A38)*(#REF!&lt;=oct!V$3)*(#REF!&gt;=oct!V$3)),#REF!),IF(WEEKDAY(oct!V$3,1)=1,"WO","P"))</f>
        <v>P</v>
      </c>
      <c r="W38" s="4" t="str">
        <f>IFERROR(LOOKUP(2,1/((#REF!=oct!$A38)*(#REF!&lt;=oct!W$3)*(#REF!&gt;=oct!W$3)),#REF!),IF(WEEKDAY(oct!W$3,1)=1,"WO","P"))</f>
        <v>WO</v>
      </c>
      <c r="X38" s="4" t="str">
        <f>IFERROR(LOOKUP(2,1/((#REF!=oct!$A38)*(#REF!&lt;=oct!X$3)*(#REF!&gt;=oct!X$3)),#REF!),IF(WEEKDAY(oct!X$3,1)=1,"WO","P"))</f>
        <v>P</v>
      </c>
      <c r="Y38" s="4" t="str">
        <f>IFERROR(LOOKUP(2,1/((#REF!=oct!$A38)*(#REF!&lt;=oct!Y$3)*(#REF!&gt;=oct!Y$3)),#REF!),IF(WEEKDAY(oct!Y$3,1)=1,"WO","P"))</f>
        <v>P</v>
      </c>
      <c r="Z38" s="4" t="str">
        <f>IFERROR(LOOKUP(2,1/((#REF!=oct!$A38)*(#REF!&lt;=oct!Z$3)*(#REF!&gt;=oct!Z$3)),#REF!),IF(WEEKDAY(oct!Z$3,1)=1,"WO","P"))</f>
        <v>P</v>
      </c>
      <c r="AA38" s="4" t="str">
        <f>IFERROR(LOOKUP(2,1/((#REF!=oct!$A38)*(#REF!&lt;=oct!AA$3)*(#REF!&gt;=oct!AA$3)),#REF!),IF(WEEKDAY(oct!AA$3,1)=1,"WO","P"))</f>
        <v>P</v>
      </c>
      <c r="AB38" s="4" t="str">
        <f>IFERROR(LOOKUP(2,1/((#REF!=oct!$A38)*(#REF!&lt;=oct!AB$3)*(#REF!&gt;=oct!AB$3)),#REF!),IF(WEEKDAY(oct!AB$3,1)=1,"WO","P"))</f>
        <v>P</v>
      </c>
      <c r="AC38" s="4" t="str">
        <f>IFERROR(LOOKUP(2,1/((#REF!=oct!$A38)*(#REF!&lt;=oct!AC$3)*(#REF!&gt;=oct!AC$3)),#REF!),IF(WEEKDAY(oct!AC$3,1)=1,"WO","P"))</f>
        <v>P</v>
      </c>
      <c r="AD38" s="4" t="str">
        <f>IFERROR(LOOKUP(2,1/((#REF!=oct!$A38)*(#REF!&lt;=oct!AD$3)*(#REF!&gt;=oct!AD$3)),#REF!),IF(WEEKDAY(oct!AD$3,1)=1,"WO","P"))</f>
        <v>WO</v>
      </c>
      <c r="AE38" s="4" t="str">
        <f>IFERROR(LOOKUP(2,1/((#REF!=oct!$A38)*(#REF!&lt;=oct!AE$3)*(#REF!&gt;=oct!AE$3)),#REF!),IF(WEEKDAY(oct!AE$3,1)=1,"WO","P"))</f>
        <v>P</v>
      </c>
      <c r="AF38" s="4" t="str">
        <f>IFERROR(LOOKUP(2,1/((#REF!=oct!$A38)*(#REF!&lt;=oct!AF$3)*(#REF!&gt;=oct!AF$3)),#REF!),IF(WEEKDAY(oct!AF$3,1)=1,"WO","P"))</f>
        <v>P</v>
      </c>
      <c r="AG38" s="4" t="str">
        <f>IFERROR(LOOKUP(2,1/((#REF!=oct!$A38)*(#REF!&lt;=oct!AG$3)*(#REF!&gt;=oct!AG$3)),#REF!),IF(WEEKDAY(oct!AG$3,1)=1,"WO","P"))</f>
        <v>P</v>
      </c>
      <c r="AH38" s="4" t="str">
        <f>IFERROR(LOOKUP(2,1/((#REF!=oct!$A38)*(#REF!&lt;=oct!AH$3)*(#REF!&gt;=oct!AH$3)),#REF!),IF(WEEKDAY(oct!AH$3,1)=1,"WO","P"))</f>
        <v>P</v>
      </c>
      <c r="AI38" s="4" t="str">
        <f>IFERROR(LOOKUP(2,1/((#REF!=oct!$A38)*(#REF!&lt;=oct!AI$3)*(#REF!&gt;=oct!AI$3)),#REF!),IF(WEEKDAY(oct!AI$3,1)=1,"WO","P"))</f>
        <v>P</v>
      </c>
      <c r="AJ38" s="4" t="str">
        <f>IFERROR(LOOKUP(2,1/((#REF!=oct!$A38)*(#REF!&lt;=oct!AJ$3)*(#REF!&gt;=oct!AJ$3)),#REF!),IF(WEEKDAY(oct!AJ$3,1)=1,"WO","P"))</f>
        <v>P</v>
      </c>
      <c r="AK38" s="4">
        <f>COUNTIF(mar!$F38:$AJ38,"WO")</f>
        <v>5</v>
      </c>
      <c r="AL38" s="4">
        <f>COUNTIF(mar!$F38:$AJ38,"H")</f>
        <v>2</v>
      </c>
      <c r="AM38" s="4">
        <f>COUNTIF(mar!$F38:$AJ38,"pl")</f>
        <v>0</v>
      </c>
      <c r="AN38" s="4">
        <f>COUNTIF(mar!$F38:$AJ38,"LWP")</f>
        <v>0</v>
      </c>
      <c r="AO38" s="4">
        <f>COUNTIF(mar!$F38:$AJ38,"HD")</f>
        <v>0</v>
      </c>
      <c r="AP38" s="4">
        <f>COUNTIF(mar!$F38:$AJ38,"SL")</f>
        <v>0</v>
      </c>
      <c r="AQ38" s="4">
        <f>COUNTIF(mar!$F38:$AJ38,"CL")</f>
        <v>0</v>
      </c>
      <c r="AR38" s="4">
        <f>COUNTIF(mar!$F38:$AJ38,"A")</f>
        <v>0</v>
      </c>
      <c r="AS38" s="4">
        <f>COUNTIF(mar!$F38:$AJ38,"P")</f>
        <v>24</v>
      </c>
      <c r="AT38" s="4">
        <f t="shared" si="2"/>
        <v>31</v>
      </c>
      <c r="AU38" s="4">
        <f t="shared" si="3"/>
        <v>31</v>
      </c>
      <c r="AV38" s="4">
        <f>SUMIFS(holly!$L$2:$L$122,holly!$I$2:$I$122,mar!$A38,holly!$K$2:$K$122,"Mar")</f>
        <v>0</v>
      </c>
    </row>
    <row r="39" spans="1:48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IFERROR(LOOKUP(2,1/((#REF!=oct!$A39)*(#REF!&lt;=oct!F$3)*(#REF!&gt;=oct!F$3)),#REF!),IF(WEEKDAY(oct!F$3,1)=1,"WO","P"))</f>
        <v>P</v>
      </c>
      <c r="G39" s="4" t="str">
        <f>IFERROR(LOOKUP(2,1/((#REF!=oct!$A39)*(#REF!&lt;=oct!G$3)*(#REF!&gt;=oct!G$3)),#REF!),IF(WEEKDAY(oct!G$3,1)=1,"WO","P"))</f>
        <v>P</v>
      </c>
      <c r="H39" s="4" t="str">
        <f>IFERROR(LOOKUP(2,1/((#REF!=oct!$A39)*(#REF!&lt;=oct!H$3)*(#REF!&gt;=oct!H$3)),#REF!),IF(WEEKDAY(oct!H$3,1)=1,"WO","P"))</f>
        <v>P</v>
      </c>
      <c r="I39" s="4" t="str">
        <f>IFERROR(LOOKUP(2,1/((#REF!=oct!$A39)*(#REF!&lt;=oct!I$3)*(#REF!&gt;=oct!I$3)),#REF!),IF(WEEKDAY(oct!I$3,1)=1,"WO","P"))</f>
        <v>WO</v>
      </c>
      <c r="J39" s="4" t="str">
        <f>IFERROR(LOOKUP(2,1/((#REF!=oct!$A39)*(#REF!&lt;=oct!J$3)*(#REF!&gt;=oct!J$3)),#REF!),IF(WEEKDAY(oct!J$3,1)=1,"WO","P"))</f>
        <v>P</v>
      </c>
      <c r="K39" s="4" t="str">
        <f>IFERROR(LOOKUP(2,1/((#REF!=oct!$A39)*(#REF!&lt;=oct!K$3)*(#REF!&gt;=oct!K$3)),#REF!),IF(WEEKDAY(oct!K$3,1)=1,"WO","P"))</f>
        <v>P</v>
      </c>
      <c r="L39" s="4" t="str">
        <f>IFERROR(LOOKUP(2,1/((#REF!=oct!$A39)*(#REF!&lt;=oct!L$3)*(#REF!&gt;=oct!L$3)),#REF!),IF(WEEKDAY(oct!L$3,1)=1,"WO","P"))</f>
        <v>P</v>
      </c>
      <c r="M39" s="4" t="str">
        <f>IFERROR(LOOKUP(2,1/((#REF!=oct!$A39)*(#REF!&lt;=oct!M$3)*(#REF!&gt;=oct!M$3)),#REF!),IF(WEEKDAY(oct!M$3,1)=1,"WO","P"))</f>
        <v>P</v>
      </c>
      <c r="N39" s="4" t="str">
        <f>IFERROR(LOOKUP(2,1/((#REF!=oct!$A39)*(#REF!&lt;=oct!N$3)*(#REF!&gt;=oct!N$3)),#REF!),IF(WEEKDAY(oct!N$3,1)=1,"WO","P"))</f>
        <v>P</v>
      </c>
      <c r="O39" s="4" t="str">
        <f>IFERROR(LOOKUP(2,1/((#REF!=oct!$A39)*(#REF!&lt;=oct!O$3)*(#REF!&gt;=oct!O$3)),#REF!),IF(WEEKDAY(oct!O$3,1)=1,"WO","P"))</f>
        <v>P</v>
      </c>
      <c r="P39" s="4" t="str">
        <f>IFERROR(LOOKUP(2,1/((#REF!=oct!$A39)*(#REF!&lt;=oct!P$3)*(#REF!&gt;=oct!P$3)),#REF!),IF(WEEKDAY(oct!P$3,1)=1,"WO","P"))</f>
        <v>WO</v>
      </c>
      <c r="Q39" s="4" t="str">
        <f>IFERROR(LOOKUP(2,1/((#REF!=oct!$A39)*(#REF!&lt;=oct!Q$3)*(#REF!&gt;=oct!Q$3)),#REF!),IF(WEEKDAY(oct!Q$3,1)=1,"WO","P"))</f>
        <v>P</v>
      </c>
      <c r="R39" s="4" t="str">
        <f>IFERROR(LOOKUP(2,1/((#REF!=oct!$A39)*(#REF!&lt;=oct!R$3)*(#REF!&gt;=oct!R$3)),#REF!),IF(WEEKDAY(oct!R$3,1)=1,"WO","P"))</f>
        <v>P</v>
      </c>
      <c r="S39" s="4" t="str">
        <f>IFERROR(LOOKUP(2,1/((#REF!=oct!$A39)*(#REF!&lt;=oct!S$3)*(#REF!&gt;=oct!S$3)),#REF!),IF(WEEKDAY(oct!S$3,1)=1,"WO","P"))</f>
        <v>P</v>
      </c>
      <c r="T39" s="4" t="str">
        <f>IFERROR(LOOKUP(2,1/((#REF!=oct!$A39)*(#REF!&lt;=oct!T$3)*(#REF!&gt;=oct!T$3)),#REF!),IF(WEEKDAY(oct!T$3,1)=1,"WO","P"))</f>
        <v>P</v>
      </c>
      <c r="U39" s="4" t="str">
        <f>IFERROR(LOOKUP(2,1/((#REF!=oct!$A39)*(#REF!&lt;=oct!U$3)*(#REF!&gt;=oct!U$3)),#REF!),IF(WEEKDAY(oct!U$3,1)=1,"WO","P"))</f>
        <v>P</v>
      </c>
      <c r="V39" s="4" t="str">
        <f>IFERROR(LOOKUP(2,1/((#REF!=oct!$A39)*(#REF!&lt;=oct!V$3)*(#REF!&gt;=oct!V$3)),#REF!),IF(WEEKDAY(oct!V$3,1)=1,"WO","P"))</f>
        <v>P</v>
      </c>
      <c r="W39" s="4" t="str">
        <f>IFERROR(LOOKUP(2,1/((#REF!=oct!$A39)*(#REF!&lt;=oct!W$3)*(#REF!&gt;=oct!W$3)),#REF!),IF(WEEKDAY(oct!W$3,1)=1,"WO","P"))</f>
        <v>WO</v>
      </c>
      <c r="X39" s="4" t="str">
        <f>IFERROR(LOOKUP(2,1/((#REF!=oct!$A39)*(#REF!&lt;=oct!X$3)*(#REF!&gt;=oct!X$3)),#REF!),IF(WEEKDAY(oct!X$3,1)=1,"WO","P"))</f>
        <v>P</v>
      </c>
      <c r="Y39" s="4" t="str">
        <f>IFERROR(LOOKUP(2,1/((#REF!=oct!$A39)*(#REF!&lt;=oct!Y$3)*(#REF!&gt;=oct!Y$3)),#REF!),IF(WEEKDAY(oct!Y$3,1)=1,"WO","P"))</f>
        <v>P</v>
      </c>
      <c r="Z39" s="4" t="str">
        <f>IFERROR(LOOKUP(2,1/((#REF!=oct!$A39)*(#REF!&lt;=oct!Z$3)*(#REF!&gt;=oct!Z$3)),#REF!),IF(WEEKDAY(oct!Z$3,1)=1,"WO","P"))</f>
        <v>P</v>
      </c>
      <c r="AA39" s="4" t="str">
        <f>IFERROR(LOOKUP(2,1/((#REF!=oct!$A39)*(#REF!&lt;=oct!AA$3)*(#REF!&gt;=oct!AA$3)),#REF!),IF(WEEKDAY(oct!AA$3,1)=1,"WO","P"))</f>
        <v>P</v>
      </c>
      <c r="AB39" s="4" t="str">
        <f>IFERROR(LOOKUP(2,1/((#REF!=oct!$A39)*(#REF!&lt;=oct!AB$3)*(#REF!&gt;=oct!AB$3)),#REF!),IF(WEEKDAY(oct!AB$3,1)=1,"WO","P"))</f>
        <v>P</v>
      </c>
      <c r="AC39" s="4" t="str">
        <f>IFERROR(LOOKUP(2,1/((#REF!=oct!$A39)*(#REF!&lt;=oct!AC$3)*(#REF!&gt;=oct!AC$3)),#REF!),IF(WEEKDAY(oct!AC$3,1)=1,"WO","P"))</f>
        <v>P</v>
      </c>
      <c r="AD39" s="4" t="str">
        <f>IFERROR(LOOKUP(2,1/((#REF!=oct!$A39)*(#REF!&lt;=oct!AD$3)*(#REF!&gt;=oct!AD$3)),#REF!),IF(WEEKDAY(oct!AD$3,1)=1,"WO","P"))</f>
        <v>WO</v>
      </c>
      <c r="AE39" s="4" t="str">
        <f>IFERROR(LOOKUP(2,1/((#REF!=oct!$A39)*(#REF!&lt;=oct!AE$3)*(#REF!&gt;=oct!AE$3)),#REF!),IF(WEEKDAY(oct!AE$3,1)=1,"WO","P"))</f>
        <v>P</v>
      </c>
      <c r="AF39" s="4" t="str">
        <f>IFERROR(LOOKUP(2,1/((#REF!=oct!$A39)*(#REF!&lt;=oct!AF$3)*(#REF!&gt;=oct!AF$3)),#REF!),IF(WEEKDAY(oct!AF$3,1)=1,"WO","P"))</f>
        <v>P</v>
      </c>
      <c r="AG39" s="4" t="str">
        <f>IFERROR(LOOKUP(2,1/((#REF!=oct!$A39)*(#REF!&lt;=oct!AG$3)*(#REF!&gt;=oct!AG$3)),#REF!),IF(WEEKDAY(oct!AG$3,1)=1,"WO","P"))</f>
        <v>P</v>
      </c>
      <c r="AH39" s="4" t="str">
        <f>IFERROR(LOOKUP(2,1/((#REF!=oct!$A39)*(#REF!&lt;=oct!AH$3)*(#REF!&gt;=oct!AH$3)),#REF!),IF(WEEKDAY(oct!AH$3,1)=1,"WO","P"))</f>
        <v>P</v>
      </c>
      <c r="AI39" s="4" t="str">
        <f>IFERROR(LOOKUP(2,1/((#REF!=oct!$A39)*(#REF!&lt;=oct!AI$3)*(#REF!&gt;=oct!AI$3)),#REF!),IF(WEEKDAY(oct!AI$3,1)=1,"WO","P"))</f>
        <v>P</v>
      </c>
      <c r="AJ39" s="4" t="str">
        <f>IFERROR(LOOKUP(2,1/((#REF!=oct!$A39)*(#REF!&lt;=oct!AJ$3)*(#REF!&gt;=oct!AJ$3)),#REF!),IF(WEEKDAY(oct!AJ$3,1)=1,"WO","P"))</f>
        <v>P</v>
      </c>
      <c r="AK39" s="4">
        <f>COUNTIF(mar!$F39:$AJ39,"WO")</f>
        <v>5</v>
      </c>
      <c r="AL39" s="4">
        <f>COUNTIF(mar!$F39:$AJ39,"H")</f>
        <v>2</v>
      </c>
      <c r="AM39" s="4">
        <f>COUNTIF(mar!$F39:$AJ39,"pl")</f>
        <v>0</v>
      </c>
      <c r="AN39" s="4">
        <f>COUNTIF(mar!$F39:$AJ39,"LWP")</f>
        <v>0</v>
      </c>
      <c r="AO39" s="4">
        <f>COUNTIF(mar!$F39:$AJ39,"HD")</f>
        <v>0</v>
      </c>
      <c r="AP39" s="4">
        <f>COUNTIF(mar!$F39:$AJ39,"SL")</f>
        <v>0</v>
      </c>
      <c r="AQ39" s="4">
        <f>COUNTIF(mar!$F39:$AJ39,"CL")</f>
        <v>0</v>
      </c>
      <c r="AR39" s="4">
        <f>COUNTIF(mar!$F39:$AJ39,"A")</f>
        <v>1</v>
      </c>
      <c r="AS39" s="4">
        <f>COUNTIF(mar!$F39:$AJ39,"P")</f>
        <v>23</v>
      </c>
      <c r="AT39" s="4">
        <f t="shared" si="2"/>
        <v>31</v>
      </c>
      <c r="AU39" s="4">
        <f t="shared" si="3"/>
        <v>30</v>
      </c>
      <c r="AV39" s="4">
        <f>SUMIFS(holly!$L$2:$L$122,holly!$I$2:$I$122,mar!$A39,holly!$K$2:$K$122,"Mar")</f>
        <v>0</v>
      </c>
    </row>
    <row r="40" spans="1:48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IFERROR(LOOKUP(2,1/((#REF!=oct!$A40)*(#REF!&lt;=oct!F$3)*(#REF!&gt;=oct!F$3)),#REF!),IF(WEEKDAY(oct!F$3,1)=1,"WO","P"))</f>
        <v>P</v>
      </c>
      <c r="G40" s="4" t="str">
        <f>IFERROR(LOOKUP(2,1/((#REF!=oct!$A40)*(#REF!&lt;=oct!G$3)*(#REF!&gt;=oct!G$3)),#REF!),IF(WEEKDAY(oct!G$3,1)=1,"WO","P"))</f>
        <v>P</v>
      </c>
      <c r="H40" s="4" t="str">
        <f>IFERROR(LOOKUP(2,1/((#REF!=oct!$A40)*(#REF!&lt;=oct!H$3)*(#REF!&gt;=oct!H$3)),#REF!),IF(WEEKDAY(oct!H$3,1)=1,"WO","P"))</f>
        <v>P</v>
      </c>
      <c r="I40" s="4" t="str">
        <f>IFERROR(LOOKUP(2,1/((#REF!=oct!$A40)*(#REF!&lt;=oct!I$3)*(#REF!&gt;=oct!I$3)),#REF!),IF(WEEKDAY(oct!I$3,1)=1,"WO","P"))</f>
        <v>WO</v>
      </c>
      <c r="J40" s="4" t="str">
        <f>IFERROR(LOOKUP(2,1/((#REF!=oct!$A40)*(#REF!&lt;=oct!J$3)*(#REF!&gt;=oct!J$3)),#REF!),IF(WEEKDAY(oct!J$3,1)=1,"WO","P"))</f>
        <v>P</v>
      </c>
      <c r="K40" s="4" t="str">
        <f>IFERROR(LOOKUP(2,1/((#REF!=oct!$A40)*(#REF!&lt;=oct!K$3)*(#REF!&gt;=oct!K$3)),#REF!),IF(WEEKDAY(oct!K$3,1)=1,"WO","P"))</f>
        <v>P</v>
      </c>
      <c r="L40" s="4" t="str">
        <f>IFERROR(LOOKUP(2,1/((#REF!=oct!$A40)*(#REF!&lt;=oct!L$3)*(#REF!&gt;=oct!L$3)),#REF!),IF(WEEKDAY(oct!L$3,1)=1,"WO","P"))</f>
        <v>P</v>
      </c>
      <c r="M40" s="4" t="str">
        <f>IFERROR(LOOKUP(2,1/((#REF!=oct!$A40)*(#REF!&lt;=oct!M$3)*(#REF!&gt;=oct!M$3)),#REF!),IF(WEEKDAY(oct!M$3,1)=1,"WO","P"))</f>
        <v>P</v>
      </c>
      <c r="N40" s="4" t="str">
        <f>IFERROR(LOOKUP(2,1/((#REF!=oct!$A40)*(#REF!&lt;=oct!N$3)*(#REF!&gt;=oct!N$3)),#REF!),IF(WEEKDAY(oct!N$3,1)=1,"WO","P"))</f>
        <v>P</v>
      </c>
      <c r="O40" s="4" t="str">
        <f>IFERROR(LOOKUP(2,1/((#REF!=oct!$A40)*(#REF!&lt;=oct!O$3)*(#REF!&gt;=oct!O$3)),#REF!),IF(WEEKDAY(oct!O$3,1)=1,"WO","P"))</f>
        <v>P</v>
      </c>
      <c r="P40" s="4" t="str">
        <f>IFERROR(LOOKUP(2,1/((#REF!=oct!$A40)*(#REF!&lt;=oct!P$3)*(#REF!&gt;=oct!P$3)),#REF!),IF(WEEKDAY(oct!P$3,1)=1,"WO","P"))</f>
        <v>WO</v>
      </c>
      <c r="Q40" s="4" t="str">
        <f>IFERROR(LOOKUP(2,1/((#REF!=oct!$A40)*(#REF!&lt;=oct!Q$3)*(#REF!&gt;=oct!Q$3)),#REF!),IF(WEEKDAY(oct!Q$3,1)=1,"WO","P"))</f>
        <v>P</v>
      </c>
      <c r="R40" s="4" t="str">
        <f>IFERROR(LOOKUP(2,1/((#REF!=oct!$A40)*(#REF!&lt;=oct!R$3)*(#REF!&gt;=oct!R$3)),#REF!),IF(WEEKDAY(oct!R$3,1)=1,"WO","P"))</f>
        <v>P</v>
      </c>
      <c r="S40" s="4" t="str">
        <f>IFERROR(LOOKUP(2,1/((#REF!=oct!$A40)*(#REF!&lt;=oct!S$3)*(#REF!&gt;=oct!S$3)),#REF!),IF(WEEKDAY(oct!S$3,1)=1,"WO","P"))</f>
        <v>P</v>
      </c>
      <c r="T40" s="4" t="str">
        <f>IFERROR(LOOKUP(2,1/((#REF!=oct!$A40)*(#REF!&lt;=oct!T$3)*(#REF!&gt;=oct!T$3)),#REF!),IF(WEEKDAY(oct!T$3,1)=1,"WO","P"))</f>
        <v>P</v>
      </c>
      <c r="U40" s="4" t="str">
        <f>IFERROR(LOOKUP(2,1/((#REF!=oct!$A40)*(#REF!&lt;=oct!U$3)*(#REF!&gt;=oct!U$3)),#REF!),IF(WEEKDAY(oct!U$3,1)=1,"WO","P"))</f>
        <v>P</v>
      </c>
      <c r="V40" s="4" t="str">
        <f>IFERROR(LOOKUP(2,1/((#REF!=oct!$A40)*(#REF!&lt;=oct!V$3)*(#REF!&gt;=oct!V$3)),#REF!),IF(WEEKDAY(oct!V$3,1)=1,"WO","P"))</f>
        <v>P</v>
      </c>
      <c r="W40" s="4" t="str">
        <f>IFERROR(LOOKUP(2,1/((#REF!=oct!$A40)*(#REF!&lt;=oct!W$3)*(#REF!&gt;=oct!W$3)),#REF!),IF(WEEKDAY(oct!W$3,1)=1,"WO","P"))</f>
        <v>WO</v>
      </c>
      <c r="X40" s="4" t="str">
        <f>IFERROR(LOOKUP(2,1/((#REF!=oct!$A40)*(#REF!&lt;=oct!X$3)*(#REF!&gt;=oct!X$3)),#REF!),IF(WEEKDAY(oct!X$3,1)=1,"WO","P"))</f>
        <v>P</v>
      </c>
      <c r="Y40" s="4" t="str">
        <f>IFERROR(LOOKUP(2,1/((#REF!=oct!$A40)*(#REF!&lt;=oct!Y$3)*(#REF!&gt;=oct!Y$3)),#REF!),IF(WEEKDAY(oct!Y$3,1)=1,"WO","P"))</f>
        <v>P</v>
      </c>
      <c r="Z40" s="4" t="str">
        <f>IFERROR(LOOKUP(2,1/((#REF!=oct!$A40)*(#REF!&lt;=oct!Z$3)*(#REF!&gt;=oct!Z$3)),#REF!),IF(WEEKDAY(oct!Z$3,1)=1,"WO","P"))</f>
        <v>P</v>
      </c>
      <c r="AA40" s="4" t="str">
        <f>IFERROR(LOOKUP(2,1/((#REF!=oct!$A40)*(#REF!&lt;=oct!AA$3)*(#REF!&gt;=oct!AA$3)),#REF!),IF(WEEKDAY(oct!AA$3,1)=1,"WO","P"))</f>
        <v>P</v>
      </c>
      <c r="AB40" s="4" t="str">
        <f>IFERROR(LOOKUP(2,1/((#REF!=oct!$A40)*(#REF!&lt;=oct!AB$3)*(#REF!&gt;=oct!AB$3)),#REF!),IF(WEEKDAY(oct!AB$3,1)=1,"WO","P"))</f>
        <v>P</v>
      </c>
      <c r="AC40" s="4" t="str">
        <f>IFERROR(LOOKUP(2,1/((#REF!=oct!$A40)*(#REF!&lt;=oct!AC$3)*(#REF!&gt;=oct!AC$3)),#REF!),IF(WEEKDAY(oct!AC$3,1)=1,"WO","P"))</f>
        <v>P</v>
      </c>
      <c r="AD40" s="4" t="str">
        <f>IFERROR(LOOKUP(2,1/((#REF!=oct!$A40)*(#REF!&lt;=oct!AD$3)*(#REF!&gt;=oct!AD$3)),#REF!),IF(WEEKDAY(oct!AD$3,1)=1,"WO","P"))</f>
        <v>WO</v>
      </c>
      <c r="AE40" s="4" t="str">
        <f>IFERROR(LOOKUP(2,1/((#REF!=oct!$A40)*(#REF!&lt;=oct!AE$3)*(#REF!&gt;=oct!AE$3)),#REF!),IF(WEEKDAY(oct!AE$3,1)=1,"WO","P"))</f>
        <v>P</v>
      </c>
      <c r="AF40" s="4" t="str">
        <f>IFERROR(LOOKUP(2,1/((#REF!=oct!$A40)*(#REF!&lt;=oct!AF$3)*(#REF!&gt;=oct!AF$3)),#REF!),IF(WEEKDAY(oct!AF$3,1)=1,"WO","P"))</f>
        <v>P</v>
      </c>
      <c r="AG40" s="4" t="str">
        <f>IFERROR(LOOKUP(2,1/((#REF!=oct!$A40)*(#REF!&lt;=oct!AG$3)*(#REF!&gt;=oct!AG$3)),#REF!),IF(WEEKDAY(oct!AG$3,1)=1,"WO","P"))</f>
        <v>P</v>
      </c>
      <c r="AH40" s="4" t="str">
        <f>IFERROR(LOOKUP(2,1/((#REF!=oct!$A40)*(#REF!&lt;=oct!AH$3)*(#REF!&gt;=oct!AH$3)),#REF!),IF(WEEKDAY(oct!AH$3,1)=1,"WO","P"))</f>
        <v>P</v>
      </c>
      <c r="AI40" s="4" t="str">
        <f>IFERROR(LOOKUP(2,1/((#REF!=oct!$A40)*(#REF!&lt;=oct!AI$3)*(#REF!&gt;=oct!AI$3)),#REF!),IF(WEEKDAY(oct!AI$3,1)=1,"WO","P"))</f>
        <v>P</v>
      </c>
      <c r="AJ40" s="4" t="str">
        <f>IFERROR(LOOKUP(2,1/((#REF!=oct!$A40)*(#REF!&lt;=oct!AJ$3)*(#REF!&gt;=oct!AJ$3)),#REF!),IF(WEEKDAY(oct!AJ$3,1)=1,"WO","P"))</f>
        <v>P</v>
      </c>
      <c r="AK40" s="4">
        <f>COUNTIF(mar!$F40:$AJ40,"WO")</f>
        <v>5</v>
      </c>
      <c r="AL40" s="4">
        <f>COUNTIF(mar!$F40:$AJ40,"H")</f>
        <v>2</v>
      </c>
      <c r="AM40" s="4">
        <f>COUNTIF(mar!$F40:$AJ40,"pl")</f>
        <v>1</v>
      </c>
      <c r="AN40" s="4">
        <f>COUNTIF(mar!$F40:$AJ40,"LWP")</f>
        <v>0</v>
      </c>
      <c r="AO40" s="4">
        <f>COUNTIF(mar!$F40:$AJ40,"HD")</f>
        <v>0</v>
      </c>
      <c r="AP40" s="4">
        <f>COUNTIF(mar!$F40:$AJ40,"SL")</f>
        <v>0</v>
      </c>
      <c r="AQ40" s="4">
        <f>COUNTIF(mar!$F40:$AJ40,"CL")</f>
        <v>0</v>
      </c>
      <c r="AR40" s="4">
        <f>COUNTIF(mar!$F40:$AJ40,"A")</f>
        <v>0</v>
      </c>
      <c r="AS40" s="4">
        <f>COUNTIF(mar!$F40:$AJ40,"P")</f>
        <v>23</v>
      </c>
      <c r="AT40" s="4">
        <f t="shared" si="2"/>
        <v>31</v>
      </c>
      <c r="AU40" s="4">
        <f t="shared" si="3"/>
        <v>31</v>
      </c>
      <c r="AV40" s="4">
        <f>SUMIFS(holly!$L$2:$L$122,holly!$I$2:$I$122,mar!$A40,holly!$K$2:$K$122,"Mar")</f>
        <v>0</v>
      </c>
    </row>
    <row r="41" spans="1:48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IFERROR(LOOKUP(2,1/((#REF!=oct!$A41)*(#REF!&lt;=oct!F$3)*(#REF!&gt;=oct!F$3)),#REF!),IF(WEEKDAY(oct!F$3,1)=1,"WO","P"))</f>
        <v>P</v>
      </c>
      <c r="G41" s="4" t="str">
        <f>IFERROR(LOOKUP(2,1/((#REF!=oct!$A41)*(#REF!&lt;=oct!G$3)*(#REF!&gt;=oct!G$3)),#REF!),IF(WEEKDAY(oct!G$3,1)=1,"WO","P"))</f>
        <v>P</v>
      </c>
      <c r="H41" s="4" t="str">
        <f>IFERROR(LOOKUP(2,1/((#REF!=oct!$A41)*(#REF!&lt;=oct!H$3)*(#REF!&gt;=oct!H$3)),#REF!),IF(WEEKDAY(oct!H$3,1)=1,"WO","P"))</f>
        <v>P</v>
      </c>
      <c r="I41" s="4" t="str">
        <f>IFERROR(LOOKUP(2,1/((#REF!=oct!$A41)*(#REF!&lt;=oct!I$3)*(#REF!&gt;=oct!I$3)),#REF!),IF(WEEKDAY(oct!I$3,1)=1,"WO","P"))</f>
        <v>WO</v>
      </c>
      <c r="J41" s="4" t="str">
        <f>IFERROR(LOOKUP(2,1/((#REF!=oct!$A41)*(#REF!&lt;=oct!J$3)*(#REF!&gt;=oct!J$3)),#REF!),IF(WEEKDAY(oct!J$3,1)=1,"WO","P"))</f>
        <v>P</v>
      </c>
      <c r="K41" s="4" t="str">
        <f>IFERROR(LOOKUP(2,1/((#REF!=oct!$A41)*(#REF!&lt;=oct!K$3)*(#REF!&gt;=oct!K$3)),#REF!),IF(WEEKDAY(oct!K$3,1)=1,"WO","P"))</f>
        <v>P</v>
      </c>
      <c r="L41" s="4" t="str">
        <f>IFERROR(LOOKUP(2,1/((#REF!=oct!$A41)*(#REF!&lt;=oct!L$3)*(#REF!&gt;=oct!L$3)),#REF!),IF(WEEKDAY(oct!L$3,1)=1,"WO","P"))</f>
        <v>P</v>
      </c>
      <c r="M41" s="4" t="str">
        <f>IFERROR(LOOKUP(2,1/((#REF!=oct!$A41)*(#REF!&lt;=oct!M$3)*(#REF!&gt;=oct!M$3)),#REF!),IF(WEEKDAY(oct!M$3,1)=1,"WO","P"))</f>
        <v>P</v>
      </c>
      <c r="N41" s="4" t="str">
        <f>IFERROR(LOOKUP(2,1/((#REF!=oct!$A41)*(#REF!&lt;=oct!N$3)*(#REF!&gt;=oct!N$3)),#REF!),IF(WEEKDAY(oct!N$3,1)=1,"WO","P"))</f>
        <v>P</v>
      </c>
      <c r="O41" s="4" t="str">
        <f>IFERROR(LOOKUP(2,1/((#REF!=oct!$A41)*(#REF!&lt;=oct!O$3)*(#REF!&gt;=oct!O$3)),#REF!),IF(WEEKDAY(oct!O$3,1)=1,"WO","P"))</f>
        <v>P</v>
      </c>
      <c r="P41" s="4" t="str">
        <f>IFERROR(LOOKUP(2,1/((#REF!=oct!$A41)*(#REF!&lt;=oct!P$3)*(#REF!&gt;=oct!P$3)),#REF!),IF(WEEKDAY(oct!P$3,1)=1,"WO","P"))</f>
        <v>WO</v>
      </c>
      <c r="Q41" s="4" t="str">
        <f>IFERROR(LOOKUP(2,1/((#REF!=oct!$A41)*(#REF!&lt;=oct!Q$3)*(#REF!&gt;=oct!Q$3)),#REF!),IF(WEEKDAY(oct!Q$3,1)=1,"WO","P"))</f>
        <v>P</v>
      </c>
      <c r="R41" s="4" t="str">
        <f>IFERROR(LOOKUP(2,1/((#REF!=oct!$A41)*(#REF!&lt;=oct!R$3)*(#REF!&gt;=oct!R$3)),#REF!),IF(WEEKDAY(oct!R$3,1)=1,"WO","P"))</f>
        <v>P</v>
      </c>
      <c r="S41" s="4" t="str">
        <f>IFERROR(LOOKUP(2,1/((#REF!=oct!$A41)*(#REF!&lt;=oct!S$3)*(#REF!&gt;=oct!S$3)),#REF!),IF(WEEKDAY(oct!S$3,1)=1,"WO","P"))</f>
        <v>P</v>
      </c>
      <c r="T41" s="4" t="str">
        <f>IFERROR(LOOKUP(2,1/((#REF!=oct!$A41)*(#REF!&lt;=oct!T$3)*(#REF!&gt;=oct!T$3)),#REF!),IF(WEEKDAY(oct!T$3,1)=1,"WO","P"))</f>
        <v>P</v>
      </c>
      <c r="U41" s="4" t="str">
        <f>IFERROR(LOOKUP(2,1/((#REF!=oct!$A41)*(#REF!&lt;=oct!U$3)*(#REF!&gt;=oct!U$3)),#REF!),IF(WEEKDAY(oct!U$3,1)=1,"WO","P"))</f>
        <v>P</v>
      </c>
      <c r="V41" s="4" t="str">
        <f>IFERROR(LOOKUP(2,1/((#REF!=oct!$A41)*(#REF!&lt;=oct!V$3)*(#REF!&gt;=oct!V$3)),#REF!),IF(WEEKDAY(oct!V$3,1)=1,"WO","P"))</f>
        <v>P</v>
      </c>
      <c r="W41" s="4" t="str">
        <f>IFERROR(LOOKUP(2,1/((#REF!=oct!$A41)*(#REF!&lt;=oct!W$3)*(#REF!&gt;=oct!W$3)),#REF!),IF(WEEKDAY(oct!W$3,1)=1,"WO","P"))</f>
        <v>WO</v>
      </c>
      <c r="X41" s="4" t="str">
        <f>IFERROR(LOOKUP(2,1/((#REF!=oct!$A41)*(#REF!&lt;=oct!X$3)*(#REF!&gt;=oct!X$3)),#REF!),IF(WEEKDAY(oct!X$3,1)=1,"WO","P"))</f>
        <v>P</v>
      </c>
      <c r="Y41" s="4" t="str">
        <f>IFERROR(LOOKUP(2,1/((#REF!=oct!$A41)*(#REF!&lt;=oct!Y$3)*(#REF!&gt;=oct!Y$3)),#REF!),IF(WEEKDAY(oct!Y$3,1)=1,"WO","P"))</f>
        <v>P</v>
      </c>
      <c r="Z41" s="4" t="str">
        <f>IFERROR(LOOKUP(2,1/((#REF!=oct!$A41)*(#REF!&lt;=oct!Z$3)*(#REF!&gt;=oct!Z$3)),#REF!),IF(WEEKDAY(oct!Z$3,1)=1,"WO","P"))</f>
        <v>P</v>
      </c>
      <c r="AA41" s="4" t="str">
        <f>IFERROR(LOOKUP(2,1/((#REF!=oct!$A41)*(#REF!&lt;=oct!AA$3)*(#REF!&gt;=oct!AA$3)),#REF!),IF(WEEKDAY(oct!AA$3,1)=1,"WO","P"))</f>
        <v>P</v>
      </c>
      <c r="AB41" s="4" t="str">
        <f>IFERROR(LOOKUP(2,1/((#REF!=oct!$A41)*(#REF!&lt;=oct!AB$3)*(#REF!&gt;=oct!AB$3)),#REF!),IF(WEEKDAY(oct!AB$3,1)=1,"WO","P"))</f>
        <v>P</v>
      </c>
      <c r="AC41" s="4" t="str">
        <f>IFERROR(LOOKUP(2,1/((#REF!=oct!$A41)*(#REF!&lt;=oct!AC$3)*(#REF!&gt;=oct!AC$3)),#REF!),IF(WEEKDAY(oct!AC$3,1)=1,"WO","P"))</f>
        <v>P</v>
      </c>
      <c r="AD41" s="4" t="str">
        <f>IFERROR(LOOKUP(2,1/((#REF!=oct!$A41)*(#REF!&lt;=oct!AD$3)*(#REF!&gt;=oct!AD$3)),#REF!),IF(WEEKDAY(oct!AD$3,1)=1,"WO","P"))</f>
        <v>WO</v>
      </c>
      <c r="AE41" s="4" t="str">
        <f>IFERROR(LOOKUP(2,1/((#REF!=oct!$A41)*(#REF!&lt;=oct!AE$3)*(#REF!&gt;=oct!AE$3)),#REF!),IF(WEEKDAY(oct!AE$3,1)=1,"WO","P"))</f>
        <v>P</v>
      </c>
      <c r="AF41" s="4" t="str">
        <f>IFERROR(LOOKUP(2,1/((#REF!=oct!$A41)*(#REF!&lt;=oct!AF$3)*(#REF!&gt;=oct!AF$3)),#REF!),IF(WEEKDAY(oct!AF$3,1)=1,"WO","P"))</f>
        <v>P</v>
      </c>
      <c r="AG41" s="4" t="str">
        <f>IFERROR(LOOKUP(2,1/((#REF!=oct!$A41)*(#REF!&lt;=oct!AG$3)*(#REF!&gt;=oct!AG$3)),#REF!),IF(WEEKDAY(oct!AG$3,1)=1,"WO","P"))</f>
        <v>P</v>
      </c>
      <c r="AH41" s="4" t="str">
        <f>IFERROR(LOOKUP(2,1/((#REF!=oct!$A41)*(#REF!&lt;=oct!AH$3)*(#REF!&gt;=oct!AH$3)),#REF!),IF(WEEKDAY(oct!AH$3,1)=1,"WO","P"))</f>
        <v>P</v>
      </c>
      <c r="AI41" s="4" t="str">
        <f>IFERROR(LOOKUP(2,1/((#REF!=oct!$A41)*(#REF!&lt;=oct!AI$3)*(#REF!&gt;=oct!AI$3)),#REF!),IF(WEEKDAY(oct!AI$3,1)=1,"WO","P"))</f>
        <v>P</v>
      </c>
      <c r="AJ41" s="4" t="str">
        <f>IFERROR(LOOKUP(2,1/((#REF!=oct!$A41)*(#REF!&lt;=oct!AJ$3)*(#REF!&gt;=oct!AJ$3)),#REF!),IF(WEEKDAY(oct!AJ$3,1)=1,"WO","P"))</f>
        <v>P</v>
      </c>
      <c r="AK41" s="4">
        <f>COUNTIF(mar!$F41:$AJ41,"WO")</f>
        <v>5</v>
      </c>
      <c r="AL41" s="4">
        <f>COUNTIF(mar!$F41:$AJ41,"H")</f>
        <v>2</v>
      </c>
      <c r="AM41" s="4">
        <f>COUNTIF(mar!$F41:$AJ41,"pl")</f>
        <v>0</v>
      </c>
      <c r="AN41" s="4">
        <f>COUNTIF(mar!$F41:$AJ41,"LWP")</f>
        <v>0</v>
      </c>
      <c r="AO41" s="4">
        <f>COUNTIF(mar!$F41:$AJ41,"HD")</f>
        <v>0</v>
      </c>
      <c r="AP41" s="4">
        <f>COUNTIF(mar!$F41:$AJ41,"SL")</f>
        <v>0</v>
      </c>
      <c r="AQ41" s="4">
        <f>COUNTIF(mar!$F41:$AJ41,"CL")</f>
        <v>0</v>
      </c>
      <c r="AR41" s="4">
        <f>COUNTIF(mar!$F41:$AJ41,"A")</f>
        <v>0</v>
      </c>
      <c r="AS41" s="4">
        <f>COUNTIF(mar!$F41:$AJ41,"P")</f>
        <v>24</v>
      </c>
      <c r="AT41" s="4">
        <f t="shared" si="2"/>
        <v>31</v>
      </c>
      <c r="AU41" s="4">
        <f t="shared" si="3"/>
        <v>31</v>
      </c>
      <c r="AV41" s="4">
        <f>SUMIFS(holly!$L$2:$L$122,holly!$I$2:$I$122,mar!$A41,holly!$K$2:$K$122,"Mar")</f>
        <v>0</v>
      </c>
    </row>
    <row r="42" spans="1:48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IFERROR(LOOKUP(2,1/((#REF!=oct!$A42)*(#REF!&lt;=oct!F$3)*(#REF!&gt;=oct!F$3)),#REF!),IF(WEEKDAY(oct!F$3,1)=1,"WO","P"))</f>
        <v>P</v>
      </c>
      <c r="G42" s="4" t="str">
        <f>IFERROR(LOOKUP(2,1/((#REF!=oct!$A42)*(#REF!&lt;=oct!G$3)*(#REF!&gt;=oct!G$3)),#REF!),IF(WEEKDAY(oct!G$3,1)=1,"WO","P"))</f>
        <v>P</v>
      </c>
      <c r="H42" s="4" t="str">
        <f>IFERROR(LOOKUP(2,1/((#REF!=oct!$A42)*(#REF!&lt;=oct!H$3)*(#REF!&gt;=oct!H$3)),#REF!),IF(WEEKDAY(oct!H$3,1)=1,"WO","P"))</f>
        <v>P</v>
      </c>
      <c r="I42" s="4" t="str">
        <f>IFERROR(LOOKUP(2,1/((#REF!=oct!$A42)*(#REF!&lt;=oct!I$3)*(#REF!&gt;=oct!I$3)),#REF!),IF(WEEKDAY(oct!I$3,1)=1,"WO","P"))</f>
        <v>WO</v>
      </c>
      <c r="J42" s="4" t="str">
        <f>IFERROR(LOOKUP(2,1/((#REF!=oct!$A42)*(#REF!&lt;=oct!J$3)*(#REF!&gt;=oct!J$3)),#REF!),IF(WEEKDAY(oct!J$3,1)=1,"WO","P"))</f>
        <v>P</v>
      </c>
      <c r="K42" s="4" t="str">
        <f>IFERROR(LOOKUP(2,1/((#REF!=oct!$A42)*(#REF!&lt;=oct!K$3)*(#REF!&gt;=oct!K$3)),#REF!),IF(WEEKDAY(oct!K$3,1)=1,"WO","P"))</f>
        <v>P</v>
      </c>
      <c r="L42" s="4" t="str">
        <f>IFERROR(LOOKUP(2,1/((#REF!=oct!$A42)*(#REF!&lt;=oct!L$3)*(#REF!&gt;=oct!L$3)),#REF!),IF(WEEKDAY(oct!L$3,1)=1,"WO","P"))</f>
        <v>P</v>
      </c>
      <c r="M42" s="4" t="str">
        <f>IFERROR(LOOKUP(2,1/((#REF!=oct!$A42)*(#REF!&lt;=oct!M$3)*(#REF!&gt;=oct!M$3)),#REF!),IF(WEEKDAY(oct!M$3,1)=1,"WO","P"))</f>
        <v>P</v>
      </c>
      <c r="N42" s="4" t="str">
        <f>IFERROR(LOOKUP(2,1/((#REF!=oct!$A42)*(#REF!&lt;=oct!N$3)*(#REF!&gt;=oct!N$3)),#REF!),IF(WEEKDAY(oct!N$3,1)=1,"WO","P"))</f>
        <v>P</v>
      </c>
      <c r="O42" s="4" t="str">
        <f>IFERROR(LOOKUP(2,1/((#REF!=oct!$A42)*(#REF!&lt;=oct!O$3)*(#REF!&gt;=oct!O$3)),#REF!),IF(WEEKDAY(oct!O$3,1)=1,"WO","P"))</f>
        <v>P</v>
      </c>
      <c r="P42" s="4" t="str">
        <f>IFERROR(LOOKUP(2,1/((#REF!=oct!$A42)*(#REF!&lt;=oct!P$3)*(#REF!&gt;=oct!P$3)),#REF!),IF(WEEKDAY(oct!P$3,1)=1,"WO","P"))</f>
        <v>WO</v>
      </c>
      <c r="Q42" s="4" t="str">
        <f>IFERROR(LOOKUP(2,1/((#REF!=oct!$A42)*(#REF!&lt;=oct!Q$3)*(#REF!&gt;=oct!Q$3)),#REF!),IF(WEEKDAY(oct!Q$3,1)=1,"WO","P"))</f>
        <v>P</v>
      </c>
      <c r="R42" s="4" t="str">
        <f>IFERROR(LOOKUP(2,1/((#REF!=oct!$A42)*(#REF!&lt;=oct!R$3)*(#REF!&gt;=oct!R$3)),#REF!),IF(WEEKDAY(oct!R$3,1)=1,"WO","P"))</f>
        <v>P</v>
      </c>
      <c r="S42" s="4" t="str">
        <f>IFERROR(LOOKUP(2,1/((#REF!=oct!$A42)*(#REF!&lt;=oct!S$3)*(#REF!&gt;=oct!S$3)),#REF!),IF(WEEKDAY(oct!S$3,1)=1,"WO","P"))</f>
        <v>P</v>
      </c>
      <c r="T42" s="4" t="str">
        <f>IFERROR(LOOKUP(2,1/((#REF!=oct!$A42)*(#REF!&lt;=oct!T$3)*(#REF!&gt;=oct!T$3)),#REF!),IF(WEEKDAY(oct!T$3,1)=1,"WO","P"))</f>
        <v>P</v>
      </c>
      <c r="U42" s="4" t="str">
        <f>IFERROR(LOOKUP(2,1/((#REF!=oct!$A42)*(#REF!&lt;=oct!U$3)*(#REF!&gt;=oct!U$3)),#REF!),IF(WEEKDAY(oct!U$3,1)=1,"WO","P"))</f>
        <v>P</v>
      </c>
      <c r="V42" s="4" t="str">
        <f>IFERROR(LOOKUP(2,1/((#REF!=oct!$A42)*(#REF!&lt;=oct!V$3)*(#REF!&gt;=oct!V$3)),#REF!),IF(WEEKDAY(oct!V$3,1)=1,"WO","P"))</f>
        <v>P</v>
      </c>
      <c r="W42" s="4" t="str">
        <f>IFERROR(LOOKUP(2,1/((#REF!=oct!$A42)*(#REF!&lt;=oct!W$3)*(#REF!&gt;=oct!W$3)),#REF!),IF(WEEKDAY(oct!W$3,1)=1,"WO","P"))</f>
        <v>WO</v>
      </c>
      <c r="X42" s="4" t="str">
        <f>IFERROR(LOOKUP(2,1/((#REF!=oct!$A42)*(#REF!&lt;=oct!X$3)*(#REF!&gt;=oct!X$3)),#REF!),IF(WEEKDAY(oct!X$3,1)=1,"WO","P"))</f>
        <v>P</v>
      </c>
      <c r="Y42" s="4" t="str">
        <f>IFERROR(LOOKUP(2,1/((#REF!=oct!$A42)*(#REF!&lt;=oct!Y$3)*(#REF!&gt;=oct!Y$3)),#REF!),IF(WEEKDAY(oct!Y$3,1)=1,"WO","P"))</f>
        <v>P</v>
      </c>
      <c r="Z42" s="4" t="str">
        <f>IFERROR(LOOKUP(2,1/((#REF!=oct!$A42)*(#REF!&lt;=oct!Z$3)*(#REF!&gt;=oct!Z$3)),#REF!),IF(WEEKDAY(oct!Z$3,1)=1,"WO","P"))</f>
        <v>P</v>
      </c>
      <c r="AA42" s="4" t="str">
        <f>IFERROR(LOOKUP(2,1/((#REF!=oct!$A42)*(#REF!&lt;=oct!AA$3)*(#REF!&gt;=oct!AA$3)),#REF!),IF(WEEKDAY(oct!AA$3,1)=1,"WO","P"))</f>
        <v>P</v>
      </c>
      <c r="AB42" s="4" t="str">
        <f>IFERROR(LOOKUP(2,1/((#REF!=oct!$A42)*(#REF!&lt;=oct!AB$3)*(#REF!&gt;=oct!AB$3)),#REF!),IF(WEEKDAY(oct!AB$3,1)=1,"WO","P"))</f>
        <v>P</v>
      </c>
      <c r="AC42" s="4" t="str">
        <f>IFERROR(LOOKUP(2,1/((#REF!=oct!$A42)*(#REF!&lt;=oct!AC$3)*(#REF!&gt;=oct!AC$3)),#REF!),IF(WEEKDAY(oct!AC$3,1)=1,"WO","P"))</f>
        <v>P</v>
      </c>
      <c r="AD42" s="4" t="str">
        <f>IFERROR(LOOKUP(2,1/((#REF!=oct!$A42)*(#REF!&lt;=oct!AD$3)*(#REF!&gt;=oct!AD$3)),#REF!),IF(WEEKDAY(oct!AD$3,1)=1,"WO","P"))</f>
        <v>WO</v>
      </c>
      <c r="AE42" s="4" t="str">
        <f>IFERROR(LOOKUP(2,1/((#REF!=oct!$A42)*(#REF!&lt;=oct!AE$3)*(#REF!&gt;=oct!AE$3)),#REF!),IF(WEEKDAY(oct!AE$3,1)=1,"WO","P"))</f>
        <v>P</v>
      </c>
      <c r="AF42" s="4" t="str">
        <f>IFERROR(LOOKUP(2,1/((#REF!=oct!$A42)*(#REF!&lt;=oct!AF$3)*(#REF!&gt;=oct!AF$3)),#REF!),IF(WEEKDAY(oct!AF$3,1)=1,"WO","P"))</f>
        <v>P</v>
      </c>
      <c r="AG42" s="4" t="str">
        <f>IFERROR(LOOKUP(2,1/((#REF!=oct!$A42)*(#REF!&lt;=oct!AG$3)*(#REF!&gt;=oct!AG$3)),#REF!),IF(WEEKDAY(oct!AG$3,1)=1,"WO","P"))</f>
        <v>P</v>
      </c>
      <c r="AH42" s="4" t="str">
        <f>IFERROR(LOOKUP(2,1/((#REF!=oct!$A42)*(#REF!&lt;=oct!AH$3)*(#REF!&gt;=oct!AH$3)),#REF!),IF(WEEKDAY(oct!AH$3,1)=1,"WO","P"))</f>
        <v>P</v>
      </c>
      <c r="AI42" s="4" t="str">
        <f>IFERROR(LOOKUP(2,1/((#REF!=oct!$A42)*(#REF!&lt;=oct!AI$3)*(#REF!&gt;=oct!AI$3)),#REF!),IF(WEEKDAY(oct!AI$3,1)=1,"WO","P"))</f>
        <v>P</v>
      </c>
      <c r="AJ42" s="4" t="str">
        <f>IFERROR(LOOKUP(2,1/((#REF!=oct!$A42)*(#REF!&lt;=oct!AJ$3)*(#REF!&gt;=oct!AJ$3)),#REF!),IF(WEEKDAY(oct!AJ$3,1)=1,"WO","P"))</f>
        <v>P</v>
      </c>
      <c r="AK42" s="4">
        <f>COUNTIF(mar!$F42:$AJ42,"WO")</f>
        <v>5</v>
      </c>
      <c r="AL42" s="4">
        <f>COUNTIF(mar!$F42:$AJ42,"H")</f>
        <v>2</v>
      </c>
      <c r="AM42" s="4">
        <f>COUNTIF(mar!$F42:$AJ42,"pl")</f>
        <v>0</v>
      </c>
      <c r="AN42" s="4">
        <f>COUNTIF(mar!$F42:$AJ42,"LWP")</f>
        <v>0</v>
      </c>
      <c r="AO42" s="4">
        <f>COUNTIF(mar!$F42:$AJ42,"HD")</f>
        <v>0</v>
      </c>
      <c r="AP42" s="4">
        <f>COUNTIF(mar!$F42:$AJ42,"SL")</f>
        <v>0</v>
      </c>
      <c r="AQ42" s="4">
        <f>COUNTIF(mar!$F42:$AJ42,"CL")</f>
        <v>0</v>
      </c>
      <c r="AR42" s="4">
        <f>COUNTIF(mar!$F42:$AJ42,"A")</f>
        <v>0</v>
      </c>
      <c r="AS42" s="4">
        <f>COUNTIF(mar!$F42:$AJ42,"P")</f>
        <v>24</v>
      </c>
      <c r="AT42" s="4">
        <f t="shared" si="2"/>
        <v>31</v>
      </c>
      <c r="AU42" s="4">
        <f t="shared" si="3"/>
        <v>31</v>
      </c>
      <c r="AV42" s="4">
        <f>SUMIFS(holly!$L$2:$L$122,holly!$I$2:$I$122,mar!$A42,holly!$K$2:$K$122,"Mar")</f>
        <v>2</v>
      </c>
    </row>
    <row r="43" spans="1:48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IFERROR(LOOKUP(2,1/((#REF!=oct!$A43)*(#REF!&lt;=oct!F$3)*(#REF!&gt;=oct!F$3)),#REF!),IF(WEEKDAY(oct!F$3,1)=1,"WO","P"))</f>
        <v>P</v>
      </c>
      <c r="G43" s="4" t="str">
        <f>IFERROR(LOOKUP(2,1/((#REF!=oct!$A43)*(#REF!&lt;=oct!G$3)*(#REF!&gt;=oct!G$3)),#REF!),IF(WEEKDAY(oct!G$3,1)=1,"WO","P"))</f>
        <v>P</v>
      </c>
      <c r="H43" s="4" t="str">
        <f>IFERROR(LOOKUP(2,1/((#REF!=oct!$A43)*(#REF!&lt;=oct!H$3)*(#REF!&gt;=oct!H$3)),#REF!),IF(WEEKDAY(oct!H$3,1)=1,"WO","P"))</f>
        <v>P</v>
      </c>
      <c r="I43" s="4" t="str">
        <f>IFERROR(LOOKUP(2,1/((#REF!=oct!$A43)*(#REF!&lt;=oct!I$3)*(#REF!&gt;=oct!I$3)),#REF!),IF(WEEKDAY(oct!I$3,1)=1,"WO","P"))</f>
        <v>WO</v>
      </c>
      <c r="J43" s="4" t="str">
        <f>IFERROR(LOOKUP(2,1/((#REF!=oct!$A43)*(#REF!&lt;=oct!J$3)*(#REF!&gt;=oct!J$3)),#REF!),IF(WEEKDAY(oct!J$3,1)=1,"WO","P"))</f>
        <v>P</v>
      </c>
      <c r="K43" s="4" t="str">
        <f>IFERROR(LOOKUP(2,1/((#REF!=oct!$A43)*(#REF!&lt;=oct!K$3)*(#REF!&gt;=oct!K$3)),#REF!),IF(WEEKDAY(oct!K$3,1)=1,"WO","P"))</f>
        <v>P</v>
      </c>
      <c r="L43" s="4" t="str">
        <f>IFERROR(LOOKUP(2,1/((#REF!=oct!$A43)*(#REF!&lt;=oct!L$3)*(#REF!&gt;=oct!L$3)),#REF!),IF(WEEKDAY(oct!L$3,1)=1,"WO","P"))</f>
        <v>P</v>
      </c>
      <c r="M43" s="4" t="str">
        <f>IFERROR(LOOKUP(2,1/((#REF!=oct!$A43)*(#REF!&lt;=oct!M$3)*(#REF!&gt;=oct!M$3)),#REF!),IF(WEEKDAY(oct!M$3,1)=1,"WO","P"))</f>
        <v>P</v>
      </c>
      <c r="N43" s="4" t="str">
        <f>IFERROR(LOOKUP(2,1/((#REF!=oct!$A43)*(#REF!&lt;=oct!N$3)*(#REF!&gt;=oct!N$3)),#REF!),IF(WEEKDAY(oct!N$3,1)=1,"WO","P"))</f>
        <v>P</v>
      </c>
      <c r="O43" s="4" t="str">
        <f>IFERROR(LOOKUP(2,1/((#REF!=oct!$A43)*(#REF!&lt;=oct!O$3)*(#REF!&gt;=oct!O$3)),#REF!),IF(WEEKDAY(oct!O$3,1)=1,"WO","P"))</f>
        <v>P</v>
      </c>
      <c r="P43" s="4" t="str">
        <f>IFERROR(LOOKUP(2,1/((#REF!=oct!$A43)*(#REF!&lt;=oct!P$3)*(#REF!&gt;=oct!P$3)),#REF!),IF(WEEKDAY(oct!P$3,1)=1,"WO","P"))</f>
        <v>WO</v>
      </c>
      <c r="Q43" s="4" t="str">
        <f>IFERROR(LOOKUP(2,1/((#REF!=oct!$A43)*(#REF!&lt;=oct!Q$3)*(#REF!&gt;=oct!Q$3)),#REF!),IF(WEEKDAY(oct!Q$3,1)=1,"WO","P"))</f>
        <v>P</v>
      </c>
      <c r="R43" s="4" t="str">
        <f>IFERROR(LOOKUP(2,1/((#REF!=oct!$A43)*(#REF!&lt;=oct!R$3)*(#REF!&gt;=oct!R$3)),#REF!),IF(WEEKDAY(oct!R$3,1)=1,"WO","P"))</f>
        <v>P</v>
      </c>
      <c r="S43" s="4" t="str">
        <f>IFERROR(LOOKUP(2,1/((#REF!=oct!$A43)*(#REF!&lt;=oct!S$3)*(#REF!&gt;=oct!S$3)),#REF!),IF(WEEKDAY(oct!S$3,1)=1,"WO","P"))</f>
        <v>P</v>
      </c>
      <c r="T43" s="4" t="str">
        <f>IFERROR(LOOKUP(2,1/((#REF!=oct!$A43)*(#REF!&lt;=oct!T$3)*(#REF!&gt;=oct!T$3)),#REF!),IF(WEEKDAY(oct!T$3,1)=1,"WO","P"))</f>
        <v>P</v>
      </c>
      <c r="U43" s="4" t="str">
        <f>IFERROR(LOOKUP(2,1/((#REF!=oct!$A43)*(#REF!&lt;=oct!U$3)*(#REF!&gt;=oct!U$3)),#REF!),IF(WEEKDAY(oct!U$3,1)=1,"WO","P"))</f>
        <v>P</v>
      </c>
      <c r="V43" s="4" t="str">
        <f>IFERROR(LOOKUP(2,1/((#REF!=oct!$A43)*(#REF!&lt;=oct!V$3)*(#REF!&gt;=oct!V$3)),#REF!),IF(WEEKDAY(oct!V$3,1)=1,"WO","P"))</f>
        <v>P</v>
      </c>
      <c r="W43" s="4" t="str">
        <f>IFERROR(LOOKUP(2,1/((#REF!=oct!$A43)*(#REF!&lt;=oct!W$3)*(#REF!&gt;=oct!W$3)),#REF!),IF(WEEKDAY(oct!W$3,1)=1,"WO","P"))</f>
        <v>WO</v>
      </c>
      <c r="X43" s="4" t="str">
        <f>IFERROR(LOOKUP(2,1/((#REF!=oct!$A43)*(#REF!&lt;=oct!X$3)*(#REF!&gt;=oct!X$3)),#REF!),IF(WEEKDAY(oct!X$3,1)=1,"WO","P"))</f>
        <v>P</v>
      </c>
      <c r="Y43" s="4" t="str">
        <f>IFERROR(LOOKUP(2,1/((#REF!=oct!$A43)*(#REF!&lt;=oct!Y$3)*(#REF!&gt;=oct!Y$3)),#REF!),IF(WEEKDAY(oct!Y$3,1)=1,"WO","P"))</f>
        <v>P</v>
      </c>
      <c r="Z43" s="4" t="str">
        <f>IFERROR(LOOKUP(2,1/((#REF!=oct!$A43)*(#REF!&lt;=oct!Z$3)*(#REF!&gt;=oct!Z$3)),#REF!),IF(WEEKDAY(oct!Z$3,1)=1,"WO","P"))</f>
        <v>P</v>
      </c>
      <c r="AA43" s="4" t="str">
        <f>IFERROR(LOOKUP(2,1/((#REF!=oct!$A43)*(#REF!&lt;=oct!AA$3)*(#REF!&gt;=oct!AA$3)),#REF!),IF(WEEKDAY(oct!AA$3,1)=1,"WO","P"))</f>
        <v>P</v>
      </c>
      <c r="AB43" s="4" t="str">
        <f>IFERROR(LOOKUP(2,1/((#REF!=oct!$A43)*(#REF!&lt;=oct!AB$3)*(#REF!&gt;=oct!AB$3)),#REF!),IF(WEEKDAY(oct!AB$3,1)=1,"WO","P"))</f>
        <v>P</v>
      </c>
      <c r="AC43" s="4" t="str">
        <f>IFERROR(LOOKUP(2,1/((#REF!=oct!$A43)*(#REF!&lt;=oct!AC$3)*(#REF!&gt;=oct!AC$3)),#REF!),IF(WEEKDAY(oct!AC$3,1)=1,"WO","P"))</f>
        <v>P</v>
      </c>
      <c r="AD43" s="4" t="str">
        <f>IFERROR(LOOKUP(2,1/((#REF!=oct!$A43)*(#REF!&lt;=oct!AD$3)*(#REF!&gt;=oct!AD$3)),#REF!),IF(WEEKDAY(oct!AD$3,1)=1,"WO","P"))</f>
        <v>WO</v>
      </c>
      <c r="AE43" s="4" t="str">
        <f>IFERROR(LOOKUP(2,1/((#REF!=oct!$A43)*(#REF!&lt;=oct!AE$3)*(#REF!&gt;=oct!AE$3)),#REF!),IF(WEEKDAY(oct!AE$3,1)=1,"WO","P"))</f>
        <v>P</v>
      </c>
      <c r="AF43" s="4" t="str">
        <f>IFERROR(LOOKUP(2,1/((#REF!=oct!$A43)*(#REF!&lt;=oct!AF$3)*(#REF!&gt;=oct!AF$3)),#REF!),IF(WEEKDAY(oct!AF$3,1)=1,"WO","P"))</f>
        <v>P</v>
      </c>
      <c r="AG43" s="4" t="str">
        <f>IFERROR(LOOKUP(2,1/((#REF!=oct!$A43)*(#REF!&lt;=oct!AG$3)*(#REF!&gt;=oct!AG$3)),#REF!),IF(WEEKDAY(oct!AG$3,1)=1,"WO","P"))</f>
        <v>P</v>
      </c>
      <c r="AH43" s="4" t="str">
        <f>IFERROR(LOOKUP(2,1/((#REF!=oct!$A43)*(#REF!&lt;=oct!AH$3)*(#REF!&gt;=oct!AH$3)),#REF!),IF(WEEKDAY(oct!AH$3,1)=1,"WO","P"))</f>
        <v>P</v>
      </c>
      <c r="AI43" s="4" t="str">
        <f>IFERROR(LOOKUP(2,1/((#REF!=oct!$A43)*(#REF!&lt;=oct!AI$3)*(#REF!&gt;=oct!AI$3)),#REF!),IF(WEEKDAY(oct!AI$3,1)=1,"WO","P"))</f>
        <v>P</v>
      </c>
      <c r="AJ43" s="4" t="str">
        <f>IFERROR(LOOKUP(2,1/((#REF!=oct!$A43)*(#REF!&lt;=oct!AJ$3)*(#REF!&gt;=oct!AJ$3)),#REF!),IF(WEEKDAY(oct!AJ$3,1)=1,"WO","P"))</f>
        <v>P</v>
      </c>
      <c r="AK43" s="4">
        <f>COUNTIF(mar!$F43:$AJ43,"WO")</f>
        <v>5</v>
      </c>
      <c r="AL43" s="4">
        <f>COUNTIF(mar!$F43:$AJ43,"H")</f>
        <v>2</v>
      </c>
      <c r="AM43" s="4">
        <f>COUNTIF(mar!$F43:$AJ43,"pl")</f>
        <v>0</v>
      </c>
      <c r="AN43" s="4">
        <f>COUNTIF(mar!$F43:$AJ43,"LWP")</f>
        <v>0</v>
      </c>
      <c r="AO43" s="4">
        <f>COUNTIF(mar!$F43:$AJ43,"HD")</f>
        <v>0</v>
      </c>
      <c r="AP43" s="4">
        <f>COUNTIF(mar!$F43:$AJ43,"SL")</f>
        <v>0</v>
      </c>
      <c r="AQ43" s="4">
        <f>COUNTIF(mar!$F43:$AJ43,"CL")</f>
        <v>0</v>
      </c>
      <c r="AR43" s="4">
        <f>COUNTIF(mar!$F43:$AJ43,"A")</f>
        <v>1</v>
      </c>
      <c r="AS43" s="4">
        <f>COUNTIF(mar!$F43:$AJ43,"P")</f>
        <v>23</v>
      </c>
      <c r="AT43" s="4">
        <f t="shared" si="2"/>
        <v>31</v>
      </c>
      <c r="AU43" s="4">
        <f t="shared" si="3"/>
        <v>30</v>
      </c>
      <c r="AV43" s="4">
        <f>SUMIFS(holly!$L$2:$L$122,holly!$I$2:$I$122,mar!$A43,holly!$K$2:$K$122,"Mar")</f>
        <v>0</v>
      </c>
    </row>
    <row r="44" spans="1:48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IFERROR(LOOKUP(2,1/((#REF!=oct!$A44)*(#REF!&lt;=oct!F$3)*(#REF!&gt;=oct!F$3)),#REF!),IF(WEEKDAY(oct!F$3,1)=1,"WO","P"))</f>
        <v>P</v>
      </c>
      <c r="G44" s="4" t="str">
        <f>IFERROR(LOOKUP(2,1/((#REF!=oct!$A44)*(#REF!&lt;=oct!G$3)*(#REF!&gt;=oct!G$3)),#REF!),IF(WEEKDAY(oct!G$3,1)=1,"WO","P"))</f>
        <v>P</v>
      </c>
      <c r="H44" s="4" t="str">
        <f>IFERROR(LOOKUP(2,1/((#REF!=oct!$A44)*(#REF!&lt;=oct!H$3)*(#REF!&gt;=oct!H$3)),#REF!),IF(WEEKDAY(oct!H$3,1)=1,"WO","P"))</f>
        <v>P</v>
      </c>
      <c r="I44" s="4" t="str">
        <f>IFERROR(LOOKUP(2,1/((#REF!=oct!$A44)*(#REF!&lt;=oct!I$3)*(#REF!&gt;=oct!I$3)),#REF!),IF(WEEKDAY(oct!I$3,1)=1,"WO","P"))</f>
        <v>WO</v>
      </c>
      <c r="J44" s="4" t="str">
        <f>IFERROR(LOOKUP(2,1/((#REF!=oct!$A44)*(#REF!&lt;=oct!J$3)*(#REF!&gt;=oct!J$3)),#REF!),IF(WEEKDAY(oct!J$3,1)=1,"WO","P"))</f>
        <v>P</v>
      </c>
      <c r="K44" s="4" t="str">
        <f>IFERROR(LOOKUP(2,1/((#REF!=oct!$A44)*(#REF!&lt;=oct!K$3)*(#REF!&gt;=oct!K$3)),#REF!),IF(WEEKDAY(oct!K$3,1)=1,"WO","P"))</f>
        <v>P</v>
      </c>
      <c r="L44" s="4" t="str">
        <f>IFERROR(LOOKUP(2,1/((#REF!=oct!$A44)*(#REF!&lt;=oct!L$3)*(#REF!&gt;=oct!L$3)),#REF!),IF(WEEKDAY(oct!L$3,1)=1,"WO","P"))</f>
        <v>P</v>
      </c>
      <c r="M44" s="4" t="str">
        <f>IFERROR(LOOKUP(2,1/((#REF!=oct!$A44)*(#REF!&lt;=oct!M$3)*(#REF!&gt;=oct!M$3)),#REF!),IF(WEEKDAY(oct!M$3,1)=1,"WO","P"))</f>
        <v>P</v>
      </c>
      <c r="N44" s="4" t="str">
        <f>IFERROR(LOOKUP(2,1/((#REF!=oct!$A44)*(#REF!&lt;=oct!N$3)*(#REF!&gt;=oct!N$3)),#REF!),IF(WEEKDAY(oct!N$3,1)=1,"WO","P"))</f>
        <v>P</v>
      </c>
      <c r="O44" s="4" t="str">
        <f>IFERROR(LOOKUP(2,1/((#REF!=oct!$A44)*(#REF!&lt;=oct!O$3)*(#REF!&gt;=oct!O$3)),#REF!),IF(WEEKDAY(oct!O$3,1)=1,"WO","P"))</f>
        <v>P</v>
      </c>
      <c r="P44" s="4" t="str">
        <f>IFERROR(LOOKUP(2,1/((#REF!=oct!$A44)*(#REF!&lt;=oct!P$3)*(#REF!&gt;=oct!P$3)),#REF!),IF(WEEKDAY(oct!P$3,1)=1,"WO","P"))</f>
        <v>WO</v>
      </c>
      <c r="Q44" s="4" t="str">
        <f>IFERROR(LOOKUP(2,1/((#REF!=oct!$A44)*(#REF!&lt;=oct!Q$3)*(#REF!&gt;=oct!Q$3)),#REF!),IF(WEEKDAY(oct!Q$3,1)=1,"WO","P"))</f>
        <v>P</v>
      </c>
      <c r="R44" s="4" t="str">
        <f>IFERROR(LOOKUP(2,1/((#REF!=oct!$A44)*(#REF!&lt;=oct!R$3)*(#REF!&gt;=oct!R$3)),#REF!),IF(WEEKDAY(oct!R$3,1)=1,"WO","P"))</f>
        <v>P</v>
      </c>
      <c r="S44" s="4" t="str">
        <f>IFERROR(LOOKUP(2,1/((#REF!=oct!$A44)*(#REF!&lt;=oct!S$3)*(#REF!&gt;=oct!S$3)),#REF!),IF(WEEKDAY(oct!S$3,1)=1,"WO","P"))</f>
        <v>P</v>
      </c>
      <c r="T44" s="4" t="str">
        <f>IFERROR(LOOKUP(2,1/((#REF!=oct!$A44)*(#REF!&lt;=oct!T$3)*(#REF!&gt;=oct!T$3)),#REF!),IF(WEEKDAY(oct!T$3,1)=1,"WO","P"))</f>
        <v>P</v>
      </c>
      <c r="U44" s="4" t="str">
        <f>IFERROR(LOOKUP(2,1/((#REF!=oct!$A44)*(#REF!&lt;=oct!U$3)*(#REF!&gt;=oct!U$3)),#REF!),IF(WEEKDAY(oct!U$3,1)=1,"WO","P"))</f>
        <v>P</v>
      </c>
      <c r="V44" s="4" t="str">
        <f>IFERROR(LOOKUP(2,1/((#REF!=oct!$A44)*(#REF!&lt;=oct!V$3)*(#REF!&gt;=oct!V$3)),#REF!),IF(WEEKDAY(oct!V$3,1)=1,"WO","P"))</f>
        <v>P</v>
      </c>
      <c r="W44" s="4" t="str">
        <f>IFERROR(LOOKUP(2,1/((#REF!=oct!$A44)*(#REF!&lt;=oct!W$3)*(#REF!&gt;=oct!W$3)),#REF!),IF(WEEKDAY(oct!W$3,1)=1,"WO","P"))</f>
        <v>WO</v>
      </c>
      <c r="X44" s="4" t="str">
        <f>IFERROR(LOOKUP(2,1/((#REF!=oct!$A44)*(#REF!&lt;=oct!X$3)*(#REF!&gt;=oct!X$3)),#REF!),IF(WEEKDAY(oct!X$3,1)=1,"WO","P"))</f>
        <v>P</v>
      </c>
      <c r="Y44" s="4" t="str">
        <f>IFERROR(LOOKUP(2,1/((#REF!=oct!$A44)*(#REF!&lt;=oct!Y$3)*(#REF!&gt;=oct!Y$3)),#REF!),IF(WEEKDAY(oct!Y$3,1)=1,"WO","P"))</f>
        <v>P</v>
      </c>
      <c r="Z44" s="4" t="str">
        <f>IFERROR(LOOKUP(2,1/((#REF!=oct!$A44)*(#REF!&lt;=oct!Z$3)*(#REF!&gt;=oct!Z$3)),#REF!),IF(WEEKDAY(oct!Z$3,1)=1,"WO","P"))</f>
        <v>P</v>
      </c>
      <c r="AA44" s="4" t="str">
        <f>IFERROR(LOOKUP(2,1/((#REF!=oct!$A44)*(#REF!&lt;=oct!AA$3)*(#REF!&gt;=oct!AA$3)),#REF!),IF(WEEKDAY(oct!AA$3,1)=1,"WO","P"))</f>
        <v>P</v>
      </c>
      <c r="AB44" s="4" t="str">
        <f>IFERROR(LOOKUP(2,1/((#REF!=oct!$A44)*(#REF!&lt;=oct!AB$3)*(#REF!&gt;=oct!AB$3)),#REF!),IF(WEEKDAY(oct!AB$3,1)=1,"WO","P"))</f>
        <v>P</v>
      </c>
      <c r="AC44" s="4" t="str">
        <f>IFERROR(LOOKUP(2,1/((#REF!=oct!$A44)*(#REF!&lt;=oct!AC$3)*(#REF!&gt;=oct!AC$3)),#REF!),IF(WEEKDAY(oct!AC$3,1)=1,"WO","P"))</f>
        <v>P</v>
      </c>
      <c r="AD44" s="4" t="str">
        <f>IFERROR(LOOKUP(2,1/((#REF!=oct!$A44)*(#REF!&lt;=oct!AD$3)*(#REF!&gt;=oct!AD$3)),#REF!),IF(WEEKDAY(oct!AD$3,1)=1,"WO","P"))</f>
        <v>WO</v>
      </c>
      <c r="AE44" s="4" t="str">
        <f>IFERROR(LOOKUP(2,1/((#REF!=oct!$A44)*(#REF!&lt;=oct!AE$3)*(#REF!&gt;=oct!AE$3)),#REF!),IF(WEEKDAY(oct!AE$3,1)=1,"WO","P"))</f>
        <v>P</v>
      </c>
      <c r="AF44" s="4" t="str">
        <f>IFERROR(LOOKUP(2,1/((#REF!=oct!$A44)*(#REF!&lt;=oct!AF$3)*(#REF!&gt;=oct!AF$3)),#REF!),IF(WEEKDAY(oct!AF$3,1)=1,"WO","P"))</f>
        <v>P</v>
      </c>
      <c r="AG44" s="4" t="str">
        <f>IFERROR(LOOKUP(2,1/((#REF!=oct!$A44)*(#REF!&lt;=oct!AG$3)*(#REF!&gt;=oct!AG$3)),#REF!),IF(WEEKDAY(oct!AG$3,1)=1,"WO","P"))</f>
        <v>P</v>
      </c>
      <c r="AH44" s="4" t="str">
        <f>IFERROR(LOOKUP(2,1/((#REF!=oct!$A44)*(#REF!&lt;=oct!AH$3)*(#REF!&gt;=oct!AH$3)),#REF!),IF(WEEKDAY(oct!AH$3,1)=1,"WO","P"))</f>
        <v>P</v>
      </c>
      <c r="AI44" s="4" t="str">
        <f>IFERROR(LOOKUP(2,1/((#REF!=oct!$A44)*(#REF!&lt;=oct!AI$3)*(#REF!&gt;=oct!AI$3)),#REF!),IF(WEEKDAY(oct!AI$3,1)=1,"WO","P"))</f>
        <v>P</v>
      </c>
      <c r="AJ44" s="4" t="str">
        <f>IFERROR(LOOKUP(2,1/((#REF!=oct!$A44)*(#REF!&lt;=oct!AJ$3)*(#REF!&gt;=oct!AJ$3)),#REF!),IF(WEEKDAY(oct!AJ$3,1)=1,"WO","P"))</f>
        <v>P</v>
      </c>
      <c r="AK44" s="4">
        <f>COUNTIF(mar!$F44:$AJ44,"WO")</f>
        <v>5</v>
      </c>
      <c r="AL44" s="4">
        <f>COUNTIF(mar!$F44:$AJ44,"H")</f>
        <v>2</v>
      </c>
      <c r="AM44" s="4">
        <f>COUNTIF(mar!$F44:$AJ44,"pl")</f>
        <v>0</v>
      </c>
      <c r="AN44" s="4">
        <f>COUNTIF(mar!$F44:$AJ44,"LWP")</f>
        <v>0</v>
      </c>
      <c r="AO44" s="4">
        <f>COUNTIF(mar!$F44:$AJ44,"HD")</f>
        <v>0</v>
      </c>
      <c r="AP44" s="4">
        <f>COUNTIF(mar!$F44:$AJ44,"SL")</f>
        <v>0</v>
      </c>
      <c r="AQ44" s="4">
        <f>COUNTIF(mar!$F44:$AJ44,"CL")</f>
        <v>0</v>
      </c>
      <c r="AR44" s="4">
        <f>COUNTIF(mar!$F44:$AJ44,"A")</f>
        <v>2</v>
      </c>
      <c r="AS44" s="4">
        <f>COUNTIF(mar!$F44:$AJ44,"P")</f>
        <v>22</v>
      </c>
      <c r="AT44" s="4">
        <f t="shared" si="2"/>
        <v>31</v>
      </c>
      <c r="AU44" s="4">
        <f t="shared" si="3"/>
        <v>29</v>
      </c>
      <c r="AV44" s="4">
        <f>SUMIFS(holly!$L$2:$L$122,holly!$I$2:$I$122,mar!$A44,holly!$K$2:$K$122,"Mar")</f>
        <v>0</v>
      </c>
    </row>
    <row r="45" spans="1:48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IFERROR(LOOKUP(2,1/((#REF!=oct!$A45)*(#REF!&lt;=oct!F$3)*(#REF!&gt;=oct!F$3)),#REF!),IF(WEEKDAY(oct!F$3,1)=1,"WO","P"))</f>
        <v>P</v>
      </c>
      <c r="G45" s="4" t="str">
        <f>IFERROR(LOOKUP(2,1/((#REF!=oct!$A45)*(#REF!&lt;=oct!G$3)*(#REF!&gt;=oct!G$3)),#REF!),IF(WEEKDAY(oct!G$3,1)=1,"WO","P"))</f>
        <v>P</v>
      </c>
      <c r="H45" s="4" t="str">
        <f>IFERROR(LOOKUP(2,1/((#REF!=oct!$A45)*(#REF!&lt;=oct!H$3)*(#REF!&gt;=oct!H$3)),#REF!),IF(WEEKDAY(oct!H$3,1)=1,"WO","P"))</f>
        <v>P</v>
      </c>
      <c r="I45" s="4" t="str">
        <f>IFERROR(LOOKUP(2,1/((#REF!=oct!$A45)*(#REF!&lt;=oct!I$3)*(#REF!&gt;=oct!I$3)),#REF!),IF(WEEKDAY(oct!I$3,1)=1,"WO","P"))</f>
        <v>WO</v>
      </c>
      <c r="J45" s="4" t="str">
        <f>IFERROR(LOOKUP(2,1/((#REF!=oct!$A45)*(#REF!&lt;=oct!J$3)*(#REF!&gt;=oct!J$3)),#REF!),IF(WEEKDAY(oct!J$3,1)=1,"WO","P"))</f>
        <v>P</v>
      </c>
      <c r="K45" s="4" t="str">
        <f>IFERROR(LOOKUP(2,1/((#REF!=oct!$A45)*(#REF!&lt;=oct!K$3)*(#REF!&gt;=oct!K$3)),#REF!),IF(WEEKDAY(oct!K$3,1)=1,"WO","P"))</f>
        <v>P</v>
      </c>
      <c r="L45" s="4" t="str">
        <f>IFERROR(LOOKUP(2,1/((#REF!=oct!$A45)*(#REF!&lt;=oct!L$3)*(#REF!&gt;=oct!L$3)),#REF!),IF(WEEKDAY(oct!L$3,1)=1,"WO","P"))</f>
        <v>P</v>
      </c>
      <c r="M45" s="4" t="str">
        <f>IFERROR(LOOKUP(2,1/((#REF!=oct!$A45)*(#REF!&lt;=oct!M$3)*(#REF!&gt;=oct!M$3)),#REF!),IF(WEEKDAY(oct!M$3,1)=1,"WO","P"))</f>
        <v>P</v>
      </c>
      <c r="N45" s="4" t="str">
        <f>IFERROR(LOOKUP(2,1/((#REF!=oct!$A45)*(#REF!&lt;=oct!N$3)*(#REF!&gt;=oct!N$3)),#REF!),IF(WEEKDAY(oct!N$3,1)=1,"WO","P"))</f>
        <v>P</v>
      </c>
      <c r="O45" s="4" t="str">
        <f>IFERROR(LOOKUP(2,1/((#REF!=oct!$A45)*(#REF!&lt;=oct!O$3)*(#REF!&gt;=oct!O$3)),#REF!),IF(WEEKDAY(oct!O$3,1)=1,"WO","P"))</f>
        <v>P</v>
      </c>
      <c r="P45" s="4" t="str">
        <f>IFERROR(LOOKUP(2,1/((#REF!=oct!$A45)*(#REF!&lt;=oct!P$3)*(#REF!&gt;=oct!P$3)),#REF!),IF(WEEKDAY(oct!P$3,1)=1,"WO","P"))</f>
        <v>WO</v>
      </c>
      <c r="Q45" s="4" t="str">
        <f>IFERROR(LOOKUP(2,1/((#REF!=oct!$A45)*(#REF!&lt;=oct!Q$3)*(#REF!&gt;=oct!Q$3)),#REF!),IF(WEEKDAY(oct!Q$3,1)=1,"WO","P"))</f>
        <v>P</v>
      </c>
      <c r="R45" s="4" t="str">
        <f>IFERROR(LOOKUP(2,1/((#REF!=oct!$A45)*(#REF!&lt;=oct!R$3)*(#REF!&gt;=oct!R$3)),#REF!),IF(WEEKDAY(oct!R$3,1)=1,"WO","P"))</f>
        <v>P</v>
      </c>
      <c r="S45" s="4" t="str">
        <f>IFERROR(LOOKUP(2,1/((#REF!=oct!$A45)*(#REF!&lt;=oct!S$3)*(#REF!&gt;=oct!S$3)),#REF!),IF(WEEKDAY(oct!S$3,1)=1,"WO","P"))</f>
        <v>P</v>
      </c>
      <c r="T45" s="4" t="str">
        <f>IFERROR(LOOKUP(2,1/((#REF!=oct!$A45)*(#REF!&lt;=oct!T$3)*(#REF!&gt;=oct!T$3)),#REF!),IF(WEEKDAY(oct!T$3,1)=1,"WO","P"))</f>
        <v>P</v>
      </c>
      <c r="U45" s="4" t="str">
        <f>IFERROR(LOOKUP(2,1/((#REF!=oct!$A45)*(#REF!&lt;=oct!U$3)*(#REF!&gt;=oct!U$3)),#REF!),IF(WEEKDAY(oct!U$3,1)=1,"WO","P"))</f>
        <v>P</v>
      </c>
      <c r="V45" s="4" t="str">
        <f>IFERROR(LOOKUP(2,1/((#REF!=oct!$A45)*(#REF!&lt;=oct!V$3)*(#REF!&gt;=oct!V$3)),#REF!),IF(WEEKDAY(oct!V$3,1)=1,"WO","P"))</f>
        <v>P</v>
      </c>
      <c r="W45" s="4" t="str">
        <f>IFERROR(LOOKUP(2,1/((#REF!=oct!$A45)*(#REF!&lt;=oct!W$3)*(#REF!&gt;=oct!W$3)),#REF!),IF(WEEKDAY(oct!W$3,1)=1,"WO","P"))</f>
        <v>WO</v>
      </c>
      <c r="X45" s="4" t="str">
        <f>IFERROR(LOOKUP(2,1/((#REF!=oct!$A45)*(#REF!&lt;=oct!X$3)*(#REF!&gt;=oct!X$3)),#REF!),IF(WEEKDAY(oct!X$3,1)=1,"WO","P"))</f>
        <v>P</v>
      </c>
      <c r="Y45" s="4" t="str">
        <f>IFERROR(LOOKUP(2,1/((#REF!=oct!$A45)*(#REF!&lt;=oct!Y$3)*(#REF!&gt;=oct!Y$3)),#REF!),IF(WEEKDAY(oct!Y$3,1)=1,"WO","P"))</f>
        <v>P</v>
      </c>
      <c r="Z45" s="4" t="str">
        <f>IFERROR(LOOKUP(2,1/((#REF!=oct!$A45)*(#REF!&lt;=oct!Z$3)*(#REF!&gt;=oct!Z$3)),#REF!),IF(WEEKDAY(oct!Z$3,1)=1,"WO","P"))</f>
        <v>P</v>
      </c>
      <c r="AA45" s="4" t="str">
        <f>IFERROR(LOOKUP(2,1/((#REF!=oct!$A45)*(#REF!&lt;=oct!AA$3)*(#REF!&gt;=oct!AA$3)),#REF!),IF(WEEKDAY(oct!AA$3,1)=1,"WO","P"))</f>
        <v>P</v>
      </c>
      <c r="AB45" s="4" t="str">
        <f>IFERROR(LOOKUP(2,1/((#REF!=oct!$A45)*(#REF!&lt;=oct!AB$3)*(#REF!&gt;=oct!AB$3)),#REF!),IF(WEEKDAY(oct!AB$3,1)=1,"WO","P"))</f>
        <v>P</v>
      </c>
      <c r="AC45" s="4" t="str">
        <f>IFERROR(LOOKUP(2,1/((#REF!=oct!$A45)*(#REF!&lt;=oct!AC$3)*(#REF!&gt;=oct!AC$3)),#REF!),IF(WEEKDAY(oct!AC$3,1)=1,"WO","P"))</f>
        <v>P</v>
      </c>
      <c r="AD45" s="4" t="str">
        <f>IFERROR(LOOKUP(2,1/((#REF!=oct!$A45)*(#REF!&lt;=oct!AD$3)*(#REF!&gt;=oct!AD$3)),#REF!),IF(WEEKDAY(oct!AD$3,1)=1,"WO","P"))</f>
        <v>WO</v>
      </c>
      <c r="AE45" s="4" t="str">
        <f>IFERROR(LOOKUP(2,1/((#REF!=oct!$A45)*(#REF!&lt;=oct!AE$3)*(#REF!&gt;=oct!AE$3)),#REF!),IF(WEEKDAY(oct!AE$3,1)=1,"WO","P"))</f>
        <v>P</v>
      </c>
      <c r="AF45" s="4" t="str">
        <f>IFERROR(LOOKUP(2,1/((#REF!=oct!$A45)*(#REF!&lt;=oct!AF$3)*(#REF!&gt;=oct!AF$3)),#REF!),IF(WEEKDAY(oct!AF$3,1)=1,"WO","P"))</f>
        <v>P</v>
      </c>
      <c r="AG45" s="4" t="str">
        <f>IFERROR(LOOKUP(2,1/((#REF!=oct!$A45)*(#REF!&lt;=oct!AG$3)*(#REF!&gt;=oct!AG$3)),#REF!),IF(WEEKDAY(oct!AG$3,1)=1,"WO","P"))</f>
        <v>P</v>
      </c>
      <c r="AH45" s="4" t="str">
        <f>IFERROR(LOOKUP(2,1/((#REF!=oct!$A45)*(#REF!&lt;=oct!AH$3)*(#REF!&gt;=oct!AH$3)),#REF!),IF(WEEKDAY(oct!AH$3,1)=1,"WO","P"))</f>
        <v>P</v>
      </c>
      <c r="AI45" s="4" t="str">
        <f>IFERROR(LOOKUP(2,1/((#REF!=oct!$A45)*(#REF!&lt;=oct!AI$3)*(#REF!&gt;=oct!AI$3)),#REF!),IF(WEEKDAY(oct!AI$3,1)=1,"WO","P"))</f>
        <v>P</v>
      </c>
      <c r="AJ45" s="4" t="str">
        <f>IFERROR(LOOKUP(2,1/((#REF!=oct!$A45)*(#REF!&lt;=oct!AJ$3)*(#REF!&gt;=oct!AJ$3)),#REF!),IF(WEEKDAY(oct!AJ$3,1)=1,"WO","P"))</f>
        <v>P</v>
      </c>
      <c r="AK45" s="4">
        <f>COUNTIF(mar!$F45:$AJ45,"WO")</f>
        <v>5</v>
      </c>
      <c r="AL45" s="4">
        <f>COUNTIF(mar!$F45:$AJ45,"H")</f>
        <v>2</v>
      </c>
      <c r="AM45" s="4">
        <f>COUNTIF(mar!$F45:$AJ45,"pl")</f>
        <v>0</v>
      </c>
      <c r="AN45" s="4">
        <f>COUNTIF(mar!$F45:$AJ45,"LWP")</f>
        <v>0</v>
      </c>
      <c r="AO45" s="4">
        <f>COUNTIF(mar!$F45:$AJ45,"HD")</f>
        <v>0</v>
      </c>
      <c r="AP45" s="4">
        <f>COUNTIF(mar!$F45:$AJ45,"SL")</f>
        <v>0</v>
      </c>
      <c r="AQ45" s="4">
        <f>COUNTIF(mar!$F45:$AJ45,"CL")</f>
        <v>0</v>
      </c>
      <c r="AR45" s="4">
        <f>COUNTIF(mar!$F45:$AJ45,"A")</f>
        <v>0</v>
      </c>
      <c r="AS45" s="4">
        <f>COUNTIF(mar!$F45:$AJ45,"P")</f>
        <v>24</v>
      </c>
      <c r="AT45" s="4">
        <f t="shared" si="2"/>
        <v>31</v>
      </c>
      <c r="AU45" s="4">
        <f t="shared" si="3"/>
        <v>31</v>
      </c>
      <c r="AV45" s="4">
        <f>SUMIFS(holly!$L$2:$L$122,holly!$I$2:$I$122,mar!$A45,holly!$K$2:$K$122,"Mar")</f>
        <v>0</v>
      </c>
    </row>
    <row r="46" spans="1:48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IFERROR(LOOKUP(2,1/((#REF!=oct!$A46)*(#REF!&lt;=oct!F$3)*(#REF!&gt;=oct!F$3)),#REF!),IF(WEEKDAY(oct!F$3,1)=1,"WO","P"))</f>
        <v>P</v>
      </c>
      <c r="G46" s="4" t="str">
        <f>IFERROR(LOOKUP(2,1/((#REF!=oct!$A46)*(#REF!&lt;=oct!G$3)*(#REF!&gt;=oct!G$3)),#REF!),IF(WEEKDAY(oct!G$3,1)=1,"WO","P"))</f>
        <v>P</v>
      </c>
      <c r="H46" s="4" t="str">
        <f>IFERROR(LOOKUP(2,1/((#REF!=oct!$A46)*(#REF!&lt;=oct!H$3)*(#REF!&gt;=oct!H$3)),#REF!),IF(WEEKDAY(oct!H$3,1)=1,"WO","P"))</f>
        <v>P</v>
      </c>
      <c r="I46" s="4" t="str">
        <f>IFERROR(LOOKUP(2,1/((#REF!=oct!$A46)*(#REF!&lt;=oct!I$3)*(#REF!&gt;=oct!I$3)),#REF!),IF(WEEKDAY(oct!I$3,1)=1,"WO","P"))</f>
        <v>WO</v>
      </c>
      <c r="J46" s="4" t="str">
        <f>IFERROR(LOOKUP(2,1/((#REF!=oct!$A46)*(#REF!&lt;=oct!J$3)*(#REF!&gt;=oct!J$3)),#REF!),IF(WEEKDAY(oct!J$3,1)=1,"WO","P"))</f>
        <v>P</v>
      </c>
      <c r="K46" s="4" t="str">
        <f>IFERROR(LOOKUP(2,1/((#REF!=oct!$A46)*(#REF!&lt;=oct!K$3)*(#REF!&gt;=oct!K$3)),#REF!),IF(WEEKDAY(oct!K$3,1)=1,"WO","P"))</f>
        <v>P</v>
      </c>
      <c r="L46" s="4" t="str">
        <f>IFERROR(LOOKUP(2,1/((#REF!=oct!$A46)*(#REF!&lt;=oct!L$3)*(#REF!&gt;=oct!L$3)),#REF!),IF(WEEKDAY(oct!L$3,1)=1,"WO","P"))</f>
        <v>P</v>
      </c>
      <c r="M46" s="4" t="str">
        <f>IFERROR(LOOKUP(2,1/((#REF!=oct!$A46)*(#REF!&lt;=oct!M$3)*(#REF!&gt;=oct!M$3)),#REF!),IF(WEEKDAY(oct!M$3,1)=1,"WO","P"))</f>
        <v>P</v>
      </c>
      <c r="N46" s="4" t="str">
        <f>IFERROR(LOOKUP(2,1/((#REF!=oct!$A46)*(#REF!&lt;=oct!N$3)*(#REF!&gt;=oct!N$3)),#REF!),IF(WEEKDAY(oct!N$3,1)=1,"WO","P"))</f>
        <v>P</v>
      </c>
      <c r="O46" s="4" t="str">
        <f>IFERROR(LOOKUP(2,1/((#REF!=oct!$A46)*(#REF!&lt;=oct!O$3)*(#REF!&gt;=oct!O$3)),#REF!),IF(WEEKDAY(oct!O$3,1)=1,"WO","P"))</f>
        <v>P</v>
      </c>
      <c r="P46" s="4" t="str">
        <f>IFERROR(LOOKUP(2,1/((#REF!=oct!$A46)*(#REF!&lt;=oct!P$3)*(#REF!&gt;=oct!P$3)),#REF!),IF(WEEKDAY(oct!P$3,1)=1,"WO","P"))</f>
        <v>WO</v>
      </c>
      <c r="Q46" s="4" t="str">
        <f>IFERROR(LOOKUP(2,1/((#REF!=oct!$A46)*(#REF!&lt;=oct!Q$3)*(#REF!&gt;=oct!Q$3)),#REF!),IF(WEEKDAY(oct!Q$3,1)=1,"WO","P"))</f>
        <v>P</v>
      </c>
      <c r="R46" s="4" t="str">
        <f>IFERROR(LOOKUP(2,1/((#REF!=oct!$A46)*(#REF!&lt;=oct!R$3)*(#REF!&gt;=oct!R$3)),#REF!),IF(WEEKDAY(oct!R$3,1)=1,"WO","P"))</f>
        <v>P</v>
      </c>
      <c r="S46" s="4" t="str">
        <f>IFERROR(LOOKUP(2,1/((#REF!=oct!$A46)*(#REF!&lt;=oct!S$3)*(#REF!&gt;=oct!S$3)),#REF!),IF(WEEKDAY(oct!S$3,1)=1,"WO","P"))</f>
        <v>P</v>
      </c>
      <c r="T46" s="4" t="str">
        <f>IFERROR(LOOKUP(2,1/((#REF!=oct!$A46)*(#REF!&lt;=oct!T$3)*(#REF!&gt;=oct!T$3)),#REF!),IF(WEEKDAY(oct!T$3,1)=1,"WO","P"))</f>
        <v>P</v>
      </c>
      <c r="U46" s="4" t="str">
        <f>IFERROR(LOOKUP(2,1/((#REF!=oct!$A46)*(#REF!&lt;=oct!U$3)*(#REF!&gt;=oct!U$3)),#REF!),IF(WEEKDAY(oct!U$3,1)=1,"WO","P"))</f>
        <v>P</v>
      </c>
      <c r="V46" s="4" t="str">
        <f>IFERROR(LOOKUP(2,1/((#REF!=oct!$A46)*(#REF!&lt;=oct!V$3)*(#REF!&gt;=oct!V$3)),#REF!),IF(WEEKDAY(oct!V$3,1)=1,"WO","P"))</f>
        <v>P</v>
      </c>
      <c r="W46" s="4" t="str">
        <f>IFERROR(LOOKUP(2,1/((#REF!=oct!$A46)*(#REF!&lt;=oct!W$3)*(#REF!&gt;=oct!W$3)),#REF!),IF(WEEKDAY(oct!W$3,1)=1,"WO","P"))</f>
        <v>WO</v>
      </c>
      <c r="X46" s="4" t="str">
        <f>IFERROR(LOOKUP(2,1/((#REF!=oct!$A46)*(#REF!&lt;=oct!X$3)*(#REF!&gt;=oct!X$3)),#REF!),IF(WEEKDAY(oct!X$3,1)=1,"WO","P"))</f>
        <v>P</v>
      </c>
      <c r="Y46" s="4" t="str">
        <f>IFERROR(LOOKUP(2,1/((#REF!=oct!$A46)*(#REF!&lt;=oct!Y$3)*(#REF!&gt;=oct!Y$3)),#REF!),IF(WEEKDAY(oct!Y$3,1)=1,"WO","P"))</f>
        <v>P</v>
      </c>
      <c r="Z46" s="4" t="str">
        <f>IFERROR(LOOKUP(2,1/((#REF!=oct!$A46)*(#REF!&lt;=oct!Z$3)*(#REF!&gt;=oct!Z$3)),#REF!),IF(WEEKDAY(oct!Z$3,1)=1,"WO","P"))</f>
        <v>P</v>
      </c>
      <c r="AA46" s="4" t="str">
        <f>IFERROR(LOOKUP(2,1/((#REF!=oct!$A46)*(#REF!&lt;=oct!AA$3)*(#REF!&gt;=oct!AA$3)),#REF!),IF(WEEKDAY(oct!AA$3,1)=1,"WO","P"))</f>
        <v>P</v>
      </c>
      <c r="AB46" s="4" t="str">
        <f>IFERROR(LOOKUP(2,1/((#REF!=oct!$A46)*(#REF!&lt;=oct!AB$3)*(#REF!&gt;=oct!AB$3)),#REF!),IF(WEEKDAY(oct!AB$3,1)=1,"WO","P"))</f>
        <v>P</v>
      </c>
      <c r="AC46" s="4" t="str">
        <f>IFERROR(LOOKUP(2,1/((#REF!=oct!$A46)*(#REF!&lt;=oct!AC$3)*(#REF!&gt;=oct!AC$3)),#REF!),IF(WEEKDAY(oct!AC$3,1)=1,"WO","P"))</f>
        <v>P</v>
      </c>
      <c r="AD46" s="4" t="str">
        <f>IFERROR(LOOKUP(2,1/((#REF!=oct!$A46)*(#REF!&lt;=oct!AD$3)*(#REF!&gt;=oct!AD$3)),#REF!),IF(WEEKDAY(oct!AD$3,1)=1,"WO","P"))</f>
        <v>WO</v>
      </c>
      <c r="AE46" s="4" t="str">
        <f>IFERROR(LOOKUP(2,1/((#REF!=oct!$A46)*(#REF!&lt;=oct!AE$3)*(#REF!&gt;=oct!AE$3)),#REF!),IF(WEEKDAY(oct!AE$3,1)=1,"WO","P"))</f>
        <v>P</v>
      </c>
      <c r="AF46" s="4" t="str">
        <f>IFERROR(LOOKUP(2,1/((#REF!=oct!$A46)*(#REF!&lt;=oct!AF$3)*(#REF!&gt;=oct!AF$3)),#REF!),IF(WEEKDAY(oct!AF$3,1)=1,"WO","P"))</f>
        <v>P</v>
      </c>
      <c r="AG46" s="4" t="str">
        <f>IFERROR(LOOKUP(2,1/((#REF!=oct!$A46)*(#REF!&lt;=oct!AG$3)*(#REF!&gt;=oct!AG$3)),#REF!),IF(WEEKDAY(oct!AG$3,1)=1,"WO","P"))</f>
        <v>P</v>
      </c>
      <c r="AH46" s="4" t="str">
        <f>IFERROR(LOOKUP(2,1/((#REF!=oct!$A46)*(#REF!&lt;=oct!AH$3)*(#REF!&gt;=oct!AH$3)),#REF!),IF(WEEKDAY(oct!AH$3,1)=1,"WO","P"))</f>
        <v>P</v>
      </c>
      <c r="AI46" s="4" t="str">
        <f>IFERROR(LOOKUP(2,1/((#REF!=oct!$A46)*(#REF!&lt;=oct!AI$3)*(#REF!&gt;=oct!AI$3)),#REF!),IF(WEEKDAY(oct!AI$3,1)=1,"WO","P"))</f>
        <v>P</v>
      </c>
      <c r="AJ46" s="4" t="str">
        <f>IFERROR(LOOKUP(2,1/((#REF!=oct!$A46)*(#REF!&lt;=oct!AJ$3)*(#REF!&gt;=oct!AJ$3)),#REF!),IF(WEEKDAY(oct!AJ$3,1)=1,"WO","P"))</f>
        <v>P</v>
      </c>
      <c r="AK46" s="4">
        <f>COUNTIF(mar!$F46:$AJ46,"WO")</f>
        <v>5</v>
      </c>
      <c r="AL46" s="4">
        <f>COUNTIF(mar!$F46:$AJ46,"H")</f>
        <v>2</v>
      </c>
      <c r="AM46" s="4">
        <f>COUNTIF(mar!$F46:$AJ46,"pl")</f>
        <v>0</v>
      </c>
      <c r="AN46" s="4">
        <f>COUNTIF(mar!$F46:$AJ46,"LWP")</f>
        <v>0</v>
      </c>
      <c r="AO46" s="4">
        <f>COUNTIF(mar!$F46:$AJ46,"HD")</f>
        <v>0</v>
      </c>
      <c r="AP46" s="4">
        <f>COUNTIF(mar!$F46:$AJ46,"SL")</f>
        <v>0</v>
      </c>
      <c r="AQ46" s="4">
        <f>COUNTIF(mar!$F46:$AJ46,"CL")</f>
        <v>0</v>
      </c>
      <c r="AR46" s="4">
        <f>COUNTIF(mar!$F46:$AJ46,"A")</f>
        <v>1</v>
      </c>
      <c r="AS46" s="4">
        <f>COUNTIF(mar!$F46:$AJ46,"P")</f>
        <v>23</v>
      </c>
      <c r="AT46" s="4">
        <f t="shared" si="2"/>
        <v>31</v>
      </c>
      <c r="AU46" s="4">
        <f t="shared" si="3"/>
        <v>30</v>
      </c>
      <c r="AV46" s="4">
        <f>SUMIFS(holly!$L$2:$L$122,holly!$I$2:$I$122,mar!$A46,holly!$K$2:$K$122,"Mar")</f>
        <v>1</v>
      </c>
    </row>
    <row r="47" spans="1:48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IFERROR(LOOKUP(2,1/((#REF!=oct!$A47)*(#REF!&lt;=oct!F$3)*(#REF!&gt;=oct!F$3)),#REF!),IF(WEEKDAY(oct!F$3,1)=1,"WO","P"))</f>
        <v>P</v>
      </c>
      <c r="G47" s="4" t="str">
        <f>IFERROR(LOOKUP(2,1/((#REF!=oct!$A47)*(#REF!&lt;=oct!G$3)*(#REF!&gt;=oct!G$3)),#REF!),IF(WEEKDAY(oct!G$3,1)=1,"WO","P"))</f>
        <v>P</v>
      </c>
      <c r="H47" s="4" t="str">
        <f>IFERROR(LOOKUP(2,1/((#REF!=oct!$A47)*(#REF!&lt;=oct!H$3)*(#REF!&gt;=oct!H$3)),#REF!),IF(WEEKDAY(oct!H$3,1)=1,"WO","P"))</f>
        <v>P</v>
      </c>
      <c r="I47" s="4" t="str">
        <f>IFERROR(LOOKUP(2,1/((#REF!=oct!$A47)*(#REF!&lt;=oct!I$3)*(#REF!&gt;=oct!I$3)),#REF!),IF(WEEKDAY(oct!I$3,1)=1,"WO","P"))</f>
        <v>WO</v>
      </c>
      <c r="J47" s="4" t="str">
        <f>IFERROR(LOOKUP(2,1/((#REF!=oct!$A47)*(#REF!&lt;=oct!J$3)*(#REF!&gt;=oct!J$3)),#REF!),IF(WEEKDAY(oct!J$3,1)=1,"WO","P"))</f>
        <v>P</v>
      </c>
      <c r="K47" s="4" t="str">
        <f>IFERROR(LOOKUP(2,1/((#REF!=oct!$A47)*(#REF!&lt;=oct!K$3)*(#REF!&gt;=oct!K$3)),#REF!),IF(WEEKDAY(oct!K$3,1)=1,"WO","P"))</f>
        <v>P</v>
      </c>
      <c r="L47" s="4" t="str">
        <f>IFERROR(LOOKUP(2,1/((#REF!=oct!$A47)*(#REF!&lt;=oct!L$3)*(#REF!&gt;=oct!L$3)),#REF!),IF(WEEKDAY(oct!L$3,1)=1,"WO","P"))</f>
        <v>P</v>
      </c>
      <c r="M47" s="4" t="str">
        <f>IFERROR(LOOKUP(2,1/((#REF!=oct!$A47)*(#REF!&lt;=oct!M$3)*(#REF!&gt;=oct!M$3)),#REF!),IF(WEEKDAY(oct!M$3,1)=1,"WO","P"))</f>
        <v>P</v>
      </c>
      <c r="N47" s="4" t="str">
        <f>IFERROR(LOOKUP(2,1/((#REF!=oct!$A47)*(#REF!&lt;=oct!N$3)*(#REF!&gt;=oct!N$3)),#REF!),IF(WEEKDAY(oct!N$3,1)=1,"WO","P"))</f>
        <v>P</v>
      </c>
      <c r="O47" s="4" t="str">
        <f>IFERROR(LOOKUP(2,1/((#REF!=oct!$A47)*(#REF!&lt;=oct!O$3)*(#REF!&gt;=oct!O$3)),#REF!),IF(WEEKDAY(oct!O$3,1)=1,"WO","P"))</f>
        <v>P</v>
      </c>
      <c r="P47" s="4" t="str">
        <f>IFERROR(LOOKUP(2,1/((#REF!=oct!$A47)*(#REF!&lt;=oct!P$3)*(#REF!&gt;=oct!P$3)),#REF!),IF(WEEKDAY(oct!P$3,1)=1,"WO","P"))</f>
        <v>WO</v>
      </c>
      <c r="Q47" s="4" t="str">
        <f>IFERROR(LOOKUP(2,1/((#REF!=oct!$A47)*(#REF!&lt;=oct!Q$3)*(#REF!&gt;=oct!Q$3)),#REF!),IF(WEEKDAY(oct!Q$3,1)=1,"WO","P"))</f>
        <v>P</v>
      </c>
      <c r="R47" s="4" t="str">
        <f>IFERROR(LOOKUP(2,1/((#REF!=oct!$A47)*(#REF!&lt;=oct!R$3)*(#REF!&gt;=oct!R$3)),#REF!),IF(WEEKDAY(oct!R$3,1)=1,"WO","P"))</f>
        <v>P</v>
      </c>
      <c r="S47" s="4" t="str">
        <f>IFERROR(LOOKUP(2,1/((#REF!=oct!$A47)*(#REF!&lt;=oct!S$3)*(#REF!&gt;=oct!S$3)),#REF!),IF(WEEKDAY(oct!S$3,1)=1,"WO","P"))</f>
        <v>P</v>
      </c>
      <c r="T47" s="4" t="str">
        <f>IFERROR(LOOKUP(2,1/((#REF!=oct!$A47)*(#REF!&lt;=oct!T$3)*(#REF!&gt;=oct!T$3)),#REF!),IF(WEEKDAY(oct!T$3,1)=1,"WO","P"))</f>
        <v>P</v>
      </c>
      <c r="U47" s="4" t="str">
        <f>IFERROR(LOOKUP(2,1/((#REF!=oct!$A47)*(#REF!&lt;=oct!U$3)*(#REF!&gt;=oct!U$3)),#REF!),IF(WEEKDAY(oct!U$3,1)=1,"WO","P"))</f>
        <v>P</v>
      </c>
      <c r="V47" s="4" t="str">
        <f>IFERROR(LOOKUP(2,1/((#REF!=oct!$A47)*(#REF!&lt;=oct!V$3)*(#REF!&gt;=oct!V$3)),#REF!),IF(WEEKDAY(oct!V$3,1)=1,"WO","P"))</f>
        <v>P</v>
      </c>
      <c r="W47" s="4" t="str">
        <f>IFERROR(LOOKUP(2,1/((#REF!=oct!$A47)*(#REF!&lt;=oct!W$3)*(#REF!&gt;=oct!W$3)),#REF!),IF(WEEKDAY(oct!W$3,1)=1,"WO","P"))</f>
        <v>WO</v>
      </c>
      <c r="X47" s="4" t="str">
        <f>IFERROR(LOOKUP(2,1/((#REF!=oct!$A47)*(#REF!&lt;=oct!X$3)*(#REF!&gt;=oct!X$3)),#REF!),IF(WEEKDAY(oct!X$3,1)=1,"WO","P"))</f>
        <v>P</v>
      </c>
      <c r="Y47" s="4" t="str">
        <f>IFERROR(LOOKUP(2,1/((#REF!=oct!$A47)*(#REF!&lt;=oct!Y$3)*(#REF!&gt;=oct!Y$3)),#REF!),IF(WEEKDAY(oct!Y$3,1)=1,"WO","P"))</f>
        <v>P</v>
      </c>
      <c r="Z47" s="4" t="str">
        <f>IFERROR(LOOKUP(2,1/((#REF!=oct!$A47)*(#REF!&lt;=oct!Z$3)*(#REF!&gt;=oct!Z$3)),#REF!),IF(WEEKDAY(oct!Z$3,1)=1,"WO","P"))</f>
        <v>P</v>
      </c>
      <c r="AA47" s="4" t="str">
        <f>IFERROR(LOOKUP(2,1/((#REF!=oct!$A47)*(#REF!&lt;=oct!AA$3)*(#REF!&gt;=oct!AA$3)),#REF!),IF(WEEKDAY(oct!AA$3,1)=1,"WO","P"))</f>
        <v>P</v>
      </c>
      <c r="AB47" s="4" t="str">
        <f>IFERROR(LOOKUP(2,1/((#REF!=oct!$A47)*(#REF!&lt;=oct!AB$3)*(#REF!&gt;=oct!AB$3)),#REF!),IF(WEEKDAY(oct!AB$3,1)=1,"WO","P"))</f>
        <v>P</v>
      </c>
      <c r="AC47" s="4" t="str">
        <f>IFERROR(LOOKUP(2,1/((#REF!=oct!$A47)*(#REF!&lt;=oct!AC$3)*(#REF!&gt;=oct!AC$3)),#REF!),IF(WEEKDAY(oct!AC$3,1)=1,"WO","P"))</f>
        <v>P</v>
      </c>
      <c r="AD47" s="4" t="str">
        <f>IFERROR(LOOKUP(2,1/((#REF!=oct!$A47)*(#REF!&lt;=oct!AD$3)*(#REF!&gt;=oct!AD$3)),#REF!),IF(WEEKDAY(oct!AD$3,1)=1,"WO","P"))</f>
        <v>WO</v>
      </c>
      <c r="AE47" s="4" t="str">
        <f>IFERROR(LOOKUP(2,1/((#REF!=oct!$A47)*(#REF!&lt;=oct!AE$3)*(#REF!&gt;=oct!AE$3)),#REF!),IF(WEEKDAY(oct!AE$3,1)=1,"WO","P"))</f>
        <v>P</v>
      </c>
      <c r="AF47" s="4" t="str">
        <f>IFERROR(LOOKUP(2,1/((#REF!=oct!$A47)*(#REF!&lt;=oct!AF$3)*(#REF!&gt;=oct!AF$3)),#REF!),IF(WEEKDAY(oct!AF$3,1)=1,"WO","P"))</f>
        <v>P</v>
      </c>
      <c r="AG47" s="4" t="str">
        <f>IFERROR(LOOKUP(2,1/((#REF!=oct!$A47)*(#REF!&lt;=oct!AG$3)*(#REF!&gt;=oct!AG$3)),#REF!),IF(WEEKDAY(oct!AG$3,1)=1,"WO","P"))</f>
        <v>P</v>
      </c>
      <c r="AH47" s="4" t="str">
        <f>IFERROR(LOOKUP(2,1/((#REF!=oct!$A47)*(#REF!&lt;=oct!AH$3)*(#REF!&gt;=oct!AH$3)),#REF!),IF(WEEKDAY(oct!AH$3,1)=1,"WO","P"))</f>
        <v>P</v>
      </c>
      <c r="AI47" s="4" t="str">
        <f>IFERROR(LOOKUP(2,1/((#REF!=oct!$A47)*(#REF!&lt;=oct!AI$3)*(#REF!&gt;=oct!AI$3)),#REF!),IF(WEEKDAY(oct!AI$3,1)=1,"WO","P"))</f>
        <v>P</v>
      </c>
      <c r="AJ47" s="4" t="str">
        <f>IFERROR(LOOKUP(2,1/((#REF!=oct!$A47)*(#REF!&lt;=oct!AJ$3)*(#REF!&gt;=oct!AJ$3)),#REF!),IF(WEEKDAY(oct!AJ$3,1)=1,"WO","P"))</f>
        <v>P</v>
      </c>
      <c r="AK47" s="4">
        <f>COUNTIF(mar!$F47:$AJ47,"WO")</f>
        <v>5</v>
      </c>
      <c r="AL47" s="4">
        <f>COUNTIF(mar!$F47:$AJ47,"H")</f>
        <v>2</v>
      </c>
      <c r="AM47" s="4">
        <f>COUNTIF(mar!$F47:$AJ47,"pl")</f>
        <v>0</v>
      </c>
      <c r="AN47" s="4">
        <f>COUNTIF(mar!$F47:$AJ47,"LWP")</f>
        <v>0</v>
      </c>
      <c r="AO47" s="4">
        <f>COUNTIF(mar!$F47:$AJ47,"HD")</f>
        <v>0</v>
      </c>
      <c r="AP47" s="4">
        <f>COUNTIF(mar!$F47:$AJ47,"SL")</f>
        <v>0</v>
      </c>
      <c r="AQ47" s="4">
        <f>COUNTIF(mar!$F47:$AJ47,"CL")</f>
        <v>0</v>
      </c>
      <c r="AR47" s="4">
        <f>COUNTIF(mar!$F47:$AJ47,"A")</f>
        <v>0</v>
      </c>
      <c r="AS47" s="4">
        <f>COUNTIF(mar!$F47:$AJ47,"P")</f>
        <v>24</v>
      </c>
      <c r="AT47" s="4">
        <f t="shared" si="2"/>
        <v>31</v>
      </c>
      <c r="AU47" s="4">
        <f t="shared" si="3"/>
        <v>31</v>
      </c>
      <c r="AV47" s="4">
        <f>SUMIFS(holly!$L$2:$L$122,holly!$I$2:$I$122,mar!$A47,holly!$K$2:$K$122,"Mar")</f>
        <v>0</v>
      </c>
    </row>
    <row r="48" spans="1:48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IFERROR(LOOKUP(2,1/((#REF!=oct!$A48)*(#REF!&lt;=oct!F$3)*(#REF!&gt;=oct!F$3)),#REF!),IF(WEEKDAY(oct!F$3,1)=1,"WO","P"))</f>
        <v>P</v>
      </c>
      <c r="G48" s="4" t="str">
        <f>IFERROR(LOOKUP(2,1/((#REF!=oct!$A48)*(#REF!&lt;=oct!G$3)*(#REF!&gt;=oct!G$3)),#REF!),IF(WEEKDAY(oct!G$3,1)=1,"WO","P"))</f>
        <v>P</v>
      </c>
      <c r="H48" s="4" t="str">
        <f>IFERROR(LOOKUP(2,1/((#REF!=oct!$A48)*(#REF!&lt;=oct!H$3)*(#REF!&gt;=oct!H$3)),#REF!),IF(WEEKDAY(oct!H$3,1)=1,"WO","P"))</f>
        <v>P</v>
      </c>
      <c r="I48" s="4" t="str">
        <f>IFERROR(LOOKUP(2,1/((#REF!=oct!$A48)*(#REF!&lt;=oct!I$3)*(#REF!&gt;=oct!I$3)),#REF!),IF(WEEKDAY(oct!I$3,1)=1,"WO","P"))</f>
        <v>WO</v>
      </c>
      <c r="J48" s="4" t="str">
        <f>IFERROR(LOOKUP(2,1/((#REF!=oct!$A48)*(#REF!&lt;=oct!J$3)*(#REF!&gt;=oct!J$3)),#REF!),IF(WEEKDAY(oct!J$3,1)=1,"WO","P"))</f>
        <v>P</v>
      </c>
      <c r="K48" s="4" t="str">
        <f>IFERROR(LOOKUP(2,1/((#REF!=oct!$A48)*(#REF!&lt;=oct!K$3)*(#REF!&gt;=oct!K$3)),#REF!),IF(WEEKDAY(oct!K$3,1)=1,"WO","P"))</f>
        <v>P</v>
      </c>
      <c r="L48" s="4" t="str">
        <f>IFERROR(LOOKUP(2,1/((#REF!=oct!$A48)*(#REF!&lt;=oct!L$3)*(#REF!&gt;=oct!L$3)),#REF!),IF(WEEKDAY(oct!L$3,1)=1,"WO","P"))</f>
        <v>P</v>
      </c>
      <c r="M48" s="4" t="str">
        <f>IFERROR(LOOKUP(2,1/((#REF!=oct!$A48)*(#REF!&lt;=oct!M$3)*(#REF!&gt;=oct!M$3)),#REF!),IF(WEEKDAY(oct!M$3,1)=1,"WO","P"))</f>
        <v>P</v>
      </c>
      <c r="N48" s="4" t="str">
        <f>IFERROR(LOOKUP(2,1/((#REF!=oct!$A48)*(#REF!&lt;=oct!N$3)*(#REF!&gt;=oct!N$3)),#REF!),IF(WEEKDAY(oct!N$3,1)=1,"WO","P"))</f>
        <v>P</v>
      </c>
      <c r="O48" s="4" t="str">
        <f>IFERROR(LOOKUP(2,1/((#REF!=oct!$A48)*(#REF!&lt;=oct!O$3)*(#REF!&gt;=oct!O$3)),#REF!),IF(WEEKDAY(oct!O$3,1)=1,"WO","P"))</f>
        <v>P</v>
      </c>
      <c r="P48" s="4" t="str">
        <f>IFERROR(LOOKUP(2,1/((#REF!=oct!$A48)*(#REF!&lt;=oct!P$3)*(#REF!&gt;=oct!P$3)),#REF!),IF(WEEKDAY(oct!P$3,1)=1,"WO","P"))</f>
        <v>WO</v>
      </c>
      <c r="Q48" s="4" t="str">
        <f>IFERROR(LOOKUP(2,1/((#REF!=oct!$A48)*(#REF!&lt;=oct!Q$3)*(#REF!&gt;=oct!Q$3)),#REF!),IF(WEEKDAY(oct!Q$3,1)=1,"WO","P"))</f>
        <v>P</v>
      </c>
      <c r="R48" s="4" t="str">
        <f>IFERROR(LOOKUP(2,1/((#REF!=oct!$A48)*(#REF!&lt;=oct!R$3)*(#REF!&gt;=oct!R$3)),#REF!),IF(WEEKDAY(oct!R$3,1)=1,"WO","P"))</f>
        <v>P</v>
      </c>
      <c r="S48" s="4" t="str">
        <f>IFERROR(LOOKUP(2,1/((#REF!=oct!$A48)*(#REF!&lt;=oct!S$3)*(#REF!&gt;=oct!S$3)),#REF!),IF(WEEKDAY(oct!S$3,1)=1,"WO","P"))</f>
        <v>P</v>
      </c>
      <c r="T48" s="4" t="str">
        <f>IFERROR(LOOKUP(2,1/((#REF!=oct!$A48)*(#REF!&lt;=oct!T$3)*(#REF!&gt;=oct!T$3)),#REF!),IF(WEEKDAY(oct!T$3,1)=1,"WO","P"))</f>
        <v>P</v>
      </c>
      <c r="U48" s="4" t="str">
        <f>IFERROR(LOOKUP(2,1/((#REF!=oct!$A48)*(#REF!&lt;=oct!U$3)*(#REF!&gt;=oct!U$3)),#REF!),IF(WEEKDAY(oct!U$3,1)=1,"WO","P"))</f>
        <v>P</v>
      </c>
      <c r="V48" s="4" t="str">
        <f>IFERROR(LOOKUP(2,1/((#REF!=oct!$A48)*(#REF!&lt;=oct!V$3)*(#REF!&gt;=oct!V$3)),#REF!),IF(WEEKDAY(oct!V$3,1)=1,"WO","P"))</f>
        <v>P</v>
      </c>
      <c r="W48" s="4" t="str">
        <f>IFERROR(LOOKUP(2,1/((#REF!=oct!$A48)*(#REF!&lt;=oct!W$3)*(#REF!&gt;=oct!W$3)),#REF!),IF(WEEKDAY(oct!W$3,1)=1,"WO","P"))</f>
        <v>WO</v>
      </c>
      <c r="X48" s="4" t="str">
        <f>IFERROR(LOOKUP(2,1/((#REF!=oct!$A48)*(#REF!&lt;=oct!X$3)*(#REF!&gt;=oct!X$3)),#REF!),IF(WEEKDAY(oct!X$3,1)=1,"WO","P"))</f>
        <v>P</v>
      </c>
      <c r="Y48" s="4" t="str">
        <f>IFERROR(LOOKUP(2,1/((#REF!=oct!$A48)*(#REF!&lt;=oct!Y$3)*(#REF!&gt;=oct!Y$3)),#REF!),IF(WEEKDAY(oct!Y$3,1)=1,"WO","P"))</f>
        <v>P</v>
      </c>
      <c r="Z48" s="4" t="str">
        <f>IFERROR(LOOKUP(2,1/((#REF!=oct!$A48)*(#REF!&lt;=oct!Z$3)*(#REF!&gt;=oct!Z$3)),#REF!),IF(WEEKDAY(oct!Z$3,1)=1,"WO","P"))</f>
        <v>P</v>
      </c>
      <c r="AA48" s="4" t="str">
        <f>IFERROR(LOOKUP(2,1/((#REF!=oct!$A48)*(#REF!&lt;=oct!AA$3)*(#REF!&gt;=oct!AA$3)),#REF!),IF(WEEKDAY(oct!AA$3,1)=1,"WO","P"))</f>
        <v>P</v>
      </c>
      <c r="AB48" s="4" t="str">
        <f>IFERROR(LOOKUP(2,1/((#REF!=oct!$A48)*(#REF!&lt;=oct!AB$3)*(#REF!&gt;=oct!AB$3)),#REF!),IF(WEEKDAY(oct!AB$3,1)=1,"WO","P"))</f>
        <v>P</v>
      </c>
      <c r="AC48" s="4" t="str">
        <f>IFERROR(LOOKUP(2,1/((#REF!=oct!$A48)*(#REF!&lt;=oct!AC$3)*(#REF!&gt;=oct!AC$3)),#REF!),IF(WEEKDAY(oct!AC$3,1)=1,"WO","P"))</f>
        <v>P</v>
      </c>
      <c r="AD48" s="4" t="str">
        <f>IFERROR(LOOKUP(2,1/((#REF!=oct!$A48)*(#REF!&lt;=oct!AD$3)*(#REF!&gt;=oct!AD$3)),#REF!),IF(WEEKDAY(oct!AD$3,1)=1,"WO","P"))</f>
        <v>WO</v>
      </c>
      <c r="AE48" s="4" t="str">
        <f>IFERROR(LOOKUP(2,1/((#REF!=oct!$A48)*(#REF!&lt;=oct!AE$3)*(#REF!&gt;=oct!AE$3)),#REF!),IF(WEEKDAY(oct!AE$3,1)=1,"WO","P"))</f>
        <v>P</v>
      </c>
      <c r="AF48" s="4" t="str">
        <f>IFERROR(LOOKUP(2,1/((#REF!=oct!$A48)*(#REF!&lt;=oct!AF$3)*(#REF!&gt;=oct!AF$3)),#REF!),IF(WEEKDAY(oct!AF$3,1)=1,"WO","P"))</f>
        <v>P</v>
      </c>
      <c r="AG48" s="4" t="str">
        <f>IFERROR(LOOKUP(2,1/((#REF!=oct!$A48)*(#REF!&lt;=oct!AG$3)*(#REF!&gt;=oct!AG$3)),#REF!),IF(WEEKDAY(oct!AG$3,1)=1,"WO","P"))</f>
        <v>P</v>
      </c>
      <c r="AH48" s="4" t="str">
        <f>IFERROR(LOOKUP(2,1/((#REF!=oct!$A48)*(#REF!&lt;=oct!AH$3)*(#REF!&gt;=oct!AH$3)),#REF!),IF(WEEKDAY(oct!AH$3,1)=1,"WO","P"))</f>
        <v>P</v>
      </c>
      <c r="AI48" s="4" t="str">
        <f>IFERROR(LOOKUP(2,1/((#REF!=oct!$A48)*(#REF!&lt;=oct!AI$3)*(#REF!&gt;=oct!AI$3)),#REF!),IF(WEEKDAY(oct!AI$3,1)=1,"WO","P"))</f>
        <v>P</v>
      </c>
      <c r="AJ48" s="4" t="str">
        <f>IFERROR(LOOKUP(2,1/((#REF!=oct!$A48)*(#REF!&lt;=oct!AJ$3)*(#REF!&gt;=oct!AJ$3)),#REF!),IF(WEEKDAY(oct!AJ$3,1)=1,"WO","P"))</f>
        <v>P</v>
      </c>
      <c r="AK48" s="4">
        <f>COUNTIF(mar!$F48:$AJ48,"WO")</f>
        <v>5</v>
      </c>
      <c r="AL48" s="4">
        <f>COUNTIF(mar!$F48:$AJ48,"H")</f>
        <v>2</v>
      </c>
      <c r="AM48" s="4">
        <f>COUNTIF(mar!$F48:$AJ48,"pl")</f>
        <v>0</v>
      </c>
      <c r="AN48" s="4">
        <f>COUNTIF(mar!$F48:$AJ48,"LWP")</f>
        <v>0</v>
      </c>
      <c r="AO48" s="4">
        <f>COUNTIF(mar!$F48:$AJ48,"HD")</f>
        <v>0</v>
      </c>
      <c r="AP48" s="4">
        <f>COUNTIF(mar!$F48:$AJ48,"SL")</f>
        <v>0</v>
      </c>
      <c r="AQ48" s="4">
        <f>COUNTIF(mar!$F48:$AJ48,"CL")</f>
        <v>0</v>
      </c>
      <c r="AR48" s="4">
        <f>COUNTIF(mar!$F48:$AJ48,"A")</f>
        <v>2</v>
      </c>
      <c r="AS48" s="4">
        <f>COUNTIF(mar!$F48:$AJ48,"P")</f>
        <v>22</v>
      </c>
      <c r="AT48" s="4">
        <f t="shared" si="2"/>
        <v>31</v>
      </c>
      <c r="AU48" s="4">
        <f t="shared" si="3"/>
        <v>29</v>
      </c>
      <c r="AV48" s="4">
        <f>SUMIFS(holly!$L$2:$L$122,holly!$I$2:$I$122,mar!$A48,holly!$K$2:$K$122,"Mar")</f>
        <v>0</v>
      </c>
    </row>
    <row r="49" spans="1:48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IFERROR(LOOKUP(2,1/((#REF!=oct!$A49)*(#REF!&lt;=oct!F$3)*(#REF!&gt;=oct!F$3)),#REF!),IF(WEEKDAY(oct!F$3,1)=1,"WO","P"))</f>
        <v>P</v>
      </c>
      <c r="G49" s="4" t="str">
        <f>IFERROR(LOOKUP(2,1/((#REF!=oct!$A49)*(#REF!&lt;=oct!G$3)*(#REF!&gt;=oct!G$3)),#REF!),IF(WEEKDAY(oct!G$3,1)=1,"WO","P"))</f>
        <v>P</v>
      </c>
      <c r="H49" s="4" t="str">
        <f>IFERROR(LOOKUP(2,1/((#REF!=oct!$A49)*(#REF!&lt;=oct!H$3)*(#REF!&gt;=oct!H$3)),#REF!),IF(WEEKDAY(oct!H$3,1)=1,"WO","P"))</f>
        <v>P</v>
      </c>
      <c r="I49" s="4" t="str">
        <f>IFERROR(LOOKUP(2,1/((#REF!=oct!$A49)*(#REF!&lt;=oct!I$3)*(#REF!&gt;=oct!I$3)),#REF!),IF(WEEKDAY(oct!I$3,1)=1,"WO","P"))</f>
        <v>WO</v>
      </c>
      <c r="J49" s="4" t="str">
        <f>IFERROR(LOOKUP(2,1/((#REF!=oct!$A49)*(#REF!&lt;=oct!J$3)*(#REF!&gt;=oct!J$3)),#REF!),IF(WEEKDAY(oct!J$3,1)=1,"WO","P"))</f>
        <v>P</v>
      </c>
      <c r="K49" s="4" t="str">
        <f>IFERROR(LOOKUP(2,1/((#REF!=oct!$A49)*(#REF!&lt;=oct!K$3)*(#REF!&gt;=oct!K$3)),#REF!),IF(WEEKDAY(oct!K$3,1)=1,"WO","P"))</f>
        <v>P</v>
      </c>
      <c r="L49" s="4" t="str">
        <f>IFERROR(LOOKUP(2,1/((#REF!=oct!$A49)*(#REF!&lt;=oct!L$3)*(#REF!&gt;=oct!L$3)),#REF!),IF(WEEKDAY(oct!L$3,1)=1,"WO","P"))</f>
        <v>P</v>
      </c>
      <c r="M49" s="4" t="str">
        <f>IFERROR(LOOKUP(2,1/((#REF!=oct!$A49)*(#REF!&lt;=oct!M$3)*(#REF!&gt;=oct!M$3)),#REF!),IF(WEEKDAY(oct!M$3,1)=1,"WO","P"))</f>
        <v>P</v>
      </c>
      <c r="N49" s="4" t="str">
        <f>IFERROR(LOOKUP(2,1/((#REF!=oct!$A49)*(#REF!&lt;=oct!N$3)*(#REF!&gt;=oct!N$3)),#REF!),IF(WEEKDAY(oct!N$3,1)=1,"WO","P"))</f>
        <v>P</v>
      </c>
      <c r="O49" s="4" t="str">
        <f>IFERROR(LOOKUP(2,1/((#REF!=oct!$A49)*(#REF!&lt;=oct!O$3)*(#REF!&gt;=oct!O$3)),#REF!),IF(WEEKDAY(oct!O$3,1)=1,"WO","P"))</f>
        <v>P</v>
      </c>
      <c r="P49" s="4" t="str">
        <f>IFERROR(LOOKUP(2,1/((#REF!=oct!$A49)*(#REF!&lt;=oct!P$3)*(#REF!&gt;=oct!P$3)),#REF!),IF(WEEKDAY(oct!P$3,1)=1,"WO","P"))</f>
        <v>WO</v>
      </c>
      <c r="Q49" s="4" t="str">
        <f>IFERROR(LOOKUP(2,1/((#REF!=oct!$A49)*(#REF!&lt;=oct!Q$3)*(#REF!&gt;=oct!Q$3)),#REF!),IF(WEEKDAY(oct!Q$3,1)=1,"WO","P"))</f>
        <v>P</v>
      </c>
      <c r="R49" s="4" t="str">
        <f>IFERROR(LOOKUP(2,1/((#REF!=oct!$A49)*(#REF!&lt;=oct!R$3)*(#REF!&gt;=oct!R$3)),#REF!),IF(WEEKDAY(oct!R$3,1)=1,"WO","P"))</f>
        <v>P</v>
      </c>
      <c r="S49" s="4" t="str">
        <f>IFERROR(LOOKUP(2,1/((#REF!=oct!$A49)*(#REF!&lt;=oct!S$3)*(#REF!&gt;=oct!S$3)),#REF!),IF(WEEKDAY(oct!S$3,1)=1,"WO","P"))</f>
        <v>P</v>
      </c>
      <c r="T49" s="4" t="str">
        <f>IFERROR(LOOKUP(2,1/((#REF!=oct!$A49)*(#REF!&lt;=oct!T$3)*(#REF!&gt;=oct!T$3)),#REF!),IF(WEEKDAY(oct!T$3,1)=1,"WO","P"))</f>
        <v>P</v>
      </c>
      <c r="U49" s="4" t="str">
        <f>IFERROR(LOOKUP(2,1/((#REF!=oct!$A49)*(#REF!&lt;=oct!U$3)*(#REF!&gt;=oct!U$3)),#REF!),IF(WEEKDAY(oct!U$3,1)=1,"WO","P"))</f>
        <v>P</v>
      </c>
      <c r="V49" s="4" t="str">
        <f>IFERROR(LOOKUP(2,1/((#REF!=oct!$A49)*(#REF!&lt;=oct!V$3)*(#REF!&gt;=oct!V$3)),#REF!),IF(WEEKDAY(oct!V$3,1)=1,"WO","P"))</f>
        <v>P</v>
      </c>
      <c r="W49" s="4" t="str">
        <f>IFERROR(LOOKUP(2,1/((#REF!=oct!$A49)*(#REF!&lt;=oct!W$3)*(#REF!&gt;=oct!W$3)),#REF!),IF(WEEKDAY(oct!W$3,1)=1,"WO","P"))</f>
        <v>WO</v>
      </c>
      <c r="X49" s="4" t="str">
        <f>IFERROR(LOOKUP(2,1/((#REF!=oct!$A49)*(#REF!&lt;=oct!X$3)*(#REF!&gt;=oct!X$3)),#REF!),IF(WEEKDAY(oct!X$3,1)=1,"WO","P"))</f>
        <v>P</v>
      </c>
      <c r="Y49" s="4" t="str">
        <f>IFERROR(LOOKUP(2,1/((#REF!=oct!$A49)*(#REF!&lt;=oct!Y$3)*(#REF!&gt;=oct!Y$3)),#REF!),IF(WEEKDAY(oct!Y$3,1)=1,"WO","P"))</f>
        <v>P</v>
      </c>
      <c r="Z49" s="4" t="str">
        <f>IFERROR(LOOKUP(2,1/((#REF!=oct!$A49)*(#REF!&lt;=oct!Z$3)*(#REF!&gt;=oct!Z$3)),#REF!),IF(WEEKDAY(oct!Z$3,1)=1,"WO","P"))</f>
        <v>P</v>
      </c>
      <c r="AA49" s="4" t="str">
        <f>IFERROR(LOOKUP(2,1/((#REF!=oct!$A49)*(#REF!&lt;=oct!AA$3)*(#REF!&gt;=oct!AA$3)),#REF!),IF(WEEKDAY(oct!AA$3,1)=1,"WO","P"))</f>
        <v>P</v>
      </c>
      <c r="AB49" s="4" t="str">
        <f>IFERROR(LOOKUP(2,1/((#REF!=oct!$A49)*(#REF!&lt;=oct!AB$3)*(#REF!&gt;=oct!AB$3)),#REF!),IF(WEEKDAY(oct!AB$3,1)=1,"WO","P"))</f>
        <v>P</v>
      </c>
      <c r="AC49" s="4" t="str">
        <f>IFERROR(LOOKUP(2,1/((#REF!=oct!$A49)*(#REF!&lt;=oct!AC$3)*(#REF!&gt;=oct!AC$3)),#REF!),IF(WEEKDAY(oct!AC$3,1)=1,"WO","P"))</f>
        <v>P</v>
      </c>
      <c r="AD49" s="4" t="str">
        <f>IFERROR(LOOKUP(2,1/((#REF!=oct!$A49)*(#REF!&lt;=oct!AD$3)*(#REF!&gt;=oct!AD$3)),#REF!),IF(WEEKDAY(oct!AD$3,1)=1,"WO","P"))</f>
        <v>WO</v>
      </c>
      <c r="AE49" s="4" t="str">
        <f>IFERROR(LOOKUP(2,1/((#REF!=oct!$A49)*(#REF!&lt;=oct!AE$3)*(#REF!&gt;=oct!AE$3)),#REF!),IF(WEEKDAY(oct!AE$3,1)=1,"WO","P"))</f>
        <v>P</v>
      </c>
      <c r="AF49" s="4" t="str">
        <f>IFERROR(LOOKUP(2,1/((#REF!=oct!$A49)*(#REF!&lt;=oct!AF$3)*(#REF!&gt;=oct!AF$3)),#REF!),IF(WEEKDAY(oct!AF$3,1)=1,"WO","P"))</f>
        <v>P</v>
      </c>
      <c r="AG49" s="4" t="str">
        <f>IFERROR(LOOKUP(2,1/((#REF!=oct!$A49)*(#REF!&lt;=oct!AG$3)*(#REF!&gt;=oct!AG$3)),#REF!),IF(WEEKDAY(oct!AG$3,1)=1,"WO","P"))</f>
        <v>P</v>
      </c>
      <c r="AH49" s="4" t="str">
        <f>IFERROR(LOOKUP(2,1/((#REF!=oct!$A49)*(#REF!&lt;=oct!AH$3)*(#REF!&gt;=oct!AH$3)),#REF!),IF(WEEKDAY(oct!AH$3,1)=1,"WO","P"))</f>
        <v>P</v>
      </c>
      <c r="AI49" s="4" t="str">
        <f>IFERROR(LOOKUP(2,1/((#REF!=oct!$A49)*(#REF!&lt;=oct!AI$3)*(#REF!&gt;=oct!AI$3)),#REF!),IF(WEEKDAY(oct!AI$3,1)=1,"WO","P"))</f>
        <v>P</v>
      </c>
      <c r="AJ49" s="4" t="str">
        <f>IFERROR(LOOKUP(2,1/((#REF!=oct!$A49)*(#REF!&lt;=oct!AJ$3)*(#REF!&gt;=oct!AJ$3)),#REF!),IF(WEEKDAY(oct!AJ$3,1)=1,"WO","P"))</f>
        <v>P</v>
      </c>
      <c r="AK49" s="4">
        <f>COUNTIF(mar!$F49:$AJ49,"WO")</f>
        <v>5</v>
      </c>
      <c r="AL49" s="4">
        <f>COUNTIF(mar!$F49:$AJ49,"H")</f>
        <v>2</v>
      </c>
      <c r="AM49" s="4">
        <f>COUNTIF(mar!$F49:$AJ49,"pl")</f>
        <v>0</v>
      </c>
      <c r="AN49" s="4">
        <f>COUNTIF(mar!$F49:$AJ49,"LWP")</f>
        <v>0</v>
      </c>
      <c r="AO49" s="4">
        <f>COUNTIF(mar!$F49:$AJ49,"HD")</f>
        <v>0</v>
      </c>
      <c r="AP49" s="4">
        <f>COUNTIF(mar!$F49:$AJ49,"SL")</f>
        <v>0</v>
      </c>
      <c r="AQ49" s="4">
        <f>COUNTIF(mar!$F49:$AJ49,"CL")</f>
        <v>0</v>
      </c>
      <c r="AR49" s="4">
        <f>COUNTIF(mar!$F49:$AJ49,"A")</f>
        <v>0</v>
      </c>
      <c r="AS49" s="4">
        <f>COUNTIF(mar!$F49:$AJ49,"P")</f>
        <v>24</v>
      </c>
      <c r="AT49" s="4">
        <f t="shared" si="2"/>
        <v>31</v>
      </c>
      <c r="AU49" s="4">
        <f t="shared" si="3"/>
        <v>31</v>
      </c>
      <c r="AV49" s="4">
        <f>SUMIFS(holly!$L$2:$L$122,holly!$I$2:$I$122,mar!$A49,holly!$K$2:$K$122,"Mar")</f>
        <v>0</v>
      </c>
    </row>
    <row r="50" spans="1:48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IFERROR(LOOKUP(2,1/((#REF!=oct!$A50)*(#REF!&lt;=oct!F$3)*(#REF!&gt;=oct!F$3)),#REF!),IF(WEEKDAY(oct!F$3,1)=1,"WO","P"))</f>
        <v>P</v>
      </c>
      <c r="G50" s="4" t="str">
        <f>IFERROR(LOOKUP(2,1/((#REF!=oct!$A50)*(#REF!&lt;=oct!G$3)*(#REF!&gt;=oct!G$3)),#REF!),IF(WEEKDAY(oct!G$3,1)=1,"WO","P"))</f>
        <v>P</v>
      </c>
      <c r="H50" s="4" t="str">
        <f>IFERROR(LOOKUP(2,1/((#REF!=oct!$A50)*(#REF!&lt;=oct!H$3)*(#REF!&gt;=oct!H$3)),#REF!),IF(WEEKDAY(oct!H$3,1)=1,"WO","P"))</f>
        <v>P</v>
      </c>
      <c r="I50" s="4" t="str">
        <f>IFERROR(LOOKUP(2,1/((#REF!=oct!$A50)*(#REF!&lt;=oct!I$3)*(#REF!&gt;=oct!I$3)),#REF!),IF(WEEKDAY(oct!I$3,1)=1,"WO","P"))</f>
        <v>WO</v>
      </c>
      <c r="J50" s="4" t="str">
        <f>IFERROR(LOOKUP(2,1/((#REF!=oct!$A50)*(#REF!&lt;=oct!J$3)*(#REF!&gt;=oct!J$3)),#REF!),IF(WEEKDAY(oct!J$3,1)=1,"WO","P"))</f>
        <v>P</v>
      </c>
      <c r="K50" s="4" t="str">
        <f>IFERROR(LOOKUP(2,1/((#REF!=oct!$A50)*(#REF!&lt;=oct!K$3)*(#REF!&gt;=oct!K$3)),#REF!),IF(WEEKDAY(oct!K$3,1)=1,"WO","P"))</f>
        <v>P</v>
      </c>
      <c r="L50" s="4" t="str">
        <f>IFERROR(LOOKUP(2,1/((#REF!=oct!$A50)*(#REF!&lt;=oct!L$3)*(#REF!&gt;=oct!L$3)),#REF!),IF(WEEKDAY(oct!L$3,1)=1,"WO","P"))</f>
        <v>P</v>
      </c>
      <c r="M50" s="4" t="str">
        <f>IFERROR(LOOKUP(2,1/((#REF!=oct!$A50)*(#REF!&lt;=oct!M$3)*(#REF!&gt;=oct!M$3)),#REF!),IF(WEEKDAY(oct!M$3,1)=1,"WO","P"))</f>
        <v>P</v>
      </c>
      <c r="N50" s="4" t="str">
        <f>IFERROR(LOOKUP(2,1/((#REF!=oct!$A50)*(#REF!&lt;=oct!N$3)*(#REF!&gt;=oct!N$3)),#REF!),IF(WEEKDAY(oct!N$3,1)=1,"WO","P"))</f>
        <v>P</v>
      </c>
      <c r="O50" s="4" t="str">
        <f>IFERROR(LOOKUP(2,1/((#REF!=oct!$A50)*(#REF!&lt;=oct!O$3)*(#REF!&gt;=oct!O$3)),#REF!),IF(WEEKDAY(oct!O$3,1)=1,"WO","P"))</f>
        <v>P</v>
      </c>
      <c r="P50" s="4" t="str">
        <f>IFERROR(LOOKUP(2,1/((#REF!=oct!$A50)*(#REF!&lt;=oct!P$3)*(#REF!&gt;=oct!P$3)),#REF!),IF(WEEKDAY(oct!P$3,1)=1,"WO","P"))</f>
        <v>WO</v>
      </c>
      <c r="Q50" s="4" t="str">
        <f>IFERROR(LOOKUP(2,1/((#REF!=oct!$A50)*(#REF!&lt;=oct!Q$3)*(#REF!&gt;=oct!Q$3)),#REF!),IF(WEEKDAY(oct!Q$3,1)=1,"WO","P"))</f>
        <v>P</v>
      </c>
      <c r="R50" s="4" t="str">
        <f>IFERROR(LOOKUP(2,1/((#REF!=oct!$A50)*(#REF!&lt;=oct!R$3)*(#REF!&gt;=oct!R$3)),#REF!),IF(WEEKDAY(oct!R$3,1)=1,"WO","P"))</f>
        <v>P</v>
      </c>
      <c r="S50" s="4" t="str">
        <f>IFERROR(LOOKUP(2,1/((#REF!=oct!$A50)*(#REF!&lt;=oct!S$3)*(#REF!&gt;=oct!S$3)),#REF!),IF(WEEKDAY(oct!S$3,1)=1,"WO","P"))</f>
        <v>P</v>
      </c>
      <c r="T50" s="4" t="str">
        <f>IFERROR(LOOKUP(2,1/((#REF!=oct!$A50)*(#REF!&lt;=oct!T$3)*(#REF!&gt;=oct!T$3)),#REF!),IF(WEEKDAY(oct!T$3,1)=1,"WO","P"))</f>
        <v>P</v>
      </c>
      <c r="U50" s="4" t="str">
        <f>IFERROR(LOOKUP(2,1/((#REF!=oct!$A50)*(#REF!&lt;=oct!U$3)*(#REF!&gt;=oct!U$3)),#REF!),IF(WEEKDAY(oct!U$3,1)=1,"WO","P"))</f>
        <v>P</v>
      </c>
      <c r="V50" s="4" t="str">
        <f>IFERROR(LOOKUP(2,1/((#REF!=oct!$A50)*(#REF!&lt;=oct!V$3)*(#REF!&gt;=oct!V$3)),#REF!),IF(WEEKDAY(oct!V$3,1)=1,"WO","P"))</f>
        <v>P</v>
      </c>
      <c r="W50" s="4" t="str">
        <f>IFERROR(LOOKUP(2,1/((#REF!=oct!$A50)*(#REF!&lt;=oct!W$3)*(#REF!&gt;=oct!W$3)),#REF!),IF(WEEKDAY(oct!W$3,1)=1,"WO","P"))</f>
        <v>WO</v>
      </c>
      <c r="X50" s="4" t="str">
        <f>IFERROR(LOOKUP(2,1/((#REF!=oct!$A50)*(#REF!&lt;=oct!X$3)*(#REF!&gt;=oct!X$3)),#REF!),IF(WEEKDAY(oct!X$3,1)=1,"WO","P"))</f>
        <v>P</v>
      </c>
      <c r="Y50" s="4" t="str">
        <f>IFERROR(LOOKUP(2,1/((#REF!=oct!$A50)*(#REF!&lt;=oct!Y$3)*(#REF!&gt;=oct!Y$3)),#REF!),IF(WEEKDAY(oct!Y$3,1)=1,"WO","P"))</f>
        <v>P</v>
      </c>
      <c r="Z50" s="4" t="str">
        <f>IFERROR(LOOKUP(2,1/((#REF!=oct!$A50)*(#REF!&lt;=oct!Z$3)*(#REF!&gt;=oct!Z$3)),#REF!),IF(WEEKDAY(oct!Z$3,1)=1,"WO","P"))</f>
        <v>P</v>
      </c>
      <c r="AA50" s="4" t="str">
        <f>IFERROR(LOOKUP(2,1/((#REF!=oct!$A50)*(#REF!&lt;=oct!AA$3)*(#REF!&gt;=oct!AA$3)),#REF!),IF(WEEKDAY(oct!AA$3,1)=1,"WO","P"))</f>
        <v>P</v>
      </c>
      <c r="AB50" s="4" t="str">
        <f>IFERROR(LOOKUP(2,1/((#REF!=oct!$A50)*(#REF!&lt;=oct!AB$3)*(#REF!&gt;=oct!AB$3)),#REF!),IF(WEEKDAY(oct!AB$3,1)=1,"WO","P"))</f>
        <v>P</v>
      </c>
      <c r="AC50" s="4" t="str">
        <f>IFERROR(LOOKUP(2,1/((#REF!=oct!$A50)*(#REF!&lt;=oct!AC$3)*(#REF!&gt;=oct!AC$3)),#REF!),IF(WEEKDAY(oct!AC$3,1)=1,"WO","P"))</f>
        <v>P</v>
      </c>
      <c r="AD50" s="4" t="str">
        <f>IFERROR(LOOKUP(2,1/((#REF!=oct!$A50)*(#REF!&lt;=oct!AD$3)*(#REF!&gt;=oct!AD$3)),#REF!),IF(WEEKDAY(oct!AD$3,1)=1,"WO","P"))</f>
        <v>WO</v>
      </c>
      <c r="AE50" s="4" t="str">
        <f>IFERROR(LOOKUP(2,1/((#REF!=oct!$A50)*(#REF!&lt;=oct!AE$3)*(#REF!&gt;=oct!AE$3)),#REF!),IF(WEEKDAY(oct!AE$3,1)=1,"WO","P"))</f>
        <v>P</v>
      </c>
      <c r="AF50" s="4" t="str">
        <f>IFERROR(LOOKUP(2,1/((#REF!=oct!$A50)*(#REF!&lt;=oct!AF$3)*(#REF!&gt;=oct!AF$3)),#REF!),IF(WEEKDAY(oct!AF$3,1)=1,"WO","P"))</f>
        <v>P</v>
      </c>
      <c r="AG50" s="4" t="str">
        <f>IFERROR(LOOKUP(2,1/((#REF!=oct!$A50)*(#REF!&lt;=oct!AG$3)*(#REF!&gt;=oct!AG$3)),#REF!),IF(WEEKDAY(oct!AG$3,1)=1,"WO","P"))</f>
        <v>P</v>
      </c>
      <c r="AH50" s="4" t="str">
        <f>IFERROR(LOOKUP(2,1/((#REF!=oct!$A50)*(#REF!&lt;=oct!AH$3)*(#REF!&gt;=oct!AH$3)),#REF!),IF(WEEKDAY(oct!AH$3,1)=1,"WO","P"))</f>
        <v>P</v>
      </c>
      <c r="AI50" s="4" t="str">
        <f>IFERROR(LOOKUP(2,1/((#REF!=oct!$A50)*(#REF!&lt;=oct!AI$3)*(#REF!&gt;=oct!AI$3)),#REF!),IF(WEEKDAY(oct!AI$3,1)=1,"WO","P"))</f>
        <v>P</v>
      </c>
      <c r="AJ50" s="4" t="str">
        <f>IFERROR(LOOKUP(2,1/((#REF!=oct!$A50)*(#REF!&lt;=oct!AJ$3)*(#REF!&gt;=oct!AJ$3)),#REF!),IF(WEEKDAY(oct!AJ$3,1)=1,"WO","P"))</f>
        <v>P</v>
      </c>
      <c r="AK50" s="4">
        <f>COUNTIF(mar!$F50:$AJ50,"WO")</f>
        <v>5</v>
      </c>
      <c r="AL50" s="4">
        <f>COUNTIF(mar!$F50:$AJ50,"H")</f>
        <v>2</v>
      </c>
      <c r="AM50" s="4">
        <f>COUNTIF(mar!$F50:$AJ50,"pl")</f>
        <v>0</v>
      </c>
      <c r="AN50" s="4">
        <f>COUNTIF(mar!$F50:$AJ50,"LWP")</f>
        <v>0</v>
      </c>
      <c r="AO50" s="4">
        <f>COUNTIF(mar!$F50:$AJ50,"HD")</f>
        <v>0</v>
      </c>
      <c r="AP50" s="4">
        <f>COUNTIF(mar!$F50:$AJ50,"SL")</f>
        <v>0</v>
      </c>
      <c r="AQ50" s="4">
        <f>COUNTIF(mar!$F50:$AJ50,"CL")</f>
        <v>0</v>
      </c>
      <c r="AR50" s="4">
        <f>COUNTIF(mar!$F50:$AJ50,"A")</f>
        <v>1</v>
      </c>
      <c r="AS50" s="4">
        <f>COUNTIF(mar!$F50:$AJ50,"P")</f>
        <v>23</v>
      </c>
      <c r="AT50" s="4">
        <f t="shared" si="2"/>
        <v>31</v>
      </c>
      <c r="AU50" s="4">
        <f t="shared" si="3"/>
        <v>30</v>
      </c>
      <c r="AV50" s="4">
        <f>SUMIFS(holly!$L$2:$L$122,holly!$I$2:$I$122,mar!$A50,holly!$K$2:$K$122,"Mar")</f>
        <v>0</v>
      </c>
    </row>
    <row r="51" spans="1:48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IFERROR(LOOKUP(2,1/((#REF!=oct!$A51)*(#REF!&lt;=oct!F$3)*(#REF!&gt;=oct!F$3)),#REF!),IF(WEEKDAY(oct!F$3,1)=1,"WO","P"))</f>
        <v>P</v>
      </c>
      <c r="G51" s="4" t="str">
        <f>IFERROR(LOOKUP(2,1/((#REF!=oct!$A51)*(#REF!&lt;=oct!G$3)*(#REF!&gt;=oct!G$3)),#REF!),IF(WEEKDAY(oct!G$3,1)=1,"WO","P"))</f>
        <v>P</v>
      </c>
      <c r="H51" s="4" t="str">
        <f>IFERROR(LOOKUP(2,1/((#REF!=oct!$A51)*(#REF!&lt;=oct!H$3)*(#REF!&gt;=oct!H$3)),#REF!),IF(WEEKDAY(oct!H$3,1)=1,"WO","P"))</f>
        <v>P</v>
      </c>
      <c r="I51" s="4" t="str">
        <f>IFERROR(LOOKUP(2,1/((#REF!=oct!$A51)*(#REF!&lt;=oct!I$3)*(#REF!&gt;=oct!I$3)),#REF!),IF(WEEKDAY(oct!I$3,1)=1,"WO","P"))</f>
        <v>WO</v>
      </c>
      <c r="J51" s="4" t="str">
        <f>IFERROR(LOOKUP(2,1/((#REF!=oct!$A51)*(#REF!&lt;=oct!J$3)*(#REF!&gt;=oct!J$3)),#REF!),IF(WEEKDAY(oct!J$3,1)=1,"WO","P"))</f>
        <v>P</v>
      </c>
      <c r="K51" s="4" t="str">
        <f>IFERROR(LOOKUP(2,1/((#REF!=oct!$A51)*(#REF!&lt;=oct!K$3)*(#REF!&gt;=oct!K$3)),#REF!),IF(WEEKDAY(oct!K$3,1)=1,"WO","P"))</f>
        <v>P</v>
      </c>
      <c r="L51" s="4" t="str">
        <f>IFERROR(LOOKUP(2,1/((#REF!=oct!$A51)*(#REF!&lt;=oct!L$3)*(#REF!&gt;=oct!L$3)),#REF!),IF(WEEKDAY(oct!L$3,1)=1,"WO","P"))</f>
        <v>P</v>
      </c>
      <c r="M51" s="4" t="str">
        <f>IFERROR(LOOKUP(2,1/((#REF!=oct!$A51)*(#REF!&lt;=oct!M$3)*(#REF!&gt;=oct!M$3)),#REF!),IF(WEEKDAY(oct!M$3,1)=1,"WO","P"))</f>
        <v>P</v>
      </c>
      <c r="N51" s="4" t="str">
        <f>IFERROR(LOOKUP(2,1/((#REF!=oct!$A51)*(#REF!&lt;=oct!N$3)*(#REF!&gt;=oct!N$3)),#REF!),IF(WEEKDAY(oct!N$3,1)=1,"WO","P"))</f>
        <v>P</v>
      </c>
      <c r="O51" s="4" t="str">
        <f>IFERROR(LOOKUP(2,1/((#REF!=oct!$A51)*(#REF!&lt;=oct!O$3)*(#REF!&gt;=oct!O$3)),#REF!),IF(WEEKDAY(oct!O$3,1)=1,"WO","P"))</f>
        <v>P</v>
      </c>
      <c r="P51" s="4" t="str">
        <f>IFERROR(LOOKUP(2,1/((#REF!=oct!$A51)*(#REF!&lt;=oct!P$3)*(#REF!&gt;=oct!P$3)),#REF!),IF(WEEKDAY(oct!P$3,1)=1,"WO","P"))</f>
        <v>WO</v>
      </c>
      <c r="Q51" s="4" t="str">
        <f>IFERROR(LOOKUP(2,1/((#REF!=oct!$A51)*(#REF!&lt;=oct!Q$3)*(#REF!&gt;=oct!Q$3)),#REF!),IF(WEEKDAY(oct!Q$3,1)=1,"WO","P"))</f>
        <v>P</v>
      </c>
      <c r="R51" s="4" t="str">
        <f>IFERROR(LOOKUP(2,1/((#REF!=oct!$A51)*(#REF!&lt;=oct!R$3)*(#REF!&gt;=oct!R$3)),#REF!),IF(WEEKDAY(oct!R$3,1)=1,"WO","P"))</f>
        <v>P</v>
      </c>
      <c r="S51" s="4" t="str">
        <f>IFERROR(LOOKUP(2,1/((#REF!=oct!$A51)*(#REF!&lt;=oct!S$3)*(#REF!&gt;=oct!S$3)),#REF!),IF(WEEKDAY(oct!S$3,1)=1,"WO","P"))</f>
        <v>P</v>
      </c>
      <c r="T51" s="4" t="str">
        <f>IFERROR(LOOKUP(2,1/((#REF!=oct!$A51)*(#REF!&lt;=oct!T$3)*(#REF!&gt;=oct!T$3)),#REF!),IF(WEEKDAY(oct!T$3,1)=1,"WO","P"))</f>
        <v>P</v>
      </c>
      <c r="U51" s="4" t="str">
        <f>IFERROR(LOOKUP(2,1/((#REF!=oct!$A51)*(#REF!&lt;=oct!U$3)*(#REF!&gt;=oct!U$3)),#REF!),IF(WEEKDAY(oct!U$3,1)=1,"WO","P"))</f>
        <v>P</v>
      </c>
      <c r="V51" s="4" t="str">
        <f>IFERROR(LOOKUP(2,1/((#REF!=oct!$A51)*(#REF!&lt;=oct!V$3)*(#REF!&gt;=oct!V$3)),#REF!),IF(WEEKDAY(oct!V$3,1)=1,"WO","P"))</f>
        <v>P</v>
      </c>
      <c r="W51" s="4" t="str">
        <f>IFERROR(LOOKUP(2,1/((#REF!=oct!$A51)*(#REF!&lt;=oct!W$3)*(#REF!&gt;=oct!W$3)),#REF!),IF(WEEKDAY(oct!W$3,1)=1,"WO","P"))</f>
        <v>WO</v>
      </c>
      <c r="X51" s="4" t="str">
        <f>IFERROR(LOOKUP(2,1/((#REF!=oct!$A51)*(#REF!&lt;=oct!X$3)*(#REF!&gt;=oct!X$3)),#REF!),IF(WEEKDAY(oct!X$3,1)=1,"WO","P"))</f>
        <v>P</v>
      </c>
      <c r="Y51" s="4" t="str">
        <f>IFERROR(LOOKUP(2,1/((#REF!=oct!$A51)*(#REF!&lt;=oct!Y$3)*(#REF!&gt;=oct!Y$3)),#REF!),IF(WEEKDAY(oct!Y$3,1)=1,"WO","P"))</f>
        <v>P</v>
      </c>
      <c r="Z51" s="4" t="str">
        <f>IFERROR(LOOKUP(2,1/((#REF!=oct!$A51)*(#REF!&lt;=oct!Z$3)*(#REF!&gt;=oct!Z$3)),#REF!),IF(WEEKDAY(oct!Z$3,1)=1,"WO","P"))</f>
        <v>P</v>
      </c>
      <c r="AA51" s="4" t="str">
        <f>IFERROR(LOOKUP(2,1/((#REF!=oct!$A51)*(#REF!&lt;=oct!AA$3)*(#REF!&gt;=oct!AA$3)),#REF!),IF(WEEKDAY(oct!AA$3,1)=1,"WO","P"))</f>
        <v>P</v>
      </c>
      <c r="AB51" s="4" t="str">
        <f>IFERROR(LOOKUP(2,1/((#REF!=oct!$A51)*(#REF!&lt;=oct!AB$3)*(#REF!&gt;=oct!AB$3)),#REF!),IF(WEEKDAY(oct!AB$3,1)=1,"WO","P"))</f>
        <v>P</v>
      </c>
      <c r="AC51" s="4" t="str">
        <f>IFERROR(LOOKUP(2,1/((#REF!=oct!$A51)*(#REF!&lt;=oct!AC$3)*(#REF!&gt;=oct!AC$3)),#REF!),IF(WEEKDAY(oct!AC$3,1)=1,"WO","P"))</f>
        <v>P</v>
      </c>
      <c r="AD51" s="4" t="str">
        <f>IFERROR(LOOKUP(2,1/((#REF!=oct!$A51)*(#REF!&lt;=oct!AD$3)*(#REF!&gt;=oct!AD$3)),#REF!),IF(WEEKDAY(oct!AD$3,1)=1,"WO","P"))</f>
        <v>WO</v>
      </c>
      <c r="AE51" s="4" t="str">
        <f>IFERROR(LOOKUP(2,1/((#REF!=oct!$A51)*(#REF!&lt;=oct!AE$3)*(#REF!&gt;=oct!AE$3)),#REF!),IF(WEEKDAY(oct!AE$3,1)=1,"WO","P"))</f>
        <v>P</v>
      </c>
      <c r="AF51" s="4" t="str">
        <f>IFERROR(LOOKUP(2,1/((#REF!=oct!$A51)*(#REF!&lt;=oct!AF$3)*(#REF!&gt;=oct!AF$3)),#REF!),IF(WEEKDAY(oct!AF$3,1)=1,"WO","P"))</f>
        <v>P</v>
      </c>
      <c r="AG51" s="4" t="str">
        <f>IFERROR(LOOKUP(2,1/((#REF!=oct!$A51)*(#REF!&lt;=oct!AG$3)*(#REF!&gt;=oct!AG$3)),#REF!),IF(WEEKDAY(oct!AG$3,1)=1,"WO","P"))</f>
        <v>P</v>
      </c>
      <c r="AH51" s="4" t="str">
        <f>IFERROR(LOOKUP(2,1/((#REF!=oct!$A51)*(#REF!&lt;=oct!AH$3)*(#REF!&gt;=oct!AH$3)),#REF!),IF(WEEKDAY(oct!AH$3,1)=1,"WO","P"))</f>
        <v>P</v>
      </c>
      <c r="AI51" s="4" t="str">
        <f>IFERROR(LOOKUP(2,1/((#REF!=oct!$A51)*(#REF!&lt;=oct!AI$3)*(#REF!&gt;=oct!AI$3)),#REF!),IF(WEEKDAY(oct!AI$3,1)=1,"WO","P"))</f>
        <v>P</v>
      </c>
      <c r="AJ51" s="4" t="str">
        <f>IFERROR(LOOKUP(2,1/((#REF!=oct!$A51)*(#REF!&lt;=oct!AJ$3)*(#REF!&gt;=oct!AJ$3)),#REF!),IF(WEEKDAY(oct!AJ$3,1)=1,"WO","P"))</f>
        <v>P</v>
      </c>
      <c r="AK51" s="4">
        <f>COUNTIF(mar!$F51:$AJ51,"WO")</f>
        <v>5</v>
      </c>
      <c r="AL51" s="4">
        <f>COUNTIF(mar!$F51:$AJ51,"H")</f>
        <v>2</v>
      </c>
      <c r="AM51" s="4">
        <f>COUNTIF(mar!$F51:$AJ51,"pl")</f>
        <v>0</v>
      </c>
      <c r="AN51" s="4">
        <f>COUNTIF(mar!$F51:$AJ51,"LWP")</f>
        <v>0</v>
      </c>
      <c r="AO51" s="4">
        <f>COUNTIF(mar!$F51:$AJ51,"HD")</f>
        <v>0</v>
      </c>
      <c r="AP51" s="4">
        <f>COUNTIF(mar!$F51:$AJ51,"SL")</f>
        <v>0</v>
      </c>
      <c r="AQ51" s="4">
        <f>COUNTIF(mar!$F51:$AJ51,"CL")</f>
        <v>0</v>
      </c>
      <c r="AR51" s="4">
        <f>COUNTIF(mar!$F51:$AJ51,"A")</f>
        <v>0</v>
      </c>
      <c r="AS51" s="4">
        <f>COUNTIF(mar!$F51:$AJ51,"P")</f>
        <v>24</v>
      </c>
      <c r="AT51" s="4">
        <f t="shared" si="2"/>
        <v>31</v>
      </c>
      <c r="AU51" s="4">
        <f t="shared" si="3"/>
        <v>31</v>
      </c>
      <c r="AV51" s="4">
        <f>SUMIFS(holly!$L$2:$L$122,holly!$I$2:$I$122,mar!$A51,holly!$K$2:$K$122,"Mar")</f>
        <v>3</v>
      </c>
    </row>
    <row r="52" spans="1:48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IFERROR(LOOKUP(2,1/((#REF!=oct!$A52)*(#REF!&lt;=oct!F$3)*(#REF!&gt;=oct!F$3)),#REF!),IF(WEEKDAY(oct!F$3,1)=1,"WO","P"))</f>
        <v>P</v>
      </c>
      <c r="G52" s="4" t="str">
        <f>IFERROR(LOOKUP(2,1/((#REF!=oct!$A52)*(#REF!&lt;=oct!G$3)*(#REF!&gt;=oct!G$3)),#REF!),IF(WEEKDAY(oct!G$3,1)=1,"WO","P"))</f>
        <v>P</v>
      </c>
      <c r="H52" s="4" t="str">
        <f>IFERROR(LOOKUP(2,1/((#REF!=oct!$A52)*(#REF!&lt;=oct!H$3)*(#REF!&gt;=oct!H$3)),#REF!),IF(WEEKDAY(oct!H$3,1)=1,"WO","P"))</f>
        <v>P</v>
      </c>
      <c r="I52" s="4" t="str">
        <f>IFERROR(LOOKUP(2,1/((#REF!=oct!$A52)*(#REF!&lt;=oct!I$3)*(#REF!&gt;=oct!I$3)),#REF!),IF(WEEKDAY(oct!I$3,1)=1,"WO","P"))</f>
        <v>WO</v>
      </c>
      <c r="J52" s="4" t="str">
        <f>IFERROR(LOOKUP(2,1/((#REF!=oct!$A52)*(#REF!&lt;=oct!J$3)*(#REF!&gt;=oct!J$3)),#REF!),IF(WEEKDAY(oct!J$3,1)=1,"WO","P"))</f>
        <v>P</v>
      </c>
      <c r="K52" s="4" t="str">
        <f>IFERROR(LOOKUP(2,1/((#REF!=oct!$A52)*(#REF!&lt;=oct!K$3)*(#REF!&gt;=oct!K$3)),#REF!),IF(WEEKDAY(oct!K$3,1)=1,"WO","P"))</f>
        <v>P</v>
      </c>
      <c r="L52" s="4" t="str">
        <f>IFERROR(LOOKUP(2,1/((#REF!=oct!$A52)*(#REF!&lt;=oct!L$3)*(#REF!&gt;=oct!L$3)),#REF!),IF(WEEKDAY(oct!L$3,1)=1,"WO","P"))</f>
        <v>P</v>
      </c>
      <c r="M52" s="4" t="str">
        <f>IFERROR(LOOKUP(2,1/((#REF!=oct!$A52)*(#REF!&lt;=oct!M$3)*(#REF!&gt;=oct!M$3)),#REF!),IF(WEEKDAY(oct!M$3,1)=1,"WO","P"))</f>
        <v>P</v>
      </c>
      <c r="N52" s="4" t="str">
        <f>IFERROR(LOOKUP(2,1/((#REF!=oct!$A52)*(#REF!&lt;=oct!N$3)*(#REF!&gt;=oct!N$3)),#REF!),IF(WEEKDAY(oct!N$3,1)=1,"WO","P"))</f>
        <v>P</v>
      </c>
      <c r="O52" s="4" t="str">
        <f>IFERROR(LOOKUP(2,1/((#REF!=oct!$A52)*(#REF!&lt;=oct!O$3)*(#REF!&gt;=oct!O$3)),#REF!),IF(WEEKDAY(oct!O$3,1)=1,"WO","P"))</f>
        <v>P</v>
      </c>
      <c r="P52" s="4" t="str">
        <f>IFERROR(LOOKUP(2,1/((#REF!=oct!$A52)*(#REF!&lt;=oct!P$3)*(#REF!&gt;=oct!P$3)),#REF!),IF(WEEKDAY(oct!P$3,1)=1,"WO","P"))</f>
        <v>WO</v>
      </c>
      <c r="Q52" s="4" t="str">
        <f>IFERROR(LOOKUP(2,1/((#REF!=oct!$A52)*(#REF!&lt;=oct!Q$3)*(#REF!&gt;=oct!Q$3)),#REF!),IF(WEEKDAY(oct!Q$3,1)=1,"WO","P"))</f>
        <v>P</v>
      </c>
      <c r="R52" s="4" t="str">
        <f>IFERROR(LOOKUP(2,1/((#REF!=oct!$A52)*(#REF!&lt;=oct!R$3)*(#REF!&gt;=oct!R$3)),#REF!),IF(WEEKDAY(oct!R$3,1)=1,"WO","P"))</f>
        <v>P</v>
      </c>
      <c r="S52" s="4" t="str">
        <f>IFERROR(LOOKUP(2,1/((#REF!=oct!$A52)*(#REF!&lt;=oct!S$3)*(#REF!&gt;=oct!S$3)),#REF!),IF(WEEKDAY(oct!S$3,1)=1,"WO","P"))</f>
        <v>P</v>
      </c>
      <c r="T52" s="4" t="str">
        <f>IFERROR(LOOKUP(2,1/((#REF!=oct!$A52)*(#REF!&lt;=oct!T$3)*(#REF!&gt;=oct!T$3)),#REF!),IF(WEEKDAY(oct!T$3,1)=1,"WO","P"))</f>
        <v>P</v>
      </c>
      <c r="U52" s="4" t="str">
        <f>IFERROR(LOOKUP(2,1/((#REF!=oct!$A52)*(#REF!&lt;=oct!U$3)*(#REF!&gt;=oct!U$3)),#REF!),IF(WEEKDAY(oct!U$3,1)=1,"WO","P"))</f>
        <v>P</v>
      </c>
      <c r="V52" s="4" t="str">
        <f>IFERROR(LOOKUP(2,1/((#REF!=oct!$A52)*(#REF!&lt;=oct!V$3)*(#REF!&gt;=oct!V$3)),#REF!),IF(WEEKDAY(oct!V$3,1)=1,"WO","P"))</f>
        <v>P</v>
      </c>
      <c r="W52" s="4" t="str">
        <f>IFERROR(LOOKUP(2,1/((#REF!=oct!$A52)*(#REF!&lt;=oct!W$3)*(#REF!&gt;=oct!W$3)),#REF!),IF(WEEKDAY(oct!W$3,1)=1,"WO","P"))</f>
        <v>WO</v>
      </c>
      <c r="X52" s="4" t="str">
        <f>IFERROR(LOOKUP(2,1/((#REF!=oct!$A52)*(#REF!&lt;=oct!X$3)*(#REF!&gt;=oct!X$3)),#REF!),IF(WEEKDAY(oct!X$3,1)=1,"WO","P"))</f>
        <v>P</v>
      </c>
      <c r="Y52" s="4" t="str">
        <f>IFERROR(LOOKUP(2,1/((#REF!=oct!$A52)*(#REF!&lt;=oct!Y$3)*(#REF!&gt;=oct!Y$3)),#REF!),IF(WEEKDAY(oct!Y$3,1)=1,"WO","P"))</f>
        <v>P</v>
      </c>
      <c r="Z52" s="4" t="str">
        <f>IFERROR(LOOKUP(2,1/((#REF!=oct!$A52)*(#REF!&lt;=oct!Z$3)*(#REF!&gt;=oct!Z$3)),#REF!),IF(WEEKDAY(oct!Z$3,1)=1,"WO","P"))</f>
        <v>P</v>
      </c>
      <c r="AA52" s="4" t="str">
        <f>IFERROR(LOOKUP(2,1/((#REF!=oct!$A52)*(#REF!&lt;=oct!AA$3)*(#REF!&gt;=oct!AA$3)),#REF!),IF(WEEKDAY(oct!AA$3,1)=1,"WO","P"))</f>
        <v>P</v>
      </c>
      <c r="AB52" s="4" t="str">
        <f>IFERROR(LOOKUP(2,1/((#REF!=oct!$A52)*(#REF!&lt;=oct!AB$3)*(#REF!&gt;=oct!AB$3)),#REF!),IF(WEEKDAY(oct!AB$3,1)=1,"WO","P"))</f>
        <v>P</v>
      </c>
      <c r="AC52" s="4" t="str">
        <f>IFERROR(LOOKUP(2,1/((#REF!=oct!$A52)*(#REF!&lt;=oct!AC$3)*(#REF!&gt;=oct!AC$3)),#REF!),IF(WEEKDAY(oct!AC$3,1)=1,"WO","P"))</f>
        <v>P</v>
      </c>
      <c r="AD52" s="4" t="str">
        <f>IFERROR(LOOKUP(2,1/((#REF!=oct!$A52)*(#REF!&lt;=oct!AD$3)*(#REF!&gt;=oct!AD$3)),#REF!),IF(WEEKDAY(oct!AD$3,1)=1,"WO","P"))</f>
        <v>WO</v>
      </c>
      <c r="AE52" s="4" t="str">
        <f>IFERROR(LOOKUP(2,1/((#REF!=oct!$A52)*(#REF!&lt;=oct!AE$3)*(#REF!&gt;=oct!AE$3)),#REF!),IF(WEEKDAY(oct!AE$3,1)=1,"WO","P"))</f>
        <v>P</v>
      </c>
      <c r="AF52" s="4" t="str">
        <f>IFERROR(LOOKUP(2,1/((#REF!=oct!$A52)*(#REF!&lt;=oct!AF$3)*(#REF!&gt;=oct!AF$3)),#REF!),IF(WEEKDAY(oct!AF$3,1)=1,"WO","P"))</f>
        <v>P</v>
      </c>
      <c r="AG52" s="4" t="str">
        <f>IFERROR(LOOKUP(2,1/((#REF!=oct!$A52)*(#REF!&lt;=oct!AG$3)*(#REF!&gt;=oct!AG$3)),#REF!),IF(WEEKDAY(oct!AG$3,1)=1,"WO","P"))</f>
        <v>P</v>
      </c>
      <c r="AH52" s="4" t="str">
        <f>IFERROR(LOOKUP(2,1/((#REF!=oct!$A52)*(#REF!&lt;=oct!AH$3)*(#REF!&gt;=oct!AH$3)),#REF!),IF(WEEKDAY(oct!AH$3,1)=1,"WO","P"))</f>
        <v>P</v>
      </c>
      <c r="AI52" s="4" t="str">
        <f>IFERROR(LOOKUP(2,1/((#REF!=oct!$A52)*(#REF!&lt;=oct!AI$3)*(#REF!&gt;=oct!AI$3)),#REF!),IF(WEEKDAY(oct!AI$3,1)=1,"WO","P"))</f>
        <v>P</v>
      </c>
      <c r="AJ52" s="4" t="str">
        <f>IFERROR(LOOKUP(2,1/((#REF!=oct!$A52)*(#REF!&lt;=oct!AJ$3)*(#REF!&gt;=oct!AJ$3)),#REF!),IF(WEEKDAY(oct!AJ$3,1)=1,"WO","P"))</f>
        <v>P</v>
      </c>
      <c r="AK52" s="4">
        <f>COUNTIF(mar!$F52:$AJ52,"WO")</f>
        <v>5</v>
      </c>
      <c r="AL52" s="4">
        <f>COUNTIF(mar!$F52:$AJ52,"H")</f>
        <v>2</v>
      </c>
      <c r="AM52" s="4">
        <f>COUNTIF(mar!$F52:$AJ52,"pl")</f>
        <v>0</v>
      </c>
      <c r="AN52" s="4">
        <f>COUNTIF(mar!$F52:$AJ52,"LWP")</f>
        <v>0</v>
      </c>
      <c r="AO52" s="4">
        <f>COUNTIF(mar!$F52:$AJ52,"HD")</f>
        <v>0</v>
      </c>
      <c r="AP52" s="4">
        <f>COUNTIF(mar!$F52:$AJ52,"SL")</f>
        <v>0</v>
      </c>
      <c r="AQ52" s="4">
        <f>COUNTIF(mar!$F52:$AJ52,"CL")</f>
        <v>0</v>
      </c>
      <c r="AR52" s="4">
        <f>COUNTIF(mar!$F52:$AJ52,"A")</f>
        <v>0</v>
      </c>
      <c r="AS52" s="4">
        <f>COUNTIF(mar!$F52:$AJ52,"P")</f>
        <v>24</v>
      </c>
      <c r="AT52" s="4">
        <f t="shared" si="2"/>
        <v>31</v>
      </c>
      <c r="AU52" s="4">
        <f t="shared" si="3"/>
        <v>31</v>
      </c>
      <c r="AV52" s="4">
        <f>SUMIFS(holly!$L$2:$L$122,holly!$I$2:$I$122,mar!$A52,holly!$K$2:$K$122,"Mar")</f>
        <v>0</v>
      </c>
    </row>
    <row r="53" spans="1:48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IFERROR(LOOKUP(2,1/((#REF!=oct!$A53)*(#REF!&lt;=oct!F$3)*(#REF!&gt;=oct!F$3)),#REF!),IF(WEEKDAY(oct!F$3,1)=1,"WO","P"))</f>
        <v>P</v>
      </c>
      <c r="G53" s="4" t="str">
        <f>IFERROR(LOOKUP(2,1/((#REF!=oct!$A53)*(#REF!&lt;=oct!G$3)*(#REF!&gt;=oct!G$3)),#REF!),IF(WEEKDAY(oct!G$3,1)=1,"WO","P"))</f>
        <v>P</v>
      </c>
      <c r="H53" s="4" t="str">
        <f>IFERROR(LOOKUP(2,1/((#REF!=oct!$A53)*(#REF!&lt;=oct!H$3)*(#REF!&gt;=oct!H$3)),#REF!),IF(WEEKDAY(oct!H$3,1)=1,"WO","P"))</f>
        <v>P</v>
      </c>
      <c r="I53" s="4" t="str">
        <f>IFERROR(LOOKUP(2,1/((#REF!=oct!$A53)*(#REF!&lt;=oct!I$3)*(#REF!&gt;=oct!I$3)),#REF!),IF(WEEKDAY(oct!I$3,1)=1,"WO","P"))</f>
        <v>WO</v>
      </c>
      <c r="J53" s="4" t="str">
        <f>IFERROR(LOOKUP(2,1/((#REF!=oct!$A53)*(#REF!&lt;=oct!J$3)*(#REF!&gt;=oct!J$3)),#REF!),IF(WEEKDAY(oct!J$3,1)=1,"WO","P"))</f>
        <v>P</v>
      </c>
      <c r="K53" s="4" t="str">
        <f>IFERROR(LOOKUP(2,1/((#REF!=oct!$A53)*(#REF!&lt;=oct!K$3)*(#REF!&gt;=oct!K$3)),#REF!),IF(WEEKDAY(oct!K$3,1)=1,"WO","P"))</f>
        <v>P</v>
      </c>
      <c r="L53" s="4" t="str">
        <f>IFERROR(LOOKUP(2,1/((#REF!=oct!$A53)*(#REF!&lt;=oct!L$3)*(#REF!&gt;=oct!L$3)),#REF!),IF(WEEKDAY(oct!L$3,1)=1,"WO","P"))</f>
        <v>P</v>
      </c>
      <c r="M53" s="4" t="str">
        <f>IFERROR(LOOKUP(2,1/((#REF!=oct!$A53)*(#REF!&lt;=oct!M$3)*(#REF!&gt;=oct!M$3)),#REF!),IF(WEEKDAY(oct!M$3,1)=1,"WO","P"))</f>
        <v>P</v>
      </c>
      <c r="N53" s="4" t="str">
        <f>IFERROR(LOOKUP(2,1/((#REF!=oct!$A53)*(#REF!&lt;=oct!N$3)*(#REF!&gt;=oct!N$3)),#REF!),IF(WEEKDAY(oct!N$3,1)=1,"WO","P"))</f>
        <v>P</v>
      </c>
      <c r="O53" s="4" t="str">
        <f>IFERROR(LOOKUP(2,1/((#REF!=oct!$A53)*(#REF!&lt;=oct!O$3)*(#REF!&gt;=oct!O$3)),#REF!),IF(WEEKDAY(oct!O$3,1)=1,"WO","P"))</f>
        <v>P</v>
      </c>
      <c r="P53" s="4" t="str">
        <f>IFERROR(LOOKUP(2,1/((#REF!=oct!$A53)*(#REF!&lt;=oct!P$3)*(#REF!&gt;=oct!P$3)),#REF!),IF(WEEKDAY(oct!P$3,1)=1,"WO","P"))</f>
        <v>WO</v>
      </c>
      <c r="Q53" s="4" t="str">
        <f>IFERROR(LOOKUP(2,1/((#REF!=oct!$A53)*(#REF!&lt;=oct!Q$3)*(#REF!&gt;=oct!Q$3)),#REF!),IF(WEEKDAY(oct!Q$3,1)=1,"WO","P"))</f>
        <v>P</v>
      </c>
      <c r="R53" s="4" t="str">
        <f>IFERROR(LOOKUP(2,1/((#REF!=oct!$A53)*(#REF!&lt;=oct!R$3)*(#REF!&gt;=oct!R$3)),#REF!),IF(WEEKDAY(oct!R$3,1)=1,"WO","P"))</f>
        <v>P</v>
      </c>
      <c r="S53" s="4" t="str">
        <f>IFERROR(LOOKUP(2,1/((#REF!=oct!$A53)*(#REF!&lt;=oct!S$3)*(#REF!&gt;=oct!S$3)),#REF!),IF(WEEKDAY(oct!S$3,1)=1,"WO","P"))</f>
        <v>P</v>
      </c>
      <c r="T53" s="4" t="str">
        <f>IFERROR(LOOKUP(2,1/((#REF!=oct!$A53)*(#REF!&lt;=oct!T$3)*(#REF!&gt;=oct!T$3)),#REF!),IF(WEEKDAY(oct!T$3,1)=1,"WO","P"))</f>
        <v>P</v>
      </c>
      <c r="U53" s="4" t="str">
        <f>IFERROR(LOOKUP(2,1/((#REF!=oct!$A53)*(#REF!&lt;=oct!U$3)*(#REF!&gt;=oct!U$3)),#REF!),IF(WEEKDAY(oct!U$3,1)=1,"WO","P"))</f>
        <v>P</v>
      </c>
      <c r="V53" s="4" t="str">
        <f>IFERROR(LOOKUP(2,1/((#REF!=oct!$A53)*(#REF!&lt;=oct!V$3)*(#REF!&gt;=oct!V$3)),#REF!),IF(WEEKDAY(oct!V$3,1)=1,"WO","P"))</f>
        <v>P</v>
      </c>
      <c r="W53" s="4" t="str">
        <f>IFERROR(LOOKUP(2,1/((#REF!=oct!$A53)*(#REF!&lt;=oct!W$3)*(#REF!&gt;=oct!W$3)),#REF!),IF(WEEKDAY(oct!W$3,1)=1,"WO","P"))</f>
        <v>WO</v>
      </c>
      <c r="X53" s="4" t="str">
        <f>IFERROR(LOOKUP(2,1/((#REF!=oct!$A53)*(#REF!&lt;=oct!X$3)*(#REF!&gt;=oct!X$3)),#REF!),IF(WEEKDAY(oct!X$3,1)=1,"WO","P"))</f>
        <v>P</v>
      </c>
      <c r="Y53" s="4" t="str">
        <f>IFERROR(LOOKUP(2,1/((#REF!=oct!$A53)*(#REF!&lt;=oct!Y$3)*(#REF!&gt;=oct!Y$3)),#REF!),IF(WEEKDAY(oct!Y$3,1)=1,"WO","P"))</f>
        <v>P</v>
      </c>
      <c r="Z53" s="4" t="str">
        <f>IFERROR(LOOKUP(2,1/((#REF!=oct!$A53)*(#REF!&lt;=oct!Z$3)*(#REF!&gt;=oct!Z$3)),#REF!),IF(WEEKDAY(oct!Z$3,1)=1,"WO","P"))</f>
        <v>P</v>
      </c>
      <c r="AA53" s="4" t="str">
        <f>IFERROR(LOOKUP(2,1/((#REF!=oct!$A53)*(#REF!&lt;=oct!AA$3)*(#REF!&gt;=oct!AA$3)),#REF!),IF(WEEKDAY(oct!AA$3,1)=1,"WO","P"))</f>
        <v>P</v>
      </c>
      <c r="AB53" s="4" t="str">
        <f>IFERROR(LOOKUP(2,1/((#REF!=oct!$A53)*(#REF!&lt;=oct!AB$3)*(#REF!&gt;=oct!AB$3)),#REF!),IF(WEEKDAY(oct!AB$3,1)=1,"WO","P"))</f>
        <v>P</v>
      </c>
      <c r="AC53" s="4" t="str">
        <f>IFERROR(LOOKUP(2,1/((#REF!=oct!$A53)*(#REF!&lt;=oct!AC$3)*(#REF!&gt;=oct!AC$3)),#REF!),IF(WEEKDAY(oct!AC$3,1)=1,"WO","P"))</f>
        <v>P</v>
      </c>
      <c r="AD53" s="4" t="str">
        <f>IFERROR(LOOKUP(2,1/((#REF!=oct!$A53)*(#REF!&lt;=oct!AD$3)*(#REF!&gt;=oct!AD$3)),#REF!),IF(WEEKDAY(oct!AD$3,1)=1,"WO","P"))</f>
        <v>WO</v>
      </c>
      <c r="AE53" s="4" t="str">
        <f>IFERROR(LOOKUP(2,1/((#REF!=oct!$A53)*(#REF!&lt;=oct!AE$3)*(#REF!&gt;=oct!AE$3)),#REF!),IF(WEEKDAY(oct!AE$3,1)=1,"WO","P"))</f>
        <v>P</v>
      </c>
      <c r="AF53" s="4" t="str">
        <f>IFERROR(LOOKUP(2,1/((#REF!=oct!$A53)*(#REF!&lt;=oct!AF$3)*(#REF!&gt;=oct!AF$3)),#REF!),IF(WEEKDAY(oct!AF$3,1)=1,"WO","P"))</f>
        <v>P</v>
      </c>
      <c r="AG53" s="4" t="str">
        <f>IFERROR(LOOKUP(2,1/((#REF!=oct!$A53)*(#REF!&lt;=oct!AG$3)*(#REF!&gt;=oct!AG$3)),#REF!),IF(WEEKDAY(oct!AG$3,1)=1,"WO","P"))</f>
        <v>P</v>
      </c>
      <c r="AH53" s="4" t="str">
        <f>IFERROR(LOOKUP(2,1/((#REF!=oct!$A53)*(#REF!&lt;=oct!AH$3)*(#REF!&gt;=oct!AH$3)),#REF!),IF(WEEKDAY(oct!AH$3,1)=1,"WO","P"))</f>
        <v>P</v>
      </c>
      <c r="AI53" s="4" t="str">
        <f>IFERROR(LOOKUP(2,1/((#REF!=oct!$A53)*(#REF!&lt;=oct!AI$3)*(#REF!&gt;=oct!AI$3)),#REF!),IF(WEEKDAY(oct!AI$3,1)=1,"WO","P"))</f>
        <v>P</v>
      </c>
      <c r="AJ53" s="4" t="str">
        <f>IFERROR(LOOKUP(2,1/((#REF!=oct!$A53)*(#REF!&lt;=oct!AJ$3)*(#REF!&gt;=oct!AJ$3)),#REF!),IF(WEEKDAY(oct!AJ$3,1)=1,"WO","P"))</f>
        <v>P</v>
      </c>
      <c r="AK53" s="4">
        <f>COUNTIF(mar!$F53:$AJ53,"WO")</f>
        <v>5</v>
      </c>
      <c r="AL53" s="4">
        <f>COUNTIF(mar!$F53:$AJ53,"H")</f>
        <v>2</v>
      </c>
      <c r="AM53" s="4">
        <f>COUNTIF(mar!$F53:$AJ53,"pl")</f>
        <v>0</v>
      </c>
      <c r="AN53" s="4">
        <f>COUNTIF(mar!$F53:$AJ53,"LWP")</f>
        <v>0</v>
      </c>
      <c r="AO53" s="4">
        <f>COUNTIF(mar!$F53:$AJ53,"HD")</f>
        <v>0</v>
      </c>
      <c r="AP53" s="4">
        <f>COUNTIF(mar!$F53:$AJ53,"SL")</f>
        <v>0</v>
      </c>
      <c r="AQ53" s="4">
        <f>COUNTIF(mar!$F53:$AJ53,"CL")</f>
        <v>0</v>
      </c>
      <c r="AR53" s="4">
        <f>COUNTIF(mar!$F53:$AJ53,"A")</f>
        <v>1</v>
      </c>
      <c r="AS53" s="4">
        <f>COUNTIF(mar!$F53:$AJ53,"P")</f>
        <v>23</v>
      </c>
      <c r="AT53" s="4">
        <f t="shared" si="2"/>
        <v>31</v>
      </c>
      <c r="AU53" s="4">
        <f t="shared" si="3"/>
        <v>30</v>
      </c>
      <c r="AV53" s="4">
        <f>SUMIFS(holly!$L$2:$L$122,holly!$I$2:$I$122,mar!$A53,holly!$K$2:$K$122,"Mar")</f>
        <v>0</v>
      </c>
    </row>
    <row r="54" spans="1:48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IFERROR(LOOKUP(2,1/((#REF!=oct!$A54)*(#REF!&lt;=oct!F$3)*(#REF!&gt;=oct!F$3)),#REF!),IF(WEEKDAY(oct!F$3,1)=1,"WO","P"))</f>
        <v>P</v>
      </c>
      <c r="G54" s="4" t="str">
        <f>IFERROR(LOOKUP(2,1/((#REF!=oct!$A54)*(#REF!&lt;=oct!G$3)*(#REF!&gt;=oct!G$3)),#REF!),IF(WEEKDAY(oct!G$3,1)=1,"WO","P"))</f>
        <v>P</v>
      </c>
      <c r="H54" s="4" t="str">
        <f>IFERROR(LOOKUP(2,1/((#REF!=oct!$A54)*(#REF!&lt;=oct!H$3)*(#REF!&gt;=oct!H$3)),#REF!),IF(WEEKDAY(oct!H$3,1)=1,"WO","P"))</f>
        <v>P</v>
      </c>
      <c r="I54" s="4" t="str">
        <f>IFERROR(LOOKUP(2,1/((#REF!=oct!$A54)*(#REF!&lt;=oct!I$3)*(#REF!&gt;=oct!I$3)),#REF!),IF(WEEKDAY(oct!I$3,1)=1,"WO","P"))</f>
        <v>WO</v>
      </c>
      <c r="J54" s="4" t="str">
        <f>IFERROR(LOOKUP(2,1/((#REF!=oct!$A54)*(#REF!&lt;=oct!J$3)*(#REF!&gt;=oct!J$3)),#REF!),IF(WEEKDAY(oct!J$3,1)=1,"WO","P"))</f>
        <v>P</v>
      </c>
      <c r="K54" s="4" t="str">
        <f>IFERROR(LOOKUP(2,1/((#REF!=oct!$A54)*(#REF!&lt;=oct!K$3)*(#REF!&gt;=oct!K$3)),#REF!),IF(WEEKDAY(oct!K$3,1)=1,"WO","P"))</f>
        <v>P</v>
      </c>
      <c r="L54" s="4" t="str">
        <f>IFERROR(LOOKUP(2,1/((#REF!=oct!$A54)*(#REF!&lt;=oct!L$3)*(#REF!&gt;=oct!L$3)),#REF!),IF(WEEKDAY(oct!L$3,1)=1,"WO","P"))</f>
        <v>P</v>
      </c>
      <c r="M54" s="4" t="str">
        <f>IFERROR(LOOKUP(2,1/((#REF!=oct!$A54)*(#REF!&lt;=oct!M$3)*(#REF!&gt;=oct!M$3)),#REF!),IF(WEEKDAY(oct!M$3,1)=1,"WO","P"))</f>
        <v>P</v>
      </c>
      <c r="N54" s="4" t="str">
        <f>IFERROR(LOOKUP(2,1/((#REF!=oct!$A54)*(#REF!&lt;=oct!N$3)*(#REF!&gt;=oct!N$3)),#REF!),IF(WEEKDAY(oct!N$3,1)=1,"WO","P"))</f>
        <v>P</v>
      </c>
      <c r="O54" s="4" t="str">
        <f>IFERROR(LOOKUP(2,1/((#REF!=oct!$A54)*(#REF!&lt;=oct!O$3)*(#REF!&gt;=oct!O$3)),#REF!),IF(WEEKDAY(oct!O$3,1)=1,"WO","P"))</f>
        <v>P</v>
      </c>
      <c r="P54" s="4" t="str">
        <f>IFERROR(LOOKUP(2,1/((#REF!=oct!$A54)*(#REF!&lt;=oct!P$3)*(#REF!&gt;=oct!P$3)),#REF!),IF(WEEKDAY(oct!P$3,1)=1,"WO","P"))</f>
        <v>WO</v>
      </c>
      <c r="Q54" s="4" t="str">
        <f>IFERROR(LOOKUP(2,1/((#REF!=oct!$A54)*(#REF!&lt;=oct!Q$3)*(#REF!&gt;=oct!Q$3)),#REF!),IF(WEEKDAY(oct!Q$3,1)=1,"WO","P"))</f>
        <v>P</v>
      </c>
      <c r="R54" s="4" t="str">
        <f>IFERROR(LOOKUP(2,1/((#REF!=oct!$A54)*(#REF!&lt;=oct!R$3)*(#REF!&gt;=oct!R$3)),#REF!),IF(WEEKDAY(oct!R$3,1)=1,"WO","P"))</f>
        <v>P</v>
      </c>
      <c r="S54" s="4" t="str">
        <f>IFERROR(LOOKUP(2,1/((#REF!=oct!$A54)*(#REF!&lt;=oct!S$3)*(#REF!&gt;=oct!S$3)),#REF!),IF(WEEKDAY(oct!S$3,1)=1,"WO","P"))</f>
        <v>P</v>
      </c>
      <c r="T54" s="4" t="str">
        <f>IFERROR(LOOKUP(2,1/((#REF!=oct!$A54)*(#REF!&lt;=oct!T$3)*(#REF!&gt;=oct!T$3)),#REF!),IF(WEEKDAY(oct!T$3,1)=1,"WO","P"))</f>
        <v>P</v>
      </c>
      <c r="U54" s="4" t="str">
        <f>IFERROR(LOOKUP(2,1/((#REF!=oct!$A54)*(#REF!&lt;=oct!U$3)*(#REF!&gt;=oct!U$3)),#REF!),IF(WEEKDAY(oct!U$3,1)=1,"WO","P"))</f>
        <v>P</v>
      </c>
      <c r="V54" s="4" t="str">
        <f>IFERROR(LOOKUP(2,1/((#REF!=oct!$A54)*(#REF!&lt;=oct!V$3)*(#REF!&gt;=oct!V$3)),#REF!),IF(WEEKDAY(oct!V$3,1)=1,"WO","P"))</f>
        <v>P</v>
      </c>
      <c r="W54" s="4" t="str">
        <f>IFERROR(LOOKUP(2,1/((#REF!=oct!$A54)*(#REF!&lt;=oct!W$3)*(#REF!&gt;=oct!W$3)),#REF!),IF(WEEKDAY(oct!W$3,1)=1,"WO","P"))</f>
        <v>WO</v>
      </c>
      <c r="X54" s="4" t="str">
        <f>IFERROR(LOOKUP(2,1/((#REF!=oct!$A54)*(#REF!&lt;=oct!X$3)*(#REF!&gt;=oct!X$3)),#REF!),IF(WEEKDAY(oct!X$3,1)=1,"WO","P"))</f>
        <v>P</v>
      </c>
      <c r="Y54" s="4" t="str">
        <f>IFERROR(LOOKUP(2,1/((#REF!=oct!$A54)*(#REF!&lt;=oct!Y$3)*(#REF!&gt;=oct!Y$3)),#REF!),IF(WEEKDAY(oct!Y$3,1)=1,"WO","P"))</f>
        <v>P</v>
      </c>
      <c r="Z54" s="4" t="str">
        <f>IFERROR(LOOKUP(2,1/((#REF!=oct!$A54)*(#REF!&lt;=oct!Z$3)*(#REF!&gt;=oct!Z$3)),#REF!),IF(WEEKDAY(oct!Z$3,1)=1,"WO","P"))</f>
        <v>P</v>
      </c>
      <c r="AA54" s="4" t="str">
        <f>IFERROR(LOOKUP(2,1/((#REF!=oct!$A54)*(#REF!&lt;=oct!AA$3)*(#REF!&gt;=oct!AA$3)),#REF!),IF(WEEKDAY(oct!AA$3,1)=1,"WO","P"))</f>
        <v>P</v>
      </c>
      <c r="AB54" s="4" t="str">
        <f>IFERROR(LOOKUP(2,1/((#REF!=oct!$A54)*(#REF!&lt;=oct!AB$3)*(#REF!&gt;=oct!AB$3)),#REF!),IF(WEEKDAY(oct!AB$3,1)=1,"WO","P"))</f>
        <v>P</v>
      </c>
      <c r="AC54" s="4" t="str">
        <f>IFERROR(LOOKUP(2,1/((#REF!=oct!$A54)*(#REF!&lt;=oct!AC$3)*(#REF!&gt;=oct!AC$3)),#REF!),IF(WEEKDAY(oct!AC$3,1)=1,"WO","P"))</f>
        <v>P</v>
      </c>
      <c r="AD54" s="4" t="str">
        <f>IFERROR(LOOKUP(2,1/((#REF!=oct!$A54)*(#REF!&lt;=oct!AD$3)*(#REF!&gt;=oct!AD$3)),#REF!),IF(WEEKDAY(oct!AD$3,1)=1,"WO","P"))</f>
        <v>WO</v>
      </c>
      <c r="AE54" s="4" t="str">
        <f>IFERROR(LOOKUP(2,1/((#REF!=oct!$A54)*(#REF!&lt;=oct!AE$3)*(#REF!&gt;=oct!AE$3)),#REF!),IF(WEEKDAY(oct!AE$3,1)=1,"WO","P"))</f>
        <v>P</v>
      </c>
      <c r="AF54" s="4" t="str">
        <f>IFERROR(LOOKUP(2,1/((#REF!=oct!$A54)*(#REF!&lt;=oct!AF$3)*(#REF!&gt;=oct!AF$3)),#REF!),IF(WEEKDAY(oct!AF$3,1)=1,"WO","P"))</f>
        <v>P</v>
      </c>
      <c r="AG54" s="4" t="str">
        <f>IFERROR(LOOKUP(2,1/((#REF!=oct!$A54)*(#REF!&lt;=oct!AG$3)*(#REF!&gt;=oct!AG$3)),#REF!),IF(WEEKDAY(oct!AG$3,1)=1,"WO","P"))</f>
        <v>P</v>
      </c>
      <c r="AH54" s="4" t="str">
        <f>IFERROR(LOOKUP(2,1/((#REF!=oct!$A54)*(#REF!&lt;=oct!AH$3)*(#REF!&gt;=oct!AH$3)),#REF!),IF(WEEKDAY(oct!AH$3,1)=1,"WO","P"))</f>
        <v>P</v>
      </c>
      <c r="AI54" s="4" t="str">
        <f>IFERROR(LOOKUP(2,1/((#REF!=oct!$A54)*(#REF!&lt;=oct!AI$3)*(#REF!&gt;=oct!AI$3)),#REF!),IF(WEEKDAY(oct!AI$3,1)=1,"WO","P"))</f>
        <v>P</v>
      </c>
      <c r="AJ54" s="4" t="str">
        <f>IFERROR(LOOKUP(2,1/((#REF!=oct!$A54)*(#REF!&lt;=oct!AJ$3)*(#REF!&gt;=oct!AJ$3)),#REF!),IF(WEEKDAY(oct!AJ$3,1)=1,"WO","P"))</f>
        <v>P</v>
      </c>
      <c r="AK54" s="4">
        <f>COUNTIF(mar!$F54:$AJ54,"WO")</f>
        <v>5</v>
      </c>
      <c r="AL54" s="4">
        <f>COUNTIF(mar!$F54:$AJ54,"H")</f>
        <v>2</v>
      </c>
      <c r="AM54" s="4">
        <f>COUNTIF(mar!$F54:$AJ54,"pl")</f>
        <v>0</v>
      </c>
      <c r="AN54" s="4">
        <f>COUNTIF(mar!$F54:$AJ54,"LWP")</f>
        <v>0</v>
      </c>
      <c r="AO54" s="4">
        <f>COUNTIF(mar!$F54:$AJ54,"HD")</f>
        <v>0</v>
      </c>
      <c r="AP54" s="4">
        <f>COUNTIF(mar!$F54:$AJ54,"SL")</f>
        <v>0</v>
      </c>
      <c r="AQ54" s="4">
        <f>COUNTIF(mar!$F54:$AJ54,"CL")</f>
        <v>0</v>
      </c>
      <c r="AR54" s="4">
        <f>COUNTIF(mar!$F54:$AJ54,"A")</f>
        <v>0</v>
      </c>
      <c r="AS54" s="4">
        <f>COUNTIF(mar!$F54:$AJ54,"P")</f>
        <v>24</v>
      </c>
      <c r="AT54" s="4">
        <f t="shared" si="2"/>
        <v>31</v>
      </c>
      <c r="AU54" s="4">
        <f t="shared" si="3"/>
        <v>31</v>
      </c>
      <c r="AV54" s="4">
        <f>SUMIFS(holly!$L$2:$L$122,holly!$I$2:$I$122,mar!$A54,holly!$K$2:$K$122,"Mar")</f>
        <v>0</v>
      </c>
    </row>
  </sheetData>
  <mergeCells count="23">
    <mergeCell ref="A1:AV1"/>
    <mergeCell ref="AF2:AV2"/>
    <mergeCell ref="AV3:AV4"/>
    <mergeCell ref="AK3:AK4"/>
    <mergeCell ref="AL3:AL4"/>
    <mergeCell ref="AM3:AM4"/>
    <mergeCell ref="AN3:AN4"/>
    <mergeCell ref="AO3:AO4"/>
    <mergeCell ref="AP3:AP4"/>
    <mergeCell ref="A3:A4"/>
    <mergeCell ref="B3:B4"/>
    <mergeCell ref="C3:C4"/>
    <mergeCell ref="D3:D4"/>
    <mergeCell ref="E3:E4"/>
    <mergeCell ref="AT3:AT4"/>
    <mergeCell ref="AU3:AU4"/>
    <mergeCell ref="A2:K2"/>
    <mergeCell ref="L2:O2"/>
    <mergeCell ref="AQ3:AQ4"/>
    <mergeCell ref="AR3:AR4"/>
    <mergeCell ref="AS3:AS4"/>
    <mergeCell ref="P2:AA2"/>
    <mergeCell ref="AB2:AE2"/>
  </mergeCells>
  <conditionalFormatting sqref="F5:AJ54">
    <cfRule type="cellIs" dxfId="24" priority="2" operator="equal">
      <formula>"HD"</formula>
    </cfRule>
    <cfRule type="cellIs" dxfId="23" priority="3" operator="equal">
      <formula>"LWP"</formula>
    </cfRule>
    <cfRule type="cellIs" dxfId="22" priority="4" operator="equal">
      <formula>"PL"</formula>
    </cfRule>
    <cfRule type="cellIs" dxfId="21" priority="5" operator="equal">
      <formula>"H"</formula>
    </cfRule>
    <cfRule type="cellIs" dxfId="20" priority="6" operator="equal">
      <formula>"A"</formula>
    </cfRule>
    <cfRule type="cellIs" dxfId="19" priority="7" operator="equal">
      <formula>"P"</formula>
    </cfRule>
    <cfRule type="expression" dxfId="18" priority="8">
      <formula>F$4="Sun"</formula>
    </cfRule>
  </conditionalFormatting>
  <conditionalFormatting sqref="AV5:AV54">
    <cfRule type="cellIs" dxfId="17" priority="1" operator="greaterThan">
      <formula>0</formula>
    </cfRule>
  </conditionalFormatting>
  <dataValidations count="1">
    <dataValidation type="list" allowBlank="1" showInputMessage="1" showErrorMessage="1" sqref="F5:AJ54" xr:uid="{DE3A7739-8BB8-4F70-92E4-FFAA49AB6825}">
      <formula1>"A,P,WO,H,PL,LWP,HD"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1B12-D5A8-4163-A949-3FA054ED4E87}">
  <sheetPr codeName="Sheet16"/>
  <dimension ref="A1:AU54"/>
  <sheetViews>
    <sheetView workbookViewId="0">
      <selection activeCell="F5" sqref="F5:AI54"/>
    </sheetView>
  </sheetViews>
  <sheetFormatPr defaultRowHeight="15" x14ac:dyDescent="0.25"/>
  <cols>
    <col min="1" max="1" width="10.140625" bestFit="1" customWidth="1"/>
    <col min="2" max="2" width="17.28515625" bestFit="1" customWidth="1"/>
    <col min="3" max="3" width="10.42578125" bestFit="1" customWidth="1"/>
    <col min="4" max="4" width="13.28515625" bestFit="1" customWidth="1"/>
    <col min="5" max="5" width="21.42578125" bestFit="1" customWidth="1"/>
    <col min="6" max="12" width="4.7109375" bestFit="1" customWidth="1"/>
    <col min="13" max="13" width="4.85546875" bestFit="1" customWidth="1"/>
    <col min="14" max="27" width="4.7109375" bestFit="1" customWidth="1"/>
    <col min="28" max="28" width="5" bestFit="1" customWidth="1"/>
    <col min="29" max="35" width="4.7109375" bestFit="1" customWidth="1"/>
    <col min="36" max="38" width="5.140625" bestFit="1" customWidth="1"/>
    <col min="39" max="39" width="13.140625" bestFit="1" customWidth="1"/>
    <col min="40" max="47" width="5.140625" bestFit="1" customWidth="1"/>
  </cols>
  <sheetData>
    <row r="1" spans="1:47" ht="51" x14ac:dyDescent="0.25">
      <c r="A1" s="79" t="s">
        <v>336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</row>
    <row r="2" spans="1:47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Nov</v>
      </c>
      <c r="M2" s="67"/>
      <c r="N2" s="67"/>
      <c r="O2" s="67"/>
      <c r="P2" s="80">
        <f>DATE(2026,11,1)</f>
        <v>46327</v>
      </c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71" t="s">
        <v>337</v>
      </c>
      <c r="AC2" s="71"/>
      <c r="AD2" s="71"/>
      <c r="AE2" s="71"/>
      <c r="AF2" s="80">
        <f>EOMONTH(P2,0)</f>
        <v>46356</v>
      </c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</row>
    <row r="3" spans="1:47" ht="18.75" x14ac:dyDescent="0.25">
      <c r="A3" s="77" t="s">
        <v>338</v>
      </c>
      <c r="B3" s="77" t="s">
        <v>339</v>
      </c>
      <c r="C3" s="77" t="s">
        <v>1</v>
      </c>
      <c r="D3" s="77" t="s">
        <v>340</v>
      </c>
      <c r="E3" s="77" t="s">
        <v>341</v>
      </c>
      <c r="F3" s="7">
        <f>P2</f>
        <v>46327</v>
      </c>
      <c r="G3" s="7">
        <f>IF(F3&lt;$AF$2,F3+1,"")</f>
        <v>46328</v>
      </c>
      <c r="H3" s="7">
        <f t="shared" ref="H3:AI3" si="0">IF(G3&lt;$AF$2,G3+1,"")</f>
        <v>46329</v>
      </c>
      <c r="I3" s="7">
        <f t="shared" si="0"/>
        <v>46330</v>
      </c>
      <c r="J3" s="7">
        <f t="shared" si="0"/>
        <v>46331</v>
      </c>
      <c r="K3" s="7">
        <f t="shared" si="0"/>
        <v>46332</v>
      </c>
      <c r="L3" s="7">
        <f t="shared" si="0"/>
        <v>46333</v>
      </c>
      <c r="M3" s="7">
        <f t="shared" si="0"/>
        <v>46334</v>
      </c>
      <c r="N3" s="7">
        <f t="shared" si="0"/>
        <v>46335</v>
      </c>
      <c r="O3" s="7">
        <f t="shared" si="0"/>
        <v>46336</v>
      </c>
      <c r="P3" s="7">
        <f t="shared" si="0"/>
        <v>46337</v>
      </c>
      <c r="Q3" s="7">
        <f t="shared" si="0"/>
        <v>46338</v>
      </c>
      <c r="R3" s="7">
        <f t="shared" si="0"/>
        <v>46339</v>
      </c>
      <c r="S3" s="7">
        <f t="shared" si="0"/>
        <v>46340</v>
      </c>
      <c r="T3" s="7">
        <f t="shared" si="0"/>
        <v>46341</v>
      </c>
      <c r="U3" s="7">
        <f t="shared" si="0"/>
        <v>46342</v>
      </c>
      <c r="V3" s="7">
        <f t="shared" si="0"/>
        <v>46343</v>
      </c>
      <c r="W3" s="7">
        <f t="shared" si="0"/>
        <v>46344</v>
      </c>
      <c r="X3" s="7">
        <f t="shared" si="0"/>
        <v>46345</v>
      </c>
      <c r="Y3" s="7">
        <f t="shared" si="0"/>
        <v>46346</v>
      </c>
      <c r="Z3" s="7">
        <f t="shared" si="0"/>
        <v>46347</v>
      </c>
      <c r="AA3" s="7">
        <f t="shared" si="0"/>
        <v>46348</v>
      </c>
      <c r="AB3" s="7">
        <f t="shared" si="0"/>
        <v>46349</v>
      </c>
      <c r="AC3" s="7">
        <f t="shared" si="0"/>
        <v>46350</v>
      </c>
      <c r="AD3" s="7">
        <f t="shared" si="0"/>
        <v>46351</v>
      </c>
      <c r="AE3" s="7">
        <f t="shared" si="0"/>
        <v>46352</v>
      </c>
      <c r="AF3" s="7">
        <f t="shared" si="0"/>
        <v>46353</v>
      </c>
      <c r="AG3" s="7">
        <f t="shared" si="0"/>
        <v>46354</v>
      </c>
      <c r="AH3" s="7">
        <f t="shared" si="0"/>
        <v>46355</v>
      </c>
      <c r="AI3" s="7">
        <f t="shared" si="0"/>
        <v>46356</v>
      </c>
      <c r="AJ3" s="76" t="s">
        <v>342</v>
      </c>
      <c r="AK3" s="76" t="s">
        <v>343</v>
      </c>
      <c r="AL3" s="76" t="s">
        <v>344</v>
      </c>
      <c r="AM3" s="78" t="s">
        <v>84</v>
      </c>
      <c r="AN3" s="76" t="s">
        <v>345</v>
      </c>
      <c r="AO3" s="76" t="s">
        <v>351</v>
      </c>
      <c r="AP3" s="76" t="s">
        <v>352</v>
      </c>
      <c r="AQ3" s="76" t="s">
        <v>346</v>
      </c>
      <c r="AR3" s="76" t="s">
        <v>347</v>
      </c>
      <c r="AS3" s="76" t="s">
        <v>348</v>
      </c>
      <c r="AT3" s="76" t="s">
        <v>349</v>
      </c>
      <c r="AU3" s="76" t="s">
        <v>353</v>
      </c>
    </row>
    <row r="4" spans="1:47" ht="34.5" x14ac:dyDescent="0.25">
      <c r="A4" s="77"/>
      <c r="B4" s="77"/>
      <c r="C4" s="77"/>
      <c r="D4" s="77"/>
      <c r="E4" s="77"/>
      <c r="F4" s="8" t="str">
        <f>TEXT(F3,"ddd")</f>
        <v>Sun</v>
      </c>
      <c r="G4" s="8" t="str">
        <f t="shared" ref="G4:AI4" si="1">TEXT(G3,"ddd")</f>
        <v>Mon</v>
      </c>
      <c r="H4" s="8" t="str">
        <f t="shared" si="1"/>
        <v>Tue</v>
      </c>
      <c r="I4" s="8" t="str">
        <f t="shared" si="1"/>
        <v>Wed</v>
      </c>
      <c r="J4" s="8" t="str">
        <f t="shared" si="1"/>
        <v>Thu</v>
      </c>
      <c r="K4" s="8" t="str">
        <f t="shared" si="1"/>
        <v>Fri</v>
      </c>
      <c r="L4" s="8" t="str">
        <f t="shared" si="1"/>
        <v>Sat</v>
      </c>
      <c r="M4" s="8" t="str">
        <f t="shared" si="1"/>
        <v>Sun</v>
      </c>
      <c r="N4" s="8" t="str">
        <f t="shared" si="1"/>
        <v>Mon</v>
      </c>
      <c r="O4" s="8" t="str">
        <f t="shared" si="1"/>
        <v>Tue</v>
      </c>
      <c r="P4" s="8" t="str">
        <f t="shared" si="1"/>
        <v>Wed</v>
      </c>
      <c r="Q4" s="8" t="str">
        <f t="shared" si="1"/>
        <v>Thu</v>
      </c>
      <c r="R4" s="8" t="str">
        <f t="shared" si="1"/>
        <v>Fri</v>
      </c>
      <c r="S4" s="8" t="str">
        <f t="shared" si="1"/>
        <v>Sat</v>
      </c>
      <c r="T4" s="8" t="str">
        <f t="shared" si="1"/>
        <v>Sun</v>
      </c>
      <c r="U4" s="8" t="str">
        <f t="shared" si="1"/>
        <v>Mon</v>
      </c>
      <c r="V4" s="8" t="str">
        <f t="shared" si="1"/>
        <v>Tue</v>
      </c>
      <c r="W4" s="8" t="str">
        <f t="shared" si="1"/>
        <v>Wed</v>
      </c>
      <c r="X4" s="8" t="str">
        <f t="shared" si="1"/>
        <v>Thu</v>
      </c>
      <c r="Y4" s="8" t="str">
        <f t="shared" si="1"/>
        <v>Fri</v>
      </c>
      <c r="Z4" s="8" t="str">
        <f t="shared" si="1"/>
        <v>Sat</v>
      </c>
      <c r="AA4" s="8" t="str">
        <f t="shared" si="1"/>
        <v>Sun</v>
      </c>
      <c r="AB4" s="8" t="str">
        <f t="shared" si="1"/>
        <v>Mon</v>
      </c>
      <c r="AC4" s="8" t="str">
        <f t="shared" si="1"/>
        <v>Tue</v>
      </c>
      <c r="AD4" s="8" t="str">
        <f t="shared" si="1"/>
        <v>Wed</v>
      </c>
      <c r="AE4" s="8" t="str">
        <f t="shared" si="1"/>
        <v>Thu</v>
      </c>
      <c r="AF4" s="8" t="str">
        <f t="shared" si="1"/>
        <v>Fri</v>
      </c>
      <c r="AG4" s="8" t="str">
        <f t="shared" si="1"/>
        <v>Sat</v>
      </c>
      <c r="AH4" s="8" t="str">
        <f t="shared" si="1"/>
        <v>Sun</v>
      </c>
      <c r="AI4" s="8" t="str">
        <f t="shared" si="1"/>
        <v>Mon</v>
      </c>
      <c r="AJ4" s="76"/>
      <c r="AK4" s="76"/>
      <c r="AL4" s="76"/>
      <c r="AM4" s="78"/>
      <c r="AN4" s="76"/>
      <c r="AO4" s="76"/>
      <c r="AP4" s="76"/>
      <c r="AQ4" s="76"/>
      <c r="AR4" s="76"/>
      <c r="AS4" s="76"/>
      <c r="AT4" s="76"/>
      <c r="AU4" s="76"/>
    </row>
    <row r="5" spans="1:47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IFERROR(LOOKUP(2,1/((#REF!=nov!$A5)*(#REF!&lt;=nov!F$3)*(#REF!&gt;=nov!F$3)),#REF!),IF(WEEKDAY(nov!F$3,1)=1,"WO","P"))</f>
        <v>WO</v>
      </c>
      <c r="G5" s="4" t="str">
        <f>IFERROR(LOOKUP(2,1/((#REF!=nov!$A5)*(#REF!&lt;=nov!G$3)*(#REF!&gt;=nov!G$3)),#REF!),IF(WEEKDAY(nov!G$3,1)=1,"WO","P"))</f>
        <v>P</v>
      </c>
      <c r="H5" s="4" t="str">
        <f>IFERROR(LOOKUP(2,1/((#REF!=nov!$A5)*(#REF!&lt;=nov!H$3)*(#REF!&gt;=nov!H$3)),#REF!),IF(WEEKDAY(nov!H$3,1)=1,"WO","P"))</f>
        <v>P</v>
      </c>
      <c r="I5" s="4" t="str">
        <f>IFERROR(LOOKUP(2,1/((#REF!=nov!$A5)*(#REF!&lt;=nov!I$3)*(#REF!&gt;=nov!I$3)),#REF!),IF(WEEKDAY(nov!I$3,1)=1,"WO","P"))</f>
        <v>P</v>
      </c>
      <c r="J5" s="4" t="str">
        <f>IFERROR(LOOKUP(2,1/((#REF!=nov!$A5)*(#REF!&lt;=nov!J$3)*(#REF!&gt;=nov!J$3)),#REF!),IF(WEEKDAY(nov!J$3,1)=1,"WO","P"))</f>
        <v>P</v>
      </c>
      <c r="K5" s="4" t="str">
        <f>IFERROR(LOOKUP(2,1/((#REF!=nov!$A5)*(#REF!&lt;=nov!K$3)*(#REF!&gt;=nov!K$3)),#REF!),IF(WEEKDAY(nov!K$3,1)=1,"WO","P"))</f>
        <v>P</v>
      </c>
      <c r="L5" s="4" t="str">
        <f>IFERROR(LOOKUP(2,1/((#REF!=nov!$A5)*(#REF!&lt;=nov!L$3)*(#REF!&gt;=nov!L$3)),#REF!),IF(WEEKDAY(nov!L$3,1)=1,"WO","P"))</f>
        <v>P</v>
      </c>
      <c r="M5" s="4" t="str">
        <f>IFERROR(LOOKUP(2,1/((#REF!=nov!$A5)*(#REF!&lt;=nov!M$3)*(#REF!&gt;=nov!M$3)),#REF!),IF(WEEKDAY(nov!M$3,1)=1,"WO","P"))</f>
        <v>WO</v>
      </c>
      <c r="N5" s="4" t="str">
        <f>IFERROR(LOOKUP(2,1/((#REF!=nov!$A5)*(#REF!&lt;=nov!N$3)*(#REF!&gt;=nov!N$3)),#REF!),IF(WEEKDAY(nov!N$3,1)=1,"WO","P"))</f>
        <v>P</v>
      </c>
      <c r="O5" s="4" t="str">
        <f>IFERROR(LOOKUP(2,1/((#REF!=nov!$A5)*(#REF!&lt;=nov!O$3)*(#REF!&gt;=nov!O$3)),#REF!),IF(WEEKDAY(nov!O$3,1)=1,"WO","P"))</f>
        <v>P</v>
      </c>
      <c r="P5" s="4" t="str">
        <f>IFERROR(LOOKUP(2,1/((#REF!=nov!$A5)*(#REF!&lt;=nov!P$3)*(#REF!&gt;=nov!P$3)),#REF!),IF(WEEKDAY(nov!P$3,1)=1,"WO","P"))</f>
        <v>P</v>
      </c>
      <c r="Q5" s="4" t="str">
        <f>IFERROR(LOOKUP(2,1/((#REF!=nov!$A5)*(#REF!&lt;=nov!Q$3)*(#REF!&gt;=nov!Q$3)),#REF!),IF(WEEKDAY(nov!Q$3,1)=1,"WO","P"))</f>
        <v>P</v>
      </c>
      <c r="R5" s="4" t="str">
        <f>IFERROR(LOOKUP(2,1/((#REF!=nov!$A5)*(#REF!&lt;=nov!R$3)*(#REF!&gt;=nov!R$3)),#REF!),IF(WEEKDAY(nov!R$3,1)=1,"WO","P"))</f>
        <v>P</v>
      </c>
      <c r="S5" s="4" t="str">
        <f>IFERROR(LOOKUP(2,1/((#REF!=nov!$A5)*(#REF!&lt;=nov!S$3)*(#REF!&gt;=nov!S$3)),#REF!),IF(WEEKDAY(nov!S$3,1)=1,"WO","P"))</f>
        <v>P</v>
      </c>
      <c r="T5" s="4" t="str">
        <f>IFERROR(LOOKUP(2,1/((#REF!=nov!$A5)*(#REF!&lt;=nov!T$3)*(#REF!&gt;=nov!T$3)),#REF!),IF(WEEKDAY(nov!T$3,1)=1,"WO","P"))</f>
        <v>WO</v>
      </c>
      <c r="U5" s="4" t="str">
        <f>IFERROR(LOOKUP(2,1/((#REF!=nov!$A5)*(#REF!&lt;=nov!U$3)*(#REF!&gt;=nov!U$3)),#REF!),IF(WEEKDAY(nov!U$3,1)=1,"WO","P"))</f>
        <v>P</v>
      </c>
      <c r="V5" s="4" t="str">
        <f>IFERROR(LOOKUP(2,1/((#REF!=nov!$A5)*(#REF!&lt;=nov!V$3)*(#REF!&gt;=nov!V$3)),#REF!),IF(WEEKDAY(nov!V$3,1)=1,"WO","P"))</f>
        <v>P</v>
      </c>
      <c r="W5" s="4" t="str">
        <f>IFERROR(LOOKUP(2,1/((#REF!=nov!$A5)*(#REF!&lt;=nov!W$3)*(#REF!&gt;=nov!W$3)),#REF!),IF(WEEKDAY(nov!W$3,1)=1,"WO","P"))</f>
        <v>P</v>
      </c>
      <c r="X5" s="4" t="str">
        <f>IFERROR(LOOKUP(2,1/((#REF!=nov!$A5)*(#REF!&lt;=nov!X$3)*(#REF!&gt;=nov!X$3)),#REF!),IF(WEEKDAY(nov!X$3,1)=1,"WO","P"))</f>
        <v>P</v>
      </c>
      <c r="Y5" s="4" t="str">
        <f>IFERROR(LOOKUP(2,1/((#REF!=nov!$A5)*(#REF!&lt;=nov!Y$3)*(#REF!&gt;=nov!Y$3)),#REF!),IF(WEEKDAY(nov!Y$3,1)=1,"WO","P"))</f>
        <v>P</v>
      </c>
      <c r="Z5" s="4" t="str">
        <f>IFERROR(LOOKUP(2,1/((#REF!=nov!$A5)*(#REF!&lt;=nov!Z$3)*(#REF!&gt;=nov!Z$3)),#REF!),IF(WEEKDAY(nov!Z$3,1)=1,"WO","P"))</f>
        <v>P</v>
      </c>
      <c r="AA5" s="4" t="str">
        <f>IFERROR(LOOKUP(2,1/((#REF!=nov!$A5)*(#REF!&lt;=nov!AA$3)*(#REF!&gt;=nov!AA$3)),#REF!),IF(WEEKDAY(nov!AA$3,1)=1,"WO","P"))</f>
        <v>WO</v>
      </c>
      <c r="AB5" s="4" t="str">
        <f>IFERROR(LOOKUP(2,1/((#REF!=nov!$A5)*(#REF!&lt;=nov!AB$3)*(#REF!&gt;=nov!AB$3)),#REF!),IF(WEEKDAY(nov!AB$3,1)=1,"WO","P"))</f>
        <v>P</v>
      </c>
      <c r="AC5" s="4" t="str">
        <f>IFERROR(LOOKUP(2,1/((#REF!=nov!$A5)*(#REF!&lt;=nov!AC$3)*(#REF!&gt;=nov!AC$3)),#REF!),IF(WEEKDAY(nov!AC$3,1)=1,"WO","P"))</f>
        <v>P</v>
      </c>
      <c r="AD5" s="4" t="str">
        <f>IFERROR(LOOKUP(2,1/((#REF!=nov!$A5)*(#REF!&lt;=nov!AD$3)*(#REF!&gt;=nov!AD$3)),#REF!),IF(WEEKDAY(nov!AD$3,1)=1,"WO","P"))</f>
        <v>P</v>
      </c>
      <c r="AE5" s="4" t="str">
        <f>IFERROR(LOOKUP(2,1/((#REF!=nov!$A5)*(#REF!&lt;=nov!AE$3)*(#REF!&gt;=nov!AE$3)),#REF!),IF(WEEKDAY(nov!AE$3,1)=1,"WO","P"))</f>
        <v>P</v>
      </c>
      <c r="AF5" s="4" t="str">
        <f>IFERROR(LOOKUP(2,1/((#REF!=nov!$A5)*(#REF!&lt;=nov!AF$3)*(#REF!&gt;=nov!AF$3)),#REF!),IF(WEEKDAY(nov!AF$3,1)=1,"WO","P"))</f>
        <v>P</v>
      </c>
      <c r="AG5" s="4" t="str">
        <f>IFERROR(LOOKUP(2,1/((#REF!=nov!$A5)*(#REF!&lt;=nov!AG$3)*(#REF!&gt;=nov!AG$3)),#REF!),IF(WEEKDAY(nov!AG$3,1)=1,"WO","P"))</f>
        <v>P</v>
      </c>
      <c r="AH5" s="4" t="str">
        <f>IFERROR(LOOKUP(2,1/((#REF!=nov!$A5)*(#REF!&lt;=nov!AH$3)*(#REF!&gt;=nov!AH$3)),#REF!),IF(WEEKDAY(nov!AH$3,1)=1,"WO","P"))</f>
        <v>WO</v>
      </c>
      <c r="AI5" s="4" t="str">
        <f>IFERROR(LOOKUP(2,1/((#REF!=nov!$A5)*(#REF!&lt;=nov!AI$3)*(#REF!&gt;=nov!AI$3)),#REF!),IF(WEEKDAY(nov!AI$3,1)=1,"WO","P"))</f>
        <v>P</v>
      </c>
      <c r="AJ5" s="4">
        <f>COUNTIF(mar!$F5:$AJ5,"WO")</f>
        <v>5</v>
      </c>
      <c r="AK5" s="4">
        <f>COUNTIF(mar!$F5:$AJ5,"H")</f>
        <v>2</v>
      </c>
      <c r="AL5" s="4">
        <f>COUNTIF(mar!$F5:$AJ5,"pl")</f>
        <v>0</v>
      </c>
      <c r="AM5" s="4">
        <f>COUNTIF(mar!$F5:$AJ5,"LWP")</f>
        <v>0</v>
      </c>
      <c r="AN5" s="4">
        <f>COUNTIF(mar!$F5:$AJ5,"HD")</f>
        <v>0</v>
      </c>
      <c r="AO5" s="4">
        <f>COUNTIF(mar!$F5:$AJ5,"SL")</f>
        <v>0</v>
      </c>
      <c r="AP5" s="4">
        <f>COUNTIF(mar!$F5:$AJ5,"CL")</f>
        <v>0</v>
      </c>
      <c r="AQ5" s="4">
        <f>COUNTIF(mar!$F5:$AJ5,"A")</f>
        <v>2</v>
      </c>
      <c r="AR5" s="4">
        <f>COUNTIF(mar!$F5:$AJ5,"P")</f>
        <v>22</v>
      </c>
      <c r="AS5" s="4">
        <f t="shared" ref="AS5:AS36" si="2">COUNTA($F5:$AI5)</f>
        <v>30</v>
      </c>
      <c r="AT5" s="4">
        <f>AJ5+AK5+AL5+AO5+AP5+AR5+(AN5/2)</f>
        <v>29</v>
      </c>
      <c r="AU5" s="4">
        <f>SUMIFS(holly!$L$2:$L$122,holly!$I$2:$I$122,mar!$A5,holly!$K$2:$K$122,"Mar")</f>
        <v>0</v>
      </c>
    </row>
    <row r="6" spans="1:47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IFERROR(LOOKUP(2,1/((#REF!=nov!$A6)*(#REF!&lt;=nov!F$3)*(#REF!&gt;=nov!F$3)),#REF!),IF(WEEKDAY(nov!F$3,1)=1,"WO","P"))</f>
        <v>WO</v>
      </c>
      <c r="G6" s="4" t="str">
        <f>IFERROR(LOOKUP(2,1/((#REF!=nov!$A6)*(#REF!&lt;=nov!G$3)*(#REF!&gt;=nov!G$3)),#REF!),IF(WEEKDAY(nov!G$3,1)=1,"WO","P"))</f>
        <v>P</v>
      </c>
      <c r="H6" s="4" t="str">
        <f>IFERROR(LOOKUP(2,1/((#REF!=nov!$A6)*(#REF!&lt;=nov!H$3)*(#REF!&gt;=nov!H$3)),#REF!),IF(WEEKDAY(nov!H$3,1)=1,"WO","P"))</f>
        <v>P</v>
      </c>
      <c r="I6" s="4" t="str">
        <f>IFERROR(LOOKUP(2,1/((#REF!=nov!$A6)*(#REF!&lt;=nov!I$3)*(#REF!&gt;=nov!I$3)),#REF!),IF(WEEKDAY(nov!I$3,1)=1,"WO","P"))</f>
        <v>P</v>
      </c>
      <c r="J6" s="4" t="str">
        <f>IFERROR(LOOKUP(2,1/((#REF!=nov!$A6)*(#REF!&lt;=nov!J$3)*(#REF!&gt;=nov!J$3)),#REF!),IF(WEEKDAY(nov!J$3,1)=1,"WO","P"))</f>
        <v>P</v>
      </c>
      <c r="K6" s="4" t="str">
        <f>IFERROR(LOOKUP(2,1/((#REF!=nov!$A6)*(#REF!&lt;=nov!K$3)*(#REF!&gt;=nov!K$3)),#REF!),IF(WEEKDAY(nov!K$3,1)=1,"WO","P"))</f>
        <v>P</v>
      </c>
      <c r="L6" s="4" t="str">
        <f>IFERROR(LOOKUP(2,1/((#REF!=nov!$A6)*(#REF!&lt;=nov!L$3)*(#REF!&gt;=nov!L$3)),#REF!),IF(WEEKDAY(nov!L$3,1)=1,"WO","P"))</f>
        <v>P</v>
      </c>
      <c r="M6" s="4" t="str">
        <f>IFERROR(LOOKUP(2,1/((#REF!=nov!$A6)*(#REF!&lt;=nov!M$3)*(#REF!&gt;=nov!M$3)),#REF!),IF(WEEKDAY(nov!M$3,1)=1,"WO","P"))</f>
        <v>WO</v>
      </c>
      <c r="N6" s="4" t="str">
        <f>IFERROR(LOOKUP(2,1/((#REF!=nov!$A6)*(#REF!&lt;=nov!N$3)*(#REF!&gt;=nov!N$3)),#REF!),IF(WEEKDAY(nov!N$3,1)=1,"WO","P"))</f>
        <v>P</v>
      </c>
      <c r="O6" s="4" t="str">
        <f>IFERROR(LOOKUP(2,1/((#REF!=nov!$A6)*(#REF!&lt;=nov!O$3)*(#REF!&gt;=nov!O$3)),#REF!),IF(WEEKDAY(nov!O$3,1)=1,"WO","P"))</f>
        <v>P</v>
      </c>
      <c r="P6" s="4" t="str">
        <f>IFERROR(LOOKUP(2,1/((#REF!=nov!$A6)*(#REF!&lt;=nov!P$3)*(#REF!&gt;=nov!P$3)),#REF!),IF(WEEKDAY(nov!P$3,1)=1,"WO","P"))</f>
        <v>P</v>
      </c>
      <c r="Q6" s="4" t="str">
        <f>IFERROR(LOOKUP(2,1/((#REF!=nov!$A6)*(#REF!&lt;=nov!Q$3)*(#REF!&gt;=nov!Q$3)),#REF!),IF(WEEKDAY(nov!Q$3,1)=1,"WO","P"))</f>
        <v>P</v>
      </c>
      <c r="R6" s="4" t="str">
        <f>IFERROR(LOOKUP(2,1/((#REF!=nov!$A6)*(#REF!&lt;=nov!R$3)*(#REF!&gt;=nov!R$3)),#REF!),IF(WEEKDAY(nov!R$3,1)=1,"WO","P"))</f>
        <v>P</v>
      </c>
      <c r="S6" s="4" t="str">
        <f>IFERROR(LOOKUP(2,1/((#REF!=nov!$A6)*(#REF!&lt;=nov!S$3)*(#REF!&gt;=nov!S$3)),#REF!),IF(WEEKDAY(nov!S$3,1)=1,"WO","P"))</f>
        <v>P</v>
      </c>
      <c r="T6" s="4" t="str">
        <f>IFERROR(LOOKUP(2,1/((#REF!=nov!$A6)*(#REF!&lt;=nov!T$3)*(#REF!&gt;=nov!T$3)),#REF!),IF(WEEKDAY(nov!T$3,1)=1,"WO","P"))</f>
        <v>WO</v>
      </c>
      <c r="U6" s="4" t="str">
        <f>IFERROR(LOOKUP(2,1/((#REF!=nov!$A6)*(#REF!&lt;=nov!U$3)*(#REF!&gt;=nov!U$3)),#REF!),IF(WEEKDAY(nov!U$3,1)=1,"WO","P"))</f>
        <v>P</v>
      </c>
      <c r="V6" s="4" t="str">
        <f>IFERROR(LOOKUP(2,1/((#REF!=nov!$A6)*(#REF!&lt;=nov!V$3)*(#REF!&gt;=nov!V$3)),#REF!),IF(WEEKDAY(nov!V$3,1)=1,"WO","P"))</f>
        <v>P</v>
      </c>
      <c r="W6" s="4" t="str">
        <f>IFERROR(LOOKUP(2,1/((#REF!=nov!$A6)*(#REF!&lt;=nov!W$3)*(#REF!&gt;=nov!W$3)),#REF!),IF(WEEKDAY(nov!W$3,1)=1,"WO","P"))</f>
        <v>P</v>
      </c>
      <c r="X6" s="4" t="str">
        <f>IFERROR(LOOKUP(2,1/((#REF!=nov!$A6)*(#REF!&lt;=nov!X$3)*(#REF!&gt;=nov!X$3)),#REF!),IF(WEEKDAY(nov!X$3,1)=1,"WO","P"))</f>
        <v>P</v>
      </c>
      <c r="Y6" s="4" t="str">
        <f>IFERROR(LOOKUP(2,1/((#REF!=nov!$A6)*(#REF!&lt;=nov!Y$3)*(#REF!&gt;=nov!Y$3)),#REF!),IF(WEEKDAY(nov!Y$3,1)=1,"WO","P"))</f>
        <v>P</v>
      </c>
      <c r="Z6" s="4" t="str">
        <f>IFERROR(LOOKUP(2,1/((#REF!=nov!$A6)*(#REF!&lt;=nov!Z$3)*(#REF!&gt;=nov!Z$3)),#REF!),IF(WEEKDAY(nov!Z$3,1)=1,"WO","P"))</f>
        <v>P</v>
      </c>
      <c r="AA6" s="4" t="str">
        <f>IFERROR(LOOKUP(2,1/((#REF!=nov!$A6)*(#REF!&lt;=nov!AA$3)*(#REF!&gt;=nov!AA$3)),#REF!),IF(WEEKDAY(nov!AA$3,1)=1,"WO","P"))</f>
        <v>WO</v>
      </c>
      <c r="AB6" s="4" t="str">
        <f>IFERROR(LOOKUP(2,1/((#REF!=nov!$A6)*(#REF!&lt;=nov!AB$3)*(#REF!&gt;=nov!AB$3)),#REF!),IF(WEEKDAY(nov!AB$3,1)=1,"WO","P"))</f>
        <v>P</v>
      </c>
      <c r="AC6" s="4" t="str">
        <f>IFERROR(LOOKUP(2,1/((#REF!=nov!$A6)*(#REF!&lt;=nov!AC$3)*(#REF!&gt;=nov!AC$3)),#REF!),IF(WEEKDAY(nov!AC$3,1)=1,"WO","P"))</f>
        <v>P</v>
      </c>
      <c r="AD6" s="4" t="str">
        <f>IFERROR(LOOKUP(2,1/((#REF!=nov!$A6)*(#REF!&lt;=nov!AD$3)*(#REF!&gt;=nov!AD$3)),#REF!),IF(WEEKDAY(nov!AD$3,1)=1,"WO","P"))</f>
        <v>P</v>
      </c>
      <c r="AE6" s="4" t="str">
        <f>IFERROR(LOOKUP(2,1/((#REF!=nov!$A6)*(#REF!&lt;=nov!AE$3)*(#REF!&gt;=nov!AE$3)),#REF!),IF(WEEKDAY(nov!AE$3,1)=1,"WO","P"))</f>
        <v>P</v>
      </c>
      <c r="AF6" s="4" t="str">
        <f>IFERROR(LOOKUP(2,1/((#REF!=nov!$A6)*(#REF!&lt;=nov!AF$3)*(#REF!&gt;=nov!AF$3)),#REF!),IF(WEEKDAY(nov!AF$3,1)=1,"WO","P"))</f>
        <v>P</v>
      </c>
      <c r="AG6" s="4" t="str">
        <f>IFERROR(LOOKUP(2,1/((#REF!=nov!$A6)*(#REF!&lt;=nov!AG$3)*(#REF!&gt;=nov!AG$3)),#REF!),IF(WEEKDAY(nov!AG$3,1)=1,"WO","P"))</f>
        <v>P</v>
      </c>
      <c r="AH6" s="4" t="str">
        <f>IFERROR(LOOKUP(2,1/((#REF!=nov!$A6)*(#REF!&lt;=nov!AH$3)*(#REF!&gt;=nov!AH$3)),#REF!),IF(WEEKDAY(nov!AH$3,1)=1,"WO","P"))</f>
        <v>WO</v>
      </c>
      <c r="AI6" s="4" t="str">
        <f>IFERROR(LOOKUP(2,1/((#REF!=nov!$A6)*(#REF!&lt;=nov!AI$3)*(#REF!&gt;=nov!AI$3)),#REF!),IF(WEEKDAY(nov!AI$3,1)=1,"WO","P"))</f>
        <v>P</v>
      </c>
      <c r="AJ6" s="4">
        <f>COUNTIF(mar!$F6:$AJ6,"WO")</f>
        <v>5</v>
      </c>
      <c r="AK6" s="4">
        <f>COUNTIF(mar!$F6:$AJ6,"H")</f>
        <v>2</v>
      </c>
      <c r="AL6" s="4">
        <f>COUNTIF(mar!$F6:$AJ6,"pl")</f>
        <v>0</v>
      </c>
      <c r="AM6" s="4">
        <f>COUNTIF(mar!$F6:$AJ6,"LWP")</f>
        <v>0</v>
      </c>
      <c r="AN6" s="4">
        <f>COUNTIF(mar!$F6:$AJ6,"HD")</f>
        <v>0</v>
      </c>
      <c r="AO6" s="4">
        <f>COUNTIF(mar!$F6:$AJ6,"SL")</f>
        <v>0</v>
      </c>
      <c r="AP6" s="4">
        <f>COUNTIF(mar!$F6:$AJ6,"CL")</f>
        <v>0</v>
      </c>
      <c r="AQ6" s="4">
        <f>COUNTIF(mar!$F6:$AJ6,"A")</f>
        <v>0</v>
      </c>
      <c r="AR6" s="4">
        <f>COUNTIF(mar!$F6:$AJ6,"P")</f>
        <v>24</v>
      </c>
      <c r="AS6" s="4">
        <f t="shared" si="2"/>
        <v>30</v>
      </c>
      <c r="AT6" s="4">
        <f t="shared" ref="AT6:AT54" si="3">AJ6+AK6+AL6+AO6+AP6+AR6+(AN6/2)</f>
        <v>31</v>
      </c>
      <c r="AU6" s="4">
        <f>SUMIFS(holly!$L$2:$L$122,holly!$I$2:$I$122,mar!$A6,holly!$K$2:$K$122,"Mar")</f>
        <v>0</v>
      </c>
    </row>
    <row r="7" spans="1:47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IFERROR(LOOKUP(2,1/((#REF!=nov!$A7)*(#REF!&lt;=nov!F$3)*(#REF!&gt;=nov!F$3)),#REF!),IF(WEEKDAY(nov!F$3,1)=1,"WO","P"))</f>
        <v>WO</v>
      </c>
      <c r="G7" s="4" t="str">
        <f>IFERROR(LOOKUP(2,1/((#REF!=nov!$A7)*(#REF!&lt;=nov!G$3)*(#REF!&gt;=nov!G$3)),#REF!),IF(WEEKDAY(nov!G$3,1)=1,"WO","P"))</f>
        <v>P</v>
      </c>
      <c r="H7" s="4" t="str">
        <f>IFERROR(LOOKUP(2,1/((#REF!=nov!$A7)*(#REF!&lt;=nov!H$3)*(#REF!&gt;=nov!H$3)),#REF!),IF(WEEKDAY(nov!H$3,1)=1,"WO","P"))</f>
        <v>P</v>
      </c>
      <c r="I7" s="4" t="str">
        <f>IFERROR(LOOKUP(2,1/((#REF!=nov!$A7)*(#REF!&lt;=nov!I$3)*(#REF!&gt;=nov!I$3)),#REF!),IF(WEEKDAY(nov!I$3,1)=1,"WO","P"))</f>
        <v>P</v>
      </c>
      <c r="J7" s="4" t="str">
        <f>IFERROR(LOOKUP(2,1/((#REF!=nov!$A7)*(#REF!&lt;=nov!J$3)*(#REF!&gt;=nov!J$3)),#REF!),IF(WEEKDAY(nov!J$3,1)=1,"WO","P"))</f>
        <v>P</v>
      </c>
      <c r="K7" s="4" t="str">
        <f>IFERROR(LOOKUP(2,1/((#REF!=nov!$A7)*(#REF!&lt;=nov!K$3)*(#REF!&gt;=nov!K$3)),#REF!),IF(WEEKDAY(nov!K$3,1)=1,"WO","P"))</f>
        <v>P</v>
      </c>
      <c r="L7" s="4" t="str">
        <f>IFERROR(LOOKUP(2,1/((#REF!=nov!$A7)*(#REF!&lt;=nov!L$3)*(#REF!&gt;=nov!L$3)),#REF!),IF(WEEKDAY(nov!L$3,1)=1,"WO","P"))</f>
        <v>P</v>
      </c>
      <c r="M7" s="4" t="str">
        <f>IFERROR(LOOKUP(2,1/((#REF!=nov!$A7)*(#REF!&lt;=nov!M$3)*(#REF!&gt;=nov!M$3)),#REF!),IF(WEEKDAY(nov!M$3,1)=1,"WO","P"))</f>
        <v>WO</v>
      </c>
      <c r="N7" s="4" t="str">
        <f>IFERROR(LOOKUP(2,1/((#REF!=nov!$A7)*(#REF!&lt;=nov!N$3)*(#REF!&gt;=nov!N$3)),#REF!),IF(WEEKDAY(nov!N$3,1)=1,"WO","P"))</f>
        <v>P</v>
      </c>
      <c r="O7" s="4" t="str">
        <f>IFERROR(LOOKUP(2,1/((#REF!=nov!$A7)*(#REF!&lt;=nov!O$3)*(#REF!&gt;=nov!O$3)),#REF!),IF(WEEKDAY(nov!O$3,1)=1,"WO","P"))</f>
        <v>P</v>
      </c>
      <c r="P7" s="4" t="str">
        <f>IFERROR(LOOKUP(2,1/((#REF!=nov!$A7)*(#REF!&lt;=nov!P$3)*(#REF!&gt;=nov!P$3)),#REF!),IF(WEEKDAY(nov!P$3,1)=1,"WO","P"))</f>
        <v>P</v>
      </c>
      <c r="Q7" s="4" t="str">
        <f>IFERROR(LOOKUP(2,1/((#REF!=nov!$A7)*(#REF!&lt;=nov!Q$3)*(#REF!&gt;=nov!Q$3)),#REF!),IF(WEEKDAY(nov!Q$3,1)=1,"WO","P"))</f>
        <v>P</v>
      </c>
      <c r="R7" s="4" t="str">
        <f>IFERROR(LOOKUP(2,1/((#REF!=nov!$A7)*(#REF!&lt;=nov!R$3)*(#REF!&gt;=nov!R$3)),#REF!),IF(WEEKDAY(nov!R$3,1)=1,"WO","P"))</f>
        <v>P</v>
      </c>
      <c r="S7" s="4" t="str">
        <f>IFERROR(LOOKUP(2,1/((#REF!=nov!$A7)*(#REF!&lt;=nov!S$3)*(#REF!&gt;=nov!S$3)),#REF!),IF(WEEKDAY(nov!S$3,1)=1,"WO","P"))</f>
        <v>P</v>
      </c>
      <c r="T7" s="4" t="str">
        <f>IFERROR(LOOKUP(2,1/((#REF!=nov!$A7)*(#REF!&lt;=nov!T$3)*(#REF!&gt;=nov!T$3)),#REF!),IF(WEEKDAY(nov!T$3,1)=1,"WO","P"))</f>
        <v>WO</v>
      </c>
      <c r="U7" s="4" t="str">
        <f>IFERROR(LOOKUP(2,1/((#REF!=nov!$A7)*(#REF!&lt;=nov!U$3)*(#REF!&gt;=nov!U$3)),#REF!),IF(WEEKDAY(nov!U$3,1)=1,"WO","P"))</f>
        <v>P</v>
      </c>
      <c r="V7" s="4" t="str">
        <f>IFERROR(LOOKUP(2,1/((#REF!=nov!$A7)*(#REF!&lt;=nov!V$3)*(#REF!&gt;=nov!V$3)),#REF!),IF(WEEKDAY(nov!V$3,1)=1,"WO","P"))</f>
        <v>P</v>
      </c>
      <c r="W7" s="4" t="str">
        <f>IFERROR(LOOKUP(2,1/((#REF!=nov!$A7)*(#REF!&lt;=nov!W$3)*(#REF!&gt;=nov!W$3)),#REF!),IF(WEEKDAY(nov!W$3,1)=1,"WO","P"))</f>
        <v>P</v>
      </c>
      <c r="X7" s="4" t="str">
        <f>IFERROR(LOOKUP(2,1/((#REF!=nov!$A7)*(#REF!&lt;=nov!X$3)*(#REF!&gt;=nov!X$3)),#REF!),IF(WEEKDAY(nov!X$3,1)=1,"WO","P"))</f>
        <v>P</v>
      </c>
      <c r="Y7" s="4" t="str">
        <f>IFERROR(LOOKUP(2,1/((#REF!=nov!$A7)*(#REF!&lt;=nov!Y$3)*(#REF!&gt;=nov!Y$3)),#REF!),IF(WEEKDAY(nov!Y$3,1)=1,"WO","P"))</f>
        <v>P</v>
      </c>
      <c r="Z7" s="4" t="str">
        <f>IFERROR(LOOKUP(2,1/((#REF!=nov!$A7)*(#REF!&lt;=nov!Z$3)*(#REF!&gt;=nov!Z$3)),#REF!),IF(WEEKDAY(nov!Z$3,1)=1,"WO","P"))</f>
        <v>P</v>
      </c>
      <c r="AA7" s="4" t="str">
        <f>IFERROR(LOOKUP(2,1/((#REF!=nov!$A7)*(#REF!&lt;=nov!AA$3)*(#REF!&gt;=nov!AA$3)),#REF!),IF(WEEKDAY(nov!AA$3,1)=1,"WO","P"))</f>
        <v>WO</v>
      </c>
      <c r="AB7" s="4" t="str">
        <f>IFERROR(LOOKUP(2,1/((#REF!=nov!$A7)*(#REF!&lt;=nov!AB$3)*(#REF!&gt;=nov!AB$3)),#REF!),IF(WEEKDAY(nov!AB$3,1)=1,"WO","P"))</f>
        <v>P</v>
      </c>
      <c r="AC7" s="4" t="str">
        <f>IFERROR(LOOKUP(2,1/((#REF!=nov!$A7)*(#REF!&lt;=nov!AC$3)*(#REF!&gt;=nov!AC$3)),#REF!),IF(WEEKDAY(nov!AC$3,1)=1,"WO","P"))</f>
        <v>P</v>
      </c>
      <c r="AD7" s="4" t="str">
        <f>IFERROR(LOOKUP(2,1/((#REF!=nov!$A7)*(#REF!&lt;=nov!AD$3)*(#REF!&gt;=nov!AD$3)),#REF!),IF(WEEKDAY(nov!AD$3,1)=1,"WO","P"))</f>
        <v>P</v>
      </c>
      <c r="AE7" s="4" t="str">
        <f>IFERROR(LOOKUP(2,1/((#REF!=nov!$A7)*(#REF!&lt;=nov!AE$3)*(#REF!&gt;=nov!AE$3)),#REF!),IF(WEEKDAY(nov!AE$3,1)=1,"WO","P"))</f>
        <v>P</v>
      </c>
      <c r="AF7" s="4" t="str">
        <f>IFERROR(LOOKUP(2,1/((#REF!=nov!$A7)*(#REF!&lt;=nov!AF$3)*(#REF!&gt;=nov!AF$3)),#REF!),IF(WEEKDAY(nov!AF$3,1)=1,"WO","P"))</f>
        <v>P</v>
      </c>
      <c r="AG7" s="4" t="str">
        <f>IFERROR(LOOKUP(2,1/((#REF!=nov!$A7)*(#REF!&lt;=nov!AG$3)*(#REF!&gt;=nov!AG$3)),#REF!),IF(WEEKDAY(nov!AG$3,1)=1,"WO","P"))</f>
        <v>P</v>
      </c>
      <c r="AH7" s="4" t="str">
        <f>IFERROR(LOOKUP(2,1/((#REF!=nov!$A7)*(#REF!&lt;=nov!AH$3)*(#REF!&gt;=nov!AH$3)),#REF!),IF(WEEKDAY(nov!AH$3,1)=1,"WO","P"))</f>
        <v>WO</v>
      </c>
      <c r="AI7" s="4" t="str">
        <f>IFERROR(LOOKUP(2,1/((#REF!=nov!$A7)*(#REF!&lt;=nov!AI$3)*(#REF!&gt;=nov!AI$3)),#REF!),IF(WEEKDAY(nov!AI$3,1)=1,"WO","P"))</f>
        <v>P</v>
      </c>
      <c r="AJ7" s="4">
        <f>COUNTIF(mar!$F7:$AJ7,"WO")</f>
        <v>5</v>
      </c>
      <c r="AK7" s="4">
        <f>COUNTIF(mar!$F7:$AJ7,"H")</f>
        <v>2</v>
      </c>
      <c r="AL7" s="4">
        <f>COUNTIF(mar!$F7:$AJ7,"pl")</f>
        <v>0</v>
      </c>
      <c r="AM7" s="4">
        <f>COUNTIF(mar!$F7:$AJ7,"LWP")</f>
        <v>0</v>
      </c>
      <c r="AN7" s="4">
        <f>COUNTIF(mar!$F7:$AJ7,"HD")</f>
        <v>0</v>
      </c>
      <c r="AO7" s="4">
        <f>COUNTIF(mar!$F7:$AJ7,"SL")</f>
        <v>0</v>
      </c>
      <c r="AP7" s="4">
        <f>COUNTIF(mar!$F7:$AJ7,"CL")</f>
        <v>0</v>
      </c>
      <c r="AQ7" s="4">
        <f>COUNTIF(mar!$F7:$AJ7,"A")</f>
        <v>2</v>
      </c>
      <c r="AR7" s="4">
        <f>COUNTIF(mar!$F7:$AJ7,"P")</f>
        <v>22</v>
      </c>
      <c r="AS7" s="4">
        <f t="shared" si="2"/>
        <v>30</v>
      </c>
      <c r="AT7" s="4">
        <f t="shared" si="3"/>
        <v>29</v>
      </c>
      <c r="AU7" s="4">
        <f>SUMIFS(holly!$L$2:$L$122,holly!$I$2:$I$122,mar!$A7,holly!$K$2:$K$122,"Mar")</f>
        <v>0</v>
      </c>
    </row>
    <row r="8" spans="1:47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IFERROR(LOOKUP(2,1/((#REF!=nov!$A8)*(#REF!&lt;=nov!F$3)*(#REF!&gt;=nov!F$3)),#REF!),IF(WEEKDAY(nov!F$3,1)=1,"WO","P"))</f>
        <v>WO</v>
      </c>
      <c r="G8" s="4" t="str">
        <f>IFERROR(LOOKUP(2,1/((#REF!=nov!$A8)*(#REF!&lt;=nov!G$3)*(#REF!&gt;=nov!G$3)),#REF!),IF(WEEKDAY(nov!G$3,1)=1,"WO","P"))</f>
        <v>P</v>
      </c>
      <c r="H8" s="4" t="str">
        <f>IFERROR(LOOKUP(2,1/((#REF!=nov!$A8)*(#REF!&lt;=nov!H$3)*(#REF!&gt;=nov!H$3)),#REF!),IF(WEEKDAY(nov!H$3,1)=1,"WO","P"))</f>
        <v>P</v>
      </c>
      <c r="I8" s="4" t="str">
        <f>IFERROR(LOOKUP(2,1/((#REF!=nov!$A8)*(#REF!&lt;=nov!I$3)*(#REF!&gt;=nov!I$3)),#REF!),IF(WEEKDAY(nov!I$3,1)=1,"WO","P"))</f>
        <v>P</v>
      </c>
      <c r="J8" s="4" t="str">
        <f>IFERROR(LOOKUP(2,1/((#REF!=nov!$A8)*(#REF!&lt;=nov!J$3)*(#REF!&gt;=nov!J$3)),#REF!),IF(WEEKDAY(nov!J$3,1)=1,"WO","P"))</f>
        <v>P</v>
      </c>
      <c r="K8" s="4" t="str">
        <f>IFERROR(LOOKUP(2,1/((#REF!=nov!$A8)*(#REF!&lt;=nov!K$3)*(#REF!&gt;=nov!K$3)),#REF!),IF(WEEKDAY(nov!K$3,1)=1,"WO","P"))</f>
        <v>P</v>
      </c>
      <c r="L8" s="4" t="str">
        <f>IFERROR(LOOKUP(2,1/((#REF!=nov!$A8)*(#REF!&lt;=nov!L$3)*(#REF!&gt;=nov!L$3)),#REF!),IF(WEEKDAY(nov!L$3,1)=1,"WO","P"))</f>
        <v>P</v>
      </c>
      <c r="M8" s="4" t="str">
        <f>IFERROR(LOOKUP(2,1/((#REF!=nov!$A8)*(#REF!&lt;=nov!M$3)*(#REF!&gt;=nov!M$3)),#REF!),IF(WEEKDAY(nov!M$3,1)=1,"WO","P"))</f>
        <v>WO</v>
      </c>
      <c r="N8" s="4" t="str">
        <f>IFERROR(LOOKUP(2,1/((#REF!=nov!$A8)*(#REF!&lt;=nov!N$3)*(#REF!&gt;=nov!N$3)),#REF!),IF(WEEKDAY(nov!N$3,1)=1,"WO","P"))</f>
        <v>P</v>
      </c>
      <c r="O8" s="4" t="str">
        <f>IFERROR(LOOKUP(2,1/((#REF!=nov!$A8)*(#REF!&lt;=nov!O$3)*(#REF!&gt;=nov!O$3)),#REF!),IF(WEEKDAY(nov!O$3,1)=1,"WO","P"))</f>
        <v>P</v>
      </c>
      <c r="P8" s="4" t="str">
        <f>IFERROR(LOOKUP(2,1/((#REF!=nov!$A8)*(#REF!&lt;=nov!P$3)*(#REF!&gt;=nov!P$3)),#REF!),IF(WEEKDAY(nov!P$3,1)=1,"WO","P"))</f>
        <v>P</v>
      </c>
      <c r="Q8" s="4" t="str">
        <f>IFERROR(LOOKUP(2,1/((#REF!=nov!$A8)*(#REF!&lt;=nov!Q$3)*(#REF!&gt;=nov!Q$3)),#REF!),IF(WEEKDAY(nov!Q$3,1)=1,"WO","P"))</f>
        <v>P</v>
      </c>
      <c r="R8" s="4" t="str">
        <f>IFERROR(LOOKUP(2,1/((#REF!=nov!$A8)*(#REF!&lt;=nov!R$3)*(#REF!&gt;=nov!R$3)),#REF!),IF(WEEKDAY(nov!R$3,1)=1,"WO","P"))</f>
        <v>P</v>
      </c>
      <c r="S8" s="4" t="str">
        <f>IFERROR(LOOKUP(2,1/((#REF!=nov!$A8)*(#REF!&lt;=nov!S$3)*(#REF!&gt;=nov!S$3)),#REF!),IF(WEEKDAY(nov!S$3,1)=1,"WO","P"))</f>
        <v>P</v>
      </c>
      <c r="T8" s="4" t="str">
        <f>IFERROR(LOOKUP(2,1/((#REF!=nov!$A8)*(#REF!&lt;=nov!T$3)*(#REF!&gt;=nov!T$3)),#REF!),IF(WEEKDAY(nov!T$3,1)=1,"WO","P"))</f>
        <v>WO</v>
      </c>
      <c r="U8" s="4" t="str">
        <f>IFERROR(LOOKUP(2,1/((#REF!=nov!$A8)*(#REF!&lt;=nov!U$3)*(#REF!&gt;=nov!U$3)),#REF!),IF(WEEKDAY(nov!U$3,1)=1,"WO","P"))</f>
        <v>P</v>
      </c>
      <c r="V8" s="4" t="str">
        <f>IFERROR(LOOKUP(2,1/((#REF!=nov!$A8)*(#REF!&lt;=nov!V$3)*(#REF!&gt;=nov!V$3)),#REF!),IF(WEEKDAY(nov!V$3,1)=1,"WO","P"))</f>
        <v>P</v>
      </c>
      <c r="W8" s="4" t="str">
        <f>IFERROR(LOOKUP(2,1/((#REF!=nov!$A8)*(#REF!&lt;=nov!W$3)*(#REF!&gt;=nov!W$3)),#REF!),IF(WEEKDAY(nov!W$3,1)=1,"WO","P"))</f>
        <v>P</v>
      </c>
      <c r="X8" s="4" t="str">
        <f>IFERROR(LOOKUP(2,1/((#REF!=nov!$A8)*(#REF!&lt;=nov!X$3)*(#REF!&gt;=nov!X$3)),#REF!),IF(WEEKDAY(nov!X$3,1)=1,"WO","P"))</f>
        <v>P</v>
      </c>
      <c r="Y8" s="4" t="str">
        <f>IFERROR(LOOKUP(2,1/((#REF!=nov!$A8)*(#REF!&lt;=nov!Y$3)*(#REF!&gt;=nov!Y$3)),#REF!),IF(WEEKDAY(nov!Y$3,1)=1,"WO","P"))</f>
        <v>P</v>
      </c>
      <c r="Z8" s="4" t="str">
        <f>IFERROR(LOOKUP(2,1/((#REF!=nov!$A8)*(#REF!&lt;=nov!Z$3)*(#REF!&gt;=nov!Z$3)),#REF!),IF(WEEKDAY(nov!Z$3,1)=1,"WO","P"))</f>
        <v>P</v>
      </c>
      <c r="AA8" s="4" t="str">
        <f>IFERROR(LOOKUP(2,1/((#REF!=nov!$A8)*(#REF!&lt;=nov!AA$3)*(#REF!&gt;=nov!AA$3)),#REF!),IF(WEEKDAY(nov!AA$3,1)=1,"WO","P"))</f>
        <v>WO</v>
      </c>
      <c r="AB8" s="4" t="str">
        <f>IFERROR(LOOKUP(2,1/((#REF!=nov!$A8)*(#REF!&lt;=nov!AB$3)*(#REF!&gt;=nov!AB$3)),#REF!),IF(WEEKDAY(nov!AB$3,1)=1,"WO","P"))</f>
        <v>P</v>
      </c>
      <c r="AC8" s="4" t="str">
        <f>IFERROR(LOOKUP(2,1/((#REF!=nov!$A8)*(#REF!&lt;=nov!AC$3)*(#REF!&gt;=nov!AC$3)),#REF!),IF(WEEKDAY(nov!AC$3,1)=1,"WO","P"))</f>
        <v>P</v>
      </c>
      <c r="AD8" s="4" t="str">
        <f>IFERROR(LOOKUP(2,1/((#REF!=nov!$A8)*(#REF!&lt;=nov!AD$3)*(#REF!&gt;=nov!AD$3)),#REF!),IF(WEEKDAY(nov!AD$3,1)=1,"WO","P"))</f>
        <v>P</v>
      </c>
      <c r="AE8" s="4" t="str">
        <f>IFERROR(LOOKUP(2,1/((#REF!=nov!$A8)*(#REF!&lt;=nov!AE$3)*(#REF!&gt;=nov!AE$3)),#REF!),IF(WEEKDAY(nov!AE$3,1)=1,"WO","P"))</f>
        <v>P</v>
      </c>
      <c r="AF8" s="4" t="str">
        <f>IFERROR(LOOKUP(2,1/((#REF!=nov!$A8)*(#REF!&lt;=nov!AF$3)*(#REF!&gt;=nov!AF$3)),#REF!),IF(WEEKDAY(nov!AF$3,1)=1,"WO","P"))</f>
        <v>P</v>
      </c>
      <c r="AG8" s="4" t="str">
        <f>IFERROR(LOOKUP(2,1/((#REF!=nov!$A8)*(#REF!&lt;=nov!AG$3)*(#REF!&gt;=nov!AG$3)),#REF!),IF(WEEKDAY(nov!AG$3,1)=1,"WO","P"))</f>
        <v>P</v>
      </c>
      <c r="AH8" s="4" t="str">
        <f>IFERROR(LOOKUP(2,1/((#REF!=nov!$A8)*(#REF!&lt;=nov!AH$3)*(#REF!&gt;=nov!AH$3)),#REF!),IF(WEEKDAY(nov!AH$3,1)=1,"WO","P"))</f>
        <v>WO</v>
      </c>
      <c r="AI8" s="4" t="str">
        <f>IFERROR(LOOKUP(2,1/((#REF!=nov!$A8)*(#REF!&lt;=nov!AI$3)*(#REF!&gt;=nov!AI$3)),#REF!),IF(WEEKDAY(nov!AI$3,1)=1,"WO","P"))</f>
        <v>P</v>
      </c>
      <c r="AJ8" s="4">
        <f>COUNTIF(mar!$F8:$AJ8,"WO")</f>
        <v>5</v>
      </c>
      <c r="AK8" s="4">
        <f>COUNTIF(mar!$F8:$AJ8,"H")</f>
        <v>2</v>
      </c>
      <c r="AL8" s="4">
        <f>COUNTIF(mar!$F8:$AJ8,"pl")</f>
        <v>0</v>
      </c>
      <c r="AM8" s="4">
        <f>COUNTIF(mar!$F8:$AJ8,"LWP")</f>
        <v>0</v>
      </c>
      <c r="AN8" s="4">
        <f>COUNTIF(mar!$F8:$AJ8,"HD")</f>
        <v>0</v>
      </c>
      <c r="AO8" s="4">
        <f>COUNTIF(mar!$F8:$AJ8,"SL")</f>
        <v>0</v>
      </c>
      <c r="AP8" s="4">
        <f>COUNTIF(mar!$F8:$AJ8,"CL")</f>
        <v>0</v>
      </c>
      <c r="AQ8" s="4">
        <f>COUNTIF(mar!$F8:$AJ8,"A")</f>
        <v>1</v>
      </c>
      <c r="AR8" s="4">
        <f>COUNTIF(mar!$F8:$AJ8,"P")</f>
        <v>23</v>
      </c>
      <c r="AS8" s="4">
        <f t="shared" si="2"/>
        <v>30</v>
      </c>
      <c r="AT8" s="4">
        <f t="shared" si="3"/>
        <v>30</v>
      </c>
      <c r="AU8" s="4">
        <f>SUMIFS(holly!$L$2:$L$122,holly!$I$2:$I$122,mar!$A8,holly!$K$2:$K$122,"Mar")</f>
        <v>2</v>
      </c>
    </row>
    <row r="9" spans="1:47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IFERROR(LOOKUP(2,1/((#REF!=nov!$A9)*(#REF!&lt;=nov!F$3)*(#REF!&gt;=nov!F$3)),#REF!),IF(WEEKDAY(nov!F$3,1)=1,"WO","P"))</f>
        <v>WO</v>
      </c>
      <c r="G9" s="4" t="str">
        <f>IFERROR(LOOKUP(2,1/((#REF!=nov!$A9)*(#REF!&lt;=nov!G$3)*(#REF!&gt;=nov!G$3)),#REF!),IF(WEEKDAY(nov!G$3,1)=1,"WO","P"))</f>
        <v>P</v>
      </c>
      <c r="H9" s="4" t="str">
        <f>IFERROR(LOOKUP(2,1/((#REF!=nov!$A9)*(#REF!&lt;=nov!H$3)*(#REF!&gt;=nov!H$3)),#REF!),IF(WEEKDAY(nov!H$3,1)=1,"WO","P"))</f>
        <v>P</v>
      </c>
      <c r="I9" s="4" t="str">
        <f>IFERROR(LOOKUP(2,1/((#REF!=nov!$A9)*(#REF!&lt;=nov!I$3)*(#REF!&gt;=nov!I$3)),#REF!),IF(WEEKDAY(nov!I$3,1)=1,"WO","P"))</f>
        <v>P</v>
      </c>
      <c r="J9" s="4" t="str">
        <f>IFERROR(LOOKUP(2,1/((#REF!=nov!$A9)*(#REF!&lt;=nov!J$3)*(#REF!&gt;=nov!J$3)),#REF!),IF(WEEKDAY(nov!J$3,1)=1,"WO","P"))</f>
        <v>P</v>
      </c>
      <c r="K9" s="4" t="str">
        <f>IFERROR(LOOKUP(2,1/((#REF!=nov!$A9)*(#REF!&lt;=nov!K$3)*(#REF!&gt;=nov!K$3)),#REF!),IF(WEEKDAY(nov!K$3,1)=1,"WO","P"))</f>
        <v>P</v>
      </c>
      <c r="L9" s="4" t="str">
        <f>IFERROR(LOOKUP(2,1/((#REF!=nov!$A9)*(#REF!&lt;=nov!L$3)*(#REF!&gt;=nov!L$3)),#REF!),IF(WEEKDAY(nov!L$3,1)=1,"WO","P"))</f>
        <v>P</v>
      </c>
      <c r="M9" s="4" t="str">
        <f>IFERROR(LOOKUP(2,1/((#REF!=nov!$A9)*(#REF!&lt;=nov!M$3)*(#REF!&gt;=nov!M$3)),#REF!),IF(WEEKDAY(nov!M$3,1)=1,"WO","P"))</f>
        <v>WO</v>
      </c>
      <c r="N9" s="4" t="str">
        <f>IFERROR(LOOKUP(2,1/((#REF!=nov!$A9)*(#REF!&lt;=nov!N$3)*(#REF!&gt;=nov!N$3)),#REF!),IF(WEEKDAY(nov!N$3,1)=1,"WO","P"))</f>
        <v>P</v>
      </c>
      <c r="O9" s="4" t="str">
        <f>IFERROR(LOOKUP(2,1/((#REF!=nov!$A9)*(#REF!&lt;=nov!O$3)*(#REF!&gt;=nov!O$3)),#REF!),IF(WEEKDAY(nov!O$3,1)=1,"WO","P"))</f>
        <v>P</v>
      </c>
      <c r="P9" s="4" t="str">
        <f>IFERROR(LOOKUP(2,1/((#REF!=nov!$A9)*(#REF!&lt;=nov!P$3)*(#REF!&gt;=nov!P$3)),#REF!),IF(WEEKDAY(nov!P$3,1)=1,"WO","P"))</f>
        <v>P</v>
      </c>
      <c r="Q9" s="4" t="str">
        <f>IFERROR(LOOKUP(2,1/((#REF!=nov!$A9)*(#REF!&lt;=nov!Q$3)*(#REF!&gt;=nov!Q$3)),#REF!),IF(WEEKDAY(nov!Q$3,1)=1,"WO","P"))</f>
        <v>P</v>
      </c>
      <c r="R9" s="4" t="str">
        <f>IFERROR(LOOKUP(2,1/((#REF!=nov!$A9)*(#REF!&lt;=nov!R$3)*(#REF!&gt;=nov!R$3)),#REF!),IF(WEEKDAY(nov!R$3,1)=1,"WO","P"))</f>
        <v>P</v>
      </c>
      <c r="S9" s="4" t="str">
        <f>IFERROR(LOOKUP(2,1/((#REF!=nov!$A9)*(#REF!&lt;=nov!S$3)*(#REF!&gt;=nov!S$3)),#REF!),IF(WEEKDAY(nov!S$3,1)=1,"WO","P"))</f>
        <v>P</v>
      </c>
      <c r="T9" s="4" t="str">
        <f>IFERROR(LOOKUP(2,1/((#REF!=nov!$A9)*(#REF!&lt;=nov!T$3)*(#REF!&gt;=nov!T$3)),#REF!),IF(WEEKDAY(nov!T$3,1)=1,"WO","P"))</f>
        <v>WO</v>
      </c>
      <c r="U9" s="4" t="str">
        <f>IFERROR(LOOKUP(2,1/((#REF!=nov!$A9)*(#REF!&lt;=nov!U$3)*(#REF!&gt;=nov!U$3)),#REF!),IF(WEEKDAY(nov!U$3,1)=1,"WO","P"))</f>
        <v>P</v>
      </c>
      <c r="V9" s="4" t="str">
        <f>IFERROR(LOOKUP(2,1/((#REF!=nov!$A9)*(#REF!&lt;=nov!V$3)*(#REF!&gt;=nov!V$3)),#REF!),IF(WEEKDAY(nov!V$3,1)=1,"WO","P"))</f>
        <v>P</v>
      </c>
      <c r="W9" s="4" t="str">
        <f>IFERROR(LOOKUP(2,1/((#REF!=nov!$A9)*(#REF!&lt;=nov!W$3)*(#REF!&gt;=nov!W$3)),#REF!),IF(WEEKDAY(nov!W$3,1)=1,"WO","P"))</f>
        <v>P</v>
      </c>
      <c r="X9" s="4" t="str">
        <f>IFERROR(LOOKUP(2,1/((#REF!=nov!$A9)*(#REF!&lt;=nov!X$3)*(#REF!&gt;=nov!X$3)),#REF!),IF(WEEKDAY(nov!X$3,1)=1,"WO","P"))</f>
        <v>P</v>
      </c>
      <c r="Y9" s="4" t="str">
        <f>IFERROR(LOOKUP(2,1/((#REF!=nov!$A9)*(#REF!&lt;=nov!Y$3)*(#REF!&gt;=nov!Y$3)),#REF!),IF(WEEKDAY(nov!Y$3,1)=1,"WO","P"))</f>
        <v>P</v>
      </c>
      <c r="Z9" s="4" t="str">
        <f>IFERROR(LOOKUP(2,1/((#REF!=nov!$A9)*(#REF!&lt;=nov!Z$3)*(#REF!&gt;=nov!Z$3)),#REF!),IF(WEEKDAY(nov!Z$3,1)=1,"WO","P"))</f>
        <v>P</v>
      </c>
      <c r="AA9" s="4" t="str">
        <f>IFERROR(LOOKUP(2,1/((#REF!=nov!$A9)*(#REF!&lt;=nov!AA$3)*(#REF!&gt;=nov!AA$3)),#REF!),IF(WEEKDAY(nov!AA$3,1)=1,"WO","P"))</f>
        <v>WO</v>
      </c>
      <c r="AB9" s="4" t="str">
        <f>IFERROR(LOOKUP(2,1/((#REF!=nov!$A9)*(#REF!&lt;=nov!AB$3)*(#REF!&gt;=nov!AB$3)),#REF!),IF(WEEKDAY(nov!AB$3,1)=1,"WO","P"))</f>
        <v>P</v>
      </c>
      <c r="AC9" s="4" t="str">
        <f>IFERROR(LOOKUP(2,1/((#REF!=nov!$A9)*(#REF!&lt;=nov!AC$3)*(#REF!&gt;=nov!AC$3)),#REF!),IF(WEEKDAY(nov!AC$3,1)=1,"WO","P"))</f>
        <v>P</v>
      </c>
      <c r="AD9" s="4" t="str">
        <f>IFERROR(LOOKUP(2,1/((#REF!=nov!$A9)*(#REF!&lt;=nov!AD$3)*(#REF!&gt;=nov!AD$3)),#REF!),IF(WEEKDAY(nov!AD$3,1)=1,"WO","P"))</f>
        <v>P</v>
      </c>
      <c r="AE9" s="4" t="str">
        <f>IFERROR(LOOKUP(2,1/((#REF!=nov!$A9)*(#REF!&lt;=nov!AE$3)*(#REF!&gt;=nov!AE$3)),#REF!),IF(WEEKDAY(nov!AE$3,1)=1,"WO","P"))</f>
        <v>P</v>
      </c>
      <c r="AF9" s="4" t="str">
        <f>IFERROR(LOOKUP(2,1/((#REF!=nov!$A9)*(#REF!&lt;=nov!AF$3)*(#REF!&gt;=nov!AF$3)),#REF!),IF(WEEKDAY(nov!AF$3,1)=1,"WO","P"))</f>
        <v>P</v>
      </c>
      <c r="AG9" s="4" t="str">
        <f>IFERROR(LOOKUP(2,1/((#REF!=nov!$A9)*(#REF!&lt;=nov!AG$3)*(#REF!&gt;=nov!AG$3)),#REF!),IF(WEEKDAY(nov!AG$3,1)=1,"WO","P"))</f>
        <v>P</v>
      </c>
      <c r="AH9" s="4" t="str">
        <f>IFERROR(LOOKUP(2,1/((#REF!=nov!$A9)*(#REF!&lt;=nov!AH$3)*(#REF!&gt;=nov!AH$3)),#REF!),IF(WEEKDAY(nov!AH$3,1)=1,"WO","P"))</f>
        <v>WO</v>
      </c>
      <c r="AI9" s="4" t="str">
        <f>IFERROR(LOOKUP(2,1/((#REF!=nov!$A9)*(#REF!&lt;=nov!AI$3)*(#REF!&gt;=nov!AI$3)),#REF!),IF(WEEKDAY(nov!AI$3,1)=1,"WO","P"))</f>
        <v>P</v>
      </c>
      <c r="AJ9" s="4">
        <f>COUNTIF(mar!$F9:$AJ9,"WO")</f>
        <v>5</v>
      </c>
      <c r="AK9" s="4">
        <f>COUNTIF(mar!$F9:$AJ9,"H")</f>
        <v>2</v>
      </c>
      <c r="AL9" s="4">
        <f>COUNTIF(mar!$F9:$AJ9,"pl")</f>
        <v>0</v>
      </c>
      <c r="AM9" s="4">
        <f>COUNTIF(mar!$F9:$AJ9,"LWP")</f>
        <v>0</v>
      </c>
      <c r="AN9" s="4">
        <f>COUNTIF(mar!$F9:$AJ9,"HD")</f>
        <v>0</v>
      </c>
      <c r="AO9" s="4">
        <f>COUNTIF(mar!$F9:$AJ9,"SL")</f>
        <v>0</v>
      </c>
      <c r="AP9" s="4">
        <f>COUNTIF(mar!$F9:$AJ9,"CL")</f>
        <v>0</v>
      </c>
      <c r="AQ9" s="4">
        <f>COUNTIF(mar!$F9:$AJ9,"A")</f>
        <v>2</v>
      </c>
      <c r="AR9" s="4">
        <f>COUNTIF(mar!$F9:$AJ9,"P")</f>
        <v>22</v>
      </c>
      <c r="AS9" s="4">
        <f t="shared" si="2"/>
        <v>30</v>
      </c>
      <c r="AT9" s="4">
        <f t="shared" si="3"/>
        <v>29</v>
      </c>
      <c r="AU9" s="4">
        <f>SUMIFS(holly!$L$2:$L$122,holly!$I$2:$I$122,mar!$A9,holly!$K$2:$K$122,"Mar")</f>
        <v>1</v>
      </c>
    </row>
    <row r="10" spans="1:47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IFERROR(LOOKUP(2,1/((#REF!=nov!$A10)*(#REF!&lt;=nov!F$3)*(#REF!&gt;=nov!F$3)),#REF!),IF(WEEKDAY(nov!F$3,1)=1,"WO","P"))</f>
        <v>WO</v>
      </c>
      <c r="G10" s="4" t="str">
        <f>IFERROR(LOOKUP(2,1/((#REF!=nov!$A10)*(#REF!&lt;=nov!G$3)*(#REF!&gt;=nov!G$3)),#REF!),IF(WEEKDAY(nov!G$3,1)=1,"WO","P"))</f>
        <v>P</v>
      </c>
      <c r="H10" s="4" t="str">
        <f>IFERROR(LOOKUP(2,1/((#REF!=nov!$A10)*(#REF!&lt;=nov!H$3)*(#REF!&gt;=nov!H$3)),#REF!),IF(WEEKDAY(nov!H$3,1)=1,"WO","P"))</f>
        <v>P</v>
      </c>
      <c r="I10" s="4" t="str">
        <f>IFERROR(LOOKUP(2,1/((#REF!=nov!$A10)*(#REF!&lt;=nov!I$3)*(#REF!&gt;=nov!I$3)),#REF!),IF(WEEKDAY(nov!I$3,1)=1,"WO","P"))</f>
        <v>P</v>
      </c>
      <c r="J10" s="4" t="str">
        <f>IFERROR(LOOKUP(2,1/((#REF!=nov!$A10)*(#REF!&lt;=nov!J$3)*(#REF!&gt;=nov!J$3)),#REF!),IF(WEEKDAY(nov!J$3,1)=1,"WO","P"))</f>
        <v>P</v>
      </c>
      <c r="K10" s="4" t="str">
        <f>IFERROR(LOOKUP(2,1/((#REF!=nov!$A10)*(#REF!&lt;=nov!K$3)*(#REF!&gt;=nov!K$3)),#REF!),IF(WEEKDAY(nov!K$3,1)=1,"WO","P"))</f>
        <v>P</v>
      </c>
      <c r="L10" s="4" t="str">
        <f>IFERROR(LOOKUP(2,1/((#REF!=nov!$A10)*(#REF!&lt;=nov!L$3)*(#REF!&gt;=nov!L$3)),#REF!),IF(WEEKDAY(nov!L$3,1)=1,"WO","P"))</f>
        <v>P</v>
      </c>
      <c r="M10" s="4" t="str">
        <f>IFERROR(LOOKUP(2,1/((#REF!=nov!$A10)*(#REF!&lt;=nov!M$3)*(#REF!&gt;=nov!M$3)),#REF!),IF(WEEKDAY(nov!M$3,1)=1,"WO","P"))</f>
        <v>WO</v>
      </c>
      <c r="N10" s="4" t="str">
        <f>IFERROR(LOOKUP(2,1/((#REF!=nov!$A10)*(#REF!&lt;=nov!N$3)*(#REF!&gt;=nov!N$3)),#REF!),IF(WEEKDAY(nov!N$3,1)=1,"WO","P"))</f>
        <v>P</v>
      </c>
      <c r="O10" s="4" t="str">
        <f>IFERROR(LOOKUP(2,1/((#REF!=nov!$A10)*(#REF!&lt;=nov!O$3)*(#REF!&gt;=nov!O$3)),#REF!),IF(WEEKDAY(nov!O$3,1)=1,"WO","P"))</f>
        <v>P</v>
      </c>
      <c r="P10" s="4" t="str">
        <f>IFERROR(LOOKUP(2,1/((#REF!=nov!$A10)*(#REF!&lt;=nov!P$3)*(#REF!&gt;=nov!P$3)),#REF!),IF(WEEKDAY(nov!P$3,1)=1,"WO","P"))</f>
        <v>P</v>
      </c>
      <c r="Q10" s="4" t="str">
        <f>IFERROR(LOOKUP(2,1/((#REF!=nov!$A10)*(#REF!&lt;=nov!Q$3)*(#REF!&gt;=nov!Q$3)),#REF!),IF(WEEKDAY(nov!Q$3,1)=1,"WO","P"))</f>
        <v>P</v>
      </c>
      <c r="R10" s="4" t="str">
        <f>IFERROR(LOOKUP(2,1/((#REF!=nov!$A10)*(#REF!&lt;=nov!R$3)*(#REF!&gt;=nov!R$3)),#REF!),IF(WEEKDAY(nov!R$3,1)=1,"WO","P"))</f>
        <v>P</v>
      </c>
      <c r="S10" s="4" t="str">
        <f>IFERROR(LOOKUP(2,1/((#REF!=nov!$A10)*(#REF!&lt;=nov!S$3)*(#REF!&gt;=nov!S$3)),#REF!),IF(WEEKDAY(nov!S$3,1)=1,"WO","P"))</f>
        <v>P</v>
      </c>
      <c r="T10" s="4" t="str">
        <f>IFERROR(LOOKUP(2,1/((#REF!=nov!$A10)*(#REF!&lt;=nov!T$3)*(#REF!&gt;=nov!T$3)),#REF!),IF(WEEKDAY(nov!T$3,1)=1,"WO","P"))</f>
        <v>WO</v>
      </c>
      <c r="U10" s="4" t="str">
        <f>IFERROR(LOOKUP(2,1/((#REF!=nov!$A10)*(#REF!&lt;=nov!U$3)*(#REF!&gt;=nov!U$3)),#REF!),IF(WEEKDAY(nov!U$3,1)=1,"WO","P"))</f>
        <v>P</v>
      </c>
      <c r="V10" s="4" t="str">
        <f>IFERROR(LOOKUP(2,1/((#REF!=nov!$A10)*(#REF!&lt;=nov!V$3)*(#REF!&gt;=nov!V$3)),#REF!),IF(WEEKDAY(nov!V$3,1)=1,"WO","P"))</f>
        <v>P</v>
      </c>
      <c r="W10" s="4" t="str">
        <f>IFERROR(LOOKUP(2,1/((#REF!=nov!$A10)*(#REF!&lt;=nov!W$3)*(#REF!&gt;=nov!W$3)),#REF!),IF(WEEKDAY(nov!W$3,1)=1,"WO","P"))</f>
        <v>P</v>
      </c>
      <c r="X10" s="4" t="str">
        <f>IFERROR(LOOKUP(2,1/((#REF!=nov!$A10)*(#REF!&lt;=nov!X$3)*(#REF!&gt;=nov!X$3)),#REF!),IF(WEEKDAY(nov!X$3,1)=1,"WO","P"))</f>
        <v>P</v>
      </c>
      <c r="Y10" s="4" t="str">
        <f>IFERROR(LOOKUP(2,1/((#REF!=nov!$A10)*(#REF!&lt;=nov!Y$3)*(#REF!&gt;=nov!Y$3)),#REF!),IF(WEEKDAY(nov!Y$3,1)=1,"WO","P"))</f>
        <v>P</v>
      </c>
      <c r="Z10" s="4" t="str">
        <f>IFERROR(LOOKUP(2,1/((#REF!=nov!$A10)*(#REF!&lt;=nov!Z$3)*(#REF!&gt;=nov!Z$3)),#REF!),IF(WEEKDAY(nov!Z$3,1)=1,"WO","P"))</f>
        <v>P</v>
      </c>
      <c r="AA10" s="4" t="str">
        <f>IFERROR(LOOKUP(2,1/((#REF!=nov!$A10)*(#REF!&lt;=nov!AA$3)*(#REF!&gt;=nov!AA$3)),#REF!),IF(WEEKDAY(nov!AA$3,1)=1,"WO","P"))</f>
        <v>WO</v>
      </c>
      <c r="AB10" s="4" t="str">
        <f>IFERROR(LOOKUP(2,1/((#REF!=nov!$A10)*(#REF!&lt;=nov!AB$3)*(#REF!&gt;=nov!AB$3)),#REF!),IF(WEEKDAY(nov!AB$3,1)=1,"WO","P"))</f>
        <v>P</v>
      </c>
      <c r="AC10" s="4" t="str">
        <f>IFERROR(LOOKUP(2,1/((#REF!=nov!$A10)*(#REF!&lt;=nov!AC$3)*(#REF!&gt;=nov!AC$3)),#REF!),IF(WEEKDAY(nov!AC$3,1)=1,"WO","P"))</f>
        <v>P</v>
      </c>
      <c r="AD10" s="4" t="str">
        <f>IFERROR(LOOKUP(2,1/((#REF!=nov!$A10)*(#REF!&lt;=nov!AD$3)*(#REF!&gt;=nov!AD$3)),#REF!),IF(WEEKDAY(nov!AD$3,1)=1,"WO","P"))</f>
        <v>P</v>
      </c>
      <c r="AE10" s="4" t="str">
        <f>IFERROR(LOOKUP(2,1/((#REF!=nov!$A10)*(#REF!&lt;=nov!AE$3)*(#REF!&gt;=nov!AE$3)),#REF!),IF(WEEKDAY(nov!AE$3,1)=1,"WO","P"))</f>
        <v>P</v>
      </c>
      <c r="AF10" s="4" t="str">
        <f>IFERROR(LOOKUP(2,1/((#REF!=nov!$A10)*(#REF!&lt;=nov!AF$3)*(#REF!&gt;=nov!AF$3)),#REF!),IF(WEEKDAY(nov!AF$3,1)=1,"WO","P"))</f>
        <v>P</v>
      </c>
      <c r="AG10" s="4" t="str">
        <f>IFERROR(LOOKUP(2,1/((#REF!=nov!$A10)*(#REF!&lt;=nov!AG$3)*(#REF!&gt;=nov!AG$3)),#REF!),IF(WEEKDAY(nov!AG$3,1)=1,"WO","P"))</f>
        <v>P</v>
      </c>
      <c r="AH10" s="4" t="str">
        <f>IFERROR(LOOKUP(2,1/((#REF!=nov!$A10)*(#REF!&lt;=nov!AH$3)*(#REF!&gt;=nov!AH$3)),#REF!),IF(WEEKDAY(nov!AH$3,1)=1,"WO","P"))</f>
        <v>WO</v>
      </c>
      <c r="AI10" s="4" t="str">
        <f>IFERROR(LOOKUP(2,1/((#REF!=nov!$A10)*(#REF!&lt;=nov!AI$3)*(#REF!&gt;=nov!AI$3)),#REF!),IF(WEEKDAY(nov!AI$3,1)=1,"WO","P"))</f>
        <v>P</v>
      </c>
      <c r="AJ10" s="4">
        <f>COUNTIF(mar!$F10:$AJ10,"WO")</f>
        <v>5</v>
      </c>
      <c r="AK10" s="4">
        <f>COUNTIF(mar!$F10:$AJ10,"H")</f>
        <v>2</v>
      </c>
      <c r="AL10" s="4">
        <f>COUNTIF(mar!$F10:$AJ10,"pl")</f>
        <v>0</v>
      </c>
      <c r="AM10" s="4">
        <f>COUNTIF(mar!$F10:$AJ10,"LWP")</f>
        <v>0</v>
      </c>
      <c r="AN10" s="4">
        <f>COUNTIF(mar!$F10:$AJ10,"HD")</f>
        <v>0</v>
      </c>
      <c r="AO10" s="4">
        <f>COUNTIF(mar!$F10:$AJ10,"SL")</f>
        <v>0</v>
      </c>
      <c r="AP10" s="4">
        <f>COUNTIF(mar!$F10:$AJ10,"CL")</f>
        <v>0</v>
      </c>
      <c r="AQ10" s="4">
        <f>COUNTIF(mar!$F10:$AJ10,"A")</f>
        <v>1</v>
      </c>
      <c r="AR10" s="4">
        <f>COUNTIF(mar!$F10:$AJ10,"P")</f>
        <v>23</v>
      </c>
      <c r="AS10" s="4">
        <f t="shared" si="2"/>
        <v>30</v>
      </c>
      <c r="AT10" s="4">
        <f t="shared" si="3"/>
        <v>30</v>
      </c>
      <c r="AU10" s="4">
        <f>SUMIFS(holly!$L$2:$L$122,holly!$I$2:$I$122,mar!$A10,holly!$K$2:$K$122,"Mar")</f>
        <v>0</v>
      </c>
    </row>
    <row r="11" spans="1:47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IFERROR(LOOKUP(2,1/((#REF!=nov!$A11)*(#REF!&lt;=nov!F$3)*(#REF!&gt;=nov!F$3)),#REF!),IF(WEEKDAY(nov!F$3,1)=1,"WO","P"))</f>
        <v>WO</v>
      </c>
      <c r="G11" s="4" t="str">
        <f>IFERROR(LOOKUP(2,1/((#REF!=nov!$A11)*(#REF!&lt;=nov!G$3)*(#REF!&gt;=nov!G$3)),#REF!),IF(WEEKDAY(nov!G$3,1)=1,"WO","P"))</f>
        <v>P</v>
      </c>
      <c r="H11" s="4" t="str">
        <f>IFERROR(LOOKUP(2,1/((#REF!=nov!$A11)*(#REF!&lt;=nov!H$3)*(#REF!&gt;=nov!H$3)),#REF!),IF(WEEKDAY(nov!H$3,1)=1,"WO","P"))</f>
        <v>P</v>
      </c>
      <c r="I11" s="4" t="str">
        <f>IFERROR(LOOKUP(2,1/((#REF!=nov!$A11)*(#REF!&lt;=nov!I$3)*(#REF!&gt;=nov!I$3)),#REF!),IF(WEEKDAY(nov!I$3,1)=1,"WO","P"))</f>
        <v>P</v>
      </c>
      <c r="J11" s="4" t="str">
        <f>IFERROR(LOOKUP(2,1/((#REF!=nov!$A11)*(#REF!&lt;=nov!J$3)*(#REF!&gt;=nov!J$3)),#REF!),IF(WEEKDAY(nov!J$3,1)=1,"WO","P"))</f>
        <v>P</v>
      </c>
      <c r="K11" s="4" t="str">
        <f>IFERROR(LOOKUP(2,1/((#REF!=nov!$A11)*(#REF!&lt;=nov!K$3)*(#REF!&gt;=nov!K$3)),#REF!),IF(WEEKDAY(nov!K$3,1)=1,"WO","P"))</f>
        <v>P</v>
      </c>
      <c r="L11" s="4" t="str">
        <f>IFERROR(LOOKUP(2,1/((#REF!=nov!$A11)*(#REF!&lt;=nov!L$3)*(#REF!&gt;=nov!L$3)),#REF!),IF(WEEKDAY(nov!L$3,1)=1,"WO","P"))</f>
        <v>P</v>
      </c>
      <c r="M11" s="4" t="str">
        <f>IFERROR(LOOKUP(2,1/((#REF!=nov!$A11)*(#REF!&lt;=nov!M$3)*(#REF!&gt;=nov!M$3)),#REF!),IF(WEEKDAY(nov!M$3,1)=1,"WO","P"))</f>
        <v>WO</v>
      </c>
      <c r="N11" s="4" t="str">
        <f>IFERROR(LOOKUP(2,1/((#REF!=nov!$A11)*(#REF!&lt;=nov!N$3)*(#REF!&gt;=nov!N$3)),#REF!),IF(WEEKDAY(nov!N$3,1)=1,"WO","P"))</f>
        <v>P</v>
      </c>
      <c r="O11" s="4" t="str">
        <f>IFERROR(LOOKUP(2,1/((#REF!=nov!$A11)*(#REF!&lt;=nov!O$3)*(#REF!&gt;=nov!O$3)),#REF!),IF(WEEKDAY(nov!O$3,1)=1,"WO","P"))</f>
        <v>P</v>
      </c>
      <c r="P11" s="4" t="str">
        <f>IFERROR(LOOKUP(2,1/((#REF!=nov!$A11)*(#REF!&lt;=nov!P$3)*(#REF!&gt;=nov!P$3)),#REF!),IF(WEEKDAY(nov!P$3,1)=1,"WO","P"))</f>
        <v>P</v>
      </c>
      <c r="Q11" s="4" t="str">
        <f>IFERROR(LOOKUP(2,1/((#REF!=nov!$A11)*(#REF!&lt;=nov!Q$3)*(#REF!&gt;=nov!Q$3)),#REF!),IF(WEEKDAY(nov!Q$3,1)=1,"WO","P"))</f>
        <v>P</v>
      </c>
      <c r="R11" s="4" t="str">
        <f>IFERROR(LOOKUP(2,1/((#REF!=nov!$A11)*(#REF!&lt;=nov!R$3)*(#REF!&gt;=nov!R$3)),#REF!),IF(WEEKDAY(nov!R$3,1)=1,"WO","P"))</f>
        <v>P</v>
      </c>
      <c r="S11" s="4" t="str">
        <f>IFERROR(LOOKUP(2,1/((#REF!=nov!$A11)*(#REF!&lt;=nov!S$3)*(#REF!&gt;=nov!S$3)),#REF!),IF(WEEKDAY(nov!S$3,1)=1,"WO","P"))</f>
        <v>P</v>
      </c>
      <c r="T11" s="4" t="str">
        <f>IFERROR(LOOKUP(2,1/((#REF!=nov!$A11)*(#REF!&lt;=nov!T$3)*(#REF!&gt;=nov!T$3)),#REF!),IF(WEEKDAY(nov!T$3,1)=1,"WO","P"))</f>
        <v>WO</v>
      </c>
      <c r="U11" s="4" t="str">
        <f>IFERROR(LOOKUP(2,1/((#REF!=nov!$A11)*(#REF!&lt;=nov!U$3)*(#REF!&gt;=nov!U$3)),#REF!),IF(WEEKDAY(nov!U$3,1)=1,"WO","P"))</f>
        <v>P</v>
      </c>
      <c r="V11" s="4" t="str">
        <f>IFERROR(LOOKUP(2,1/((#REF!=nov!$A11)*(#REF!&lt;=nov!V$3)*(#REF!&gt;=nov!V$3)),#REF!),IF(WEEKDAY(nov!V$3,1)=1,"WO","P"))</f>
        <v>P</v>
      </c>
      <c r="W11" s="4" t="str">
        <f>IFERROR(LOOKUP(2,1/((#REF!=nov!$A11)*(#REF!&lt;=nov!W$3)*(#REF!&gt;=nov!W$3)),#REF!),IF(WEEKDAY(nov!W$3,1)=1,"WO","P"))</f>
        <v>P</v>
      </c>
      <c r="X11" s="4" t="str">
        <f>IFERROR(LOOKUP(2,1/((#REF!=nov!$A11)*(#REF!&lt;=nov!X$3)*(#REF!&gt;=nov!X$3)),#REF!),IF(WEEKDAY(nov!X$3,1)=1,"WO","P"))</f>
        <v>P</v>
      </c>
      <c r="Y11" s="4" t="str">
        <f>IFERROR(LOOKUP(2,1/((#REF!=nov!$A11)*(#REF!&lt;=nov!Y$3)*(#REF!&gt;=nov!Y$3)),#REF!),IF(WEEKDAY(nov!Y$3,1)=1,"WO","P"))</f>
        <v>P</v>
      </c>
      <c r="Z11" s="4" t="str">
        <f>IFERROR(LOOKUP(2,1/((#REF!=nov!$A11)*(#REF!&lt;=nov!Z$3)*(#REF!&gt;=nov!Z$3)),#REF!),IF(WEEKDAY(nov!Z$3,1)=1,"WO","P"))</f>
        <v>P</v>
      </c>
      <c r="AA11" s="4" t="str">
        <f>IFERROR(LOOKUP(2,1/((#REF!=nov!$A11)*(#REF!&lt;=nov!AA$3)*(#REF!&gt;=nov!AA$3)),#REF!),IF(WEEKDAY(nov!AA$3,1)=1,"WO","P"))</f>
        <v>WO</v>
      </c>
      <c r="AB11" s="4" t="str">
        <f>IFERROR(LOOKUP(2,1/((#REF!=nov!$A11)*(#REF!&lt;=nov!AB$3)*(#REF!&gt;=nov!AB$3)),#REF!),IF(WEEKDAY(nov!AB$3,1)=1,"WO","P"))</f>
        <v>P</v>
      </c>
      <c r="AC11" s="4" t="str">
        <f>IFERROR(LOOKUP(2,1/((#REF!=nov!$A11)*(#REF!&lt;=nov!AC$3)*(#REF!&gt;=nov!AC$3)),#REF!),IF(WEEKDAY(nov!AC$3,1)=1,"WO","P"))</f>
        <v>P</v>
      </c>
      <c r="AD11" s="4" t="str">
        <f>IFERROR(LOOKUP(2,1/((#REF!=nov!$A11)*(#REF!&lt;=nov!AD$3)*(#REF!&gt;=nov!AD$3)),#REF!),IF(WEEKDAY(nov!AD$3,1)=1,"WO","P"))</f>
        <v>P</v>
      </c>
      <c r="AE11" s="4" t="str">
        <f>IFERROR(LOOKUP(2,1/((#REF!=nov!$A11)*(#REF!&lt;=nov!AE$3)*(#REF!&gt;=nov!AE$3)),#REF!),IF(WEEKDAY(nov!AE$3,1)=1,"WO","P"))</f>
        <v>P</v>
      </c>
      <c r="AF11" s="4" t="str">
        <f>IFERROR(LOOKUP(2,1/((#REF!=nov!$A11)*(#REF!&lt;=nov!AF$3)*(#REF!&gt;=nov!AF$3)),#REF!),IF(WEEKDAY(nov!AF$3,1)=1,"WO","P"))</f>
        <v>P</v>
      </c>
      <c r="AG11" s="4" t="str">
        <f>IFERROR(LOOKUP(2,1/((#REF!=nov!$A11)*(#REF!&lt;=nov!AG$3)*(#REF!&gt;=nov!AG$3)),#REF!),IF(WEEKDAY(nov!AG$3,1)=1,"WO","P"))</f>
        <v>P</v>
      </c>
      <c r="AH11" s="4" t="str">
        <f>IFERROR(LOOKUP(2,1/((#REF!=nov!$A11)*(#REF!&lt;=nov!AH$3)*(#REF!&gt;=nov!AH$3)),#REF!),IF(WEEKDAY(nov!AH$3,1)=1,"WO","P"))</f>
        <v>WO</v>
      </c>
      <c r="AI11" s="4" t="str">
        <f>IFERROR(LOOKUP(2,1/((#REF!=nov!$A11)*(#REF!&lt;=nov!AI$3)*(#REF!&gt;=nov!AI$3)),#REF!),IF(WEEKDAY(nov!AI$3,1)=1,"WO","P"))</f>
        <v>P</v>
      </c>
      <c r="AJ11" s="4">
        <f>COUNTIF(mar!$F11:$AJ11,"WO")</f>
        <v>5</v>
      </c>
      <c r="AK11" s="4">
        <f>COUNTIF(mar!$F11:$AJ11,"H")</f>
        <v>2</v>
      </c>
      <c r="AL11" s="4">
        <f>COUNTIF(mar!$F11:$AJ11,"pl")</f>
        <v>0</v>
      </c>
      <c r="AM11" s="4">
        <f>COUNTIF(mar!$F11:$AJ11,"LWP")</f>
        <v>0</v>
      </c>
      <c r="AN11" s="4">
        <f>COUNTIF(mar!$F11:$AJ11,"HD")</f>
        <v>0</v>
      </c>
      <c r="AO11" s="4">
        <f>COUNTIF(mar!$F11:$AJ11,"SL")</f>
        <v>0</v>
      </c>
      <c r="AP11" s="4">
        <f>COUNTIF(mar!$F11:$AJ11,"CL")</f>
        <v>0</v>
      </c>
      <c r="AQ11" s="4">
        <f>COUNTIF(mar!$F11:$AJ11,"A")</f>
        <v>1</v>
      </c>
      <c r="AR11" s="4">
        <f>COUNTIF(mar!$F11:$AJ11,"P")</f>
        <v>23</v>
      </c>
      <c r="AS11" s="4">
        <f t="shared" si="2"/>
        <v>30</v>
      </c>
      <c r="AT11" s="4">
        <f t="shared" si="3"/>
        <v>30</v>
      </c>
      <c r="AU11" s="4">
        <f>SUMIFS(holly!$L$2:$L$122,holly!$I$2:$I$122,mar!$A11,holly!$K$2:$K$122,"Mar")</f>
        <v>0</v>
      </c>
    </row>
    <row r="12" spans="1:47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IFERROR(LOOKUP(2,1/((#REF!=nov!$A12)*(#REF!&lt;=nov!F$3)*(#REF!&gt;=nov!F$3)),#REF!),IF(WEEKDAY(nov!F$3,1)=1,"WO","P"))</f>
        <v>WO</v>
      </c>
      <c r="G12" s="4" t="str">
        <f>IFERROR(LOOKUP(2,1/((#REF!=nov!$A12)*(#REF!&lt;=nov!G$3)*(#REF!&gt;=nov!G$3)),#REF!),IF(WEEKDAY(nov!G$3,1)=1,"WO","P"))</f>
        <v>P</v>
      </c>
      <c r="H12" s="4" t="str">
        <f>IFERROR(LOOKUP(2,1/((#REF!=nov!$A12)*(#REF!&lt;=nov!H$3)*(#REF!&gt;=nov!H$3)),#REF!),IF(WEEKDAY(nov!H$3,1)=1,"WO","P"))</f>
        <v>P</v>
      </c>
      <c r="I12" s="4" t="str">
        <f>IFERROR(LOOKUP(2,1/((#REF!=nov!$A12)*(#REF!&lt;=nov!I$3)*(#REF!&gt;=nov!I$3)),#REF!),IF(WEEKDAY(nov!I$3,1)=1,"WO","P"))</f>
        <v>P</v>
      </c>
      <c r="J12" s="4" t="str">
        <f>IFERROR(LOOKUP(2,1/((#REF!=nov!$A12)*(#REF!&lt;=nov!J$3)*(#REF!&gt;=nov!J$3)),#REF!),IF(WEEKDAY(nov!J$3,1)=1,"WO","P"))</f>
        <v>P</v>
      </c>
      <c r="K12" s="4" t="str">
        <f>IFERROR(LOOKUP(2,1/((#REF!=nov!$A12)*(#REF!&lt;=nov!K$3)*(#REF!&gt;=nov!K$3)),#REF!),IF(WEEKDAY(nov!K$3,1)=1,"WO","P"))</f>
        <v>P</v>
      </c>
      <c r="L12" s="4" t="str">
        <f>IFERROR(LOOKUP(2,1/((#REF!=nov!$A12)*(#REF!&lt;=nov!L$3)*(#REF!&gt;=nov!L$3)),#REF!),IF(WEEKDAY(nov!L$3,1)=1,"WO","P"))</f>
        <v>P</v>
      </c>
      <c r="M12" s="4" t="str">
        <f>IFERROR(LOOKUP(2,1/((#REF!=nov!$A12)*(#REF!&lt;=nov!M$3)*(#REF!&gt;=nov!M$3)),#REF!),IF(WEEKDAY(nov!M$3,1)=1,"WO","P"))</f>
        <v>WO</v>
      </c>
      <c r="N12" s="4" t="str">
        <f>IFERROR(LOOKUP(2,1/((#REF!=nov!$A12)*(#REF!&lt;=nov!N$3)*(#REF!&gt;=nov!N$3)),#REF!),IF(WEEKDAY(nov!N$3,1)=1,"WO","P"))</f>
        <v>P</v>
      </c>
      <c r="O12" s="4" t="str">
        <f>IFERROR(LOOKUP(2,1/((#REF!=nov!$A12)*(#REF!&lt;=nov!O$3)*(#REF!&gt;=nov!O$3)),#REF!),IF(WEEKDAY(nov!O$3,1)=1,"WO","P"))</f>
        <v>P</v>
      </c>
      <c r="P12" s="4" t="str">
        <f>IFERROR(LOOKUP(2,1/((#REF!=nov!$A12)*(#REF!&lt;=nov!P$3)*(#REF!&gt;=nov!P$3)),#REF!),IF(WEEKDAY(nov!P$3,1)=1,"WO","P"))</f>
        <v>P</v>
      </c>
      <c r="Q12" s="4" t="str">
        <f>IFERROR(LOOKUP(2,1/((#REF!=nov!$A12)*(#REF!&lt;=nov!Q$3)*(#REF!&gt;=nov!Q$3)),#REF!),IF(WEEKDAY(nov!Q$3,1)=1,"WO","P"))</f>
        <v>P</v>
      </c>
      <c r="R12" s="4" t="str">
        <f>IFERROR(LOOKUP(2,1/((#REF!=nov!$A12)*(#REF!&lt;=nov!R$3)*(#REF!&gt;=nov!R$3)),#REF!),IF(WEEKDAY(nov!R$3,1)=1,"WO","P"))</f>
        <v>P</v>
      </c>
      <c r="S12" s="4" t="str">
        <f>IFERROR(LOOKUP(2,1/((#REF!=nov!$A12)*(#REF!&lt;=nov!S$3)*(#REF!&gt;=nov!S$3)),#REF!),IF(WEEKDAY(nov!S$3,1)=1,"WO","P"))</f>
        <v>P</v>
      </c>
      <c r="T12" s="4" t="str">
        <f>IFERROR(LOOKUP(2,1/((#REF!=nov!$A12)*(#REF!&lt;=nov!T$3)*(#REF!&gt;=nov!T$3)),#REF!),IF(WEEKDAY(nov!T$3,1)=1,"WO","P"))</f>
        <v>WO</v>
      </c>
      <c r="U12" s="4" t="str">
        <f>IFERROR(LOOKUP(2,1/((#REF!=nov!$A12)*(#REF!&lt;=nov!U$3)*(#REF!&gt;=nov!U$3)),#REF!),IF(WEEKDAY(nov!U$3,1)=1,"WO","P"))</f>
        <v>P</v>
      </c>
      <c r="V12" s="4" t="str">
        <f>IFERROR(LOOKUP(2,1/((#REF!=nov!$A12)*(#REF!&lt;=nov!V$3)*(#REF!&gt;=nov!V$3)),#REF!),IF(WEEKDAY(nov!V$3,1)=1,"WO","P"))</f>
        <v>P</v>
      </c>
      <c r="W12" s="4" t="str">
        <f>IFERROR(LOOKUP(2,1/((#REF!=nov!$A12)*(#REF!&lt;=nov!W$3)*(#REF!&gt;=nov!W$3)),#REF!),IF(WEEKDAY(nov!W$3,1)=1,"WO","P"))</f>
        <v>P</v>
      </c>
      <c r="X12" s="4" t="str">
        <f>IFERROR(LOOKUP(2,1/((#REF!=nov!$A12)*(#REF!&lt;=nov!X$3)*(#REF!&gt;=nov!X$3)),#REF!),IF(WEEKDAY(nov!X$3,1)=1,"WO","P"))</f>
        <v>P</v>
      </c>
      <c r="Y12" s="4" t="str">
        <f>IFERROR(LOOKUP(2,1/((#REF!=nov!$A12)*(#REF!&lt;=nov!Y$3)*(#REF!&gt;=nov!Y$3)),#REF!),IF(WEEKDAY(nov!Y$3,1)=1,"WO","P"))</f>
        <v>P</v>
      </c>
      <c r="Z12" s="4" t="str">
        <f>IFERROR(LOOKUP(2,1/((#REF!=nov!$A12)*(#REF!&lt;=nov!Z$3)*(#REF!&gt;=nov!Z$3)),#REF!),IF(WEEKDAY(nov!Z$3,1)=1,"WO","P"))</f>
        <v>P</v>
      </c>
      <c r="AA12" s="4" t="str">
        <f>IFERROR(LOOKUP(2,1/((#REF!=nov!$A12)*(#REF!&lt;=nov!AA$3)*(#REF!&gt;=nov!AA$3)),#REF!),IF(WEEKDAY(nov!AA$3,1)=1,"WO","P"))</f>
        <v>WO</v>
      </c>
      <c r="AB12" s="4" t="str">
        <f>IFERROR(LOOKUP(2,1/((#REF!=nov!$A12)*(#REF!&lt;=nov!AB$3)*(#REF!&gt;=nov!AB$3)),#REF!),IF(WEEKDAY(nov!AB$3,1)=1,"WO","P"))</f>
        <v>P</v>
      </c>
      <c r="AC12" s="4" t="str">
        <f>IFERROR(LOOKUP(2,1/((#REF!=nov!$A12)*(#REF!&lt;=nov!AC$3)*(#REF!&gt;=nov!AC$3)),#REF!),IF(WEEKDAY(nov!AC$3,1)=1,"WO","P"))</f>
        <v>P</v>
      </c>
      <c r="AD12" s="4" t="str">
        <f>IFERROR(LOOKUP(2,1/((#REF!=nov!$A12)*(#REF!&lt;=nov!AD$3)*(#REF!&gt;=nov!AD$3)),#REF!),IF(WEEKDAY(nov!AD$3,1)=1,"WO","P"))</f>
        <v>P</v>
      </c>
      <c r="AE12" s="4" t="str">
        <f>IFERROR(LOOKUP(2,1/((#REF!=nov!$A12)*(#REF!&lt;=nov!AE$3)*(#REF!&gt;=nov!AE$3)),#REF!),IF(WEEKDAY(nov!AE$3,1)=1,"WO","P"))</f>
        <v>P</v>
      </c>
      <c r="AF12" s="4" t="str">
        <f>IFERROR(LOOKUP(2,1/((#REF!=nov!$A12)*(#REF!&lt;=nov!AF$3)*(#REF!&gt;=nov!AF$3)),#REF!),IF(WEEKDAY(nov!AF$3,1)=1,"WO","P"))</f>
        <v>P</v>
      </c>
      <c r="AG12" s="4" t="str">
        <f>IFERROR(LOOKUP(2,1/((#REF!=nov!$A12)*(#REF!&lt;=nov!AG$3)*(#REF!&gt;=nov!AG$3)),#REF!),IF(WEEKDAY(nov!AG$3,1)=1,"WO","P"))</f>
        <v>P</v>
      </c>
      <c r="AH12" s="4" t="str">
        <f>IFERROR(LOOKUP(2,1/((#REF!=nov!$A12)*(#REF!&lt;=nov!AH$3)*(#REF!&gt;=nov!AH$3)),#REF!),IF(WEEKDAY(nov!AH$3,1)=1,"WO","P"))</f>
        <v>WO</v>
      </c>
      <c r="AI12" s="4" t="str">
        <f>IFERROR(LOOKUP(2,1/((#REF!=nov!$A12)*(#REF!&lt;=nov!AI$3)*(#REF!&gt;=nov!AI$3)),#REF!),IF(WEEKDAY(nov!AI$3,1)=1,"WO","P"))</f>
        <v>P</v>
      </c>
      <c r="AJ12" s="4">
        <f>COUNTIF(mar!$F12:$AJ12,"WO")</f>
        <v>5</v>
      </c>
      <c r="AK12" s="4">
        <f>COUNTIF(mar!$F12:$AJ12,"H")</f>
        <v>2</v>
      </c>
      <c r="AL12" s="4">
        <f>COUNTIF(mar!$F12:$AJ12,"pl")</f>
        <v>0</v>
      </c>
      <c r="AM12" s="4">
        <f>COUNTIF(mar!$F12:$AJ12,"LWP")</f>
        <v>0</v>
      </c>
      <c r="AN12" s="4">
        <f>COUNTIF(mar!$F12:$AJ12,"HD")</f>
        <v>0</v>
      </c>
      <c r="AO12" s="4">
        <f>COUNTIF(mar!$F12:$AJ12,"SL")</f>
        <v>0</v>
      </c>
      <c r="AP12" s="4">
        <f>COUNTIF(mar!$F12:$AJ12,"CL")</f>
        <v>0</v>
      </c>
      <c r="AQ12" s="4">
        <f>COUNTIF(mar!$F12:$AJ12,"A")</f>
        <v>0</v>
      </c>
      <c r="AR12" s="4">
        <f>COUNTIF(mar!$F12:$AJ12,"P")</f>
        <v>24</v>
      </c>
      <c r="AS12" s="4">
        <f t="shared" si="2"/>
        <v>30</v>
      </c>
      <c r="AT12" s="4">
        <f t="shared" si="3"/>
        <v>31</v>
      </c>
      <c r="AU12" s="4">
        <f>SUMIFS(holly!$L$2:$L$122,holly!$I$2:$I$122,mar!$A12,holly!$K$2:$K$122,"Mar")</f>
        <v>0</v>
      </c>
    </row>
    <row r="13" spans="1:47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IFERROR(LOOKUP(2,1/((#REF!=nov!$A13)*(#REF!&lt;=nov!F$3)*(#REF!&gt;=nov!F$3)),#REF!),IF(WEEKDAY(nov!F$3,1)=1,"WO","P"))</f>
        <v>WO</v>
      </c>
      <c r="G13" s="4" t="str">
        <f>IFERROR(LOOKUP(2,1/((#REF!=nov!$A13)*(#REF!&lt;=nov!G$3)*(#REF!&gt;=nov!G$3)),#REF!),IF(WEEKDAY(nov!G$3,1)=1,"WO","P"))</f>
        <v>P</v>
      </c>
      <c r="H13" s="4" t="str">
        <f>IFERROR(LOOKUP(2,1/((#REF!=nov!$A13)*(#REF!&lt;=nov!H$3)*(#REF!&gt;=nov!H$3)),#REF!),IF(WEEKDAY(nov!H$3,1)=1,"WO","P"))</f>
        <v>P</v>
      </c>
      <c r="I13" s="4" t="str">
        <f>IFERROR(LOOKUP(2,1/((#REF!=nov!$A13)*(#REF!&lt;=nov!I$3)*(#REF!&gt;=nov!I$3)),#REF!),IF(WEEKDAY(nov!I$3,1)=1,"WO","P"))</f>
        <v>P</v>
      </c>
      <c r="J13" s="4" t="str">
        <f>IFERROR(LOOKUP(2,1/((#REF!=nov!$A13)*(#REF!&lt;=nov!J$3)*(#REF!&gt;=nov!J$3)),#REF!),IF(WEEKDAY(nov!J$3,1)=1,"WO","P"))</f>
        <v>P</v>
      </c>
      <c r="K13" s="4" t="str">
        <f>IFERROR(LOOKUP(2,1/((#REF!=nov!$A13)*(#REF!&lt;=nov!K$3)*(#REF!&gt;=nov!K$3)),#REF!),IF(WEEKDAY(nov!K$3,1)=1,"WO","P"))</f>
        <v>P</v>
      </c>
      <c r="L13" s="4" t="str">
        <f>IFERROR(LOOKUP(2,1/((#REF!=nov!$A13)*(#REF!&lt;=nov!L$3)*(#REF!&gt;=nov!L$3)),#REF!),IF(WEEKDAY(nov!L$3,1)=1,"WO","P"))</f>
        <v>P</v>
      </c>
      <c r="M13" s="4" t="str">
        <f>IFERROR(LOOKUP(2,1/((#REF!=nov!$A13)*(#REF!&lt;=nov!M$3)*(#REF!&gt;=nov!M$3)),#REF!),IF(WEEKDAY(nov!M$3,1)=1,"WO","P"))</f>
        <v>WO</v>
      </c>
      <c r="N13" s="4" t="str">
        <f>IFERROR(LOOKUP(2,1/((#REF!=nov!$A13)*(#REF!&lt;=nov!N$3)*(#REF!&gt;=nov!N$3)),#REF!),IF(WEEKDAY(nov!N$3,1)=1,"WO","P"))</f>
        <v>P</v>
      </c>
      <c r="O13" s="4" t="str">
        <f>IFERROR(LOOKUP(2,1/((#REF!=nov!$A13)*(#REF!&lt;=nov!O$3)*(#REF!&gt;=nov!O$3)),#REF!),IF(WEEKDAY(nov!O$3,1)=1,"WO","P"))</f>
        <v>P</v>
      </c>
      <c r="P13" s="4" t="str">
        <f>IFERROR(LOOKUP(2,1/((#REF!=nov!$A13)*(#REF!&lt;=nov!P$3)*(#REF!&gt;=nov!P$3)),#REF!),IF(WEEKDAY(nov!P$3,1)=1,"WO","P"))</f>
        <v>P</v>
      </c>
      <c r="Q13" s="4" t="str">
        <f>IFERROR(LOOKUP(2,1/((#REF!=nov!$A13)*(#REF!&lt;=nov!Q$3)*(#REF!&gt;=nov!Q$3)),#REF!),IF(WEEKDAY(nov!Q$3,1)=1,"WO","P"))</f>
        <v>P</v>
      </c>
      <c r="R13" s="4" t="str">
        <f>IFERROR(LOOKUP(2,1/((#REF!=nov!$A13)*(#REF!&lt;=nov!R$3)*(#REF!&gt;=nov!R$3)),#REF!),IF(WEEKDAY(nov!R$3,1)=1,"WO","P"))</f>
        <v>P</v>
      </c>
      <c r="S13" s="4" t="str">
        <f>IFERROR(LOOKUP(2,1/((#REF!=nov!$A13)*(#REF!&lt;=nov!S$3)*(#REF!&gt;=nov!S$3)),#REF!),IF(WEEKDAY(nov!S$3,1)=1,"WO","P"))</f>
        <v>P</v>
      </c>
      <c r="T13" s="4" t="str">
        <f>IFERROR(LOOKUP(2,1/((#REF!=nov!$A13)*(#REF!&lt;=nov!T$3)*(#REF!&gt;=nov!T$3)),#REF!),IF(WEEKDAY(nov!T$3,1)=1,"WO","P"))</f>
        <v>WO</v>
      </c>
      <c r="U13" s="4" t="str">
        <f>IFERROR(LOOKUP(2,1/((#REF!=nov!$A13)*(#REF!&lt;=nov!U$3)*(#REF!&gt;=nov!U$3)),#REF!),IF(WEEKDAY(nov!U$3,1)=1,"WO","P"))</f>
        <v>P</v>
      </c>
      <c r="V13" s="4" t="str">
        <f>IFERROR(LOOKUP(2,1/((#REF!=nov!$A13)*(#REF!&lt;=nov!V$3)*(#REF!&gt;=nov!V$3)),#REF!),IF(WEEKDAY(nov!V$3,1)=1,"WO","P"))</f>
        <v>P</v>
      </c>
      <c r="W13" s="4" t="str">
        <f>IFERROR(LOOKUP(2,1/((#REF!=nov!$A13)*(#REF!&lt;=nov!W$3)*(#REF!&gt;=nov!W$3)),#REF!),IF(WEEKDAY(nov!W$3,1)=1,"WO","P"))</f>
        <v>P</v>
      </c>
      <c r="X13" s="4" t="str">
        <f>IFERROR(LOOKUP(2,1/((#REF!=nov!$A13)*(#REF!&lt;=nov!X$3)*(#REF!&gt;=nov!X$3)),#REF!),IF(WEEKDAY(nov!X$3,1)=1,"WO","P"))</f>
        <v>P</v>
      </c>
      <c r="Y13" s="4" t="str">
        <f>IFERROR(LOOKUP(2,1/((#REF!=nov!$A13)*(#REF!&lt;=nov!Y$3)*(#REF!&gt;=nov!Y$3)),#REF!),IF(WEEKDAY(nov!Y$3,1)=1,"WO","P"))</f>
        <v>P</v>
      </c>
      <c r="Z13" s="4" t="str">
        <f>IFERROR(LOOKUP(2,1/((#REF!=nov!$A13)*(#REF!&lt;=nov!Z$3)*(#REF!&gt;=nov!Z$3)),#REF!),IF(WEEKDAY(nov!Z$3,1)=1,"WO","P"))</f>
        <v>P</v>
      </c>
      <c r="AA13" s="4" t="str">
        <f>IFERROR(LOOKUP(2,1/((#REF!=nov!$A13)*(#REF!&lt;=nov!AA$3)*(#REF!&gt;=nov!AA$3)),#REF!),IF(WEEKDAY(nov!AA$3,1)=1,"WO","P"))</f>
        <v>WO</v>
      </c>
      <c r="AB13" s="4" t="str">
        <f>IFERROR(LOOKUP(2,1/((#REF!=nov!$A13)*(#REF!&lt;=nov!AB$3)*(#REF!&gt;=nov!AB$3)),#REF!),IF(WEEKDAY(nov!AB$3,1)=1,"WO","P"))</f>
        <v>P</v>
      </c>
      <c r="AC13" s="4" t="str">
        <f>IFERROR(LOOKUP(2,1/((#REF!=nov!$A13)*(#REF!&lt;=nov!AC$3)*(#REF!&gt;=nov!AC$3)),#REF!),IF(WEEKDAY(nov!AC$3,1)=1,"WO","P"))</f>
        <v>P</v>
      </c>
      <c r="AD13" s="4" t="str">
        <f>IFERROR(LOOKUP(2,1/((#REF!=nov!$A13)*(#REF!&lt;=nov!AD$3)*(#REF!&gt;=nov!AD$3)),#REF!),IF(WEEKDAY(nov!AD$3,1)=1,"WO","P"))</f>
        <v>P</v>
      </c>
      <c r="AE13" s="4" t="str">
        <f>IFERROR(LOOKUP(2,1/((#REF!=nov!$A13)*(#REF!&lt;=nov!AE$3)*(#REF!&gt;=nov!AE$3)),#REF!),IF(WEEKDAY(nov!AE$3,1)=1,"WO","P"))</f>
        <v>P</v>
      </c>
      <c r="AF13" s="4" t="str">
        <f>IFERROR(LOOKUP(2,1/((#REF!=nov!$A13)*(#REF!&lt;=nov!AF$3)*(#REF!&gt;=nov!AF$3)),#REF!),IF(WEEKDAY(nov!AF$3,1)=1,"WO","P"))</f>
        <v>P</v>
      </c>
      <c r="AG13" s="4" t="str">
        <f>IFERROR(LOOKUP(2,1/((#REF!=nov!$A13)*(#REF!&lt;=nov!AG$3)*(#REF!&gt;=nov!AG$3)),#REF!),IF(WEEKDAY(nov!AG$3,1)=1,"WO","P"))</f>
        <v>P</v>
      </c>
      <c r="AH13" s="4" t="str">
        <f>IFERROR(LOOKUP(2,1/((#REF!=nov!$A13)*(#REF!&lt;=nov!AH$3)*(#REF!&gt;=nov!AH$3)),#REF!),IF(WEEKDAY(nov!AH$3,1)=1,"WO","P"))</f>
        <v>WO</v>
      </c>
      <c r="AI13" s="4" t="str">
        <f>IFERROR(LOOKUP(2,1/((#REF!=nov!$A13)*(#REF!&lt;=nov!AI$3)*(#REF!&gt;=nov!AI$3)),#REF!),IF(WEEKDAY(nov!AI$3,1)=1,"WO","P"))</f>
        <v>P</v>
      </c>
      <c r="AJ13" s="4">
        <f>COUNTIF(mar!$F13:$AJ13,"WO")</f>
        <v>5</v>
      </c>
      <c r="AK13" s="4">
        <f>COUNTIF(mar!$F13:$AJ13,"H")</f>
        <v>2</v>
      </c>
      <c r="AL13" s="4">
        <f>COUNTIF(mar!$F13:$AJ13,"pl")</f>
        <v>0</v>
      </c>
      <c r="AM13" s="4">
        <f>COUNTIF(mar!$F13:$AJ13,"LWP")</f>
        <v>0</v>
      </c>
      <c r="AN13" s="4">
        <f>COUNTIF(mar!$F13:$AJ13,"HD")</f>
        <v>0</v>
      </c>
      <c r="AO13" s="4">
        <f>COUNTIF(mar!$F13:$AJ13,"SL")</f>
        <v>0</v>
      </c>
      <c r="AP13" s="4">
        <f>COUNTIF(mar!$F13:$AJ13,"CL")</f>
        <v>0</v>
      </c>
      <c r="AQ13" s="4">
        <f>COUNTIF(mar!$F13:$AJ13,"A")</f>
        <v>2</v>
      </c>
      <c r="AR13" s="4">
        <f>COUNTIF(mar!$F13:$AJ13,"P")</f>
        <v>22</v>
      </c>
      <c r="AS13" s="4">
        <f t="shared" si="2"/>
        <v>30</v>
      </c>
      <c r="AT13" s="4">
        <f t="shared" si="3"/>
        <v>29</v>
      </c>
      <c r="AU13" s="4">
        <f>SUMIFS(holly!$L$2:$L$122,holly!$I$2:$I$122,mar!$A13,holly!$K$2:$K$122,"Mar")</f>
        <v>0</v>
      </c>
    </row>
    <row r="14" spans="1:47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IFERROR(LOOKUP(2,1/((#REF!=nov!$A14)*(#REF!&lt;=nov!F$3)*(#REF!&gt;=nov!F$3)),#REF!),IF(WEEKDAY(nov!F$3,1)=1,"WO","P"))</f>
        <v>WO</v>
      </c>
      <c r="G14" s="4" t="str">
        <f>IFERROR(LOOKUP(2,1/((#REF!=nov!$A14)*(#REF!&lt;=nov!G$3)*(#REF!&gt;=nov!G$3)),#REF!),IF(WEEKDAY(nov!G$3,1)=1,"WO","P"))</f>
        <v>P</v>
      </c>
      <c r="H14" s="4" t="str">
        <f>IFERROR(LOOKUP(2,1/((#REF!=nov!$A14)*(#REF!&lt;=nov!H$3)*(#REF!&gt;=nov!H$3)),#REF!),IF(WEEKDAY(nov!H$3,1)=1,"WO","P"))</f>
        <v>P</v>
      </c>
      <c r="I14" s="4" t="str">
        <f>IFERROR(LOOKUP(2,1/((#REF!=nov!$A14)*(#REF!&lt;=nov!I$3)*(#REF!&gt;=nov!I$3)),#REF!),IF(WEEKDAY(nov!I$3,1)=1,"WO","P"))</f>
        <v>P</v>
      </c>
      <c r="J14" s="4" t="str">
        <f>IFERROR(LOOKUP(2,1/((#REF!=nov!$A14)*(#REF!&lt;=nov!J$3)*(#REF!&gt;=nov!J$3)),#REF!),IF(WEEKDAY(nov!J$3,1)=1,"WO","P"))</f>
        <v>P</v>
      </c>
      <c r="K14" s="4" t="str">
        <f>IFERROR(LOOKUP(2,1/((#REF!=nov!$A14)*(#REF!&lt;=nov!K$3)*(#REF!&gt;=nov!K$3)),#REF!),IF(WEEKDAY(nov!K$3,1)=1,"WO","P"))</f>
        <v>P</v>
      </c>
      <c r="L14" s="4" t="str">
        <f>IFERROR(LOOKUP(2,1/((#REF!=nov!$A14)*(#REF!&lt;=nov!L$3)*(#REF!&gt;=nov!L$3)),#REF!),IF(WEEKDAY(nov!L$3,1)=1,"WO","P"))</f>
        <v>P</v>
      </c>
      <c r="M14" s="4" t="str">
        <f>IFERROR(LOOKUP(2,1/((#REF!=nov!$A14)*(#REF!&lt;=nov!M$3)*(#REF!&gt;=nov!M$3)),#REF!),IF(WEEKDAY(nov!M$3,1)=1,"WO","P"))</f>
        <v>WO</v>
      </c>
      <c r="N14" s="4" t="str">
        <f>IFERROR(LOOKUP(2,1/((#REF!=nov!$A14)*(#REF!&lt;=nov!N$3)*(#REF!&gt;=nov!N$3)),#REF!),IF(WEEKDAY(nov!N$3,1)=1,"WO","P"))</f>
        <v>P</v>
      </c>
      <c r="O14" s="4" t="str">
        <f>IFERROR(LOOKUP(2,1/((#REF!=nov!$A14)*(#REF!&lt;=nov!O$3)*(#REF!&gt;=nov!O$3)),#REF!),IF(WEEKDAY(nov!O$3,1)=1,"WO","P"))</f>
        <v>P</v>
      </c>
      <c r="P14" s="4" t="str">
        <f>IFERROR(LOOKUP(2,1/((#REF!=nov!$A14)*(#REF!&lt;=nov!P$3)*(#REF!&gt;=nov!P$3)),#REF!),IF(WEEKDAY(nov!P$3,1)=1,"WO","P"))</f>
        <v>P</v>
      </c>
      <c r="Q14" s="4" t="str">
        <f>IFERROR(LOOKUP(2,1/((#REF!=nov!$A14)*(#REF!&lt;=nov!Q$3)*(#REF!&gt;=nov!Q$3)),#REF!),IF(WEEKDAY(nov!Q$3,1)=1,"WO","P"))</f>
        <v>P</v>
      </c>
      <c r="R14" s="4" t="str">
        <f>IFERROR(LOOKUP(2,1/((#REF!=nov!$A14)*(#REF!&lt;=nov!R$3)*(#REF!&gt;=nov!R$3)),#REF!),IF(WEEKDAY(nov!R$3,1)=1,"WO","P"))</f>
        <v>P</v>
      </c>
      <c r="S14" s="4" t="str">
        <f>IFERROR(LOOKUP(2,1/((#REF!=nov!$A14)*(#REF!&lt;=nov!S$3)*(#REF!&gt;=nov!S$3)),#REF!),IF(WEEKDAY(nov!S$3,1)=1,"WO","P"))</f>
        <v>P</v>
      </c>
      <c r="T14" s="4" t="str">
        <f>IFERROR(LOOKUP(2,1/((#REF!=nov!$A14)*(#REF!&lt;=nov!T$3)*(#REF!&gt;=nov!T$3)),#REF!),IF(WEEKDAY(nov!T$3,1)=1,"WO","P"))</f>
        <v>WO</v>
      </c>
      <c r="U14" s="4" t="str">
        <f>IFERROR(LOOKUP(2,1/((#REF!=nov!$A14)*(#REF!&lt;=nov!U$3)*(#REF!&gt;=nov!U$3)),#REF!),IF(WEEKDAY(nov!U$3,1)=1,"WO","P"))</f>
        <v>P</v>
      </c>
      <c r="V14" s="4" t="str">
        <f>IFERROR(LOOKUP(2,1/((#REF!=nov!$A14)*(#REF!&lt;=nov!V$3)*(#REF!&gt;=nov!V$3)),#REF!),IF(WEEKDAY(nov!V$3,1)=1,"WO","P"))</f>
        <v>P</v>
      </c>
      <c r="W14" s="4" t="str">
        <f>IFERROR(LOOKUP(2,1/((#REF!=nov!$A14)*(#REF!&lt;=nov!W$3)*(#REF!&gt;=nov!W$3)),#REF!),IF(WEEKDAY(nov!W$3,1)=1,"WO","P"))</f>
        <v>P</v>
      </c>
      <c r="X14" s="4" t="str">
        <f>IFERROR(LOOKUP(2,1/((#REF!=nov!$A14)*(#REF!&lt;=nov!X$3)*(#REF!&gt;=nov!X$3)),#REF!),IF(WEEKDAY(nov!X$3,1)=1,"WO","P"))</f>
        <v>P</v>
      </c>
      <c r="Y14" s="4" t="str">
        <f>IFERROR(LOOKUP(2,1/((#REF!=nov!$A14)*(#REF!&lt;=nov!Y$3)*(#REF!&gt;=nov!Y$3)),#REF!),IF(WEEKDAY(nov!Y$3,1)=1,"WO","P"))</f>
        <v>P</v>
      </c>
      <c r="Z14" s="4" t="str">
        <f>IFERROR(LOOKUP(2,1/((#REF!=nov!$A14)*(#REF!&lt;=nov!Z$3)*(#REF!&gt;=nov!Z$3)),#REF!),IF(WEEKDAY(nov!Z$3,1)=1,"WO","P"))</f>
        <v>P</v>
      </c>
      <c r="AA14" s="4" t="str">
        <f>IFERROR(LOOKUP(2,1/((#REF!=nov!$A14)*(#REF!&lt;=nov!AA$3)*(#REF!&gt;=nov!AA$3)),#REF!),IF(WEEKDAY(nov!AA$3,1)=1,"WO","P"))</f>
        <v>WO</v>
      </c>
      <c r="AB14" s="4" t="str">
        <f>IFERROR(LOOKUP(2,1/((#REF!=nov!$A14)*(#REF!&lt;=nov!AB$3)*(#REF!&gt;=nov!AB$3)),#REF!),IF(WEEKDAY(nov!AB$3,1)=1,"WO","P"))</f>
        <v>P</v>
      </c>
      <c r="AC14" s="4" t="str">
        <f>IFERROR(LOOKUP(2,1/((#REF!=nov!$A14)*(#REF!&lt;=nov!AC$3)*(#REF!&gt;=nov!AC$3)),#REF!),IF(WEEKDAY(nov!AC$3,1)=1,"WO","P"))</f>
        <v>P</v>
      </c>
      <c r="AD14" s="4" t="str">
        <f>IFERROR(LOOKUP(2,1/((#REF!=nov!$A14)*(#REF!&lt;=nov!AD$3)*(#REF!&gt;=nov!AD$3)),#REF!),IF(WEEKDAY(nov!AD$3,1)=1,"WO","P"))</f>
        <v>P</v>
      </c>
      <c r="AE14" s="4" t="str">
        <f>IFERROR(LOOKUP(2,1/((#REF!=nov!$A14)*(#REF!&lt;=nov!AE$3)*(#REF!&gt;=nov!AE$3)),#REF!),IF(WEEKDAY(nov!AE$3,1)=1,"WO","P"))</f>
        <v>P</v>
      </c>
      <c r="AF14" s="4" t="str">
        <f>IFERROR(LOOKUP(2,1/((#REF!=nov!$A14)*(#REF!&lt;=nov!AF$3)*(#REF!&gt;=nov!AF$3)),#REF!),IF(WEEKDAY(nov!AF$3,1)=1,"WO","P"))</f>
        <v>P</v>
      </c>
      <c r="AG14" s="4" t="str">
        <f>IFERROR(LOOKUP(2,1/((#REF!=nov!$A14)*(#REF!&lt;=nov!AG$3)*(#REF!&gt;=nov!AG$3)),#REF!),IF(WEEKDAY(nov!AG$3,1)=1,"WO","P"))</f>
        <v>P</v>
      </c>
      <c r="AH14" s="4" t="str">
        <f>IFERROR(LOOKUP(2,1/((#REF!=nov!$A14)*(#REF!&lt;=nov!AH$3)*(#REF!&gt;=nov!AH$3)),#REF!),IF(WEEKDAY(nov!AH$3,1)=1,"WO","P"))</f>
        <v>WO</v>
      </c>
      <c r="AI14" s="4" t="str">
        <f>IFERROR(LOOKUP(2,1/((#REF!=nov!$A14)*(#REF!&lt;=nov!AI$3)*(#REF!&gt;=nov!AI$3)),#REF!),IF(WEEKDAY(nov!AI$3,1)=1,"WO","P"))</f>
        <v>P</v>
      </c>
      <c r="AJ14" s="4">
        <f>COUNTIF(mar!$F14:$AJ14,"WO")</f>
        <v>5</v>
      </c>
      <c r="AK14" s="4">
        <f>COUNTIF(mar!$F14:$AJ14,"H")</f>
        <v>2</v>
      </c>
      <c r="AL14" s="4">
        <f>COUNTIF(mar!$F14:$AJ14,"pl")</f>
        <v>0</v>
      </c>
      <c r="AM14" s="4">
        <f>COUNTIF(mar!$F14:$AJ14,"LWP")</f>
        <v>0</v>
      </c>
      <c r="AN14" s="4">
        <f>COUNTIF(mar!$F14:$AJ14,"HD")</f>
        <v>0</v>
      </c>
      <c r="AO14" s="4">
        <f>COUNTIF(mar!$F14:$AJ14,"SL")</f>
        <v>0</v>
      </c>
      <c r="AP14" s="4">
        <f>COUNTIF(mar!$F14:$AJ14,"CL")</f>
        <v>0</v>
      </c>
      <c r="AQ14" s="4">
        <f>COUNTIF(mar!$F14:$AJ14,"A")</f>
        <v>1</v>
      </c>
      <c r="AR14" s="4">
        <f>COUNTIF(mar!$F14:$AJ14,"P")</f>
        <v>23</v>
      </c>
      <c r="AS14" s="4">
        <f t="shared" si="2"/>
        <v>30</v>
      </c>
      <c r="AT14" s="4">
        <f t="shared" si="3"/>
        <v>30</v>
      </c>
      <c r="AU14" s="4">
        <f>SUMIFS(holly!$L$2:$L$122,holly!$I$2:$I$122,mar!$A14,holly!$K$2:$K$122,"Mar")</f>
        <v>4</v>
      </c>
    </row>
    <row r="15" spans="1:47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IFERROR(LOOKUP(2,1/((#REF!=nov!$A15)*(#REF!&lt;=nov!F$3)*(#REF!&gt;=nov!F$3)),#REF!),IF(WEEKDAY(nov!F$3,1)=1,"WO","P"))</f>
        <v>WO</v>
      </c>
      <c r="G15" s="4" t="str">
        <f>IFERROR(LOOKUP(2,1/((#REF!=nov!$A15)*(#REF!&lt;=nov!G$3)*(#REF!&gt;=nov!G$3)),#REF!),IF(WEEKDAY(nov!G$3,1)=1,"WO","P"))</f>
        <v>P</v>
      </c>
      <c r="H15" s="4" t="str">
        <f>IFERROR(LOOKUP(2,1/((#REF!=nov!$A15)*(#REF!&lt;=nov!H$3)*(#REF!&gt;=nov!H$3)),#REF!),IF(WEEKDAY(nov!H$3,1)=1,"WO","P"))</f>
        <v>P</v>
      </c>
      <c r="I15" s="4" t="str">
        <f>IFERROR(LOOKUP(2,1/((#REF!=nov!$A15)*(#REF!&lt;=nov!I$3)*(#REF!&gt;=nov!I$3)),#REF!),IF(WEEKDAY(nov!I$3,1)=1,"WO","P"))</f>
        <v>P</v>
      </c>
      <c r="J15" s="4" t="str">
        <f>IFERROR(LOOKUP(2,1/((#REF!=nov!$A15)*(#REF!&lt;=nov!J$3)*(#REF!&gt;=nov!J$3)),#REF!),IF(WEEKDAY(nov!J$3,1)=1,"WO","P"))</f>
        <v>P</v>
      </c>
      <c r="K15" s="4" t="str">
        <f>IFERROR(LOOKUP(2,1/((#REF!=nov!$A15)*(#REF!&lt;=nov!K$3)*(#REF!&gt;=nov!K$3)),#REF!),IF(WEEKDAY(nov!K$3,1)=1,"WO","P"))</f>
        <v>P</v>
      </c>
      <c r="L15" s="4" t="str">
        <f>IFERROR(LOOKUP(2,1/((#REF!=nov!$A15)*(#REF!&lt;=nov!L$3)*(#REF!&gt;=nov!L$3)),#REF!),IF(WEEKDAY(nov!L$3,1)=1,"WO","P"))</f>
        <v>P</v>
      </c>
      <c r="M15" s="4" t="str">
        <f>IFERROR(LOOKUP(2,1/((#REF!=nov!$A15)*(#REF!&lt;=nov!M$3)*(#REF!&gt;=nov!M$3)),#REF!),IF(WEEKDAY(nov!M$3,1)=1,"WO","P"))</f>
        <v>WO</v>
      </c>
      <c r="N15" s="4" t="str">
        <f>IFERROR(LOOKUP(2,1/((#REF!=nov!$A15)*(#REF!&lt;=nov!N$3)*(#REF!&gt;=nov!N$3)),#REF!),IF(WEEKDAY(nov!N$3,1)=1,"WO","P"))</f>
        <v>P</v>
      </c>
      <c r="O15" s="4" t="str">
        <f>IFERROR(LOOKUP(2,1/((#REF!=nov!$A15)*(#REF!&lt;=nov!O$3)*(#REF!&gt;=nov!O$3)),#REF!),IF(WEEKDAY(nov!O$3,1)=1,"WO","P"))</f>
        <v>P</v>
      </c>
      <c r="P15" s="4" t="str">
        <f>IFERROR(LOOKUP(2,1/((#REF!=nov!$A15)*(#REF!&lt;=nov!P$3)*(#REF!&gt;=nov!P$3)),#REF!),IF(WEEKDAY(nov!P$3,1)=1,"WO","P"))</f>
        <v>P</v>
      </c>
      <c r="Q15" s="4" t="str">
        <f>IFERROR(LOOKUP(2,1/((#REF!=nov!$A15)*(#REF!&lt;=nov!Q$3)*(#REF!&gt;=nov!Q$3)),#REF!),IF(WEEKDAY(nov!Q$3,1)=1,"WO","P"))</f>
        <v>P</v>
      </c>
      <c r="R15" s="4" t="str">
        <f>IFERROR(LOOKUP(2,1/((#REF!=nov!$A15)*(#REF!&lt;=nov!R$3)*(#REF!&gt;=nov!R$3)),#REF!),IF(WEEKDAY(nov!R$3,1)=1,"WO","P"))</f>
        <v>P</v>
      </c>
      <c r="S15" s="4" t="str">
        <f>IFERROR(LOOKUP(2,1/((#REF!=nov!$A15)*(#REF!&lt;=nov!S$3)*(#REF!&gt;=nov!S$3)),#REF!),IF(WEEKDAY(nov!S$3,1)=1,"WO","P"))</f>
        <v>P</v>
      </c>
      <c r="T15" s="4" t="str">
        <f>IFERROR(LOOKUP(2,1/((#REF!=nov!$A15)*(#REF!&lt;=nov!T$3)*(#REF!&gt;=nov!T$3)),#REF!),IF(WEEKDAY(nov!T$3,1)=1,"WO","P"))</f>
        <v>WO</v>
      </c>
      <c r="U15" s="4" t="str">
        <f>IFERROR(LOOKUP(2,1/((#REF!=nov!$A15)*(#REF!&lt;=nov!U$3)*(#REF!&gt;=nov!U$3)),#REF!),IF(WEEKDAY(nov!U$3,1)=1,"WO","P"))</f>
        <v>P</v>
      </c>
      <c r="V15" s="4" t="str">
        <f>IFERROR(LOOKUP(2,1/((#REF!=nov!$A15)*(#REF!&lt;=nov!V$3)*(#REF!&gt;=nov!V$3)),#REF!),IF(WEEKDAY(nov!V$3,1)=1,"WO","P"))</f>
        <v>P</v>
      </c>
      <c r="W15" s="4" t="str">
        <f>IFERROR(LOOKUP(2,1/((#REF!=nov!$A15)*(#REF!&lt;=nov!W$3)*(#REF!&gt;=nov!W$3)),#REF!),IF(WEEKDAY(nov!W$3,1)=1,"WO","P"))</f>
        <v>P</v>
      </c>
      <c r="X15" s="4" t="str">
        <f>IFERROR(LOOKUP(2,1/((#REF!=nov!$A15)*(#REF!&lt;=nov!X$3)*(#REF!&gt;=nov!X$3)),#REF!),IF(WEEKDAY(nov!X$3,1)=1,"WO","P"))</f>
        <v>P</v>
      </c>
      <c r="Y15" s="4" t="str">
        <f>IFERROR(LOOKUP(2,1/((#REF!=nov!$A15)*(#REF!&lt;=nov!Y$3)*(#REF!&gt;=nov!Y$3)),#REF!),IF(WEEKDAY(nov!Y$3,1)=1,"WO","P"))</f>
        <v>P</v>
      </c>
      <c r="Z15" s="4" t="str">
        <f>IFERROR(LOOKUP(2,1/((#REF!=nov!$A15)*(#REF!&lt;=nov!Z$3)*(#REF!&gt;=nov!Z$3)),#REF!),IF(WEEKDAY(nov!Z$3,1)=1,"WO","P"))</f>
        <v>P</v>
      </c>
      <c r="AA15" s="4" t="str">
        <f>IFERROR(LOOKUP(2,1/((#REF!=nov!$A15)*(#REF!&lt;=nov!AA$3)*(#REF!&gt;=nov!AA$3)),#REF!),IF(WEEKDAY(nov!AA$3,1)=1,"WO","P"))</f>
        <v>WO</v>
      </c>
      <c r="AB15" s="4" t="str">
        <f>IFERROR(LOOKUP(2,1/((#REF!=nov!$A15)*(#REF!&lt;=nov!AB$3)*(#REF!&gt;=nov!AB$3)),#REF!),IF(WEEKDAY(nov!AB$3,1)=1,"WO","P"))</f>
        <v>P</v>
      </c>
      <c r="AC15" s="4" t="str">
        <f>IFERROR(LOOKUP(2,1/((#REF!=nov!$A15)*(#REF!&lt;=nov!AC$3)*(#REF!&gt;=nov!AC$3)),#REF!),IF(WEEKDAY(nov!AC$3,1)=1,"WO","P"))</f>
        <v>P</v>
      </c>
      <c r="AD15" s="4" t="str">
        <f>IFERROR(LOOKUP(2,1/((#REF!=nov!$A15)*(#REF!&lt;=nov!AD$3)*(#REF!&gt;=nov!AD$3)),#REF!),IF(WEEKDAY(nov!AD$3,1)=1,"WO","P"))</f>
        <v>P</v>
      </c>
      <c r="AE15" s="4" t="str">
        <f>IFERROR(LOOKUP(2,1/((#REF!=nov!$A15)*(#REF!&lt;=nov!AE$3)*(#REF!&gt;=nov!AE$3)),#REF!),IF(WEEKDAY(nov!AE$3,1)=1,"WO","P"))</f>
        <v>P</v>
      </c>
      <c r="AF15" s="4" t="str">
        <f>IFERROR(LOOKUP(2,1/((#REF!=nov!$A15)*(#REF!&lt;=nov!AF$3)*(#REF!&gt;=nov!AF$3)),#REF!),IF(WEEKDAY(nov!AF$3,1)=1,"WO","P"))</f>
        <v>P</v>
      </c>
      <c r="AG15" s="4" t="str">
        <f>IFERROR(LOOKUP(2,1/((#REF!=nov!$A15)*(#REF!&lt;=nov!AG$3)*(#REF!&gt;=nov!AG$3)),#REF!),IF(WEEKDAY(nov!AG$3,1)=1,"WO","P"))</f>
        <v>P</v>
      </c>
      <c r="AH15" s="4" t="str">
        <f>IFERROR(LOOKUP(2,1/((#REF!=nov!$A15)*(#REF!&lt;=nov!AH$3)*(#REF!&gt;=nov!AH$3)),#REF!),IF(WEEKDAY(nov!AH$3,1)=1,"WO","P"))</f>
        <v>WO</v>
      </c>
      <c r="AI15" s="4" t="str">
        <f>IFERROR(LOOKUP(2,1/((#REF!=nov!$A15)*(#REF!&lt;=nov!AI$3)*(#REF!&gt;=nov!AI$3)),#REF!),IF(WEEKDAY(nov!AI$3,1)=1,"WO","P"))</f>
        <v>P</v>
      </c>
      <c r="AJ15" s="4">
        <f>COUNTIF(mar!$F15:$AJ15,"WO")</f>
        <v>5</v>
      </c>
      <c r="AK15" s="4">
        <f>COUNTIF(mar!$F15:$AJ15,"H")</f>
        <v>2</v>
      </c>
      <c r="AL15" s="4">
        <f>COUNTIF(mar!$F15:$AJ15,"pl")</f>
        <v>0</v>
      </c>
      <c r="AM15" s="4">
        <f>COUNTIF(mar!$F15:$AJ15,"LWP")</f>
        <v>0</v>
      </c>
      <c r="AN15" s="4">
        <f>COUNTIF(mar!$F15:$AJ15,"HD")</f>
        <v>0</v>
      </c>
      <c r="AO15" s="4">
        <f>COUNTIF(mar!$F15:$AJ15,"SL")</f>
        <v>0</v>
      </c>
      <c r="AP15" s="4">
        <f>COUNTIF(mar!$F15:$AJ15,"CL")</f>
        <v>0</v>
      </c>
      <c r="AQ15" s="4">
        <f>COUNTIF(mar!$F15:$AJ15,"A")</f>
        <v>2</v>
      </c>
      <c r="AR15" s="4">
        <f>COUNTIF(mar!$F15:$AJ15,"P")</f>
        <v>22</v>
      </c>
      <c r="AS15" s="4">
        <f t="shared" si="2"/>
        <v>30</v>
      </c>
      <c r="AT15" s="4">
        <f t="shared" si="3"/>
        <v>29</v>
      </c>
      <c r="AU15" s="4">
        <f>SUMIFS(holly!$L$2:$L$122,holly!$I$2:$I$122,mar!$A15,holly!$K$2:$K$122,"Mar")</f>
        <v>1</v>
      </c>
    </row>
    <row r="16" spans="1:47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IFERROR(LOOKUP(2,1/((#REF!=nov!$A16)*(#REF!&lt;=nov!F$3)*(#REF!&gt;=nov!F$3)),#REF!),IF(WEEKDAY(nov!F$3,1)=1,"WO","P"))</f>
        <v>WO</v>
      </c>
      <c r="G16" s="4" t="str">
        <f>IFERROR(LOOKUP(2,1/((#REF!=nov!$A16)*(#REF!&lt;=nov!G$3)*(#REF!&gt;=nov!G$3)),#REF!),IF(WEEKDAY(nov!G$3,1)=1,"WO","P"))</f>
        <v>P</v>
      </c>
      <c r="H16" s="4" t="str">
        <f>IFERROR(LOOKUP(2,1/((#REF!=nov!$A16)*(#REF!&lt;=nov!H$3)*(#REF!&gt;=nov!H$3)),#REF!),IF(WEEKDAY(nov!H$3,1)=1,"WO","P"))</f>
        <v>P</v>
      </c>
      <c r="I16" s="4" t="str">
        <f>IFERROR(LOOKUP(2,1/((#REF!=nov!$A16)*(#REF!&lt;=nov!I$3)*(#REF!&gt;=nov!I$3)),#REF!),IF(WEEKDAY(nov!I$3,1)=1,"WO","P"))</f>
        <v>P</v>
      </c>
      <c r="J16" s="4" t="str">
        <f>IFERROR(LOOKUP(2,1/((#REF!=nov!$A16)*(#REF!&lt;=nov!J$3)*(#REF!&gt;=nov!J$3)),#REF!),IF(WEEKDAY(nov!J$3,1)=1,"WO","P"))</f>
        <v>P</v>
      </c>
      <c r="K16" s="4" t="str">
        <f>IFERROR(LOOKUP(2,1/((#REF!=nov!$A16)*(#REF!&lt;=nov!K$3)*(#REF!&gt;=nov!K$3)),#REF!),IF(WEEKDAY(nov!K$3,1)=1,"WO","P"))</f>
        <v>P</v>
      </c>
      <c r="L16" s="4" t="str">
        <f>IFERROR(LOOKUP(2,1/((#REF!=nov!$A16)*(#REF!&lt;=nov!L$3)*(#REF!&gt;=nov!L$3)),#REF!),IF(WEEKDAY(nov!L$3,1)=1,"WO","P"))</f>
        <v>P</v>
      </c>
      <c r="M16" s="4" t="str">
        <f>IFERROR(LOOKUP(2,1/((#REF!=nov!$A16)*(#REF!&lt;=nov!M$3)*(#REF!&gt;=nov!M$3)),#REF!),IF(WEEKDAY(nov!M$3,1)=1,"WO","P"))</f>
        <v>WO</v>
      </c>
      <c r="N16" s="4" t="str">
        <f>IFERROR(LOOKUP(2,1/((#REF!=nov!$A16)*(#REF!&lt;=nov!N$3)*(#REF!&gt;=nov!N$3)),#REF!),IF(WEEKDAY(nov!N$3,1)=1,"WO","P"))</f>
        <v>P</v>
      </c>
      <c r="O16" s="4" t="str">
        <f>IFERROR(LOOKUP(2,1/((#REF!=nov!$A16)*(#REF!&lt;=nov!O$3)*(#REF!&gt;=nov!O$3)),#REF!),IF(WEEKDAY(nov!O$3,1)=1,"WO","P"))</f>
        <v>P</v>
      </c>
      <c r="P16" s="4" t="str">
        <f>IFERROR(LOOKUP(2,1/((#REF!=nov!$A16)*(#REF!&lt;=nov!P$3)*(#REF!&gt;=nov!P$3)),#REF!),IF(WEEKDAY(nov!P$3,1)=1,"WO","P"))</f>
        <v>P</v>
      </c>
      <c r="Q16" s="4" t="str">
        <f>IFERROR(LOOKUP(2,1/((#REF!=nov!$A16)*(#REF!&lt;=nov!Q$3)*(#REF!&gt;=nov!Q$3)),#REF!),IF(WEEKDAY(nov!Q$3,1)=1,"WO","P"))</f>
        <v>P</v>
      </c>
      <c r="R16" s="4" t="str">
        <f>IFERROR(LOOKUP(2,1/((#REF!=nov!$A16)*(#REF!&lt;=nov!R$3)*(#REF!&gt;=nov!R$3)),#REF!),IF(WEEKDAY(nov!R$3,1)=1,"WO","P"))</f>
        <v>P</v>
      </c>
      <c r="S16" s="4" t="str">
        <f>IFERROR(LOOKUP(2,1/((#REF!=nov!$A16)*(#REF!&lt;=nov!S$3)*(#REF!&gt;=nov!S$3)),#REF!),IF(WEEKDAY(nov!S$3,1)=1,"WO","P"))</f>
        <v>P</v>
      </c>
      <c r="T16" s="4" t="str">
        <f>IFERROR(LOOKUP(2,1/((#REF!=nov!$A16)*(#REF!&lt;=nov!T$3)*(#REF!&gt;=nov!T$3)),#REF!),IF(WEEKDAY(nov!T$3,1)=1,"WO","P"))</f>
        <v>WO</v>
      </c>
      <c r="U16" s="4" t="str">
        <f>IFERROR(LOOKUP(2,1/((#REF!=nov!$A16)*(#REF!&lt;=nov!U$3)*(#REF!&gt;=nov!U$3)),#REF!),IF(WEEKDAY(nov!U$3,1)=1,"WO","P"))</f>
        <v>P</v>
      </c>
      <c r="V16" s="4" t="str">
        <f>IFERROR(LOOKUP(2,1/((#REF!=nov!$A16)*(#REF!&lt;=nov!V$3)*(#REF!&gt;=nov!V$3)),#REF!),IF(WEEKDAY(nov!V$3,1)=1,"WO","P"))</f>
        <v>P</v>
      </c>
      <c r="W16" s="4" t="str">
        <f>IFERROR(LOOKUP(2,1/((#REF!=nov!$A16)*(#REF!&lt;=nov!W$3)*(#REF!&gt;=nov!W$3)),#REF!),IF(WEEKDAY(nov!W$3,1)=1,"WO","P"))</f>
        <v>P</v>
      </c>
      <c r="X16" s="4" t="str">
        <f>IFERROR(LOOKUP(2,1/((#REF!=nov!$A16)*(#REF!&lt;=nov!X$3)*(#REF!&gt;=nov!X$3)),#REF!),IF(WEEKDAY(nov!X$3,1)=1,"WO","P"))</f>
        <v>P</v>
      </c>
      <c r="Y16" s="4" t="str">
        <f>IFERROR(LOOKUP(2,1/((#REF!=nov!$A16)*(#REF!&lt;=nov!Y$3)*(#REF!&gt;=nov!Y$3)),#REF!),IF(WEEKDAY(nov!Y$3,1)=1,"WO","P"))</f>
        <v>P</v>
      </c>
      <c r="Z16" s="4" t="str">
        <f>IFERROR(LOOKUP(2,1/((#REF!=nov!$A16)*(#REF!&lt;=nov!Z$3)*(#REF!&gt;=nov!Z$3)),#REF!),IF(WEEKDAY(nov!Z$3,1)=1,"WO","P"))</f>
        <v>P</v>
      </c>
      <c r="AA16" s="4" t="str">
        <f>IFERROR(LOOKUP(2,1/((#REF!=nov!$A16)*(#REF!&lt;=nov!AA$3)*(#REF!&gt;=nov!AA$3)),#REF!),IF(WEEKDAY(nov!AA$3,1)=1,"WO","P"))</f>
        <v>WO</v>
      </c>
      <c r="AB16" s="4" t="str">
        <f>IFERROR(LOOKUP(2,1/((#REF!=nov!$A16)*(#REF!&lt;=nov!AB$3)*(#REF!&gt;=nov!AB$3)),#REF!),IF(WEEKDAY(nov!AB$3,1)=1,"WO","P"))</f>
        <v>P</v>
      </c>
      <c r="AC16" s="4" t="str">
        <f>IFERROR(LOOKUP(2,1/((#REF!=nov!$A16)*(#REF!&lt;=nov!AC$3)*(#REF!&gt;=nov!AC$3)),#REF!),IF(WEEKDAY(nov!AC$3,1)=1,"WO","P"))</f>
        <v>P</v>
      </c>
      <c r="AD16" s="4" t="str">
        <f>IFERROR(LOOKUP(2,1/((#REF!=nov!$A16)*(#REF!&lt;=nov!AD$3)*(#REF!&gt;=nov!AD$3)),#REF!),IF(WEEKDAY(nov!AD$3,1)=1,"WO","P"))</f>
        <v>P</v>
      </c>
      <c r="AE16" s="4" t="str">
        <f>IFERROR(LOOKUP(2,1/((#REF!=nov!$A16)*(#REF!&lt;=nov!AE$3)*(#REF!&gt;=nov!AE$3)),#REF!),IF(WEEKDAY(nov!AE$3,1)=1,"WO","P"))</f>
        <v>P</v>
      </c>
      <c r="AF16" s="4" t="str">
        <f>IFERROR(LOOKUP(2,1/((#REF!=nov!$A16)*(#REF!&lt;=nov!AF$3)*(#REF!&gt;=nov!AF$3)),#REF!),IF(WEEKDAY(nov!AF$3,1)=1,"WO","P"))</f>
        <v>P</v>
      </c>
      <c r="AG16" s="4" t="str">
        <f>IFERROR(LOOKUP(2,1/((#REF!=nov!$A16)*(#REF!&lt;=nov!AG$3)*(#REF!&gt;=nov!AG$3)),#REF!),IF(WEEKDAY(nov!AG$3,1)=1,"WO","P"))</f>
        <v>P</v>
      </c>
      <c r="AH16" s="4" t="str">
        <f>IFERROR(LOOKUP(2,1/((#REF!=nov!$A16)*(#REF!&lt;=nov!AH$3)*(#REF!&gt;=nov!AH$3)),#REF!),IF(WEEKDAY(nov!AH$3,1)=1,"WO","P"))</f>
        <v>WO</v>
      </c>
      <c r="AI16" s="4" t="str">
        <f>IFERROR(LOOKUP(2,1/((#REF!=nov!$A16)*(#REF!&lt;=nov!AI$3)*(#REF!&gt;=nov!AI$3)),#REF!),IF(WEEKDAY(nov!AI$3,1)=1,"WO","P"))</f>
        <v>P</v>
      </c>
      <c r="AJ16" s="4">
        <f>COUNTIF(mar!$F16:$AJ16,"WO")</f>
        <v>5</v>
      </c>
      <c r="AK16" s="4">
        <f>COUNTIF(mar!$F16:$AJ16,"H")</f>
        <v>2</v>
      </c>
      <c r="AL16" s="4">
        <f>COUNTIF(mar!$F16:$AJ16,"pl")</f>
        <v>0</v>
      </c>
      <c r="AM16" s="4">
        <f>COUNTIF(mar!$F16:$AJ16,"LWP")</f>
        <v>0</v>
      </c>
      <c r="AN16" s="4">
        <f>COUNTIF(mar!$F16:$AJ16,"HD")</f>
        <v>0</v>
      </c>
      <c r="AO16" s="4">
        <f>COUNTIF(mar!$F16:$AJ16,"SL")</f>
        <v>0</v>
      </c>
      <c r="AP16" s="4">
        <f>COUNTIF(mar!$F16:$AJ16,"CL")</f>
        <v>0</v>
      </c>
      <c r="AQ16" s="4">
        <f>COUNTIF(mar!$F16:$AJ16,"A")</f>
        <v>1</v>
      </c>
      <c r="AR16" s="4">
        <f>COUNTIF(mar!$F16:$AJ16,"P")</f>
        <v>23</v>
      </c>
      <c r="AS16" s="4">
        <f t="shared" si="2"/>
        <v>30</v>
      </c>
      <c r="AT16" s="4">
        <f t="shared" si="3"/>
        <v>30</v>
      </c>
      <c r="AU16" s="4">
        <f>SUMIFS(holly!$L$2:$L$122,holly!$I$2:$I$122,mar!$A16,holly!$K$2:$K$122,"Mar")</f>
        <v>0</v>
      </c>
    </row>
    <row r="17" spans="1:47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IFERROR(LOOKUP(2,1/((#REF!=nov!$A17)*(#REF!&lt;=nov!F$3)*(#REF!&gt;=nov!F$3)),#REF!),IF(WEEKDAY(nov!F$3,1)=1,"WO","P"))</f>
        <v>WO</v>
      </c>
      <c r="G17" s="4" t="str">
        <f>IFERROR(LOOKUP(2,1/((#REF!=nov!$A17)*(#REF!&lt;=nov!G$3)*(#REF!&gt;=nov!G$3)),#REF!),IF(WEEKDAY(nov!G$3,1)=1,"WO","P"))</f>
        <v>P</v>
      </c>
      <c r="H17" s="4" t="str">
        <f>IFERROR(LOOKUP(2,1/((#REF!=nov!$A17)*(#REF!&lt;=nov!H$3)*(#REF!&gt;=nov!H$3)),#REF!),IF(WEEKDAY(nov!H$3,1)=1,"WO","P"))</f>
        <v>P</v>
      </c>
      <c r="I17" s="4" t="str">
        <f>IFERROR(LOOKUP(2,1/((#REF!=nov!$A17)*(#REF!&lt;=nov!I$3)*(#REF!&gt;=nov!I$3)),#REF!),IF(WEEKDAY(nov!I$3,1)=1,"WO","P"))</f>
        <v>P</v>
      </c>
      <c r="J17" s="4" t="str">
        <f>IFERROR(LOOKUP(2,1/((#REF!=nov!$A17)*(#REF!&lt;=nov!J$3)*(#REF!&gt;=nov!J$3)),#REF!),IF(WEEKDAY(nov!J$3,1)=1,"WO","P"))</f>
        <v>P</v>
      </c>
      <c r="K17" s="4" t="str">
        <f>IFERROR(LOOKUP(2,1/((#REF!=nov!$A17)*(#REF!&lt;=nov!K$3)*(#REF!&gt;=nov!K$3)),#REF!),IF(WEEKDAY(nov!K$3,1)=1,"WO","P"))</f>
        <v>P</v>
      </c>
      <c r="L17" s="4" t="str">
        <f>IFERROR(LOOKUP(2,1/((#REF!=nov!$A17)*(#REF!&lt;=nov!L$3)*(#REF!&gt;=nov!L$3)),#REF!),IF(WEEKDAY(nov!L$3,1)=1,"WO","P"))</f>
        <v>P</v>
      </c>
      <c r="M17" s="4" t="str">
        <f>IFERROR(LOOKUP(2,1/((#REF!=nov!$A17)*(#REF!&lt;=nov!M$3)*(#REF!&gt;=nov!M$3)),#REF!),IF(WEEKDAY(nov!M$3,1)=1,"WO","P"))</f>
        <v>WO</v>
      </c>
      <c r="N17" s="4" t="str">
        <f>IFERROR(LOOKUP(2,1/((#REF!=nov!$A17)*(#REF!&lt;=nov!N$3)*(#REF!&gt;=nov!N$3)),#REF!),IF(WEEKDAY(nov!N$3,1)=1,"WO","P"))</f>
        <v>P</v>
      </c>
      <c r="O17" s="4" t="str">
        <f>IFERROR(LOOKUP(2,1/((#REF!=nov!$A17)*(#REF!&lt;=nov!O$3)*(#REF!&gt;=nov!O$3)),#REF!),IF(WEEKDAY(nov!O$3,1)=1,"WO","P"))</f>
        <v>P</v>
      </c>
      <c r="P17" s="4" t="str">
        <f>IFERROR(LOOKUP(2,1/((#REF!=nov!$A17)*(#REF!&lt;=nov!P$3)*(#REF!&gt;=nov!P$3)),#REF!),IF(WEEKDAY(nov!P$3,1)=1,"WO","P"))</f>
        <v>P</v>
      </c>
      <c r="Q17" s="4" t="str">
        <f>IFERROR(LOOKUP(2,1/((#REF!=nov!$A17)*(#REF!&lt;=nov!Q$3)*(#REF!&gt;=nov!Q$3)),#REF!),IF(WEEKDAY(nov!Q$3,1)=1,"WO","P"))</f>
        <v>P</v>
      </c>
      <c r="R17" s="4" t="str">
        <f>IFERROR(LOOKUP(2,1/((#REF!=nov!$A17)*(#REF!&lt;=nov!R$3)*(#REF!&gt;=nov!R$3)),#REF!),IF(WEEKDAY(nov!R$3,1)=1,"WO","P"))</f>
        <v>P</v>
      </c>
      <c r="S17" s="4" t="str">
        <f>IFERROR(LOOKUP(2,1/((#REF!=nov!$A17)*(#REF!&lt;=nov!S$3)*(#REF!&gt;=nov!S$3)),#REF!),IF(WEEKDAY(nov!S$3,1)=1,"WO","P"))</f>
        <v>P</v>
      </c>
      <c r="T17" s="4" t="str">
        <f>IFERROR(LOOKUP(2,1/((#REF!=nov!$A17)*(#REF!&lt;=nov!T$3)*(#REF!&gt;=nov!T$3)),#REF!),IF(WEEKDAY(nov!T$3,1)=1,"WO","P"))</f>
        <v>WO</v>
      </c>
      <c r="U17" s="4" t="str">
        <f>IFERROR(LOOKUP(2,1/((#REF!=nov!$A17)*(#REF!&lt;=nov!U$3)*(#REF!&gt;=nov!U$3)),#REF!),IF(WEEKDAY(nov!U$3,1)=1,"WO","P"))</f>
        <v>P</v>
      </c>
      <c r="V17" s="4" t="str">
        <f>IFERROR(LOOKUP(2,1/((#REF!=nov!$A17)*(#REF!&lt;=nov!V$3)*(#REF!&gt;=nov!V$3)),#REF!),IF(WEEKDAY(nov!V$3,1)=1,"WO","P"))</f>
        <v>P</v>
      </c>
      <c r="W17" s="4" t="str">
        <f>IFERROR(LOOKUP(2,1/((#REF!=nov!$A17)*(#REF!&lt;=nov!W$3)*(#REF!&gt;=nov!W$3)),#REF!),IF(WEEKDAY(nov!W$3,1)=1,"WO","P"))</f>
        <v>P</v>
      </c>
      <c r="X17" s="4" t="str">
        <f>IFERROR(LOOKUP(2,1/((#REF!=nov!$A17)*(#REF!&lt;=nov!X$3)*(#REF!&gt;=nov!X$3)),#REF!),IF(WEEKDAY(nov!X$3,1)=1,"WO","P"))</f>
        <v>P</v>
      </c>
      <c r="Y17" s="4" t="str">
        <f>IFERROR(LOOKUP(2,1/((#REF!=nov!$A17)*(#REF!&lt;=nov!Y$3)*(#REF!&gt;=nov!Y$3)),#REF!),IF(WEEKDAY(nov!Y$3,1)=1,"WO","P"))</f>
        <v>P</v>
      </c>
      <c r="Z17" s="4" t="str">
        <f>IFERROR(LOOKUP(2,1/((#REF!=nov!$A17)*(#REF!&lt;=nov!Z$3)*(#REF!&gt;=nov!Z$3)),#REF!),IF(WEEKDAY(nov!Z$3,1)=1,"WO","P"))</f>
        <v>P</v>
      </c>
      <c r="AA17" s="4" t="str">
        <f>IFERROR(LOOKUP(2,1/((#REF!=nov!$A17)*(#REF!&lt;=nov!AA$3)*(#REF!&gt;=nov!AA$3)),#REF!),IF(WEEKDAY(nov!AA$3,1)=1,"WO","P"))</f>
        <v>WO</v>
      </c>
      <c r="AB17" s="4" t="str">
        <f>IFERROR(LOOKUP(2,1/((#REF!=nov!$A17)*(#REF!&lt;=nov!AB$3)*(#REF!&gt;=nov!AB$3)),#REF!),IF(WEEKDAY(nov!AB$3,1)=1,"WO","P"))</f>
        <v>P</v>
      </c>
      <c r="AC17" s="4" t="str">
        <f>IFERROR(LOOKUP(2,1/((#REF!=nov!$A17)*(#REF!&lt;=nov!AC$3)*(#REF!&gt;=nov!AC$3)),#REF!),IF(WEEKDAY(nov!AC$3,1)=1,"WO","P"))</f>
        <v>P</v>
      </c>
      <c r="AD17" s="4" t="str">
        <f>IFERROR(LOOKUP(2,1/((#REF!=nov!$A17)*(#REF!&lt;=nov!AD$3)*(#REF!&gt;=nov!AD$3)),#REF!),IF(WEEKDAY(nov!AD$3,1)=1,"WO","P"))</f>
        <v>P</v>
      </c>
      <c r="AE17" s="4" t="str">
        <f>IFERROR(LOOKUP(2,1/((#REF!=nov!$A17)*(#REF!&lt;=nov!AE$3)*(#REF!&gt;=nov!AE$3)),#REF!),IF(WEEKDAY(nov!AE$3,1)=1,"WO","P"))</f>
        <v>P</v>
      </c>
      <c r="AF17" s="4" t="str">
        <f>IFERROR(LOOKUP(2,1/((#REF!=nov!$A17)*(#REF!&lt;=nov!AF$3)*(#REF!&gt;=nov!AF$3)),#REF!),IF(WEEKDAY(nov!AF$3,1)=1,"WO","P"))</f>
        <v>P</v>
      </c>
      <c r="AG17" s="4" t="str">
        <f>IFERROR(LOOKUP(2,1/((#REF!=nov!$A17)*(#REF!&lt;=nov!AG$3)*(#REF!&gt;=nov!AG$3)),#REF!),IF(WEEKDAY(nov!AG$3,1)=1,"WO","P"))</f>
        <v>P</v>
      </c>
      <c r="AH17" s="4" t="str">
        <f>IFERROR(LOOKUP(2,1/((#REF!=nov!$A17)*(#REF!&lt;=nov!AH$3)*(#REF!&gt;=nov!AH$3)),#REF!),IF(WEEKDAY(nov!AH$3,1)=1,"WO","P"))</f>
        <v>WO</v>
      </c>
      <c r="AI17" s="4" t="str">
        <f>IFERROR(LOOKUP(2,1/((#REF!=nov!$A17)*(#REF!&lt;=nov!AI$3)*(#REF!&gt;=nov!AI$3)),#REF!),IF(WEEKDAY(nov!AI$3,1)=1,"WO","P"))</f>
        <v>P</v>
      </c>
      <c r="AJ17" s="4">
        <f>COUNTIF(mar!$F17:$AJ17,"WO")</f>
        <v>5</v>
      </c>
      <c r="AK17" s="4">
        <f>COUNTIF(mar!$F17:$AJ17,"H")</f>
        <v>2</v>
      </c>
      <c r="AL17" s="4">
        <f>COUNTIF(mar!$F17:$AJ17,"pl")</f>
        <v>0</v>
      </c>
      <c r="AM17" s="4">
        <f>COUNTIF(mar!$F17:$AJ17,"LWP")</f>
        <v>0</v>
      </c>
      <c r="AN17" s="4">
        <f>COUNTIF(mar!$F17:$AJ17,"HD")</f>
        <v>0</v>
      </c>
      <c r="AO17" s="4">
        <f>COUNTIF(mar!$F17:$AJ17,"SL")</f>
        <v>0</v>
      </c>
      <c r="AP17" s="4">
        <f>COUNTIF(mar!$F17:$AJ17,"CL")</f>
        <v>0</v>
      </c>
      <c r="AQ17" s="4">
        <f>COUNTIF(mar!$F17:$AJ17,"A")</f>
        <v>0</v>
      </c>
      <c r="AR17" s="4">
        <f>COUNTIF(mar!$F17:$AJ17,"P")</f>
        <v>24</v>
      </c>
      <c r="AS17" s="4">
        <f t="shared" si="2"/>
        <v>30</v>
      </c>
      <c r="AT17" s="4">
        <f t="shared" si="3"/>
        <v>31</v>
      </c>
      <c r="AU17" s="4">
        <f>SUMIFS(holly!$L$2:$L$122,holly!$I$2:$I$122,mar!$A17,holly!$K$2:$K$122,"Mar")</f>
        <v>0</v>
      </c>
    </row>
    <row r="18" spans="1:47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IFERROR(LOOKUP(2,1/((#REF!=nov!$A18)*(#REF!&lt;=nov!F$3)*(#REF!&gt;=nov!F$3)),#REF!),IF(WEEKDAY(nov!F$3,1)=1,"WO","P"))</f>
        <v>WO</v>
      </c>
      <c r="G18" s="4" t="str">
        <f>IFERROR(LOOKUP(2,1/((#REF!=nov!$A18)*(#REF!&lt;=nov!G$3)*(#REF!&gt;=nov!G$3)),#REF!),IF(WEEKDAY(nov!G$3,1)=1,"WO","P"))</f>
        <v>P</v>
      </c>
      <c r="H18" s="4" t="str">
        <f>IFERROR(LOOKUP(2,1/((#REF!=nov!$A18)*(#REF!&lt;=nov!H$3)*(#REF!&gt;=nov!H$3)),#REF!),IF(WEEKDAY(nov!H$3,1)=1,"WO","P"))</f>
        <v>P</v>
      </c>
      <c r="I18" s="4" t="str">
        <f>IFERROR(LOOKUP(2,1/((#REF!=nov!$A18)*(#REF!&lt;=nov!I$3)*(#REF!&gt;=nov!I$3)),#REF!),IF(WEEKDAY(nov!I$3,1)=1,"WO","P"))</f>
        <v>P</v>
      </c>
      <c r="J18" s="4" t="str">
        <f>IFERROR(LOOKUP(2,1/((#REF!=nov!$A18)*(#REF!&lt;=nov!J$3)*(#REF!&gt;=nov!J$3)),#REF!),IF(WEEKDAY(nov!J$3,1)=1,"WO","P"))</f>
        <v>P</v>
      </c>
      <c r="K18" s="4" t="str">
        <f>IFERROR(LOOKUP(2,1/((#REF!=nov!$A18)*(#REF!&lt;=nov!K$3)*(#REF!&gt;=nov!K$3)),#REF!),IF(WEEKDAY(nov!K$3,1)=1,"WO","P"))</f>
        <v>P</v>
      </c>
      <c r="L18" s="4" t="str">
        <f>IFERROR(LOOKUP(2,1/((#REF!=nov!$A18)*(#REF!&lt;=nov!L$3)*(#REF!&gt;=nov!L$3)),#REF!),IF(WEEKDAY(nov!L$3,1)=1,"WO","P"))</f>
        <v>P</v>
      </c>
      <c r="M18" s="4" t="str">
        <f>IFERROR(LOOKUP(2,1/((#REF!=nov!$A18)*(#REF!&lt;=nov!M$3)*(#REF!&gt;=nov!M$3)),#REF!),IF(WEEKDAY(nov!M$3,1)=1,"WO","P"))</f>
        <v>WO</v>
      </c>
      <c r="N18" s="4" t="str">
        <f>IFERROR(LOOKUP(2,1/((#REF!=nov!$A18)*(#REF!&lt;=nov!N$3)*(#REF!&gt;=nov!N$3)),#REF!),IF(WEEKDAY(nov!N$3,1)=1,"WO","P"))</f>
        <v>P</v>
      </c>
      <c r="O18" s="4" t="str">
        <f>IFERROR(LOOKUP(2,1/((#REF!=nov!$A18)*(#REF!&lt;=nov!O$3)*(#REF!&gt;=nov!O$3)),#REF!),IF(WEEKDAY(nov!O$3,1)=1,"WO","P"))</f>
        <v>P</v>
      </c>
      <c r="P18" s="4" t="str">
        <f>IFERROR(LOOKUP(2,1/((#REF!=nov!$A18)*(#REF!&lt;=nov!P$3)*(#REF!&gt;=nov!P$3)),#REF!),IF(WEEKDAY(nov!P$3,1)=1,"WO","P"))</f>
        <v>P</v>
      </c>
      <c r="Q18" s="4" t="str">
        <f>IFERROR(LOOKUP(2,1/((#REF!=nov!$A18)*(#REF!&lt;=nov!Q$3)*(#REF!&gt;=nov!Q$3)),#REF!),IF(WEEKDAY(nov!Q$3,1)=1,"WO","P"))</f>
        <v>P</v>
      </c>
      <c r="R18" s="4" t="str">
        <f>IFERROR(LOOKUP(2,1/((#REF!=nov!$A18)*(#REF!&lt;=nov!R$3)*(#REF!&gt;=nov!R$3)),#REF!),IF(WEEKDAY(nov!R$3,1)=1,"WO","P"))</f>
        <v>P</v>
      </c>
      <c r="S18" s="4" t="str">
        <f>IFERROR(LOOKUP(2,1/((#REF!=nov!$A18)*(#REF!&lt;=nov!S$3)*(#REF!&gt;=nov!S$3)),#REF!),IF(WEEKDAY(nov!S$3,1)=1,"WO","P"))</f>
        <v>P</v>
      </c>
      <c r="T18" s="4" t="str">
        <f>IFERROR(LOOKUP(2,1/((#REF!=nov!$A18)*(#REF!&lt;=nov!T$3)*(#REF!&gt;=nov!T$3)),#REF!),IF(WEEKDAY(nov!T$3,1)=1,"WO","P"))</f>
        <v>WO</v>
      </c>
      <c r="U18" s="4" t="str">
        <f>IFERROR(LOOKUP(2,1/((#REF!=nov!$A18)*(#REF!&lt;=nov!U$3)*(#REF!&gt;=nov!U$3)),#REF!),IF(WEEKDAY(nov!U$3,1)=1,"WO","P"))</f>
        <v>P</v>
      </c>
      <c r="V18" s="4" t="str">
        <f>IFERROR(LOOKUP(2,1/((#REF!=nov!$A18)*(#REF!&lt;=nov!V$3)*(#REF!&gt;=nov!V$3)),#REF!),IF(WEEKDAY(nov!V$3,1)=1,"WO","P"))</f>
        <v>P</v>
      </c>
      <c r="W18" s="4" t="str">
        <f>IFERROR(LOOKUP(2,1/((#REF!=nov!$A18)*(#REF!&lt;=nov!W$3)*(#REF!&gt;=nov!W$3)),#REF!),IF(WEEKDAY(nov!W$3,1)=1,"WO","P"))</f>
        <v>P</v>
      </c>
      <c r="X18" s="4" t="str">
        <f>IFERROR(LOOKUP(2,1/((#REF!=nov!$A18)*(#REF!&lt;=nov!X$3)*(#REF!&gt;=nov!X$3)),#REF!),IF(WEEKDAY(nov!X$3,1)=1,"WO","P"))</f>
        <v>P</v>
      </c>
      <c r="Y18" s="4" t="str">
        <f>IFERROR(LOOKUP(2,1/((#REF!=nov!$A18)*(#REF!&lt;=nov!Y$3)*(#REF!&gt;=nov!Y$3)),#REF!),IF(WEEKDAY(nov!Y$3,1)=1,"WO","P"))</f>
        <v>P</v>
      </c>
      <c r="Z18" s="4" t="str">
        <f>IFERROR(LOOKUP(2,1/((#REF!=nov!$A18)*(#REF!&lt;=nov!Z$3)*(#REF!&gt;=nov!Z$3)),#REF!),IF(WEEKDAY(nov!Z$3,1)=1,"WO","P"))</f>
        <v>P</v>
      </c>
      <c r="AA18" s="4" t="str">
        <f>IFERROR(LOOKUP(2,1/((#REF!=nov!$A18)*(#REF!&lt;=nov!AA$3)*(#REF!&gt;=nov!AA$3)),#REF!),IF(WEEKDAY(nov!AA$3,1)=1,"WO","P"))</f>
        <v>WO</v>
      </c>
      <c r="AB18" s="4" t="str">
        <f>IFERROR(LOOKUP(2,1/((#REF!=nov!$A18)*(#REF!&lt;=nov!AB$3)*(#REF!&gt;=nov!AB$3)),#REF!),IF(WEEKDAY(nov!AB$3,1)=1,"WO","P"))</f>
        <v>P</v>
      </c>
      <c r="AC18" s="4" t="str">
        <f>IFERROR(LOOKUP(2,1/((#REF!=nov!$A18)*(#REF!&lt;=nov!AC$3)*(#REF!&gt;=nov!AC$3)),#REF!),IF(WEEKDAY(nov!AC$3,1)=1,"WO","P"))</f>
        <v>P</v>
      </c>
      <c r="AD18" s="4" t="str">
        <f>IFERROR(LOOKUP(2,1/((#REF!=nov!$A18)*(#REF!&lt;=nov!AD$3)*(#REF!&gt;=nov!AD$3)),#REF!),IF(WEEKDAY(nov!AD$3,1)=1,"WO","P"))</f>
        <v>P</v>
      </c>
      <c r="AE18" s="4" t="str">
        <f>IFERROR(LOOKUP(2,1/((#REF!=nov!$A18)*(#REF!&lt;=nov!AE$3)*(#REF!&gt;=nov!AE$3)),#REF!),IF(WEEKDAY(nov!AE$3,1)=1,"WO","P"))</f>
        <v>P</v>
      </c>
      <c r="AF18" s="4" t="str">
        <f>IFERROR(LOOKUP(2,1/((#REF!=nov!$A18)*(#REF!&lt;=nov!AF$3)*(#REF!&gt;=nov!AF$3)),#REF!),IF(WEEKDAY(nov!AF$3,1)=1,"WO","P"))</f>
        <v>P</v>
      </c>
      <c r="AG18" s="4" t="str">
        <f>IFERROR(LOOKUP(2,1/((#REF!=nov!$A18)*(#REF!&lt;=nov!AG$3)*(#REF!&gt;=nov!AG$3)),#REF!),IF(WEEKDAY(nov!AG$3,1)=1,"WO","P"))</f>
        <v>P</v>
      </c>
      <c r="AH18" s="4" t="str">
        <f>IFERROR(LOOKUP(2,1/((#REF!=nov!$A18)*(#REF!&lt;=nov!AH$3)*(#REF!&gt;=nov!AH$3)),#REF!),IF(WEEKDAY(nov!AH$3,1)=1,"WO","P"))</f>
        <v>WO</v>
      </c>
      <c r="AI18" s="4" t="str">
        <f>IFERROR(LOOKUP(2,1/((#REF!=nov!$A18)*(#REF!&lt;=nov!AI$3)*(#REF!&gt;=nov!AI$3)),#REF!),IF(WEEKDAY(nov!AI$3,1)=1,"WO","P"))</f>
        <v>P</v>
      </c>
      <c r="AJ18" s="4">
        <f>COUNTIF(mar!$F18:$AJ18,"WO")</f>
        <v>5</v>
      </c>
      <c r="AK18" s="4">
        <f>COUNTIF(mar!$F18:$AJ18,"H")</f>
        <v>2</v>
      </c>
      <c r="AL18" s="4">
        <f>COUNTIF(mar!$F18:$AJ18,"pl")</f>
        <v>0</v>
      </c>
      <c r="AM18" s="4">
        <f>COUNTIF(mar!$F18:$AJ18,"LWP")</f>
        <v>0</v>
      </c>
      <c r="AN18" s="4">
        <f>COUNTIF(mar!$F18:$AJ18,"HD")</f>
        <v>0</v>
      </c>
      <c r="AO18" s="4">
        <f>COUNTIF(mar!$F18:$AJ18,"SL")</f>
        <v>0</v>
      </c>
      <c r="AP18" s="4">
        <f>COUNTIF(mar!$F18:$AJ18,"CL")</f>
        <v>0</v>
      </c>
      <c r="AQ18" s="4">
        <f>COUNTIF(mar!$F18:$AJ18,"A")</f>
        <v>1</v>
      </c>
      <c r="AR18" s="4">
        <f>COUNTIF(mar!$F18:$AJ18,"P")</f>
        <v>23</v>
      </c>
      <c r="AS18" s="4">
        <f t="shared" si="2"/>
        <v>30</v>
      </c>
      <c r="AT18" s="4">
        <f t="shared" si="3"/>
        <v>30</v>
      </c>
      <c r="AU18" s="4">
        <f>SUMIFS(holly!$L$2:$L$122,holly!$I$2:$I$122,mar!$A18,holly!$K$2:$K$122,"Mar")</f>
        <v>0</v>
      </c>
    </row>
    <row r="19" spans="1:47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IFERROR(LOOKUP(2,1/((#REF!=nov!$A19)*(#REF!&lt;=nov!F$3)*(#REF!&gt;=nov!F$3)),#REF!),IF(WEEKDAY(nov!F$3,1)=1,"WO","P"))</f>
        <v>WO</v>
      </c>
      <c r="G19" s="4" t="str">
        <f>IFERROR(LOOKUP(2,1/((#REF!=nov!$A19)*(#REF!&lt;=nov!G$3)*(#REF!&gt;=nov!G$3)),#REF!),IF(WEEKDAY(nov!G$3,1)=1,"WO","P"))</f>
        <v>P</v>
      </c>
      <c r="H19" s="4" t="str">
        <f>IFERROR(LOOKUP(2,1/((#REF!=nov!$A19)*(#REF!&lt;=nov!H$3)*(#REF!&gt;=nov!H$3)),#REF!),IF(WEEKDAY(nov!H$3,1)=1,"WO","P"))</f>
        <v>P</v>
      </c>
      <c r="I19" s="4" t="str">
        <f>IFERROR(LOOKUP(2,1/((#REF!=nov!$A19)*(#REF!&lt;=nov!I$3)*(#REF!&gt;=nov!I$3)),#REF!),IF(WEEKDAY(nov!I$3,1)=1,"WO","P"))</f>
        <v>P</v>
      </c>
      <c r="J19" s="4" t="str">
        <f>IFERROR(LOOKUP(2,1/((#REF!=nov!$A19)*(#REF!&lt;=nov!J$3)*(#REF!&gt;=nov!J$3)),#REF!),IF(WEEKDAY(nov!J$3,1)=1,"WO","P"))</f>
        <v>P</v>
      </c>
      <c r="K19" s="4" t="str">
        <f>IFERROR(LOOKUP(2,1/((#REF!=nov!$A19)*(#REF!&lt;=nov!K$3)*(#REF!&gt;=nov!K$3)),#REF!),IF(WEEKDAY(nov!K$3,1)=1,"WO","P"))</f>
        <v>P</v>
      </c>
      <c r="L19" s="4" t="str">
        <f>IFERROR(LOOKUP(2,1/((#REF!=nov!$A19)*(#REF!&lt;=nov!L$3)*(#REF!&gt;=nov!L$3)),#REF!),IF(WEEKDAY(nov!L$3,1)=1,"WO","P"))</f>
        <v>P</v>
      </c>
      <c r="M19" s="4" t="str">
        <f>IFERROR(LOOKUP(2,1/((#REF!=nov!$A19)*(#REF!&lt;=nov!M$3)*(#REF!&gt;=nov!M$3)),#REF!),IF(WEEKDAY(nov!M$3,1)=1,"WO","P"))</f>
        <v>WO</v>
      </c>
      <c r="N19" s="4" t="str">
        <f>IFERROR(LOOKUP(2,1/((#REF!=nov!$A19)*(#REF!&lt;=nov!N$3)*(#REF!&gt;=nov!N$3)),#REF!),IF(WEEKDAY(nov!N$3,1)=1,"WO","P"))</f>
        <v>P</v>
      </c>
      <c r="O19" s="4" t="str">
        <f>IFERROR(LOOKUP(2,1/((#REF!=nov!$A19)*(#REF!&lt;=nov!O$3)*(#REF!&gt;=nov!O$3)),#REF!),IF(WEEKDAY(nov!O$3,1)=1,"WO","P"))</f>
        <v>P</v>
      </c>
      <c r="P19" s="4" t="str">
        <f>IFERROR(LOOKUP(2,1/((#REF!=nov!$A19)*(#REF!&lt;=nov!P$3)*(#REF!&gt;=nov!P$3)),#REF!),IF(WEEKDAY(nov!P$3,1)=1,"WO","P"))</f>
        <v>P</v>
      </c>
      <c r="Q19" s="4" t="str">
        <f>IFERROR(LOOKUP(2,1/((#REF!=nov!$A19)*(#REF!&lt;=nov!Q$3)*(#REF!&gt;=nov!Q$3)),#REF!),IF(WEEKDAY(nov!Q$3,1)=1,"WO","P"))</f>
        <v>P</v>
      </c>
      <c r="R19" s="4" t="str">
        <f>IFERROR(LOOKUP(2,1/((#REF!=nov!$A19)*(#REF!&lt;=nov!R$3)*(#REF!&gt;=nov!R$3)),#REF!),IF(WEEKDAY(nov!R$3,1)=1,"WO","P"))</f>
        <v>P</v>
      </c>
      <c r="S19" s="4" t="str">
        <f>IFERROR(LOOKUP(2,1/((#REF!=nov!$A19)*(#REF!&lt;=nov!S$3)*(#REF!&gt;=nov!S$3)),#REF!),IF(WEEKDAY(nov!S$3,1)=1,"WO","P"))</f>
        <v>P</v>
      </c>
      <c r="T19" s="4" t="str">
        <f>IFERROR(LOOKUP(2,1/((#REF!=nov!$A19)*(#REF!&lt;=nov!T$3)*(#REF!&gt;=nov!T$3)),#REF!),IF(WEEKDAY(nov!T$3,1)=1,"WO","P"))</f>
        <v>WO</v>
      </c>
      <c r="U19" s="4" t="str">
        <f>IFERROR(LOOKUP(2,1/((#REF!=nov!$A19)*(#REF!&lt;=nov!U$3)*(#REF!&gt;=nov!U$3)),#REF!),IF(WEEKDAY(nov!U$3,1)=1,"WO","P"))</f>
        <v>P</v>
      </c>
      <c r="V19" s="4" t="str">
        <f>IFERROR(LOOKUP(2,1/((#REF!=nov!$A19)*(#REF!&lt;=nov!V$3)*(#REF!&gt;=nov!V$3)),#REF!),IF(WEEKDAY(nov!V$3,1)=1,"WO","P"))</f>
        <v>P</v>
      </c>
      <c r="W19" s="4" t="str">
        <f>IFERROR(LOOKUP(2,1/((#REF!=nov!$A19)*(#REF!&lt;=nov!W$3)*(#REF!&gt;=nov!W$3)),#REF!),IF(WEEKDAY(nov!W$3,1)=1,"WO","P"))</f>
        <v>P</v>
      </c>
      <c r="X19" s="4" t="str">
        <f>IFERROR(LOOKUP(2,1/((#REF!=nov!$A19)*(#REF!&lt;=nov!X$3)*(#REF!&gt;=nov!X$3)),#REF!),IF(WEEKDAY(nov!X$3,1)=1,"WO","P"))</f>
        <v>P</v>
      </c>
      <c r="Y19" s="4" t="str">
        <f>IFERROR(LOOKUP(2,1/((#REF!=nov!$A19)*(#REF!&lt;=nov!Y$3)*(#REF!&gt;=nov!Y$3)),#REF!),IF(WEEKDAY(nov!Y$3,1)=1,"WO","P"))</f>
        <v>P</v>
      </c>
      <c r="Z19" s="4" t="str">
        <f>IFERROR(LOOKUP(2,1/((#REF!=nov!$A19)*(#REF!&lt;=nov!Z$3)*(#REF!&gt;=nov!Z$3)),#REF!),IF(WEEKDAY(nov!Z$3,1)=1,"WO","P"))</f>
        <v>P</v>
      </c>
      <c r="AA19" s="4" t="str">
        <f>IFERROR(LOOKUP(2,1/((#REF!=nov!$A19)*(#REF!&lt;=nov!AA$3)*(#REF!&gt;=nov!AA$3)),#REF!),IF(WEEKDAY(nov!AA$3,1)=1,"WO","P"))</f>
        <v>WO</v>
      </c>
      <c r="AB19" s="4" t="str">
        <f>IFERROR(LOOKUP(2,1/((#REF!=nov!$A19)*(#REF!&lt;=nov!AB$3)*(#REF!&gt;=nov!AB$3)),#REF!),IF(WEEKDAY(nov!AB$3,1)=1,"WO","P"))</f>
        <v>P</v>
      </c>
      <c r="AC19" s="4" t="str">
        <f>IFERROR(LOOKUP(2,1/((#REF!=nov!$A19)*(#REF!&lt;=nov!AC$3)*(#REF!&gt;=nov!AC$3)),#REF!),IF(WEEKDAY(nov!AC$3,1)=1,"WO","P"))</f>
        <v>P</v>
      </c>
      <c r="AD19" s="4" t="str">
        <f>IFERROR(LOOKUP(2,1/((#REF!=nov!$A19)*(#REF!&lt;=nov!AD$3)*(#REF!&gt;=nov!AD$3)),#REF!),IF(WEEKDAY(nov!AD$3,1)=1,"WO","P"))</f>
        <v>P</v>
      </c>
      <c r="AE19" s="4" t="str">
        <f>IFERROR(LOOKUP(2,1/((#REF!=nov!$A19)*(#REF!&lt;=nov!AE$3)*(#REF!&gt;=nov!AE$3)),#REF!),IF(WEEKDAY(nov!AE$3,1)=1,"WO","P"))</f>
        <v>P</v>
      </c>
      <c r="AF19" s="4" t="str">
        <f>IFERROR(LOOKUP(2,1/((#REF!=nov!$A19)*(#REF!&lt;=nov!AF$3)*(#REF!&gt;=nov!AF$3)),#REF!),IF(WEEKDAY(nov!AF$3,1)=1,"WO","P"))</f>
        <v>P</v>
      </c>
      <c r="AG19" s="4" t="str">
        <f>IFERROR(LOOKUP(2,1/((#REF!=nov!$A19)*(#REF!&lt;=nov!AG$3)*(#REF!&gt;=nov!AG$3)),#REF!),IF(WEEKDAY(nov!AG$3,1)=1,"WO","P"))</f>
        <v>P</v>
      </c>
      <c r="AH19" s="4" t="str">
        <f>IFERROR(LOOKUP(2,1/((#REF!=nov!$A19)*(#REF!&lt;=nov!AH$3)*(#REF!&gt;=nov!AH$3)),#REF!),IF(WEEKDAY(nov!AH$3,1)=1,"WO","P"))</f>
        <v>WO</v>
      </c>
      <c r="AI19" s="4" t="str">
        <f>IFERROR(LOOKUP(2,1/((#REF!=nov!$A19)*(#REF!&lt;=nov!AI$3)*(#REF!&gt;=nov!AI$3)),#REF!),IF(WEEKDAY(nov!AI$3,1)=1,"WO","P"))</f>
        <v>P</v>
      </c>
      <c r="AJ19" s="4">
        <f>COUNTIF(mar!$F19:$AJ19,"WO")</f>
        <v>5</v>
      </c>
      <c r="AK19" s="4">
        <f>COUNTIF(mar!$F19:$AJ19,"H")</f>
        <v>2</v>
      </c>
      <c r="AL19" s="4">
        <f>COUNTIF(mar!$F19:$AJ19,"pl")</f>
        <v>0</v>
      </c>
      <c r="AM19" s="4">
        <f>COUNTIF(mar!$F19:$AJ19,"LWP")</f>
        <v>0</v>
      </c>
      <c r="AN19" s="4">
        <f>COUNTIF(mar!$F19:$AJ19,"HD")</f>
        <v>0</v>
      </c>
      <c r="AO19" s="4">
        <f>COUNTIF(mar!$F19:$AJ19,"SL")</f>
        <v>0</v>
      </c>
      <c r="AP19" s="4">
        <f>COUNTIF(mar!$F19:$AJ19,"CL")</f>
        <v>0</v>
      </c>
      <c r="AQ19" s="4">
        <f>COUNTIF(mar!$F19:$AJ19,"A")</f>
        <v>2</v>
      </c>
      <c r="AR19" s="4">
        <f>COUNTIF(mar!$F19:$AJ19,"P")</f>
        <v>22</v>
      </c>
      <c r="AS19" s="4">
        <f t="shared" si="2"/>
        <v>30</v>
      </c>
      <c r="AT19" s="4">
        <f t="shared" si="3"/>
        <v>29</v>
      </c>
      <c r="AU19" s="4">
        <f>SUMIFS(holly!$L$2:$L$122,holly!$I$2:$I$122,mar!$A19,holly!$K$2:$K$122,"Mar")</f>
        <v>0</v>
      </c>
    </row>
    <row r="20" spans="1:47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IFERROR(LOOKUP(2,1/((#REF!=nov!$A20)*(#REF!&lt;=nov!F$3)*(#REF!&gt;=nov!F$3)),#REF!),IF(WEEKDAY(nov!F$3,1)=1,"WO","P"))</f>
        <v>WO</v>
      </c>
      <c r="G20" s="4" t="str">
        <f>IFERROR(LOOKUP(2,1/((#REF!=nov!$A20)*(#REF!&lt;=nov!G$3)*(#REF!&gt;=nov!G$3)),#REF!),IF(WEEKDAY(nov!G$3,1)=1,"WO","P"))</f>
        <v>P</v>
      </c>
      <c r="H20" s="4" t="str">
        <f>IFERROR(LOOKUP(2,1/((#REF!=nov!$A20)*(#REF!&lt;=nov!H$3)*(#REF!&gt;=nov!H$3)),#REF!),IF(WEEKDAY(nov!H$3,1)=1,"WO","P"))</f>
        <v>P</v>
      </c>
      <c r="I20" s="4" t="str">
        <f>IFERROR(LOOKUP(2,1/((#REF!=nov!$A20)*(#REF!&lt;=nov!I$3)*(#REF!&gt;=nov!I$3)),#REF!),IF(WEEKDAY(nov!I$3,1)=1,"WO","P"))</f>
        <v>P</v>
      </c>
      <c r="J20" s="4" t="str">
        <f>IFERROR(LOOKUP(2,1/((#REF!=nov!$A20)*(#REF!&lt;=nov!J$3)*(#REF!&gt;=nov!J$3)),#REF!),IF(WEEKDAY(nov!J$3,1)=1,"WO","P"))</f>
        <v>P</v>
      </c>
      <c r="K20" s="4" t="str">
        <f>IFERROR(LOOKUP(2,1/((#REF!=nov!$A20)*(#REF!&lt;=nov!K$3)*(#REF!&gt;=nov!K$3)),#REF!),IF(WEEKDAY(nov!K$3,1)=1,"WO","P"))</f>
        <v>P</v>
      </c>
      <c r="L20" s="4" t="str">
        <f>IFERROR(LOOKUP(2,1/((#REF!=nov!$A20)*(#REF!&lt;=nov!L$3)*(#REF!&gt;=nov!L$3)),#REF!),IF(WEEKDAY(nov!L$3,1)=1,"WO","P"))</f>
        <v>P</v>
      </c>
      <c r="M20" s="4" t="str">
        <f>IFERROR(LOOKUP(2,1/((#REF!=nov!$A20)*(#REF!&lt;=nov!M$3)*(#REF!&gt;=nov!M$3)),#REF!),IF(WEEKDAY(nov!M$3,1)=1,"WO","P"))</f>
        <v>WO</v>
      </c>
      <c r="N20" s="4" t="str">
        <f>IFERROR(LOOKUP(2,1/((#REF!=nov!$A20)*(#REF!&lt;=nov!N$3)*(#REF!&gt;=nov!N$3)),#REF!),IF(WEEKDAY(nov!N$3,1)=1,"WO","P"))</f>
        <v>P</v>
      </c>
      <c r="O20" s="4" t="str">
        <f>IFERROR(LOOKUP(2,1/((#REF!=nov!$A20)*(#REF!&lt;=nov!O$3)*(#REF!&gt;=nov!O$3)),#REF!),IF(WEEKDAY(nov!O$3,1)=1,"WO","P"))</f>
        <v>P</v>
      </c>
      <c r="P20" s="4" t="str">
        <f>IFERROR(LOOKUP(2,1/((#REF!=nov!$A20)*(#REF!&lt;=nov!P$3)*(#REF!&gt;=nov!P$3)),#REF!),IF(WEEKDAY(nov!P$3,1)=1,"WO","P"))</f>
        <v>P</v>
      </c>
      <c r="Q20" s="4" t="str">
        <f>IFERROR(LOOKUP(2,1/((#REF!=nov!$A20)*(#REF!&lt;=nov!Q$3)*(#REF!&gt;=nov!Q$3)),#REF!),IF(WEEKDAY(nov!Q$3,1)=1,"WO","P"))</f>
        <v>P</v>
      </c>
      <c r="R20" s="4" t="str">
        <f>IFERROR(LOOKUP(2,1/((#REF!=nov!$A20)*(#REF!&lt;=nov!R$3)*(#REF!&gt;=nov!R$3)),#REF!),IF(WEEKDAY(nov!R$3,1)=1,"WO","P"))</f>
        <v>P</v>
      </c>
      <c r="S20" s="4" t="str">
        <f>IFERROR(LOOKUP(2,1/((#REF!=nov!$A20)*(#REF!&lt;=nov!S$3)*(#REF!&gt;=nov!S$3)),#REF!),IF(WEEKDAY(nov!S$3,1)=1,"WO","P"))</f>
        <v>P</v>
      </c>
      <c r="T20" s="4" t="str">
        <f>IFERROR(LOOKUP(2,1/((#REF!=nov!$A20)*(#REF!&lt;=nov!T$3)*(#REF!&gt;=nov!T$3)),#REF!),IF(WEEKDAY(nov!T$3,1)=1,"WO","P"))</f>
        <v>WO</v>
      </c>
      <c r="U20" s="4" t="str">
        <f>IFERROR(LOOKUP(2,1/((#REF!=nov!$A20)*(#REF!&lt;=nov!U$3)*(#REF!&gt;=nov!U$3)),#REF!),IF(WEEKDAY(nov!U$3,1)=1,"WO","P"))</f>
        <v>P</v>
      </c>
      <c r="V20" s="4" t="str">
        <f>IFERROR(LOOKUP(2,1/((#REF!=nov!$A20)*(#REF!&lt;=nov!V$3)*(#REF!&gt;=nov!V$3)),#REF!),IF(WEEKDAY(nov!V$3,1)=1,"WO","P"))</f>
        <v>P</v>
      </c>
      <c r="W20" s="4" t="str">
        <f>IFERROR(LOOKUP(2,1/((#REF!=nov!$A20)*(#REF!&lt;=nov!W$3)*(#REF!&gt;=nov!W$3)),#REF!),IF(WEEKDAY(nov!W$3,1)=1,"WO","P"))</f>
        <v>P</v>
      </c>
      <c r="X20" s="4" t="str">
        <f>IFERROR(LOOKUP(2,1/((#REF!=nov!$A20)*(#REF!&lt;=nov!X$3)*(#REF!&gt;=nov!X$3)),#REF!),IF(WEEKDAY(nov!X$3,1)=1,"WO","P"))</f>
        <v>P</v>
      </c>
      <c r="Y20" s="4" t="str">
        <f>IFERROR(LOOKUP(2,1/((#REF!=nov!$A20)*(#REF!&lt;=nov!Y$3)*(#REF!&gt;=nov!Y$3)),#REF!),IF(WEEKDAY(nov!Y$3,1)=1,"WO","P"))</f>
        <v>P</v>
      </c>
      <c r="Z20" s="4" t="str">
        <f>IFERROR(LOOKUP(2,1/((#REF!=nov!$A20)*(#REF!&lt;=nov!Z$3)*(#REF!&gt;=nov!Z$3)),#REF!),IF(WEEKDAY(nov!Z$3,1)=1,"WO","P"))</f>
        <v>P</v>
      </c>
      <c r="AA20" s="4" t="str">
        <f>IFERROR(LOOKUP(2,1/((#REF!=nov!$A20)*(#REF!&lt;=nov!AA$3)*(#REF!&gt;=nov!AA$3)),#REF!),IF(WEEKDAY(nov!AA$3,1)=1,"WO","P"))</f>
        <v>WO</v>
      </c>
      <c r="AB20" s="4" t="str">
        <f>IFERROR(LOOKUP(2,1/((#REF!=nov!$A20)*(#REF!&lt;=nov!AB$3)*(#REF!&gt;=nov!AB$3)),#REF!),IF(WEEKDAY(nov!AB$3,1)=1,"WO","P"))</f>
        <v>P</v>
      </c>
      <c r="AC20" s="4" t="str">
        <f>IFERROR(LOOKUP(2,1/((#REF!=nov!$A20)*(#REF!&lt;=nov!AC$3)*(#REF!&gt;=nov!AC$3)),#REF!),IF(WEEKDAY(nov!AC$3,1)=1,"WO","P"))</f>
        <v>P</v>
      </c>
      <c r="AD20" s="4" t="str">
        <f>IFERROR(LOOKUP(2,1/((#REF!=nov!$A20)*(#REF!&lt;=nov!AD$3)*(#REF!&gt;=nov!AD$3)),#REF!),IF(WEEKDAY(nov!AD$3,1)=1,"WO","P"))</f>
        <v>P</v>
      </c>
      <c r="AE20" s="4" t="str">
        <f>IFERROR(LOOKUP(2,1/((#REF!=nov!$A20)*(#REF!&lt;=nov!AE$3)*(#REF!&gt;=nov!AE$3)),#REF!),IF(WEEKDAY(nov!AE$3,1)=1,"WO","P"))</f>
        <v>P</v>
      </c>
      <c r="AF20" s="4" t="str">
        <f>IFERROR(LOOKUP(2,1/((#REF!=nov!$A20)*(#REF!&lt;=nov!AF$3)*(#REF!&gt;=nov!AF$3)),#REF!),IF(WEEKDAY(nov!AF$3,1)=1,"WO","P"))</f>
        <v>P</v>
      </c>
      <c r="AG20" s="4" t="str">
        <f>IFERROR(LOOKUP(2,1/((#REF!=nov!$A20)*(#REF!&lt;=nov!AG$3)*(#REF!&gt;=nov!AG$3)),#REF!),IF(WEEKDAY(nov!AG$3,1)=1,"WO","P"))</f>
        <v>P</v>
      </c>
      <c r="AH20" s="4" t="str">
        <f>IFERROR(LOOKUP(2,1/((#REF!=nov!$A20)*(#REF!&lt;=nov!AH$3)*(#REF!&gt;=nov!AH$3)),#REF!),IF(WEEKDAY(nov!AH$3,1)=1,"WO","P"))</f>
        <v>WO</v>
      </c>
      <c r="AI20" s="4" t="str">
        <f>IFERROR(LOOKUP(2,1/((#REF!=nov!$A20)*(#REF!&lt;=nov!AI$3)*(#REF!&gt;=nov!AI$3)),#REF!),IF(WEEKDAY(nov!AI$3,1)=1,"WO","P"))</f>
        <v>P</v>
      </c>
      <c r="AJ20" s="4">
        <f>COUNTIF(mar!$F20:$AJ20,"WO")</f>
        <v>5</v>
      </c>
      <c r="AK20" s="4">
        <f>COUNTIF(mar!$F20:$AJ20,"H")</f>
        <v>2</v>
      </c>
      <c r="AL20" s="4">
        <f>COUNTIF(mar!$F20:$AJ20,"pl")</f>
        <v>0</v>
      </c>
      <c r="AM20" s="4">
        <f>COUNTIF(mar!$F20:$AJ20,"LWP")</f>
        <v>0</v>
      </c>
      <c r="AN20" s="4">
        <f>COUNTIF(mar!$F20:$AJ20,"HD")</f>
        <v>0</v>
      </c>
      <c r="AO20" s="4">
        <f>COUNTIF(mar!$F20:$AJ20,"SL")</f>
        <v>0</v>
      </c>
      <c r="AP20" s="4">
        <f>COUNTIF(mar!$F20:$AJ20,"CL")</f>
        <v>0</v>
      </c>
      <c r="AQ20" s="4">
        <f>COUNTIF(mar!$F20:$AJ20,"A")</f>
        <v>0</v>
      </c>
      <c r="AR20" s="4">
        <f>COUNTIF(mar!$F20:$AJ20,"P")</f>
        <v>24</v>
      </c>
      <c r="AS20" s="4">
        <f t="shared" si="2"/>
        <v>30</v>
      </c>
      <c r="AT20" s="4">
        <f t="shared" si="3"/>
        <v>31</v>
      </c>
      <c r="AU20" s="4">
        <f>SUMIFS(holly!$L$2:$L$122,holly!$I$2:$I$122,mar!$A20,holly!$K$2:$K$122,"Mar")</f>
        <v>4</v>
      </c>
    </row>
    <row r="21" spans="1:47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IFERROR(LOOKUP(2,1/((#REF!=nov!$A21)*(#REF!&lt;=nov!F$3)*(#REF!&gt;=nov!F$3)),#REF!),IF(WEEKDAY(nov!F$3,1)=1,"WO","P"))</f>
        <v>WO</v>
      </c>
      <c r="G21" s="4" t="str">
        <f>IFERROR(LOOKUP(2,1/((#REF!=nov!$A21)*(#REF!&lt;=nov!G$3)*(#REF!&gt;=nov!G$3)),#REF!),IF(WEEKDAY(nov!G$3,1)=1,"WO","P"))</f>
        <v>P</v>
      </c>
      <c r="H21" s="4" t="str">
        <f>IFERROR(LOOKUP(2,1/((#REF!=nov!$A21)*(#REF!&lt;=nov!H$3)*(#REF!&gt;=nov!H$3)),#REF!),IF(WEEKDAY(nov!H$3,1)=1,"WO","P"))</f>
        <v>P</v>
      </c>
      <c r="I21" s="4" t="str">
        <f>IFERROR(LOOKUP(2,1/((#REF!=nov!$A21)*(#REF!&lt;=nov!I$3)*(#REF!&gt;=nov!I$3)),#REF!),IF(WEEKDAY(nov!I$3,1)=1,"WO","P"))</f>
        <v>P</v>
      </c>
      <c r="J21" s="4" t="str">
        <f>IFERROR(LOOKUP(2,1/((#REF!=nov!$A21)*(#REF!&lt;=nov!J$3)*(#REF!&gt;=nov!J$3)),#REF!),IF(WEEKDAY(nov!J$3,1)=1,"WO","P"))</f>
        <v>P</v>
      </c>
      <c r="K21" s="4" t="str">
        <f>IFERROR(LOOKUP(2,1/((#REF!=nov!$A21)*(#REF!&lt;=nov!K$3)*(#REF!&gt;=nov!K$3)),#REF!),IF(WEEKDAY(nov!K$3,1)=1,"WO","P"))</f>
        <v>P</v>
      </c>
      <c r="L21" s="4" t="str">
        <f>IFERROR(LOOKUP(2,1/((#REF!=nov!$A21)*(#REF!&lt;=nov!L$3)*(#REF!&gt;=nov!L$3)),#REF!),IF(WEEKDAY(nov!L$3,1)=1,"WO","P"))</f>
        <v>P</v>
      </c>
      <c r="M21" s="4" t="str">
        <f>IFERROR(LOOKUP(2,1/((#REF!=nov!$A21)*(#REF!&lt;=nov!M$3)*(#REF!&gt;=nov!M$3)),#REF!),IF(WEEKDAY(nov!M$3,1)=1,"WO","P"))</f>
        <v>WO</v>
      </c>
      <c r="N21" s="4" t="str">
        <f>IFERROR(LOOKUP(2,1/((#REF!=nov!$A21)*(#REF!&lt;=nov!N$3)*(#REF!&gt;=nov!N$3)),#REF!),IF(WEEKDAY(nov!N$3,1)=1,"WO","P"))</f>
        <v>P</v>
      </c>
      <c r="O21" s="4" t="str">
        <f>IFERROR(LOOKUP(2,1/((#REF!=nov!$A21)*(#REF!&lt;=nov!O$3)*(#REF!&gt;=nov!O$3)),#REF!),IF(WEEKDAY(nov!O$3,1)=1,"WO","P"))</f>
        <v>P</v>
      </c>
      <c r="P21" s="4" t="str">
        <f>IFERROR(LOOKUP(2,1/((#REF!=nov!$A21)*(#REF!&lt;=nov!P$3)*(#REF!&gt;=nov!P$3)),#REF!),IF(WEEKDAY(nov!P$3,1)=1,"WO","P"))</f>
        <v>P</v>
      </c>
      <c r="Q21" s="4" t="str">
        <f>IFERROR(LOOKUP(2,1/((#REF!=nov!$A21)*(#REF!&lt;=nov!Q$3)*(#REF!&gt;=nov!Q$3)),#REF!),IF(WEEKDAY(nov!Q$3,1)=1,"WO","P"))</f>
        <v>P</v>
      </c>
      <c r="R21" s="4" t="str">
        <f>IFERROR(LOOKUP(2,1/((#REF!=nov!$A21)*(#REF!&lt;=nov!R$3)*(#REF!&gt;=nov!R$3)),#REF!),IF(WEEKDAY(nov!R$3,1)=1,"WO","P"))</f>
        <v>P</v>
      </c>
      <c r="S21" s="4" t="str">
        <f>IFERROR(LOOKUP(2,1/((#REF!=nov!$A21)*(#REF!&lt;=nov!S$3)*(#REF!&gt;=nov!S$3)),#REF!),IF(WEEKDAY(nov!S$3,1)=1,"WO","P"))</f>
        <v>P</v>
      </c>
      <c r="T21" s="4" t="str">
        <f>IFERROR(LOOKUP(2,1/((#REF!=nov!$A21)*(#REF!&lt;=nov!T$3)*(#REF!&gt;=nov!T$3)),#REF!),IF(WEEKDAY(nov!T$3,1)=1,"WO","P"))</f>
        <v>WO</v>
      </c>
      <c r="U21" s="4" t="str">
        <f>IFERROR(LOOKUP(2,1/((#REF!=nov!$A21)*(#REF!&lt;=nov!U$3)*(#REF!&gt;=nov!U$3)),#REF!),IF(WEEKDAY(nov!U$3,1)=1,"WO","P"))</f>
        <v>P</v>
      </c>
      <c r="V21" s="4" t="str">
        <f>IFERROR(LOOKUP(2,1/((#REF!=nov!$A21)*(#REF!&lt;=nov!V$3)*(#REF!&gt;=nov!V$3)),#REF!),IF(WEEKDAY(nov!V$3,1)=1,"WO","P"))</f>
        <v>P</v>
      </c>
      <c r="W21" s="4" t="str">
        <f>IFERROR(LOOKUP(2,1/((#REF!=nov!$A21)*(#REF!&lt;=nov!W$3)*(#REF!&gt;=nov!W$3)),#REF!),IF(WEEKDAY(nov!W$3,1)=1,"WO","P"))</f>
        <v>P</v>
      </c>
      <c r="X21" s="4" t="str">
        <f>IFERROR(LOOKUP(2,1/((#REF!=nov!$A21)*(#REF!&lt;=nov!X$3)*(#REF!&gt;=nov!X$3)),#REF!),IF(WEEKDAY(nov!X$3,1)=1,"WO","P"))</f>
        <v>P</v>
      </c>
      <c r="Y21" s="4" t="str">
        <f>IFERROR(LOOKUP(2,1/((#REF!=nov!$A21)*(#REF!&lt;=nov!Y$3)*(#REF!&gt;=nov!Y$3)),#REF!),IF(WEEKDAY(nov!Y$3,1)=1,"WO","P"))</f>
        <v>P</v>
      </c>
      <c r="Z21" s="4" t="str">
        <f>IFERROR(LOOKUP(2,1/((#REF!=nov!$A21)*(#REF!&lt;=nov!Z$3)*(#REF!&gt;=nov!Z$3)),#REF!),IF(WEEKDAY(nov!Z$3,1)=1,"WO","P"))</f>
        <v>P</v>
      </c>
      <c r="AA21" s="4" t="str">
        <f>IFERROR(LOOKUP(2,1/((#REF!=nov!$A21)*(#REF!&lt;=nov!AA$3)*(#REF!&gt;=nov!AA$3)),#REF!),IF(WEEKDAY(nov!AA$3,1)=1,"WO","P"))</f>
        <v>WO</v>
      </c>
      <c r="AB21" s="4" t="str">
        <f>IFERROR(LOOKUP(2,1/((#REF!=nov!$A21)*(#REF!&lt;=nov!AB$3)*(#REF!&gt;=nov!AB$3)),#REF!),IF(WEEKDAY(nov!AB$3,1)=1,"WO","P"))</f>
        <v>P</v>
      </c>
      <c r="AC21" s="4" t="str">
        <f>IFERROR(LOOKUP(2,1/((#REF!=nov!$A21)*(#REF!&lt;=nov!AC$3)*(#REF!&gt;=nov!AC$3)),#REF!),IF(WEEKDAY(nov!AC$3,1)=1,"WO","P"))</f>
        <v>P</v>
      </c>
      <c r="AD21" s="4" t="str">
        <f>IFERROR(LOOKUP(2,1/((#REF!=nov!$A21)*(#REF!&lt;=nov!AD$3)*(#REF!&gt;=nov!AD$3)),#REF!),IF(WEEKDAY(nov!AD$3,1)=1,"WO","P"))</f>
        <v>P</v>
      </c>
      <c r="AE21" s="4" t="str">
        <f>IFERROR(LOOKUP(2,1/((#REF!=nov!$A21)*(#REF!&lt;=nov!AE$3)*(#REF!&gt;=nov!AE$3)),#REF!),IF(WEEKDAY(nov!AE$3,1)=1,"WO","P"))</f>
        <v>P</v>
      </c>
      <c r="AF21" s="4" t="str">
        <f>IFERROR(LOOKUP(2,1/((#REF!=nov!$A21)*(#REF!&lt;=nov!AF$3)*(#REF!&gt;=nov!AF$3)),#REF!),IF(WEEKDAY(nov!AF$3,1)=1,"WO","P"))</f>
        <v>P</v>
      </c>
      <c r="AG21" s="4" t="str">
        <f>IFERROR(LOOKUP(2,1/((#REF!=nov!$A21)*(#REF!&lt;=nov!AG$3)*(#REF!&gt;=nov!AG$3)),#REF!),IF(WEEKDAY(nov!AG$3,1)=1,"WO","P"))</f>
        <v>P</v>
      </c>
      <c r="AH21" s="4" t="str">
        <f>IFERROR(LOOKUP(2,1/((#REF!=nov!$A21)*(#REF!&lt;=nov!AH$3)*(#REF!&gt;=nov!AH$3)),#REF!),IF(WEEKDAY(nov!AH$3,1)=1,"WO","P"))</f>
        <v>WO</v>
      </c>
      <c r="AI21" s="4" t="str">
        <f>IFERROR(LOOKUP(2,1/((#REF!=nov!$A21)*(#REF!&lt;=nov!AI$3)*(#REF!&gt;=nov!AI$3)),#REF!),IF(WEEKDAY(nov!AI$3,1)=1,"WO","P"))</f>
        <v>P</v>
      </c>
      <c r="AJ21" s="4">
        <f>COUNTIF(mar!$F21:$AJ21,"WO")</f>
        <v>5</v>
      </c>
      <c r="AK21" s="4">
        <f>COUNTIF(mar!$F21:$AJ21,"H")</f>
        <v>2</v>
      </c>
      <c r="AL21" s="4">
        <f>COUNTIF(mar!$F21:$AJ21,"pl")</f>
        <v>0</v>
      </c>
      <c r="AM21" s="4">
        <f>COUNTIF(mar!$F21:$AJ21,"LWP")</f>
        <v>0</v>
      </c>
      <c r="AN21" s="4">
        <f>COUNTIF(mar!$F21:$AJ21,"HD")</f>
        <v>0</v>
      </c>
      <c r="AO21" s="4">
        <f>COUNTIF(mar!$F21:$AJ21,"SL")</f>
        <v>0</v>
      </c>
      <c r="AP21" s="4">
        <f>COUNTIF(mar!$F21:$AJ21,"CL")</f>
        <v>0</v>
      </c>
      <c r="AQ21" s="4">
        <f>COUNTIF(mar!$F21:$AJ21,"A")</f>
        <v>1</v>
      </c>
      <c r="AR21" s="4">
        <f>COUNTIF(mar!$F21:$AJ21,"P")</f>
        <v>23</v>
      </c>
      <c r="AS21" s="4">
        <f t="shared" si="2"/>
        <v>30</v>
      </c>
      <c r="AT21" s="4">
        <f t="shared" si="3"/>
        <v>30</v>
      </c>
      <c r="AU21" s="4">
        <f>SUMIFS(holly!$L$2:$L$122,holly!$I$2:$I$122,mar!$A21,holly!$K$2:$K$122,"Mar")</f>
        <v>0</v>
      </c>
    </row>
    <row r="22" spans="1:47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IFERROR(LOOKUP(2,1/((#REF!=nov!$A22)*(#REF!&lt;=nov!F$3)*(#REF!&gt;=nov!F$3)),#REF!),IF(WEEKDAY(nov!F$3,1)=1,"WO","P"))</f>
        <v>WO</v>
      </c>
      <c r="G22" s="4" t="str">
        <f>IFERROR(LOOKUP(2,1/((#REF!=nov!$A22)*(#REF!&lt;=nov!G$3)*(#REF!&gt;=nov!G$3)),#REF!),IF(WEEKDAY(nov!G$3,1)=1,"WO","P"))</f>
        <v>P</v>
      </c>
      <c r="H22" s="4" t="str">
        <f>IFERROR(LOOKUP(2,1/((#REF!=nov!$A22)*(#REF!&lt;=nov!H$3)*(#REF!&gt;=nov!H$3)),#REF!),IF(WEEKDAY(nov!H$3,1)=1,"WO","P"))</f>
        <v>P</v>
      </c>
      <c r="I22" s="4" t="str">
        <f>IFERROR(LOOKUP(2,1/((#REF!=nov!$A22)*(#REF!&lt;=nov!I$3)*(#REF!&gt;=nov!I$3)),#REF!),IF(WEEKDAY(nov!I$3,1)=1,"WO","P"))</f>
        <v>P</v>
      </c>
      <c r="J22" s="4" t="str">
        <f>IFERROR(LOOKUP(2,1/((#REF!=nov!$A22)*(#REF!&lt;=nov!J$3)*(#REF!&gt;=nov!J$3)),#REF!),IF(WEEKDAY(nov!J$3,1)=1,"WO","P"))</f>
        <v>P</v>
      </c>
      <c r="K22" s="4" t="str">
        <f>IFERROR(LOOKUP(2,1/((#REF!=nov!$A22)*(#REF!&lt;=nov!K$3)*(#REF!&gt;=nov!K$3)),#REF!),IF(WEEKDAY(nov!K$3,1)=1,"WO","P"))</f>
        <v>P</v>
      </c>
      <c r="L22" s="4" t="str">
        <f>IFERROR(LOOKUP(2,1/((#REF!=nov!$A22)*(#REF!&lt;=nov!L$3)*(#REF!&gt;=nov!L$3)),#REF!),IF(WEEKDAY(nov!L$3,1)=1,"WO","P"))</f>
        <v>P</v>
      </c>
      <c r="M22" s="4" t="str">
        <f>IFERROR(LOOKUP(2,1/((#REF!=nov!$A22)*(#REF!&lt;=nov!M$3)*(#REF!&gt;=nov!M$3)),#REF!),IF(WEEKDAY(nov!M$3,1)=1,"WO","P"))</f>
        <v>WO</v>
      </c>
      <c r="N22" s="4" t="str">
        <f>IFERROR(LOOKUP(2,1/((#REF!=nov!$A22)*(#REF!&lt;=nov!N$3)*(#REF!&gt;=nov!N$3)),#REF!),IF(WEEKDAY(nov!N$3,1)=1,"WO","P"))</f>
        <v>P</v>
      </c>
      <c r="O22" s="4" t="str">
        <f>IFERROR(LOOKUP(2,1/((#REF!=nov!$A22)*(#REF!&lt;=nov!O$3)*(#REF!&gt;=nov!O$3)),#REF!),IF(WEEKDAY(nov!O$3,1)=1,"WO","P"))</f>
        <v>P</v>
      </c>
      <c r="P22" s="4" t="str">
        <f>IFERROR(LOOKUP(2,1/((#REF!=nov!$A22)*(#REF!&lt;=nov!P$3)*(#REF!&gt;=nov!P$3)),#REF!),IF(WEEKDAY(nov!P$3,1)=1,"WO","P"))</f>
        <v>P</v>
      </c>
      <c r="Q22" s="4" t="str">
        <f>IFERROR(LOOKUP(2,1/((#REF!=nov!$A22)*(#REF!&lt;=nov!Q$3)*(#REF!&gt;=nov!Q$3)),#REF!),IF(WEEKDAY(nov!Q$3,1)=1,"WO","P"))</f>
        <v>P</v>
      </c>
      <c r="R22" s="4" t="str">
        <f>IFERROR(LOOKUP(2,1/((#REF!=nov!$A22)*(#REF!&lt;=nov!R$3)*(#REF!&gt;=nov!R$3)),#REF!),IF(WEEKDAY(nov!R$3,1)=1,"WO","P"))</f>
        <v>P</v>
      </c>
      <c r="S22" s="4" t="str">
        <f>IFERROR(LOOKUP(2,1/((#REF!=nov!$A22)*(#REF!&lt;=nov!S$3)*(#REF!&gt;=nov!S$3)),#REF!),IF(WEEKDAY(nov!S$3,1)=1,"WO","P"))</f>
        <v>P</v>
      </c>
      <c r="T22" s="4" t="str">
        <f>IFERROR(LOOKUP(2,1/((#REF!=nov!$A22)*(#REF!&lt;=nov!T$3)*(#REF!&gt;=nov!T$3)),#REF!),IF(WEEKDAY(nov!T$3,1)=1,"WO","P"))</f>
        <v>WO</v>
      </c>
      <c r="U22" s="4" t="str">
        <f>IFERROR(LOOKUP(2,1/((#REF!=nov!$A22)*(#REF!&lt;=nov!U$3)*(#REF!&gt;=nov!U$3)),#REF!),IF(WEEKDAY(nov!U$3,1)=1,"WO","P"))</f>
        <v>P</v>
      </c>
      <c r="V22" s="4" t="str">
        <f>IFERROR(LOOKUP(2,1/((#REF!=nov!$A22)*(#REF!&lt;=nov!V$3)*(#REF!&gt;=nov!V$3)),#REF!),IF(WEEKDAY(nov!V$3,1)=1,"WO","P"))</f>
        <v>P</v>
      </c>
      <c r="W22" s="4" t="str">
        <f>IFERROR(LOOKUP(2,1/((#REF!=nov!$A22)*(#REF!&lt;=nov!W$3)*(#REF!&gt;=nov!W$3)),#REF!),IF(WEEKDAY(nov!W$3,1)=1,"WO","P"))</f>
        <v>P</v>
      </c>
      <c r="X22" s="4" t="str">
        <f>IFERROR(LOOKUP(2,1/((#REF!=nov!$A22)*(#REF!&lt;=nov!X$3)*(#REF!&gt;=nov!X$3)),#REF!),IF(WEEKDAY(nov!X$3,1)=1,"WO","P"))</f>
        <v>P</v>
      </c>
      <c r="Y22" s="4" t="str">
        <f>IFERROR(LOOKUP(2,1/((#REF!=nov!$A22)*(#REF!&lt;=nov!Y$3)*(#REF!&gt;=nov!Y$3)),#REF!),IF(WEEKDAY(nov!Y$3,1)=1,"WO","P"))</f>
        <v>P</v>
      </c>
      <c r="Z22" s="4" t="str">
        <f>IFERROR(LOOKUP(2,1/((#REF!=nov!$A22)*(#REF!&lt;=nov!Z$3)*(#REF!&gt;=nov!Z$3)),#REF!),IF(WEEKDAY(nov!Z$3,1)=1,"WO","P"))</f>
        <v>P</v>
      </c>
      <c r="AA22" s="4" t="str">
        <f>IFERROR(LOOKUP(2,1/((#REF!=nov!$A22)*(#REF!&lt;=nov!AA$3)*(#REF!&gt;=nov!AA$3)),#REF!),IF(WEEKDAY(nov!AA$3,1)=1,"WO","P"))</f>
        <v>WO</v>
      </c>
      <c r="AB22" s="4" t="str">
        <f>IFERROR(LOOKUP(2,1/((#REF!=nov!$A22)*(#REF!&lt;=nov!AB$3)*(#REF!&gt;=nov!AB$3)),#REF!),IF(WEEKDAY(nov!AB$3,1)=1,"WO","P"))</f>
        <v>P</v>
      </c>
      <c r="AC22" s="4" t="str">
        <f>IFERROR(LOOKUP(2,1/((#REF!=nov!$A22)*(#REF!&lt;=nov!AC$3)*(#REF!&gt;=nov!AC$3)),#REF!),IF(WEEKDAY(nov!AC$3,1)=1,"WO","P"))</f>
        <v>P</v>
      </c>
      <c r="AD22" s="4" t="str">
        <f>IFERROR(LOOKUP(2,1/((#REF!=nov!$A22)*(#REF!&lt;=nov!AD$3)*(#REF!&gt;=nov!AD$3)),#REF!),IF(WEEKDAY(nov!AD$3,1)=1,"WO","P"))</f>
        <v>P</v>
      </c>
      <c r="AE22" s="4" t="str">
        <f>IFERROR(LOOKUP(2,1/((#REF!=nov!$A22)*(#REF!&lt;=nov!AE$3)*(#REF!&gt;=nov!AE$3)),#REF!),IF(WEEKDAY(nov!AE$3,1)=1,"WO","P"))</f>
        <v>P</v>
      </c>
      <c r="AF22" s="4" t="str">
        <f>IFERROR(LOOKUP(2,1/((#REF!=nov!$A22)*(#REF!&lt;=nov!AF$3)*(#REF!&gt;=nov!AF$3)),#REF!),IF(WEEKDAY(nov!AF$3,1)=1,"WO","P"))</f>
        <v>P</v>
      </c>
      <c r="AG22" s="4" t="str">
        <f>IFERROR(LOOKUP(2,1/((#REF!=nov!$A22)*(#REF!&lt;=nov!AG$3)*(#REF!&gt;=nov!AG$3)),#REF!),IF(WEEKDAY(nov!AG$3,1)=1,"WO","P"))</f>
        <v>P</v>
      </c>
      <c r="AH22" s="4" t="str">
        <f>IFERROR(LOOKUP(2,1/((#REF!=nov!$A22)*(#REF!&lt;=nov!AH$3)*(#REF!&gt;=nov!AH$3)),#REF!),IF(WEEKDAY(nov!AH$3,1)=1,"WO","P"))</f>
        <v>WO</v>
      </c>
      <c r="AI22" s="4" t="str">
        <f>IFERROR(LOOKUP(2,1/((#REF!=nov!$A22)*(#REF!&lt;=nov!AI$3)*(#REF!&gt;=nov!AI$3)),#REF!),IF(WEEKDAY(nov!AI$3,1)=1,"WO","P"))</f>
        <v>P</v>
      </c>
      <c r="AJ22" s="4">
        <f>COUNTIF(mar!$F22:$AJ22,"WO")</f>
        <v>5</v>
      </c>
      <c r="AK22" s="4">
        <f>COUNTIF(mar!$F22:$AJ22,"H")</f>
        <v>2</v>
      </c>
      <c r="AL22" s="4">
        <f>COUNTIF(mar!$F22:$AJ22,"pl")</f>
        <v>0</v>
      </c>
      <c r="AM22" s="4">
        <f>COUNTIF(mar!$F22:$AJ22,"LWP")</f>
        <v>0</v>
      </c>
      <c r="AN22" s="4">
        <f>COUNTIF(mar!$F22:$AJ22,"HD")</f>
        <v>0</v>
      </c>
      <c r="AO22" s="4">
        <f>COUNTIF(mar!$F22:$AJ22,"SL")</f>
        <v>0</v>
      </c>
      <c r="AP22" s="4">
        <f>COUNTIF(mar!$F22:$AJ22,"CL")</f>
        <v>0</v>
      </c>
      <c r="AQ22" s="4">
        <f>COUNTIF(mar!$F22:$AJ22,"A")</f>
        <v>1</v>
      </c>
      <c r="AR22" s="4">
        <f>COUNTIF(mar!$F22:$AJ22,"P")</f>
        <v>23</v>
      </c>
      <c r="AS22" s="4">
        <f t="shared" si="2"/>
        <v>30</v>
      </c>
      <c r="AT22" s="4">
        <f t="shared" si="3"/>
        <v>30</v>
      </c>
      <c r="AU22" s="4">
        <f>SUMIFS(holly!$L$2:$L$122,holly!$I$2:$I$122,mar!$A22,holly!$K$2:$K$122,"Mar")</f>
        <v>1</v>
      </c>
    </row>
    <row r="23" spans="1:47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IFERROR(LOOKUP(2,1/((#REF!=nov!$A23)*(#REF!&lt;=nov!F$3)*(#REF!&gt;=nov!F$3)),#REF!),IF(WEEKDAY(nov!F$3,1)=1,"WO","P"))</f>
        <v>WO</v>
      </c>
      <c r="G23" s="4" t="str">
        <f>IFERROR(LOOKUP(2,1/((#REF!=nov!$A23)*(#REF!&lt;=nov!G$3)*(#REF!&gt;=nov!G$3)),#REF!),IF(WEEKDAY(nov!G$3,1)=1,"WO","P"))</f>
        <v>P</v>
      </c>
      <c r="H23" s="4" t="str">
        <f>IFERROR(LOOKUP(2,1/((#REF!=nov!$A23)*(#REF!&lt;=nov!H$3)*(#REF!&gt;=nov!H$3)),#REF!),IF(WEEKDAY(nov!H$3,1)=1,"WO","P"))</f>
        <v>P</v>
      </c>
      <c r="I23" s="4" t="str">
        <f>IFERROR(LOOKUP(2,1/((#REF!=nov!$A23)*(#REF!&lt;=nov!I$3)*(#REF!&gt;=nov!I$3)),#REF!),IF(WEEKDAY(nov!I$3,1)=1,"WO","P"))</f>
        <v>P</v>
      </c>
      <c r="J23" s="4" t="str">
        <f>IFERROR(LOOKUP(2,1/((#REF!=nov!$A23)*(#REF!&lt;=nov!J$3)*(#REF!&gt;=nov!J$3)),#REF!),IF(WEEKDAY(nov!J$3,1)=1,"WO","P"))</f>
        <v>P</v>
      </c>
      <c r="K23" s="4" t="str">
        <f>IFERROR(LOOKUP(2,1/((#REF!=nov!$A23)*(#REF!&lt;=nov!K$3)*(#REF!&gt;=nov!K$3)),#REF!),IF(WEEKDAY(nov!K$3,1)=1,"WO","P"))</f>
        <v>P</v>
      </c>
      <c r="L23" s="4" t="str">
        <f>IFERROR(LOOKUP(2,1/((#REF!=nov!$A23)*(#REF!&lt;=nov!L$3)*(#REF!&gt;=nov!L$3)),#REF!),IF(WEEKDAY(nov!L$3,1)=1,"WO","P"))</f>
        <v>P</v>
      </c>
      <c r="M23" s="4" t="str">
        <f>IFERROR(LOOKUP(2,1/((#REF!=nov!$A23)*(#REF!&lt;=nov!M$3)*(#REF!&gt;=nov!M$3)),#REF!),IF(WEEKDAY(nov!M$3,1)=1,"WO","P"))</f>
        <v>WO</v>
      </c>
      <c r="N23" s="4" t="str">
        <f>IFERROR(LOOKUP(2,1/((#REF!=nov!$A23)*(#REF!&lt;=nov!N$3)*(#REF!&gt;=nov!N$3)),#REF!),IF(WEEKDAY(nov!N$3,1)=1,"WO","P"))</f>
        <v>P</v>
      </c>
      <c r="O23" s="4" t="str">
        <f>IFERROR(LOOKUP(2,1/((#REF!=nov!$A23)*(#REF!&lt;=nov!O$3)*(#REF!&gt;=nov!O$3)),#REF!),IF(WEEKDAY(nov!O$3,1)=1,"WO","P"))</f>
        <v>P</v>
      </c>
      <c r="P23" s="4" t="str">
        <f>IFERROR(LOOKUP(2,1/((#REF!=nov!$A23)*(#REF!&lt;=nov!P$3)*(#REF!&gt;=nov!P$3)),#REF!),IF(WEEKDAY(nov!P$3,1)=1,"WO","P"))</f>
        <v>P</v>
      </c>
      <c r="Q23" s="4" t="str">
        <f>IFERROR(LOOKUP(2,1/((#REF!=nov!$A23)*(#REF!&lt;=nov!Q$3)*(#REF!&gt;=nov!Q$3)),#REF!),IF(WEEKDAY(nov!Q$3,1)=1,"WO","P"))</f>
        <v>P</v>
      </c>
      <c r="R23" s="4" t="str">
        <f>IFERROR(LOOKUP(2,1/((#REF!=nov!$A23)*(#REF!&lt;=nov!R$3)*(#REF!&gt;=nov!R$3)),#REF!),IF(WEEKDAY(nov!R$3,1)=1,"WO","P"))</f>
        <v>P</v>
      </c>
      <c r="S23" s="4" t="str">
        <f>IFERROR(LOOKUP(2,1/((#REF!=nov!$A23)*(#REF!&lt;=nov!S$3)*(#REF!&gt;=nov!S$3)),#REF!),IF(WEEKDAY(nov!S$3,1)=1,"WO","P"))</f>
        <v>P</v>
      </c>
      <c r="T23" s="4" t="str">
        <f>IFERROR(LOOKUP(2,1/((#REF!=nov!$A23)*(#REF!&lt;=nov!T$3)*(#REF!&gt;=nov!T$3)),#REF!),IF(WEEKDAY(nov!T$3,1)=1,"WO","P"))</f>
        <v>WO</v>
      </c>
      <c r="U23" s="4" t="str">
        <f>IFERROR(LOOKUP(2,1/((#REF!=nov!$A23)*(#REF!&lt;=nov!U$3)*(#REF!&gt;=nov!U$3)),#REF!),IF(WEEKDAY(nov!U$3,1)=1,"WO","P"))</f>
        <v>P</v>
      </c>
      <c r="V23" s="4" t="str">
        <f>IFERROR(LOOKUP(2,1/((#REF!=nov!$A23)*(#REF!&lt;=nov!V$3)*(#REF!&gt;=nov!V$3)),#REF!),IF(WEEKDAY(nov!V$3,1)=1,"WO","P"))</f>
        <v>P</v>
      </c>
      <c r="W23" s="4" t="str">
        <f>IFERROR(LOOKUP(2,1/((#REF!=nov!$A23)*(#REF!&lt;=nov!W$3)*(#REF!&gt;=nov!W$3)),#REF!),IF(WEEKDAY(nov!W$3,1)=1,"WO","P"))</f>
        <v>P</v>
      </c>
      <c r="X23" s="4" t="str">
        <f>IFERROR(LOOKUP(2,1/((#REF!=nov!$A23)*(#REF!&lt;=nov!X$3)*(#REF!&gt;=nov!X$3)),#REF!),IF(WEEKDAY(nov!X$3,1)=1,"WO","P"))</f>
        <v>P</v>
      </c>
      <c r="Y23" s="4" t="str">
        <f>IFERROR(LOOKUP(2,1/((#REF!=nov!$A23)*(#REF!&lt;=nov!Y$3)*(#REF!&gt;=nov!Y$3)),#REF!),IF(WEEKDAY(nov!Y$3,1)=1,"WO","P"))</f>
        <v>P</v>
      </c>
      <c r="Z23" s="4" t="str">
        <f>IFERROR(LOOKUP(2,1/((#REF!=nov!$A23)*(#REF!&lt;=nov!Z$3)*(#REF!&gt;=nov!Z$3)),#REF!),IF(WEEKDAY(nov!Z$3,1)=1,"WO","P"))</f>
        <v>P</v>
      </c>
      <c r="AA23" s="4" t="str">
        <f>IFERROR(LOOKUP(2,1/((#REF!=nov!$A23)*(#REF!&lt;=nov!AA$3)*(#REF!&gt;=nov!AA$3)),#REF!),IF(WEEKDAY(nov!AA$3,1)=1,"WO","P"))</f>
        <v>WO</v>
      </c>
      <c r="AB23" s="4" t="str">
        <f>IFERROR(LOOKUP(2,1/((#REF!=nov!$A23)*(#REF!&lt;=nov!AB$3)*(#REF!&gt;=nov!AB$3)),#REF!),IF(WEEKDAY(nov!AB$3,1)=1,"WO","P"))</f>
        <v>P</v>
      </c>
      <c r="AC23" s="4" t="str">
        <f>IFERROR(LOOKUP(2,1/((#REF!=nov!$A23)*(#REF!&lt;=nov!AC$3)*(#REF!&gt;=nov!AC$3)),#REF!),IF(WEEKDAY(nov!AC$3,1)=1,"WO","P"))</f>
        <v>P</v>
      </c>
      <c r="AD23" s="4" t="str">
        <f>IFERROR(LOOKUP(2,1/((#REF!=nov!$A23)*(#REF!&lt;=nov!AD$3)*(#REF!&gt;=nov!AD$3)),#REF!),IF(WEEKDAY(nov!AD$3,1)=1,"WO","P"))</f>
        <v>P</v>
      </c>
      <c r="AE23" s="4" t="str">
        <f>IFERROR(LOOKUP(2,1/((#REF!=nov!$A23)*(#REF!&lt;=nov!AE$3)*(#REF!&gt;=nov!AE$3)),#REF!),IF(WEEKDAY(nov!AE$3,1)=1,"WO","P"))</f>
        <v>P</v>
      </c>
      <c r="AF23" s="4" t="str">
        <f>IFERROR(LOOKUP(2,1/((#REF!=nov!$A23)*(#REF!&lt;=nov!AF$3)*(#REF!&gt;=nov!AF$3)),#REF!),IF(WEEKDAY(nov!AF$3,1)=1,"WO","P"))</f>
        <v>P</v>
      </c>
      <c r="AG23" s="4" t="str">
        <f>IFERROR(LOOKUP(2,1/((#REF!=nov!$A23)*(#REF!&lt;=nov!AG$3)*(#REF!&gt;=nov!AG$3)),#REF!),IF(WEEKDAY(nov!AG$3,1)=1,"WO","P"))</f>
        <v>P</v>
      </c>
      <c r="AH23" s="4" t="str">
        <f>IFERROR(LOOKUP(2,1/((#REF!=nov!$A23)*(#REF!&lt;=nov!AH$3)*(#REF!&gt;=nov!AH$3)),#REF!),IF(WEEKDAY(nov!AH$3,1)=1,"WO","P"))</f>
        <v>WO</v>
      </c>
      <c r="AI23" s="4" t="str">
        <f>IFERROR(LOOKUP(2,1/((#REF!=nov!$A23)*(#REF!&lt;=nov!AI$3)*(#REF!&gt;=nov!AI$3)),#REF!),IF(WEEKDAY(nov!AI$3,1)=1,"WO","P"))</f>
        <v>P</v>
      </c>
      <c r="AJ23" s="4">
        <f>COUNTIF(mar!$F23:$AJ23,"WO")</f>
        <v>5</v>
      </c>
      <c r="AK23" s="4">
        <f>COUNTIF(mar!$F23:$AJ23,"H")</f>
        <v>2</v>
      </c>
      <c r="AL23" s="4">
        <f>COUNTIF(mar!$F23:$AJ23,"pl")</f>
        <v>0</v>
      </c>
      <c r="AM23" s="4">
        <f>COUNTIF(mar!$F23:$AJ23,"LWP")</f>
        <v>0</v>
      </c>
      <c r="AN23" s="4">
        <f>COUNTIF(mar!$F23:$AJ23,"HD")</f>
        <v>0</v>
      </c>
      <c r="AO23" s="4">
        <f>COUNTIF(mar!$F23:$AJ23,"SL")</f>
        <v>0</v>
      </c>
      <c r="AP23" s="4">
        <f>COUNTIF(mar!$F23:$AJ23,"CL")</f>
        <v>0</v>
      </c>
      <c r="AQ23" s="4">
        <f>COUNTIF(mar!$F23:$AJ23,"A")</f>
        <v>0</v>
      </c>
      <c r="AR23" s="4">
        <f>COUNTIF(mar!$F23:$AJ23,"P")</f>
        <v>24</v>
      </c>
      <c r="AS23" s="4">
        <f t="shared" si="2"/>
        <v>30</v>
      </c>
      <c r="AT23" s="4">
        <f t="shared" si="3"/>
        <v>31</v>
      </c>
      <c r="AU23" s="4">
        <f>SUMIFS(holly!$L$2:$L$122,holly!$I$2:$I$122,mar!$A23,holly!$K$2:$K$122,"Mar")</f>
        <v>0</v>
      </c>
    </row>
    <row r="24" spans="1:47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IFERROR(LOOKUP(2,1/((#REF!=nov!$A24)*(#REF!&lt;=nov!F$3)*(#REF!&gt;=nov!F$3)),#REF!),IF(WEEKDAY(nov!F$3,1)=1,"WO","P"))</f>
        <v>WO</v>
      </c>
      <c r="G24" s="4" t="str">
        <f>IFERROR(LOOKUP(2,1/((#REF!=nov!$A24)*(#REF!&lt;=nov!G$3)*(#REF!&gt;=nov!G$3)),#REF!),IF(WEEKDAY(nov!G$3,1)=1,"WO","P"))</f>
        <v>P</v>
      </c>
      <c r="H24" s="4" t="str">
        <f>IFERROR(LOOKUP(2,1/((#REF!=nov!$A24)*(#REF!&lt;=nov!H$3)*(#REF!&gt;=nov!H$3)),#REF!),IF(WEEKDAY(nov!H$3,1)=1,"WO","P"))</f>
        <v>P</v>
      </c>
      <c r="I24" s="4" t="str">
        <f>IFERROR(LOOKUP(2,1/((#REF!=nov!$A24)*(#REF!&lt;=nov!I$3)*(#REF!&gt;=nov!I$3)),#REF!),IF(WEEKDAY(nov!I$3,1)=1,"WO","P"))</f>
        <v>P</v>
      </c>
      <c r="J24" s="4" t="str">
        <f>IFERROR(LOOKUP(2,1/((#REF!=nov!$A24)*(#REF!&lt;=nov!J$3)*(#REF!&gt;=nov!J$3)),#REF!),IF(WEEKDAY(nov!J$3,1)=1,"WO","P"))</f>
        <v>P</v>
      </c>
      <c r="K24" s="4" t="str">
        <f>IFERROR(LOOKUP(2,1/((#REF!=nov!$A24)*(#REF!&lt;=nov!K$3)*(#REF!&gt;=nov!K$3)),#REF!),IF(WEEKDAY(nov!K$3,1)=1,"WO","P"))</f>
        <v>P</v>
      </c>
      <c r="L24" s="4" t="str">
        <f>IFERROR(LOOKUP(2,1/((#REF!=nov!$A24)*(#REF!&lt;=nov!L$3)*(#REF!&gt;=nov!L$3)),#REF!),IF(WEEKDAY(nov!L$3,1)=1,"WO","P"))</f>
        <v>P</v>
      </c>
      <c r="M24" s="4" t="str">
        <f>IFERROR(LOOKUP(2,1/((#REF!=nov!$A24)*(#REF!&lt;=nov!M$3)*(#REF!&gt;=nov!M$3)),#REF!),IF(WEEKDAY(nov!M$3,1)=1,"WO","P"))</f>
        <v>WO</v>
      </c>
      <c r="N24" s="4" t="str">
        <f>IFERROR(LOOKUP(2,1/((#REF!=nov!$A24)*(#REF!&lt;=nov!N$3)*(#REF!&gt;=nov!N$3)),#REF!),IF(WEEKDAY(nov!N$3,1)=1,"WO","P"))</f>
        <v>P</v>
      </c>
      <c r="O24" s="4" t="str">
        <f>IFERROR(LOOKUP(2,1/((#REF!=nov!$A24)*(#REF!&lt;=nov!O$3)*(#REF!&gt;=nov!O$3)),#REF!),IF(WEEKDAY(nov!O$3,1)=1,"WO","P"))</f>
        <v>P</v>
      </c>
      <c r="P24" s="4" t="str">
        <f>IFERROR(LOOKUP(2,1/((#REF!=nov!$A24)*(#REF!&lt;=nov!P$3)*(#REF!&gt;=nov!P$3)),#REF!),IF(WEEKDAY(nov!P$3,1)=1,"WO","P"))</f>
        <v>P</v>
      </c>
      <c r="Q24" s="4" t="str">
        <f>IFERROR(LOOKUP(2,1/((#REF!=nov!$A24)*(#REF!&lt;=nov!Q$3)*(#REF!&gt;=nov!Q$3)),#REF!),IF(WEEKDAY(nov!Q$3,1)=1,"WO","P"))</f>
        <v>P</v>
      </c>
      <c r="R24" s="4" t="str">
        <f>IFERROR(LOOKUP(2,1/((#REF!=nov!$A24)*(#REF!&lt;=nov!R$3)*(#REF!&gt;=nov!R$3)),#REF!),IF(WEEKDAY(nov!R$3,1)=1,"WO","P"))</f>
        <v>P</v>
      </c>
      <c r="S24" s="4" t="str">
        <f>IFERROR(LOOKUP(2,1/((#REF!=nov!$A24)*(#REF!&lt;=nov!S$3)*(#REF!&gt;=nov!S$3)),#REF!),IF(WEEKDAY(nov!S$3,1)=1,"WO","P"))</f>
        <v>P</v>
      </c>
      <c r="T24" s="4" t="str">
        <f>IFERROR(LOOKUP(2,1/((#REF!=nov!$A24)*(#REF!&lt;=nov!T$3)*(#REF!&gt;=nov!T$3)),#REF!),IF(WEEKDAY(nov!T$3,1)=1,"WO","P"))</f>
        <v>WO</v>
      </c>
      <c r="U24" s="4" t="str">
        <f>IFERROR(LOOKUP(2,1/((#REF!=nov!$A24)*(#REF!&lt;=nov!U$3)*(#REF!&gt;=nov!U$3)),#REF!),IF(WEEKDAY(nov!U$3,1)=1,"WO","P"))</f>
        <v>P</v>
      </c>
      <c r="V24" s="4" t="str">
        <f>IFERROR(LOOKUP(2,1/((#REF!=nov!$A24)*(#REF!&lt;=nov!V$3)*(#REF!&gt;=nov!V$3)),#REF!),IF(WEEKDAY(nov!V$3,1)=1,"WO","P"))</f>
        <v>P</v>
      </c>
      <c r="W24" s="4" t="str">
        <f>IFERROR(LOOKUP(2,1/((#REF!=nov!$A24)*(#REF!&lt;=nov!W$3)*(#REF!&gt;=nov!W$3)),#REF!),IF(WEEKDAY(nov!W$3,1)=1,"WO","P"))</f>
        <v>P</v>
      </c>
      <c r="X24" s="4" t="str">
        <f>IFERROR(LOOKUP(2,1/((#REF!=nov!$A24)*(#REF!&lt;=nov!X$3)*(#REF!&gt;=nov!X$3)),#REF!),IF(WEEKDAY(nov!X$3,1)=1,"WO","P"))</f>
        <v>P</v>
      </c>
      <c r="Y24" s="4" t="str">
        <f>IFERROR(LOOKUP(2,1/((#REF!=nov!$A24)*(#REF!&lt;=nov!Y$3)*(#REF!&gt;=nov!Y$3)),#REF!),IF(WEEKDAY(nov!Y$3,1)=1,"WO","P"))</f>
        <v>P</v>
      </c>
      <c r="Z24" s="4" t="str">
        <f>IFERROR(LOOKUP(2,1/((#REF!=nov!$A24)*(#REF!&lt;=nov!Z$3)*(#REF!&gt;=nov!Z$3)),#REF!),IF(WEEKDAY(nov!Z$3,1)=1,"WO","P"))</f>
        <v>P</v>
      </c>
      <c r="AA24" s="4" t="str">
        <f>IFERROR(LOOKUP(2,1/((#REF!=nov!$A24)*(#REF!&lt;=nov!AA$3)*(#REF!&gt;=nov!AA$3)),#REF!),IF(WEEKDAY(nov!AA$3,1)=1,"WO","P"))</f>
        <v>WO</v>
      </c>
      <c r="AB24" s="4" t="str">
        <f>IFERROR(LOOKUP(2,1/((#REF!=nov!$A24)*(#REF!&lt;=nov!AB$3)*(#REF!&gt;=nov!AB$3)),#REF!),IF(WEEKDAY(nov!AB$3,1)=1,"WO","P"))</f>
        <v>P</v>
      </c>
      <c r="AC24" s="4" t="str">
        <f>IFERROR(LOOKUP(2,1/((#REF!=nov!$A24)*(#REF!&lt;=nov!AC$3)*(#REF!&gt;=nov!AC$3)),#REF!),IF(WEEKDAY(nov!AC$3,1)=1,"WO","P"))</f>
        <v>P</v>
      </c>
      <c r="AD24" s="4" t="str">
        <f>IFERROR(LOOKUP(2,1/((#REF!=nov!$A24)*(#REF!&lt;=nov!AD$3)*(#REF!&gt;=nov!AD$3)),#REF!),IF(WEEKDAY(nov!AD$3,1)=1,"WO","P"))</f>
        <v>P</v>
      </c>
      <c r="AE24" s="4" t="str">
        <f>IFERROR(LOOKUP(2,1/((#REF!=nov!$A24)*(#REF!&lt;=nov!AE$3)*(#REF!&gt;=nov!AE$3)),#REF!),IF(WEEKDAY(nov!AE$3,1)=1,"WO","P"))</f>
        <v>P</v>
      </c>
      <c r="AF24" s="4" t="str">
        <f>IFERROR(LOOKUP(2,1/((#REF!=nov!$A24)*(#REF!&lt;=nov!AF$3)*(#REF!&gt;=nov!AF$3)),#REF!),IF(WEEKDAY(nov!AF$3,1)=1,"WO","P"))</f>
        <v>P</v>
      </c>
      <c r="AG24" s="4" t="str">
        <f>IFERROR(LOOKUP(2,1/((#REF!=nov!$A24)*(#REF!&lt;=nov!AG$3)*(#REF!&gt;=nov!AG$3)),#REF!),IF(WEEKDAY(nov!AG$3,1)=1,"WO","P"))</f>
        <v>P</v>
      </c>
      <c r="AH24" s="4" t="str">
        <f>IFERROR(LOOKUP(2,1/((#REF!=nov!$A24)*(#REF!&lt;=nov!AH$3)*(#REF!&gt;=nov!AH$3)),#REF!),IF(WEEKDAY(nov!AH$3,1)=1,"WO","P"))</f>
        <v>WO</v>
      </c>
      <c r="AI24" s="4" t="str">
        <f>IFERROR(LOOKUP(2,1/((#REF!=nov!$A24)*(#REF!&lt;=nov!AI$3)*(#REF!&gt;=nov!AI$3)),#REF!),IF(WEEKDAY(nov!AI$3,1)=1,"WO","P"))</f>
        <v>P</v>
      </c>
      <c r="AJ24" s="4">
        <f>COUNTIF(mar!$F24:$AJ24,"WO")</f>
        <v>5</v>
      </c>
      <c r="AK24" s="4">
        <f>COUNTIF(mar!$F24:$AJ24,"H")</f>
        <v>2</v>
      </c>
      <c r="AL24" s="4">
        <f>COUNTIF(mar!$F24:$AJ24,"pl")</f>
        <v>0</v>
      </c>
      <c r="AM24" s="4">
        <f>COUNTIF(mar!$F24:$AJ24,"LWP")</f>
        <v>0</v>
      </c>
      <c r="AN24" s="4">
        <f>COUNTIF(mar!$F24:$AJ24,"HD")</f>
        <v>0</v>
      </c>
      <c r="AO24" s="4">
        <f>COUNTIF(mar!$F24:$AJ24,"SL")</f>
        <v>0</v>
      </c>
      <c r="AP24" s="4">
        <f>COUNTIF(mar!$F24:$AJ24,"CL")</f>
        <v>0</v>
      </c>
      <c r="AQ24" s="4">
        <f>COUNTIF(mar!$F24:$AJ24,"A")</f>
        <v>1</v>
      </c>
      <c r="AR24" s="4">
        <f>COUNTIF(mar!$F24:$AJ24,"P")</f>
        <v>23</v>
      </c>
      <c r="AS24" s="4">
        <f t="shared" si="2"/>
        <v>30</v>
      </c>
      <c r="AT24" s="4">
        <f t="shared" si="3"/>
        <v>30</v>
      </c>
      <c r="AU24" s="4">
        <f>SUMIFS(holly!$L$2:$L$122,holly!$I$2:$I$122,mar!$A24,holly!$K$2:$K$122,"Mar")</f>
        <v>0</v>
      </c>
    </row>
    <row r="25" spans="1:47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IFERROR(LOOKUP(2,1/((#REF!=nov!$A25)*(#REF!&lt;=nov!F$3)*(#REF!&gt;=nov!F$3)),#REF!),IF(WEEKDAY(nov!F$3,1)=1,"WO","P"))</f>
        <v>WO</v>
      </c>
      <c r="G25" s="4" t="str">
        <f>IFERROR(LOOKUP(2,1/((#REF!=nov!$A25)*(#REF!&lt;=nov!G$3)*(#REF!&gt;=nov!G$3)),#REF!),IF(WEEKDAY(nov!G$3,1)=1,"WO","P"))</f>
        <v>P</v>
      </c>
      <c r="H25" s="4" t="str">
        <f>IFERROR(LOOKUP(2,1/((#REF!=nov!$A25)*(#REF!&lt;=nov!H$3)*(#REF!&gt;=nov!H$3)),#REF!),IF(WEEKDAY(nov!H$3,1)=1,"WO","P"))</f>
        <v>P</v>
      </c>
      <c r="I25" s="4" t="str">
        <f>IFERROR(LOOKUP(2,1/((#REF!=nov!$A25)*(#REF!&lt;=nov!I$3)*(#REF!&gt;=nov!I$3)),#REF!),IF(WEEKDAY(nov!I$3,1)=1,"WO","P"))</f>
        <v>P</v>
      </c>
      <c r="J25" s="4" t="str">
        <f>IFERROR(LOOKUP(2,1/((#REF!=nov!$A25)*(#REF!&lt;=nov!J$3)*(#REF!&gt;=nov!J$3)),#REF!),IF(WEEKDAY(nov!J$3,1)=1,"WO","P"))</f>
        <v>P</v>
      </c>
      <c r="K25" s="4" t="str">
        <f>IFERROR(LOOKUP(2,1/((#REF!=nov!$A25)*(#REF!&lt;=nov!K$3)*(#REF!&gt;=nov!K$3)),#REF!),IF(WEEKDAY(nov!K$3,1)=1,"WO","P"))</f>
        <v>P</v>
      </c>
      <c r="L25" s="4" t="str">
        <f>IFERROR(LOOKUP(2,1/((#REF!=nov!$A25)*(#REF!&lt;=nov!L$3)*(#REF!&gt;=nov!L$3)),#REF!),IF(WEEKDAY(nov!L$3,1)=1,"WO","P"))</f>
        <v>P</v>
      </c>
      <c r="M25" s="4" t="str">
        <f>IFERROR(LOOKUP(2,1/((#REF!=nov!$A25)*(#REF!&lt;=nov!M$3)*(#REF!&gt;=nov!M$3)),#REF!),IF(WEEKDAY(nov!M$3,1)=1,"WO","P"))</f>
        <v>WO</v>
      </c>
      <c r="N25" s="4" t="str">
        <f>IFERROR(LOOKUP(2,1/((#REF!=nov!$A25)*(#REF!&lt;=nov!N$3)*(#REF!&gt;=nov!N$3)),#REF!),IF(WEEKDAY(nov!N$3,1)=1,"WO","P"))</f>
        <v>P</v>
      </c>
      <c r="O25" s="4" t="str">
        <f>IFERROR(LOOKUP(2,1/((#REF!=nov!$A25)*(#REF!&lt;=nov!O$3)*(#REF!&gt;=nov!O$3)),#REF!),IF(WEEKDAY(nov!O$3,1)=1,"WO","P"))</f>
        <v>P</v>
      </c>
      <c r="P25" s="4" t="str">
        <f>IFERROR(LOOKUP(2,1/((#REF!=nov!$A25)*(#REF!&lt;=nov!P$3)*(#REF!&gt;=nov!P$3)),#REF!),IF(WEEKDAY(nov!P$3,1)=1,"WO","P"))</f>
        <v>P</v>
      </c>
      <c r="Q25" s="4" t="str">
        <f>IFERROR(LOOKUP(2,1/((#REF!=nov!$A25)*(#REF!&lt;=nov!Q$3)*(#REF!&gt;=nov!Q$3)),#REF!),IF(WEEKDAY(nov!Q$3,1)=1,"WO","P"))</f>
        <v>P</v>
      </c>
      <c r="R25" s="4" t="str">
        <f>IFERROR(LOOKUP(2,1/((#REF!=nov!$A25)*(#REF!&lt;=nov!R$3)*(#REF!&gt;=nov!R$3)),#REF!),IF(WEEKDAY(nov!R$3,1)=1,"WO","P"))</f>
        <v>P</v>
      </c>
      <c r="S25" s="4" t="str">
        <f>IFERROR(LOOKUP(2,1/((#REF!=nov!$A25)*(#REF!&lt;=nov!S$3)*(#REF!&gt;=nov!S$3)),#REF!),IF(WEEKDAY(nov!S$3,1)=1,"WO","P"))</f>
        <v>P</v>
      </c>
      <c r="T25" s="4" t="str">
        <f>IFERROR(LOOKUP(2,1/((#REF!=nov!$A25)*(#REF!&lt;=nov!T$3)*(#REF!&gt;=nov!T$3)),#REF!),IF(WEEKDAY(nov!T$3,1)=1,"WO","P"))</f>
        <v>WO</v>
      </c>
      <c r="U25" s="4" t="str">
        <f>IFERROR(LOOKUP(2,1/((#REF!=nov!$A25)*(#REF!&lt;=nov!U$3)*(#REF!&gt;=nov!U$3)),#REF!),IF(WEEKDAY(nov!U$3,1)=1,"WO","P"))</f>
        <v>P</v>
      </c>
      <c r="V25" s="4" t="str">
        <f>IFERROR(LOOKUP(2,1/((#REF!=nov!$A25)*(#REF!&lt;=nov!V$3)*(#REF!&gt;=nov!V$3)),#REF!),IF(WEEKDAY(nov!V$3,1)=1,"WO","P"))</f>
        <v>P</v>
      </c>
      <c r="W25" s="4" t="str">
        <f>IFERROR(LOOKUP(2,1/((#REF!=nov!$A25)*(#REF!&lt;=nov!W$3)*(#REF!&gt;=nov!W$3)),#REF!),IF(WEEKDAY(nov!W$3,1)=1,"WO","P"))</f>
        <v>P</v>
      </c>
      <c r="X25" s="4" t="str">
        <f>IFERROR(LOOKUP(2,1/((#REF!=nov!$A25)*(#REF!&lt;=nov!X$3)*(#REF!&gt;=nov!X$3)),#REF!),IF(WEEKDAY(nov!X$3,1)=1,"WO","P"))</f>
        <v>P</v>
      </c>
      <c r="Y25" s="4" t="str">
        <f>IFERROR(LOOKUP(2,1/((#REF!=nov!$A25)*(#REF!&lt;=nov!Y$3)*(#REF!&gt;=nov!Y$3)),#REF!),IF(WEEKDAY(nov!Y$3,1)=1,"WO","P"))</f>
        <v>P</v>
      </c>
      <c r="Z25" s="4" t="str">
        <f>IFERROR(LOOKUP(2,1/((#REF!=nov!$A25)*(#REF!&lt;=nov!Z$3)*(#REF!&gt;=nov!Z$3)),#REF!),IF(WEEKDAY(nov!Z$3,1)=1,"WO","P"))</f>
        <v>P</v>
      </c>
      <c r="AA25" s="4" t="str">
        <f>IFERROR(LOOKUP(2,1/((#REF!=nov!$A25)*(#REF!&lt;=nov!AA$3)*(#REF!&gt;=nov!AA$3)),#REF!),IF(WEEKDAY(nov!AA$3,1)=1,"WO","P"))</f>
        <v>WO</v>
      </c>
      <c r="AB25" s="4" t="str">
        <f>IFERROR(LOOKUP(2,1/((#REF!=nov!$A25)*(#REF!&lt;=nov!AB$3)*(#REF!&gt;=nov!AB$3)),#REF!),IF(WEEKDAY(nov!AB$3,1)=1,"WO","P"))</f>
        <v>P</v>
      </c>
      <c r="AC25" s="4" t="str">
        <f>IFERROR(LOOKUP(2,1/((#REF!=nov!$A25)*(#REF!&lt;=nov!AC$3)*(#REF!&gt;=nov!AC$3)),#REF!),IF(WEEKDAY(nov!AC$3,1)=1,"WO","P"))</f>
        <v>P</v>
      </c>
      <c r="AD25" s="4" t="str">
        <f>IFERROR(LOOKUP(2,1/((#REF!=nov!$A25)*(#REF!&lt;=nov!AD$3)*(#REF!&gt;=nov!AD$3)),#REF!),IF(WEEKDAY(nov!AD$3,1)=1,"WO","P"))</f>
        <v>P</v>
      </c>
      <c r="AE25" s="4" t="str">
        <f>IFERROR(LOOKUP(2,1/((#REF!=nov!$A25)*(#REF!&lt;=nov!AE$3)*(#REF!&gt;=nov!AE$3)),#REF!),IF(WEEKDAY(nov!AE$3,1)=1,"WO","P"))</f>
        <v>P</v>
      </c>
      <c r="AF25" s="4" t="str">
        <f>IFERROR(LOOKUP(2,1/((#REF!=nov!$A25)*(#REF!&lt;=nov!AF$3)*(#REF!&gt;=nov!AF$3)),#REF!),IF(WEEKDAY(nov!AF$3,1)=1,"WO","P"))</f>
        <v>P</v>
      </c>
      <c r="AG25" s="4" t="str">
        <f>IFERROR(LOOKUP(2,1/((#REF!=nov!$A25)*(#REF!&lt;=nov!AG$3)*(#REF!&gt;=nov!AG$3)),#REF!),IF(WEEKDAY(nov!AG$3,1)=1,"WO","P"))</f>
        <v>P</v>
      </c>
      <c r="AH25" s="4" t="str">
        <f>IFERROR(LOOKUP(2,1/((#REF!=nov!$A25)*(#REF!&lt;=nov!AH$3)*(#REF!&gt;=nov!AH$3)),#REF!),IF(WEEKDAY(nov!AH$3,1)=1,"WO","P"))</f>
        <v>WO</v>
      </c>
      <c r="AI25" s="4" t="str">
        <f>IFERROR(LOOKUP(2,1/((#REF!=nov!$A25)*(#REF!&lt;=nov!AI$3)*(#REF!&gt;=nov!AI$3)),#REF!),IF(WEEKDAY(nov!AI$3,1)=1,"WO","P"))</f>
        <v>P</v>
      </c>
      <c r="AJ25" s="4">
        <f>COUNTIF(mar!$F25:$AJ25,"WO")</f>
        <v>5</v>
      </c>
      <c r="AK25" s="4">
        <f>COUNTIF(mar!$F25:$AJ25,"H")</f>
        <v>2</v>
      </c>
      <c r="AL25" s="4">
        <f>COUNTIF(mar!$F25:$AJ25,"pl")</f>
        <v>0</v>
      </c>
      <c r="AM25" s="4">
        <f>COUNTIF(mar!$F25:$AJ25,"LWP")</f>
        <v>0</v>
      </c>
      <c r="AN25" s="4">
        <f>COUNTIF(mar!$F25:$AJ25,"HD")</f>
        <v>0</v>
      </c>
      <c r="AO25" s="4">
        <f>COUNTIF(mar!$F25:$AJ25,"SL")</f>
        <v>0</v>
      </c>
      <c r="AP25" s="4">
        <f>COUNTIF(mar!$F25:$AJ25,"CL")</f>
        <v>0</v>
      </c>
      <c r="AQ25" s="4">
        <f>COUNTIF(mar!$F25:$AJ25,"A")</f>
        <v>2</v>
      </c>
      <c r="AR25" s="4">
        <f>COUNTIF(mar!$F25:$AJ25,"P")</f>
        <v>22</v>
      </c>
      <c r="AS25" s="4">
        <f t="shared" si="2"/>
        <v>30</v>
      </c>
      <c r="AT25" s="4">
        <f t="shared" si="3"/>
        <v>29</v>
      </c>
      <c r="AU25" s="4">
        <f>SUMIFS(holly!$L$2:$L$122,holly!$I$2:$I$122,mar!$A25,holly!$K$2:$K$122,"Mar")</f>
        <v>0</v>
      </c>
    </row>
    <row r="26" spans="1:47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IFERROR(LOOKUP(2,1/((#REF!=nov!$A26)*(#REF!&lt;=nov!F$3)*(#REF!&gt;=nov!F$3)),#REF!),IF(WEEKDAY(nov!F$3,1)=1,"WO","P"))</f>
        <v>WO</v>
      </c>
      <c r="G26" s="4" t="str">
        <f>IFERROR(LOOKUP(2,1/((#REF!=nov!$A26)*(#REF!&lt;=nov!G$3)*(#REF!&gt;=nov!G$3)),#REF!),IF(WEEKDAY(nov!G$3,1)=1,"WO","P"))</f>
        <v>P</v>
      </c>
      <c r="H26" s="4" t="str">
        <f>IFERROR(LOOKUP(2,1/((#REF!=nov!$A26)*(#REF!&lt;=nov!H$3)*(#REF!&gt;=nov!H$3)),#REF!),IF(WEEKDAY(nov!H$3,1)=1,"WO","P"))</f>
        <v>P</v>
      </c>
      <c r="I26" s="4" t="str">
        <f>IFERROR(LOOKUP(2,1/((#REF!=nov!$A26)*(#REF!&lt;=nov!I$3)*(#REF!&gt;=nov!I$3)),#REF!),IF(WEEKDAY(nov!I$3,1)=1,"WO","P"))</f>
        <v>P</v>
      </c>
      <c r="J26" s="4" t="str">
        <f>IFERROR(LOOKUP(2,1/((#REF!=nov!$A26)*(#REF!&lt;=nov!J$3)*(#REF!&gt;=nov!J$3)),#REF!),IF(WEEKDAY(nov!J$3,1)=1,"WO","P"))</f>
        <v>P</v>
      </c>
      <c r="K26" s="4" t="str">
        <f>IFERROR(LOOKUP(2,1/((#REF!=nov!$A26)*(#REF!&lt;=nov!K$3)*(#REF!&gt;=nov!K$3)),#REF!),IF(WEEKDAY(nov!K$3,1)=1,"WO","P"))</f>
        <v>P</v>
      </c>
      <c r="L26" s="4" t="str">
        <f>IFERROR(LOOKUP(2,1/((#REF!=nov!$A26)*(#REF!&lt;=nov!L$3)*(#REF!&gt;=nov!L$3)),#REF!),IF(WEEKDAY(nov!L$3,1)=1,"WO","P"))</f>
        <v>P</v>
      </c>
      <c r="M26" s="4" t="str">
        <f>IFERROR(LOOKUP(2,1/((#REF!=nov!$A26)*(#REF!&lt;=nov!M$3)*(#REF!&gt;=nov!M$3)),#REF!),IF(WEEKDAY(nov!M$3,1)=1,"WO","P"))</f>
        <v>WO</v>
      </c>
      <c r="N26" s="4" t="str">
        <f>IFERROR(LOOKUP(2,1/((#REF!=nov!$A26)*(#REF!&lt;=nov!N$3)*(#REF!&gt;=nov!N$3)),#REF!),IF(WEEKDAY(nov!N$3,1)=1,"WO","P"))</f>
        <v>P</v>
      </c>
      <c r="O26" s="4" t="str">
        <f>IFERROR(LOOKUP(2,1/((#REF!=nov!$A26)*(#REF!&lt;=nov!O$3)*(#REF!&gt;=nov!O$3)),#REF!),IF(WEEKDAY(nov!O$3,1)=1,"WO","P"))</f>
        <v>P</v>
      </c>
      <c r="P26" s="4" t="str">
        <f>IFERROR(LOOKUP(2,1/((#REF!=nov!$A26)*(#REF!&lt;=nov!P$3)*(#REF!&gt;=nov!P$3)),#REF!),IF(WEEKDAY(nov!P$3,1)=1,"WO","P"))</f>
        <v>P</v>
      </c>
      <c r="Q26" s="4" t="str">
        <f>IFERROR(LOOKUP(2,1/((#REF!=nov!$A26)*(#REF!&lt;=nov!Q$3)*(#REF!&gt;=nov!Q$3)),#REF!),IF(WEEKDAY(nov!Q$3,1)=1,"WO","P"))</f>
        <v>P</v>
      </c>
      <c r="R26" s="4" t="str">
        <f>IFERROR(LOOKUP(2,1/((#REF!=nov!$A26)*(#REF!&lt;=nov!R$3)*(#REF!&gt;=nov!R$3)),#REF!),IF(WEEKDAY(nov!R$3,1)=1,"WO","P"))</f>
        <v>P</v>
      </c>
      <c r="S26" s="4" t="str">
        <f>IFERROR(LOOKUP(2,1/((#REF!=nov!$A26)*(#REF!&lt;=nov!S$3)*(#REF!&gt;=nov!S$3)),#REF!),IF(WEEKDAY(nov!S$3,1)=1,"WO","P"))</f>
        <v>P</v>
      </c>
      <c r="T26" s="4" t="str">
        <f>IFERROR(LOOKUP(2,1/((#REF!=nov!$A26)*(#REF!&lt;=nov!T$3)*(#REF!&gt;=nov!T$3)),#REF!),IF(WEEKDAY(nov!T$3,1)=1,"WO","P"))</f>
        <v>WO</v>
      </c>
      <c r="U26" s="4" t="str">
        <f>IFERROR(LOOKUP(2,1/((#REF!=nov!$A26)*(#REF!&lt;=nov!U$3)*(#REF!&gt;=nov!U$3)),#REF!),IF(WEEKDAY(nov!U$3,1)=1,"WO","P"))</f>
        <v>P</v>
      </c>
      <c r="V26" s="4" t="str">
        <f>IFERROR(LOOKUP(2,1/((#REF!=nov!$A26)*(#REF!&lt;=nov!V$3)*(#REF!&gt;=nov!V$3)),#REF!),IF(WEEKDAY(nov!V$3,1)=1,"WO","P"))</f>
        <v>P</v>
      </c>
      <c r="W26" s="4" t="str">
        <f>IFERROR(LOOKUP(2,1/((#REF!=nov!$A26)*(#REF!&lt;=nov!W$3)*(#REF!&gt;=nov!W$3)),#REF!),IF(WEEKDAY(nov!W$3,1)=1,"WO","P"))</f>
        <v>P</v>
      </c>
      <c r="X26" s="4" t="str">
        <f>IFERROR(LOOKUP(2,1/((#REF!=nov!$A26)*(#REF!&lt;=nov!X$3)*(#REF!&gt;=nov!X$3)),#REF!),IF(WEEKDAY(nov!X$3,1)=1,"WO","P"))</f>
        <v>P</v>
      </c>
      <c r="Y26" s="4" t="str">
        <f>IFERROR(LOOKUP(2,1/((#REF!=nov!$A26)*(#REF!&lt;=nov!Y$3)*(#REF!&gt;=nov!Y$3)),#REF!),IF(WEEKDAY(nov!Y$3,1)=1,"WO","P"))</f>
        <v>P</v>
      </c>
      <c r="Z26" s="4" t="str">
        <f>IFERROR(LOOKUP(2,1/((#REF!=nov!$A26)*(#REF!&lt;=nov!Z$3)*(#REF!&gt;=nov!Z$3)),#REF!),IF(WEEKDAY(nov!Z$3,1)=1,"WO","P"))</f>
        <v>P</v>
      </c>
      <c r="AA26" s="4" t="str">
        <f>IFERROR(LOOKUP(2,1/((#REF!=nov!$A26)*(#REF!&lt;=nov!AA$3)*(#REF!&gt;=nov!AA$3)),#REF!),IF(WEEKDAY(nov!AA$3,1)=1,"WO","P"))</f>
        <v>WO</v>
      </c>
      <c r="AB26" s="4" t="str">
        <f>IFERROR(LOOKUP(2,1/((#REF!=nov!$A26)*(#REF!&lt;=nov!AB$3)*(#REF!&gt;=nov!AB$3)),#REF!),IF(WEEKDAY(nov!AB$3,1)=1,"WO","P"))</f>
        <v>P</v>
      </c>
      <c r="AC26" s="4" t="str">
        <f>IFERROR(LOOKUP(2,1/((#REF!=nov!$A26)*(#REF!&lt;=nov!AC$3)*(#REF!&gt;=nov!AC$3)),#REF!),IF(WEEKDAY(nov!AC$3,1)=1,"WO","P"))</f>
        <v>P</v>
      </c>
      <c r="AD26" s="4" t="str">
        <f>IFERROR(LOOKUP(2,1/((#REF!=nov!$A26)*(#REF!&lt;=nov!AD$3)*(#REF!&gt;=nov!AD$3)),#REF!),IF(WEEKDAY(nov!AD$3,1)=1,"WO","P"))</f>
        <v>P</v>
      </c>
      <c r="AE26" s="4" t="str">
        <f>IFERROR(LOOKUP(2,1/((#REF!=nov!$A26)*(#REF!&lt;=nov!AE$3)*(#REF!&gt;=nov!AE$3)),#REF!),IF(WEEKDAY(nov!AE$3,1)=1,"WO","P"))</f>
        <v>P</v>
      </c>
      <c r="AF26" s="4" t="str">
        <f>IFERROR(LOOKUP(2,1/((#REF!=nov!$A26)*(#REF!&lt;=nov!AF$3)*(#REF!&gt;=nov!AF$3)),#REF!),IF(WEEKDAY(nov!AF$3,1)=1,"WO","P"))</f>
        <v>P</v>
      </c>
      <c r="AG26" s="4" t="str">
        <f>IFERROR(LOOKUP(2,1/((#REF!=nov!$A26)*(#REF!&lt;=nov!AG$3)*(#REF!&gt;=nov!AG$3)),#REF!),IF(WEEKDAY(nov!AG$3,1)=1,"WO","P"))</f>
        <v>P</v>
      </c>
      <c r="AH26" s="4" t="str">
        <f>IFERROR(LOOKUP(2,1/((#REF!=nov!$A26)*(#REF!&lt;=nov!AH$3)*(#REF!&gt;=nov!AH$3)),#REF!),IF(WEEKDAY(nov!AH$3,1)=1,"WO","P"))</f>
        <v>WO</v>
      </c>
      <c r="AI26" s="4" t="str">
        <f>IFERROR(LOOKUP(2,1/((#REF!=nov!$A26)*(#REF!&lt;=nov!AI$3)*(#REF!&gt;=nov!AI$3)),#REF!),IF(WEEKDAY(nov!AI$3,1)=1,"WO","P"))</f>
        <v>P</v>
      </c>
      <c r="AJ26" s="4">
        <f>COUNTIF(mar!$F26:$AJ26,"WO")</f>
        <v>5</v>
      </c>
      <c r="AK26" s="4">
        <f>COUNTIF(mar!$F26:$AJ26,"H")</f>
        <v>2</v>
      </c>
      <c r="AL26" s="4">
        <f>COUNTIF(mar!$F26:$AJ26,"pl")</f>
        <v>0</v>
      </c>
      <c r="AM26" s="4">
        <f>COUNTIF(mar!$F26:$AJ26,"LWP")</f>
        <v>0</v>
      </c>
      <c r="AN26" s="4">
        <f>COUNTIF(mar!$F26:$AJ26,"HD")</f>
        <v>0</v>
      </c>
      <c r="AO26" s="4">
        <f>COUNTIF(mar!$F26:$AJ26,"SL")</f>
        <v>0</v>
      </c>
      <c r="AP26" s="4">
        <f>COUNTIF(mar!$F26:$AJ26,"CL")</f>
        <v>0</v>
      </c>
      <c r="AQ26" s="4">
        <f>COUNTIF(mar!$F26:$AJ26,"A")</f>
        <v>1</v>
      </c>
      <c r="AR26" s="4">
        <f>COUNTIF(mar!$F26:$AJ26,"P")</f>
        <v>23</v>
      </c>
      <c r="AS26" s="4">
        <f t="shared" si="2"/>
        <v>30</v>
      </c>
      <c r="AT26" s="4">
        <f t="shared" si="3"/>
        <v>30</v>
      </c>
      <c r="AU26" s="4">
        <f>SUMIFS(holly!$L$2:$L$122,holly!$I$2:$I$122,mar!$A26,holly!$K$2:$K$122,"Mar")</f>
        <v>0</v>
      </c>
    </row>
    <row r="27" spans="1:47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IFERROR(LOOKUP(2,1/((#REF!=nov!$A27)*(#REF!&lt;=nov!F$3)*(#REF!&gt;=nov!F$3)),#REF!),IF(WEEKDAY(nov!F$3,1)=1,"WO","P"))</f>
        <v>WO</v>
      </c>
      <c r="G27" s="4" t="str">
        <f>IFERROR(LOOKUP(2,1/((#REF!=nov!$A27)*(#REF!&lt;=nov!G$3)*(#REF!&gt;=nov!G$3)),#REF!),IF(WEEKDAY(nov!G$3,1)=1,"WO","P"))</f>
        <v>P</v>
      </c>
      <c r="H27" s="4" t="str">
        <f>IFERROR(LOOKUP(2,1/((#REF!=nov!$A27)*(#REF!&lt;=nov!H$3)*(#REF!&gt;=nov!H$3)),#REF!),IF(WEEKDAY(nov!H$3,1)=1,"WO","P"))</f>
        <v>P</v>
      </c>
      <c r="I27" s="4" t="str">
        <f>IFERROR(LOOKUP(2,1/((#REF!=nov!$A27)*(#REF!&lt;=nov!I$3)*(#REF!&gt;=nov!I$3)),#REF!),IF(WEEKDAY(nov!I$3,1)=1,"WO","P"))</f>
        <v>P</v>
      </c>
      <c r="J27" s="4" t="str">
        <f>IFERROR(LOOKUP(2,1/((#REF!=nov!$A27)*(#REF!&lt;=nov!J$3)*(#REF!&gt;=nov!J$3)),#REF!),IF(WEEKDAY(nov!J$3,1)=1,"WO","P"))</f>
        <v>P</v>
      </c>
      <c r="K27" s="4" t="str">
        <f>IFERROR(LOOKUP(2,1/((#REF!=nov!$A27)*(#REF!&lt;=nov!K$3)*(#REF!&gt;=nov!K$3)),#REF!),IF(WEEKDAY(nov!K$3,1)=1,"WO","P"))</f>
        <v>P</v>
      </c>
      <c r="L27" s="4" t="str">
        <f>IFERROR(LOOKUP(2,1/((#REF!=nov!$A27)*(#REF!&lt;=nov!L$3)*(#REF!&gt;=nov!L$3)),#REF!),IF(WEEKDAY(nov!L$3,1)=1,"WO","P"))</f>
        <v>P</v>
      </c>
      <c r="M27" s="4" t="str">
        <f>IFERROR(LOOKUP(2,1/((#REF!=nov!$A27)*(#REF!&lt;=nov!M$3)*(#REF!&gt;=nov!M$3)),#REF!),IF(WEEKDAY(nov!M$3,1)=1,"WO","P"))</f>
        <v>WO</v>
      </c>
      <c r="N27" s="4" t="str">
        <f>IFERROR(LOOKUP(2,1/((#REF!=nov!$A27)*(#REF!&lt;=nov!N$3)*(#REF!&gt;=nov!N$3)),#REF!),IF(WEEKDAY(nov!N$3,1)=1,"WO","P"))</f>
        <v>P</v>
      </c>
      <c r="O27" s="4" t="str">
        <f>IFERROR(LOOKUP(2,1/((#REF!=nov!$A27)*(#REF!&lt;=nov!O$3)*(#REF!&gt;=nov!O$3)),#REF!),IF(WEEKDAY(nov!O$3,1)=1,"WO","P"))</f>
        <v>P</v>
      </c>
      <c r="P27" s="4" t="str">
        <f>IFERROR(LOOKUP(2,1/((#REF!=nov!$A27)*(#REF!&lt;=nov!P$3)*(#REF!&gt;=nov!P$3)),#REF!),IF(WEEKDAY(nov!P$3,1)=1,"WO","P"))</f>
        <v>P</v>
      </c>
      <c r="Q27" s="4" t="str">
        <f>IFERROR(LOOKUP(2,1/((#REF!=nov!$A27)*(#REF!&lt;=nov!Q$3)*(#REF!&gt;=nov!Q$3)),#REF!),IF(WEEKDAY(nov!Q$3,1)=1,"WO","P"))</f>
        <v>P</v>
      </c>
      <c r="R27" s="4" t="str">
        <f>IFERROR(LOOKUP(2,1/((#REF!=nov!$A27)*(#REF!&lt;=nov!R$3)*(#REF!&gt;=nov!R$3)),#REF!),IF(WEEKDAY(nov!R$3,1)=1,"WO","P"))</f>
        <v>P</v>
      </c>
      <c r="S27" s="4" t="str">
        <f>IFERROR(LOOKUP(2,1/((#REF!=nov!$A27)*(#REF!&lt;=nov!S$3)*(#REF!&gt;=nov!S$3)),#REF!),IF(WEEKDAY(nov!S$3,1)=1,"WO","P"))</f>
        <v>P</v>
      </c>
      <c r="T27" s="4" t="str">
        <f>IFERROR(LOOKUP(2,1/((#REF!=nov!$A27)*(#REF!&lt;=nov!T$3)*(#REF!&gt;=nov!T$3)),#REF!),IF(WEEKDAY(nov!T$3,1)=1,"WO","P"))</f>
        <v>WO</v>
      </c>
      <c r="U27" s="4" t="str">
        <f>IFERROR(LOOKUP(2,1/((#REF!=nov!$A27)*(#REF!&lt;=nov!U$3)*(#REF!&gt;=nov!U$3)),#REF!),IF(WEEKDAY(nov!U$3,1)=1,"WO","P"))</f>
        <v>P</v>
      </c>
      <c r="V27" s="4" t="str">
        <f>IFERROR(LOOKUP(2,1/((#REF!=nov!$A27)*(#REF!&lt;=nov!V$3)*(#REF!&gt;=nov!V$3)),#REF!),IF(WEEKDAY(nov!V$3,1)=1,"WO","P"))</f>
        <v>P</v>
      </c>
      <c r="W27" s="4" t="str">
        <f>IFERROR(LOOKUP(2,1/((#REF!=nov!$A27)*(#REF!&lt;=nov!W$3)*(#REF!&gt;=nov!W$3)),#REF!),IF(WEEKDAY(nov!W$3,1)=1,"WO","P"))</f>
        <v>P</v>
      </c>
      <c r="X27" s="4" t="str">
        <f>IFERROR(LOOKUP(2,1/((#REF!=nov!$A27)*(#REF!&lt;=nov!X$3)*(#REF!&gt;=nov!X$3)),#REF!),IF(WEEKDAY(nov!X$3,1)=1,"WO","P"))</f>
        <v>P</v>
      </c>
      <c r="Y27" s="4" t="str">
        <f>IFERROR(LOOKUP(2,1/((#REF!=nov!$A27)*(#REF!&lt;=nov!Y$3)*(#REF!&gt;=nov!Y$3)),#REF!),IF(WEEKDAY(nov!Y$3,1)=1,"WO","P"))</f>
        <v>P</v>
      </c>
      <c r="Z27" s="4" t="str">
        <f>IFERROR(LOOKUP(2,1/((#REF!=nov!$A27)*(#REF!&lt;=nov!Z$3)*(#REF!&gt;=nov!Z$3)),#REF!),IF(WEEKDAY(nov!Z$3,1)=1,"WO","P"))</f>
        <v>P</v>
      </c>
      <c r="AA27" s="4" t="str">
        <f>IFERROR(LOOKUP(2,1/((#REF!=nov!$A27)*(#REF!&lt;=nov!AA$3)*(#REF!&gt;=nov!AA$3)),#REF!),IF(WEEKDAY(nov!AA$3,1)=1,"WO","P"))</f>
        <v>WO</v>
      </c>
      <c r="AB27" s="4" t="str">
        <f>IFERROR(LOOKUP(2,1/((#REF!=nov!$A27)*(#REF!&lt;=nov!AB$3)*(#REF!&gt;=nov!AB$3)),#REF!),IF(WEEKDAY(nov!AB$3,1)=1,"WO","P"))</f>
        <v>P</v>
      </c>
      <c r="AC27" s="4" t="str">
        <f>IFERROR(LOOKUP(2,1/((#REF!=nov!$A27)*(#REF!&lt;=nov!AC$3)*(#REF!&gt;=nov!AC$3)),#REF!),IF(WEEKDAY(nov!AC$3,1)=1,"WO","P"))</f>
        <v>P</v>
      </c>
      <c r="AD27" s="4" t="str">
        <f>IFERROR(LOOKUP(2,1/((#REF!=nov!$A27)*(#REF!&lt;=nov!AD$3)*(#REF!&gt;=nov!AD$3)),#REF!),IF(WEEKDAY(nov!AD$3,1)=1,"WO","P"))</f>
        <v>P</v>
      </c>
      <c r="AE27" s="4" t="str">
        <f>IFERROR(LOOKUP(2,1/((#REF!=nov!$A27)*(#REF!&lt;=nov!AE$3)*(#REF!&gt;=nov!AE$3)),#REF!),IF(WEEKDAY(nov!AE$3,1)=1,"WO","P"))</f>
        <v>P</v>
      </c>
      <c r="AF27" s="4" t="str">
        <f>IFERROR(LOOKUP(2,1/((#REF!=nov!$A27)*(#REF!&lt;=nov!AF$3)*(#REF!&gt;=nov!AF$3)),#REF!),IF(WEEKDAY(nov!AF$3,1)=1,"WO","P"))</f>
        <v>P</v>
      </c>
      <c r="AG27" s="4" t="str">
        <f>IFERROR(LOOKUP(2,1/((#REF!=nov!$A27)*(#REF!&lt;=nov!AG$3)*(#REF!&gt;=nov!AG$3)),#REF!),IF(WEEKDAY(nov!AG$3,1)=1,"WO","P"))</f>
        <v>P</v>
      </c>
      <c r="AH27" s="4" t="str">
        <f>IFERROR(LOOKUP(2,1/((#REF!=nov!$A27)*(#REF!&lt;=nov!AH$3)*(#REF!&gt;=nov!AH$3)),#REF!),IF(WEEKDAY(nov!AH$3,1)=1,"WO","P"))</f>
        <v>WO</v>
      </c>
      <c r="AI27" s="4" t="str">
        <f>IFERROR(LOOKUP(2,1/((#REF!=nov!$A27)*(#REF!&lt;=nov!AI$3)*(#REF!&gt;=nov!AI$3)),#REF!),IF(WEEKDAY(nov!AI$3,1)=1,"WO","P"))</f>
        <v>P</v>
      </c>
      <c r="AJ27" s="4">
        <f>COUNTIF(mar!$F27:$AJ27,"WO")</f>
        <v>5</v>
      </c>
      <c r="AK27" s="4">
        <f>COUNTIF(mar!$F27:$AJ27,"H")</f>
        <v>2</v>
      </c>
      <c r="AL27" s="4">
        <f>COUNTIF(mar!$F27:$AJ27,"pl")</f>
        <v>0</v>
      </c>
      <c r="AM27" s="4">
        <f>COUNTIF(mar!$F27:$AJ27,"LWP")</f>
        <v>0</v>
      </c>
      <c r="AN27" s="4">
        <f>COUNTIF(mar!$F27:$AJ27,"HD")</f>
        <v>0</v>
      </c>
      <c r="AO27" s="4">
        <f>COUNTIF(mar!$F27:$AJ27,"SL")</f>
        <v>0</v>
      </c>
      <c r="AP27" s="4">
        <f>COUNTIF(mar!$F27:$AJ27,"CL")</f>
        <v>0</v>
      </c>
      <c r="AQ27" s="4">
        <f>COUNTIF(mar!$F27:$AJ27,"A")</f>
        <v>0</v>
      </c>
      <c r="AR27" s="4">
        <f>COUNTIF(mar!$F27:$AJ27,"P")</f>
        <v>24</v>
      </c>
      <c r="AS27" s="4">
        <f t="shared" si="2"/>
        <v>30</v>
      </c>
      <c r="AT27" s="4">
        <f t="shared" si="3"/>
        <v>31</v>
      </c>
      <c r="AU27" s="4">
        <f>SUMIFS(holly!$L$2:$L$122,holly!$I$2:$I$122,mar!$A27,holly!$K$2:$K$122,"Mar")</f>
        <v>0</v>
      </c>
    </row>
    <row r="28" spans="1:47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IFERROR(LOOKUP(2,1/((#REF!=nov!$A28)*(#REF!&lt;=nov!F$3)*(#REF!&gt;=nov!F$3)),#REF!),IF(WEEKDAY(nov!F$3,1)=1,"WO","P"))</f>
        <v>WO</v>
      </c>
      <c r="G28" s="4" t="str">
        <f>IFERROR(LOOKUP(2,1/((#REF!=nov!$A28)*(#REF!&lt;=nov!G$3)*(#REF!&gt;=nov!G$3)),#REF!),IF(WEEKDAY(nov!G$3,1)=1,"WO","P"))</f>
        <v>P</v>
      </c>
      <c r="H28" s="4" t="str">
        <f>IFERROR(LOOKUP(2,1/((#REF!=nov!$A28)*(#REF!&lt;=nov!H$3)*(#REF!&gt;=nov!H$3)),#REF!),IF(WEEKDAY(nov!H$3,1)=1,"WO","P"))</f>
        <v>P</v>
      </c>
      <c r="I28" s="4" t="str">
        <f>IFERROR(LOOKUP(2,1/((#REF!=nov!$A28)*(#REF!&lt;=nov!I$3)*(#REF!&gt;=nov!I$3)),#REF!),IF(WEEKDAY(nov!I$3,1)=1,"WO","P"))</f>
        <v>P</v>
      </c>
      <c r="J28" s="4" t="str">
        <f>IFERROR(LOOKUP(2,1/((#REF!=nov!$A28)*(#REF!&lt;=nov!J$3)*(#REF!&gt;=nov!J$3)),#REF!),IF(WEEKDAY(nov!J$3,1)=1,"WO","P"))</f>
        <v>P</v>
      </c>
      <c r="K28" s="4" t="str">
        <f>IFERROR(LOOKUP(2,1/((#REF!=nov!$A28)*(#REF!&lt;=nov!K$3)*(#REF!&gt;=nov!K$3)),#REF!),IF(WEEKDAY(nov!K$3,1)=1,"WO","P"))</f>
        <v>P</v>
      </c>
      <c r="L28" s="4" t="str">
        <f>IFERROR(LOOKUP(2,1/((#REF!=nov!$A28)*(#REF!&lt;=nov!L$3)*(#REF!&gt;=nov!L$3)),#REF!),IF(WEEKDAY(nov!L$3,1)=1,"WO","P"))</f>
        <v>P</v>
      </c>
      <c r="M28" s="4" t="str">
        <f>IFERROR(LOOKUP(2,1/((#REF!=nov!$A28)*(#REF!&lt;=nov!M$3)*(#REF!&gt;=nov!M$3)),#REF!),IF(WEEKDAY(nov!M$3,1)=1,"WO","P"))</f>
        <v>WO</v>
      </c>
      <c r="N28" s="4" t="str">
        <f>IFERROR(LOOKUP(2,1/((#REF!=nov!$A28)*(#REF!&lt;=nov!N$3)*(#REF!&gt;=nov!N$3)),#REF!),IF(WEEKDAY(nov!N$3,1)=1,"WO","P"))</f>
        <v>P</v>
      </c>
      <c r="O28" s="4" t="str">
        <f>IFERROR(LOOKUP(2,1/((#REF!=nov!$A28)*(#REF!&lt;=nov!O$3)*(#REF!&gt;=nov!O$3)),#REF!),IF(WEEKDAY(nov!O$3,1)=1,"WO","P"))</f>
        <v>P</v>
      </c>
      <c r="P28" s="4" t="str">
        <f>IFERROR(LOOKUP(2,1/((#REF!=nov!$A28)*(#REF!&lt;=nov!P$3)*(#REF!&gt;=nov!P$3)),#REF!),IF(WEEKDAY(nov!P$3,1)=1,"WO","P"))</f>
        <v>P</v>
      </c>
      <c r="Q28" s="4" t="str">
        <f>IFERROR(LOOKUP(2,1/((#REF!=nov!$A28)*(#REF!&lt;=nov!Q$3)*(#REF!&gt;=nov!Q$3)),#REF!),IF(WEEKDAY(nov!Q$3,1)=1,"WO","P"))</f>
        <v>P</v>
      </c>
      <c r="R28" s="4" t="str">
        <f>IFERROR(LOOKUP(2,1/((#REF!=nov!$A28)*(#REF!&lt;=nov!R$3)*(#REF!&gt;=nov!R$3)),#REF!),IF(WEEKDAY(nov!R$3,1)=1,"WO","P"))</f>
        <v>P</v>
      </c>
      <c r="S28" s="4" t="str">
        <f>IFERROR(LOOKUP(2,1/((#REF!=nov!$A28)*(#REF!&lt;=nov!S$3)*(#REF!&gt;=nov!S$3)),#REF!),IF(WEEKDAY(nov!S$3,1)=1,"WO","P"))</f>
        <v>P</v>
      </c>
      <c r="T28" s="4" t="str">
        <f>IFERROR(LOOKUP(2,1/((#REF!=nov!$A28)*(#REF!&lt;=nov!T$3)*(#REF!&gt;=nov!T$3)),#REF!),IF(WEEKDAY(nov!T$3,1)=1,"WO","P"))</f>
        <v>WO</v>
      </c>
      <c r="U28" s="4" t="str">
        <f>IFERROR(LOOKUP(2,1/((#REF!=nov!$A28)*(#REF!&lt;=nov!U$3)*(#REF!&gt;=nov!U$3)),#REF!),IF(WEEKDAY(nov!U$3,1)=1,"WO","P"))</f>
        <v>P</v>
      </c>
      <c r="V28" s="4" t="str">
        <f>IFERROR(LOOKUP(2,1/((#REF!=nov!$A28)*(#REF!&lt;=nov!V$3)*(#REF!&gt;=nov!V$3)),#REF!),IF(WEEKDAY(nov!V$3,1)=1,"WO","P"))</f>
        <v>P</v>
      </c>
      <c r="W28" s="4" t="str">
        <f>IFERROR(LOOKUP(2,1/((#REF!=nov!$A28)*(#REF!&lt;=nov!W$3)*(#REF!&gt;=nov!W$3)),#REF!),IF(WEEKDAY(nov!W$3,1)=1,"WO","P"))</f>
        <v>P</v>
      </c>
      <c r="X28" s="4" t="str">
        <f>IFERROR(LOOKUP(2,1/((#REF!=nov!$A28)*(#REF!&lt;=nov!X$3)*(#REF!&gt;=nov!X$3)),#REF!),IF(WEEKDAY(nov!X$3,1)=1,"WO","P"))</f>
        <v>P</v>
      </c>
      <c r="Y28" s="4" t="str">
        <f>IFERROR(LOOKUP(2,1/((#REF!=nov!$A28)*(#REF!&lt;=nov!Y$3)*(#REF!&gt;=nov!Y$3)),#REF!),IF(WEEKDAY(nov!Y$3,1)=1,"WO","P"))</f>
        <v>P</v>
      </c>
      <c r="Z28" s="4" t="str">
        <f>IFERROR(LOOKUP(2,1/((#REF!=nov!$A28)*(#REF!&lt;=nov!Z$3)*(#REF!&gt;=nov!Z$3)),#REF!),IF(WEEKDAY(nov!Z$3,1)=1,"WO","P"))</f>
        <v>P</v>
      </c>
      <c r="AA28" s="4" t="str">
        <f>IFERROR(LOOKUP(2,1/((#REF!=nov!$A28)*(#REF!&lt;=nov!AA$3)*(#REF!&gt;=nov!AA$3)),#REF!),IF(WEEKDAY(nov!AA$3,1)=1,"WO","P"))</f>
        <v>WO</v>
      </c>
      <c r="AB28" s="4" t="str">
        <f>IFERROR(LOOKUP(2,1/((#REF!=nov!$A28)*(#REF!&lt;=nov!AB$3)*(#REF!&gt;=nov!AB$3)),#REF!),IF(WEEKDAY(nov!AB$3,1)=1,"WO","P"))</f>
        <v>P</v>
      </c>
      <c r="AC28" s="4" t="str">
        <f>IFERROR(LOOKUP(2,1/((#REF!=nov!$A28)*(#REF!&lt;=nov!AC$3)*(#REF!&gt;=nov!AC$3)),#REF!),IF(WEEKDAY(nov!AC$3,1)=1,"WO","P"))</f>
        <v>P</v>
      </c>
      <c r="AD28" s="4" t="str">
        <f>IFERROR(LOOKUP(2,1/((#REF!=nov!$A28)*(#REF!&lt;=nov!AD$3)*(#REF!&gt;=nov!AD$3)),#REF!),IF(WEEKDAY(nov!AD$3,1)=1,"WO","P"))</f>
        <v>P</v>
      </c>
      <c r="AE28" s="4" t="str">
        <f>IFERROR(LOOKUP(2,1/((#REF!=nov!$A28)*(#REF!&lt;=nov!AE$3)*(#REF!&gt;=nov!AE$3)),#REF!),IF(WEEKDAY(nov!AE$3,1)=1,"WO","P"))</f>
        <v>P</v>
      </c>
      <c r="AF28" s="4" t="str">
        <f>IFERROR(LOOKUP(2,1/((#REF!=nov!$A28)*(#REF!&lt;=nov!AF$3)*(#REF!&gt;=nov!AF$3)),#REF!),IF(WEEKDAY(nov!AF$3,1)=1,"WO","P"))</f>
        <v>P</v>
      </c>
      <c r="AG28" s="4" t="str">
        <f>IFERROR(LOOKUP(2,1/((#REF!=nov!$A28)*(#REF!&lt;=nov!AG$3)*(#REF!&gt;=nov!AG$3)),#REF!),IF(WEEKDAY(nov!AG$3,1)=1,"WO","P"))</f>
        <v>P</v>
      </c>
      <c r="AH28" s="4" t="str">
        <f>IFERROR(LOOKUP(2,1/((#REF!=nov!$A28)*(#REF!&lt;=nov!AH$3)*(#REF!&gt;=nov!AH$3)),#REF!),IF(WEEKDAY(nov!AH$3,1)=1,"WO","P"))</f>
        <v>WO</v>
      </c>
      <c r="AI28" s="4" t="str">
        <f>IFERROR(LOOKUP(2,1/((#REF!=nov!$A28)*(#REF!&lt;=nov!AI$3)*(#REF!&gt;=nov!AI$3)),#REF!),IF(WEEKDAY(nov!AI$3,1)=1,"WO","P"))</f>
        <v>P</v>
      </c>
      <c r="AJ28" s="4">
        <f>COUNTIF(mar!$F28:$AJ28,"WO")</f>
        <v>5</v>
      </c>
      <c r="AK28" s="4">
        <f>COUNTIF(mar!$F28:$AJ28,"H")</f>
        <v>2</v>
      </c>
      <c r="AL28" s="4">
        <f>COUNTIF(mar!$F28:$AJ28,"pl")</f>
        <v>0</v>
      </c>
      <c r="AM28" s="4">
        <f>COUNTIF(mar!$F28:$AJ28,"LWP")</f>
        <v>0</v>
      </c>
      <c r="AN28" s="4">
        <f>COUNTIF(mar!$F28:$AJ28,"HD")</f>
        <v>0</v>
      </c>
      <c r="AO28" s="4">
        <f>COUNTIF(mar!$F28:$AJ28,"SL")</f>
        <v>0</v>
      </c>
      <c r="AP28" s="4">
        <f>COUNTIF(mar!$F28:$AJ28,"CL")</f>
        <v>0</v>
      </c>
      <c r="AQ28" s="4">
        <f>COUNTIF(mar!$F28:$AJ28,"A")</f>
        <v>0</v>
      </c>
      <c r="AR28" s="4">
        <f>COUNTIF(mar!$F28:$AJ28,"P")</f>
        <v>24</v>
      </c>
      <c r="AS28" s="4">
        <f t="shared" si="2"/>
        <v>30</v>
      </c>
      <c r="AT28" s="4">
        <f t="shared" si="3"/>
        <v>31</v>
      </c>
      <c r="AU28" s="4">
        <f>SUMIFS(holly!$L$2:$L$122,holly!$I$2:$I$122,mar!$A28,holly!$K$2:$K$122,"Mar")</f>
        <v>0</v>
      </c>
    </row>
    <row r="29" spans="1:47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IFERROR(LOOKUP(2,1/((#REF!=nov!$A29)*(#REF!&lt;=nov!F$3)*(#REF!&gt;=nov!F$3)),#REF!),IF(WEEKDAY(nov!F$3,1)=1,"WO","P"))</f>
        <v>WO</v>
      </c>
      <c r="G29" s="4" t="str">
        <f>IFERROR(LOOKUP(2,1/((#REF!=nov!$A29)*(#REF!&lt;=nov!G$3)*(#REF!&gt;=nov!G$3)),#REF!),IF(WEEKDAY(nov!G$3,1)=1,"WO","P"))</f>
        <v>P</v>
      </c>
      <c r="H29" s="4" t="str">
        <f>IFERROR(LOOKUP(2,1/((#REF!=nov!$A29)*(#REF!&lt;=nov!H$3)*(#REF!&gt;=nov!H$3)),#REF!),IF(WEEKDAY(nov!H$3,1)=1,"WO","P"))</f>
        <v>P</v>
      </c>
      <c r="I29" s="4" t="str">
        <f>IFERROR(LOOKUP(2,1/((#REF!=nov!$A29)*(#REF!&lt;=nov!I$3)*(#REF!&gt;=nov!I$3)),#REF!),IF(WEEKDAY(nov!I$3,1)=1,"WO","P"))</f>
        <v>P</v>
      </c>
      <c r="J29" s="4" t="str">
        <f>IFERROR(LOOKUP(2,1/((#REF!=nov!$A29)*(#REF!&lt;=nov!J$3)*(#REF!&gt;=nov!J$3)),#REF!),IF(WEEKDAY(nov!J$3,1)=1,"WO","P"))</f>
        <v>P</v>
      </c>
      <c r="K29" s="4" t="str">
        <f>IFERROR(LOOKUP(2,1/((#REF!=nov!$A29)*(#REF!&lt;=nov!K$3)*(#REF!&gt;=nov!K$3)),#REF!),IF(WEEKDAY(nov!K$3,1)=1,"WO","P"))</f>
        <v>P</v>
      </c>
      <c r="L29" s="4" t="str">
        <f>IFERROR(LOOKUP(2,1/((#REF!=nov!$A29)*(#REF!&lt;=nov!L$3)*(#REF!&gt;=nov!L$3)),#REF!),IF(WEEKDAY(nov!L$3,1)=1,"WO","P"))</f>
        <v>P</v>
      </c>
      <c r="M29" s="4" t="str">
        <f>IFERROR(LOOKUP(2,1/((#REF!=nov!$A29)*(#REF!&lt;=nov!M$3)*(#REF!&gt;=nov!M$3)),#REF!),IF(WEEKDAY(nov!M$3,1)=1,"WO","P"))</f>
        <v>WO</v>
      </c>
      <c r="N29" s="4" t="str">
        <f>IFERROR(LOOKUP(2,1/((#REF!=nov!$A29)*(#REF!&lt;=nov!N$3)*(#REF!&gt;=nov!N$3)),#REF!),IF(WEEKDAY(nov!N$3,1)=1,"WO","P"))</f>
        <v>P</v>
      </c>
      <c r="O29" s="4" t="str">
        <f>IFERROR(LOOKUP(2,1/((#REF!=nov!$A29)*(#REF!&lt;=nov!O$3)*(#REF!&gt;=nov!O$3)),#REF!),IF(WEEKDAY(nov!O$3,1)=1,"WO","P"))</f>
        <v>P</v>
      </c>
      <c r="P29" s="4" t="str">
        <f>IFERROR(LOOKUP(2,1/((#REF!=nov!$A29)*(#REF!&lt;=nov!P$3)*(#REF!&gt;=nov!P$3)),#REF!),IF(WEEKDAY(nov!P$3,1)=1,"WO","P"))</f>
        <v>P</v>
      </c>
      <c r="Q29" s="4" t="str">
        <f>IFERROR(LOOKUP(2,1/((#REF!=nov!$A29)*(#REF!&lt;=nov!Q$3)*(#REF!&gt;=nov!Q$3)),#REF!),IF(WEEKDAY(nov!Q$3,1)=1,"WO","P"))</f>
        <v>P</v>
      </c>
      <c r="R29" s="4" t="str">
        <f>IFERROR(LOOKUP(2,1/((#REF!=nov!$A29)*(#REF!&lt;=nov!R$3)*(#REF!&gt;=nov!R$3)),#REF!),IF(WEEKDAY(nov!R$3,1)=1,"WO","P"))</f>
        <v>P</v>
      </c>
      <c r="S29" s="4" t="str">
        <f>IFERROR(LOOKUP(2,1/((#REF!=nov!$A29)*(#REF!&lt;=nov!S$3)*(#REF!&gt;=nov!S$3)),#REF!),IF(WEEKDAY(nov!S$3,1)=1,"WO","P"))</f>
        <v>P</v>
      </c>
      <c r="T29" s="4" t="str">
        <f>IFERROR(LOOKUP(2,1/((#REF!=nov!$A29)*(#REF!&lt;=nov!T$3)*(#REF!&gt;=nov!T$3)),#REF!),IF(WEEKDAY(nov!T$3,1)=1,"WO","P"))</f>
        <v>WO</v>
      </c>
      <c r="U29" s="4" t="str">
        <f>IFERROR(LOOKUP(2,1/((#REF!=nov!$A29)*(#REF!&lt;=nov!U$3)*(#REF!&gt;=nov!U$3)),#REF!),IF(WEEKDAY(nov!U$3,1)=1,"WO","P"))</f>
        <v>P</v>
      </c>
      <c r="V29" s="4" t="str">
        <f>IFERROR(LOOKUP(2,1/((#REF!=nov!$A29)*(#REF!&lt;=nov!V$3)*(#REF!&gt;=nov!V$3)),#REF!),IF(WEEKDAY(nov!V$3,1)=1,"WO","P"))</f>
        <v>P</v>
      </c>
      <c r="W29" s="4" t="str">
        <f>IFERROR(LOOKUP(2,1/((#REF!=nov!$A29)*(#REF!&lt;=nov!W$3)*(#REF!&gt;=nov!W$3)),#REF!),IF(WEEKDAY(nov!W$3,1)=1,"WO","P"))</f>
        <v>P</v>
      </c>
      <c r="X29" s="4" t="str">
        <f>IFERROR(LOOKUP(2,1/((#REF!=nov!$A29)*(#REF!&lt;=nov!X$3)*(#REF!&gt;=nov!X$3)),#REF!),IF(WEEKDAY(nov!X$3,1)=1,"WO","P"))</f>
        <v>P</v>
      </c>
      <c r="Y29" s="4" t="str">
        <f>IFERROR(LOOKUP(2,1/((#REF!=nov!$A29)*(#REF!&lt;=nov!Y$3)*(#REF!&gt;=nov!Y$3)),#REF!),IF(WEEKDAY(nov!Y$3,1)=1,"WO","P"))</f>
        <v>P</v>
      </c>
      <c r="Z29" s="4" t="str">
        <f>IFERROR(LOOKUP(2,1/((#REF!=nov!$A29)*(#REF!&lt;=nov!Z$3)*(#REF!&gt;=nov!Z$3)),#REF!),IF(WEEKDAY(nov!Z$3,1)=1,"WO","P"))</f>
        <v>P</v>
      </c>
      <c r="AA29" s="4" t="str">
        <f>IFERROR(LOOKUP(2,1/((#REF!=nov!$A29)*(#REF!&lt;=nov!AA$3)*(#REF!&gt;=nov!AA$3)),#REF!),IF(WEEKDAY(nov!AA$3,1)=1,"WO","P"))</f>
        <v>WO</v>
      </c>
      <c r="AB29" s="4" t="str">
        <f>IFERROR(LOOKUP(2,1/((#REF!=nov!$A29)*(#REF!&lt;=nov!AB$3)*(#REF!&gt;=nov!AB$3)),#REF!),IF(WEEKDAY(nov!AB$3,1)=1,"WO","P"))</f>
        <v>P</v>
      </c>
      <c r="AC29" s="4" t="str">
        <f>IFERROR(LOOKUP(2,1/((#REF!=nov!$A29)*(#REF!&lt;=nov!AC$3)*(#REF!&gt;=nov!AC$3)),#REF!),IF(WEEKDAY(nov!AC$3,1)=1,"WO","P"))</f>
        <v>P</v>
      </c>
      <c r="AD29" s="4" t="str">
        <f>IFERROR(LOOKUP(2,1/((#REF!=nov!$A29)*(#REF!&lt;=nov!AD$3)*(#REF!&gt;=nov!AD$3)),#REF!),IF(WEEKDAY(nov!AD$3,1)=1,"WO","P"))</f>
        <v>P</v>
      </c>
      <c r="AE29" s="4" t="str">
        <f>IFERROR(LOOKUP(2,1/((#REF!=nov!$A29)*(#REF!&lt;=nov!AE$3)*(#REF!&gt;=nov!AE$3)),#REF!),IF(WEEKDAY(nov!AE$3,1)=1,"WO","P"))</f>
        <v>P</v>
      </c>
      <c r="AF29" s="4" t="str">
        <f>IFERROR(LOOKUP(2,1/((#REF!=nov!$A29)*(#REF!&lt;=nov!AF$3)*(#REF!&gt;=nov!AF$3)),#REF!),IF(WEEKDAY(nov!AF$3,1)=1,"WO","P"))</f>
        <v>P</v>
      </c>
      <c r="AG29" s="4" t="str">
        <f>IFERROR(LOOKUP(2,1/((#REF!=nov!$A29)*(#REF!&lt;=nov!AG$3)*(#REF!&gt;=nov!AG$3)),#REF!),IF(WEEKDAY(nov!AG$3,1)=1,"WO","P"))</f>
        <v>P</v>
      </c>
      <c r="AH29" s="4" t="str">
        <f>IFERROR(LOOKUP(2,1/((#REF!=nov!$A29)*(#REF!&lt;=nov!AH$3)*(#REF!&gt;=nov!AH$3)),#REF!),IF(WEEKDAY(nov!AH$3,1)=1,"WO","P"))</f>
        <v>WO</v>
      </c>
      <c r="AI29" s="4" t="str">
        <f>IFERROR(LOOKUP(2,1/((#REF!=nov!$A29)*(#REF!&lt;=nov!AI$3)*(#REF!&gt;=nov!AI$3)),#REF!),IF(WEEKDAY(nov!AI$3,1)=1,"WO","P"))</f>
        <v>P</v>
      </c>
      <c r="AJ29" s="4">
        <f>COUNTIF(mar!$F29:$AJ29,"WO")</f>
        <v>5</v>
      </c>
      <c r="AK29" s="4">
        <f>COUNTIF(mar!$F29:$AJ29,"H")</f>
        <v>2</v>
      </c>
      <c r="AL29" s="4">
        <f>COUNTIF(mar!$F29:$AJ29,"pl")</f>
        <v>0</v>
      </c>
      <c r="AM29" s="4">
        <f>COUNTIF(mar!$F29:$AJ29,"LWP")</f>
        <v>0</v>
      </c>
      <c r="AN29" s="4">
        <f>COUNTIF(mar!$F29:$AJ29,"HD")</f>
        <v>0</v>
      </c>
      <c r="AO29" s="4">
        <f>COUNTIF(mar!$F29:$AJ29,"SL")</f>
        <v>0</v>
      </c>
      <c r="AP29" s="4">
        <f>COUNTIF(mar!$F29:$AJ29,"CL")</f>
        <v>0</v>
      </c>
      <c r="AQ29" s="4">
        <f>COUNTIF(mar!$F29:$AJ29,"A")</f>
        <v>0</v>
      </c>
      <c r="AR29" s="4">
        <f>COUNTIF(mar!$F29:$AJ29,"P")</f>
        <v>24</v>
      </c>
      <c r="AS29" s="4">
        <f t="shared" si="2"/>
        <v>30</v>
      </c>
      <c r="AT29" s="4">
        <f t="shared" si="3"/>
        <v>31</v>
      </c>
      <c r="AU29" s="4">
        <f>SUMIFS(holly!$L$2:$L$122,holly!$I$2:$I$122,mar!$A29,holly!$K$2:$K$122,"Mar")</f>
        <v>0</v>
      </c>
    </row>
    <row r="30" spans="1:47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IFERROR(LOOKUP(2,1/((#REF!=nov!$A30)*(#REF!&lt;=nov!F$3)*(#REF!&gt;=nov!F$3)),#REF!),IF(WEEKDAY(nov!F$3,1)=1,"WO","P"))</f>
        <v>WO</v>
      </c>
      <c r="G30" s="4" t="str">
        <f>IFERROR(LOOKUP(2,1/((#REF!=nov!$A30)*(#REF!&lt;=nov!G$3)*(#REF!&gt;=nov!G$3)),#REF!),IF(WEEKDAY(nov!G$3,1)=1,"WO","P"))</f>
        <v>P</v>
      </c>
      <c r="H30" s="4" t="str">
        <f>IFERROR(LOOKUP(2,1/((#REF!=nov!$A30)*(#REF!&lt;=nov!H$3)*(#REF!&gt;=nov!H$3)),#REF!),IF(WEEKDAY(nov!H$3,1)=1,"WO","P"))</f>
        <v>P</v>
      </c>
      <c r="I30" s="4" t="str">
        <f>IFERROR(LOOKUP(2,1/((#REF!=nov!$A30)*(#REF!&lt;=nov!I$3)*(#REF!&gt;=nov!I$3)),#REF!),IF(WEEKDAY(nov!I$3,1)=1,"WO","P"))</f>
        <v>P</v>
      </c>
      <c r="J30" s="4" t="str">
        <f>IFERROR(LOOKUP(2,1/((#REF!=nov!$A30)*(#REF!&lt;=nov!J$3)*(#REF!&gt;=nov!J$3)),#REF!),IF(WEEKDAY(nov!J$3,1)=1,"WO","P"))</f>
        <v>P</v>
      </c>
      <c r="K30" s="4" t="str">
        <f>IFERROR(LOOKUP(2,1/((#REF!=nov!$A30)*(#REF!&lt;=nov!K$3)*(#REF!&gt;=nov!K$3)),#REF!),IF(WEEKDAY(nov!K$3,1)=1,"WO","P"))</f>
        <v>P</v>
      </c>
      <c r="L30" s="4" t="str">
        <f>IFERROR(LOOKUP(2,1/((#REF!=nov!$A30)*(#REF!&lt;=nov!L$3)*(#REF!&gt;=nov!L$3)),#REF!),IF(WEEKDAY(nov!L$3,1)=1,"WO","P"))</f>
        <v>P</v>
      </c>
      <c r="M30" s="4" t="str">
        <f>IFERROR(LOOKUP(2,1/((#REF!=nov!$A30)*(#REF!&lt;=nov!M$3)*(#REF!&gt;=nov!M$3)),#REF!),IF(WEEKDAY(nov!M$3,1)=1,"WO","P"))</f>
        <v>WO</v>
      </c>
      <c r="N30" s="4" t="str">
        <f>IFERROR(LOOKUP(2,1/((#REF!=nov!$A30)*(#REF!&lt;=nov!N$3)*(#REF!&gt;=nov!N$3)),#REF!),IF(WEEKDAY(nov!N$3,1)=1,"WO","P"))</f>
        <v>P</v>
      </c>
      <c r="O30" s="4" t="str">
        <f>IFERROR(LOOKUP(2,1/((#REF!=nov!$A30)*(#REF!&lt;=nov!O$3)*(#REF!&gt;=nov!O$3)),#REF!),IF(WEEKDAY(nov!O$3,1)=1,"WO","P"))</f>
        <v>P</v>
      </c>
      <c r="P30" s="4" t="str">
        <f>IFERROR(LOOKUP(2,1/((#REF!=nov!$A30)*(#REF!&lt;=nov!P$3)*(#REF!&gt;=nov!P$3)),#REF!),IF(WEEKDAY(nov!P$3,1)=1,"WO","P"))</f>
        <v>P</v>
      </c>
      <c r="Q30" s="4" t="str">
        <f>IFERROR(LOOKUP(2,1/((#REF!=nov!$A30)*(#REF!&lt;=nov!Q$3)*(#REF!&gt;=nov!Q$3)),#REF!),IF(WEEKDAY(nov!Q$3,1)=1,"WO","P"))</f>
        <v>P</v>
      </c>
      <c r="R30" s="4" t="str">
        <f>IFERROR(LOOKUP(2,1/((#REF!=nov!$A30)*(#REF!&lt;=nov!R$3)*(#REF!&gt;=nov!R$3)),#REF!),IF(WEEKDAY(nov!R$3,1)=1,"WO","P"))</f>
        <v>P</v>
      </c>
      <c r="S30" s="4" t="str">
        <f>IFERROR(LOOKUP(2,1/((#REF!=nov!$A30)*(#REF!&lt;=nov!S$3)*(#REF!&gt;=nov!S$3)),#REF!),IF(WEEKDAY(nov!S$3,1)=1,"WO","P"))</f>
        <v>P</v>
      </c>
      <c r="T30" s="4" t="str">
        <f>IFERROR(LOOKUP(2,1/((#REF!=nov!$A30)*(#REF!&lt;=nov!T$3)*(#REF!&gt;=nov!T$3)),#REF!),IF(WEEKDAY(nov!T$3,1)=1,"WO","P"))</f>
        <v>WO</v>
      </c>
      <c r="U30" s="4" t="str">
        <f>IFERROR(LOOKUP(2,1/((#REF!=nov!$A30)*(#REF!&lt;=nov!U$3)*(#REF!&gt;=nov!U$3)),#REF!),IF(WEEKDAY(nov!U$3,1)=1,"WO","P"))</f>
        <v>P</v>
      </c>
      <c r="V30" s="4" t="str">
        <f>IFERROR(LOOKUP(2,1/((#REF!=nov!$A30)*(#REF!&lt;=nov!V$3)*(#REF!&gt;=nov!V$3)),#REF!),IF(WEEKDAY(nov!V$3,1)=1,"WO","P"))</f>
        <v>P</v>
      </c>
      <c r="W30" s="4" t="str">
        <f>IFERROR(LOOKUP(2,1/((#REF!=nov!$A30)*(#REF!&lt;=nov!W$3)*(#REF!&gt;=nov!W$3)),#REF!),IF(WEEKDAY(nov!W$3,1)=1,"WO","P"))</f>
        <v>P</v>
      </c>
      <c r="X30" s="4" t="str">
        <f>IFERROR(LOOKUP(2,1/((#REF!=nov!$A30)*(#REF!&lt;=nov!X$3)*(#REF!&gt;=nov!X$3)),#REF!),IF(WEEKDAY(nov!X$3,1)=1,"WO","P"))</f>
        <v>P</v>
      </c>
      <c r="Y30" s="4" t="str">
        <f>IFERROR(LOOKUP(2,1/((#REF!=nov!$A30)*(#REF!&lt;=nov!Y$3)*(#REF!&gt;=nov!Y$3)),#REF!),IF(WEEKDAY(nov!Y$3,1)=1,"WO","P"))</f>
        <v>P</v>
      </c>
      <c r="Z30" s="4" t="str">
        <f>IFERROR(LOOKUP(2,1/((#REF!=nov!$A30)*(#REF!&lt;=nov!Z$3)*(#REF!&gt;=nov!Z$3)),#REF!),IF(WEEKDAY(nov!Z$3,1)=1,"WO","P"))</f>
        <v>P</v>
      </c>
      <c r="AA30" s="4" t="str">
        <f>IFERROR(LOOKUP(2,1/((#REF!=nov!$A30)*(#REF!&lt;=nov!AA$3)*(#REF!&gt;=nov!AA$3)),#REF!),IF(WEEKDAY(nov!AA$3,1)=1,"WO","P"))</f>
        <v>WO</v>
      </c>
      <c r="AB30" s="4" t="str">
        <f>IFERROR(LOOKUP(2,1/((#REF!=nov!$A30)*(#REF!&lt;=nov!AB$3)*(#REF!&gt;=nov!AB$3)),#REF!),IF(WEEKDAY(nov!AB$3,1)=1,"WO","P"))</f>
        <v>P</v>
      </c>
      <c r="AC30" s="4" t="str">
        <f>IFERROR(LOOKUP(2,1/((#REF!=nov!$A30)*(#REF!&lt;=nov!AC$3)*(#REF!&gt;=nov!AC$3)),#REF!),IF(WEEKDAY(nov!AC$3,1)=1,"WO","P"))</f>
        <v>P</v>
      </c>
      <c r="AD30" s="4" t="str">
        <f>IFERROR(LOOKUP(2,1/((#REF!=nov!$A30)*(#REF!&lt;=nov!AD$3)*(#REF!&gt;=nov!AD$3)),#REF!),IF(WEEKDAY(nov!AD$3,1)=1,"WO","P"))</f>
        <v>P</v>
      </c>
      <c r="AE30" s="4" t="str">
        <f>IFERROR(LOOKUP(2,1/((#REF!=nov!$A30)*(#REF!&lt;=nov!AE$3)*(#REF!&gt;=nov!AE$3)),#REF!),IF(WEEKDAY(nov!AE$3,1)=1,"WO","P"))</f>
        <v>P</v>
      </c>
      <c r="AF30" s="4" t="str">
        <f>IFERROR(LOOKUP(2,1/((#REF!=nov!$A30)*(#REF!&lt;=nov!AF$3)*(#REF!&gt;=nov!AF$3)),#REF!),IF(WEEKDAY(nov!AF$3,1)=1,"WO","P"))</f>
        <v>P</v>
      </c>
      <c r="AG30" s="4" t="str">
        <f>IFERROR(LOOKUP(2,1/((#REF!=nov!$A30)*(#REF!&lt;=nov!AG$3)*(#REF!&gt;=nov!AG$3)),#REF!),IF(WEEKDAY(nov!AG$3,1)=1,"WO","P"))</f>
        <v>P</v>
      </c>
      <c r="AH30" s="4" t="str">
        <f>IFERROR(LOOKUP(2,1/((#REF!=nov!$A30)*(#REF!&lt;=nov!AH$3)*(#REF!&gt;=nov!AH$3)),#REF!),IF(WEEKDAY(nov!AH$3,1)=1,"WO","P"))</f>
        <v>WO</v>
      </c>
      <c r="AI30" s="4" t="str">
        <f>IFERROR(LOOKUP(2,1/((#REF!=nov!$A30)*(#REF!&lt;=nov!AI$3)*(#REF!&gt;=nov!AI$3)),#REF!),IF(WEEKDAY(nov!AI$3,1)=1,"WO","P"))</f>
        <v>P</v>
      </c>
      <c r="AJ30" s="4">
        <f>COUNTIF(mar!$F30:$AJ30,"WO")</f>
        <v>5</v>
      </c>
      <c r="AK30" s="4">
        <f>COUNTIF(mar!$F30:$AJ30,"H")</f>
        <v>2</v>
      </c>
      <c r="AL30" s="4">
        <f>COUNTIF(mar!$F30:$AJ30,"pl")</f>
        <v>0</v>
      </c>
      <c r="AM30" s="4">
        <f>COUNTIF(mar!$F30:$AJ30,"LWP")</f>
        <v>0</v>
      </c>
      <c r="AN30" s="4">
        <f>COUNTIF(mar!$F30:$AJ30,"HD")</f>
        <v>0</v>
      </c>
      <c r="AO30" s="4">
        <f>COUNTIF(mar!$F30:$AJ30,"SL")</f>
        <v>2</v>
      </c>
      <c r="AP30" s="4">
        <f>COUNTIF(mar!$F30:$AJ30,"CL")</f>
        <v>0</v>
      </c>
      <c r="AQ30" s="4">
        <f>COUNTIF(mar!$F30:$AJ30,"A")</f>
        <v>0</v>
      </c>
      <c r="AR30" s="4">
        <f>COUNTIF(mar!$F30:$AJ30,"P")</f>
        <v>22</v>
      </c>
      <c r="AS30" s="4">
        <f t="shared" si="2"/>
        <v>30</v>
      </c>
      <c r="AT30" s="4">
        <f t="shared" si="3"/>
        <v>31</v>
      </c>
      <c r="AU30" s="4">
        <f>SUMIFS(holly!$L$2:$L$122,holly!$I$2:$I$122,mar!$A30,holly!$K$2:$K$122,"Mar")</f>
        <v>0</v>
      </c>
    </row>
    <row r="31" spans="1:47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IFERROR(LOOKUP(2,1/((#REF!=nov!$A31)*(#REF!&lt;=nov!F$3)*(#REF!&gt;=nov!F$3)),#REF!),IF(WEEKDAY(nov!F$3,1)=1,"WO","P"))</f>
        <v>WO</v>
      </c>
      <c r="G31" s="4" t="str">
        <f>IFERROR(LOOKUP(2,1/((#REF!=nov!$A31)*(#REF!&lt;=nov!G$3)*(#REF!&gt;=nov!G$3)),#REF!),IF(WEEKDAY(nov!G$3,1)=1,"WO","P"))</f>
        <v>P</v>
      </c>
      <c r="H31" s="4" t="str">
        <f>IFERROR(LOOKUP(2,1/((#REF!=nov!$A31)*(#REF!&lt;=nov!H$3)*(#REF!&gt;=nov!H$3)),#REF!),IF(WEEKDAY(nov!H$3,1)=1,"WO","P"))</f>
        <v>P</v>
      </c>
      <c r="I31" s="4" t="str">
        <f>IFERROR(LOOKUP(2,1/((#REF!=nov!$A31)*(#REF!&lt;=nov!I$3)*(#REF!&gt;=nov!I$3)),#REF!),IF(WEEKDAY(nov!I$3,1)=1,"WO","P"))</f>
        <v>P</v>
      </c>
      <c r="J31" s="4" t="str">
        <f>IFERROR(LOOKUP(2,1/((#REF!=nov!$A31)*(#REF!&lt;=nov!J$3)*(#REF!&gt;=nov!J$3)),#REF!),IF(WEEKDAY(nov!J$3,1)=1,"WO","P"))</f>
        <v>P</v>
      </c>
      <c r="K31" s="4" t="str">
        <f>IFERROR(LOOKUP(2,1/((#REF!=nov!$A31)*(#REF!&lt;=nov!K$3)*(#REF!&gt;=nov!K$3)),#REF!),IF(WEEKDAY(nov!K$3,1)=1,"WO","P"))</f>
        <v>P</v>
      </c>
      <c r="L31" s="4" t="str">
        <f>IFERROR(LOOKUP(2,1/((#REF!=nov!$A31)*(#REF!&lt;=nov!L$3)*(#REF!&gt;=nov!L$3)),#REF!),IF(WEEKDAY(nov!L$3,1)=1,"WO","P"))</f>
        <v>P</v>
      </c>
      <c r="M31" s="4" t="str">
        <f>IFERROR(LOOKUP(2,1/((#REF!=nov!$A31)*(#REF!&lt;=nov!M$3)*(#REF!&gt;=nov!M$3)),#REF!),IF(WEEKDAY(nov!M$3,1)=1,"WO","P"))</f>
        <v>WO</v>
      </c>
      <c r="N31" s="4" t="str">
        <f>IFERROR(LOOKUP(2,1/((#REF!=nov!$A31)*(#REF!&lt;=nov!N$3)*(#REF!&gt;=nov!N$3)),#REF!),IF(WEEKDAY(nov!N$3,1)=1,"WO","P"))</f>
        <v>P</v>
      </c>
      <c r="O31" s="4" t="str">
        <f>IFERROR(LOOKUP(2,1/((#REF!=nov!$A31)*(#REF!&lt;=nov!O$3)*(#REF!&gt;=nov!O$3)),#REF!),IF(WEEKDAY(nov!O$3,1)=1,"WO","P"))</f>
        <v>P</v>
      </c>
      <c r="P31" s="4" t="str">
        <f>IFERROR(LOOKUP(2,1/((#REF!=nov!$A31)*(#REF!&lt;=nov!P$3)*(#REF!&gt;=nov!P$3)),#REF!),IF(WEEKDAY(nov!P$3,1)=1,"WO","P"))</f>
        <v>P</v>
      </c>
      <c r="Q31" s="4" t="str">
        <f>IFERROR(LOOKUP(2,1/((#REF!=nov!$A31)*(#REF!&lt;=nov!Q$3)*(#REF!&gt;=nov!Q$3)),#REF!),IF(WEEKDAY(nov!Q$3,1)=1,"WO","P"))</f>
        <v>P</v>
      </c>
      <c r="R31" s="4" t="str">
        <f>IFERROR(LOOKUP(2,1/((#REF!=nov!$A31)*(#REF!&lt;=nov!R$3)*(#REF!&gt;=nov!R$3)),#REF!),IF(WEEKDAY(nov!R$3,1)=1,"WO","P"))</f>
        <v>P</v>
      </c>
      <c r="S31" s="4" t="str">
        <f>IFERROR(LOOKUP(2,1/((#REF!=nov!$A31)*(#REF!&lt;=nov!S$3)*(#REF!&gt;=nov!S$3)),#REF!),IF(WEEKDAY(nov!S$3,1)=1,"WO","P"))</f>
        <v>P</v>
      </c>
      <c r="T31" s="4" t="str">
        <f>IFERROR(LOOKUP(2,1/((#REF!=nov!$A31)*(#REF!&lt;=nov!T$3)*(#REF!&gt;=nov!T$3)),#REF!),IF(WEEKDAY(nov!T$3,1)=1,"WO","P"))</f>
        <v>WO</v>
      </c>
      <c r="U31" s="4" t="str">
        <f>IFERROR(LOOKUP(2,1/((#REF!=nov!$A31)*(#REF!&lt;=nov!U$3)*(#REF!&gt;=nov!U$3)),#REF!),IF(WEEKDAY(nov!U$3,1)=1,"WO","P"))</f>
        <v>P</v>
      </c>
      <c r="V31" s="4" t="str">
        <f>IFERROR(LOOKUP(2,1/((#REF!=nov!$A31)*(#REF!&lt;=nov!V$3)*(#REF!&gt;=nov!V$3)),#REF!),IF(WEEKDAY(nov!V$3,1)=1,"WO","P"))</f>
        <v>P</v>
      </c>
      <c r="W31" s="4" t="str">
        <f>IFERROR(LOOKUP(2,1/((#REF!=nov!$A31)*(#REF!&lt;=nov!W$3)*(#REF!&gt;=nov!W$3)),#REF!),IF(WEEKDAY(nov!W$3,1)=1,"WO","P"))</f>
        <v>P</v>
      </c>
      <c r="X31" s="4" t="str">
        <f>IFERROR(LOOKUP(2,1/((#REF!=nov!$A31)*(#REF!&lt;=nov!X$3)*(#REF!&gt;=nov!X$3)),#REF!),IF(WEEKDAY(nov!X$3,1)=1,"WO","P"))</f>
        <v>P</v>
      </c>
      <c r="Y31" s="4" t="str">
        <f>IFERROR(LOOKUP(2,1/((#REF!=nov!$A31)*(#REF!&lt;=nov!Y$3)*(#REF!&gt;=nov!Y$3)),#REF!),IF(WEEKDAY(nov!Y$3,1)=1,"WO","P"))</f>
        <v>P</v>
      </c>
      <c r="Z31" s="4" t="str">
        <f>IFERROR(LOOKUP(2,1/((#REF!=nov!$A31)*(#REF!&lt;=nov!Z$3)*(#REF!&gt;=nov!Z$3)),#REF!),IF(WEEKDAY(nov!Z$3,1)=1,"WO","P"))</f>
        <v>P</v>
      </c>
      <c r="AA31" s="4" t="str">
        <f>IFERROR(LOOKUP(2,1/((#REF!=nov!$A31)*(#REF!&lt;=nov!AA$3)*(#REF!&gt;=nov!AA$3)),#REF!),IF(WEEKDAY(nov!AA$3,1)=1,"WO","P"))</f>
        <v>WO</v>
      </c>
      <c r="AB31" s="4" t="str">
        <f>IFERROR(LOOKUP(2,1/((#REF!=nov!$A31)*(#REF!&lt;=nov!AB$3)*(#REF!&gt;=nov!AB$3)),#REF!),IF(WEEKDAY(nov!AB$3,1)=1,"WO","P"))</f>
        <v>P</v>
      </c>
      <c r="AC31" s="4" t="str">
        <f>IFERROR(LOOKUP(2,1/((#REF!=nov!$A31)*(#REF!&lt;=nov!AC$3)*(#REF!&gt;=nov!AC$3)),#REF!),IF(WEEKDAY(nov!AC$3,1)=1,"WO","P"))</f>
        <v>P</v>
      </c>
      <c r="AD31" s="4" t="str">
        <f>IFERROR(LOOKUP(2,1/((#REF!=nov!$A31)*(#REF!&lt;=nov!AD$3)*(#REF!&gt;=nov!AD$3)),#REF!),IF(WEEKDAY(nov!AD$3,1)=1,"WO","P"))</f>
        <v>P</v>
      </c>
      <c r="AE31" s="4" t="str">
        <f>IFERROR(LOOKUP(2,1/((#REF!=nov!$A31)*(#REF!&lt;=nov!AE$3)*(#REF!&gt;=nov!AE$3)),#REF!),IF(WEEKDAY(nov!AE$3,1)=1,"WO","P"))</f>
        <v>P</v>
      </c>
      <c r="AF31" s="4" t="str">
        <f>IFERROR(LOOKUP(2,1/((#REF!=nov!$A31)*(#REF!&lt;=nov!AF$3)*(#REF!&gt;=nov!AF$3)),#REF!),IF(WEEKDAY(nov!AF$3,1)=1,"WO","P"))</f>
        <v>P</v>
      </c>
      <c r="AG31" s="4" t="str">
        <f>IFERROR(LOOKUP(2,1/((#REF!=nov!$A31)*(#REF!&lt;=nov!AG$3)*(#REF!&gt;=nov!AG$3)),#REF!),IF(WEEKDAY(nov!AG$3,1)=1,"WO","P"))</f>
        <v>P</v>
      </c>
      <c r="AH31" s="4" t="str">
        <f>IFERROR(LOOKUP(2,1/((#REF!=nov!$A31)*(#REF!&lt;=nov!AH$3)*(#REF!&gt;=nov!AH$3)),#REF!),IF(WEEKDAY(nov!AH$3,1)=1,"WO","P"))</f>
        <v>WO</v>
      </c>
      <c r="AI31" s="4" t="str">
        <f>IFERROR(LOOKUP(2,1/((#REF!=nov!$A31)*(#REF!&lt;=nov!AI$3)*(#REF!&gt;=nov!AI$3)),#REF!),IF(WEEKDAY(nov!AI$3,1)=1,"WO","P"))</f>
        <v>P</v>
      </c>
      <c r="AJ31" s="4">
        <f>COUNTIF(mar!$F31:$AJ31,"WO")</f>
        <v>5</v>
      </c>
      <c r="AK31" s="4">
        <f>COUNTIF(mar!$F31:$AJ31,"H")</f>
        <v>2</v>
      </c>
      <c r="AL31" s="4">
        <f>COUNTIF(mar!$F31:$AJ31,"pl")</f>
        <v>0</v>
      </c>
      <c r="AM31" s="4">
        <f>COUNTIF(mar!$F31:$AJ31,"LWP")</f>
        <v>0</v>
      </c>
      <c r="AN31" s="4">
        <f>COUNTIF(mar!$F31:$AJ31,"HD")</f>
        <v>0</v>
      </c>
      <c r="AO31" s="4">
        <f>COUNTIF(mar!$F31:$AJ31,"SL")</f>
        <v>0</v>
      </c>
      <c r="AP31" s="4">
        <f>COUNTIF(mar!$F31:$AJ31,"CL")</f>
        <v>0</v>
      </c>
      <c r="AQ31" s="4">
        <f>COUNTIF(mar!$F31:$AJ31,"A")</f>
        <v>0</v>
      </c>
      <c r="AR31" s="4">
        <f>COUNTIF(mar!$F31:$AJ31,"P")</f>
        <v>24</v>
      </c>
      <c r="AS31" s="4">
        <f t="shared" si="2"/>
        <v>30</v>
      </c>
      <c r="AT31" s="4">
        <f t="shared" si="3"/>
        <v>31</v>
      </c>
      <c r="AU31" s="4">
        <f>SUMIFS(holly!$L$2:$L$122,holly!$I$2:$I$122,mar!$A31,holly!$K$2:$K$122,"Mar")</f>
        <v>0</v>
      </c>
    </row>
    <row r="32" spans="1:47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IFERROR(LOOKUP(2,1/((#REF!=nov!$A32)*(#REF!&lt;=nov!F$3)*(#REF!&gt;=nov!F$3)),#REF!),IF(WEEKDAY(nov!F$3,1)=1,"WO","P"))</f>
        <v>WO</v>
      </c>
      <c r="G32" s="4" t="str">
        <f>IFERROR(LOOKUP(2,1/((#REF!=nov!$A32)*(#REF!&lt;=nov!G$3)*(#REF!&gt;=nov!G$3)),#REF!),IF(WEEKDAY(nov!G$3,1)=1,"WO","P"))</f>
        <v>P</v>
      </c>
      <c r="H32" s="4" t="str">
        <f>IFERROR(LOOKUP(2,1/((#REF!=nov!$A32)*(#REF!&lt;=nov!H$3)*(#REF!&gt;=nov!H$3)),#REF!),IF(WEEKDAY(nov!H$3,1)=1,"WO","P"))</f>
        <v>P</v>
      </c>
      <c r="I32" s="4" t="str">
        <f>IFERROR(LOOKUP(2,1/((#REF!=nov!$A32)*(#REF!&lt;=nov!I$3)*(#REF!&gt;=nov!I$3)),#REF!),IF(WEEKDAY(nov!I$3,1)=1,"WO","P"))</f>
        <v>P</v>
      </c>
      <c r="J32" s="4" t="str">
        <f>IFERROR(LOOKUP(2,1/((#REF!=nov!$A32)*(#REF!&lt;=nov!J$3)*(#REF!&gt;=nov!J$3)),#REF!),IF(WEEKDAY(nov!J$3,1)=1,"WO","P"))</f>
        <v>P</v>
      </c>
      <c r="K32" s="4" t="str">
        <f>IFERROR(LOOKUP(2,1/((#REF!=nov!$A32)*(#REF!&lt;=nov!K$3)*(#REF!&gt;=nov!K$3)),#REF!),IF(WEEKDAY(nov!K$3,1)=1,"WO","P"))</f>
        <v>P</v>
      </c>
      <c r="L32" s="4" t="str">
        <f>IFERROR(LOOKUP(2,1/((#REF!=nov!$A32)*(#REF!&lt;=nov!L$3)*(#REF!&gt;=nov!L$3)),#REF!),IF(WEEKDAY(nov!L$3,1)=1,"WO","P"))</f>
        <v>P</v>
      </c>
      <c r="M32" s="4" t="str">
        <f>IFERROR(LOOKUP(2,1/((#REF!=nov!$A32)*(#REF!&lt;=nov!M$3)*(#REF!&gt;=nov!M$3)),#REF!),IF(WEEKDAY(nov!M$3,1)=1,"WO","P"))</f>
        <v>WO</v>
      </c>
      <c r="N32" s="4" t="str">
        <f>IFERROR(LOOKUP(2,1/((#REF!=nov!$A32)*(#REF!&lt;=nov!N$3)*(#REF!&gt;=nov!N$3)),#REF!),IF(WEEKDAY(nov!N$3,1)=1,"WO","P"))</f>
        <v>P</v>
      </c>
      <c r="O32" s="4" t="str">
        <f>IFERROR(LOOKUP(2,1/((#REF!=nov!$A32)*(#REF!&lt;=nov!O$3)*(#REF!&gt;=nov!O$3)),#REF!),IF(WEEKDAY(nov!O$3,1)=1,"WO","P"))</f>
        <v>P</v>
      </c>
      <c r="P32" s="4" t="str">
        <f>IFERROR(LOOKUP(2,1/((#REF!=nov!$A32)*(#REF!&lt;=nov!P$3)*(#REF!&gt;=nov!P$3)),#REF!),IF(WEEKDAY(nov!P$3,1)=1,"WO","P"))</f>
        <v>P</v>
      </c>
      <c r="Q32" s="4" t="str">
        <f>IFERROR(LOOKUP(2,1/((#REF!=nov!$A32)*(#REF!&lt;=nov!Q$3)*(#REF!&gt;=nov!Q$3)),#REF!),IF(WEEKDAY(nov!Q$3,1)=1,"WO","P"))</f>
        <v>P</v>
      </c>
      <c r="R32" s="4" t="str">
        <f>IFERROR(LOOKUP(2,1/((#REF!=nov!$A32)*(#REF!&lt;=nov!R$3)*(#REF!&gt;=nov!R$3)),#REF!),IF(WEEKDAY(nov!R$3,1)=1,"WO","P"))</f>
        <v>P</v>
      </c>
      <c r="S32" s="4" t="str">
        <f>IFERROR(LOOKUP(2,1/((#REF!=nov!$A32)*(#REF!&lt;=nov!S$3)*(#REF!&gt;=nov!S$3)),#REF!),IF(WEEKDAY(nov!S$3,1)=1,"WO","P"))</f>
        <v>P</v>
      </c>
      <c r="T32" s="4" t="str">
        <f>IFERROR(LOOKUP(2,1/((#REF!=nov!$A32)*(#REF!&lt;=nov!T$3)*(#REF!&gt;=nov!T$3)),#REF!),IF(WEEKDAY(nov!T$3,1)=1,"WO","P"))</f>
        <v>WO</v>
      </c>
      <c r="U32" s="4" t="str">
        <f>IFERROR(LOOKUP(2,1/((#REF!=nov!$A32)*(#REF!&lt;=nov!U$3)*(#REF!&gt;=nov!U$3)),#REF!),IF(WEEKDAY(nov!U$3,1)=1,"WO","P"))</f>
        <v>P</v>
      </c>
      <c r="V32" s="4" t="str">
        <f>IFERROR(LOOKUP(2,1/((#REF!=nov!$A32)*(#REF!&lt;=nov!V$3)*(#REF!&gt;=nov!V$3)),#REF!),IF(WEEKDAY(nov!V$3,1)=1,"WO","P"))</f>
        <v>P</v>
      </c>
      <c r="W32" s="4" t="str">
        <f>IFERROR(LOOKUP(2,1/((#REF!=nov!$A32)*(#REF!&lt;=nov!W$3)*(#REF!&gt;=nov!W$3)),#REF!),IF(WEEKDAY(nov!W$3,1)=1,"WO","P"))</f>
        <v>P</v>
      </c>
      <c r="X32" s="4" t="str">
        <f>IFERROR(LOOKUP(2,1/((#REF!=nov!$A32)*(#REF!&lt;=nov!X$3)*(#REF!&gt;=nov!X$3)),#REF!),IF(WEEKDAY(nov!X$3,1)=1,"WO","P"))</f>
        <v>P</v>
      </c>
      <c r="Y32" s="4" t="str">
        <f>IFERROR(LOOKUP(2,1/((#REF!=nov!$A32)*(#REF!&lt;=nov!Y$3)*(#REF!&gt;=nov!Y$3)),#REF!),IF(WEEKDAY(nov!Y$3,1)=1,"WO","P"))</f>
        <v>P</v>
      </c>
      <c r="Z32" s="4" t="str">
        <f>IFERROR(LOOKUP(2,1/((#REF!=nov!$A32)*(#REF!&lt;=nov!Z$3)*(#REF!&gt;=nov!Z$3)),#REF!),IF(WEEKDAY(nov!Z$3,1)=1,"WO","P"))</f>
        <v>P</v>
      </c>
      <c r="AA32" s="4" t="str">
        <f>IFERROR(LOOKUP(2,1/((#REF!=nov!$A32)*(#REF!&lt;=nov!AA$3)*(#REF!&gt;=nov!AA$3)),#REF!),IF(WEEKDAY(nov!AA$3,1)=1,"WO","P"))</f>
        <v>WO</v>
      </c>
      <c r="AB32" s="4" t="str">
        <f>IFERROR(LOOKUP(2,1/((#REF!=nov!$A32)*(#REF!&lt;=nov!AB$3)*(#REF!&gt;=nov!AB$3)),#REF!),IF(WEEKDAY(nov!AB$3,1)=1,"WO","P"))</f>
        <v>P</v>
      </c>
      <c r="AC32" s="4" t="str">
        <f>IFERROR(LOOKUP(2,1/((#REF!=nov!$A32)*(#REF!&lt;=nov!AC$3)*(#REF!&gt;=nov!AC$3)),#REF!),IF(WEEKDAY(nov!AC$3,1)=1,"WO","P"))</f>
        <v>P</v>
      </c>
      <c r="AD32" s="4" t="str">
        <f>IFERROR(LOOKUP(2,1/((#REF!=nov!$A32)*(#REF!&lt;=nov!AD$3)*(#REF!&gt;=nov!AD$3)),#REF!),IF(WEEKDAY(nov!AD$3,1)=1,"WO","P"))</f>
        <v>P</v>
      </c>
      <c r="AE32" s="4" t="str">
        <f>IFERROR(LOOKUP(2,1/((#REF!=nov!$A32)*(#REF!&lt;=nov!AE$3)*(#REF!&gt;=nov!AE$3)),#REF!),IF(WEEKDAY(nov!AE$3,1)=1,"WO","P"))</f>
        <v>P</v>
      </c>
      <c r="AF32" s="4" t="str">
        <f>IFERROR(LOOKUP(2,1/((#REF!=nov!$A32)*(#REF!&lt;=nov!AF$3)*(#REF!&gt;=nov!AF$3)),#REF!),IF(WEEKDAY(nov!AF$3,1)=1,"WO","P"))</f>
        <v>P</v>
      </c>
      <c r="AG32" s="4" t="str">
        <f>IFERROR(LOOKUP(2,1/((#REF!=nov!$A32)*(#REF!&lt;=nov!AG$3)*(#REF!&gt;=nov!AG$3)),#REF!),IF(WEEKDAY(nov!AG$3,1)=1,"WO","P"))</f>
        <v>P</v>
      </c>
      <c r="AH32" s="4" t="str">
        <f>IFERROR(LOOKUP(2,1/((#REF!=nov!$A32)*(#REF!&lt;=nov!AH$3)*(#REF!&gt;=nov!AH$3)),#REF!),IF(WEEKDAY(nov!AH$3,1)=1,"WO","P"))</f>
        <v>WO</v>
      </c>
      <c r="AI32" s="4" t="str">
        <f>IFERROR(LOOKUP(2,1/((#REF!=nov!$A32)*(#REF!&lt;=nov!AI$3)*(#REF!&gt;=nov!AI$3)),#REF!),IF(WEEKDAY(nov!AI$3,1)=1,"WO","P"))</f>
        <v>P</v>
      </c>
      <c r="AJ32" s="4">
        <f>COUNTIF(mar!$F32:$AJ32,"WO")</f>
        <v>5</v>
      </c>
      <c r="AK32" s="4">
        <f>COUNTIF(mar!$F32:$AJ32,"H")</f>
        <v>2</v>
      </c>
      <c r="AL32" s="4">
        <f>COUNTIF(mar!$F32:$AJ32,"pl")</f>
        <v>0</v>
      </c>
      <c r="AM32" s="4">
        <f>COUNTIF(mar!$F32:$AJ32,"LWP")</f>
        <v>0</v>
      </c>
      <c r="AN32" s="4">
        <f>COUNTIF(mar!$F32:$AJ32,"HD")</f>
        <v>0</v>
      </c>
      <c r="AO32" s="4">
        <f>COUNTIF(mar!$F32:$AJ32,"SL")</f>
        <v>0</v>
      </c>
      <c r="AP32" s="4">
        <f>COUNTIF(mar!$F32:$AJ32,"CL")</f>
        <v>0</v>
      </c>
      <c r="AQ32" s="4">
        <f>COUNTIF(mar!$F32:$AJ32,"A")</f>
        <v>1</v>
      </c>
      <c r="AR32" s="4">
        <f>COUNTIF(mar!$F32:$AJ32,"P")</f>
        <v>23</v>
      </c>
      <c r="AS32" s="4">
        <f t="shared" si="2"/>
        <v>30</v>
      </c>
      <c r="AT32" s="4">
        <f t="shared" si="3"/>
        <v>30</v>
      </c>
      <c r="AU32" s="4">
        <f>SUMIFS(holly!$L$2:$L$122,holly!$I$2:$I$122,mar!$A32,holly!$K$2:$K$122,"Mar")</f>
        <v>0</v>
      </c>
    </row>
    <row r="33" spans="1:47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IFERROR(LOOKUP(2,1/((#REF!=nov!$A33)*(#REF!&lt;=nov!F$3)*(#REF!&gt;=nov!F$3)),#REF!),IF(WEEKDAY(nov!F$3,1)=1,"WO","P"))</f>
        <v>WO</v>
      </c>
      <c r="G33" s="4" t="str">
        <f>IFERROR(LOOKUP(2,1/((#REF!=nov!$A33)*(#REF!&lt;=nov!G$3)*(#REF!&gt;=nov!G$3)),#REF!),IF(WEEKDAY(nov!G$3,1)=1,"WO","P"))</f>
        <v>P</v>
      </c>
      <c r="H33" s="4" t="str">
        <f>IFERROR(LOOKUP(2,1/((#REF!=nov!$A33)*(#REF!&lt;=nov!H$3)*(#REF!&gt;=nov!H$3)),#REF!),IF(WEEKDAY(nov!H$3,1)=1,"WO","P"))</f>
        <v>P</v>
      </c>
      <c r="I33" s="4" t="str">
        <f>IFERROR(LOOKUP(2,1/((#REF!=nov!$A33)*(#REF!&lt;=nov!I$3)*(#REF!&gt;=nov!I$3)),#REF!),IF(WEEKDAY(nov!I$3,1)=1,"WO","P"))</f>
        <v>P</v>
      </c>
      <c r="J33" s="4" t="str">
        <f>IFERROR(LOOKUP(2,1/((#REF!=nov!$A33)*(#REF!&lt;=nov!J$3)*(#REF!&gt;=nov!J$3)),#REF!),IF(WEEKDAY(nov!J$3,1)=1,"WO","P"))</f>
        <v>P</v>
      </c>
      <c r="K33" s="4" t="str">
        <f>IFERROR(LOOKUP(2,1/((#REF!=nov!$A33)*(#REF!&lt;=nov!K$3)*(#REF!&gt;=nov!K$3)),#REF!),IF(WEEKDAY(nov!K$3,1)=1,"WO","P"))</f>
        <v>P</v>
      </c>
      <c r="L33" s="4" t="str">
        <f>IFERROR(LOOKUP(2,1/((#REF!=nov!$A33)*(#REF!&lt;=nov!L$3)*(#REF!&gt;=nov!L$3)),#REF!),IF(WEEKDAY(nov!L$3,1)=1,"WO","P"))</f>
        <v>P</v>
      </c>
      <c r="M33" s="4" t="str">
        <f>IFERROR(LOOKUP(2,1/((#REF!=nov!$A33)*(#REF!&lt;=nov!M$3)*(#REF!&gt;=nov!M$3)),#REF!),IF(WEEKDAY(nov!M$3,1)=1,"WO","P"))</f>
        <v>WO</v>
      </c>
      <c r="N33" s="4" t="str">
        <f>IFERROR(LOOKUP(2,1/((#REF!=nov!$A33)*(#REF!&lt;=nov!N$3)*(#REF!&gt;=nov!N$3)),#REF!),IF(WEEKDAY(nov!N$3,1)=1,"WO","P"))</f>
        <v>P</v>
      </c>
      <c r="O33" s="4" t="str">
        <f>IFERROR(LOOKUP(2,1/((#REF!=nov!$A33)*(#REF!&lt;=nov!O$3)*(#REF!&gt;=nov!O$3)),#REF!),IF(WEEKDAY(nov!O$3,1)=1,"WO","P"))</f>
        <v>P</v>
      </c>
      <c r="P33" s="4" t="str">
        <f>IFERROR(LOOKUP(2,1/((#REF!=nov!$A33)*(#REF!&lt;=nov!P$3)*(#REF!&gt;=nov!P$3)),#REF!),IF(WEEKDAY(nov!P$3,1)=1,"WO","P"))</f>
        <v>P</v>
      </c>
      <c r="Q33" s="4" t="str">
        <f>IFERROR(LOOKUP(2,1/((#REF!=nov!$A33)*(#REF!&lt;=nov!Q$3)*(#REF!&gt;=nov!Q$3)),#REF!),IF(WEEKDAY(nov!Q$3,1)=1,"WO","P"))</f>
        <v>P</v>
      </c>
      <c r="R33" s="4" t="str">
        <f>IFERROR(LOOKUP(2,1/((#REF!=nov!$A33)*(#REF!&lt;=nov!R$3)*(#REF!&gt;=nov!R$3)),#REF!),IF(WEEKDAY(nov!R$3,1)=1,"WO","P"))</f>
        <v>P</v>
      </c>
      <c r="S33" s="4" t="str">
        <f>IFERROR(LOOKUP(2,1/((#REF!=nov!$A33)*(#REF!&lt;=nov!S$3)*(#REF!&gt;=nov!S$3)),#REF!),IF(WEEKDAY(nov!S$3,1)=1,"WO","P"))</f>
        <v>P</v>
      </c>
      <c r="T33" s="4" t="str">
        <f>IFERROR(LOOKUP(2,1/((#REF!=nov!$A33)*(#REF!&lt;=nov!T$3)*(#REF!&gt;=nov!T$3)),#REF!),IF(WEEKDAY(nov!T$3,1)=1,"WO","P"))</f>
        <v>WO</v>
      </c>
      <c r="U33" s="4" t="str">
        <f>IFERROR(LOOKUP(2,1/((#REF!=nov!$A33)*(#REF!&lt;=nov!U$3)*(#REF!&gt;=nov!U$3)),#REF!),IF(WEEKDAY(nov!U$3,1)=1,"WO","P"))</f>
        <v>P</v>
      </c>
      <c r="V33" s="4" t="str">
        <f>IFERROR(LOOKUP(2,1/((#REF!=nov!$A33)*(#REF!&lt;=nov!V$3)*(#REF!&gt;=nov!V$3)),#REF!),IF(WEEKDAY(nov!V$3,1)=1,"WO","P"))</f>
        <v>P</v>
      </c>
      <c r="W33" s="4" t="str">
        <f>IFERROR(LOOKUP(2,1/((#REF!=nov!$A33)*(#REF!&lt;=nov!W$3)*(#REF!&gt;=nov!W$3)),#REF!),IF(WEEKDAY(nov!W$3,1)=1,"WO","P"))</f>
        <v>P</v>
      </c>
      <c r="X33" s="4" t="str">
        <f>IFERROR(LOOKUP(2,1/((#REF!=nov!$A33)*(#REF!&lt;=nov!X$3)*(#REF!&gt;=nov!X$3)),#REF!),IF(WEEKDAY(nov!X$3,1)=1,"WO","P"))</f>
        <v>P</v>
      </c>
      <c r="Y33" s="4" t="str">
        <f>IFERROR(LOOKUP(2,1/((#REF!=nov!$A33)*(#REF!&lt;=nov!Y$3)*(#REF!&gt;=nov!Y$3)),#REF!),IF(WEEKDAY(nov!Y$3,1)=1,"WO","P"))</f>
        <v>P</v>
      </c>
      <c r="Z33" s="4" t="str">
        <f>IFERROR(LOOKUP(2,1/((#REF!=nov!$A33)*(#REF!&lt;=nov!Z$3)*(#REF!&gt;=nov!Z$3)),#REF!),IF(WEEKDAY(nov!Z$3,1)=1,"WO","P"))</f>
        <v>P</v>
      </c>
      <c r="AA33" s="4" t="str">
        <f>IFERROR(LOOKUP(2,1/((#REF!=nov!$A33)*(#REF!&lt;=nov!AA$3)*(#REF!&gt;=nov!AA$3)),#REF!),IF(WEEKDAY(nov!AA$3,1)=1,"WO","P"))</f>
        <v>WO</v>
      </c>
      <c r="AB33" s="4" t="str">
        <f>IFERROR(LOOKUP(2,1/((#REF!=nov!$A33)*(#REF!&lt;=nov!AB$3)*(#REF!&gt;=nov!AB$3)),#REF!),IF(WEEKDAY(nov!AB$3,1)=1,"WO","P"))</f>
        <v>P</v>
      </c>
      <c r="AC33" s="4" t="str">
        <f>IFERROR(LOOKUP(2,1/((#REF!=nov!$A33)*(#REF!&lt;=nov!AC$3)*(#REF!&gt;=nov!AC$3)),#REF!),IF(WEEKDAY(nov!AC$3,1)=1,"WO","P"))</f>
        <v>P</v>
      </c>
      <c r="AD33" s="4" t="str">
        <f>IFERROR(LOOKUP(2,1/((#REF!=nov!$A33)*(#REF!&lt;=nov!AD$3)*(#REF!&gt;=nov!AD$3)),#REF!),IF(WEEKDAY(nov!AD$3,1)=1,"WO","P"))</f>
        <v>P</v>
      </c>
      <c r="AE33" s="4" t="str">
        <f>IFERROR(LOOKUP(2,1/((#REF!=nov!$A33)*(#REF!&lt;=nov!AE$3)*(#REF!&gt;=nov!AE$3)),#REF!),IF(WEEKDAY(nov!AE$3,1)=1,"WO","P"))</f>
        <v>P</v>
      </c>
      <c r="AF33" s="4" t="str">
        <f>IFERROR(LOOKUP(2,1/((#REF!=nov!$A33)*(#REF!&lt;=nov!AF$3)*(#REF!&gt;=nov!AF$3)),#REF!),IF(WEEKDAY(nov!AF$3,1)=1,"WO","P"))</f>
        <v>P</v>
      </c>
      <c r="AG33" s="4" t="str">
        <f>IFERROR(LOOKUP(2,1/((#REF!=nov!$A33)*(#REF!&lt;=nov!AG$3)*(#REF!&gt;=nov!AG$3)),#REF!),IF(WEEKDAY(nov!AG$3,1)=1,"WO","P"))</f>
        <v>P</v>
      </c>
      <c r="AH33" s="4" t="str">
        <f>IFERROR(LOOKUP(2,1/((#REF!=nov!$A33)*(#REF!&lt;=nov!AH$3)*(#REF!&gt;=nov!AH$3)),#REF!),IF(WEEKDAY(nov!AH$3,1)=1,"WO","P"))</f>
        <v>WO</v>
      </c>
      <c r="AI33" s="4" t="str">
        <f>IFERROR(LOOKUP(2,1/((#REF!=nov!$A33)*(#REF!&lt;=nov!AI$3)*(#REF!&gt;=nov!AI$3)),#REF!),IF(WEEKDAY(nov!AI$3,1)=1,"WO","P"))</f>
        <v>P</v>
      </c>
      <c r="AJ33" s="4">
        <f>COUNTIF(mar!$F33:$AJ33,"WO")</f>
        <v>5</v>
      </c>
      <c r="AK33" s="4">
        <f>COUNTIF(mar!$F33:$AJ33,"H")</f>
        <v>2</v>
      </c>
      <c r="AL33" s="4">
        <f>COUNTIF(mar!$F33:$AJ33,"pl")</f>
        <v>0</v>
      </c>
      <c r="AM33" s="4">
        <f>COUNTIF(mar!$F33:$AJ33,"LWP")</f>
        <v>0</v>
      </c>
      <c r="AN33" s="4">
        <f>COUNTIF(mar!$F33:$AJ33,"HD")</f>
        <v>0</v>
      </c>
      <c r="AO33" s="4">
        <f>COUNTIF(mar!$F33:$AJ33,"SL")</f>
        <v>0</v>
      </c>
      <c r="AP33" s="4">
        <f>COUNTIF(mar!$F33:$AJ33,"CL")</f>
        <v>0</v>
      </c>
      <c r="AQ33" s="4">
        <f>COUNTIF(mar!$F33:$AJ33,"A")</f>
        <v>0</v>
      </c>
      <c r="AR33" s="4">
        <f>COUNTIF(mar!$F33:$AJ33,"P")</f>
        <v>24</v>
      </c>
      <c r="AS33" s="4">
        <f t="shared" si="2"/>
        <v>30</v>
      </c>
      <c r="AT33" s="4">
        <f t="shared" si="3"/>
        <v>31</v>
      </c>
      <c r="AU33" s="4">
        <f>SUMIFS(holly!$L$2:$L$122,holly!$I$2:$I$122,mar!$A33,holly!$K$2:$K$122,"Mar")</f>
        <v>5</v>
      </c>
    </row>
    <row r="34" spans="1:47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IFERROR(LOOKUP(2,1/((#REF!=nov!$A34)*(#REF!&lt;=nov!F$3)*(#REF!&gt;=nov!F$3)),#REF!),IF(WEEKDAY(nov!F$3,1)=1,"WO","P"))</f>
        <v>WO</v>
      </c>
      <c r="G34" s="4" t="str">
        <f>IFERROR(LOOKUP(2,1/((#REF!=nov!$A34)*(#REF!&lt;=nov!G$3)*(#REF!&gt;=nov!G$3)),#REF!),IF(WEEKDAY(nov!G$3,1)=1,"WO","P"))</f>
        <v>P</v>
      </c>
      <c r="H34" s="4" t="str">
        <f>IFERROR(LOOKUP(2,1/((#REF!=nov!$A34)*(#REF!&lt;=nov!H$3)*(#REF!&gt;=nov!H$3)),#REF!),IF(WEEKDAY(nov!H$3,1)=1,"WO","P"))</f>
        <v>P</v>
      </c>
      <c r="I34" s="4" t="str">
        <f>IFERROR(LOOKUP(2,1/((#REF!=nov!$A34)*(#REF!&lt;=nov!I$3)*(#REF!&gt;=nov!I$3)),#REF!),IF(WEEKDAY(nov!I$3,1)=1,"WO","P"))</f>
        <v>P</v>
      </c>
      <c r="J34" s="4" t="str">
        <f>IFERROR(LOOKUP(2,1/((#REF!=nov!$A34)*(#REF!&lt;=nov!J$3)*(#REF!&gt;=nov!J$3)),#REF!),IF(WEEKDAY(nov!J$3,1)=1,"WO","P"))</f>
        <v>P</v>
      </c>
      <c r="K34" s="4" t="str">
        <f>IFERROR(LOOKUP(2,1/((#REF!=nov!$A34)*(#REF!&lt;=nov!K$3)*(#REF!&gt;=nov!K$3)),#REF!),IF(WEEKDAY(nov!K$3,1)=1,"WO","P"))</f>
        <v>P</v>
      </c>
      <c r="L34" s="4" t="str">
        <f>IFERROR(LOOKUP(2,1/((#REF!=nov!$A34)*(#REF!&lt;=nov!L$3)*(#REF!&gt;=nov!L$3)),#REF!),IF(WEEKDAY(nov!L$3,1)=1,"WO","P"))</f>
        <v>P</v>
      </c>
      <c r="M34" s="4" t="str">
        <f>IFERROR(LOOKUP(2,1/((#REF!=nov!$A34)*(#REF!&lt;=nov!M$3)*(#REF!&gt;=nov!M$3)),#REF!),IF(WEEKDAY(nov!M$3,1)=1,"WO","P"))</f>
        <v>WO</v>
      </c>
      <c r="N34" s="4" t="str">
        <f>IFERROR(LOOKUP(2,1/((#REF!=nov!$A34)*(#REF!&lt;=nov!N$3)*(#REF!&gt;=nov!N$3)),#REF!),IF(WEEKDAY(nov!N$3,1)=1,"WO","P"))</f>
        <v>P</v>
      </c>
      <c r="O34" s="4" t="str">
        <f>IFERROR(LOOKUP(2,1/((#REF!=nov!$A34)*(#REF!&lt;=nov!O$3)*(#REF!&gt;=nov!O$3)),#REF!),IF(WEEKDAY(nov!O$3,1)=1,"WO","P"))</f>
        <v>P</v>
      </c>
      <c r="P34" s="4" t="str">
        <f>IFERROR(LOOKUP(2,1/((#REF!=nov!$A34)*(#REF!&lt;=nov!P$3)*(#REF!&gt;=nov!P$3)),#REF!),IF(WEEKDAY(nov!P$3,1)=1,"WO","P"))</f>
        <v>P</v>
      </c>
      <c r="Q34" s="4" t="str">
        <f>IFERROR(LOOKUP(2,1/((#REF!=nov!$A34)*(#REF!&lt;=nov!Q$3)*(#REF!&gt;=nov!Q$3)),#REF!),IF(WEEKDAY(nov!Q$3,1)=1,"WO","P"))</f>
        <v>P</v>
      </c>
      <c r="R34" s="4" t="str">
        <f>IFERROR(LOOKUP(2,1/((#REF!=nov!$A34)*(#REF!&lt;=nov!R$3)*(#REF!&gt;=nov!R$3)),#REF!),IF(WEEKDAY(nov!R$3,1)=1,"WO","P"))</f>
        <v>P</v>
      </c>
      <c r="S34" s="4" t="str">
        <f>IFERROR(LOOKUP(2,1/((#REF!=nov!$A34)*(#REF!&lt;=nov!S$3)*(#REF!&gt;=nov!S$3)),#REF!),IF(WEEKDAY(nov!S$3,1)=1,"WO","P"))</f>
        <v>P</v>
      </c>
      <c r="T34" s="4" t="str">
        <f>IFERROR(LOOKUP(2,1/((#REF!=nov!$A34)*(#REF!&lt;=nov!T$3)*(#REF!&gt;=nov!T$3)),#REF!),IF(WEEKDAY(nov!T$3,1)=1,"WO","P"))</f>
        <v>WO</v>
      </c>
      <c r="U34" s="4" t="str">
        <f>IFERROR(LOOKUP(2,1/((#REF!=nov!$A34)*(#REF!&lt;=nov!U$3)*(#REF!&gt;=nov!U$3)),#REF!),IF(WEEKDAY(nov!U$3,1)=1,"WO","P"))</f>
        <v>P</v>
      </c>
      <c r="V34" s="4" t="str">
        <f>IFERROR(LOOKUP(2,1/((#REF!=nov!$A34)*(#REF!&lt;=nov!V$3)*(#REF!&gt;=nov!V$3)),#REF!),IF(WEEKDAY(nov!V$3,1)=1,"WO","P"))</f>
        <v>P</v>
      </c>
      <c r="W34" s="4" t="str">
        <f>IFERROR(LOOKUP(2,1/((#REF!=nov!$A34)*(#REF!&lt;=nov!W$3)*(#REF!&gt;=nov!W$3)),#REF!),IF(WEEKDAY(nov!W$3,1)=1,"WO","P"))</f>
        <v>P</v>
      </c>
      <c r="X34" s="4" t="str">
        <f>IFERROR(LOOKUP(2,1/((#REF!=nov!$A34)*(#REF!&lt;=nov!X$3)*(#REF!&gt;=nov!X$3)),#REF!),IF(WEEKDAY(nov!X$3,1)=1,"WO","P"))</f>
        <v>P</v>
      </c>
      <c r="Y34" s="4" t="str">
        <f>IFERROR(LOOKUP(2,1/((#REF!=nov!$A34)*(#REF!&lt;=nov!Y$3)*(#REF!&gt;=nov!Y$3)),#REF!),IF(WEEKDAY(nov!Y$3,1)=1,"WO","P"))</f>
        <v>P</v>
      </c>
      <c r="Z34" s="4" t="str">
        <f>IFERROR(LOOKUP(2,1/((#REF!=nov!$A34)*(#REF!&lt;=nov!Z$3)*(#REF!&gt;=nov!Z$3)),#REF!),IF(WEEKDAY(nov!Z$3,1)=1,"WO","P"))</f>
        <v>P</v>
      </c>
      <c r="AA34" s="4" t="str">
        <f>IFERROR(LOOKUP(2,1/((#REF!=nov!$A34)*(#REF!&lt;=nov!AA$3)*(#REF!&gt;=nov!AA$3)),#REF!),IF(WEEKDAY(nov!AA$3,1)=1,"WO","P"))</f>
        <v>WO</v>
      </c>
      <c r="AB34" s="4" t="str">
        <f>IFERROR(LOOKUP(2,1/((#REF!=nov!$A34)*(#REF!&lt;=nov!AB$3)*(#REF!&gt;=nov!AB$3)),#REF!),IF(WEEKDAY(nov!AB$3,1)=1,"WO","P"))</f>
        <v>P</v>
      </c>
      <c r="AC34" s="4" t="str">
        <f>IFERROR(LOOKUP(2,1/((#REF!=nov!$A34)*(#REF!&lt;=nov!AC$3)*(#REF!&gt;=nov!AC$3)),#REF!),IF(WEEKDAY(nov!AC$3,1)=1,"WO","P"))</f>
        <v>P</v>
      </c>
      <c r="AD34" s="4" t="str">
        <f>IFERROR(LOOKUP(2,1/((#REF!=nov!$A34)*(#REF!&lt;=nov!AD$3)*(#REF!&gt;=nov!AD$3)),#REF!),IF(WEEKDAY(nov!AD$3,1)=1,"WO","P"))</f>
        <v>P</v>
      </c>
      <c r="AE34" s="4" t="str">
        <f>IFERROR(LOOKUP(2,1/((#REF!=nov!$A34)*(#REF!&lt;=nov!AE$3)*(#REF!&gt;=nov!AE$3)),#REF!),IF(WEEKDAY(nov!AE$3,1)=1,"WO","P"))</f>
        <v>P</v>
      </c>
      <c r="AF34" s="4" t="str">
        <f>IFERROR(LOOKUP(2,1/((#REF!=nov!$A34)*(#REF!&lt;=nov!AF$3)*(#REF!&gt;=nov!AF$3)),#REF!),IF(WEEKDAY(nov!AF$3,1)=1,"WO","P"))</f>
        <v>P</v>
      </c>
      <c r="AG34" s="4" t="str">
        <f>IFERROR(LOOKUP(2,1/((#REF!=nov!$A34)*(#REF!&lt;=nov!AG$3)*(#REF!&gt;=nov!AG$3)),#REF!),IF(WEEKDAY(nov!AG$3,1)=1,"WO","P"))</f>
        <v>P</v>
      </c>
      <c r="AH34" s="4" t="str">
        <f>IFERROR(LOOKUP(2,1/((#REF!=nov!$A34)*(#REF!&lt;=nov!AH$3)*(#REF!&gt;=nov!AH$3)),#REF!),IF(WEEKDAY(nov!AH$3,1)=1,"WO","P"))</f>
        <v>WO</v>
      </c>
      <c r="AI34" s="4" t="str">
        <f>IFERROR(LOOKUP(2,1/((#REF!=nov!$A34)*(#REF!&lt;=nov!AI$3)*(#REF!&gt;=nov!AI$3)),#REF!),IF(WEEKDAY(nov!AI$3,1)=1,"WO","P"))</f>
        <v>P</v>
      </c>
      <c r="AJ34" s="4">
        <f>COUNTIF(mar!$F34:$AJ34,"WO")</f>
        <v>5</v>
      </c>
      <c r="AK34" s="4">
        <f>COUNTIF(mar!$F34:$AJ34,"H")</f>
        <v>2</v>
      </c>
      <c r="AL34" s="4">
        <f>COUNTIF(mar!$F34:$AJ34,"pl")</f>
        <v>0</v>
      </c>
      <c r="AM34" s="4">
        <f>COUNTIF(mar!$F34:$AJ34,"LWP")</f>
        <v>1</v>
      </c>
      <c r="AN34" s="4">
        <f>COUNTIF(mar!$F34:$AJ34,"HD")</f>
        <v>0</v>
      </c>
      <c r="AO34" s="4">
        <f>COUNTIF(mar!$F34:$AJ34,"SL")</f>
        <v>0</v>
      </c>
      <c r="AP34" s="4">
        <f>COUNTIF(mar!$F34:$AJ34,"CL")</f>
        <v>0</v>
      </c>
      <c r="AQ34" s="4">
        <f>COUNTIF(mar!$F34:$AJ34,"A")</f>
        <v>0</v>
      </c>
      <c r="AR34" s="4">
        <f>COUNTIF(mar!$F34:$AJ34,"P")</f>
        <v>23</v>
      </c>
      <c r="AS34" s="4">
        <f t="shared" si="2"/>
        <v>30</v>
      </c>
      <c r="AT34" s="4">
        <f t="shared" si="3"/>
        <v>30</v>
      </c>
      <c r="AU34" s="4">
        <f>SUMIFS(holly!$L$2:$L$122,holly!$I$2:$I$122,mar!$A34,holly!$K$2:$K$122,"Mar")</f>
        <v>0</v>
      </c>
    </row>
    <row r="35" spans="1:47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IFERROR(LOOKUP(2,1/((#REF!=nov!$A35)*(#REF!&lt;=nov!F$3)*(#REF!&gt;=nov!F$3)),#REF!),IF(WEEKDAY(nov!F$3,1)=1,"WO","P"))</f>
        <v>WO</v>
      </c>
      <c r="G35" s="4" t="str">
        <f>IFERROR(LOOKUP(2,1/((#REF!=nov!$A35)*(#REF!&lt;=nov!G$3)*(#REF!&gt;=nov!G$3)),#REF!),IF(WEEKDAY(nov!G$3,1)=1,"WO","P"))</f>
        <v>P</v>
      </c>
      <c r="H35" s="4" t="str">
        <f>IFERROR(LOOKUP(2,1/((#REF!=nov!$A35)*(#REF!&lt;=nov!H$3)*(#REF!&gt;=nov!H$3)),#REF!),IF(WEEKDAY(nov!H$3,1)=1,"WO","P"))</f>
        <v>P</v>
      </c>
      <c r="I35" s="4" t="str">
        <f>IFERROR(LOOKUP(2,1/((#REF!=nov!$A35)*(#REF!&lt;=nov!I$3)*(#REF!&gt;=nov!I$3)),#REF!),IF(WEEKDAY(nov!I$3,1)=1,"WO","P"))</f>
        <v>P</v>
      </c>
      <c r="J35" s="4" t="str">
        <f>IFERROR(LOOKUP(2,1/((#REF!=nov!$A35)*(#REF!&lt;=nov!J$3)*(#REF!&gt;=nov!J$3)),#REF!),IF(WEEKDAY(nov!J$3,1)=1,"WO","P"))</f>
        <v>P</v>
      </c>
      <c r="K35" s="4" t="str">
        <f>IFERROR(LOOKUP(2,1/((#REF!=nov!$A35)*(#REF!&lt;=nov!K$3)*(#REF!&gt;=nov!K$3)),#REF!),IF(WEEKDAY(nov!K$3,1)=1,"WO","P"))</f>
        <v>P</v>
      </c>
      <c r="L35" s="4" t="str">
        <f>IFERROR(LOOKUP(2,1/((#REF!=nov!$A35)*(#REF!&lt;=nov!L$3)*(#REF!&gt;=nov!L$3)),#REF!),IF(WEEKDAY(nov!L$3,1)=1,"WO","P"))</f>
        <v>P</v>
      </c>
      <c r="M35" s="4" t="str">
        <f>IFERROR(LOOKUP(2,1/((#REF!=nov!$A35)*(#REF!&lt;=nov!M$3)*(#REF!&gt;=nov!M$3)),#REF!),IF(WEEKDAY(nov!M$3,1)=1,"WO","P"))</f>
        <v>WO</v>
      </c>
      <c r="N35" s="4" t="str">
        <f>IFERROR(LOOKUP(2,1/((#REF!=nov!$A35)*(#REF!&lt;=nov!N$3)*(#REF!&gt;=nov!N$3)),#REF!),IF(WEEKDAY(nov!N$3,1)=1,"WO","P"))</f>
        <v>P</v>
      </c>
      <c r="O35" s="4" t="str">
        <f>IFERROR(LOOKUP(2,1/((#REF!=nov!$A35)*(#REF!&lt;=nov!O$3)*(#REF!&gt;=nov!O$3)),#REF!),IF(WEEKDAY(nov!O$3,1)=1,"WO","P"))</f>
        <v>P</v>
      </c>
      <c r="P35" s="4" t="str">
        <f>IFERROR(LOOKUP(2,1/((#REF!=nov!$A35)*(#REF!&lt;=nov!P$3)*(#REF!&gt;=nov!P$3)),#REF!),IF(WEEKDAY(nov!P$3,1)=1,"WO","P"))</f>
        <v>P</v>
      </c>
      <c r="Q35" s="4" t="str">
        <f>IFERROR(LOOKUP(2,1/((#REF!=nov!$A35)*(#REF!&lt;=nov!Q$3)*(#REF!&gt;=nov!Q$3)),#REF!),IF(WEEKDAY(nov!Q$3,1)=1,"WO","P"))</f>
        <v>P</v>
      </c>
      <c r="R35" s="4" t="str">
        <f>IFERROR(LOOKUP(2,1/((#REF!=nov!$A35)*(#REF!&lt;=nov!R$3)*(#REF!&gt;=nov!R$3)),#REF!),IF(WEEKDAY(nov!R$3,1)=1,"WO","P"))</f>
        <v>P</v>
      </c>
      <c r="S35" s="4" t="str">
        <f>IFERROR(LOOKUP(2,1/((#REF!=nov!$A35)*(#REF!&lt;=nov!S$3)*(#REF!&gt;=nov!S$3)),#REF!),IF(WEEKDAY(nov!S$3,1)=1,"WO","P"))</f>
        <v>P</v>
      </c>
      <c r="T35" s="4" t="str">
        <f>IFERROR(LOOKUP(2,1/((#REF!=nov!$A35)*(#REF!&lt;=nov!T$3)*(#REF!&gt;=nov!T$3)),#REF!),IF(WEEKDAY(nov!T$3,1)=1,"WO","P"))</f>
        <v>WO</v>
      </c>
      <c r="U35" s="4" t="str">
        <f>IFERROR(LOOKUP(2,1/((#REF!=nov!$A35)*(#REF!&lt;=nov!U$3)*(#REF!&gt;=nov!U$3)),#REF!),IF(WEEKDAY(nov!U$3,1)=1,"WO","P"))</f>
        <v>P</v>
      </c>
      <c r="V35" s="4" t="str">
        <f>IFERROR(LOOKUP(2,1/((#REF!=nov!$A35)*(#REF!&lt;=nov!V$3)*(#REF!&gt;=nov!V$3)),#REF!),IF(WEEKDAY(nov!V$3,1)=1,"WO","P"))</f>
        <v>P</v>
      </c>
      <c r="W35" s="4" t="str">
        <f>IFERROR(LOOKUP(2,1/((#REF!=nov!$A35)*(#REF!&lt;=nov!W$3)*(#REF!&gt;=nov!W$3)),#REF!),IF(WEEKDAY(nov!W$3,1)=1,"WO","P"))</f>
        <v>P</v>
      </c>
      <c r="X35" s="4" t="str">
        <f>IFERROR(LOOKUP(2,1/((#REF!=nov!$A35)*(#REF!&lt;=nov!X$3)*(#REF!&gt;=nov!X$3)),#REF!),IF(WEEKDAY(nov!X$3,1)=1,"WO","P"))</f>
        <v>P</v>
      </c>
      <c r="Y35" s="4" t="str">
        <f>IFERROR(LOOKUP(2,1/((#REF!=nov!$A35)*(#REF!&lt;=nov!Y$3)*(#REF!&gt;=nov!Y$3)),#REF!),IF(WEEKDAY(nov!Y$3,1)=1,"WO","P"))</f>
        <v>P</v>
      </c>
      <c r="Z35" s="4" t="str">
        <f>IFERROR(LOOKUP(2,1/((#REF!=nov!$A35)*(#REF!&lt;=nov!Z$3)*(#REF!&gt;=nov!Z$3)),#REF!),IF(WEEKDAY(nov!Z$3,1)=1,"WO","P"))</f>
        <v>P</v>
      </c>
      <c r="AA35" s="4" t="str">
        <f>IFERROR(LOOKUP(2,1/((#REF!=nov!$A35)*(#REF!&lt;=nov!AA$3)*(#REF!&gt;=nov!AA$3)),#REF!),IF(WEEKDAY(nov!AA$3,1)=1,"WO","P"))</f>
        <v>WO</v>
      </c>
      <c r="AB35" s="4" t="str">
        <f>IFERROR(LOOKUP(2,1/((#REF!=nov!$A35)*(#REF!&lt;=nov!AB$3)*(#REF!&gt;=nov!AB$3)),#REF!),IF(WEEKDAY(nov!AB$3,1)=1,"WO","P"))</f>
        <v>P</v>
      </c>
      <c r="AC35" s="4" t="str">
        <f>IFERROR(LOOKUP(2,1/((#REF!=nov!$A35)*(#REF!&lt;=nov!AC$3)*(#REF!&gt;=nov!AC$3)),#REF!),IF(WEEKDAY(nov!AC$3,1)=1,"WO","P"))</f>
        <v>P</v>
      </c>
      <c r="AD35" s="4" t="str">
        <f>IFERROR(LOOKUP(2,1/((#REF!=nov!$A35)*(#REF!&lt;=nov!AD$3)*(#REF!&gt;=nov!AD$3)),#REF!),IF(WEEKDAY(nov!AD$3,1)=1,"WO","P"))</f>
        <v>P</v>
      </c>
      <c r="AE35" s="4" t="str">
        <f>IFERROR(LOOKUP(2,1/((#REF!=nov!$A35)*(#REF!&lt;=nov!AE$3)*(#REF!&gt;=nov!AE$3)),#REF!),IF(WEEKDAY(nov!AE$3,1)=1,"WO","P"))</f>
        <v>P</v>
      </c>
      <c r="AF35" s="4" t="str">
        <f>IFERROR(LOOKUP(2,1/((#REF!=nov!$A35)*(#REF!&lt;=nov!AF$3)*(#REF!&gt;=nov!AF$3)),#REF!),IF(WEEKDAY(nov!AF$3,1)=1,"WO","P"))</f>
        <v>P</v>
      </c>
      <c r="AG35" s="4" t="str">
        <f>IFERROR(LOOKUP(2,1/((#REF!=nov!$A35)*(#REF!&lt;=nov!AG$3)*(#REF!&gt;=nov!AG$3)),#REF!),IF(WEEKDAY(nov!AG$3,1)=1,"WO","P"))</f>
        <v>P</v>
      </c>
      <c r="AH35" s="4" t="str">
        <f>IFERROR(LOOKUP(2,1/((#REF!=nov!$A35)*(#REF!&lt;=nov!AH$3)*(#REF!&gt;=nov!AH$3)),#REF!),IF(WEEKDAY(nov!AH$3,1)=1,"WO","P"))</f>
        <v>WO</v>
      </c>
      <c r="AI35" s="4" t="str">
        <f>IFERROR(LOOKUP(2,1/((#REF!=nov!$A35)*(#REF!&lt;=nov!AI$3)*(#REF!&gt;=nov!AI$3)),#REF!),IF(WEEKDAY(nov!AI$3,1)=1,"WO","P"))</f>
        <v>P</v>
      </c>
      <c r="AJ35" s="4">
        <f>COUNTIF(mar!$F35:$AJ35,"WO")</f>
        <v>5</v>
      </c>
      <c r="AK35" s="4">
        <f>COUNTIF(mar!$F35:$AJ35,"H")</f>
        <v>2</v>
      </c>
      <c r="AL35" s="4">
        <f>COUNTIF(mar!$F35:$AJ35,"pl")</f>
        <v>0</v>
      </c>
      <c r="AM35" s="4">
        <f>COUNTIF(mar!$F35:$AJ35,"LWP")</f>
        <v>0</v>
      </c>
      <c r="AN35" s="4">
        <f>COUNTIF(mar!$F35:$AJ35,"HD")</f>
        <v>0</v>
      </c>
      <c r="AO35" s="4">
        <f>COUNTIF(mar!$F35:$AJ35,"SL")</f>
        <v>0</v>
      </c>
      <c r="AP35" s="4">
        <f>COUNTIF(mar!$F35:$AJ35,"CL")</f>
        <v>0</v>
      </c>
      <c r="AQ35" s="4">
        <f>COUNTIF(mar!$F35:$AJ35,"A")</f>
        <v>0</v>
      </c>
      <c r="AR35" s="4">
        <f>COUNTIF(mar!$F35:$AJ35,"P")</f>
        <v>24</v>
      </c>
      <c r="AS35" s="4">
        <f t="shared" si="2"/>
        <v>30</v>
      </c>
      <c r="AT35" s="4">
        <f t="shared" si="3"/>
        <v>31</v>
      </c>
      <c r="AU35" s="4">
        <f>SUMIFS(holly!$L$2:$L$122,holly!$I$2:$I$122,mar!$A35,holly!$K$2:$K$122,"Mar")</f>
        <v>0</v>
      </c>
    </row>
    <row r="36" spans="1:47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IFERROR(LOOKUP(2,1/((#REF!=nov!$A36)*(#REF!&lt;=nov!F$3)*(#REF!&gt;=nov!F$3)),#REF!),IF(WEEKDAY(nov!F$3,1)=1,"WO","P"))</f>
        <v>WO</v>
      </c>
      <c r="G36" s="4" t="str">
        <f>IFERROR(LOOKUP(2,1/((#REF!=nov!$A36)*(#REF!&lt;=nov!G$3)*(#REF!&gt;=nov!G$3)),#REF!),IF(WEEKDAY(nov!G$3,1)=1,"WO","P"))</f>
        <v>P</v>
      </c>
      <c r="H36" s="4" t="str">
        <f>IFERROR(LOOKUP(2,1/((#REF!=nov!$A36)*(#REF!&lt;=nov!H$3)*(#REF!&gt;=nov!H$3)),#REF!),IF(WEEKDAY(nov!H$3,1)=1,"WO","P"))</f>
        <v>P</v>
      </c>
      <c r="I36" s="4" t="str">
        <f>IFERROR(LOOKUP(2,1/((#REF!=nov!$A36)*(#REF!&lt;=nov!I$3)*(#REF!&gt;=nov!I$3)),#REF!),IF(WEEKDAY(nov!I$3,1)=1,"WO","P"))</f>
        <v>P</v>
      </c>
      <c r="J36" s="4" t="str">
        <f>IFERROR(LOOKUP(2,1/((#REF!=nov!$A36)*(#REF!&lt;=nov!J$3)*(#REF!&gt;=nov!J$3)),#REF!),IF(WEEKDAY(nov!J$3,1)=1,"WO","P"))</f>
        <v>P</v>
      </c>
      <c r="K36" s="4" t="str">
        <f>IFERROR(LOOKUP(2,1/((#REF!=nov!$A36)*(#REF!&lt;=nov!K$3)*(#REF!&gt;=nov!K$3)),#REF!),IF(WEEKDAY(nov!K$3,1)=1,"WO","P"))</f>
        <v>P</v>
      </c>
      <c r="L36" s="4" t="str">
        <f>IFERROR(LOOKUP(2,1/((#REF!=nov!$A36)*(#REF!&lt;=nov!L$3)*(#REF!&gt;=nov!L$3)),#REF!),IF(WEEKDAY(nov!L$3,1)=1,"WO","P"))</f>
        <v>P</v>
      </c>
      <c r="M36" s="4" t="str">
        <f>IFERROR(LOOKUP(2,1/((#REF!=nov!$A36)*(#REF!&lt;=nov!M$3)*(#REF!&gt;=nov!M$3)),#REF!),IF(WEEKDAY(nov!M$3,1)=1,"WO","P"))</f>
        <v>WO</v>
      </c>
      <c r="N36" s="4" t="str">
        <f>IFERROR(LOOKUP(2,1/((#REF!=nov!$A36)*(#REF!&lt;=nov!N$3)*(#REF!&gt;=nov!N$3)),#REF!),IF(WEEKDAY(nov!N$3,1)=1,"WO","P"))</f>
        <v>P</v>
      </c>
      <c r="O36" s="4" t="str">
        <f>IFERROR(LOOKUP(2,1/((#REF!=nov!$A36)*(#REF!&lt;=nov!O$3)*(#REF!&gt;=nov!O$3)),#REF!),IF(WEEKDAY(nov!O$3,1)=1,"WO","P"))</f>
        <v>P</v>
      </c>
      <c r="P36" s="4" t="str">
        <f>IFERROR(LOOKUP(2,1/((#REF!=nov!$A36)*(#REF!&lt;=nov!P$3)*(#REF!&gt;=nov!P$3)),#REF!),IF(WEEKDAY(nov!P$3,1)=1,"WO","P"))</f>
        <v>P</v>
      </c>
      <c r="Q36" s="4" t="str">
        <f>IFERROR(LOOKUP(2,1/((#REF!=nov!$A36)*(#REF!&lt;=nov!Q$3)*(#REF!&gt;=nov!Q$3)),#REF!),IF(WEEKDAY(nov!Q$3,1)=1,"WO","P"))</f>
        <v>P</v>
      </c>
      <c r="R36" s="4" t="str">
        <f>IFERROR(LOOKUP(2,1/((#REF!=nov!$A36)*(#REF!&lt;=nov!R$3)*(#REF!&gt;=nov!R$3)),#REF!),IF(WEEKDAY(nov!R$3,1)=1,"WO","P"))</f>
        <v>P</v>
      </c>
      <c r="S36" s="4" t="str">
        <f>IFERROR(LOOKUP(2,1/((#REF!=nov!$A36)*(#REF!&lt;=nov!S$3)*(#REF!&gt;=nov!S$3)),#REF!),IF(WEEKDAY(nov!S$3,1)=1,"WO","P"))</f>
        <v>P</v>
      </c>
      <c r="T36" s="4" t="str">
        <f>IFERROR(LOOKUP(2,1/((#REF!=nov!$A36)*(#REF!&lt;=nov!T$3)*(#REF!&gt;=nov!T$3)),#REF!),IF(WEEKDAY(nov!T$3,1)=1,"WO","P"))</f>
        <v>WO</v>
      </c>
      <c r="U36" s="4" t="str">
        <f>IFERROR(LOOKUP(2,1/((#REF!=nov!$A36)*(#REF!&lt;=nov!U$3)*(#REF!&gt;=nov!U$3)),#REF!),IF(WEEKDAY(nov!U$3,1)=1,"WO","P"))</f>
        <v>P</v>
      </c>
      <c r="V36" s="4" t="str">
        <f>IFERROR(LOOKUP(2,1/((#REF!=nov!$A36)*(#REF!&lt;=nov!V$3)*(#REF!&gt;=nov!V$3)),#REF!),IF(WEEKDAY(nov!V$3,1)=1,"WO","P"))</f>
        <v>P</v>
      </c>
      <c r="W36" s="4" t="str">
        <f>IFERROR(LOOKUP(2,1/((#REF!=nov!$A36)*(#REF!&lt;=nov!W$3)*(#REF!&gt;=nov!W$3)),#REF!),IF(WEEKDAY(nov!W$3,1)=1,"WO","P"))</f>
        <v>P</v>
      </c>
      <c r="X36" s="4" t="str">
        <f>IFERROR(LOOKUP(2,1/((#REF!=nov!$A36)*(#REF!&lt;=nov!X$3)*(#REF!&gt;=nov!X$3)),#REF!),IF(WEEKDAY(nov!X$3,1)=1,"WO","P"))</f>
        <v>P</v>
      </c>
      <c r="Y36" s="4" t="str">
        <f>IFERROR(LOOKUP(2,1/((#REF!=nov!$A36)*(#REF!&lt;=nov!Y$3)*(#REF!&gt;=nov!Y$3)),#REF!),IF(WEEKDAY(nov!Y$3,1)=1,"WO","P"))</f>
        <v>P</v>
      </c>
      <c r="Z36" s="4" t="str">
        <f>IFERROR(LOOKUP(2,1/((#REF!=nov!$A36)*(#REF!&lt;=nov!Z$3)*(#REF!&gt;=nov!Z$3)),#REF!),IF(WEEKDAY(nov!Z$3,1)=1,"WO","P"))</f>
        <v>P</v>
      </c>
      <c r="AA36" s="4" t="str">
        <f>IFERROR(LOOKUP(2,1/((#REF!=nov!$A36)*(#REF!&lt;=nov!AA$3)*(#REF!&gt;=nov!AA$3)),#REF!),IF(WEEKDAY(nov!AA$3,1)=1,"WO","P"))</f>
        <v>WO</v>
      </c>
      <c r="AB36" s="4" t="str">
        <f>IFERROR(LOOKUP(2,1/((#REF!=nov!$A36)*(#REF!&lt;=nov!AB$3)*(#REF!&gt;=nov!AB$3)),#REF!),IF(WEEKDAY(nov!AB$3,1)=1,"WO","P"))</f>
        <v>P</v>
      </c>
      <c r="AC36" s="4" t="str">
        <f>IFERROR(LOOKUP(2,1/((#REF!=nov!$A36)*(#REF!&lt;=nov!AC$3)*(#REF!&gt;=nov!AC$3)),#REF!),IF(WEEKDAY(nov!AC$3,1)=1,"WO","P"))</f>
        <v>P</v>
      </c>
      <c r="AD36" s="4" t="str">
        <f>IFERROR(LOOKUP(2,1/((#REF!=nov!$A36)*(#REF!&lt;=nov!AD$3)*(#REF!&gt;=nov!AD$3)),#REF!),IF(WEEKDAY(nov!AD$3,1)=1,"WO","P"))</f>
        <v>P</v>
      </c>
      <c r="AE36" s="4" t="str">
        <f>IFERROR(LOOKUP(2,1/((#REF!=nov!$A36)*(#REF!&lt;=nov!AE$3)*(#REF!&gt;=nov!AE$3)),#REF!),IF(WEEKDAY(nov!AE$3,1)=1,"WO","P"))</f>
        <v>P</v>
      </c>
      <c r="AF36" s="4" t="str">
        <f>IFERROR(LOOKUP(2,1/((#REF!=nov!$A36)*(#REF!&lt;=nov!AF$3)*(#REF!&gt;=nov!AF$3)),#REF!),IF(WEEKDAY(nov!AF$3,1)=1,"WO","P"))</f>
        <v>P</v>
      </c>
      <c r="AG36" s="4" t="str">
        <f>IFERROR(LOOKUP(2,1/((#REF!=nov!$A36)*(#REF!&lt;=nov!AG$3)*(#REF!&gt;=nov!AG$3)),#REF!),IF(WEEKDAY(nov!AG$3,1)=1,"WO","P"))</f>
        <v>P</v>
      </c>
      <c r="AH36" s="4" t="str">
        <f>IFERROR(LOOKUP(2,1/((#REF!=nov!$A36)*(#REF!&lt;=nov!AH$3)*(#REF!&gt;=nov!AH$3)),#REF!),IF(WEEKDAY(nov!AH$3,1)=1,"WO","P"))</f>
        <v>WO</v>
      </c>
      <c r="AI36" s="4" t="str">
        <f>IFERROR(LOOKUP(2,1/((#REF!=nov!$A36)*(#REF!&lt;=nov!AI$3)*(#REF!&gt;=nov!AI$3)),#REF!),IF(WEEKDAY(nov!AI$3,1)=1,"WO","P"))</f>
        <v>P</v>
      </c>
      <c r="AJ36" s="4">
        <f>COUNTIF(mar!$F36:$AJ36,"WO")</f>
        <v>5</v>
      </c>
      <c r="AK36" s="4">
        <f>COUNTIF(mar!$F36:$AJ36,"H")</f>
        <v>2</v>
      </c>
      <c r="AL36" s="4">
        <f>COUNTIF(mar!$F36:$AJ36,"pl")</f>
        <v>0</v>
      </c>
      <c r="AM36" s="4">
        <f>COUNTIF(mar!$F36:$AJ36,"LWP")</f>
        <v>0</v>
      </c>
      <c r="AN36" s="4">
        <f>COUNTIF(mar!$F36:$AJ36,"HD")</f>
        <v>0</v>
      </c>
      <c r="AO36" s="4">
        <f>COUNTIF(mar!$F36:$AJ36,"SL")</f>
        <v>0</v>
      </c>
      <c r="AP36" s="4">
        <f>COUNTIF(mar!$F36:$AJ36,"CL")</f>
        <v>0</v>
      </c>
      <c r="AQ36" s="4">
        <f>COUNTIF(mar!$F36:$AJ36,"A")</f>
        <v>0</v>
      </c>
      <c r="AR36" s="4">
        <f>COUNTIF(mar!$F36:$AJ36,"P")</f>
        <v>24</v>
      </c>
      <c r="AS36" s="4">
        <f t="shared" si="2"/>
        <v>30</v>
      </c>
      <c r="AT36" s="4">
        <f t="shared" si="3"/>
        <v>31</v>
      </c>
      <c r="AU36" s="4">
        <f>SUMIFS(holly!$L$2:$L$122,holly!$I$2:$I$122,mar!$A36,holly!$K$2:$K$122,"Mar")</f>
        <v>0</v>
      </c>
    </row>
    <row r="37" spans="1:47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IFERROR(LOOKUP(2,1/((#REF!=nov!$A37)*(#REF!&lt;=nov!F$3)*(#REF!&gt;=nov!F$3)),#REF!),IF(WEEKDAY(nov!F$3,1)=1,"WO","P"))</f>
        <v>WO</v>
      </c>
      <c r="G37" s="4" t="str">
        <f>IFERROR(LOOKUP(2,1/((#REF!=nov!$A37)*(#REF!&lt;=nov!G$3)*(#REF!&gt;=nov!G$3)),#REF!),IF(WEEKDAY(nov!G$3,1)=1,"WO","P"))</f>
        <v>P</v>
      </c>
      <c r="H37" s="4" t="str">
        <f>IFERROR(LOOKUP(2,1/((#REF!=nov!$A37)*(#REF!&lt;=nov!H$3)*(#REF!&gt;=nov!H$3)),#REF!),IF(WEEKDAY(nov!H$3,1)=1,"WO","P"))</f>
        <v>P</v>
      </c>
      <c r="I37" s="4" t="str">
        <f>IFERROR(LOOKUP(2,1/((#REF!=nov!$A37)*(#REF!&lt;=nov!I$3)*(#REF!&gt;=nov!I$3)),#REF!),IF(WEEKDAY(nov!I$3,1)=1,"WO","P"))</f>
        <v>P</v>
      </c>
      <c r="J37" s="4" t="str">
        <f>IFERROR(LOOKUP(2,1/((#REF!=nov!$A37)*(#REF!&lt;=nov!J$3)*(#REF!&gt;=nov!J$3)),#REF!),IF(WEEKDAY(nov!J$3,1)=1,"WO","P"))</f>
        <v>P</v>
      </c>
      <c r="K37" s="4" t="str">
        <f>IFERROR(LOOKUP(2,1/((#REF!=nov!$A37)*(#REF!&lt;=nov!K$3)*(#REF!&gt;=nov!K$3)),#REF!),IF(WEEKDAY(nov!K$3,1)=1,"WO","P"))</f>
        <v>P</v>
      </c>
      <c r="L37" s="4" t="str">
        <f>IFERROR(LOOKUP(2,1/((#REF!=nov!$A37)*(#REF!&lt;=nov!L$3)*(#REF!&gt;=nov!L$3)),#REF!),IF(WEEKDAY(nov!L$3,1)=1,"WO","P"))</f>
        <v>P</v>
      </c>
      <c r="M37" s="4" t="str">
        <f>IFERROR(LOOKUP(2,1/((#REF!=nov!$A37)*(#REF!&lt;=nov!M$3)*(#REF!&gt;=nov!M$3)),#REF!),IF(WEEKDAY(nov!M$3,1)=1,"WO","P"))</f>
        <v>WO</v>
      </c>
      <c r="N37" s="4" t="str">
        <f>IFERROR(LOOKUP(2,1/((#REF!=nov!$A37)*(#REF!&lt;=nov!N$3)*(#REF!&gt;=nov!N$3)),#REF!),IF(WEEKDAY(nov!N$3,1)=1,"WO","P"))</f>
        <v>P</v>
      </c>
      <c r="O37" s="4" t="str">
        <f>IFERROR(LOOKUP(2,1/((#REF!=nov!$A37)*(#REF!&lt;=nov!O$3)*(#REF!&gt;=nov!O$3)),#REF!),IF(WEEKDAY(nov!O$3,1)=1,"WO","P"))</f>
        <v>P</v>
      </c>
      <c r="P37" s="4" t="str">
        <f>IFERROR(LOOKUP(2,1/((#REF!=nov!$A37)*(#REF!&lt;=nov!P$3)*(#REF!&gt;=nov!P$3)),#REF!),IF(WEEKDAY(nov!P$3,1)=1,"WO","P"))</f>
        <v>P</v>
      </c>
      <c r="Q37" s="4" t="str">
        <f>IFERROR(LOOKUP(2,1/((#REF!=nov!$A37)*(#REF!&lt;=nov!Q$3)*(#REF!&gt;=nov!Q$3)),#REF!),IF(WEEKDAY(nov!Q$3,1)=1,"WO","P"))</f>
        <v>P</v>
      </c>
      <c r="R37" s="4" t="str">
        <f>IFERROR(LOOKUP(2,1/((#REF!=nov!$A37)*(#REF!&lt;=nov!R$3)*(#REF!&gt;=nov!R$3)),#REF!),IF(WEEKDAY(nov!R$3,1)=1,"WO","P"))</f>
        <v>P</v>
      </c>
      <c r="S37" s="4" t="str">
        <f>IFERROR(LOOKUP(2,1/((#REF!=nov!$A37)*(#REF!&lt;=nov!S$3)*(#REF!&gt;=nov!S$3)),#REF!),IF(WEEKDAY(nov!S$3,1)=1,"WO","P"))</f>
        <v>P</v>
      </c>
      <c r="T37" s="4" t="str">
        <f>IFERROR(LOOKUP(2,1/((#REF!=nov!$A37)*(#REF!&lt;=nov!T$3)*(#REF!&gt;=nov!T$3)),#REF!),IF(WEEKDAY(nov!T$3,1)=1,"WO","P"))</f>
        <v>WO</v>
      </c>
      <c r="U37" s="4" t="str">
        <f>IFERROR(LOOKUP(2,1/((#REF!=nov!$A37)*(#REF!&lt;=nov!U$3)*(#REF!&gt;=nov!U$3)),#REF!),IF(WEEKDAY(nov!U$3,1)=1,"WO","P"))</f>
        <v>P</v>
      </c>
      <c r="V37" s="4" t="str">
        <f>IFERROR(LOOKUP(2,1/((#REF!=nov!$A37)*(#REF!&lt;=nov!V$3)*(#REF!&gt;=nov!V$3)),#REF!),IF(WEEKDAY(nov!V$3,1)=1,"WO","P"))</f>
        <v>P</v>
      </c>
      <c r="W37" s="4" t="str">
        <f>IFERROR(LOOKUP(2,1/((#REF!=nov!$A37)*(#REF!&lt;=nov!W$3)*(#REF!&gt;=nov!W$3)),#REF!),IF(WEEKDAY(nov!W$3,1)=1,"WO","P"))</f>
        <v>P</v>
      </c>
      <c r="X37" s="4" t="str">
        <f>IFERROR(LOOKUP(2,1/((#REF!=nov!$A37)*(#REF!&lt;=nov!X$3)*(#REF!&gt;=nov!X$3)),#REF!),IF(WEEKDAY(nov!X$3,1)=1,"WO","P"))</f>
        <v>P</v>
      </c>
      <c r="Y37" s="4" t="str">
        <f>IFERROR(LOOKUP(2,1/((#REF!=nov!$A37)*(#REF!&lt;=nov!Y$3)*(#REF!&gt;=nov!Y$3)),#REF!),IF(WEEKDAY(nov!Y$3,1)=1,"WO","P"))</f>
        <v>P</v>
      </c>
      <c r="Z37" s="4" t="str">
        <f>IFERROR(LOOKUP(2,1/((#REF!=nov!$A37)*(#REF!&lt;=nov!Z$3)*(#REF!&gt;=nov!Z$3)),#REF!),IF(WEEKDAY(nov!Z$3,1)=1,"WO","P"))</f>
        <v>P</v>
      </c>
      <c r="AA37" s="4" t="str">
        <f>IFERROR(LOOKUP(2,1/((#REF!=nov!$A37)*(#REF!&lt;=nov!AA$3)*(#REF!&gt;=nov!AA$3)),#REF!),IF(WEEKDAY(nov!AA$3,1)=1,"WO","P"))</f>
        <v>WO</v>
      </c>
      <c r="AB37" s="4" t="str">
        <f>IFERROR(LOOKUP(2,1/((#REF!=nov!$A37)*(#REF!&lt;=nov!AB$3)*(#REF!&gt;=nov!AB$3)),#REF!),IF(WEEKDAY(nov!AB$3,1)=1,"WO","P"))</f>
        <v>P</v>
      </c>
      <c r="AC37" s="4" t="str">
        <f>IFERROR(LOOKUP(2,1/((#REF!=nov!$A37)*(#REF!&lt;=nov!AC$3)*(#REF!&gt;=nov!AC$3)),#REF!),IF(WEEKDAY(nov!AC$3,1)=1,"WO","P"))</f>
        <v>P</v>
      </c>
      <c r="AD37" s="4" t="str">
        <f>IFERROR(LOOKUP(2,1/((#REF!=nov!$A37)*(#REF!&lt;=nov!AD$3)*(#REF!&gt;=nov!AD$3)),#REF!),IF(WEEKDAY(nov!AD$3,1)=1,"WO","P"))</f>
        <v>P</v>
      </c>
      <c r="AE37" s="4" t="str">
        <f>IFERROR(LOOKUP(2,1/((#REF!=nov!$A37)*(#REF!&lt;=nov!AE$3)*(#REF!&gt;=nov!AE$3)),#REF!),IF(WEEKDAY(nov!AE$3,1)=1,"WO","P"))</f>
        <v>P</v>
      </c>
      <c r="AF37" s="4" t="str">
        <f>IFERROR(LOOKUP(2,1/((#REF!=nov!$A37)*(#REF!&lt;=nov!AF$3)*(#REF!&gt;=nov!AF$3)),#REF!),IF(WEEKDAY(nov!AF$3,1)=1,"WO","P"))</f>
        <v>P</v>
      </c>
      <c r="AG37" s="4" t="str">
        <f>IFERROR(LOOKUP(2,1/((#REF!=nov!$A37)*(#REF!&lt;=nov!AG$3)*(#REF!&gt;=nov!AG$3)),#REF!),IF(WEEKDAY(nov!AG$3,1)=1,"WO","P"))</f>
        <v>P</v>
      </c>
      <c r="AH37" s="4" t="str">
        <f>IFERROR(LOOKUP(2,1/((#REF!=nov!$A37)*(#REF!&lt;=nov!AH$3)*(#REF!&gt;=nov!AH$3)),#REF!),IF(WEEKDAY(nov!AH$3,1)=1,"WO","P"))</f>
        <v>WO</v>
      </c>
      <c r="AI37" s="4" t="str">
        <f>IFERROR(LOOKUP(2,1/((#REF!=nov!$A37)*(#REF!&lt;=nov!AI$3)*(#REF!&gt;=nov!AI$3)),#REF!),IF(WEEKDAY(nov!AI$3,1)=1,"WO","P"))</f>
        <v>P</v>
      </c>
      <c r="AJ37" s="4">
        <f>COUNTIF(mar!$F37:$AJ37,"WO")</f>
        <v>5</v>
      </c>
      <c r="AK37" s="4">
        <f>COUNTIF(mar!$F37:$AJ37,"H")</f>
        <v>2</v>
      </c>
      <c r="AL37" s="4">
        <f>COUNTIF(mar!$F37:$AJ37,"pl")</f>
        <v>0</v>
      </c>
      <c r="AM37" s="4">
        <f>COUNTIF(mar!$F37:$AJ37,"LWP")</f>
        <v>0</v>
      </c>
      <c r="AN37" s="4">
        <f>COUNTIF(mar!$F37:$AJ37,"HD")</f>
        <v>0</v>
      </c>
      <c r="AO37" s="4">
        <f>COUNTIF(mar!$F37:$AJ37,"SL")</f>
        <v>0</v>
      </c>
      <c r="AP37" s="4">
        <f>COUNTIF(mar!$F37:$AJ37,"CL")</f>
        <v>0</v>
      </c>
      <c r="AQ37" s="4">
        <f>COUNTIF(mar!$F37:$AJ37,"A")</f>
        <v>2</v>
      </c>
      <c r="AR37" s="4">
        <f>COUNTIF(mar!$F37:$AJ37,"P")</f>
        <v>22</v>
      </c>
      <c r="AS37" s="4">
        <f t="shared" ref="AS37:AS54" si="4">COUNTA($F37:$AI37)</f>
        <v>30</v>
      </c>
      <c r="AT37" s="4">
        <f t="shared" si="3"/>
        <v>29</v>
      </c>
      <c r="AU37" s="4">
        <f>SUMIFS(holly!$L$2:$L$122,holly!$I$2:$I$122,mar!$A37,holly!$K$2:$K$122,"Mar")</f>
        <v>1</v>
      </c>
    </row>
    <row r="38" spans="1:47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IFERROR(LOOKUP(2,1/((#REF!=nov!$A38)*(#REF!&lt;=nov!F$3)*(#REF!&gt;=nov!F$3)),#REF!),IF(WEEKDAY(nov!F$3,1)=1,"WO","P"))</f>
        <v>WO</v>
      </c>
      <c r="G38" s="4" t="str">
        <f>IFERROR(LOOKUP(2,1/((#REF!=nov!$A38)*(#REF!&lt;=nov!G$3)*(#REF!&gt;=nov!G$3)),#REF!),IF(WEEKDAY(nov!G$3,1)=1,"WO","P"))</f>
        <v>P</v>
      </c>
      <c r="H38" s="4" t="str">
        <f>IFERROR(LOOKUP(2,1/((#REF!=nov!$A38)*(#REF!&lt;=nov!H$3)*(#REF!&gt;=nov!H$3)),#REF!),IF(WEEKDAY(nov!H$3,1)=1,"WO","P"))</f>
        <v>P</v>
      </c>
      <c r="I38" s="4" t="str">
        <f>IFERROR(LOOKUP(2,1/((#REF!=nov!$A38)*(#REF!&lt;=nov!I$3)*(#REF!&gt;=nov!I$3)),#REF!),IF(WEEKDAY(nov!I$3,1)=1,"WO","P"))</f>
        <v>P</v>
      </c>
      <c r="J38" s="4" t="str">
        <f>IFERROR(LOOKUP(2,1/((#REF!=nov!$A38)*(#REF!&lt;=nov!J$3)*(#REF!&gt;=nov!J$3)),#REF!),IF(WEEKDAY(nov!J$3,1)=1,"WO","P"))</f>
        <v>P</v>
      </c>
      <c r="K38" s="4" t="str">
        <f>IFERROR(LOOKUP(2,1/((#REF!=nov!$A38)*(#REF!&lt;=nov!K$3)*(#REF!&gt;=nov!K$3)),#REF!),IF(WEEKDAY(nov!K$3,1)=1,"WO","P"))</f>
        <v>P</v>
      </c>
      <c r="L38" s="4" t="str">
        <f>IFERROR(LOOKUP(2,1/((#REF!=nov!$A38)*(#REF!&lt;=nov!L$3)*(#REF!&gt;=nov!L$3)),#REF!),IF(WEEKDAY(nov!L$3,1)=1,"WO","P"))</f>
        <v>P</v>
      </c>
      <c r="M38" s="4" t="str">
        <f>IFERROR(LOOKUP(2,1/((#REF!=nov!$A38)*(#REF!&lt;=nov!M$3)*(#REF!&gt;=nov!M$3)),#REF!),IF(WEEKDAY(nov!M$3,1)=1,"WO","P"))</f>
        <v>WO</v>
      </c>
      <c r="N38" s="4" t="str">
        <f>IFERROR(LOOKUP(2,1/((#REF!=nov!$A38)*(#REF!&lt;=nov!N$3)*(#REF!&gt;=nov!N$3)),#REF!),IF(WEEKDAY(nov!N$3,1)=1,"WO","P"))</f>
        <v>P</v>
      </c>
      <c r="O38" s="4" t="str">
        <f>IFERROR(LOOKUP(2,1/((#REF!=nov!$A38)*(#REF!&lt;=nov!O$3)*(#REF!&gt;=nov!O$3)),#REF!),IF(WEEKDAY(nov!O$3,1)=1,"WO","P"))</f>
        <v>P</v>
      </c>
      <c r="P38" s="4" t="str">
        <f>IFERROR(LOOKUP(2,1/((#REF!=nov!$A38)*(#REF!&lt;=nov!P$3)*(#REF!&gt;=nov!P$3)),#REF!),IF(WEEKDAY(nov!P$3,1)=1,"WO","P"))</f>
        <v>P</v>
      </c>
      <c r="Q38" s="4" t="str">
        <f>IFERROR(LOOKUP(2,1/((#REF!=nov!$A38)*(#REF!&lt;=nov!Q$3)*(#REF!&gt;=nov!Q$3)),#REF!),IF(WEEKDAY(nov!Q$3,1)=1,"WO","P"))</f>
        <v>P</v>
      </c>
      <c r="R38" s="4" t="str">
        <f>IFERROR(LOOKUP(2,1/((#REF!=nov!$A38)*(#REF!&lt;=nov!R$3)*(#REF!&gt;=nov!R$3)),#REF!),IF(WEEKDAY(nov!R$3,1)=1,"WO","P"))</f>
        <v>P</v>
      </c>
      <c r="S38" s="4" t="str">
        <f>IFERROR(LOOKUP(2,1/((#REF!=nov!$A38)*(#REF!&lt;=nov!S$3)*(#REF!&gt;=nov!S$3)),#REF!),IF(WEEKDAY(nov!S$3,1)=1,"WO","P"))</f>
        <v>P</v>
      </c>
      <c r="T38" s="4" t="str">
        <f>IFERROR(LOOKUP(2,1/((#REF!=nov!$A38)*(#REF!&lt;=nov!T$3)*(#REF!&gt;=nov!T$3)),#REF!),IF(WEEKDAY(nov!T$3,1)=1,"WO","P"))</f>
        <v>WO</v>
      </c>
      <c r="U38" s="4" t="str">
        <f>IFERROR(LOOKUP(2,1/((#REF!=nov!$A38)*(#REF!&lt;=nov!U$3)*(#REF!&gt;=nov!U$3)),#REF!),IF(WEEKDAY(nov!U$3,1)=1,"WO","P"))</f>
        <v>P</v>
      </c>
      <c r="V38" s="4" t="str">
        <f>IFERROR(LOOKUP(2,1/((#REF!=nov!$A38)*(#REF!&lt;=nov!V$3)*(#REF!&gt;=nov!V$3)),#REF!),IF(WEEKDAY(nov!V$3,1)=1,"WO","P"))</f>
        <v>P</v>
      </c>
      <c r="W38" s="4" t="str">
        <f>IFERROR(LOOKUP(2,1/((#REF!=nov!$A38)*(#REF!&lt;=nov!W$3)*(#REF!&gt;=nov!W$3)),#REF!),IF(WEEKDAY(nov!W$3,1)=1,"WO","P"))</f>
        <v>P</v>
      </c>
      <c r="X38" s="4" t="str">
        <f>IFERROR(LOOKUP(2,1/((#REF!=nov!$A38)*(#REF!&lt;=nov!X$3)*(#REF!&gt;=nov!X$3)),#REF!),IF(WEEKDAY(nov!X$3,1)=1,"WO","P"))</f>
        <v>P</v>
      </c>
      <c r="Y38" s="4" t="str">
        <f>IFERROR(LOOKUP(2,1/((#REF!=nov!$A38)*(#REF!&lt;=nov!Y$3)*(#REF!&gt;=nov!Y$3)),#REF!),IF(WEEKDAY(nov!Y$3,1)=1,"WO","P"))</f>
        <v>P</v>
      </c>
      <c r="Z38" s="4" t="str">
        <f>IFERROR(LOOKUP(2,1/((#REF!=nov!$A38)*(#REF!&lt;=nov!Z$3)*(#REF!&gt;=nov!Z$3)),#REF!),IF(WEEKDAY(nov!Z$3,1)=1,"WO","P"))</f>
        <v>P</v>
      </c>
      <c r="AA38" s="4" t="str">
        <f>IFERROR(LOOKUP(2,1/((#REF!=nov!$A38)*(#REF!&lt;=nov!AA$3)*(#REF!&gt;=nov!AA$3)),#REF!),IF(WEEKDAY(nov!AA$3,1)=1,"WO","P"))</f>
        <v>WO</v>
      </c>
      <c r="AB38" s="4" t="str">
        <f>IFERROR(LOOKUP(2,1/((#REF!=nov!$A38)*(#REF!&lt;=nov!AB$3)*(#REF!&gt;=nov!AB$3)),#REF!),IF(WEEKDAY(nov!AB$3,1)=1,"WO","P"))</f>
        <v>P</v>
      </c>
      <c r="AC38" s="4" t="str">
        <f>IFERROR(LOOKUP(2,1/((#REF!=nov!$A38)*(#REF!&lt;=nov!AC$3)*(#REF!&gt;=nov!AC$3)),#REF!),IF(WEEKDAY(nov!AC$3,1)=1,"WO","P"))</f>
        <v>P</v>
      </c>
      <c r="AD38" s="4" t="str">
        <f>IFERROR(LOOKUP(2,1/((#REF!=nov!$A38)*(#REF!&lt;=nov!AD$3)*(#REF!&gt;=nov!AD$3)),#REF!),IF(WEEKDAY(nov!AD$3,1)=1,"WO","P"))</f>
        <v>P</v>
      </c>
      <c r="AE38" s="4" t="str">
        <f>IFERROR(LOOKUP(2,1/((#REF!=nov!$A38)*(#REF!&lt;=nov!AE$3)*(#REF!&gt;=nov!AE$3)),#REF!),IF(WEEKDAY(nov!AE$3,1)=1,"WO","P"))</f>
        <v>P</v>
      </c>
      <c r="AF38" s="4" t="str">
        <f>IFERROR(LOOKUP(2,1/((#REF!=nov!$A38)*(#REF!&lt;=nov!AF$3)*(#REF!&gt;=nov!AF$3)),#REF!),IF(WEEKDAY(nov!AF$3,1)=1,"WO","P"))</f>
        <v>P</v>
      </c>
      <c r="AG38" s="4" t="str">
        <f>IFERROR(LOOKUP(2,1/((#REF!=nov!$A38)*(#REF!&lt;=nov!AG$3)*(#REF!&gt;=nov!AG$3)),#REF!),IF(WEEKDAY(nov!AG$3,1)=1,"WO","P"))</f>
        <v>P</v>
      </c>
      <c r="AH38" s="4" t="str">
        <f>IFERROR(LOOKUP(2,1/((#REF!=nov!$A38)*(#REF!&lt;=nov!AH$3)*(#REF!&gt;=nov!AH$3)),#REF!),IF(WEEKDAY(nov!AH$3,1)=1,"WO","P"))</f>
        <v>WO</v>
      </c>
      <c r="AI38" s="4" t="str">
        <f>IFERROR(LOOKUP(2,1/((#REF!=nov!$A38)*(#REF!&lt;=nov!AI$3)*(#REF!&gt;=nov!AI$3)),#REF!),IF(WEEKDAY(nov!AI$3,1)=1,"WO","P"))</f>
        <v>P</v>
      </c>
      <c r="AJ38" s="4">
        <f>COUNTIF(mar!$F38:$AJ38,"WO")</f>
        <v>5</v>
      </c>
      <c r="AK38" s="4">
        <f>COUNTIF(mar!$F38:$AJ38,"H")</f>
        <v>2</v>
      </c>
      <c r="AL38" s="4">
        <f>COUNTIF(mar!$F38:$AJ38,"pl")</f>
        <v>0</v>
      </c>
      <c r="AM38" s="4">
        <f>COUNTIF(mar!$F38:$AJ38,"LWP")</f>
        <v>0</v>
      </c>
      <c r="AN38" s="4">
        <f>COUNTIF(mar!$F38:$AJ38,"HD")</f>
        <v>0</v>
      </c>
      <c r="AO38" s="4">
        <f>COUNTIF(mar!$F38:$AJ38,"SL")</f>
        <v>0</v>
      </c>
      <c r="AP38" s="4">
        <f>COUNTIF(mar!$F38:$AJ38,"CL")</f>
        <v>0</v>
      </c>
      <c r="AQ38" s="4">
        <f>COUNTIF(mar!$F38:$AJ38,"A")</f>
        <v>0</v>
      </c>
      <c r="AR38" s="4">
        <f>COUNTIF(mar!$F38:$AJ38,"P")</f>
        <v>24</v>
      </c>
      <c r="AS38" s="4">
        <f t="shared" si="4"/>
        <v>30</v>
      </c>
      <c r="AT38" s="4">
        <f t="shared" si="3"/>
        <v>31</v>
      </c>
      <c r="AU38" s="4">
        <f>SUMIFS(holly!$L$2:$L$122,holly!$I$2:$I$122,mar!$A38,holly!$K$2:$K$122,"Mar")</f>
        <v>0</v>
      </c>
    </row>
    <row r="39" spans="1:47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IFERROR(LOOKUP(2,1/((#REF!=nov!$A39)*(#REF!&lt;=nov!F$3)*(#REF!&gt;=nov!F$3)),#REF!),IF(WEEKDAY(nov!F$3,1)=1,"WO","P"))</f>
        <v>WO</v>
      </c>
      <c r="G39" s="4" t="str">
        <f>IFERROR(LOOKUP(2,1/((#REF!=nov!$A39)*(#REF!&lt;=nov!G$3)*(#REF!&gt;=nov!G$3)),#REF!),IF(WEEKDAY(nov!G$3,1)=1,"WO","P"))</f>
        <v>P</v>
      </c>
      <c r="H39" s="4" t="str">
        <f>IFERROR(LOOKUP(2,1/((#REF!=nov!$A39)*(#REF!&lt;=nov!H$3)*(#REF!&gt;=nov!H$3)),#REF!),IF(WEEKDAY(nov!H$3,1)=1,"WO","P"))</f>
        <v>P</v>
      </c>
      <c r="I39" s="4" t="str">
        <f>IFERROR(LOOKUP(2,1/((#REF!=nov!$A39)*(#REF!&lt;=nov!I$3)*(#REF!&gt;=nov!I$3)),#REF!),IF(WEEKDAY(nov!I$3,1)=1,"WO","P"))</f>
        <v>P</v>
      </c>
      <c r="J39" s="4" t="str">
        <f>IFERROR(LOOKUP(2,1/((#REF!=nov!$A39)*(#REF!&lt;=nov!J$3)*(#REF!&gt;=nov!J$3)),#REF!),IF(WEEKDAY(nov!J$3,1)=1,"WO","P"))</f>
        <v>P</v>
      </c>
      <c r="K39" s="4" t="str">
        <f>IFERROR(LOOKUP(2,1/((#REF!=nov!$A39)*(#REF!&lt;=nov!K$3)*(#REF!&gt;=nov!K$3)),#REF!),IF(WEEKDAY(nov!K$3,1)=1,"WO","P"))</f>
        <v>P</v>
      </c>
      <c r="L39" s="4" t="str">
        <f>IFERROR(LOOKUP(2,1/((#REF!=nov!$A39)*(#REF!&lt;=nov!L$3)*(#REF!&gt;=nov!L$3)),#REF!),IF(WEEKDAY(nov!L$3,1)=1,"WO","P"))</f>
        <v>P</v>
      </c>
      <c r="M39" s="4" t="str">
        <f>IFERROR(LOOKUP(2,1/((#REF!=nov!$A39)*(#REF!&lt;=nov!M$3)*(#REF!&gt;=nov!M$3)),#REF!),IF(WEEKDAY(nov!M$3,1)=1,"WO","P"))</f>
        <v>WO</v>
      </c>
      <c r="N39" s="4" t="str">
        <f>IFERROR(LOOKUP(2,1/((#REF!=nov!$A39)*(#REF!&lt;=nov!N$3)*(#REF!&gt;=nov!N$3)),#REF!),IF(WEEKDAY(nov!N$3,1)=1,"WO","P"))</f>
        <v>P</v>
      </c>
      <c r="O39" s="4" t="str">
        <f>IFERROR(LOOKUP(2,1/((#REF!=nov!$A39)*(#REF!&lt;=nov!O$3)*(#REF!&gt;=nov!O$3)),#REF!),IF(WEEKDAY(nov!O$3,1)=1,"WO","P"))</f>
        <v>P</v>
      </c>
      <c r="P39" s="4" t="str">
        <f>IFERROR(LOOKUP(2,1/((#REF!=nov!$A39)*(#REF!&lt;=nov!P$3)*(#REF!&gt;=nov!P$3)),#REF!),IF(WEEKDAY(nov!P$3,1)=1,"WO","P"))</f>
        <v>P</v>
      </c>
      <c r="Q39" s="4" t="str">
        <f>IFERROR(LOOKUP(2,1/((#REF!=nov!$A39)*(#REF!&lt;=nov!Q$3)*(#REF!&gt;=nov!Q$3)),#REF!),IF(WEEKDAY(nov!Q$3,1)=1,"WO","P"))</f>
        <v>P</v>
      </c>
      <c r="R39" s="4" t="str">
        <f>IFERROR(LOOKUP(2,1/((#REF!=nov!$A39)*(#REF!&lt;=nov!R$3)*(#REF!&gt;=nov!R$3)),#REF!),IF(WEEKDAY(nov!R$3,1)=1,"WO","P"))</f>
        <v>P</v>
      </c>
      <c r="S39" s="4" t="str">
        <f>IFERROR(LOOKUP(2,1/((#REF!=nov!$A39)*(#REF!&lt;=nov!S$3)*(#REF!&gt;=nov!S$3)),#REF!),IF(WEEKDAY(nov!S$3,1)=1,"WO","P"))</f>
        <v>P</v>
      </c>
      <c r="T39" s="4" t="str">
        <f>IFERROR(LOOKUP(2,1/((#REF!=nov!$A39)*(#REF!&lt;=nov!T$3)*(#REF!&gt;=nov!T$3)),#REF!),IF(WEEKDAY(nov!T$3,1)=1,"WO","P"))</f>
        <v>WO</v>
      </c>
      <c r="U39" s="4" t="str">
        <f>IFERROR(LOOKUP(2,1/((#REF!=nov!$A39)*(#REF!&lt;=nov!U$3)*(#REF!&gt;=nov!U$3)),#REF!),IF(WEEKDAY(nov!U$3,1)=1,"WO","P"))</f>
        <v>P</v>
      </c>
      <c r="V39" s="4" t="str">
        <f>IFERROR(LOOKUP(2,1/((#REF!=nov!$A39)*(#REF!&lt;=nov!V$3)*(#REF!&gt;=nov!V$3)),#REF!),IF(WEEKDAY(nov!V$3,1)=1,"WO","P"))</f>
        <v>P</v>
      </c>
      <c r="W39" s="4" t="str">
        <f>IFERROR(LOOKUP(2,1/((#REF!=nov!$A39)*(#REF!&lt;=nov!W$3)*(#REF!&gt;=nov!W$3)),#REF!),IF(WEEKDAY(nov!W$3,1)=1,"WO","P"))</f>
        <v>P</v>
      </c>
      <c r="X39" s="4" t="str">
        <f>IFERROR(LOOKUP(2,1/((#REF!=nov!$A39)*(#REF!&lt;=nov!X$3)*(#REF!&gt;=nov!X$3)),#REF!),IF(WEEKDAY(nov!X$3,1)=1,"WO","P"))</f>
        <v>P</v>
      </c>
      <c r="Y39" s="4" t="str">
        <f>IFERROR(LOOKUP(2,1/((#REF!=nov!$A39)*(#REF!&lt;=nov!Y$3)*(#REF!&gt;=nov!Y$3)),#REF!),IF(WEEKDAY(nov!Y$3,1)=1,"WO","P"))</f>
        <v>P</v>
      </c>
      <c r="Z39" s="4" t="str">
        <f>IFERROR(LOOKUP(2,1/((#REF!=nov!$A39)*(#REF!&lt;=nov!Z$3)*(#REF!&gt;=nov!Z$3)),#REF!),IF(WEEKDAY(nov!Z$3,1)=1,"WO","P"))</f>
        <v>P</v>
      </c>
      <c r="AA39" s="4" t="str">
        <f>IFERROR(LOOKUP(2,1/((#REF!=nov!$A39)*(#REF!&lt;=nov!AA$3)*(#REF!&gt;=nov!AA$3)),#REF!),IF(WEEKDAY(nov!AA$3,1)=1,"WO","P"))</f>
        <v>WO</v>
      </c>
      <c r="AB39" s="4" t="str">
        <f>IFERROR(LOOKUP(2,1/((#REF!=nov!$A39)*(#REF!&lt;=nov!AB$3)*(#REF!&gt;=nov!AB$3)),#REF!),IF(WEEKDAY(nov!AB$3,1)=1,"WO","P"))</f>
        <v>P</v>
      </c>
      <c r="AC39" s="4" t="str">
        <f>IFERROR(LOOKUP(2,1/((#REF!=nov!$A39)*(#REF!&lt;=nov!AC$3)*(#REF!&gt;=nov!AC$3)),#REF!),IF(WEEKDAY(nov!AC$3,1)=1,"WO","P"))</f>
        <v>P</v>
      </c>
      <c r="AD39" s="4" t="str">
        <f>IFERROR(LOOKUP(2,1/((#REF!=nov!$A39)*(#REF!&lt;=nov!AD$3)*(#REF!&gt;=nov!AD$3)),#REF!),IF(WEEKDAY(nov!AD$3,1)=1,"WO","P"))</f>
        <v>P</v>
      </c>
      <c r="AE39" s="4" t="str">
        <f>IFERROR(LOOKUP(2,1/((#REF!=nov!$A39)*(#REF!&lt;=nov!AE$3)*(#REF!&gt;=nov!AE$3)),#REF!),IF(WEEKDAY(nov!AE$3,1)=1,"WO","P"))</f>
        <v>P</v>
      </c>
      <c r="AF39" s="4" t="str">
        <f>IFERROR(LOOKUP(2,1/((#REF!=nov!$A39)*(#REF!&lt;=nov!AF$3)*(#REF!&gt;=nov!AF$3)),#REF!),IF(WEEKDAY(nov!AF$3,1)=1,"WO","P"))</f>
        <v>P</v>
      </c>
      <c r="AG39" s="4" t="str">
        <f>IFERROR(LOOKUP(2,1/((#REF!=nov!$A39)*(#REF!&lt;=nov!AG$3)*(#REF!&gt;=nov!AG$3)),#REF!),IF(WEEKDAY(nov!AG$3,1)=1,"WO","P"))</f>
        <v>P</v>
      </c>
      <c r="AH39" s="4" t="str">
        <f>IFERROR(LOOKUP(2,1/((#REF!=nov!$A39)*(#REF!&lt;=nov!AH$3)*(#REF!&gt;=nov!AH$3)),#REF!),IF(WEEKDAY(nov!AH$3,1)=1,"WO","P"))</f>
        <v>WO</v>
      </c>
      <c r="AI39" s="4" t="str">
        <f>IFERROR(LOOKUP(2,1/((#REF!=nov!$A39)*(#REF!&lt;=nov!AI$3)*(#REF!&gt;=nov!AI$3)),#REF!),IF(WEEKDAY(nov!AI$3,1)=1,"WO","P"))</f>
        <v>P</v>
      </c>
      <c r="AJ39" s="4">
        <f>COUNTIF(mar!$F39:$AJ39,"WO")</f>
        <v>5</v>
      </c>
      <c r="AK39" s="4">
        <f>COUNTIF(mar!$F39:$AJ39,"H")</f>
        <v>2</v>
      </c>
      <c r="AL39" s="4">
        <f>COUNTIF(mar!$F39:$AJ39,"pl")</f>
        <v>0</v>
      </c>
      <c r="AM39" s="4">
        <f>COUNTIF(mar!$F39:$AJ39,"LWP")</f>
        <v>0</v>
      </c>
      <c r="AN39" s="4">
        <f>COUNTIF(mar!$F39:$AJ39,"HD")</f>
        <v>0</v>
      </c>
      <c r="AO39" s="4">
        <f>COUNTIF(mar!$F39:$AJ39,"SL")</f>
        <v>0</v>
      </c>
      <c r="AP39" s="4">
        <f>COUNTIF(mar!$F39:$AJ39,"CL")</f>
        <v>0</v>
      </c>
      <c r="AQ39" s="4">
        <f>COUNTIF(mar!$F39:$AJ39,"A")</f>
        <v>1</v>
      </c>
      <c r="AR39" s="4">
        <f>COUNTIF(mar!$F39:$AJ39,"P")</f>
        <v>23</v>
      </c>
      <c r="AS39" s="4">
        <f t="shared" si="4"/>
        <v>30</v>
      </c>
      <c r="AT39" s="4">
        <f t="shared" si="3"/>
        <v>30</v>
      </c>
      <c r="AU39" s="4">
        <f>SUMIFS(holly!$L$2:$L$122,holly!$I$2:$I$122,mar!$A39,holly!$K$2:$K$122,"Mar")</f>
        <v>0</v>
      </c>
    </row>
    <row r="40" spans="1:47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IFERROR(LOOKUP(2,1/((#REF!=nov!$A40)*(#REF!&lt;=nov!F$3)*(#REF!&gt;=nov!F$3)),#REF!),IF(WEEKDAY(nov!F$3,1)=1,"WO","P"))</f>
        <v>WO</v>
      </c>
      <c r="G40" s="4" t="str">
        <f>IFERROR(LOOKUP(2,1/((#REF!=nov!$A40)*(#REF!&lt;=nov!G$3)*(#REF!&gt;=nov!G$3)),#REF!),IF(WEEKDAY(nov!G$3,1)=1,"WO","P"))</f>
        <v>P</v>
      </c>
      <c r="H40" s="4" t="str">
        <f>IFERROR(LOOKUP(2,1/((#REF!=nov!$A40)*(#REF!&lt;=nov!H$3)*(#REF!&gt;=nov!H$3)),#REF!),IF(WEEKDAY(nov!H$3,1)=1,"WO","P"))</f>
        <v>P</v>
      </c>
      <c r="I40" s="4" t="str">
        <f>IFERROR(LOOKUP(2,1/((#REF!=nov!$A40)*(#REF!&lt;=nov!I$3)*(#REF!&gt;=nov!I$3)),#REF!),IF(WEEKDAY(nov!I$3,1)=1,"WO","P"))</f>
        <v>P</v>
      </c>
      <c r="J40" s="4" t="str">
        <f>IFERROR(LOOKUP(2,1/((#REF!=nov!$A40)*(#REF!&lt;=nov!J$3)*(#REF!&gt;=nov!J$3)),#REF!),IF(WEEKDAY(nov!J$3,1)=1,"WO","P"))</f>
        <v>P</v>
      </c>
      <c r="K40" s="4" t="str">
        <f>IFERROR(LOOKUP(2,1/((#REF!=nov!$A40)*(#REF!&lt;=nov!K$3)*(#REF!&gt;=nov!K$3)),#REF!),IF(WEEKDAY(nov!K$3,1)=1,"WO","P"))</f>
        <v>P</v>
      </c>
      <c r="L40" s="4" t="str">
        <f>IFERROR(LOOKUP(2,1/((#REF!=nov!$A40)*(#REF!&lt;=nov!L$3)*(#REF!&gt;=nov!L$3)),#REF!),IF(WEEKDAY(nov!L$3,1)=1,"WO","P"))</f>
        <v>P</v>
      </c>
      <c r="M40" s="4" t="str">
        <f>IFERROR(LOOKUP(2,1/((#REF!=nov!$A40)*(#REF!&lt;=nov!M$3)*(#REF!&gt;=nov!M$3)),#REF!),IF(WEEKDAY(nov!M$3,1)=1,"WO","P"))</f>
        <v>WO</v>
      </c>
      <c r="N40" s="4" t="str">
        <f>IFERROR(LOOKUP(2,1/((#REF!=nov!$A40)*(#REF!&lt;=nov!N$3)*(#REF!&gt;=nov!N$3)),#REF!),IF(WEEKDAY(nov!N$3,1)=1,"WO","P"))</f>
        <v>P</v>
      </c>
      <c r="O40" s="4" t="str">
        <f>IFERROR(LOOKUP(2,1/((#REF!=nov!$A40)*(#REF!&lt;=nov!O$3)*(#REF!&gt;=nov!O$3)),#REF!),IF(WEEKDAY(nov!O$3,1)=1,"WO","P"))</f>
        <v>P</v>
      </c>
      <c r="P40" s="4" t="str">
        <f>IFERROR(LOOKUP(2,1/((#REF!=nov!$A40)*(#REF!&lt;=nov!P$3)*(#REF!&gt;=nov!P$3)),#REF!),IF(WEEKDAY(nov!P$3,1)=1,"WO","P"))</f>
        <v>P</v>
      </c>
      <c r="Q40" s="4" t="str">
        <f>IFERROR(LOOKUP(2,1/((#REF!=nov!$A40)*(#REF!&lt;=nov!Q$3)*(#REF!&gt;=nov!Q$3)),#REF!),IF(WEEKDAY(nov!Q$3,1)=1,"WO","P"))</f>
        <v>P</v>
      </c>
      <c r="R40" s="4" t="str">
        <f>IFERROR(LOOKUP(2,1/((#REF!=nov!$A40)*(#REF!&lt;=nov!R$3)*(#REF!&gt;=nov!R$3)),#REF!),IF(WEEKDAY(nov!R$3,1)=1,"WO","P"))</f>
        <v>P</v>
      </c>
      <c r="S40" s="4" t="str">
        <f>IFERROR(LOOKUP(2,1/((#REF!=nov!$A40)*(#REF!&lt;=nov!S$3)*(#REF!&gt;=nov!S$3)),#REF!),IF(WEEKDAY(nov!S$3,1)=1,"WO","P"))</f>
        <v>P</v>
      </c>
      <c r="T40" s="4" t="str">
        <f>IFERROR(LOOKUP(2,1/((#REF!=nov!$A40)*(#REF!&lt;=nov!T$3)*(#REF!&gt;=nov!T$3)),#REF!),IF(WEEKDAY(nov!T$3,1)=1,"WO","P"))</f>
        <v>WO</v>
      </c>
      <c r="U40" s="4" t="str">
        <f>IFERROR(LOOKUP(2,1/((#REF!=nov!$A40)*(#REF!&lt;=nov!U$3)*(#REF!&gt;=nov!U$3)),#REF!),IF(WEEKDAY(nov!U$3,1)=1,"WO","P"))</f>
        <v>P</v>
      </c>
      <c r="V40" s="4" t="str">
        <f>IFERROR(LOOKUP(2,1/((#REF!=nov!$A40)*(#REF!&lt;=nov!V$3)*(#REF!&gt;=nov!V$3)),#REF!),IF(WEEKDAY(nov!V$3,1)=1,"WO","P"))</f>
        <v>P</v>
      </c>
      <c r="W40" s="4" t="str">
        <f>IFERROR(LOOKUP(2,1/((#REF!=nov!$A40)*(#REF!&lt;=nov!W$3)*(#REF!&gt;=nov!W$3)),#REF!),IF(WEEKDAY(nov!W$3,1)=1,"WO","P"))</f>
        <v>P</v>
      </c>
      <c r="X40" s="4" t="str">
        <f>IFERROR(LOOKUP(2,1/((#REF!=nov!$A40)*(#REF!&lt;=nov!X$3)*(#REF!&gt;=nov!X$3)),#REF!),IF(WEEKDAY(nov!X$3,1)=1,"WO","P"))</f>
        <v>P</v>
      </c>
      <c r="Y40" s="4" t="str">
        <f>IFERROR(LOOKUP(2,1/((#REF!=nov!$A40)*(#REF!&lt;=nov!Y$3)*(#REF!&gt;=nov!Y$3)),#REF!),IF(WEEKDAY(nov!Y$3,1)=1,"WO","P"))</f>
        <v>P</v>
      </c>
      <c r="Z40" s="4" t="str">
        <f>IFERROR(LOOKUP(2,1/((#REF!=nov!$A40)*(#REF!&lt;=nov!Z$3)*(#REF!&gt;=nov!Z$3)),#REF!),IF(WEEKDAY(nov!Z$3,1)=1,"WO","P"))</f>
        <v>P</v>
      </c>
      <c r="AA40" s="4" t="str">
        <f>IFERROR(LOOKUP(2,1/((#REF!=nov!$A40)*(#REF!&lt;=nov!AA$3)*(#REF!&gt;=nov!AA$3)),#REF!),IF(WEEKDAY(nov!AA$3,1)=1,"WO","P"))</f>
        <v>WO</v>
      </c>
      <c r="AB40" s="4" t="str">
        <f>IFERROR(LOOKUP(2,1/((#REF!=nov!$A40)*(#REF!&lt;=nov!AB$3)*(#REF!&gt;=nov!AB$3)),#REF!),IF(WEEKDAY(nov!AB$3,1)=1,"WO","P"))</f>
        <v>P</v>
      </c>
      <c r="AC40" s="4" t="str">
        <f>IFERROR(LOOKUP(2,1/((#REF!=nov!$A40)*(#REF!&lt;=nov!AC$3)*(#REF!&gt;=nov!AC$3)),#REF!),IF(WEEKDAY(nov!AC$3,1)=1,"WO","P"))</f>
        <v>P</v>
      </c>
      <c r="AD40" s="4" t="str">
        <f>IFERROR(LOOKUP(2,1/((#REF!=nov!$A40)*(#REF!&lt;=nov!AD$3)*(#REF!&gt;=nov!AD$3)),#REF!),IF(WEEKDAY(nov!AD$3,1)=1,"WO","P"))</f>
        <v>P</v>
      </c>
      <c r="AE40" s="4" t="str">
        <f>IFERROR(LOOKUP(2,1/((#REF!=nov!$A40)*(#REF!&lt;=nov!AE$3)*(#REF!&gt;=nov!AE$3)),#REF!),IF(WEEKDAY(nov!AE$3,1)=1,"WO","P"))</f>
        <v>P</v>
      </c>
      <c r="AF40" s="4" t="str">
        <f>IFERROR(LOOKUP(2,1/((#REF!=nov!$A40)*(#REF!&lt;=nov!AF$3)*(#REF!&gt;=nov!AF$3)),#REF!),IF(WEEKDAY(nov!AF$3,1)=1,"WO","P"))</f>
        <v>P</v>
      </c>
      <c r="AG40" s="4" t="str">
        <f>IFERROR(LOOKUP(2,1/((#REF!=nov!$A40)*(#REF!&lt;=nov!AG$3)*(#REF!&gt;=nov!AG$3)),#REF!),IF(WEEKDAY(nov!AG$3,1)=1,"WO","P"))</f>
        <v>P</v>
      </c>
      <c r="AH40" s="4" t="str">
        <f>IFERROR(LOOKUP(2,1/((#REF!=nov!$A40)*(#REF!&lt;=nov!AH$3)*(#REF!&gt;=nov!AH$3)),#REF!),IF(WEEKDAY(nov!AH$3,1)=1,"WO","P"))</f>
        <v>WO</v>
      </c>
      <c r="AI40" s="4" t="str">
        <f>IFERROR(LOOKUP(2,1/((#REF!=nov!$A40)*(#REF!&lt;=nov!AI$3)*(#REF!&gt;=nov!AI$3)),#REF!),IF(WEEKDAY(nov!AI$3,1)=1,"WO","P"))</f>
        <v>P</v>
      </c>
      <c r="AJ40" s="4">
        <f>COUNTIF(mar!$F40:$AJ40,"WO")</f>
        <v>5</v>
      </c>
      <c r="AK40" s="4">
        <f>COUNTIF(mar!$F40:$AJ40,"H")</f>
        <v>2</v>
      </c>
      <c r="AL40" s="4">
        <f>COUNTIF(mar!$F40:$AJ40,"pl")</f>
        <v>1</v>
      </c>
      <c r="AM40" s="4">
        <f>COUNTIF(mar!$F40:$AJ40,"LWP")</f>
        <v>0</v>
      </c>
      <c r="AN40" s="4">
        <f>COUNTIF(mar!$F40:$AJ40,"HD")</f>
        <v>0</v>
      </c>
      <c r="AO40" s="4">
        <f>COUNTIF(mar!$F40:$AJ40,"SL")</f>
        <v>0</v>
      </c>
      <c r="AP40" s="4">
        <f>COUNTIF(mar!$F40:$AJ40,"CL")</f>
        <v>0</v>
      </c>
      <c r="AQ40" s="4">
        <f>COUNTIF(mar!$F40:$AJ40,"A")</f>
        <v>0</v>
      </c>
      <c r="AR40" s="4">
        <f>COUNTIF(mar!$F40:$AJ40,"P")</f>
        <v>23</v>
      </c>
      <c r="AS40" s="4">
        <f t="shared" si="4"/>
        <v>30</v>
      </c>
      <c r="AT40" s="4">
        <f t="shared" si="3"/>
        <v>31</v>
      </c>
      <c r="AU40" s="4">
        <f>SUMIFS(holly!$L$2:$L$122,holly!$I$2:$I$122,mar!$A40,holly!$K$2:$K$122,"Mar")</f>
        <v>0</v>
      </c>
    </row>
    <row r="41" spans="1:47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IFERROR(LOOKUP(2,1/((#REF!=nov!$A41)*(#REF!&lt;=nov!F$3)*(#REF!&gt;=nov!F$3)),#REF!),IF(WEEKDAY(nov!F$3,1)=1,"WO","P"))</f>
        <v>WO</v>
      </c>
      <c r="G41" s="4" t="str">
        <f>IFERROR(LOOKUP(2,1/((#REF!=nov!$A41)*(#REF!&lt;=nov!G$3)*(#REF!&gt;=nov!G$3)),#REF!),IF(WEEKDAY(nov!G$3,1)=1,"WO","P"))</f>
        <v>P</v>
      </c>
      <c r="H41" s="4" t="str">
        <f>IFERROR(LOOKUP(2,1/((#REF!=nov!$A41)*(#REF!&lt;=nov!H$3)*(#REF!&gt;=nov!H$3)),#REF!),IF(WEEKDAY(nov!H$3,1)=1,"WO","P"))</f>
        <v>P</v>
      </c>
      <c r="I41" s="4" t="str">
        <f>IFERROR(LOOKUP(2,1/((#REF!=nov!$A41)*(#REF!&lt;=nov!I$3)*(#REF!&gt;=nov!I$3)),#REF!),IF(WEEKDAY(nov!I$3,1)=1,"WO","P"))</f>
        <v>P</v>
      </c>
      <c r="J41" s="4" t="str">
        <f>IFERROR(LOOKUP(2,1/((#REF!=nov!$A41)*(#REF!&lt;=nov!J$3)*(#REF!&gt;=nov!J$3)),#REF!),IF(WEEKDAY(nov!J$3,1)=1,"WO","P"))</f>
        <v>P</v>
      </c>
      <c r="K41" s="4" t="str">
        <f>IFERROR(LOOKUP(2,1/((#REF!=nov!$A41)*(#REF!&lt;=nov!K$3)*(#REF!&gt;=nov!K$3)),#REF!),IF(WEEKDAY(nov!K$3,1)=1,"WO","P"))</f>
        <v>P</v>
      </c>
      <c r="L41" s="4" t="str">
        <f>IFERROR(LOOKUP(2,1/((#REF!=nov!$A41)*(#REF!&lt;=nov!L$3)*(#REF!&gt;=nov!L$3)),#REF!),IF(WEEKDAY(nov!L$3,1)=1,"WO","P"))</f>
        <v>P</v>
      </c>
      <c r="M41" s="4" t="str">
        <f>IFERROR(LOOKUP(2,1/((#REF!=nov!$A41)*(#REF!&lt;=nov!M$3)*(#REF!&gt;=nov!M$3)),#REF!),IF(WEEKDAY(nov!M$3,1)=1,"WO","P"))</f>
        <v>WO</v>
      </c>
      <c r="N41" s="4" t="str">
        <f>IFERROR(LOOKUP(2,1/((#REF!=nov!$A41)*(#REF!&lt;=nov!N$3)*(#REF!&gt;=nov!N$3)),#REF!),IF(WEEKDAY(nov!N$3,1)=1,"WO","P"))</f>
        <v>P</v>
      </c>
      <c r="O41" s="4" t="str">
        <f>IFERROR(LOOKUP(2,1/((#REF!=nov!$A41)*(#REF!&lt;=nov!O$3)*(#REF!&gt;=nov!O$3)),#REF!),IF(WEEKDAY(nov!O$3,1)=1,"WO","P"))</f>
        <v>P</v>
      </c>
      <c r="P41" s="4" t="str">
        <f>IFERROR(LOOKUP(2,1/((#REF!=nov!$A41)*(#REF!&lt;=nov!P$3)*(#REF!&gt;=nov!P$3)),#REF!),IF(WEEKDAY(nov!P$3,1)=1,"WO","P"))</f>
        <v>P</v>
      </c>
      <c r="Q41" s="4" t="str">
        <f>IFERROR(LOOKUP(2,1/((#REF!=nov!$A41)*(#REF!&lt;=nov!Q$3)*(#REF!&gt;=nov!Q$3)),#REF!),IF(WEEKDAY(nov!Q$3,1)=1,"WO","P"))</f>
        <v>P</v>
      </c>
      <c r="R41" s="4" t="str">
        <f>IFERROR(LOOKUP(2,1/((#REF!=nov!$A41)*(#REF!&lt;=nov!R$3)*(#REF!&gt;=nov!R$3)),#REF!),IF(WEEKDAY(nov!R$3,1)=1,"WO","P"))</f>
        <v>P</v>
      </c>
      <c r="S41" s="4" t="str">
        <f>IFERROR(LOOKUP(2,1/((#REF!=nov!$A41)*(#REF!&lt;=nov!S$3)*(#REF!&gt;=nov!S$3)),#REF!),IF(WEEKDAY(nov!S$3,1)=1,"WO","P"))</f>
        <v>P</v>
      </c>
      <c r="T41" s="4" t="str">
        <f>IFERROR(LOOKUP(2,1/((#REF!=nov!$A41)*(#REF!&lt;=nov!T$3)*(#REF!&gt;=nov!T$3)),#REF!),IF(WEEKDAY(nov!T$3,1)=1,"WO","P"))</f>
        <v>WO</v>
      </c>
      <c r="U41" s="4" t="str">
        <f>IFERROR(LOOKUP(2,1/((#REF!=nov!$A41)*(#REF!&lt;=nov!U$3)*(#REF!&gt;=nov!U$3)),#REF!),IF(WEEKDAY(nov!U$3,1)=1,"WO","P"))</f>
        <v>P</v>
      </c>
      <c r="V41" s="4" t="str">
        <f>IFERROR(LOOKUP(2,1/((#REF!=nov!$A41)*(#REF!&lt;=nov!V$3)*(#REF!&gt;=nov!V$3)),#REF!),IF(WEEKDAY(nov!V$3,1)=1,"WO","P"))</f>
        <v>P</v>
      </c>
      <c r="W41" s="4" t="str">
        <f>IFERROR(LOOKUP(2,1/((#REF!=nov!$A41)*(#REF!&lt;=nov!W$3)*(#REF!&gt;=nov!W$3)),#REF!),IF(WEEKDAY(nov!W$3,1)=1,"WO","P"))</f>
        <v>P</v>
      </c>
      <c r="X41" s="4" t="str">
        <f>IFERROR(LOOKUP(2,1/((#REF!=nov!$A41)*(#REF!&lt;=nov!X$3)*(#REF!&gt;=nov!X$3)),#REF!),IF(WEEKDAY(nov!X$3,1)=1,"WO","P"))</f>
        <v>P</v>
      </c>
      <c r="Y41" s="4" t="str">
        <f>IFERROR(LOOKUP(2,1/((#REF!=nov!$A41)*(#REF!&lt;=nov!Y$3)*(#REF!&gt;=nov!Y$3)),#REF!),IF(WEEKDAY(nov!Y$3,1)=1,"WO","P"))</f>
        <v>P</v>
      </c>
      <c r="Z41" s="4" t="str">
        <f>IFERROR(LOOKUP(2,1/((#REF!=nov!$A41)*(#REF!&lt;=nov!Z$3)*(#REF!&gt;=nov!Z$3)),#REF!),IF(WEEKDAY(nov!Z$3,1)=1,"WO","P"))</f>
        <v>P</v>
      </c>
      <c r="AA41" s="4" t="str">
        <f>IFERROR(LOOKUP(2,1/((#REF!=nov!$A41)*(#REF!&lt;=nov!AA$3)*(#REF!&gt;=nov!AA$3)),#REF!),IF(WEEKDAY(nov!AA$3,1)=1,"WO","P"))</f>
        <v>WO</v>
      </c>
      <c r="AB41" s="4" t="str">
        <f>IFERROR(LOOKUP(2,1/((#REF!=nov!$A41)*(#REF!&lt;=nov!AB$3)*(#REF!&gt;=nov!AB$3)),#REF!),IF(WEEKDAY(nov!AB$3,1)=1,"WO","P"))</f>
        <v>P</v>
      </c>
      <c r="AC41" s="4" t="str">
        <f>IFERROR(LOOKUP(2,1/((#REF!=nov!$A41)*(#REF!&lt;=nov!AC$3)*(#REF!&gt;=nov!AC$3)),#REF!),IF(WEEKDAY(nov!AC$3,1)=1,"WO","P"))</f>
        <v>P</v>
      </c>
      <c r="AD41" s="4" t="str">
        <f>IFERROR(LOOKUP(2,1/((#REF!=nov!$A41)*(#REF!&lt;=nov!AD$3)*(#REF!&gt;=nov!AD$3)),#REF!),IF(WEEKDAY(nov!AD$3,1)=1,"WO","P"))</f>
        <v>P</v>
      </c>
      <c r="AE41" s="4" t="str">
        <f>IFERROR(LOOKUP(2,1/((#REF!=nov!$A41)*(#REF!&lt;=nov!AE$3)*(#REF!&gt;=nov!AE$3)),#REF!),IF(WEEKDAY(nov!AE$3,1)=1,"WO","P"))</f>
        <v>P</v>
      </c>
      <c r="AF41" s="4" t="str">
        <f>IFERROR(LOOKUP(2,1/((#REF!=nov!$A41)*(#REF!&lt;=nov!AF$3)*(#REF!&gt;=nov!AF$3)),#REF!),IF(WEEKDAY(nov!AF$3,1)=1,"WO","P"))</f>
        <v>P</v>
      </c>
      <c r="AG41" s="4" t="str">
        <f>IFERROR(LOOKUP(2,1/((#REF!=nov!$A41)*(#REF!&lt;=nov!AG$3)*(#REF!&gt;=nov!AG$3)),#REF!),IF(WEEKDAY(nov!AG$3,1)=1,"WO","P"))</f>
        <v>P</v>
      </c>
      <c r="AH41" s="4" t="str">
        <f>IFERROR(LOOKUP(2,1/((#REF!=nov!$A41)*(#REF!&lt;=nov!AH$3)*(#REF!&gt;=nov!AH$3)),#REF!),IF(WEEKDAY(nov!AH$3,1)=1,"WO","P"))</f>
        <v>WO</v>
      </c>
      <c r="AI41" s="4" t="str">
        <f>IFERROR(LOOKUP(2,1/((#REF!=nov!$A41)*(#REF!&lt;=nov!AI$3)*(#REF!&gt;=nov!AI$3)),#REF!),IF(WEEKDAY(nov!AI$3,1)=1,"WO","P"))</f>
        <v>P</v>
      </c>
      <c r="AJ41" s="4">
        <f>COUNTIF(mar!$F41:$AJ41,"WO")</f>
        <v>5</v>
      </c>
      <c r="AK41" s="4">
        <f>COUNTIF(mar!$F41:$AJ41,"H")</f>
        <v>2</v>
      </c>
      <c r="AL41" s="4">
        <f>COUNTIF(mar!$F41:$AJ41,"pl")</f>
        <v>0</v>
      </c>
      <c r="AM41" s="4">
        <f>COUNTIF(mar!$F41:$AJ41,"LWP")</f>
        <v>0</v>
      </c>
      <c r="AN41" s="4">
        <f>COUNTIF(mar!$F41:$AJ41,"HD")</f>
        <v>0</v>
      </c>
      <c r="AO41" s="4">
        <f>COUNTIF(mar!$F41:$AJ41,"SL")</f>
        <v>0</v>
      </c>
      <c r="AP41" s="4">
        <f>COUNTIF(mar!$F41:$AJ41,"CL")</f>
        <v>0</v>
      </c>
      <c r="AQ41" s="4">
        <f>COUNTIF(mar!$F41:$AJ41,"A")</f>
        <v>0</v>
      </c>
      <c r="AR41" s="4">
        <f>COUNTIF(mar!$F41:$AJ41,"P")</f>
        <v>24</v>
      </c>
      <c r="AS41" s="4">
        <f t="shared" si="4"/>
        <v>30</v>
      </c>
      <c r="AT41" s="4">
        <f t="shared" si="3"/>
        <v>31</v>
      </c>
      <c r="AU41" s="4">
        <f>SUMIFS(holly!$L$2:$L$122,holly!$I$2:$I$122,mar!$A41,holly!$K$2:$K$122,"Mar")</f>
        <v>0</v>
      </c>
    </row>
    <row r="42" spans="1:47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IFERROR(LOOKUP(2,1/((#REF!=nov!$A42)*(#REF!&lt;=nov!F$3)*(#REF!&gt;=nov!F$3)),#REF!),IF(WEEKDAY(nov!F$3,1)=1,"WO","P"))</f>
        <v>WO</v>
      </c>
      <c r="G42" s="4" t="str">
        <f>IFERROR(LOOKUP(2,1/((#REF!=nov!$A42)*(#REF!&lt;=nov!G$3)*(#REF!&gt;=nov!G$3)),#REF!),IF(WEEKDAY(nov!G$3,1)=1,"WO","P"))</f>
        <v>P</v>
      </c>
      <c r="H42" s="4" t="str">
        <f>IFERROR(LOOKUP(2,1/((#REF!=nov!$A42)*(#REF!&lt;=nov!H$3)*(#REF!&gt;=nov!H$3)),#REF!),IF(WEEKDAY(nov!H$3,1)=1,"WO","P"))</f>
        <v>P</v>
      </c>
      <c r="I42" s="4" t="str">
        <f>IFERROR(LOOKUP(2,1/((#REF!=nov!$A42)*(#REF!&lt;=nov!I$3)*(#REF!&gt;=nov!I$3)),#REF!),IF(WEEKDAY(nov!I$3,1)=1,"WO","P"))</f>
        <v>P</v>
      </c>
      <c r="J42" s="4" t="str">
        <f>IFERROR(LOOKUP(2,1/((#REF!=nov!$A42)*(#REF!&lt;=nov!J$3)*(#REF!&gt;=nov!J$3)),#REF!),IF(WEEKDAY(nov!J$3,1)=1,"WO","P"))</f>
        <v>P</v>
      </c>
      <c r="K42" s="4" t="str">
        <f>IFERROR(LOOKUP(2,1/((#REF!=nov!$A42)*(#REF!&lt;=nov!K$3)*(#REF!&gt;=nov!K$3)),#REF!),IF(WEEKDAY(nov!K$3,1)=1,"WO","P"))</f>
        <v>P</v>
      </c>
      <c r="L42" s="4" t="str">
        <f>IFERROR(LOOKUP(2,1/((#REF!=nov!$A42)*(#REF!&lt;=nov!L$3)*(#REF!&gt;=nov!L$3)),#REF!),IF(WEEKDAY(nov!L$3,1)=1,"WO","P"))</f>
        <v>P</v>
      </c>
      <c r="M42" s="4" t="str">
        <f>IFERROR(LOOKUP(2,1/((#REF!=nov!$A42)*(#REF!&lt;=nov!M$3)*(#REF!&gt;=nov!M$3)),#REF!),IF(WEEKDAY(nov!M$3,1)=1,"WO","P"))</f>
        <v>WO</v>
      </c>
      <c r="N42" s="4" t="str">
        <f>IFERROR(LOOKUP(2,1/((#REF!=nov!$A42)*(#REF!&lt;=nov!N$3)*(#REF!&gt;=nov!N$3)),#REF!),IF(WEEKDAY(nov!N$3,1)=1,"WO","P"))</f>
        <v>P</v>
      </c>
      <c r="O42" s="4" t="str">
        <f>IFERROR(LOOKUP(2,1/((#REF!=nov!$A42)*(#REF!&lt;=nov!O$3)*(#REF!&gt;=nov!O$3)),#REF!),IF(WEEKDAY(nov!O$3,1)=1,"WO","P"))</f>
        <v>P</v>
      </c>
      <c r="P42" s="4" t="str">
        <f>IFERROR(LOOKUP(2,1/((#REF!=nov!$A42)*(#REF!&lt;=nov!P$3)*(#REF!&gt;=nov!P$3)),#REF!),IF(WEEKDAY(nov!P$3,1)=1,"WO","P"))</f>
        <v>P</v>
      </c>
      <c r="Q42" s="4" t="str">
        <f>IFERROR(LOOKUP(2,1/((#REF!=nov!$A42)*(#REF!&lt;=nov!Q$3)*(#REF!&gt;=nov!Q$3)),#REF!),IF(WEEKDAY(nov!Q$3,1)=1,"WO","P"))</f>
        <v>P</v>
      </c>
      <c r="R42" s="4" t="str">
        <f>IFERROR(LOOKUP(2,1/((#REF!=nov!$A42)*(#REF!&lt;=nov!R$3)*(#REF!&gt;=nov!R$3)),#REF!),IF(WEEKDAY(nov!R$3,1)=1,"WO","P"))</f>
        <v>P</v>
      </c>
      <c r="S42" s="4" t="str">
        <f>IFERROR(LOOKUP(2,1/((#REF!=nov!$A42)*(#REF!&lt;=nov!S$3)*(#REF!&gt;=nov!S$3)),#REF!),IF(WEEKDAY(nov!S$3,1)=1,"WO","P"))</f>
        <v>P</v>
      </c>
      <c r="T42" s="4" t="str">
        <f>IFERROR(LOOKUP(2,1/((#REF!=nov!$A42)*(#REF!&lt;=nov!T$3)*(#REF!&gt;=nov!T$3)),#REF!),IF(WEEKDAY(nov!T$3,1)=1,"WO","P"))</f>
        <v>WO</v>
      </c>
      <c r="U42" s="4" t="str">
        <f>IFERROR(LOOKUP(2,1/((#REF!=nov!$A42)*(#REF!&lt;=nov!U$3)*(#REF!&gt;=nov!U$3)),#REF!),IF(WEEKDAY(nov!U$3,1)=1,"WO","P"))</f>
        <v>P</v>
      </c>
      <c r="V42" s="4" t="str">
        <f>IFERROR(LOOKUP(2,1/((#REF!=nov!$A42)*(#REF!&lt;=nov!V$3)*(#REF!&gt;=nov!V$3)),#REF!),IF(WEEKDAY(nov!V$3,1)=1,"WO","P"))</f>
        <v>P</v>
      </c>
      <c r="W42" s="4" t="str">
        <f>IFERROR(LOOKUP(2,1/((#REF!=nov!$A42)*(#REF!&lt;=nov!W$3)*(#REF!&gt;=nov!W$3)),#REF!),IF(WEEKDAY(nov!W$3,1)=1,"WO","P"))</f>
        <v>P</v>
      </c>
      <c r="X42" s="4" t="str">
        <f>IFERROR(LOOKUP(2,1/((#REF!=nov!$A42)*(#REF!&lt;=nov!X$3)*(#REF!&gt;=nov!X$3)),#REF!),IF(WEEKDAY(nov!X$3,1)=1,"WO","P"))</f>
        <v>P</v>
      </c>
      <c r="Y42" s="4" t="str">
        <f>IFERROR(LOOKUP(2,1/((#REF!=nov!$A42)*(#REF!&lt;=nov!Y$3)*(#REF!&gt;=nov!Y$3)),#REF!),IF(WEEKDAY(nov!Y$3,1)=1,"WO","P"))</f>
        <v>P</v>
      </c>
      <c r="Z42" s="4" t="str">
        <f>IFERROR(LOOKUP(2,1/((#REF!=nov!$A42)*(#REF!&lt;=nov!Z$3)*(#REF!&gt;=nov!Z$3)),#REF!),IF(WEEKDAY(nov!Z$3,1)=1,"WO","P"))</f>
        <v>P</v>
      </c>
      <c r="AA42" s="4" t="str">
        <f>IFERROR(LOOKUP(2,1/((#REF!=nov!$A42)*(#REF!&lt;=nov!AA$3)*(#REF!&gt;=nov!AA$3)),#REF!),IF(WEEKDAY(nov!AA$3,1)=1,"WO","P"))</f>
        <v>WO</v>
      </c>
      <c r="AB42" s="4" t="str">
        <f>IFERROR(LOOKUP(2,1/((#REF!=nov!$A42)*(#REF!&lt;=nov!AB$3)*(#REF!&gt;=nov!AB$3)),#REF!),IF(WEEKDAY(nov!AB$3,1)=1,"WO","P"))</f>
        <v>P</v>
      </c>
      <c r="AC42" s="4" t="str">
        <f>IFERROR(LOOKUP(2,1/((#REF!=nov!$A42)*(#REF!&lt;=nov!AC$3)*(#REF!&gt;=nov!AC$3)),#REF!),IF(WEEKDAY(nov!AC$3,1)=1,"WO","P"))</f>
        <v>P</v>
      </c>
      <c r="AD42" s="4" t="str">
        <f>IFERROR(LOOKUP(2,1/((#REF!=nov!$A42)*(#REF!&lt;=nov!AD$3)*(#REF!&gt;=nov!AD$3)),#REF!),IF(WEEKDAY(nov!AD$3,1)=1,"WO","P"))</f>
        <v>P</v>
      </c>
      <c r="AE42" s="4" t="str">
        <f>IFERROR(LOOKUP(2,1/((#REF!=nov!$A42)*(#REF!&lt;=nov!AE$3)*(#REF!&gt;=nov!AE$3)),#REF!),IF(WEEKDAY(nov!AE$3,1)=1,"WO","P"))</f>
        <v>P</v>
      </c>
      <c r="AF42" s="4" t="str">
        <f>IFERROR(LOOKUP(2,1/((#REF!=nov!$A42)*(#REF!&lt;=nov!AF$3)*(#REF!&gt;=nov!AF$3)),#REF!),IF(WEEKDAY(nov!AF$3,1)=1,"WO","P"))</f>
        <v>P</v>
      </c>
      <c r="AG42" s="4" t="str">
        <f>IFERROR(LOOKUP(2,1/((#REF!=nov!$A42)*(#REF!&lt;=nov!AG$3)*(#REF!&gt;=nov!AG$3)),#REF!),IF(WEEKDAY(nov!AG$3,1)=1,"WO","P"))</f>
        <v>P</v>
      </c>
      <c r="AH42" s="4" t="str">
        <f>IFERROR(LOOKUP(2,1/((#REF!=nov!$A42)*(#REF!&lt;=nov!AH$3)*(#REF!&gt;=nov!AH$3)),#REF!),IF(WEEKDAY(nov!AH$3,1)=1,"WO","P"))</f>
        <v>WO</v>
      </c>
      <c r="AI42" s="4" t="str">
        <f>IFERROR(LOOKUP(2,1/((#REF!=nov!$A42)*(#REF!&lt;=nov!AI$3)*(#REF!&gt;=nov!AI$3)),#REF!),IF(WEEKDAY(nov!AI$3,1)=1,"WO","P"))</f>
        <v>P</v>
      </c>
      <c r="AJ42" s="4">
        <f>COUNTIF(mar!$F42:$AJ42,"WO")</f>
        <v>5</v>
      </c>
      <c r="AK42" s="4">
        <f>COUNTIF(mar!$F42:$AJ42,"H")</f>
        <v>2</v>
      </c>
      <c r="AL42" s="4">
        <f>COUNTIF(mar!$F42:$AJ42,"pl")</f>
        <v>0</v>
      </c>
      <c r="AM42" s="4">
        <f>COUNTIF(mar!$F42:$AJ42,"LWP")</f>
        <v>0</v>
      </c>
      <c r="AN42" s="4">
        <f>COUNTIF(mar!$F42:$AJ42,"HD")</f>
        <v>0</v>
      </c>
      <c r="AO42" s="4">
        <f>COUNTIF(mar!$F42:$AJ42,"SL")</f>
        <v>0</v>
      </c>
      <c r="AP42" s="4">
        <f>COUNTIF(mar!$F42:$AJ42,"CL")</f>
        <v>0</v>
      </c>
      <c r="AQ42" s="4">
        <f>COUNTIF(mar!$F42:$AJ42,"A")</f>
        <v>0</v>
      </c>
      <c r="AR42" s="4">
        <f>COUNTIF(mar!$F42:$AJ42,"P")</f>
        <v>24</v>
      </c>
      <c r="AS42" s="4">
        <f t="shared" si="4"/>
        <v>30</v>
      </c>
      <c r="AT42" s="4">
        <f t="shared" si="3"/>
        <v>31</v>
      </c>
      <c r="AU42" s="4">
        <f>SUMIFS(holly!$L$2:$L$122,holly!$I$2:$I$122,mar!$A42,holly!$K$2:$K$122,"Mar")</f>
        <v>2</v>
      </c>
    </row>
    <row r="43" spans="1:47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IFERROR(LOOKUP(2,1/((#REF!=nov!$A43)*(#REF!&lt;=nov!F$3)*(#REF!&gt;=nov!F$3)),#REF!),IF(WEEKDAY(nov!F$3,1)=1,"WO","P"))</f>
        <v>WO</v>
      </c>
      <c r="G43" s="4" t="str">
        <f>IFERROR(LOOKUP(2,1/((#REF!=nov!$A43)*(#REF!&lt;=nov!G$3)*(#REF!&gt;=nov!G$3)),#REF!),IF(WEEKDAY(nov!G$3,1)=1,"WO","P"))</f>
        <v>P</v>
      </c>
      <c r="H43" s="4" t="str">
        <f>IFERROR(LOOKUP(2,1/((#REF!=nov!$A43)*(#REF!&lt;=nov!H$3)*(#REF!&gt;=nov!H$3)),#REF!),IF(WEEKDAY(nov!H$3,1)=1,"WO","P"))</f>
        <v>P</v>
      </c>
      <c r="I43" s="4" t="str">
        <f>IFERROR(LOOKUP(2,1/((#REF!=nov!$A43)*(#REF!&lt;=nov!I$3)*(#REF!&gt;=nov!I$3)),#REF!),IF(WEEKDAY(nov!I$3,1)=1,"WO","P"))</f>
        <v>P</v>
      </c>
      <c r="J43" s="4" t="str">
        <f>IFERROR(LOOKUP(2,1/((#REF!=nov!$A43)*(#REF!&lt;=nov!J$3)*(#REF!&gt;=nov!J$3)),#REF!),IF(WEEKDAY(nov!J$3,1)=1,"WO","P"))</f>
        <v>P</v>
      </c>
      <c r="K43" s="4" t="str">
        <f>IFERROR(LOOKUP(2,1/((#REF!=nov!$A43)*(#REF!&lt;=nov!K$3)*(#REF!&gt;=nov!K$3)),#REF!),IF(WEEKDAY(nov!K$3,1)=1,"WO","P"))</f>
        <v>P</v>
      </c>
      <c r="L43" s="4" t="str">
        <f>IFERROR(LOOKUP(2,1/((#REF!=nov!$A43)*(#REF!&lt;=nov!L$3)*(#REF!&gt;=nov!L$3)),#REF!),IF(WEEKDAY(nov!L$3,1)=1,"WO","P"))</f>
        <v>P</v>
      </c>
      <c r="M43" s="4" t="str">
        <f>IFERROR(LOOKUP(2,1/((#REF!=nov!$A43)*(#REF!&lt;=nov!M$3)*(#REF!&gt;=nov!M$3)),#REF!),IF(WEEKDAY(nov!M$3,1)=1,"WO","P"))</f>
        <v>WO</v>
      </c>
      <c r="N43" s="4" t="str">
        <f>IFERROR(LOOKUP(2,1/((#REF!=nov!$A43)*(#REF!&lt;=nov!N$3)*(#REF!&gt;=nov!N$3)),#REF!),IF(WEEKDAY(nov!N$3,1)=1,"WO","P"))</f>
        <v>P</v>
      </c>
      <c r="O43" s="4" t="str">
        <f>IFERROR(LOOKUP(2,1/((#REF!=nov!$A43)*(#REF!&lt;=nov!O$3)*(#REF!&gt;=nov!O$3)),#REF!),IF(WEEKDAY(nov!O$3,1)=1,"WO","P"))</f>
        <v>P</v>
      </c>
      <c r="P43" s="4" t="str">
        <f>IFERROR(LOOKUP(2,1/((#REF!=nov!$A43)*(#REF!&lt;=nov!P$3)*(#REF!&gt;=nov!P$3)),#REF!),IF(WEEKDAY(nov!P$3,1)=1,"WO","P"))</f>
        <v>P</v>
      </c>
      <c r="Q43" s="4" t="str">
        <f>IFERROR(LOOKUP(2,1/((#REF!=nov!$A43)*(#REF!&lt;=nov!Q$3)*(#REF!&gt;=nov!Q$3)),#REF!),IF(WEEKDAY(nov!Q$3,1)=1,"WO","P"))</f>
        <v>P</v>
      </c>
      <c r="R43" s="4" t="str">
        <f>IFERROR(LOOKUP(2,1/((#REF!=nov!$A43)*(#REF!&lt;=nov!R$3)*(#REF!&gt;=nov!R$3)),#REF!),IF(WEEKDAY(nov!R$3,1)=1,"WO","P"))</f>
        <v>P</v>
      </c>
      <c r="S43" s="4" t="str">
        <f>IFERROR(LOOKUP(2,1/((#REF!=nov!$A43)*(#REF!&lt;=nov!S$3)*(#REF!&gt;=nov!S$3)),#REF!),IF(WEEKDAY(nov!S$3,1)=1,"WO","P"))</f>
        <v>P</v>
      </c>
      <c r="T43" s="4" t="str">
        <f>IFERROR(LOOKUP(2,1/((#REF!=nov!$A43)*(#REF!&lt;=nov!T$3)*(#REF!&gt;=nov!T$3)),#REF!),IF(WEEKDAY(nov!T$3,1)=1,"WO","P"))</f>
        <v>WO</v>
      </c>
      <c r="U43" s="4" t="str">
        <f>IFERROR(LOOKUP(2,1/((#REF!=nov!$A43)*(#REF!&lt;=nov!U$3)*(#REF!&gt;=nov!U$3)),#REF!),IF(WEEKDAY(nov!U$3,1)=1,"WO","P"))</f>
        <v>P</v>
      </c>
      <c r="V43" s="4" t="str">
        <f>IFERROR(LOOKUP(2,1/((#REF!=nov!$A43)*(#REF!&lt;=nov!V$3)*(#REF!&gt;=nov!V$3)),#REF!),IF(WEEKDAY(nov!V$3,1)=1,"WO","P"))</f>
        <v>P</v>
      </c>
      <c r="W43" s="4" t="str">
        <f>IFERROR(LOOKUP(2,1/((#REF!=nov!$A43)*(#REF!&lt;=nov!W$3)*(#REF!&gt;=nov!W$3)),#REF!),IF(WEEKDAY(nov!W$3,1)=1,"WO","P"))</f>
        <v>P</v>
      </c>
      <c r="X43" s="4" t="str">
        <f>IFERROR(LOOKUP(2,1/((#REF!=nov!$A43)*(#REF!&lt;=nov!X$3)*(#REF!&gt;=nov!X$3)),#REF!),IF(WEEKDAY(nov!X$3,1)=1,"WO","P"))</f>
        <v>P</v>
      </c>
      <c r="Y43" s="4" t="str">
        <f>IFERROR(LOOKUP(2,1/((#REF!=nov!$A43)*(#REF!&lt;=nov!Y$3)*(#REF!&gt;=nov!Y$3)),#REF!),IF(WEEKDAY(nov!Y$3,1)=1,"WO","P"))</f>
        <v>P</v>
      </c>
      <c r="Z43" s="4" t="str">
        <f>IFERROR(LOOKUP(2,1/((#REF!=nov!$A43)*(#REF!&lt;=nov!Z$3)*(#REF!&gt;=nov!Z$3)),#REF!),IF(WEEKDAY(nov!Z$3,1)=1,"WO","P"))</f>
        <v>P</v>
      </c>
      <c r="AA43" s="4" t="str">
        <f>IFERROR(LOOKUP(2,1/((#REF!=nov!$A43)*(#REF!&lt;=nov!AA$3)*(#REF!&gt;=nov!AA$3)),#REF!),IF(WEEKDAY(nov!AA$3,1)=1,"WO","P"))</f>
        <v>WO</v>
      </c>
      <c r="AB43" s="4" t="str">
        <f>IFERROR(LOOKUP(2,1/((#REF!=nov!$A43)*(#REF!&lt;=nov!AB$3)*(#REF!&gt;=nov!AB$3)),#REF!),IF(WEEKDAY(nov!AB$3,1)=1,"WO","P"))</f>
        <v>P</v>
      </c>
      <c r="AC43" s="4" t="str">
        <f>IFERROR(LOOKUP(2,1/((#REF!=nov!$A43)*(#REF!&lt;=nov!AC$3)*(#REF!&gt;=nov!AC$3)),#REF!),IF(WEEKDAY(nov!AC$3,1)=1,"WO","P"))</f>
        <v>P</v>
      </c>
      <c r="AD43" s="4" t="str">
        <f>IFERROR(LOOKUP(2,1/((#REF!=nov!$A43)*(#REF!&lt;=nov!AD$3)*(#REF!&gt;=nov!AD$3)),#REF!),IF(WEEKDAY(nov!AD$3,1)=1,"WO","P"))</f>
        <v>P</v>
      </c>
      <c r="AE43" s="4" t="str">
        <f>IFERROR(LOOKUP(2,1/((#REF!=nov!$A43)*(#REF!&lt;=nov!AE$3)*(#REF!&gt;=nov!AE$3)),#REF!),IF(WEEKDAY(nov!AE$3,1)=1,"WO","P"))</f>
        <v>P</v>
      </c>
      <c r="AF43" s="4" t="str">
        <f>IFERROR(LOOKUP(2,1/((#REF!=nov!$A43)*(#REF!&lt;=nov!AF$3)*(#REF!&gt;=nov!AF$3)),#REF!),IF(WEEKDAY(nov!AF$3,1)=1,"WO","P"))</f>
        <v>P</v>
      </c>
      <c r="AG43" s="4" t="str">
        <f>IFERROR(LOOKUP(2,1/((#REF!=nov!$A43)*(#REF!&lt;=nov!AG$3)*(#REF!&gt;=nov!AG$3)),#REF!),IF(WEEKDAY(nov!AG$3,1)=1,"WO","P"))</f>
        <v>P</v>
      </c>
      <c r="AH43" s="4" t="str">
        <f>IFERROR(LOOKUP(2,1/((#REF!=nov!$A43)*(#REF!&lt;=nov!AH$3)*(#REF!&gt;=nov!AH$3)),#REF!),IF(WEEKDAY(nov!AH$3,1)=1,"WO","P"))</f>
        <v>WO</v>
      </c>
      <c r="AI43" s="4" t="str">
        <f>IFERROR(LOOKUP(2,1/((#REF!=nov!$A43)*(#REF!&lt;=nov!AI$3)*(#REF!&gt;=nov!AI$3)),#REF!),IF(WEEKDAY(nov!AI$3,1)=1,"WO","P"))</f>
        <v>P</v>
      </c>
      <c r="AJ43" s="4">
        <f>COUNTIF(mar!$F43:$AJ43,"WO")</f>
        <v>5</v>
      </c>
      <c r="AK43" s="4">
        <f>COUNTIF(mar!$F43:$AJ43,"H")</f>
        <v>2</v>
      </c>
      <c r="AL43" s="4">
        <f>COUNTIF(mar!$F43:$AJ43,"pl")</f>
        <v>0</v>
      </c>
      <c r="AM43" s="4">
        <f>COUNTIF(mar!$F43:$AJ43,"LWP")</f>
        <v>0</v>
      </c>
      <c r="AN43" s="4">
        <f>COUNTIF(mar!$F43:$AJ43,"HD")</f>
        <v>0</v>
      </c>
      <c r="AO43" s="4">
        <f>COUNTIF(mar!$F43:$AJ43,"SL")</f>
        <v>0</v>
      </c>
      <c r="AP43" s="4">
        <f>COUNTIF(mar!$F43:$AJ43,"CL")</f>
        <v>0</v>
      </c>
      <c r="AQ43" s="4">
        <f>COUNTIF(mar!$F43:$AJ43,"A")</f>
        <v>1</v>
      </c>
      <c r="AR43" s="4">
        <f>COUNTIF(mar!$F43:$AJ43,"P")</f>
        <v>23</v>
      </c>
      <c r="AS43" s="4">
        <f t="shared" si="4"/>
        <v>30</v>
      </c>
      <c r="AT43" s="4">
        <f t="shared" si="3"/>
        <v>30</v>
      </c>
      <c r="AU43" s="4">
        <f>SUMIFS(holly!$L$2:$L$122,holly!$I$2:$I$122,mar!$A43,holly!$K$2:$K$122,"Mar")</f>
        <v>0</v>
      </c>
    </row>
    <row r="44" spans="1:47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IFERROR(LOOKUP(2,1/((#REF!=nov!$A44)*(#REF!&lt;=nov!F$3)*(#REF!&gt;=nov!F$3)),#REF!),IF(WEEKDAY(nov!F$3,1)=1,"WO","P"))</f>
        <v>WO</v>
      </c>
      <c r="G44" s="4" t="str">
        <f>IFERROR(LOOKUP(2,1/((#REF!=nov!$A44)*(#REF!&lt;=nov!G$3)*(#REF!&gt;=nov!G$3)),#REF!),IF(WEEKDAY(nov!G$3,1)=1,"WO","P"))</f>
        <v>P</v>
      </c>
      <c r="H44" s="4" t="str">
        <f>IFERROR(LOOKUP(2,1/((#REF!=nov!$A44)*(#REF!&lt;=nov!H$3)*(#REF!&gt;=nov!H$3)),#REF!),IF(WEEKDAY(nov!H$3,1)=1,"WO","P"))</f>
        <v>P</v>
      </c>
      <c r="I44" s="4" t="str">
        <f>IFERROR(LOOKUP(2,1/((#REF!=nov!$A44)*(#REF!&lt;=nov!I$3)*(#REF!&gt;=nov!I$3)),#REF!),IF(WEEKDAY(nov!I$3,1)=1,"WO","P"))</f>
        <v>P</v>
      </c>
      <c r="J44" s="4" t="str">
        <f>IFERROR(LOOKUP(2,1/((#REF!=nov!$A44)*(#REF!&lt;=nov!J$3)*(#REF!&gt;=nov!J$3)),#REF!),IF(WEEKDAY(nov!J$3,1)=1,"WO","P"))</f>
        <v>P</v>
      </c>
      <c r="K44" s="4" t="str">
        <f>IFERROR(LOOKUP(2,1/((#REF!=nov!$A44)*(#REF!&lt;=nov!K$3)*(#REF!&gt;=nov!K$3)),#REF!),IF(WEEKDAY(nov!K$3,1)=1,"WO","P"))</f>
        <v>P</v>
      </c>
      <c r="L44" s="4" t="str">
        <f>IFERROR(LOOKUP(2,1/((#REF!=nov!$A44)*(#REF!&lt;=nov!L$3)*(#REF!&gt;=nov!L$3)),#REF!),IF(WEEKDAY(nov!L$3,1)=1,"WO","P"))</f>
        <v>P</v>
      </c>
      <c r="M44" s="4" t="str">
        <f>IFERROR(LOOKUP(2,1/((#REF!=nov!$A44)*(#REF!&lt;=nov!M$3)*(#REF!&gt;=nov!M$3)),#REF!),IF(WEEKDAY(nov!M$3,1)=1,"WO","P"))</f>
        <v>WO</v>
      </c>
      <c r="N44" s="4" t="str">
        <f>IFERROR(LOOKUP(2,1/((#REF!=nov!$A44)*(#REF!&lt;=nov!N$3)*(#REF!&gt;=nov!N$3)),#REF!),IF(WEEKDAY(nov!N$3,1)=1,"WO","P"))</f>
        <v>P</v>
      </c>
      <c r="O44" s="4" t="str">
        <f>IFERROR(LOOKUP(2,1/((#REF!=nov!$A44)*(#REF!&lt;=nov!O$3)*(#REF!&gt;=nov!O$3)),#REF!),IF(WEEKDAY(nov!O$3,1)=1,"WO","P"))</f>
        <v>P</v>
      </c>
      <c r="P44" s="4" t="str">
        <f>IFERROR(LOOKUP(2,1/((#REF!=nov!$A44)*(#REF!&lt;=nov!P$3)*(#REF!&gt;=nov!P$3)),#REF!),IF(WEEKDAY(nov!P$3,1)=1,"WO","P"))</f>
        <v>P</v>
      </c>
      <c r="Q44" s="4" t="str">
        <f>IFERROR(LOOKUP(2,1/((#REF!=nov!$A44)*(#REF!&lt;=nov!Q$3)*(#REF!&gt;=nov!Q$3)),#REF!),IF(WEEKDAY(nov!Q$3,1)=1,"WO","P"))</f>
        <v>P</v>
      </c>
      <c r="R44" s="4" t="str">
        <f>IFERROR(LOOKUP(2,1/((#REF!=nov!$A44)*(#REF!&lt;=nov!R$3)*(#REF!&gt;=nov!R$3)),#REF!),IF(WEEKDAY(nov!R$3,1)=1,"WO","P"))</f>
        <v>P</v>
      </c>
      <c r="S44" s="4" t="str">
        <f>IFERROR(LOOKUP(2,1/((#REF!=nov!$A44)*(#REF!&lt;=nov!S$3)*(#REF!&gt;=nov!S$3)),#REF!),IF(WEEKDAY(nov!S$3,1)=1,"WO","P"))</f>
        <v>P</v>
      </c>
      <c r="T44" s="4" t="str">
        <f>IFERROR(LOOKUP(2,1/((#REF!=nov!$A44)*(#REF!&lt;=nov!T$3)*(#REF!&gt;=nov!T$3)),#REF!),IF(WEEKDAY(nov!T$3,1)=1,"WO","P"))</f>
        <v>WO</v>
      </c>
      <c r="U44" s="4" t="str">
        <f>IFERROR(LOOKUP(2,1/((#REF!=nov!$A44)*(#REF!&lt;=nov!U$3)*(#REF!&gt;=nov!U$3)),#REF!),IF(WEEKDAY(nov!U$3,1)=1,"WO","P"))</f>
        <v>P</v>
      </c>
      <c r="V44" s="4" t="str">
        <f>IFERROR(LOOKUP(2,1/((#REF!=nov!$A44)*(#REF!&lt;=nov!V$3)*(#REF!&gt;=nov!V$3)),#REF!),IF(WEEKDAY(nov!V$3,1)=1,"WO","P"))</f>
        <v>P</v>
      </c>
      <c r="W44" s="4" t="str">
        <f>IFERROR(LOOKUP(2,1/((#REF!=nov!$A44)*(#REF!&lt;=nov!W$3)*(#REF!&gt;=nov!W$3)),#REF!),IF(WEEKDAY(nov!W$3,1)=1,"WO","P"))</f>
        <v>P</v>
      </c>
      <c r="X44" s="4" t="str">
        <f>IFERROR(LOOKUP(2,1/((#REF!=nov!$A44)*(#REF!&lt;=nov!X$3)*(#REF!&gt;=nov!X$3)),#REF!),IF(WEEKDAY(nov!X$3,1)=1,"WO","P"))</f>
        <v>P</v>
      </c>
      <c r="Y44" s="4" t="str">
        <f>IFERROR(LOOKUP(2,1/((#REF!=nov!$A44)*(#REF!&lt;=nov!Y$3)*(#REF!&gt;=nov!Y$3)),#REF!),IF(WEEKDAY(nov!Y$3,1)=1,"WO","P"))</f>
        <v>P</v>
      </c>
      <c r="Z44" s="4" t="str">
        <f>IFERROR(LOOKUP(2,1/((#REF!=nov!$A44)*(#REF!&lt;=nov!Z$3)*(#REF!&gt;=nov!Z$3)),#REF!),IF(WEEKDAY(nov!Z$3,1)=1,"WO","P"))</f>
        <v>P</v>
      </c>
      <c r="AA44" s="4" t="str">
        <f>IFERROR(LOOKUP(2,1/((#REF!=nov!$A44)*(#REF!&lt;=nov!AA$3)*(#REF!&gt;=nov!AA$3)),#REF!),IF(WEEKDAY(nov!AA$3,1)=1,"WO","P"))</f>
        <v>WO</v>
      </c>
      <c r="AB44" s="4" t="str">
        <f>IFERROR(LOOKUP(2,1/((#REF!=nov!$A44)*(#REF!&lt;=nov!AB$3)*(#REF!&gt;=nov!AB$3)),#REF!),IF(WEEKDAY(nov!AB$3,1)=1,"WO","P"))</f>
        <v>P</v>
      </c>
      <c r="AC44" s="4" t="str">
        <f>IFERROR(LOOKUP(2,1/((#REF!=nov!$A44)*(#REF!&lt;=nov!AC$3)*(#REF!&gt;=nov!AC$3)),#REF!),IF(WEEKDAY(nov!AC$3,1)=1,"WO","P"))</f>
        <v>P</v>
      </c>
      <c r="AD44" s="4" t="str">
        <f>IFERROR(LOOKUP(2,1/((#REF!=nov!$A44)*(#REF!&lt;=nov!AD$3)*(#REF!&gt;=nov!AD$3)),#REF!),IF(WEEKDAY(nov!AD$3,1)=1,"WO","P"))</f>
        <v>P</v>
      </c>
      <c r="AE44" s="4" t="str">
        <f>IFERROR(LOOKUP(2,1/((#REF!=nov!$A44)*(#REF!&lt;=nov!AE$3)*(#REF!&gt;=nov!AE$3)),#REF!),IF(WEEKDAY(nov!AE$3,1)=1,"WO","P"))</f>
        <v>P</v>
      </c>
      <c r="AF44" s="4" t="str">
        <f>IFERROR(LOOKUP(2,1/((#REF!=nov!$A44)*(#REF!&lt;=nov!AF$3)*(#REF!&gt;=nov!AF$3)),#REF!),IF(WEEKDAY(nov!AF$3,1)=1,"WO","P"))</f>
        <v>P</v>
      </c>
      <c r="AG44" s="4" t="str">
        <f>IFERROR(LOOKUP(2,1/((#REF!=nov!$A44)*(#REF!&lt;=nov!AG$3)*(#REF!&gt;=nov!AG$3)),#REF!),IF(WEEKDAY(nov!AG$3,1)=1,"WO","P"))</f>
        <v>P</v>
      </c>
      <c r="AH44" s="4" t="str">
        <f>IFERROR(LOOKUP(2,1/((#REF!=nov!$A44)*(#REF!&lt;=nov!AH$3)*(#REF!&gt;=nov!AH$3)),#REF!),IF(WEEKDAY(nov!AH$3,1)=1,"WO","P"))</f>
        <v>WO</v>
      </c>
      <c r="AI44" s="4" t="str">
        <f>IFERROR(LOOKUP(2,1/((#REF!=nov!$A44)*(#REF!&lt;=nov!AI$3)*(#REF!&gt;=nov!AI$3)),#REF!),IF(WEEKDAY(nov!AI$3,1)=1,"WO","P"))</f>
        <v>P</v>
      </c>
      <c r="AJ44" s="4">
        <f>COUNTIF(mar!$F44:$AJ44,"WO")</f>
        <v>5</v>
      </c>
      <c r="AK44" s="4">
        <f>COUNTIF(mar!$F44:$AJ44,"H")</f>
        <v>2</v>
      </c>
      <c r="AL44" s="4">
        <f>COUNTIF(mar!$F44:$AJ44,"pl")</f>
        <v>0</v>
      </c>
      <c r="AM44" s="4">
        <f>COUNTIF(mar!$F44:$AJ44,"LWP")</f>
        <v>0</v>
      </c>
      <c r="AN44" s="4">
        <f>COUNTIF(mar!$F44:$AJ44,"HD")</f>
        <v>0</v>
      </c>
      <c r="AO44" s="4">
        <f>COUNTIF(mar!$F44:$AJ44,"SL")</f>
        <v>0</v>
      </c>
      <c r="AP44" s="4">
        <f>COUNTIF(mar!$F44:$AJ44,"CL")</f>
        <v>0</v>
      </c>
      <c r="AQ44" s="4">
        <f>COUNTIF(mar!$F44:$AJ44,"A")</f>
        <v>2</v>
      </c>
      <c r="AR44" s="4">
        <f>COUNTIF(mar!$F44:$AJ44,"P")</f>
        <v>22</v>
      </c>
      <c r="AS44" s="4">
        <f t="shared" si="4"/>
        <v>30</v>
      </c>
      <c r="AT44" s="4">
        <f t="shared" si="3"/>
        <v>29</v>
      </c>
      <c r="AU44" s="4">
        <f>SUMIFS(holly!$L$2:$L$122,holly!$I$2:$I$122,mar!$A44,holly!$K$2:$K$122,"Mar")</f>
        <v>0</v>
      </c>
    </row>
    <row r="45" spans="1:47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IFERROR(LOOKUP(2,1/((#REF!=nov!$A45)*(#REF!&lt;=nov!F$3)*(#REF!&gt;=nov!F$3)),#REF!),IF(WEEKDAY(nov!F$3,1)=1,"WO","P"))</f>
        <v>WO</v>
      </c>
      <c r="G45" s="4" t="str">
        <f>IFERROR(LOOKUP(2,1/((#REF!=nov!$A45)*(#REF!&lt;=nov!G$3)*(#REF!&gt;=nov!G$3)),#REF!),IF(WEEKDAY(nov!G$3,1)=1,"WO","P"))</f>
        <v>P</v>
      </c>
      <c r="H45" s="4" t="str">
        <f>IFERROR(LOOKUP(2,1/((#REF!=nov!$A45)*(#REF!&lt;=nov!H$3)*(#REF!&gt;=nov!H$3)),#REF!),IF(WEEKDAY(nov!H$3,1)=1,"WO","P"))</f>
        <v>P</v>
      </c>
      <c r="I45" s="4" t="str">
        <f>IFERROR(LOOKUP(2,1/((#REF!=nov!$A45)*(#REF!&lt;=nov!I$3)*(#REF!&gt;=nov!I$3)),#REF!),IF(WEEKDAY(nov!I$3,1)=1,"WO","P"))</f>
        <v>P</v>
      </c>
      <c r="J45" s="4" t="str">
        <f>IFERROR(LOOKUP(2,1/((#REF!=nov!$A45)*(#REF!&lt;=nov!J$3)*(#REF!&gt;=nov!J$3)),#REF!),IF(WEEKDAY(nov!J$3,1)=1,"WO","P"))</f>
        <v>P</v>
      </c>
      <c r="K45" s="4" t="str">
        <f>IFERROR(LOOKUP(2,1/((#REF!=nov!$A45)*(#REF!&lt;=nov!K$3)*(#REF!&gt;=nov!K$3)),#REF!),IF(WEEKDAY(nov!K$3,1)=1,"WO","P"))</f>
        <v>P</v>
      </c>
      <c r="L45" s="4" t="str">
        <f>IFERROR(LOOKUP(2,1/((#REF!=nov!$A45)*(#REF!&lt;=nov!L$3)*(#REF!&gt;=nov!L$3)),#REF!),IF(WEEKDAY(nov!L$3,1)=1,"WO","P"))</f>
        <v>P</v>
      </c>
      <c r="M45" s="4" t="str">
        <f>IFERROR(LOOKUP(2,1/((#REF!=nov!$A45)*(#REF!&lt;=nov!M$3)*(#REF!&gt;=nov!M$3)),#REF!),IF(WEEKDAY(nov!M$3,1)=1,"WO","P"))</f>
        <v>WO</v>
      </c>
      <c r="N45" s="4" t="str">
        <f>IFERROR(LOOKUP(2,1/((#REF!=nov!$A45)*(#REF!&lt;=nov!N$3)*(#REF!&gt;=nov!N$3)),#REF!),IF(WEEKDAY(nov!N$3,1)=1,"WO","P"))</f>
        <v>P</v>
      </c>
      <c r="O45" s="4" t="str">
        <f>IFERROR(LOOKUP(2,1/((#REF!=nov!$A45)*(#REF!&lt;=nov!O$3)*(#REF!&gt;=nov!O$3)),#REF!),IF(WEEKDAY(nov!O$3,1)=1,"WO","P"))</f>
        <v>P</v>
      </c>
      <c r="P45" s="4" t="str">
        <f>IFERROR(LOOKUP(2,1/((#REF!=nov!$A45)*(#REF!&lt;=nov!P$3)*(#REF!&gt;=nov!P$3)),#REF!),IF(WEEKDAY(nov!P$3,1)=1,"WO","P"))</f>
        <v>P</v>
      </c>
      <c r="Q45" s="4" t="str">
        <f>IFERROR(LOOKUP(2,1/((#REF!=nov!$A45)*(#REF!&lt;=nov!Q$3)*(#REF!&gt;=nov!Q$3)),#REF!),IF(WEEKDAY(nov!Q$3,1)=1,"WO","P"))</f>
        <v>P</v>
      </c>
      <c r="R45" s="4" t="str">
        <f>IFERROR(LOOKUP(2,1/((#REF!=nov!$A45)*(#REF!&lt;=nov!R$3)*(#REF!&gt;=nov!R$3)),#REF!),IF(WEEKDAY(nov!R$3,1)=1,"WO","P"))</f>
        <v>P</v>
      </c>
      <c r="S45" s="4" t="str">
        <f>IFERROR(LOOKUP(2,1/((#REF!=nov!$A45)*(#REF!&lt;=nov!S$3)*(#REF!&gt;=nov!S$3)),#REF!),IF(WEEKDAY(nov!S$3,1)=1,"WO","P"))</f>
        <v>P</v>
      </c>
      <c r="T45" s="4" t="str">
        <f>IFERROR(LOOKUP(2,1/((#REF!=nov!$A45)*(#REF!&lt;=nov!T$3)*(#REF!&gt;=nov!T$3)),#REF!),IF(WEEKDAY(nov!T$3,1)=1,"WO","P"))</f>
        <v>WO</v>
      </c>
      <c r="U45" s="4" t="str">
        <f>IFERROR(LOOKUP(2,1/((#REF!=nov!$A45)*(#REF!&lt;=nov!U$3)*(#REF!&gt;=nov!U$3)),#REF!),IF(WEEKDAY(nov!U$3,1)=1,"WO","P"))</f>
        <v>P</v>
      </c>
      <c r="V45" s="4" t="str">
        <f>IFERROR(LOOKUP(2,1/((#REF!=nov!$A45)*(#REF!&lt;=nov!V$3)*(#REF!&gt;=nov!V$3)),#REF!),IF(WEEKDAY(nov!V$3,1)=1,"WO","P"))</f>
        <v>P</v>
      </c>
      <c r="W45" s="4" t="str">
        <f>IFERROR(LOOKUP(2,1/((#REF!=nov!$A45)*(#REF!&lt;=nov!W$3)*(#REF!&gt;=nov!W$3)),#REF!),IF(WEEKDAY(nov!W$3,1)=1,"WO","P"))</f>
        <v>P</v>
      </c>
      <c r="X45" s="4" t="str">
        <f>IFERROR(LOOKUP(2,1/((#REF!=nov!$A45)*(#REF!&lt;=nov!X$3)*(#REF!&gt;=nov!X$3)),#REF!),IF(WEEKDAY(nov!X$3,1)=1,"WO","P"))</f>
        <v>P</v>
      </c>
      <c r="Y45" s="4" t="str">
        <f>IFERROR(LOOKUP(2,1/((#REF!=nov!$A45)*(#REF!&lt;=nov!Y$3)*(#REF!&gt;=nov!Y$3)),#REF!),IF(WEEKDAY(nov!Y$3,1)=1,"WO","P"))</f>
        <v>P</v>
      </c>
      <c r="Z45" s="4" t="str">
        <f>IFERROR(LOOKUP(2,1/((#REF!=nov!$A45)*(#REF!&lt;=nov!Z$3)*(#REF!&gt;=nov!Z$3)),#REF!),IF(WEEKDAY(nov!Z$3,1)=1,"WO","P"))</f>
        <v>P</v>
      </c>
      <c r="AA45" s="4" t="str">
        <f>IFERROR(LOOKUP(2,1/((#REF!=nov!$A45)*(#REF!&lt;=nov!AA$3)*(#REF!&gt;=nov!AA$3)),#REF!),IF(WEEKDAY(nov!AA$3,1)=1,"WO","P"))</f>
        <v>WO</v>
      </c>
      <c r="AB45" s="4" t="str">
        <f>IFERROR(LOOKUP(2,1/((#REF!=nov!$A45)*(#REF!&lt;=nov!AB$3)*(#REF!&gt;=nov!AB$3)),#REF!),IF(WEEKDAY(nov!AB$3,1)=1,"WO","P"))</f>
        <v>P</v>
      </c>
      <c r="AC45" s="4" t="str">
        <f>IFERROR(LOOKUP(2,1/((#REF!=nov!$A45)*(#REF!&lt;=nov!AC$3)*(#REF!&gt;=nov!AC$3)),#REF!),IF(WEEKDAY(nov!AC$3,1)=1,"WO","P"))</f>
        <v>P</v>
      </c>
      <c r="AD45" s="4" t="str">
        <f>IFERROR(LOOKUP(2,1/((#REF!=nov!$A45)*(#REF!&lt;=nov!AD$3)*(#REF!&gt;=nov!AD$3)),#REF!),IF(WEEKDAY(nov!AD$3,1)=1,"WO","P"))</f>
        <v>P</v>
      </c>
      <c r="AE45" s="4" t="str">
        <f>IFERROR(LOOKUP(2,1/((#REF!=nov!$A45)*(#REF!&lt;=nov!AE$3)*(#REF!&gt;=nov!AE$3)),#REF!),IF(WEEKDAY(nov!AE$3,1)=1,"WO","P"))</f>
        <v>P</v>
      </c>
      <c r="AF45" s="4" t="str">
        <f>IFERROR(LOOKUP(2,1/((#REF!=nov!$A45)*(#REF!&lt;=nov!AF$3)*(#REF!&gt;=nov!AF$3)),#REF!),IF(WEEKDAY(nov!AF$3,1)=1,"WO","P"))</f>
        <v>P</v>
      </c>
      <c r="AG45" s="4" t="str">
        <f>IFERROR(LOOKUP(2,1/((#REF!=nov!$A45)*(#REF!&lt;=nov!AG$3)*(#REF!&gt;=nov!AG$3)),#REF!),IF(WEEKDAY(nov!AG$3,1)=1,"WO","P"))</f>
        <v>P</v>
      </c>
      <c r="AH45" s="4" t="str">
        <f>IFERROR(LOOKUP(2,1/((#REF!=nov!$A45)*(#REF!&lt;=nov!AH$3)*(#REF!&gt;=nov!AH$3)),#REF!),IF(WEEKDAY(nov!AH$3,1)=1,"WO","P"))</f>
        <v>WO</v>
      </c>
      <c r="AI45" s="4" t="str">
        <f>IFERROR(LOOKUP(2,1/((#REF!=nov!$A45)*(#REF!&lt;=nov!AI$3)*(#REF!&gt;=nov!AI$3)),#REF!),IF(WEEKDAY(nov!AI$3,1)=1,"WO","P"))</f>
        <v>P</v>
      </c>
      <c r="AJ45" s="4">
        <f>COUNTIF(mar!$F45:$AJ45,"WO")</f>
        <v>5</v>
      </c>
      <c r="AK45" s="4">
        <f>COUNTIF(mar!$F45:$AJ45,"H")</f>
        <v>2</v>
      </c>
      <c r="AL45" s="4">
        <f>COUNTIF(mar!$F45:$AJ45,"pl")</f>
        <v>0</v>
      </c>
      <c r="AM45" s="4">
        <f>COUNTIF(mar!$F45:$AJ45,"LWP")</f>
        <v>0</v>
      </c>
      <c r="AN45" s="4">
        <f>COUNTIF(mar!$F45:$AJ45,"HD")</f>
        <v>0</v>
      </c>
      <c r="AO45" s="4">
        <f>COUNTIF(mar!$F45:$AJ45,"SL")</f>
        <v>0</v>
      </c>
      <c r="AP45" s="4">
        <f>COUNTIF(mar!$F45:$AJ45,"CL")</f>
        <v>0</v>
      </c>
      <c r="AQ45" s="4">
        <f>COUNTIF(mar!$F45:$AJ45,"A")</f>
        <v>0</v>
      </c>
      <c r="AR45" s="4">
        <f>COUNTIF(mar!$F45:$AJ45,"P")</f>
        <v>24</v>
      </c>
      <c r="AS45" s="4">
        <f t="shared" si="4"/>
        <v>30</v>
      </c>
      <c r="AT45" s="4">
        <f t="shared" si="3"/>
        <v>31</v>
      </c>
      <c r="AU45" s="4">
        <f>SUMIFS(holly!$L$2:$L$122,holly!$I$2:$I$122,mar!$A45,holly!$K$2:$K$122,"Mar")</f>
        <v>0</v>
      </c>
    </row>
    <row r="46" spans="1:47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IFERROR(LOOKUP(2,1/((#REF!=nov!$A46)*(#REF!&lt;=nov!F$3)*(#REF!&gt;=nov!F$3)),#REF!),IF(WEEKDAY(nov!F$3,1)=1,"WO","P"))</f>
        <v>WO</v>
      </c>
      <c r="G46" s="4" t="str">
        <f>IFERROR(LOOKUP(2,1/((#REF!=nov!$A46)*(#REF!&lt;=nov!G$3)*(#REF!&gt;=nov!G$3)),#REF!),IF(WEEKDAY(nov!G$3,1)=1,"WO","P"))</f>
        <v>P</v>
      </c>
      <c r="H46" s="4" t="str">
        <f>IFERROR(LOOKUP(2,1/((#REF!=nov!$A46)*(#REF!&lt;=nov!H$3)*(#REF!&gt;=nov!H$3)),#REF!),IF(WEEKDAY(nov!H$3,1)=1,"WO","P"))</f>
        <v>P</v>
      </c>
      <c r="I46" s="4" t="str">
        <f>IFERROR(LOOKUP(2,1/((#REF!=nov!$A46)*(#REF!&lt;=nov!I$3)*(#REF!&gt;=nov!I$3)),#REF!),IF(WEEKDAY(nov!I$3,1)=1,"WO","P"))</f>
        <v>P</v>
      </c>
      <c r="J46" s="4" t="str">
        <f>IFERROR(LOOKUP(2,1/((#REF!=nov!$A46)*(#REF!&lt;=nov!J$3)*(#REF!&gt;=nov!J$3)),#REF!),IF(WEEKDAY(nov!J$3,1)=1,"WO","P"))</f>
        <v>P</v>
      </c>
      <c r="K46" s="4" t="str">
        <f>IFERROR(LOOKUP(2,1/((#REF!=nov!$A46)*(#REF!&lt;=nov!K$3)*(#REF!&gt;=nov!K$3)),#REF!),IF(WEEKDAY(nov!K$3,1)=1,"WO","P"))</f>
        <v>P</v>
      </c>
      <c r="L46" s="4" t="str">
        <f>IFERROR(LOOKUP(2,1/((#REF!=nov!$A46)*(#REF!&lt;=nov!L$3)*(#REF!&gt;=nov!L$3)),#REF!),IF(WEEKDAY(nov!L$3,1)=1,"WO","P"))</f>
        <v>P</v>
      </c>
      <c r="M46" s="4" t="str">
        <f>IFERROR(LOOKUP(2,1/((#REF!=nov!$A46)*(#REF!&lt;=nov!M$3)*(#REF!&gt;=nov!M$3)),#REF!),IF(WEEKDAY(nov!M$3,1)=1,"WO","P"))</f>
        <v>WO</v>
      </c>
      <c r="N46" s="4" t="str">
        <f>IFERROR(LOOKUP(2,1/((#REF!=nov!$A46)*(#REF!&lt;=nov!N$3)*(#REF!&gt;=nov!N$3)),#REF!),IF(WEEKDAY(nov!N$3,1)=1,"WO","P"))</f>
        <v>P</v>
      </c>
      <c r="O46" s="4" t="str">
        <f>IFERROR(LOOKUP(2,1/((#REF!=nov!$A46)*(#REF!&lt;=nov!O$3)*(#REF!&gt;=nov!O$3)),#REF!),IF(WEEKDAY(nov!O$3,1)=1,"WO","P"))</f>
        <v>P</v>
      </c>
      <c r="P46" s="4" t="str">
        <f>IFERROR(LOOKUP(2,1/((#REF!=nov!$A46)*(#REF!&lt;=nov!P$3)*(#REF!&gt;=nov!P$3)),#REF!),IF(WEEKDAY(nov!P$3,1)=1,"WO","P"))</f>
        <v>P</v>
      </c>
      <c r="Q46" s="4" t="str">
        <f>IFERROR(LOOKUP(2,1/((#REF!=nov!$A46)*(#REF!&lt;=nov!Q$3)*(#REF!&gt;=nov!Q$3)),#REF!),IF(WEEKDAY(nov!Q$3,1)=1,"WO","P"))</f>
        <v>P</v>
      </c>
      <c r="R46" s="4" t="str">
        <f>IFERROR(LOOKUP(2,1/((#REF!=nov!$A46)*(#REF!&lt;=nov!R$3)*(#REF!&gt;=nov!R$3)),#REF!),IF(WEEKDAY(nov!R$3,1)=1,"WO","P"))</f>
        <v>P</v>
      </c>
      <c r="S46" s="4" t="str">
        <f>IFERROR(LOOKUP(2,1/((#REF!=nov!$A46)*(#REF!&lt;=nov!S$3)*(#REF!&gt;=nov!S$3)),#REF!),IF(WEEKDAY(nov!S$3,1)=1,"WO","P"))</f>
        <v>P</v>
      </c>
      <c r="T46" s="4" t="str">
        <f>IFERROR(LOOKUP(2,1/((#REF!=nov!$A46)*(#REF!&lt;=nov!T$3)*(#REF!&gt;=nov!T$3)),#REF!),IF(WEEKDAY(nov!T$3,1)=1,"WO","P"))</f>
        <v>WO</v>
      </c>
      <c r="U46" s="4" t="str">
        <f>IFERROR(LOOKUP(2,1/((#REF!=nov!$A46)*(#REF!&lt;=nov!U$3)*(#REF!&gt;=nov!U$3)),#REF!),IF(WEEKDAY(nov!U$3,1)=1,"WO","P"))</f>
        <v>P</v>
      </c>
      <c r="V46" s="4" t="str">
        <f>IFERROR(LOOKUP(2,1/((#REF!=nov!$A46)*(#REF!&lt;=nov!V$3)*(#REF!&gt;=nov!V$3)),#REF!),IF(WEEKDAY(nov!V$3,1)=1,"WO","P"))</f>
        <v>P</v>
      </c>
      <c r="W46" s="4" t="str">
        <f>IFERROR(LOOKUP(2,1/((#REF!=nov!$A46)*(#REF!&lt;=nov!W$3)*(#REF!&gt;=nov!W$3)),#REF!),IF(WEEKDAY(nov!W$3,1)=1,"WO","P"))</f>
        <v>P</v>
      </c>
      <c r="X46" s="4" t="str">
        <f>IFERROR(LOOKUP(2,1/((#REF!=nov!$A46)*(#REF!&lt;=nov!X$3)*(#REF!&gt;=nov!X$3)),#REF!),IF(WEEKDAY(nov!X$3,1)=1,"WO","P"))</f>
        <v>P</v>
      </c>
      <c r="Y46" s="4" t="str">
        <f>IFERROR(LOOKUP(2,1/((#REF!=nov!$A46)*(#REF!&lt;=nov!Y$3)*(#REF!&gt;=nov!Y$3)),#REF!),IF(WEEKDAY(nov!Y$3,1)=1,"WO","P"))</f>
        <v>P</v>
      </c>
      <c r="Z46" s="4" t="str">
        <f>IFERROR(LOOKUP(2,1/((#REF!=nov!$A46)*(#REF!&lt;=nov!Z$3)*(#REF!&gt;=nov!Z$3)),#REF!),IF(WEEKDAY(nov!Z$3,1)=1,"WO","P"))</f>
        <v>P</v>
      </c>
      <c r="AA46" s="4" t="str">
        <f>IFERROR(LOOKUP(2,1/((#REF!=nov!$A46)*(#REF!&lt;=nov!AA$3)*(#REF!&gt;=nov!AA$3)),#REF!),IF(WEEKDAY(nov!AA$3,1)=1,"WO","P"))</f>
        <v>WO</v>
      </c>
      <c r="AB46" s="4" t="str">
        <f>IFERROR(LOOKUP(2,1/((#REF!=nov!$A46)*(#REF!&lt;=nov!AB$3)*(#REF!&gt;=nov!AB$3)),#REF!),IF(WEEKDAY(nov!AB$3,1)=1,"WO","P"))</f>
        <v>P</v>
      </c>
      <c r="AC46" s="4" t="str">
        <f>IFERROR(LOOKUP(2,1/((#REF!=nov!$A46)*(#REF!&lt;=nov!AC$3)*(#REF!&gt;=nov!AC$3)),#REF!),IF(WEEKDAY(nov!AC$3,1)=1,"WO","P"))</f>
        <v>P</v>
      </c>
      <c r="AD46" s="4" t="str">
        <f>IFERROR(LOOKUP(2,1/((#REF!=nov!$A46)*(#REF!&lt;=nov!AD$3)*(#REF!&gt;=nov!AD$3)),#REF!),IF(WEEKDAY(nov!AD$3,1)=1,"WO","P"))</f>
        <v>P</v>
      </c>
      <c r="AE46" s="4" t="str">
        <f>IFERROR(LOOKUP(2,1/((#REF!=nov!$A46)*(#REF!&lt;=nov!AE$3)*(#REF!&gt;=nov!AE$3)),#REF!),IF(WEEKDAY(nov!AE$3,1)=1,"WO","P"))</f>
        <v>P</v>
      </c>
      <c r="AF46" s="4" t="str">
        <f>IFERROR(LOOKUP(2,1/((#REF!=nov!$A46)*(#REF!&lt;=nov!AF$3)*(#REF!&gt;=nov!AF$3)),#REF!),IF(WEEKDAY(nov!AF$3,1)=1,"WO","P"))</f>
        <v>P</v>
      </c>
      <c r="AG46" s="4" t="str">
        <f>IFERROR(LOOKUP(2,1/((#REF!=nov!$A46)*(#REF!&lt;=nov!AG$3)*(#REF!&gt;=nov!AG$3)),#REF!),IF(WEEKDAY(nov!AG$3,1)=1,"WO","P"))</f>
        <v>P</v>
      </c>
      <c r="AH46" s="4" t="str">
        <f>IFERROR(LOOKUP(2,1/((#REF!=nov!$A46)*(#REF!&lt;=nov!AH$3)*(#REF!&gt;=nov!AH$3)),#REF!),IF(WEEKDAY(nov!AH$3,1)=1,"WO","P"))</f>
        <v>WO</v>
      </c>
      <c r="AI46" s="4" t="str">
        <f>IFERROR(LOOKUP(2,1/((#REF!=nov!$A46)*(#REF!&lt;=nov!AI$3)*(#REF!&gt;=nov!AI$3)),#REF!),IF(WEEKDAY(nov!AI$3,1)=1,"WO","P"))</f>
        <v>P</v>
      </c>
      <c r="AJ46" s="4">
        <f>COUNTIF(mar!$F46:$AJ46,"WO")</f>
        <v>5</v>
      </c>
      <c r="AK46" s="4">
        <f>COUNTIF(mar!$F46:$AJ46,"H")</f>
        <v>2</v>
      </c>
      <c r="AL46" s="4">
        <f>COUNTIF(mar!$F46:$AJ46,"pl")</f>
        <v>0</v>
      </c>
      <c r="AM46" s="4">
        <f>COUNTIF(mar!$F46:$AJ46,"LWP")</f>
        <v>0</v>
      </c>
      <c r="AN46" s="4">
        <f>COUNTIF(mar!$F46:$AJ46,"HD")</f>
        <v>0</v>
      </c>
      <c r="AO46" s="4">
        <f>COUNTIF(mar!$F46:$AJ46,"SL")</f>
        <v>0</v>
      </c>
      <c r="AP46" s="4">
        <f>COUNTIF(mar!$F46:$AJ46,"CL")</f>
        <v>0</v>
      </c>
      <c r="AQ46" s="4">
        <f>COUNTIF(mar!$F46:$AJ46,"A")</f>
        <v>1</v>
      </c>
      <c r="AR46" s="4">
        <f>COUNTIF(mar!$F46:$AJ46,"P")</f>
        <v>23</v>
      </c>
      <c r="AS46" s="4">
        <f t="shared" si="4"/>
        <v>30</v>
      </c>
      <c r="AT46" s="4">
        <f t="shared" si="3"/>
        <v>30</v>
      </c>
      <c r="AU46" s="4">
        <f>SUMIFS(holly!$L$2:$L$122,holly!$I$2:$I$122,mar!$A46,holly!$K$2:$K$122,"Mar")</f>
        <v>1</v>
      </c>
    </row>
    <row r="47" spans="1:47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IFERROR(LOOKUP(2,1/((#REF!=nov!$A47)*(#REF!&lt;=nov!F$3)*(#REF!&gt;=nov!F$3)),#REF!),IF(WEEKDAY(nov!F$3,1)=1,"WO","P"))</f>
        <v>WO</v>
      </c>
      <c r="G47" s="4" t="str">
        <f>IFERROR(LOOKUP(2,1/((#REF!=nov!$A47)*(#REF!&lt;=nov!G$3)*(#REF!&gt;=nov!G$3)),#REF!),IF(WEEKDAY(nov!G$3,1)=1,"WO","P"))</f>
        <v>P</v>
      </c>
      <c r="H47" s="4" t="str">
        <f>IFERROR(LOOKUP(2,1/((#REF!=nov!$A47)*(#REF!&lt;=nov!H$3)*(#REF!&gt;=nov!H$3)),#REF!),IF(WEEKDAY(nov!H$3,1)=1,"WO","P"))</f>
        <v>P</v>
      </c>
      <c r="I47" s="4" t="str">
        <f>IFERROR(LOOKUP(2,1/((#REF!=nov!$A47)*(#REF!&lt;=nov!I$3)*(#REF!&gt;=nov!I$3)),#REF!),IF(WEEKDAY(nov!I$3,1)=1,"WO","P"))</f>
        <v>P</v>
      </c>
      <c r="J47" s="4" t="str">
        <f>IFERROR(LOOKUP(2,1/((#REF!=nov!$A47)*(#REF!&lt;=nov!J$3)*(#REF!&gt;=nov!J$3)),#REF!),IF(WEEKDAY(nov!J$3,1)=1,"WO","P"))</f>
        <v>P</v>
      </c>
      <c r="K47" s="4" t="str">
        <f>IFERROR(LOOKUP(2,1/((#REF!=nov!$A47)*(#REF!&lt;=nov!K$3)*(#REF!&gt;=nov!K$3)),#REF!),IF(WEEKDAY(nov!K$3,1)=1,"WO","P"))</f>
        <v>P</v>
      </c>
      <c r="L47" s="4" t="str">
        <f>IFERROR(LOOKUP(2,1/((#REF!=nov!$A47)*(#REF!&lt;=nov!L$3)*(#REF!&gt;=nov!L$3)),#REF!),IF(WEEKDAY(nov!L$3,1)=1,"WO","P"))</f>
        <v>P</v>
      </c>
      <c r="M47" s="4" t="str">
        <f>IFERROR(LOOKUP(2,1/((#REF!=nov!$A47)*(#REF!&lt;=nov!M$3)*(#REF!&gt;=nov!M$3)),#REF!),IF(WEEKDAY(nov!M$3,1)=1,"WO","P"))</f>
        <v>WO</v>
      </c>
      <c r="N47" s="4" t="str">
        <f>IFERROR(LOOKUP(2,1/((#REF!=nov!$A47)*(#REF!&lt;=nov!N$3)*(#REF!&gt;=nov!N$3)),#REF!),IF(WEEKDAY(nov!N$3,1)=1,"WO","P"))</f>
        <v>P</v>
      </c>
      <c r="O47" s="4" t="str">
        <f>IFERROR(LOOKUP(2,1/((#REF!=nov!$A47)*(#REF!&lt;=nov!O$3)*(#REF!&gt;=nov!O$3)),#REF!),IF(WEEKDAY(nov!O$3,1)=1,"WO","P"))</f>
        <v>P</v>
      </c>
      <c r="P47" s="4" t="str">
        <f>IFERROR(LOOKUP(2,1/((#REF!=nov!$A47)*(#REF!&lt;=nov!P$3)*(#REF!&gt;=nov!P$3)),#REF!),IF(WEEKDAY(nov!P$3,1)=1,"WO","P"))</f>
        <v>P</v>
      </c>
      <c r="Q47" s="4" t="str">
        <f>IFERROR(LOOKUP(2,1/((#REF!=nov!$A47)*(#REF!&lt;=nov!Q$3)*(#REF!&gt;=nov!Q$3)),#REF!),IF(WEEKDAY(nov!Q$3,1)=1,"WO","P"))</f>
        <v>P</v>
      </c>
      <c r="R47" s="4" t="str">
        <f>IFERROR(LOOKUP(2,1/((#REF!=nov!$A47)*(#REF!&lt;=nov!R$3)*(#REF!&gt;=nov!R$3)),#REF!),IF(WEEKDAY(nov!R$3,1)=1,"WO","P"))</f>
        <v>P</v>
      </c>
      <c r="S47" s="4" t="str">
        <f>IFERROR(LOOKUP(2,1/((#REF!=nov!$A47)*(#REF!&lt;=nov!S$3)*(#REF!&gt;=nov!S$3)),#REF!),IF(WEEKDAY(nov!S$3,1)=1,"WO","P"))</f>
        <v>P</v>
      </c>
      <c r="T47" s="4" t="str">
        <f>IFERROR(LOOKUP(2,1/((#REF!=nov!$A47)*(#REF!&lt;=nov!T$3)*(#REF!&gt;=nov!T$3)),#REF!),IF(WEEKDAY(nov!T$3,1)=1,"WO","P"))</f>
        <v>WO</v>
      </c>
      <c r="U47" s="4" t="str">
        <f>IFERROR(LOOKUP(2,1/((#REF!=nov!$A47)*(#REF!&lt;=nov!U$3)*(#REF!&gt;=nov!U$3)),#REF!),IF(WEEKDAY(nov!U$3,1)=1,"WO","P"))</f>
        <v>P</v>
      </c>
      <c r="V47" s="4" t="str">
        <f>IFERROR(LOOKUP(2,1/((#REF!=nov!$A47)*(#REF!&lt;=nov!V$3)*(#REF!&gt;=nov!V$3)),#REF!),IF(WEEKDAY(nov!V$3,1)=1,"WO","P"))</f>
        <v>P</v>
      </c>
      <c r="W47" s="4" t="str">
        <f>IFERROR(LOOKUP(2,1/((#REF!=nov!$A47)*(#REF!&lt;=nov!W$3)*(#REF!&gt;=nov!W$3)),#REF!),IF(WEEKDAY(nov!W$3,1)=1,"WO","P"))</f>
        <v>P</v>
      </c>
      <c r="X47" s="4" t="str">
        <f>IFERROR(LOOKUP(2,1/((#REF!=nov!$A47)*(#REF!&lt;=nov!X$3)*(#REF!&gt;=nov!X$3)),#REF!),IF(WEEKDAY(nov!X$3,1)=1,"WO","P"))</f>
        <v>P</v>
      </c>
      <c r="Y47" s="4" t="str">
        <f>IFERROR(LOOKUP(2,1/((#REF!=nov!$A47)*(#REF!&lt;=nov!Y$3)*(#REF!&gt;=nov!Y$3)),#REF!),IF(WEEKDAY(nov!Y$3,1)=1,"WO","P"))</f>
        <v>P</v>
      </c>
      <c r="Z47" s="4" t="str">
        <f>IFERROR(LOOKUP(2,1/((#REF!=nov!$A47)*(#REF!&lt;=nov!Z$3)*(#REF!&gt;=nov!Z$3)),#REF!),IF(WEEKDAY(nov!Z$3,1)=1,"WO","P"))</f>
        <v>P</v>
      </c>
      <c r="AA47" s="4" t="str">
        <f>IFERROR(LOOKUP(2,1/((#REF!=nov!$A47)*(#REF!&lt;=nov!AA$3)*(#REF!&gt;=nov!AA$3)),#REF!),IF(WEEKDAY(nov!AA$3,1)=1,"WO","P"))</f>
        <v>WO</v>
      </c>
      <c r="AB47" s="4" t="str">
        <f>IFERROR(LOOKUP(2,1/((#REF!=nov!$A47)*(#REF!&lt;=nov!AB$3)*(#REF!&gt;=nov!AB$3)),#REF!),IF(WEEKDAY(nov!AB$3,1)=1,"WO","P"))</f>
        <v>P</v>
      </c>
      <c r="AC47" s="4" t="str">
        <f>IFERROR(LOOKUP(2,1/((#REF!=nov!$A47)*(#REF!&lt;=nov!AC$3)*(#REF!&gt;=nov!AC$3)),#REF!),IF(WEEKDAY(nov!AC$3,1)=1,"WO","P"))</f>
        <v>P</v>
      </c>
      <c r="AD47" s="4" t="str">
        <f>IFERROR(LOOKUP(2,1/((#REF!=nov!$A47)*(#REF!&lt;=nov!AD$3)*(#REF!&gt;=nov!AD$3)),#REF!),IF(WEEKDAY(nov!AD$3,1)=1,"WO","P"))</f>
        <v>P</v>
      </c>
      <c r="AE47" s="4" t="str">
        <f>IFERROR(LOOKUP(2,1/((#REF!=nov!$A47)*(#REF!&lt;=nov!AE$3)*(#REF!&gt;=nov!AE$3)),#REF!),IF(WEEKDAY(nov!AE$3,1)=1,"WO","P"))</f>
        <v>P</v>
      </c>
      <c r="AF47" s="4" t="str">
        <f>IFERROR(LOOKUP(2,1/((#REF!=nov!$A47)*(#REF!&lt;=nov!AF$3)*(#REF!&gt;=nov!AF$3)),#REF!),IF(WEEKDAY(nov!AF$3,1)=1,"WO","P"))</f>
        <v>P</v>
      </c>
      <c r="AG47" s="4" t="str">
        <f>IFERROR(LOOKUP(2,1/((#REF!=nov!$A47)*(#REF!&lt;=nov!AG$3)*(#REF!&gt;=nov!AG$3)),#REF!),IF(WEEKDAY(nov!AG$3,1)=1,"WO","P"))</f>
        <v>P</v>
      </c>
      <c r="AH47" s="4" t="str">
        <f>IFERROR(LOOKUP(2,1/((#REF!=nov!$A47)*(#REF!&lt;=nov!AH$3)*(#REF!&gt;=nov!AH$3)),#REF!),IF(WEEKDAY(nov!AH$3,1)=1,"WO","P"))</f>
        <v>WO</v>
      </c>
      <c r="AI47" s="4" t="str">
        <f>IFERROR(LOOKUP(2,1/((#REF!=nov!$A47)*(#REF!&lt;=nov!AI$3)*(#REF!&gt;=nov!AI$3)),#REF!),IF(WEEKDAY(nov!AI$3,1)=1,"WO","P"))</f>
        <v>P</v>
      </c>
      <c r="AJ47" s="4">
        <f>COUNTIF(mar!$F47:$AJ47,"WO")</f>
        <v>5</v>
      </c>
      <c r="AK47" s="4">
        <f>COUNTIF(mar!$F47:$AJ47,"H")</f>
        <v>2</v>
      </c>
      <c r="AL47" s="4">
        <f>COUNTIF(mar!$F47:$AJ47,"pl")</f>
        <v>0</v>
      </c>
      <c r="AM47" s="4">
        <f>COUNTIF(mar!$F47:$AJ47,"LWP")</f>
        <v>0</v>
      </c>
      <c r="AN47" s="4">
        <f>COUNTIF(mar!$F47:$AJ47,"HD")</f>
        <v>0</v>
      </c>
      <c r="AO47" s="4">
        <f>COUNTIF(mar!$F47:$AJ47,"SL")</f>
        <v>0</v>
      </c>
      <c r="AP47" s="4">
        <f>COUNTIF(mar!$F47:$AJ47,"CL")</f>
        <v>0</v>
      </c>
      <c r="AQ47" s="4">
        <f>COUNTIF(mar!$F47:$AJ47,"A")</f>
        <v>0</v>
      </c>
      <c r="AR47" s="4">
        <f>COUNTIF(mar!$F47:$AJ47,"P")</f>
        <v>24</v>
      </c>
      <c r="AS47" s="4">
        <f t="shared" si="4"/>
        <v>30</v>
      </c>
      <c r="AT47" s="4">
        <f t="shared" si="3"/>
        <v>31</v>
      </c>
      <c r="AU47" s="4">
        <f>SUMIFS(holly!$L$2:$L$122,holly!$I$2:$I$122,mar!$A47,holly!$K$2:$K$122,"Mar")</f>
        <v>0</v>
      </c>
    </row>
    <row r="48" spans="1:47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IFERROR(LOOKUP(2,1/((#REF!=nov!$A48)*(#REF!&lt;=nov!F$3)*(#REF!&gt;=nov!F$3)),#REF!),IF(WEEKDAY(nov!F$3,1)=1,"WO","P"))</f>
        <v>WO</v>
      </c>
      <c r="G48" s="4" t="str">
        <f>IFERROR(LOOKUP(2,1/((#REF!=nov!$A48)*(#REF!&lt;=nov!G$3)*(#REF!&gt;=nov!G$3)),#REF!),IF(WEEKDAY(nov!G$3,1)=1,"WO","P"))</f>
        <v>P</v>
      </c>
      <c r="H48" s="4" t="str">
        <f>IFERROR(LOOKUP(2,1/((#REF!=nov!$A48)*(#REF!&lt;=nov!H$3)*(#REF!&gt;=nov!H$3)),#REF!),IF(WEEKDAY(nov!H$3,1)=1,"WO","P"))</f>
        <v>P</v>
      </c>
      <c r="I48" s="4" t="str">
        <f>IFERROR(LOOKUP(2,1/((#REF!=nov!$A48)*(#REF!&lt;=nov!I$3)*(#REF!&gt;=nov!I$3)),#REF!),IF(WEEKDAY(nov!I$3,1)=1,"WO","P"))</f>
        <v>P</v>
      </c>
      <c r="J48" s="4" t="str">
        <f>IFERROR(LOOKUP(2,1/((#REF!=nov!$A48)*(#REF!&lt;=nov!J$3)*(#REF!&gt;=nov!J$3)),#REF!),IF(WEEKDAY(nov!J$3,1)=1,"WO","P"))</f>
        <v>P</v>
      </c>
      <c r="K48" s="4" t="str">
        <f>IFERROR(LOOKUP(2,1/((#REF!=nov!$A48)*(#REF!&lt;=nov!K$3)*(#REF!&gt;=nov!K$3)),#REF!),IF(WEEKDAY(nov!K$3,1)=1,"WO","P"))</f>
        <v>P</v>
      </c>
      <c r="L48" s="4" t="str">
        <f>IFERROR(LOOKUP(2,1/((#REF!=nov!$A48)*(#REF!&lt;=nov!L$3)*(#REF!&gt;=nov!L$3)),#REF!),IF(WEEKDAY(nov!L$3,1)=1,"WO","P"))</f>
        <v>P</v>
      </c>
      <c r="M48" s="4" t="str">
        <f>IFERROR(LOOKUP(2,1/((#REF!=nov!$A48)*(#REF!&lt;=nov!M$3)*(#REF!&gt;=nov!M$3)),#REF!),IF(WEEKDAY(nov!M$3,1)=1,"WO","P"))</f>
        <v>WO</v>
      </c>
      <c r="N48" s="4" t="str">
        <f>IFERROR(LOOKUP(2,1/((#REF!=nov!$A48)*(#REF!&lt;=nov!N$3)*(#REF!&gt;=nov!N$3)),#REF!),IF(WEEKDAY(nov!N$3,1)=1,"WO","P"))</f>
        <v>P</v>
      </c>
      <c r="O48" s="4" t="str">
        <f>IFERROR(LOOKUP(2,1/((#REF!=nov!$A48)*(#REF!&lt;=nov!O$3)*(#REF!&gt;=nov!O$3)),#REF!),IF(WEEKDAY(nov!O$3,1)=1,"WO","P"))</f>
        <v>P</v>
      </c>
      <c r="P48" s="4" t="str">
        <f>IFERROR(LOOKUP(2,1/((#REF!=nov!$A48)*(#REF!&lt;=nov!P$3)*(#REF!&gt;=nov!P$3)),#REF!),IF(WEEKDAY(nov!P$3,1)=1,"WO","P"))</f>
        <v>P</v>
      </c>
      <c r="Q48" s="4" t="str">
        <f>IFERROR(LOOKUP(2,1/((#REF!=nov!$A48)*(#REF!&lt;=nov!Q$3)*(#REF!&gt;=nov!Q$3)),#REF!),IF(WEEKDAY(nov!Q$3,1)=1,"WO","P"))</f>
        <v>P</v>
      </c>
      <c r="R48" s="4" t="str">
        <f>IFERROR(LOOKUP(2,1/((#REF!=nov!$A48)*(#REF!&lt;=nov!R$3)*(#REF!&gt;=nov!R$3)),#REF!),IF(WEEKDAY(nov!R$3,1)=1,"WO","P"))</f>
        <v>P</v>
      </c>
      <c r="S48" s="4" t="str">
        <f>IFERROR(LOOKUP(2,1/((#REF!=nov!$A48)*(#REF!&lt;=nov!S$3)*(#REF!&gt;=nov!S$3)),#REF!),IF(WEEKDAY(nov!S$3,1)=1,"WO","P"))</f>
        <v>P</v>
      </c>
      <c r="T48" s="4" t="str">
        <f>IFERROR(LOOKUP(2,1/((#REF!=nov!$A48)*(#REF!&lt;=nov!T$3)*(#REF!&gt;=nov!T$3)),#REF!),IF(WEEKDAY(nov!T$3,1)=1,"WO","P"))</f>
        <v>WO</v>
      </c>
      <c r="U48" s="4" t="str">
        <f>IFERROR(LOOKUP(2,1/((#REF!=nov!$A48)*(#REF!&lt;=nov!U$3)*(#REF!&gt;=nov!U$3)),#REF!),IF(WEEKDAY(nov!U$3,1)=1,"WO","P"))</f>
        <v>P</v>
      </c>
      <c r="V48" s="4" t="str">
        <f>IFERROR(LOOKUP(2,1/((#REF!=nov!$A48)*(#REF!&lt;=nov!V$3)*(#REF!&gt;=nov!V$3)),#REF!),IF(WEEKDAY(nov!V$3,1)=1,"WO","P"))</f>
        <v>P</v>
      </c>
      <c r="W48" s="4" t="str">
        <f>IFERROR(LOOKUP(2,1/((#REF!=nov!$A48)*(#REF!&lt;=nov!W$3)*(#REF!&gt;=nov!W$3)),#REF!),IF(WEEKDAY(nov!W$3,1)=1,"WO","P"))</f>
        <v>P</v>
      </c>
      <c r="X48" s="4" t="str">
        <f>IFERROR(LOOKUP(2,1/((#REF!=nov!$A48)*(#REF!&lt;=nov!X$3)*(#REF!&gt;=nov!X$3)),#REF!),IF(WEEKDAY(nov!X$3,1)=1,"WO","P"))</f>
        <v>P</v>
      </c>
      <c r="Y48" s="4" t="str">
        <f>IFERROR(LOOKUP(2,1/((#REF!=nov!$A48)*(#REF!&lt;=nov!Y$3)*(#REF!&gt;=nov!Y$3)),#REF!),IF(WEEKDAY(nov!Y$3,1)=1,"WO","P"))</f>
        <v>P</v>
      </c>
      <c r="Z48" s="4" t="str">
        <f>IFERROR(LOOKUP(2,1/((#REF!=nov!$A48)*(#REF!&lt;=nov!Z$3)*(#REF!&gt;=nov!Z$3)),#REF!),IF(WEEKDAY(nov!Z$3,1)=1,"WO","P"))</f>
        <v>P</v>
      </c>
      <c r="AA48" s="4" t="str">
        <f>IFERROR(LOOKUP(2,1/((#REF!=nov!$A48)*(#REF!&lt;=nov!AA$3)*(#REF!&gt;=nov!AA$3)),#REF!),IF(WEEKDAY(nov!AA$3,1)=1,"WO","P"))</f>
        <v>WO</v>
      </c>
      <c r="AB48" s="4" t="str">
        <f>IFERROR(LOOKUP(2,1/((#REF!=nov!$A48)*(#REF!&lt;=nov!AB$3)*(#REF!&gt;=nov!AB$3)),#REF!),IF(WEEKDAY(nov!AB$3,1)=1,"WO","P"))</f>
        <v>P</v>
      </c>
      <c r="AC48" s="4" t="str">
        <f>IFERROR(LOOKUP(2,1/((#REF!=nov!$A48)*(#REF!&lt;=nov!AC$3)*(#REF!&gt;=nov!AC$3)),#REF!),IF(WEEKDAY(nov!AC$3,1)=1,"WO","P"))</f>
        <v>P</v>
      </c>
      <c r="AD48" s="4" t="str">
        <f>IFERROR(LOOKUP(2,1/((#REF!=nov!$A48)*(#REF!&lt;=nov!AD$3)*(#REF!&gt;=nov!AD$3)),#REF!),IF(WEEKDAY(nov!AD$3,1)=1,"WO","P"))</f>
        <v>P</v>
      </c>
      <c r="AE48" s="4" t="str">
        <f>IFERROR(LOOKUP(2,1/((#REF!=nov!$A48)*(#REF!&lt;=nov!AE$3)*(#REF!&gt;=nov!AE$3)),#REF!),IF(WEEKDAY(nov!AE$3,1)=1,"WO","P"))</f>
        <v>P</v>
      </c>
      <c r="AF48" s="4" t="str">
        <f>IFERROR(LOOKUP(2,1/((#REF!=nov!$A48)*(#REF!&lt;=nov!AF$3)*(#REF!&gt;=nov!AF$3)),#REF!),IF(WEEKDAY(nov!AF$3,1)=1,"WO","P"))</f>
        <v>P</v>
      </c>
      <c r="AG48" s="4" t="str">
        <f>IFERROR(LOOKUP(2,1/((#REF!=nov!$A48)*(#REF!&lt;=nov!AG$3)*(#REF!&gt;=nov!AG$3)),#REF!),IF(WEEKDAY(nov!AG$3,1)=1,"WO","P"))</f>
        <v>P</v>
      </c>
      <c r="AH48" s="4" t="str">
        <f>IFERROR(LOOKUP(2,1/((#REF!=nov!$A48)*(#REF!&lt;=nov!AH$3)*(#REF!&gt;=nov!AH$3)),#REF!),IF(WEEKDAY(nov!AH$3,1)=1,"WO","P"))</f>
        <v>WO</v>
      </c>
      <c r="AI48" s="4" t="str">
        <f>IFERROR(LOOKUP(2,1/((#REF!=nov!$A48)*(#REF!&lt;=nov!AI$3)*(#REF!&gt;=nov!AI$3)),#REF!),IF(WEEKDAY(nov!AI$3,1)=1,"WO","P"))</f>
        <v>P</v>
      </c>
      <c r="AJ48" s="4">
        <f>COUNTIF(mar!$F48:$AJ48,"WO")</f>
        <v>5</v>
      </c>
      <c r="AK48" s="4">
        <f>COUNTIF(mar!$F48:$AJ48,"H")</f>
        <v>2</v>
      </c>
      <c r="AL48" s="4">
        <f>COUNTIF(mar!$F48:$AJ48,"pl")</f>
        <v>0</v>
      </c>
      <c r="AM48" s="4">
        <f>COUNTIF(mar!$F48:$AJ48,"LWP")</f>
        <v>0</v>
      </c>
      <c r="AN48" s="4">
        <f>COUNTIF(mar!$F48:$AJ48,"HD")</f>
        <v>0</v>
      </c>
      <c r="AO48" s="4">
        <f>COUNTIF(mar!$F48:$AJ48,"SL")</f>
        <v>0</v>
      </c>
      <c r="AP48" s="4">
        <f>COUNTIF(mar!$F48:$AJ48,"CL")</f>
        <v>0</v>
      </c>
      <c r="AQ48" s="4">
        <f>COUNTIF(mar!$F48:$AJ48,"A")</f>
        <v>2</v>
      </c>
      <c r="AR48" s="4">
        <f>COUNTIF(mar!$F48:$AJ48,"P")</f>
        <v>22</v>
      </c>
      <c r="AS48" s="4">
        <f t="shared" si="4"/>
        <v>30</v>
      </c>
      <c r="AT48" s="4">
        <f t="shared" si="3"/>
        <v>29</v>
      </c>
      <c r="AU48" s="4">
        <f>SUMIFS(holly!$L$2:$L$122,holly!$I$2:$I$122,mar!$A48,holly!$K$2:$K$122,"Mar")</f>
        <v>0</v>
      </c>
    </row>
    <row r="49" spans="1:47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IFERROR(LOOKUP(2,1/((#REF!=nov!$A49)*(#REF!&lt;=nov!F$3)*(#REF!&gt;=nov!F$3)),#REF!),IF(WEEKDAY(nov!F$3,1)=1,"WO","P"))</f>
        <v>WO</v>
      </c>
      <c r="G49" s="4" t="str">
        <f>IFERROR(LOOKUP(2,1/((#REF!=nov!$A49)*(#REF!&lt;=nov!G$3)*(#REF!&gt;=nov!G$3)),#REF!),IF(WEEKDAY(nov!G$3,1)=1,"WO","P"))</f>
        <v>P</v>
      </c>
      <c r="H49" s="4" t="str">
        <f>IFERROR(LOOKUP(2,1/((#REF!=nov!$A49)*(#REF!&lt;=nov!H$3)*(#REF!&gt;=nov!H$3)),#REF!),IF(WEEKDAY(nov!H$3,1)=1,"WO","P"))</f>
        <v>P</v>
      </c>
      <c r="I49" s="4" t="str">
        <f>IFERROR(LOOKUP(2,1/((#REF!=nov!$A49)*(#REF!&lt;=nov!I$3)*(#REF!&gt;=nov!I$3)),#REF!),IF(WEEKDAY(nov!I$3,1)=1,"WO","P"))</f>
        <v>P</v>
      </c>
      <c r="J49" s="4" t="str">
        <f>IFERROR(LOOKUP(2,1/((#REF!=nov!$A49)*(#REF!&lt;=nov!J$3)*(#REF!&gt;=nov!J$3)),#REF!),IF(WEEKDAY(nov!J$3,1)=1,"WO","P"))</f>
        <v>P</v>
      </c>
      <c r="K49" s="4" t="str">
        <f>IFERROR(LOOKUP(2,1/((#REF!=nov!$A49)*(#REF!&lt;=nov!K$3)*(#REF!&gt;=nov!K$3)),#REF!),IF(WEEKDAY(nov!K$3,1)=1,"WO","P"))</f>
        <v>P</v>
      </c>
      <c r="L49" s="4" t="str">
        <f>IFERROR(LOOKUP(2,1/((#REF!=nov!$A49)*(#REF!&lt;=nov!L$3)*(#REF!&gt;=nov!L$3)),#REF!),IF(WEEKDAY(nov!L$3,1)=1,"WO","P"))</f>
        <v>P</v>
      </c>
      <c r="M49" s="4" t="str">
        <f>IFERROR(LOOKUP(2,1/((#REF!=nov!$A49)*(#REF!&lt;=nov!M$3)*(#REF!&gt;=nov!M$3)),#REF!),IF(WEEKDAY(nov!M$3,1)=1,"WO","P"))</f>
        <v>WO</v>
      </c>
      <c r="N49" s="4" t="str">
        <f>IFERROR(LOOKUP(2,1/((#REF!=nov!$A49)*(#REF!&lt;=nov!N$3)*(#REF!&gt;=nov!N$3)),#REF!),IF(WEEKDAY(nov!N$3,1)=1,"WO","P"))</f>
        <v>P</v>
      </c>
      <c r="O49" s="4" t="str">
        <f>IFERROR(LOOKUP(2,1/((#REF!=nov!$A49)*(#REF!&lt;=nov!O$3)*(#REF!&gt;=nov!O$3)),#REF!),IF(WEEKDAY(nov!O$3,1)=1,"WO","P"))</f>
        <v>P</v>
      </c>
      <c r="P49" s="4" t="str">
        <f>IFERROR(LOOKUP(2,1/((#REF!=nov!$A49)*(#REF!&lt;=nov!P$3)*(#REF!&gt;=nov!P$3)),#REF!),IF(WEEKDAY(nov!P$3,1)=1,"WO","P"))</f>
        <v>P</v>
      </c>
      <c r="Q49" s="4" t="str">
        <f>IFERROR(LOOKUP(2,1/((#REF!=nov!$A49)*(#REF!&lt;=nov!Q$3)*(#REF!&gt;=nov!Q$3)),#REF!),IF(WEEKDAY(nov!Q$3,1)=1,"WO","P"))</f>
        <v>P</v>
      </c>
      <c r="R49" s="4" t="str">
        <f>IFERROR(LOOKUP(2,1/((#REF!=nov!$A49)*(#REF!&lt;=nov!R$3)*(#REF!&gt;=nov!R$3)),#REF!),IF(WEEKDAY(nov!R$3,1)=1,"WO","P"))</f>
        <v>P</v>
      </c>
      <c r="S49" s="4" t="str">
        <f>IFERROR(LOOKUP(2,1/((#REF!=nov!$A49)*(#REF!&lt;=nov!S$3)*(#REF!&gt;=nov!S$3)),#REF!),IF(WEEKDAY(nov!S$3,1)=1,"WO","P"))</f>
        <v>P</v>
      </c>
      <c r="T49" s="4" t="str">
        <f>IFERROR(LOOKUP(2,1/((#REF!=nov!$A49)*(#REF!&lt;=nov!T$3)*(#REF!&gt;=nov!T$3)),#REF!),IF(WEEKDAY(nov!T$3,1)=1,"WO","P"))</f>
        <v>WO</v>
      </c>
      <c r="U49" s="4" t="str">
        <f>IFERROR(LOOKUP(2,1/((#REF!=nov!$A49)*(#REF!&lt;=nov!U$3)*(#REF!&gt;=nov!U$3)),#REF!),IF(WEEKDAY(nov!U$3,1)=1,"WO","P"))</f>
        <v>P</v>
      </c>
      <c r="V49" s="4" t="str">
        <f>IFERROR(LOOKUP(2,1/((#REF!=nov!$A49)*(#REF!&lt;=nov!V$3)*(#REF!&gt;=nov!V$3)),#REF!),IF(WEEKDAY(nov!V$3,1)=1,"WO","P"))</f>
        <v>P</v>
      </c>
      <c r="W49" s="4" t="str">
        <f>IFERROR(LOOKUP(2,1/((#REF!=nov!$A49)*(#REF!&lt;=nov!W$3)*(#REF!&gt;=nov!W$3)),#REF!),IF(WEEKDAY(nov!W$3,1)=1,"WO","P"))</f>
        <v>P</v>
      </c>
      <c r="X49" s="4" t="str">
        <f>IFERROR(LOOKUP(2,1/((#REF!=nov!$A49)*(#REF!&lt;=nov!X$3)*(#REF!&gt;=nov!X$3)),#REF!),IF(WEEKDAY(nov!X$3,1)=1,"WO","P"))</f>
        <v>P</v>
      </c>
      <c r="Y49" s="4" t="str">
        <f>IFERROR(LOOKUP(2,1/((#REF!=nov!$A49)*(#REF!&lt;=nov!Y$3)*(#REF!&gt;=nov!Y$3)),#REF!),IF(WEEKDAY(nov!Y$3,1)=1,"WO","P"))</f>
        <v>P</v>
      </c>
      <c r="Z49" s="4" t="str">
        <f>IFERROR(LOOKUP(2,1/((#REF!=nov!$A49)*(#REF!&lt;=nov!Z$3)*(#REF!&gt;=nov!Z$3)),#REF!),IF(WEEKDAY(nov!Z$3,1)=1,"WO","P"))</f>
        <v>P</v>
      </c>
      <c r="AA49" s="4" t="str">
        <f>IFERROR(LOOKUP(2,1/((#REF!=nov!$A49)*(#REF!&lt;=nov!AA$3)*(#REF!&gt;=nov!AA$3)),#REF!),IF(WEEKDAY(nov!AA$3,1)=1,"WO","P"))</f>
        <v>WO</v>
      </c>
      <c r="AB49" s="4" t="str">
        <f>IFERROR(LOOKUP(2,1/((#REF!=nov!$A49)*(#REF!&lt;=nov!AB$3)*(#REF!&gt;=nov!AB$3)),#REF!),IF(WEEKDAY(nov!AB$3,1)=1,"WO","P"))</f>
        <v>P</v>
      </c>
      <c r="AC49" s="4" t="str">
        <f>IFERROR(LOOKUP(2,1/((#REF!=nov!$A49)*(#REF!&lt;=nov!AC$3)*(#REF!&gt;=nov!AC$3)),#REF!),IF(WEEKDAY(nov!AC$3,1)=1,"WO","P"))</f>
        <v>P</v>
      </c>
      <c r="AD49" s="4" t="str">
        <f>IFERROR(LOOKUP(2,1/((#REF!=nov!$A49)*(#REF!&lt;=nov!AD$3)*(#REF!&gt;=nov!AD$3)),#REF!),IF(WEEKDAY(nov!AD$3,1)=1,"WO","P"))</f>
        <v>P</v>
      </c>
      <c r="AE49" s="4" t="str">
        <f>IFERROR(LOOKUP(2,1/((#REF!=nov!$A49)*(#REF!&lt;=nov!AE$3)*(#REF!&gt;=nov!AE$3)),#REF!),IF(WEEKDAY(nov!AE$3,1)=1,"WO","P"))</f>
        <v>P</v>
      </c>
      <c r="AF49" s="4" t="str">
        <f>IFERROR(LOOKUP(2,1/((#REF!=nov!$A49)*(#REF!&lt;=nov!AF$3)*(#REF!&gt;=nov!AF$3)),#REF!),IF(WEEKDAY(nov!AF$3,1)=1,"WO","P"))</f>
        <v>P</v>
      </c>
      <c r="AG49" s="4" t="str">
        <f>IFERROR(LOOKUP(2,1/((#REF!=nov!$A49)*(#REF!&lt;=nov!AG$3)*(#REF!&gt;=nov!AG$3)),#REF!),IF(WEEKDAY(nov!AG$3,1)=1,"WO","P"))</f>
        <v>P</v>
      </c>
      <c r="AH49" s="4" t="str">
        <f>IFERROR(LOOKUP(2,1/((#REF!=nov!$A49)*(#REF!&lt;=nov!AH$3)*(#REF!&gt;=nov!AH$3)),#REF!),IF(WEEKDAY(nov!AH$3,1)=1,"WO","P"))</f>
        <v>WO</v>
      </c>
      <c r="AI49" s="4" t="str">
        <f>IFERROR(LOOKUP(2,1/((#REF!=nov!$A49)*(#REF!&lt;=nov!AI$3)*(#REF!&gt;=nov!AI$3)),#REF!),IF(WEEKDAY(nov!AI$3,1)=1,"WO","P"))</f>
        <v>P</v>
      </c>
      <c r="AJ49" s="4">
        <f>COUNTIF(mar!$F49:$AJ49,"WO")</f>
        <v>5</v>
      </c>
      <c r="AK49" s="4">
        <f>COUNTIF(mar!$F49:$AJ49,"H")</f>
        <v>2</v>
      </c>
      <c r="AL49" s="4">
        <f>COUNTIF(mar!$F49:$AJ49,"pl")</f>
        <v>0</v>
      </c>
      <c r="AM49" s="4">
        <f>COUNTIF(mar!$F49:$AJ49,"LWP")</f>
        <v>0</v>
      </c>
      <c r="AN49" s="4">
        <f>COUNTIF(mar!$F49:$AJ49,"HD")</f>
        <v>0</v>
      </c>
      <c r="AO49" s="4">
        <f>COUNTIF(mar!$F49:$AJ49,"SL")</f>
        <v>0</v>
      </c>
      <c r="AP49" s="4">
        <f>COUNTIF(mar!$F49:$AJ49,"CL")</f>
        <v>0</v>
      </c>
      <c r="AQ49" s="4">
        <f>COUNTIF(mar!$F49:$AJ49,"A")</f>
        <v>0</v>
      </c>
      <c r="AR49" s="4">
        <f>COUNTIF(mar!$F49:$AJ49,"P")</f>
        <v>24</v>
      </c>
      <c r="AS49" s="4">
        <f t="shared" si="4"/>
        <v>30</v>
      </c>
      <c r="AT49" s="4">
        <f t="shared" si="3"/>
        <v>31</v>
      </c>
      <c r="AU49" s="4">
        <f>SUMIFS(holly!$L$2:$L$122,holly!$I$2:$I$122,mar!$A49,holly!$K$2:$K$122,"Mar")</f>
        <v>0</v>
      </c>
    </row>
    <row r="50" spans="1:47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IFERROR(LOOKUP(2,1/((#REF!=nov!$A50)*(#REF!&lt;=nov!F$3)*(#REF!&gt;=nov!F$3)),#REF!),IF(WEEKDAY(nov!F$3,1)=1,"WO","P"))</f>
        <v>WO</v>
      </c>
      <c r="G50" s="4" t="str">
        <f>IFERROR(LOOKUP(2,1/((#REF!=nov!$A50)*(#REF!&lt;=nov!G$3)*(#REF!&gt;=nov!G$3)),#REF!),IF(WEEKDAY(nov!G$3,1)=1,"WO","P"))</f>
        <v>P</v>
      </c>
      <c r="H50" s="4" t="str">
        <f>IFERROR(LOOKUP(2,1/((#REF!=nov!$A50)*(#REF!&lt;=nov!H$3)*(#REF!&gt;=nov!H$3)),#REF!),IF(WEEKDAY(nov!H$3,1)=1,"WO","P"))</f>
        <v>P</v>
      </c>
      <c r="I50" s="4" t="str">
        <f>IFERROR(LOOKUP(2,1/((#REF!=nov!$A50)*(#REF!&lt;=nov!I$3)*(#REF!&gt;=nov!I$3)),#REF!),IF(WEEKDAY(nov!I$3,1)=1,"WO","P"))</f>
        <v>P</v>
      </c>
      <c r="J50" s="4" t="str">
        <f>IFERROR(LOOKUP(2,1/((#REF!=nov!$A50)*(#REF!&lt;=nov!J$3)*(#REF!&gt;=nov!J$3)),#REF!),IF(WEEKDAY(nov!J$3,1)=1,"WO","P"))</f>
        <v>P</v>
      </c>
      <c r="K50" s="4" t="str">
        <f>IFERROR(LOOKUP(2,1/((#REF!=nov!$A50)*(#REF!&lt;=nov!K$3)*(#REF!&gt;=nov!K$3)),#REF!),IF(WEEKDAY(nov!K$3,1)=1,"WO","P"))</f>
        <v>P</v>
      </c>
      <c r="L50" s="4" t="str">
        <f>IFERROR(LOOKUP(2,1/((#REF!=nov!$A50)*(#REF!&lt;=nov!L$3)*(#REF!&gt;=nov!L$3)),#REF!),IF(WEEKDAY(nov!L$3,1)=1,"WO","P"))</f>
        <v>P</v>
      </c>
      <c r="M50" s="4" t="str">
        <f>IFERROR(LOOKUP(2,1/((#REF!=nov!$A50)*(#REF!&lt;=nov!M$3)*(#REF!&gt;=nov!M$3)),#REF!),IF(WEEKDAY(nov!M$3,1)=1,"WO","P"))</f>
        <v>WO</v>
      </c>
      <c r="N50" s="4" t="str">
        <f>IFERROR(LOOKUP(2,1/((#REF!=nov!$A50)*(#REF!&lt;=nov!N$3)*(#REF!&gt;=nov!N$3)),#REF!),IF(WEEKDAY(nov!N$3,1)=1,"WO","P"))</f>
        <v>P</v>
      </c>
      <c r="O50" s="4" t="str">
        <f>IFERROR(LOOKUP(2,1/((#REF!=nov!$A50)*(#REF!&lt;=nov!O$3)*(#REF!&gt;=nov!O$3)),#REF!),IF(WEEKDAY(nov!O$3,1)=1,"WO","P"))</f>
        <v>P</v>
      </c>
      <c r="P50" s="4" t="str">
        <f>IFERROR(LOOKUP(2,1/((#REF!=nov!$A50)*(#REF!&lt;=nov!P$3)*(#REF!&gt;=nov!P$3)),#REF!),IF(WEEKDAY(nov!P$3,1)=1,"WO","P"))</f>
        <v>P</v>
      </c>
      <c r="Q50" s="4" t="str">
        <f>IFERROR(LOOKUP(2,1/((#REF!=nov!$A50)*(#REF!&lt;=nov!Q$3)*(#REF!&gt;=nov!Q$3)),#REF!),IF(WEEKDAY(nov!Q$3,1)=1,"WO","P"))</f>
        <v>P</v>
      </c>
      <c r="R50" s="4" t="str">
        <f>IFERROR(LOOKUP(2,1/((#REF!=nov!$A50)*(#REF!&lt;=nov!R$3)*(#REF!&gt;=nov!R$3)),#REF!),IF(WEEKDAY(nov!R$3,1)=1,"WO","P"))</f>
        <v>P</v>
      </c>
      <c r="S50" s="4" t="str">
        <f>IFERROR(LOOKUP(2,1/((#REF!=nov!$A50)*(#REF!&lt;=nov!S$3)*(#REF!&gt;=nov!S$3)),#REF!),IF(WEEKDAY(nov!S$3,1)=1,"WO","P"))</f>
        <v>P</v>
      </c>
      <c r="T50" s="4" t="str">
        <f>IFERROR(LOOKUP(2,1/((#REF!=nov!$A50)*(#REF!&lt;=nov!T$3)*(#REF!&gt;=nov!T$3)),#REF!),IF(WEEKDAY(nov!T$3,1)=1,"WO","P"))</f>
        <v>WO</v>
      </c>
      <c r="U50" s="4" t="str">
        <f>IFERROR(LOOKUP(2,1/((#REF!=nov!$A50)*(#REF!&lt;=nov!U$3)*(#REF!&gt;=nov!U$3)),#REF!),IF(WEEKDAY(nov!U$3,1)=1,"WO","P"))</f>
        <v>P</v>
      </c>
      <c r="V50" s="4" t="str">
        <f>IFERROR(LOOKUP(2,1/((#REF!=nov!$A50)*(#REF!&lt;=nov!V$3)*(#REF!&gt;=nov!V$3)),#REF!),IF(WEEKDAY(nov!V$3,1)=1,"WO","P"))</f>
        <v>P</v>
      </c>
      <c r="W50" s="4" t="str">
        <f>IFERROR(LOOKUP(2,1/((#REF!=nov!$A50)*(#REF!&lt;=nov!W$3)*(#REF!&gt;=nov!W$3)),#REF!),IF(WEEKDAY(nov!W$3,1)=1,"WO","P"))</f>
        <v>P</v>
      </c>
      <c r="X50" s="4" t="str">
        <f>IFERROR(LOOKUP(2,1/((#REF!=nov!$A50)*(#REF!&lt;=nov!X$3)*(#REF!&gt;=nov!X$3)),#REF!),IF(WEEKDAY(nov!X$3,1)=1,"WO","P"))</f>
        <v>P</v>
      </c>
      <c r="Y50" s="4" t="str">
        <f>IFERROR(LOOKUP(2,1/((#REF!=nov!$A50)*(#REF!&lt;=nov!Y$3)*(#REF!&gt;=nov!Y$3)),#REF!),IF(WEEKDAY(nov!Y$3,1)=1,"WO","P"))</f>
        <v>P</v>
      </c>
      <c r="Z50" s="4" t="str">
        <f>IFERROR(LOOKUP(2,1/((#REF!=nov!$A50)*(#REF!&lt;=nov!Z$3)*(#REF!&gt;=nov!Z$3)),#REF!),IF(WEEKDAY(nov!Z$3,1)=1,"WO","P"))</f>
        <v>P</v>
      </c>
      <c r="AA50" s="4" t="str">
        <f>IFERROR(LOOKUP(2,1/((#REF!=nov!$A50)*(#REF!&lt;=nov!AA$3)*(#REF!&gt;=nov!AA$3)),#REF!),IF(WEEKDAY(nov!AA$3,1)=1,"WO","P"))</f>
        <v>WO</v>
      </c>
      <c r="AB50" s="4" t="str">
        <f>IFERROR(LOOKUP(2,1/((#REF!=nov!$A50)*(#REF!&lt;=nov!AB$3)*(#REF!&gt;=nov!AB$3)),#REF!),IF(WEEKDAY(nov!AB$3,1)=1,"WO","P"))</f>
        <v>P</v>
      </c>
      <c r="AC50" s="4" t="str">
        <f>IFERROR(LOOKUP(2,1/((#REF!=nov!$A50)*(#REF!&lt;=nov!AC$3)*(#REF!&gt;=nov!AC$3)),#REF!),IF(WEEKDAY(nov!AC$3,1)=1,"WO","P"))</f>
        <v>P</v>
      </c>
      <c r="AD50" s="4" t="str">
        <f>IFERROR(LOOKUP(2,1/((#REF!=nov!$A50)*(#REF!&lt;=nov!AD$3)*(#REF!&gt;=nov!AD$3)),#REF!),IF(WEEKDAY(nov!AD$3,1)=1,"WO","P"))</f>
        <v>P</v>
      </c>
      <c r="AE50" s="4" t="str">
        <f>IFERROR(LOOKUP(2,1/((#REF!=nov!$A50)*(#REF!&lt;=nov!AE$3)*(#REF!&gt;=nov!AE$3)),#REF!),IF(WEEKDAY(nov!AE$3,1)=1,"WO","P"))</f>
        <v>P</v>
      </c>
      <c r="AF50" s="4" t="str">
        <f>IFERROR(LOOKUP(2,1/((#REF!=nov!$A50)*(#REF!&lt;=nov!AF$3)*(#REF!&gt;=nov!AF$3)),#REF!),IF(WEEKDAY(nov!AF$3,1)=1,"WO","P"))</f>
        <v>P</v>
      </c>
      <c r="AG50" s="4" t="str">
        <f>IFERROR(LOOKUP(2,1/((#REF!=nov!$A50)*(#REF!&lt;=nov!AG$3)*(#REF!&gt;=nov!AG$3)),#REF!),IF(WEEKDAY(nov!AG$3,1)=1,"WO","P"))</f>
        <v>P</v>
      </c>
      <c r="AH50" s="4" t="str">
        <f>IFERROR(LOOKUP(2,1/((#REF!=nov!$A50)*(#REF!&lt;=nov!AH$3)*(#REF!&gt;=nov!AH$3)),#REF!),IF(WEEKDAY(nov!AH$3,1)=1,"WO","P"))</f>
        <v>WO</v>
      </c>
      <c r="AI50" s="4" t="str">
        <f>IFERROR(LOOKUP(2,1/((#REF!=nov!$A50)*(#REF!&lt;=nov!AI$3)*(#REF!&gt;=nov!AI$3)),#REF!),IF(WEEKDAY(nov!AI$3,1)=1,"WO","P"))</f>
        <v>P</v>
      </c>
      <c r="AJ50" s="4">
        <f>COUNTIF(mar!$F50:$AJ50,"WO")</f>
        <v>5</v>
      </c>
      <c r="AK50" s="4">
        <f>COUNTIF(mar!$F50:$AJ50,"H")</f>
        <v>2</v>
      </c>
      <c r="AL50" s="4">
        <f>COUNTIF(mar!$F50:$AJ50,"pl")</f>
        <v>0</v>
      </c>
      <c r="AM50" s="4">
        <f>COUNTIF(mar!$F50:$AJ50,"LWP")</f>
        <v>0</v>
      </c>
      <c r="AN50" s="4">
        <f>COUNTIF(mar!$F50:$AJ50,"HD")</f>
        <v>0</v>
      </c>
      <c r="AO50" s="4">
        <f>COUNTIF(mar!$F50:$AJ50,"SL")</f>
        <v>0</v>
      </c>
      <c r="AP50" s="4">
        <f>COUNTIF(mar!$F50:$AJ50,"CL")</f>
        <v>0</v>
      </c>
      <c r="AQ50" s="4">
        <f>COUNTIF(mar!$F50:$AJ50,"A")</f>
        <v>1</v>
      </c>
      <c r="AR50" s="4">
        <f>COUNTIF(mar!$F50:$AJ50,"P")</f>
        <v>23</v>
      </c>
      <c r="AS50" s="4">
        <f t="shared" si="4"/>
        <v>30</v>
      </c>
      <c r="AT50" s="4">
        <f t="shared" si="3"/>
        <v>30</v>
      </c>
      <c r="AU50" s="4">
        <f>SUMIFS(holly!$L$2:$L$122,holly!$I$2:$I$122,mar!$A50,holly!$K$2:$K$122,"Mar")</f>
        <v>0</v>
      </c>
    </row>
    <row r="51" spans="1:47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IFERROR(LOOKUP(2,1/((#REF!=nov!$A51)*(#REF!&lt;=nov!F$3)*(#REF!&gt;=nov!F$3)),#REF!),IF(WEEKDAY(nov!F$3,1)=1,"WO","P"))</f>
        <v>WO</v>
      </c>
      <c r="G51" s="4" t="str">
        <f>IFERROR(LOOKUP(2,1/((#REF!=nov!$A51)*(#REF!&lt;=nov!G$3)*(#REF!&gt;=nov!G$3)),#REF!),IF(WEEKDAY(nov!G$3,1)=1,"WO","P"))</f>
        <v>P</v>
      </c>
      <c r="H51" s="4" t="str">
        <f>IFERROR(LOOKUP(2,1/((#REF!=nov!$A51)*(#REF!&lt;=nov!H$3)*(#REF!&gt;=nov!H$3)),#REF!),IF(WEEKDAY(nov!H$3,1)=1,"WO","P"))</f>
        <v>P</v>
      </c>
      <c r="I51" s="4" t="str">
        <f>IFERROR(LOOKUP(2,1/((#REF!=nov!$A51)*(#REF!&lt;=nov!I$3)*(#REF!&gt;=nov!I$3)),#REF!),IF(WEEKDAY(nov!I$3,1)=1,"WO","P"))</f>
        <v>P</v>
      </c>
      <c r="J51" s="4" t="str">
        <f>IFERROR(LOOKUP(2,1/((#REF!=nov!$A51)*(#REF!&lt;=nov!J$3)*(#REF!&gt;=nov!J$3)),#REF!),IF(WEEKDAY(nov!J$3,1)=1,"WO","P"))</f>
        <v>P</v>
      </c>
      <c r="K51" s="4" t="str">
        <f>IFERROR(LOOKUP(2,1/((#REF!=nov!$A51)*(#REF!&lt;=nov!K$3)*(#REF!&gt;=nov!K$3)),#REF!),IF(WEEKDAY(nov!K$3,1)=1,"WO","P"))</f>
        <v>P</v>
      </c>
      <c r="L51" s="4" t="str">
        <f>IFERROR(LOOKUP(2,1/((#REF!=nov!$A51)*(#REF!&lt;=nov!L$3)*(#REF!&gt;=nov!L$3)),#REF!),IF(WEEKDAY(nov!L$3,1)=1,"WO","P"))</f>
        <v>P</v>
      </c>
      <c r="M51" s="4" t="str">
        <f>IFERROR(LOOKUP(2,1/((#REF!=nov!$A51)*(#REF!&lt;=nov!M$3)*(#REF!&gt;=nov!M$3)),#REF!),IF(WEEKDAY(nov!M$3,1)=1,"WO","P"))</f>
        <v>WO</v>
      </c>
      <c r="N51" s="4" t="str">
        <f>IFERROR(LOOKUP(2,1/((#REF!=nov!$A51)*(#REF!&lt;=nov!N$3)*(#REF!&gt;=nov!N$3)),#REF!),IF(WEEKDAY(nov!N$3,1)=1,"WO","P"))</f>
        <v>P</v>
      </c>
      <c r="O51" s="4" t="str">
        <f>IFERROR(LOOKUP(2,1/((#REF!=nov!$A51)*(#REF!&lt;=nov!O$3)*(#REF!&gt;=nov!O$3)),#REF!),IF(WEEKDAY(nov!O$3,1)=1,"WO","P"))</f>
        <v>P</v>
      </c>
      <c r="P51" s="4" t="str">
        <f>IFERROR(LOOKUP(2,1/((#REF!=nov!$A51)*(#REF!&lt;=nov!P$3)*(#REF!&gt;=nov!P$3)),#REF!),IF(WEEKDAY(nov!P$3,1)=1,"WO","P"))</f>
        <v>P</v>
      </c>
      <c r="Q51" s="4" t="str">
        <f>IFERROR(LOOKUP(2,1/((#REF!=nov!$A51)*(#REF!&lt;=nov!Q$3)*(#REF!&gt;=nov!Q$3)),#REF!),IF(WEEKDAY(nov!Q$3,1)=1,"WO","P"))</f>
        <v>P</v>
      </c>
      <c r="R51" s="4" t="str">
        <f>IFERROR(LOOKUP(2,1/((#REF!=nov!$A51)*(#REF!&lt;=nov!R$3)*(#REF!&gt;=nov!R$3)),#REF!),IF(WEEKDAY(nov!R$3,1)=1,"WO","P"))</f>
        <v>P</v>
      </c>
      <c r="S51" s="4" t="str">
        <f>IFERROR(LOOKUP(2,1/((#REF!=nov!$A51)*(#REF!&lt;=nov!S$3)*(#REF!&gt;=nov!S$3)),#REF!),IF(WEEKDAY(nov!S$3,1)=1,"WO","P"))</f>
        <v>P</v>
      </c>
      <c r="T51" s="4" t="str">
        <f>IFERROR(LOOKUP(2,1/((#REF!=nov!$A51)*(#REF!&lt;=nov!T$3)*(#REF!&gt;=nov!T$3)),#REF!),IF(WEEKDAY(nov!T$3,1)=1,"WO","P"))</f>
        <v>WO</v>
      </c>
      <c r="U51" s="4" t="str">
        <f>IFERROR(LOOKUP(2,1/((#REF!=nov!$A51)*(#REF!&lt;=nov!U$3)*(#REF!&gt;=nov!U$3)),#REF!),IF(WEEKDAY(nov!U$3,1)=1,"WO","P"))</f>
        <v>P</v>
      </c>
      <c r="V51" s="4" t="str">
        <f>IFERROR(LOOKUP(2,1/((#REF!=nov!$A51)*(#REF!&lt;=nov!V$3)*(#REF!&gt;=nov!V$3)),#REF!),IF(WEEKDAY(nov!V$3,1)=1,"WO","P"))</f>
        <v>P</v>
      </c>
      <c r="W51" s="4" t="str">
        <f>IFERROR(LOOKUP(2,1/((#REF!=nov!$A51)*(#REF!&lt;=nov!W$3)*(#REF!&gt;=nov!W$3)),#REF!),IF(WEEKDAY(nov!W$3,1)=1,"WO","P"))</f>
        <v>P</v>
      </c>
      <c r="X51" s="4" t="str">
        <f>IFERROR(LOOKUP(2,1/((#REF!=nov!$A51)*(#REF!&lt;=nov!X$3)*(#REF!&gt;=nov!X$3)),#REF!),IF(WEEKDAY(nov!X$3,1)=1,"WO","P"))</f>
        <v>P</v>
      </c>
      <c r="Y51" s="4" t="str">
        <f>IFERROR(LOOKUP(2,1/((#REF!=nov!$A51)*(#REF!&lt;=nov!Y$3)*(#REF!&gt;=nov!Y$3)),#REF!),IF(WEEKDAY(nov!Y$3,1)=1,"WO","P"))</f>
        <v>P</v>
      </c>
      <c r="Z51" s="4" t="str">
        <f>IFERROR(LOOKUP(2,1/((#REF!=nov!$A51)*(#REF!&lt;=nov!Z$3)*(#REF!&gt;=nov!Z$3)),#REF!),IF(WEEKDAY(nov!Z$3,1)=1,"WO","P"))</f>
        <v>P</v>
      </c>
      <c r="AA51" s="4" t="str">
        <f>IFERROR(LOOKUP(2,1/((#REF!=nov!$A51)*(#REF!&lt;=nov!AA$3)*(#REF!&gt;=nov!AA$3)),#REF!),IF(WEEKDAY(nov!AA$3,1)=1,"WO","P"))</f>
        <v>WO</v>
      </c>
      <c r="AB51" s="4" t="str">
        <f>IFERROR(LOOKUP(2,1/((#REF!=nov!$A51)*(#REF!&lt;=nov!AB$3)*(#REF!&gt;=nov!AB$3)),#REF!),IF(WEEKDAY(nov!AB$3,1)=1,"WO","P"))</f>
        <v>P</v>
      </c>
      <c r="AC51" s="4" t="str">
        <f>IFERROR(LOOKUP(2,1/((#REF!=nov!$A51)*(#REF!&lt;=nov!AC$3)*(#REF!&gt;=nov!AC$3)),#REF!),IF(WEEKDAY(nov!AC$3,1)=1,"WO","P"))</f>
        <v>P</v>
      </c>
      <c r="AD51" s="4" t="str">
        <f>IFERROR(LOOKUP(2,1/((#REF!=nov!$A51)*(#REF!&lt;=nov!AD$3)*(#REF!&gt;=nov!AD$3)),#REF!),IF(WEEKDAY(nov!AD$3,1)=1,"WO","P"))</f>
        <v>P</v>
      </c>
      <c r="AE51" s="4" t="str">
        <f>IFERROR(LOOKUP(2,1/((#REF!=nov!$A51)*(#REF!&lt;=nov!AE$3)*(#REF!&gt;=nov!AE$3)),#REF!),IF(WEEKDAY(nov!AE$3,1)=1,"WO","P"))</f>
        <v>P</v>
      </c>
      <c r="AF51" s="4" t="str">
        <f>IFERROR(LOOKUP(2,1/((#REF!=nov!$A51)*(#REF!&lt;=nov!AF$3)*(#REF!&gt;=nov!AF$3)),#REF!),IF(WEEKDAY(nov!AF$3,1)=1,"WO","P"))</f>
        <v>P</v>
      </c>
      <c r="AG51" s="4" t="str">
        <f>IFERROR(LOOKUP(2,1/((#REF!=nov!$A51)*(#REF!&lt;=nov!AG$3)*(#REF!&gt;=nov!AG$3)),#REF!),IF(WEEKDAY(nov!AG$3,1)=1,"WO","P"))</f>
        <v>P</v>
      </c>
      <c r="AH51" s="4" t="str">
        <f>IFERROR(LOOKUP(2,1/((#REF!=nov!$A51)*(#REF!&lt;=nov!AH$3)*(#REF!&gt;=nov!AH$3)),#REF!),IF(WEEKDAY(nov!AH$3,1)=1,"WO","P"))</f>
        <v>WO</v>
      </c>
      <c r="AI51" s="4" t="str">
        <f>IFERROR(LOOKUP(2,1/((#REF!=nov!$A51)*(#REF!&lt;=nov!AI$3)*(#REF!&gt;=nov!AI$3)),#REF!),IF(WEEKDAY(nov!AI$3,1)=1,"WO","P"))</f>
        <v>P</v>
      </c>
      <c r="AJ51" s="4">
        <f>COUNTIF(mar!$F51:$AJ51,"WO")</f>
        <v>5</v>
      </c>
      <c r="AK51" s="4">
        <f>COUNTIF(mar!$F51:$AJ51,"H")</f>
        <v>2</v>
      </c>
      <c r="AL51" s="4">
        <f>COUNTIF(mar!$F51:$AJ51,"pl")</f>
        <v>0</v>
      </c>
      <c r="AM51" s="4">
        <f>COUNTIF(mar!$F51:$AJ51,"LWP")</f>
        <v>0</v>
      </c>
      <c r="AN51" s="4">
        <f>COUNTIF(mar!$F51:$AJ51,"HD")</f>
        <v>0</v>
      </c>
      <c r="AO51" s="4">
        <f>COUNTIF(mar!$F51:$AJ51,"SL")</f>
        <v>0</v>
      </c>
      <c r="AP51" s="4">
        <f>COUNTIF(mar!$F51:$AJ51,"CL")</f>
        <v>0</v>
      </c>
      <c r="AQ51" s="4">
        <f>COUNTIF(mar!$F51:$AJ51,"A")</f>
        <v>0</v>
      </c>
      <c r="AR51" s="4">
        <f>COUNTIF(mar!$F51:$AJ51,"P")</f>
        <v>24</v>
      </c>
      <c r="AS51" s="4">
        <f t="shared" si="4"/>
        <v>30</v>
      </c>
      <c r="AT51" s="4">
        <f t="shared" si="3"/>
        <v>31</v>
      </c>
      <c r="AU51" s="4">
        <f>SUMIFS(holly!$L$2:$L$122,holly!$I$2:$I$122,mar!$A51,holly!$K$2:$K$122,"Mar")</f>
        <v>3</v>
      </c>
    </row>
    <row r="52" spans="1:47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IFERROR(LOOKUP(2,1/((#REF!=nov!$A52)*(#REF!&lt;=nov!F$3)*(#REF!&gt;=nov!F$3)),#REF!),IF(WEEKDAY(nov!F$3,1)=1,"WO","P"))</f>
        <v>WO</v>
      </c>
      <c r="G52" s="4" t="str">
        <f>IFERROR(LOOKUP(2,1/((#REF!=nov!$A52)*(#REF!&lt;=nov!G$3)*(#REF!&gt;=nov!G$3)),#REF!),IF(WEEKDAY(nov!G$3,1)=1,"WO","P"))</f>
        <v>P</v>
      </c>
      <c r="H52" s="4" t="str">
        <f>IFERROR(LOOKUP(2,1/((#REF!=nov!$A52)*(#REF!&lt;=nov!H$3)*(#REF!&gt;=nov!H$3)),#REF!),IF(WEEKDAY(nov!H$3,1)=1,"WO","P"))</f>
        <v>P</v>
      </c>
      <c r="I52" s="4" t="str">
        <f>IFERROR(LOOKUP(2,1/((#REF!=nov!$A52)*(#REF!&lt;=nov!I$3)*(#REF!&gt;=nov!I$3)),#REF!),IF(WEEKDAY(nov!I$3,1)=1,"WO","P"))</f>
        <v>P</v>
      </c>
      <c r="J52" s="4" t="str">
        <f>IFERROR(LOOKUP(2,1/((#REF!=nov!$A52)*(#REF!&lt;=nov!J$3)*(#REF!&gt;=nov!J$3)),#REF!),IF(WEEKDAY(nov!J$3,1)=1,"WO","P"))</f>
        <v>P</v>
      </c>
      <c r="K52" s="4" t="str">
        <f>IFERROR(LOOKUP(2,1/((#REF!=nov!$A52)*(#REF!&lt;=nov!K$3)*(#REF!&gt;=nov!K$3)),#REF!),IF(WEEKDAY(nov!K$3,1)=1,"WO","P"))</f>
        <v>P</v>
      </c>
      <c r="L52" s="4" t="str">
        <f>IFERROR(LOOKUP(2,1/((#REF!=nov!$A52)*(#REF!&lt;=nov!L$3)*(#REF!&gt;=nov!L$3)),#REF!),IF(WEEKDAY(nov!L$3,1)=1,"WO","P"))</f>
        <v>P</v>
      </c>
      <c r="M52" s="4" t="str">
        <f>IFERROR(LOOKUP(2,1/((#REF!=nov!$A52)*(#REF!&lt;=nov!M$3)*(#REF!&gt;=nov!M$3)),#REF!),IF(WEEKDAY(nov!M$3,1)=1,"WO","P"))</f>
        <v>WO</v>
      </c>
      <c r="N52" s="4" t="str">
        <f>IFERROR(LOOKUP(2,1/((#REF!=nov!$A52)*(#REF!&lt;=nov!N$3)*(#REF!&gt;=nov!N$3)),#REF!),IF(WEEKDAY(nov!N$3,1)=1,"WO","P"))</f>
        <v>P</v>
      </c>
      <c r="O52" s="4" t="str">
        <f>IFERROR(LOOKUP(2,1/((#REF!=nov!$A52)*(#REF!&lt;=nov!O$3)*(#REF!&gt;=nov!O$3)),#REF!),IF(WEEKDAY(nov!O$3,1)=1,"WO","P"))</f>
        <v>P</v>
      </c>
      <c r="P52" s="4" t="str">
        <f>IFERROR(LOOKUP(2,1/((#REF!=nov!$A52)*(#REF!&lt;=nov!P$3)*(#REF!&gt;=nov!P$3)),#REF!),IF(WEEKDAY(nov!P$3,1)=1,"WO","P"))</f>
        <v>P</v>
      </c>
      <c r="Q52" s="4" t="str">
        <f>IFERROR(LOOKUP(2,1/((#REF!=nov!$A52)*(#REF!&lt;=nov!Q$3)*(#REF!&gt;=nov!Q$3)),#REF!),IF(WEEKDAY(nov!Q$3,1)=1,"WO","P"))</f>
        <v>P</v>
      </c>
      <c r="R52" s="4" t="str">
        <f>IFERROR(LOOKUP(2,1/((#REF!=nov!$A52)*(#REF!&lt;=nov!R$3)*(#REF!&gt;=nov!R$3)),#REF!),IF(WEEKDAY(nov!R$3,1)=1,"WO","P"))</f>
        <v>P</v>
      </c>
      <c r="S52" s="4" t="str">
        <f>IFERROR(LOOKUP(2,1/((#REF!=nov!$A52)*(#REF!&lt;=nov!S$3)*(#REF!&gt;=nov!S$3)),#REF!),IF(WEEKDAY(nov!S$3,1)=1,"WO","P"))</f>
        <v>P</v>
      </c>
      <c r="T52" s="4" t="str">
        <f>IFERROR(LOOKUP(2,1/((#REF!=nov!$A52)*(#REF!&lt;=nov!T$3)*(#REF!&gt;=nov!T$3)),#REF!),IF(WEEKDAY(nov!T$3,1)=1,"WO","P"))</f>
        <v>WO</v>
      </c>
      <c r="U52" s="4" t="str">
        <f>IFERROR(LOOKUP(2,1/((#REF!=nov!$A52)*(#REF!&lt;=nov!U$3)*(#REF!&gt;=nov!U$3)),#REF!),IF(WEEKDAY(nov!U$3,1)=1,"WO","P"))</f>
        <v>P</v>
      </c>
      <c r="V52" s="4" t="str">
        <f>IFERROR(LOOKUP(2,1/((#REF!=nov!$A52)*(#REF!&lt;=nov!V$3)*(#REF!&gt;=nov!V$3)),#REF!),IF(WEEKDAY(nov!V$3,1)=1,"WO","P"))</f>
        <v>P</v>
      </c>
      <c r="W52" s="4" t="str">
        <f>IFERROR(LOOKUP(2,1/((#REF!=nov!$A52)*(#REF!&lt;=nov!W$3)*(#REF!&gt;=nov!W$3)),#REF!),IF(WEEKDAY(nov!W$3,1)=1,"WO","P"))</f>
        <v>P</v>
      </c>
      <c r="X52" s="4" t="str">
        <f>IFERROR(LOOKUP(2,1/((#REF!=nov!$A52)*(#REF!&lt;=nov!X$3)*(#REF!&gt;=nov!X$3)),#REF!),IF(WEEKDAY(nov!X$3,1)=1,"WO","P"))</f>
        <v>P</v>
      </c>
      <c r="Y52" s="4" t="str">
        <f>IFERROR(LOOKUP(2,1/((#REF!=nov!$A52)*(#REF!&lt;=nov!Y$3)*(#REF!&gt;=nov!Y$3)),#REF!),IF(WEEKDAY(nov!Y$3,1)=1,"WO","P"))</f>
        <v>P</v>
      </c>
      <c r="Z52" s="4" t="str">
        <f>IFERROR(LOOKUP(2,1/((#REF!=nov!$A52)*(#REF!&lt;=nov!Z$3)*(#REF!&gt;=nov!Z$3)),#REF!),IF(WEEKDAY(nov!Z$3,1)=1,"WO","P"))</f>
        <v>P</v>
      </c>
      <c r="AA52" s="4" t="str">
        <f>IFERROR(LOOKUP(2,1/((#REF!=nov!$A52)*(#REF!&lt;=nov!AA$3)*(#REF!&gt;=nov!AA$3)),#REF!),IF(WEEKDAY(nov!AA$3,1)=1,"WO","P"))</f>
        <v>WO</v>
      </c>
      <c r="AB52" s="4" t="str">
        <f>IFERROR(LOOKUP(2,1/((#REF!=nov!$A52)*(#REF!&lt;=nov!AB$3)*(#REF!&gt;=nov!AB$3)),#REF!),IF(WEEKDAY(nov!AB$3,1)=1,"WO","P"))</f>
        <v>P</v>
      </c>
      <c r="AC52" s="4" t="str">
        <f>IFERROR(LOOKUP(2,1/((#REF!=nov!$A52)*(#REF!&lt;=nov!AC$3)*(#REF!&gt;=nov!AC$3)),#REF!),IF(WEEKDAY(nov!AC$3,1)=1,"WO","P"))</f>
        <v>P</v>
      </c>
      <c r="AD52" s="4" t="str">
        <f>IFERROR(LOOKUP(2,1/((#REF!=nov!$A52)*(#REF!&lt;=nov!AD$3)*(#REF!&gt;=nov!AD$3)),#REF!),IF(WEEKDAY(nov!AD$3,1)=1,"WO","P"))</f>
        <v>P</v>
      </c>
      <c r="AE52" s="4" t="str">
        <f>IFERROR(LOOKUP(2,1/((#REF!=nov!$A52)*(#REF!&lt;=nov!AE$3)*(#REF!&gt;=nov!AE$3)),#REF!),IF(WEEKDAY(nov!AE$3,1)=1,"WO","P"))</f>
        <v>P</v>
      </c>
      <c r="AF52" s="4" t="str">
        <f>IFERROR(LOOKUP(2,1/((#REF!=nov!$A52)*(#REF!&lt;=nov!AF$3)*(#REF!&gt;=nov!AF$3)),#REF!),IF(WEEKDAY(nov!AF$3,1)=1,"WO","P"))</f>
        <v>P</v>
      </c>
      <c r="AG52" s="4" t="str">
        <f>IFERROR(LOOKUP(2,1/((#REF!=nov!$A52)*(#REF!&lt;=nov!AG$3)*(#REF!&gt;=nov!AG$3)),#REF!),IF(WEEKDAY(nov!AG$3,1)=1,"WO","P"))</f>
        <v>P</v>
      </c>
      <c r="AH52" s="4" t="str">
        <f>IFERROR(LOOKUP(2,1/((#REF!=nov!$A52)*(#REF!&lt;=nov!AH$3)*(#REF!&gt;=nov!AH$3)),#REF!),IF(WEEKDAY(nov!AH$3,1)=1,"WO","P"))</f>
        <v>WO</v>
      </c>
      <c r="AI52" s="4" t="str">
        <f>IFERROR(LOOKUP(2,1/((#REF!=nov!$A52)*(#REF!&lt;=nov!AI$3)*(#REF!&gt;=nov!AI$3)),#REF!),IF(WEEKDAY(nov!AI$3,1)=1,"WO","P"))</f>
        <v>P</v>
      </c>
      <c r="AJ52" s="4">
        <f>COUNTIF(mar!$F52:$AJ52,"WO")</f>
        <v>5</v>
      </c>
      <c r="AK52" s="4">
        <f>COUNTIF(mar!$F52:$AJ52,"H")</f>
        <v>2</v>
      </c>
      <c r="AL52" s="4">
        <f>COUNTIF(mar!$F52:$AJ52,"pl")</f>
        <v>0</v>
      </c>
      <c r="AM52" s="4">
        <f>COUNTIF(mar!$F52:$AJ52,"LWP")</f>
        <v>0</v>
      </c>
      <c r="AN52" s="4">
        <f>COUNTIF(mar!$F52:$AJ52,"HD")</f>
        <v>0</v>
      </c>
      <c r="AO52" s="4">
        <f>COUNTIF(mar!$F52:$AJ52,"SL")</f>
        <v>0</v>
      </c>
      <c r="AP52" s="4">
        <f>COUNTIF(mar!$F52:$AJ52,"CL")</f>
        <v>0</v>
      </c>
      <c r="AQ52" s="4">
        <f>COUNTIF(mar!$F52:$AJ52,"A")</f>
        <v>0</v>
      </c>
      <c r="AR52" s="4">
        <f>COUNTIF(mar!$F52:$AJ52,"P")</f>
        <v>24</v>
      </c>
      <c r="AS52" s="4">
        <f t="shared" si="4"/>
        <v>30</v>
      </c>
      <c r="AT52" s="4">
        <f t="shared" si="3"/>
        <v>31</v>
      </c>
      <c r="AU52" s="4">
        <f>SUMIFS(holly!$L$2:$L$122,holly!$I$2:$I$122,mar!$A52,holly!$K$2:$K$122,"Mar")</f>
        <v>0</v>
      </c>
    </row>
    <row r="53" spans="1:47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IFERROR(LOOKUP(2,1/((#REF!=nov!$A53)*(#REF!&lt;=nov!F$3)*(#REF!&gt;=nov!F$3)),#REF!),IF(WEEKDAY(nov!F$3,1)=1,"WO","P"))</f>
        <v>WO</v>
      </c>
      <c r="G53" s="4" t="str">
        <f>IFERROR(LOOKUP(2,1/((#REF!=nov!$A53)*(#REF!&lt;=nov!G$3)*(#REF!&gt;=nov!G$3)),#REF!),IF(WEEKDAY(nov!G$3,1)=1,"WO","P"))</f>
        <v>P</v>
      </c>
      <c r="H53" s="4" t="str">
        <f>IFERROR(LOOKUP(2,1/((#REF!=nov!$A53)*(#REF!&lt;=nov!H$3)*(#REF!&gt;=nov!H$3)),#REF!),IF(WEEKDAY(nov!H$3,1)=1,"WO","P"))</f>
        <v>P</v>
      </c>
      <c r="I53" s="4" t="str">
        <f>IFERROR(LOOKUP(2,1/((#REF!=nov!$A53)*(#REF!&lt;=nov!I$3)*(#REF!&gt;=nov!I$3)),#REF!),IF(WEEKDAY(nov!I$3,1)=1,"WO","P"))</f>
        <v>P</v>
      </c>
      <c r="J53" s="4" t="str">
        <f>IFERROR(LOOKUP(2,1/((#REF!=nov!$A53)*(#REF!&lt;=nov!J$3)*(#REF!&gt;=nov!J$3)),#REF!),IF(WEEKDAY(nov!J$3,1)=1,"WO","P"))</f>
        <v>P</v>
      </c>
      <c r="K53" s="4" t="str">
        <f>IFERROR(LOOKUP(2,1/((#REF!=nov!$A53)*(#REF!&lt;=nov!K$3)*(#REF!&gt;=nov!K$3)),#REF!),IF(WEEKDAY(nov!K$3,1)=1,"WO","P"))</f>
        <v>P</v>
      </c>
      <c r="L53" s="4" t="str">
        <f>IFERROR(LOOKUP(2,1/((#REF!=nov!$A53)*(#REF!&lt;=nov!L$3)*(#REF!&gt;=nov!L$3)),#REF!),IF(WEEKDAY(nov!L$3,1)=1,"WO","P"))</f>
        <v>P</v>
      </c>
      <c r="M53" s="4" t="str">
        <f>IFERROR(LOOKUP(2,1/((#REF!=nov!$A53)*(#REF!&lt;=nov!M$3)*(#REF!&gt;=nov!M$3)),#REF!),IF(WEEKDAY(nov!M$3,1)=1,"WO","P"))</f>
        <v>WO</v>
      </c>
      <c r="N53" s="4" t="str">
        <f>IFERROR(LOOKUP(2,1/((#REF!=nov!$A53)*(#REF!&lt;=nov!N$3)*(#REF!&gt;=nov!N$3)),#REF!),IF(WEEKDAY(nov!N$3,1)=1,"WO","P"))</f>
        <v>P</v>
      </c>
      <c r="O53" s="4" t="str">
        <f>IFERROR(LOOKUP(2,1/((#REF!=nov!$A53)*(#REF!&lt;=nov!O$3)*(#REF!&gt;=nov!O$3)),#REF!),IF(WEEKDAY(nov!O$3,1)=1,"WO","P"))</f>
        <v>P</v>
      </c>
      <c r="P53" s="4" t="str">
        <f>IFERROR(LOOKUP(2,1/((#REF!=nov!$A53)*(#REF!&lt;=nov!P$3)*(#REF!&gt;=nov!P$3)),#REF!),IF(WEEKDAY(nov!P$3,1)=1,"WO","P"))</f>
        <v>P</v>
      </c>
      <c r="Q53" s="4" t="str">
        <f>IFERROR(LOOKUP(2,1/((#REF!=nov!$A53)*(#REF!&lt;=nov!Q$3)*(#REF!&gt;=nov!Q$3)),#REF!),IF(WEEKDAY(nov!Q$3,1)=1,"WO","P"))</f>
        <v>P</v>
      </c>
      <c r="R53" s="4" t="str">
        <f>IFERROR(LOOKUP(2,1/((#REF!=nov!$A53)*(#REF!&lt;=nov!R$3)*(#REF!&gt;=nov!R$3)),#REF!),IF(WEEKDAY(nov!R$3,1)=1,"WO","P"))</f>
        <v>P</v>
      </c>
      <c r="S53" s="4" t="str">
        <f>IFERROR(LOOKUP(2,1/((#REF!=nov!$A53)*(#REF!&lt;=nov!S$3)*(#REF!&gt;=nov!S$3)),#REF!),IF(WEEKDAY(nov!S$3,1)=1,"WO","P"))</f>
        <v>P</v>
      </c>
      <c r="T53" s="4" t="str">
        <f>IFERROR(LOOKUP(2,1/((#REF!=nov!$A53)*(#REF!&lt;=nov!T$3)*(#REF!&gt;=nov!T$3)),#REF!),IF(WEEKDAY(nov!T$3,1)=1,"WO","P"))</f>
        <v>WO</v>
      </c>
      <c r="U53" s="4" t="str">
        <f>IFERROR(LOOKUP(2,1/((#REF!=nov!$A53)*(#REF!&lt;=nov!U$3)*(#REF!&gt;=nov!U$3)),#REF!),IF(WEEKDAY(nov!U$3,1)=1,"WO","P"))</f>
        <v>P</v>
      </c>
      <c r="V53" s="4" t="str">
        <f>IFERROR(LOOKUP(2,1/((#REF!=nov!$A53)*(#REF!&lt;=nov!V$3)*(#REF!&gt;=nov!V$3)),#REF!),IF(WEEKDAY(nov!V$3,1)=1,"WO","P"))</f>
        <v>P</v>
      </c>
      <c r="W53" s="4" t="str">
        <f>IFERROR(LOOKUP(2,1/((#REF!=nov!$A53)*(#REF!&lt;=nov!W$3)*(#REF!&gt;=nov!W$3)),#REF!),IF(WEEKDAY(nov!W$3,1)=1,"WO","P"))</f>
        <v>P</v>
      </c>
      <c r="X53" s="4" t="str">
        <f>IFERROR(LOOKUP(2,1/((#REF!=nov!$A53)*(#REF!&lt;=nov!X$3)*(#REF!&gt;=nov!X$3)),#REF!),IF(WEEKDAY(nov!X$3,1)=1,"WO","P"))</f>
        <v>P</v>
      </c>
      <c r="Y53" s="4" t="str">
        <f>IFERROR(LOOKUP(2,1/((#REF!=nov!$A53)*(#REF!&lt;=nov!Y$3)*(#REF!&gt;=nov!Y$3)),#REF!),IF(WEEKDAY(nov!Y$3,1)=1,"WO","P"))</f>
        <v>P</v>
      </c>
      <c r="Z53" s="4" t="str">
        <f>IFERROR(LOOKUP(2,1/((#REF!=nov!$A53)*(#REF!&lt;=nov!Z$3)*(#REF!&gt;=nov!Z$3)),#REF!),IF(WEEKDAY(nov!Z$3,1)=1,"WO","P"))</f>
        <v>P</v>
      </c>
      <c r="AA53" s="4" t="str">
        <f>IFERROR(LOOKUP(2,1/((#REF!=nov!$A53)*(#REF!&lt;=nov!AA$3)*(#REF!&gt;=nov!AA$3)),#REF!),IF(WEEKDAY(nov!AA$3,1)=1,"WO","P"))</f>
        <v>WO</v>
      </c>
      <c r="AB53" s="4" t="str">
        <f>IFERROR(LOOKUP(2,1/((#REF!=nov!$A53)*(#REF!&lt;=nov!AB$3)*(#REF!&gt;=nov!AB$3)),#REF!),IF(WEEKDAY(nov!AB$3,1)=1,"WO","P"))</f>
        <v>P</v>
      </c>
      <c r="AC53" s="4" t="str">
        <f>IFERROR(LOOKUP(2,1/((#REF!=nov!$A53)*(#REF!&lt;=nov!AC$3)*(#REF!&gt;=nov!AC$3)),#REF!),IF(WEEKDAY(nov!AC$3,1)=1,"WO","P"))</f>
        <v>P</v>
      </c>
      <c r="AD53" s="4" t="str">
        <f>IFERROR(LOOKUP(2,1/((#REF!=nov!$A53)*(#REF!&lt;=nov!AD$3)*(#REF!&gt;=nov!AD$3)),#REF!),IF(WEEKDAY(nov!AD$3,1)=1,"WO","P"))</f>
        <v>P</v>
      </c>
      <c r="AE53" s="4" t="str">
        <f>IFERROR(LOOKUP(2,1/((#REF!=nov!$A53)*(#REF!&lt;=nov!AE$3)*(#REF!&gt;=nov!AE$3)),#REF!),IF(WEEKDAY(nov!AE$3,1)=1,"WO","P"))</f>
        <v>P</v>
      </c>
      <c r="AF53" s="4" t="str">
        <f>IFERROR(LOOKUP(2,1/((#REF!=nov!$A53)*(#REF!&lt;=nov!AF$3)*(#REF!&gt;=nov!AF$3)),#REF!),IF(WEEKDAY(nov!AF$3,1)=1,"WO","P"))</f>
        <v>P</v>
      </c>
      <c r="AG53" s="4" t="str">
        <f>IFERROR(LOOKUP(2,1/((#REF!=nov!$A53)*(#REF!&lt;=nov!AG$3)*(#REF!&gt;=nov!AG$3)),#REF!),IF(WEEKDAY(nov!AG$3,1)=1,"WO","P"))</f>
        <v>P</v>
      </c>
      <c r="AH53" s="4" t="str">
        <f>IFERROR(LOOKUP(2,1/((#REF!=nov!$A53)*(#REF!&lt;=nov!AH$3)*(#REF!&gt;=nov!AH$3)),#REF!),IF(WEEKDAY(nov!AH$3,1)=1,"WO","P"))</f>
        <v>WO</v>
      </c>
      <c r="AI53" s="4" t="str">
        <f>IFERROR(LOOKUP(2,1/((#REF!=nov!$A53)*(#REF!&lt;=nov!AI$3)*(#REF!&gt;=nov!AI$3)),#REF!),IF(WEEKDAY(nov!AI$3,1)=1,"WO","P"))</f>
        <v>P</v>
      </c>
      <c r="AJ53" s="4">
        <f>COUNTIF(mar!$F53:$AJ53,"WO")</f>
        <v>5</v>
      </c>
      <c r="AK53" s="4">
        <f>COUNTIF(mar!$F53:$AJ53,"H")</f>
        <v>2</v>
      </c>
      <c r="AL53" s="4">
        <f>COUNTIF(mar!$F53:$AJ53,"pl")</f>
        <v>0</v>
      </c>
      <c r="AM53" s="4">
        <f>COUNTIF(mar!$F53:$AJ53,"LWP")</f>
        <v>0</v>
      </c>
      <c r="AN53" s="4">
        <f>COUNTIF(mar!$F53:$AJ53,"HD")</f>
        <v>0</v>
      </c>
      <c r="AO53" s="4">
        <f>COUNTIF(mar!$F53:$AJ53,"SL")</f>
        <v>0</v>
      </c>
      <c r="AP53" s="4">
        <f>COUNTIF(mar!$F53:$AJ53,"CL")</f>
        <v>0</v>
      </c>
      <c r="AQ53" s="4">
        <f>COUNTIF(mar!$F53:$AJ53,"A")</f>
        <v>1</v>
      </c>
      <c r="AR53" s="4">
        <f>COUNTIF(mar!$F53:$AJ53,"P")</f>
        <v>23</v>
      </c>
      <c r="AS53" s="4">
        <f t="shared" si="4"/>
        <v>30</v>
      </c>
      <c r="AT53" s="4">
        <f t="shared" si="3"/>
        <v>30</v>
      </c>
      <c r="AU53" s="4">
        <f>SUMIFS(holly!$L$2:$L$122,holly!$I$2:$I$122,mar!$A53,holly!$K$2:$K$122,"Mar")</f>
        <v>0</v>
      </c>
    </row>
    <row r="54" spans="1:47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IFERROR(LOOKUP(2,1/((#REF!=nov!$A54)*(#REF!&lt;=nov!F$3)*(#REF!&gt;=nov!F$3)),#REF!),IF(WEEKDAY(nov!F$3,1)=1,"WO","P"))</f>
        <v>WO</v>
      </c>
      <c r="G54" s="4" t="str">
        <f>IFERROR(LOOKUP(2,1/((#REF!=nov!$A54)*(#REF!&lt;=nov!G$3)*(#REF!&gt;=nov!G$3)),#REF!),IF(WEEKDAY(nov!G$3,1)=1,"WO","P"))</f>
        <v>P</v>
      </c>
      <c r="H54" s="4" t="str">
        <f>IFERROR(LOOKUP(2,1/((#REF!=nov!$A54)*(#REF!&lt;=nov!H$3)*(#REF!&gt;=nov!H$3)),#REF!),IF(WEEKDAY(nov!H$3,1)=1,"WO","P"))</f>
        <v>P</v>
      </c>
      <c r="I54" s="4" t="str">
        <f>IFERROR(LOOKUP(2,1/((#REF!=nov!$A54)*(#REF!&lt;=nov!I$3)*(#REF!&gt;=nov!I$3)),#REF!),IF(WEEKDAY(nov!I$3,1)=1,"WO","P"))</f>
        <v>P</v>
      </c>
      <c r="J54" s="4" t="str">
        <f>IFERROR(LOOKUP(2,1/((#REF!=nov!$A54)*(#REF!&lt;=nov!J$3)*(#REF!&gt;=nov!J$3)),#REF!),IF(WEEKDAY(nov!J$3,1)=1,"WO","P"))</f>
        <v>P</v>
      </c>
      <c r="K54" s="4" t="str">
        <f>IFERROR(LOOKUP(2,1/((#REF!=nov!$A54)*(#REF!&lt;=nov!K$3)*(#REF!&gt;=nov!K$3)),#REF!),IF(WEEKDAY(nov!K$3,1)=1,"WO","P"))</f>
        <v>P</v>
      </c>
      <c r="L54" s="4" t="str">
        <f>IFERROR(LOOKUP(2,1/((#REF!=nov!$A54)*(#REF!&lt;=nov!L$3)*(#REF!&gt;=nov!L$3)),#REF!),IF(WEEKDAY(nov!L$3,1)=1,"WO","P"))</f>
        <v>P</v>
      </c>
      <c r="M54" s="4" t="str">
        <f>IFERROR(LOOKUP(2,1/((#REF!=nov!$A54)*(#REF!&lt;=nov!M$3)*(#REF!&gt;=nov!M$3)),#REF!),IF(WEEKDAY(nov!M$3,1)=1,"WO","P"))</f>
        <v>WO</v>
      </c>
      <c r="N54" s="4" t="str">
        <f>IFERROR(LOOKUP(2,1/((#REF!=nov!$A54)*(#REF!&lt;=nov!N$3)*(#REF!&gt;=nov!N$3)),#REF!),IF(WEEKDAY(nov!N$3,1)=1,"WO","P"))</f>
        <v>P</v>
      </c>
      <c r="O54" s="4" t="str">
        <f>IFERROR(LOOKUP(2,1/((#REF!=nov!$A54)*(#REF!&lt;=nov!O$3)*(#REF!&gt;=nov!O$3)),#REF!),IF(WEEKDAY(nov!O$3,1)=1,"WO","P"))</f>
        <v>P</v>
      </c>
      <c r="P54" s="4" t="str">
        <f>IFERROR(LOOKUP(2,1/((#REF!=nov!$A54)*(#REF!&lt;=nov!P$3)*(#REF!&gt;=nov!P$3)),#REF!),IF(WEEKDAY(nov!P$3,1)=1,"WO","P"))</f>
        <v>P</v>
      </c>
      <c r="Q54" s="4" t="str">
        <f>IFERROR(LOOKUP(2,1/((#REF!=nov!$A54)*(#REF!&lt;=nov!Q$3)*(#REF!&gt;=nov!Q$3)),#REF!),IF(WEEKDAY(nov!Q$3,1)=1,"WO","P"))</f>
        <v>P</v>
      </c>
      <c r="R54" s="4" t="str">
        <f>IFERROR(LOOKUP(2,1/((#REF!=nov!$A54)*(#REF!&lt;=nov!R$3)*(#REF!&gt;=nov!R$3)),#REF!),IF(WEEKDAY(nov!R$3,1)=1,"WO","P"))</f>
        <v>P</v>
      </c>
      <c r="S54" s="4" t="str">
        <f>IFERROR(LOOKUP(2,1/((#REF!=nov!$A54)*(#REF!&lt;=nov!S$3)*(#REF!&gt;=nov!S$3)),#REF!),IF(WEEKDAY(nov!S$3,1)=1,"WO","P"))</f>
        <v>P</v>
      </c>
      <c r="T54" s="4" t="str">
        <f>IFERROR(LOOKUP(2,1/((#REF!=nov!$A54)*(#REF!&lt;=nov!T$3)*(#REF!&gt;=nov!T$3)),#REF!),IF(WEEKDAY(nov!T$3,1)=1,"WO","P"))</f>
        <v>WO</v>
      </c>
      <c r="U54" s="4" t="str">
        <f>IFERROR(LOOKUP(2,1/((#REF!=nov!$A54)*(#REF!&lt;=nov!U$3)*(#REF!&gt;=nov!U$3)),#REF!),IF(WEEKDAY(nov!U$3,1)=1,"WO","P"))</f>
        <v>P</v>
      </c>
      <c r="V54" s="4" t="str">
        <f>IFERROR(LOOKUP(2,1/((#REF!=nov!$A54)*(#REF!&lt;=nov!V$3)*(#REF!&gt;=nov!V$3)),#REF!),IF(WEEKDAY(nov!V$3,1)=1,"WO","P"))</f>
        <v>P</v>
      </c>
      <c r="W54" s="4" t="str">
        <f>IFERROR(LOOKUP(2,1/((#REF!=nov!$A54)*(#REF!&lt;=nov!W$3)*(#REF!&gt;=nov!W$3)),#REF!),IF(WEEKDAY(nov!W$3,1)=1,"WO","P"))</f>
        <v>P</v>
      </c>
      <c r="X54" s="4" t="str">
        <f>IFERROR(LOOKUP(2,1/((#REF!=nov!$A54)*(#REF!&lt;=nov!X$3)*(#REF!&gt;=nov!X$3)),#REF!),IF(WEEKDAY(nov!X$3,1)=1,"WO","P"))</f>
        <v>P</v>
      </c>
      <c r="Y54" s="4" t="str">
        <f>IFERROR(LOOKUP(2,1/((#REF!=nov!$A54)*(#REF!&lt;=nov!Y$3)*(#REF!&gt;=nov!Y$3)),#REF!),IF(WEEKDAY(nov!Y$3,1)=1,"WO","P"))</f>
        <v>P</v>
      </c>
      <c r="Z54" s="4" t="str">
        <f>IFERROR(LOOKUP(2,1/((#REF!=nov!$A54)*(#REF!&lt;=nov!Z$3)*(#REF!&gt;=nov!Z$3)),#REF!),IF(WEEKDAY(nov!Z$3,1)=1,"WO","P"))</f>
        <v>P</v>
      </c>
      <c r="AA54" s="4" t="str">
        <f>IFERROR(LOOKUP(2,1/((#REF!=nov!$A54)*(#REF!&lt;=nov!AA$3)*(#REF!&gt;=nov!AA$3)),#REF!),IF(WEEKDAY(nov!AA$3,1)=1,"WO","P"))</f>
        <v>WO</v>
      </c>
      <c r="AB54" s="4" t="str">
        <f>IFERROR(LOOKUP(2,1/((#REF!=nov!$A54)*(#REF!&lt;=nov!AB$3)*(#REF!&gt;=nov!AB$3)),#REF!),IF(WEEKDAY(nov!AB$3,1)=1,"WO","P"))</f>
        <v>P</v>
      </c>
      <c r="AC54" s="4" t="str">
        <f>IFERROR(LOOKUP(2,1/((#REF!=nov!$A54)*(#REF!&lt;=nov!AC$3)*(#REF!&gt;=nov!AC$3)),#REF!),IF(WEEKDAY(nov!AC$3,1)=1,"WO","P"))</f>
        <v>P</v>
      </c>
      <c r="AD54" s="4" t="str">
        <f>IFERROR(LOOKUP(2,1/((#REF!=nov!$A54)*(#REF!&lt;=nov!AD$3)*(#REF!&gt;=nov!AD$3)),#REF!),IF(WEEKDAY(nov!AD$3,1)=1,"WO","P"))</f>
        <v>P</v>
      </c>
      <c r="AE54" s="4" t="str">
        <f>IFERROR(LOOKUP(2,1/((#REF!=nov!$A54)*(#REF!&lt;=nov!AE$3)*(#REF!&gt;=nov!AE$3)),#REF!),IF(WEEKDAY(nov!AE$3,1)=1,"WO","P"))</f>
        <v>P</v>
      </c>
      <c r="AF54" s="4" t="str">
        <f>IFERROR(LOOKUP(2,1/((#REF!=nov!$A54)*(#REF!&lt;=nov!AF$3)*(#REF!&gt;=nov!AF$3)),#REF!),IF(WEEKDAY(nov!AF$3,1)=1,"WO","P"))</f>
        <v>P</v>
      </c>
      <c r="AG54" s="4" t="str">
        <f>IFERROR(LOOKUP(2,1/((#REF!=nov!$A54)*(#REF!&lt;=nov!AG$3)*(#REF!&gt;=nov!AG$3)),#REF!),IF(WEEKDAY(nov!AG$3,1)=1,"WO","P"))</f>
        <v>P</v>
      </c>
      <c r="AH54" s="4" t="str">
        <f>IFERROR(LOOKUP(2,1/((#REF!=nov!$A54)*(#REF!&lt;=nov!AH$3)*(#REF!&gt;=nov!AH$3)),#REF!),IF(WEEKDAY(nov!AH$3,1)=1,"WO","P"))</f>
        <v>WO</v>
      </c>
      <c r="AI54" s="4" t="str">
        <f>IFERROR(LOOKUP(2,1/((#REF!=nov!$A54)*(#REF!&lt;=nov!AI$3)*(#REF!&gt;=nov!AI$3)),#REF!),IF(WEEKDAY(nov!AI$3,1)=1,"WO","P"))</f>
        <v>P</v>
      </c>
      <c r="AJ54" s="4">
        <f>COUNTIF(mar!$F54:$AJ54,"WO")</f>
        <v>5</v>
      </c>
      <c r="AK54" s="4">
        <f>COUNTIF(mar!$F54:$AJ54,"H")</f>
        <v>2</v>
      </c>
      <c r="AL54" s="4">
        <f>COUNTIF(mar!$F54:$AJ54,"pl")</f>
        <v>0</v>
      </c>
      <c r="AM54" s="4">
        <f>COUNTIF(mar!$F54:$AJ54,"LWP")</f>
        <v>0</v>
      </c>
      <c r="AN54" s="4">
        <f>COUNTIF(mar!$F54:$AJ54,"HD")</f>
        <v>0</v>
      </c>
      <c r="AO54" s="4">
        <f>COUNTIF(mar!$F54:$AJ54,"SL")</f>
        <v>0</v>
      </c>
      <c r="AP54" s="4">
        <f>COUNTIF(mar!$F54:$AJ54,"CL")</f>
        <v>0</v>
      </c>
      <c r="AQ54" s="4">
        <f>COUNTIF(mar!$F54:$AJ54,"A")</f>
        <v>0</v>
      </c>
      <c r="AR54" s="4">
        <f>COUNTIF(mar!$F54:$AJ54,"P")</f>
        <v>24</v>
      </c>
      <c r="AS54" s="4">
        <f t="shared" si="4"/>
        <v>30</v>
      </c>
      <c r="AT54" s="4">
        <f t="shared" si="3"/>
        <v>31</v>
      </c>
      <c r="AU54" s="4">
        <f>SUMIFS(holly!$L$2:$L$122,holly!$I$2:$I$122,mar!$A54,holly!$K$2:$K$122,"Mar")</f>
        <v>0</v>
      </c>
    </row>
  </sheetData>
  <mergeCells count="23">
    <mergeCell ref="A1:AU1"/>
    <mergeCell ref="A2:K2"/>
    <mergeCell ref="L2:O2"/>
    <mergeCell ref="P2:AA2"/>
    <mergeCell ref="AB2:AE2"/>
    <mergeCell ref="AF2:AU2"/>
    <mergeCell ref="AP3:AP4"/>
    <mergeCell ref="A3:A4"/>
    <mergeCell ref="B3:B4"/>
    <mergeCell ref="C3:C4"/>
    <mergeCell ref="D3:D4"/>
    <mergeCell ref="E3:E4"/>
    <mergeCell ref="AJ3:AJ4"/>
    <mergeCell ref="AK3:AK4"/>
    <mergeCell ref="AL3:AL4"/>
    <mergeCell ref="AM3:AM4"/>
    <mergeCell ref="AN3:AN4"/>
    <mergeCell ref="AO3:AO4"/>
    <mergeCell ref="AQ3:AQ4"/>
    <mergeCell ref="AR3:AR4"/>
    <mergeCell ref="AS3:AS4"/>
    <mergeCell ref="AT3:AT4"/>
    <mergeCell ref="AU3:AU4"/>
  </mergeCells>
  <conditionalFormatting sqref="F5:AI54">
    <cfRule type="cellIs" dxfId="16" priority="2" operator="equal">
      <formula>"HD"</formula>
    </cfRule>
    <cfRule type="cellIs" dxfId="15" priority="3" operator="equal">
      <formula>"LWP"</formula>
    </cfRule>
    <cfRule type="cellIs" dxfId="14" priority="4" operator="equal">
      <formula>"PL"</formula>
    </cfRule>
    <cfRule type="cellIs" dxfId="13" priority="5" operator="equal">
      <formula>"H"</formula>
    </cfRule>
    <cfRule type="cellIs" dxfId="12" priority="6" operator="equal">
      <formula>"A"</formula>
    </cfRule>
    <cfRule type="cellIs" dxfId="11" priority="7" operator="equal">
      <formula>"P"</formula>
    </cfRule>
    <cfRule type="expression" dxfId="10" priority="8">
      <formula>F$4="Sun"</formula>
    </cfRule>
  </conditionalFormatting>
  <conditionalFormatting sqref="AU5:AU54">
    <cfRule type="cellIs" dxfId="9" priority="1" operator="greaterThan">
      <formula>0</formula>
    </cfRule>
  </conditionalFormatting>
  <dataValidations count="1">
    <dataValidation type="list" allowBlank="1" showInputMessage="1" showErrorMessage="1" sqref="F5:AI54" xr:uid="{C6B72FBD-CB83-481D-8BB8-AB6C301F2108}">
      <formula1>"A,P,WO,H,PL,LWP,HD"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1945-A878-43D0-A35C-1B30911D55D9}">
  <sheetPr codeName="Sheet17"/>
  <dimension ref="A1:AV54"/>
  <sheetViews>
    <sheetView workbookViewId="0">
      <selection activeCell="AM3" sqref="AM3:AM4"/>
    </sheetView>
  </sheetViews>
  <sheetFormatPr defaultRowHeight="15" x14ac:dyDescent="0.25"/>
  <cols>
    <col min="1" max="1" width="10.140625" bestFit="1" customWidth="1"/>
    <col min="2" max="2" width="17.28515625" bestFit="1" customWidth="1"/>
    <col min="3" max="3" width="10.42578125" bestFit="1" customWidth="1"/>
    <col min="4" max="4" width="13.28515625" bestFit="1" customWidth="1"/>
    <col min="5" max="5" width="21.42578125" bestFit="1" customWidth="1"/>
    <col min="6" max="12" width="4.7109375" bestFit="1" customWidth="1"/>
    <col min="13" max="13" width="4.85546875" bestFit="1" customWidth="1"/>
    <col min="14" max="27" width="4.7109375" bestFit="1" customWidth="1"/>
    <col min="28" max="28" width="5" bestFit="1" customWidth="1"/>
    <col min="29" max="36" width="4.7109375" bestFit="1" customWidth="1"/>
    <col min="37" max="39" width="5.140625" bestFit="1" customWidth="1"/>
    <col min="40" max="40" width="13.140625" bestFit="1" customWidth="1"/>
    <col min="41" max="48" width="5.140625" bestFit="1" customWidth="1"/>
  </cols>
  <sheetData>
    <row r="1" spans="1:48" ht="51" x14ac:dyDescent="0.25">
      <c r="A1" s="79" t="s">
        <v>336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ht="28.5" x14ac:dyDescent="0.25">
      <c r="A2" s="66" t="s">
        <v>295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7" t="str">
        <f>TEXT(P2,"mmm")</f>
        <v>Dec</v>
      </c>
      <c r="M2" s="67"/>
      <c r="N2" s="67"/>
      <c r="O2" s="67"/>
      <c r="P2" s="80">
        <f>DATE(2026,12,1)</f>
        <v>46357</v>
      </c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71" t="s">
        <v>337</v>
      </c>
      <c r="AC2" s="71"/>
      <c r="AD2" s="71"/>
      <c r="AE2" s="71"/>
      <c r="AF2" s="80">
        <f>EOMONTH(P2,0)</f>
        <v>46387</v>
      </c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</row>
    <row r="3" spans="1:48" ht="18.75" x14ac:dyDescent="0.25">
      <c r="A3" s="77" t="s">
        <v>338</v>
      </c>
      <c r="B3" s="77" t="s">
        <v>339</v>
      </c>
      <c r="C3" s="77" t="s">
        <v>1</v>
      </c>
      <c r="D3" s="77" t="s">
        <v>340</v>
      </c>
      <c r="E3" s="77" t="s">
        <v>341</v>
      </c>
      <c r="F3" s="7">
        <f>P2</f>
        <v>46357</v>
      </c>
      <c r="G3" s="7">
        <f>IF(F3&lt;$AF$2,F3+1,"")</f>
        <v>46358</v>
      </c>
      <c r="H3" s="7">
        <f t="shared" ref="H3:AJ3" si="0">IF(G3&lt;$AF$2,G3+1,"")</f>
        <v>46359</v>
      </c>
      <c r="I3" s="7">
        <f t="shared" si="0"/>
        <v>46360</v>
      </c>
      <c r="J3" s="7">
        <f t="shared" si="0"/>
        <v>46361</v>
      </c>
      <c r="K3" s="7">
        <f t="shared" si="0"/>
        <v>46362</v>
      </c>
      <c r="L3" s="7">
        <f t="shared" si="0"/>
        <v>46363</v>
      </c>
      <c r="M3" s="7">
        <f t="shared" si="0"/>
        <v>46364</v>
      </c>
      <c r="N3" s="7">
        <f t="shared" si="0"/>
        <v>46365</v>
      </c>
      <c r="O3" s="7">
        <f t="shared" si="0"/>
        <v>46366</v>
      </c>
      <c r="P3" s="7">
        <f t="shared" si="0"/>
        <v>46367</v>
      </c>
      <c r="Q3" s="7">
        <f t="shared" si="0"/>
        <v>46368</v>
      </c>
      <c r="R3" s="7">
        <f t="shared" si="0"/>
        <v>46369</v>
      </c>
      <c r="S3" s="7">
        <f t="shared" si="0"/>
        <v>46370</v>
      </c>
      <c r="T3" s="7">
        <f t="shared" si="0"/>
        <v>46371</v>
      </c>
      <c r="U3" s="7">
        <f t="shared" si="0"/>
        <v>46372</v>
      </c>
      <c r="V3" s="7">
        <f t="shared" si="0"/>
        <v>46373</v>
      </c>
      <c r="W3" s="7">
        <f t="shared" si="0"/>
        <v>46374</v>
      </c>
      <c r="X3" s="7">
        <f t="shared" si="0"/>
        <v>46375</v>
      </c>
      <c r="Y3" s="7">
        <f t="shared" si="0"/>
        <v>46376</v>
      </c>
      <c r="Z3" s="7">
        <f t="shared" si="0"/>
        <v>46377</v>
      </c>
      <c r="AA3" s="7">
        <f t="shared" si="0"/>
        <v>46378</v>
      </c>
      <c r="AB3" s="7">
        <f t="shared" si="0"/>
        <v>46379</v>
      </c>
      <c r="AC3" s="7">
        <f t="shared" si="0"/>
        <v>46380</v>
      </c>
      <c r="AD3" s="7">
        <f t="shared" si="0"/>
        <v>46381</v>
      </c>
      <c r="AE3" s="7">
        <f t="shared" si="0"/>
        <v>46382</v>
      </c>
      <c r="AF3" s="7">
        <f t="shared" si="0"/>
        <v>46383</v>
      </c>
      <c r="AG3" s="7">
        <f t="shared" si="0"/>
        <v>46384</v>
      </c>
      <c r="AH3" s="7">
        <f t="shared" si="0"/>
        <v>46385</v>
      </c>
      <c r="AI3" s="7">
        <f t="shared" si="0"/>
        <v>46386</v>
      </c>
      <c r="AJ3" s="7">
        <f t="shared" si="0"/>
        <v>46387</v>
      </c>
      <c r="AK3" s="76" t="s">
        <v>342</v>
      </c>
      <c r="AL3" s="76" t="s">
        <v>343</v>
      </c>
      <c r="AM3" s="76" t="s">
        <v>344</v>
      </c>
      <c r="AN3" s="78" t="s">
        <v>84</v>
      </c>
      <c r="AO3" s="76" t="s">
        <v>345</v>
      </c>
      <c r="AP3" s="76" t="s">
        <v>351</v>
      </c>
      <c r="AQ3" s="76" t="s">
        <v>352</v>
      </c>
      <c r="AR3" s="76" t="s">
        <v>346</v>
      </c>
      <c r="AS3" s="76" t="s">
        <v>347</v>
      </c>
      <c r="AT3" s="76" t="s">
        <v>348</v>
      </c>
      <c r="AU3" s="76" t="s">
        <v>349</v>
      </c>
      <c r="AV3" s="76" t="s">
        <v>353</v>
      </c>
    </row>
    <row r="4" spans="1:48" ht="34.5" x14ac:dyDescent="0.25">
      <c r="A4" s="77"/>
      <c r="B4" s="77"/>
      <c r="C4" s="77"/>
      <c r="D4" s="77"/>
      <c r="E4" s="77"/>
      <c r="F4" s="8" t="str">
        <f>TEXT(F3,"ddd")</f>
        <v>Tue</v>
      </c>
      <c r="G4" s="8" t="str">
        <f t="shared" ref="G4:AJ4" si="1">TEXT(G3,"ddd")</f>
        <v>Wed</v>
      </c>
      <c r="H4" s="8" t="str">
        <f t="shared" si="1"/>
        <v>Thu</v>
      </c>
      <c r="I4" s="8" t="str">
        <f t="shared" si="1"/>
        <v>Fri</v>
      </c>
      <c r="J4" s="8" t="str">
        <f t="shared" si="1"/>
        <v>Sat</v>
      </c>
      <c r="K4" s="8" t="str">
        <f t="shared" si="1"/>
        <v>Sun</v>
      </c>
      <c r="L4" s="8" t="str">
        <f t="shared" si="1"/>
        <v>Mon</v>
      </c>
      <c r="M4" s="8" t="str">
        <f t="shared" si="1"/>
        <v>Tue</v>
      </c>
      <c r="N4" s="8" t="str">
        <f t="shared" si="1"/>
        <v>Wed</v>
      </c>
      <c r="O4" s="8" t="str">
        <f t="shared" si="1"/>
        <v>Thu</v>
      </c>
      <c r="P4" s="8" t="str">
        <f t="shared" si="1"/>
        <v>Fri</v>
      </c>
      <c r="Q4" s="8" t="str">
        <f t="shared" si="1"/>
        <v>Sat</v>
      </c>
      <c r="R4" s="8" t="str">
        <f t="shared" si="1"/>
        <v>Sun</v>
      </c>
      <c r="S4" s="8" t="str">
        <f t="shared" si="1"/>
        <v>Mon</v>
      </c>
      <c r="T4" s="8" t="str">
        <f t="shared" si="1"/>
        <v>Tue</v>
      </c>
      <c r="U4" s="8" t="str">
        <f t="shared" si="1"/>
        <v>Wed</v>
      </c>
      <c r="V4" s="8" t="str">
        <f t="shared" si="1"/>
        <v>Thu</v>
      </c>
      <c r="W4" s="8" t="str">
        <f t="shared" si="1"/>
        <v>Fri</v>
      </c>
      <c r="X4" s="8" t="str">
        <f t="shared" si="1"/>
        <v>Sat</v>
      </c>
      <c r="Y4" s="8" t="str">
        <f t="shared" si="1"/>
        <v>Sun</v>
      </c>
      <c r="Z4" s="8" t="str">
        <f t="shared" si="1"/>
        <v>Mon</v>
      </c>
      <c r="AA4" s="8" t="str">
        <f t="shared" si="1"/>
        <v>Tue</v>
      </c>
      <c r="AB4" s="8" t="str">
        <f t="shared" si="1"/>
        <v>Wed</v>
      </c>
      <c r="AC4" s="8" t="str">
        <f t="shared" si="1"/>
        <v>Thu</v>
      </c>
      <c r="AD4" s="8" t="str">
        <f t="shared" si="1"/>
        <v>Fri</v>
      </c>
      <c r="AE4" s="8" t="str">
        <f t="shared" si="1"/>
        <v>Sat</v>
      </c>
      <c r="AF4" s="8" t="str">
        <f t="shared" si="1"/>
        <v>Sun</v>
      </c>
      <c r="AG4" s="8" t="str">
        <f t="shared" si="1"/>
        <v>Mon</v>
      </c>
      <c r="AH4" s="8" t="str">
        <f t="shared" si="1"/>
        <v>Tue</v>
      </c>
      <c r="AI4" s="8" t="str">
        <f t="shared" si="1"/>
        <v>Wed</v>
      </c>
      <c r="AJ4" s="8" t="str">
        <f t="shared" si="1"/>
        <v>Thu</v>
      </c>
      <c r="AK4" s="76"/>
      <c r="AL4" s="76"/>
      <c r="AM4" s="76"/>
      <c r="AN4" s="78"/>
      <c r="AO4" s="76"/>
      <c r="AP4" s="76"/>
      <c r="AQ4" s="76"/>
      <c r="AR4" s="76"/>
      <c r="AS4" s="76"/>
      <c r="AT4" s="76"/>
      <c r="AU4" s="76"/>
      <c r="AV4" s="76"/>
    </row>
    <row r="5" spans="1:48" ht="15.75" x14ac:dyDescent="0.25">
      <c r="A5" s="4" t="s">
        <v>6</v>
      </c>
      <c r="B5" s="4" t="str">
        <f>VLOOKUP($A5,Master!$A$2:$K$52,2,0)</f>
        <v>Employee1</v>
      </c>
      <c r="C5" s="4" t="str">
        <f>VLOOKUP($A5,Master!$A$2:$K$52,3,0)</f>
        <v>Male</v>
      </c>
      <c r="D5" s="4" t="str">
        <f>VLOOKUP($A5,Master!$A$2:$K$52,5,0)</f>
        <v>Warehouse</v>
      </c>
      <c r="E5" s="4" t="str">
        <f>VLOOKUP($A5,Master!$A$2:$K$52,6,0)</f>
        <v>Store Assistant</v>
      </c>
      <c r="F5" s="4" t="str">
        <f>IFERROR(LOOKUP(2,1/((#REF!=dec!$A5)*(#REF!&lt;=dec!F$3)*(#REF!&gt;=dec!F$3)),#REF!),IF(WEEKDAY(dec!F$3,1)=1,"WO","P"))</f>
        <v>P</v>
      </c>
      <c r="G5" s="4" t="str">
        <f>IFERROR(LOOKUP(2,1/((#REF!=dec!$A5)*(#REF!&lt;=dec!G$3)*(#REF!&gt;=dec!G$3)),#REF!),IF(WEEKDAY(dec!G$3,1)=1,"WO","P"))</f>
        <v>P</v>
      </c>
      <c r="H5" s="4" t="str">
        <f>IFERROR(LOOKUP(2,1/((#REF!=dec!$A5)*(#REF!&lt;=dec!H$3)*(#REF!&gt;=dec!H$3)),#REF!),IF(WEEKDAY(dec!H$3,1)=1,"WO","P"))</f>
        <v>P</v>
      </c>
      <c r="I5" s="4" t="str">
        <f>IFERROR(LOOKUP(2,1/((#REF!=dec!$A5)*(#REF!&lt;=dec!I$3)*(#REF!&gt;=dec!I$3)),#REF!),IF(WEEKDAY(dec!I$3,1)=1,"WO","P"))</f>
        <v>P</v>
      </c>
      <c r="J5" s="4" t="str">
        <f>IFERROR(LOOKUP(2,1/((#REF!=dec!$A5)*(#REF!&lt;=dec!J$3)*(#REF!&gt;=dec!J$3)),#REF!),IF(WEEKDAY(dec!J$3,1)=1,"WO","P"))</f>
        <v>P</v>
      </c>
      <c r="K5" s="4" t="str">
        <f>IFERROR(LOOKUP(2,1/((#REF!=dec!$A5)*(#REF!&lt;=dec!K$3)*(#REF!&gt;=dec!K$3)),#REF!),IF(WEEKDAY(dec!K$3,1)=1,"WO","P"))</f>
        <v>WO</v>
      </c>
      <c r="L5" s="4" t="str">
        <f>IFERROR(LOOKUP(2,1/((#REF!=dec!$A5)*(#REF!&lt;=dec!L$3)*(#REF!&gt;=dec!L$3)),#REF!),IF(WEEKDAY(dec!L$3,1)=1,"WO","P"))</f>
        <v>P</v>
      </c>
      <c r="M5" s="4" t="str">
        <f>IFERROR(LOOKUP(2,1/((#REF!=dec!$A5)*(#REF!&lt;=dec!M$3)*(#REF!&gt;=dec!M$3)),#REF!),IF(WEEKDAY(dec!M$3,1)=1,"WO","P"))</f>
        <v>P</v>
      </c>
      <c r="N5" s="4" t="str">
        <f>IFERROR(LOOKUP(2,1/((#REF!=dec!$A5)*(#REF!&lt;=dec!N$3)*(#REF!&gt;=dec!N$3)),#REF!),IF(WEEKDAY(dec!N$3,1)=1,"WO","P"))</f>
        <v>P</v>
      </c>
      <c r="O5" s="4" t="str">
        <f>IFERROR(LOOKUP(2,1/((#REF!=dec!$A5)*(#REF!&lt;=dec!O$3)*(#REF!&gt;=dec!O$3)),#REF!),IF(WEEKDAY(dec!O$3,1)=1,"WO","P"))</f>
        <v>P</v>
      </c>
      <c r="P5" s="4" t="str">
        <f>IFERROR(LOOKUP(2,1/((#REF!=dec!$A5)*(#REF!&lt;=dec!P$3)*(#REF!&gt;=dec!P$3)),#REF!),IF(WEEKDAY(dec!P$3,1)=1,"WO","P"))</f>
        <v>P</v>
      </c>
      <c r="Q5" s="4" t="str">
        <f>IFERROR(LOOKUP(2,1/((#REF!=dec!$A5)*(#REF!&lt;=dec!Q$3)*(#REF!&gt;=dec!Q$3)),#REF!),IF(WEEKDAY(dec!Q$3,1)=1,"WO","P"))</f>
        <v>P</v>
      </c>
      <c r="R5" s="4" t="str">
        <f>IFERROR(LOOKUP(2,1/((#REF!=dec!$A5)*(#REF!&lt;=dec!R$3)*(#REF!&gt;=dec!R$3)),#REF!),IF(WEEKDAY(dec!R$3,1)=1,"WO","P"))</f>
        <v>WO</v>
      </c>
      <c r="S5" s="4" t="str">
        <f>IFERROR(LOOKUP(2,1/((#REF!=dec!$A5)*(#REF!&lt;=dec!S$3)*(#REF!&gt;=dec!S$3)),#REF!),IF(WEEKDAY(dec!S$3,1)=1,"WO","P"))</f>
        <v>P</v>
      </c>
      <c r="T5" s="4" t="str">
        <f>IFERROR(LOOKUP(2,1/((#REF!=dec!$A5)*(#REF!&lt;=dec!T$3)*(#REF!&gt;=dec!T$3)),#REF!),IF(WEEKDAY(dec!T$3,1)=1,"WO","P"))</f>
        <v>P</v>
      </c>
      <c r="U5" s="4" t="str">
        <f>IFERROR(LOOKUP(2,1/((#REF!=dec!$A5)*(#REF!&lt;=dec!U$3)*(#REF!&gt;=dec!U$3)),#REF!),IF(WEEKDAY(dec!U$3,1)=1,"WO","P"))</f>
        <v>P</v>
      </c>
      <c r="V5" s="4" t="str">
        <f>IFERROR(LOOKUP(2,1/((#REF!=dec!$A5)*(#REF!&lt;=dec!V$3)*(#REF!&gt;=dec!V$3)),#REF!),IF(WEEKDAY(dec!V$3,1)=1,"WO","P"))</f>
        <v>P</v>
      </c>
      <c r="W5" s="4" t="str">
        <f>IFERROR(LOOKUP(2,1/((#REF!=dec!$A5)*(#REF!&lt;=dec!W$3)*(#REF!&gt;=dec!W$3)),#REF!),IF(WEEKDAY(dec!W$3,1)=1,"WO","P"))</f>
        <v>P</v>
      </c>
      <c r="X5" s="4" t="str">
        <f>IFERROR(LOOKUP(2,1/((#REF!=dec!$A5)*(#REF!&lt;=dec!X$3)*(#REF!&gt;=dec!X$3)),#REF!),IF(WEEKDAY(dec!X$3,1)=1,"WO","P"))</f>
        <v>P</v>
      </c>
      <c r="Y5" s="4" t="str">
        <f>IFERROR(LOOKUP(2,1/((#REF!=dec!$A5)*(#REF!&lt;=dec!Y$3)*(#REF!&gt;=dec!Y$3)),#REF!),IF(WEEKDAY(dec!Y$3,1)=1,"WO","P"))</f>
        <v>WO</v>
      </c>
      <c r="Z5" s="4" t="str">
        <f>IFERROR(LOOKUP(2,1/((#REF!=dec!$A5)*(#REF!&lt;=dec!Z$3)*(#REF!&gt;=dec!Z$3)),#REF!),IF(WEEKDAY(dec!Z$3,1)=1,"WO","P"))</f>
        <v>P</v>
      </c>
      <c r="AA5" s="4" t="str">
        <f>IFERROR(LOOKUP(2,1/((#REF!=dec!$A5)*(#REF!&lt;=dec!AA$3)*(#REF!&gt;=dec!AA$3)),#REF!),IF(WEEKDAY(dec!AA$3,1)=1,"WO","P"))</f>
        <v>P</v>
      </c>
      <c r="AB5" s="4" t="str">
        <f>IFERROR(LOOKUP(2,1/((#REF!=dec!$A5)*(#REF!&lt;=dec!AB$3)*(#REF!&gt;=dec!AB$3)),#REF!),IF(WEEKDAY(dec!AB$3,1)=1,"WO","P"))</f>
        <v>P</v>
      </c>
      <c r="AC5" s="4" t="str">
        <f>IFERROR(LOOKUP(2,1/((#REF!=dec!$A5)*(#REF!&lt;=dec!AC$3)*(#REF!&gt;=dec!AC$3)),#REF!),IF(WEEKDAY(dec!AC$3,1)=1,"WO","P"))</f>
        <v>P</v>
      </c>
      <c r="AD5" s="4" t="str">
        <f>IFERROR(LOOKUP(2,1/((#REF!=dec!$A5)*(#REF!&lt;=dec!AD$3)*(#REF!&gt;=dec!AD$3)),#REF!),IF(WEEKDAY(dec!AD$3,1)=1,"WO","P"))</f>
        <v>P</v>
      </c>
      <c r="AE5" s="4" t="str">
        <f>IFERROR(LOOKUP(2,1/((#REF!=dec!$A5)*(#REF!&lt;=dec!AE$3)*(#REF!&gt;=dec!AE$3)),#REF!),IF(WEEKDAY(dec!AE$3,1)=1,"WO","P"))</f>
        <v>P</v>
      </c>
      <c r="AF5" s="4" t="str">
        <f>IFERROR(LOOKUP(2,1/((#REF!=dec!$A5)*(#REF!&lt;=dec!AF$3)*(#REF!&gt;=dec!AF$3)),#REF!),IF(WEEKDAY(dec!AF$3,1)=1,"WO","P"))</f>
        <v>WO</v>
      </c>
      <c r="AG5" s="4" t="str">
        <f>IFERROR(LOOKUP(2,1/((#REF!=dec!$A5)*(#REF!&lt;=dec!AG$3)*(#REF!&gt;=dec!AG$3)),#REF!),IF(WEEKDAY(dec!AG$3,1)=1,"WO","P"))</f>
        <v>P</v>
      </c>
      <c r="AH5" s="4" t="str">
        <f>IFERROR(LOOKUP(2,1/((#REF!=dec!$A5)*(#REF!&lt;=dec!AH$3)*(#REF!&gt;=dec!AH$3)),#REF!),IF(WEEKDAY(dec!AH$3,1)=1,"WO","P"))</f>
        <v>P</v>
      </c>
      <c r="AI5" s="4" t="str">
        <f>IFERROR(LOOKUP(2,1/((#REF!=dec!$A5)*(#REF!&lt;=dec!AI$3)*(#REF!&gt;=dec!AI$3)),#REF!),IF(WEEKDAY(dec!AI$3,1)=1,"WO","P"))</f>
        <v>P</v>
      </c>
      <c r="AJ5" s="4" t="str">
        <f>IFERROR(LOOKUP(2,1/((#REF!=dec!$A5)*(#REF!&lt;=dec!AJ$3)*(#REF!&gt;=dec!AJ$3)),#REF!),IF(WEEKDAY(dec!AJ$3,1)=1,"WO","P"))</f>
        <v>P</v>
      </c>
      <c r="AK5" s="4">
        <f>COUNTIF(mar!$F5:$AJ5,"WO")</f>
        <v>5</v>
      </c>
      <c r="AL5" s="4">
        <f>COUNTIF(mar!$F5:$AJ5,"H")</f>
        <v>2</v>
      </c>
      <c r="AM5" s="4">
        <f>COUNTIF(mar!$F5:$AJ5,"pl")</f>
        <v>0</v>
      </c>
      <c r="AN5" s="4">
        <f>COUNTIF(mar!$F5:$AJ5,"LWP")</f>
        <v>0</v>
      </c>
      <c r="AO5" s="4">
        <f>COUNTIF(mar!$F5:$AJ5,"HD")</f>
        <v>0</v>
      </c>
      <c r="AP5" s="4">
        <f>COUNTIF(mar!$F5:$AJ5,"SL")</f>
        <v>0</v>
      </c>
      <c r="AQ5" s="4">
        <f>COUNTIF(mar!$F5:$AJ5,"CL")</f>
        <v>0</v>
      </c>
      <c r="AR5" s="4">
        <f>COUNTIF(mar!$F5:$AJ5,"A")</f>
        <v>2</v>
      </c>
      <c r="AS5" s="4">
        <f>COUNTIF(mar!$F5:$AJ5,"P")</f>
        <v>22</v>
      </c>
      <c r="AT5" s="4">
        <f>COUNTA($F5:$AJ5)</f>
        <v>31</v>
      </c>
      <c r="AU5" s="4">
        <f>AK5+AL5+AM5+AP5+AQ5+AS5+(AO5/2)</f>
        <v>29</v>
      </c>
      <c r="AV5" s="4">
        <f>SUMIFS(holly!$L$2:$L$122,holly!$I$2:$I$122,mar!$A5,holly!$K$2:$K$122,"Mar")</f>
        <v>0</v>
      </c>
    </row>
    <row r="6" spans="1:48" ht="15.75" x14ac:dyDescent="0.25">
      <c r="A6" s="4" t="s">
        <v>10</v>
      </c>
      <c r="B6" s="4" t="str">
        <f>VLOOKUP($A6,Master!$A$2:$K$52,2,0)</f>
        <v>Employee2</v>
      </c>
      <c r="C6" s="4" t="str">
        <f>VLOOKUP($A6,Master!$A$2:$K$52,3,0)</f>
        <v>Male</v>
      </c>
      <c r="D6" s="4" t="str">
        <f>VLOOKUP($A6,Master!$A$2:$K$52,5,0)</f>
        <v>Production</v>
      </c>
      <c r="E6" s="4" t="str">
        <f>VLOOKUP($A6,Master!$A$2:$K$52,6,0)</f>
        <v>Supervisor</v>
      </c>
      <c r="F6" s="4" t="str">
        <f>IFERROR(LOOKUP(2,1/((#REF!=dec!$A6)*(#REF!&lt;=dec!F$3)*(#REF!&gt;=dec!F$3)),#REF!),IF(WEEKDAY(dec!F$3,1)=1,"WO","P"))</f>
        <v>P</v>
      </c>
      <c r="G6" s="4" t="str">
        <f>IFERROR(LOOKUP(2,1/((#REF!=dec!$A6)*(#REF!&lt;=dec!G$3)*(#REF!&gt;=dec!G$3)),#REF!),IF(WEEKDAY(dec!G$3,1)=1,"WO","P"))</f>
        <v>P</v>
      </c>
      <c r="H6" s="4" t="str">
        <f>IFERROR(LOOKUP(2,1/((#REF!=dec!$A6)*(#REF!&lt;=dec!H$3)*(#REF!&gt;=dec!H$3)),#REF!),IF(WEEKDAY(dec!H$3,1)=1,"WO","P"))</f>
        <v>P</v>
      </c>
      <c r="I6" s="4" t="str">
        <f>IFERROR(LOOKUP(2,1/((#REF!=dec!$A6)*(#REF!&lt;=dec!I$3)*(#REF!&gt;=dec!I$3)),#REF!),IF(WEEKDAY(dec!I$3,1)=1,"WO","P"))</f>
        <v>P</v>
      </c>
      <c r="J6" s="4" t="str">
        <f>IFERROR(LOOKUP(2,1/((#REF!=dec!$A6)*(#REF!&lt;=dec!J$3)*(#REF!&gt;=dec!J$3)),#REF!),IF(WEEKDAY(dec!J$3,1)=1,"WO","P"))</f>
        <v>P</v>
      </c>
      <c r="K6" s="4" t="str">
        <f>IFERROR(LOOKUP(2,1/((#REF!=dec!$A6)*(#REF!&lt;=dec!K$3)*(#REF!&gt;=dec!K$3)),#REF!),IF(WEEKDAY(dec!K$3,1)=1,"WO","P"))</f>
        <v>WO</v>
      </c>
      <c r="L6" s="4" t="str">
        <f>IFERROR(LOOKUP(2,1/((#REF!=dec!$A6)*(#REF!&lt;=dec!L$3)*(#REF!&gt;=dec!L$3)),#REF!),IF(WEEKDAY(dec!L$3,1)=1,"WO","P"))</f>
        <v>P</v>
      </c>
      <c r="M6" s="4" t="str">
        <f>IFERROR(LOOKUP(2,1/((#REF!=dec!$A6)*(#REF!&lt;=dec!M$3)*(#REF!&gt;=dec!M$3)),#REF!),IF(WEEKDAY(dec!M$3,1)=1,"WO","P"))</f>
        <v>P</v>
      </c>
      <c r="N6" s="4" t="str">
        <f>IFERROR(LOOKUP(2,1/((#REF!=dec!$A6)*(#REF!&lt;=dec!N$3)*(#REF!&gt;=dec!N$3)),#REF!),IF(WEEKDAY(dec!N$3,1)=1,"WO","P"))</f>
        <v>P</v>
      </c>
      <c r="O6" s="4" t="str">
        <f>IFERROR(LOOKUP(2,1/((#REF!=dec!$A6)*(#REF!&lt;=dec!O$3)*(#REF!&gt;=dec!O$3)),#REF!),IF(WEEKDAY(dec!O$3,1)=1,"WO","P"))</f>
        <v>P</v>
      </c>
      <c r="P6" s="4" t="str">
        <f>IFERROR(LOOKUP(2,1/((#REF!=dec!$A6)*(#REF!&lt;=dec!P$3)*(#REF!&gt;=dec!P$3)),#REF!),IF(WEEKDAY(dec!P$3,1)=1,"WO","P"))</f>
        <v>P</v>
      </c>
      <c r="Q6" s="4" t="str">
        <f>IFERROR(LOOKUP(2,1/((#REF!=dec!$A6)*(#REF!&lt;=dec!Q$3)*(#REF!&gt;=dec!Q$3)),#REF!),IF(WEEKDAY(dec!Q$3,1)=1,"WO","P"))</f>
        <v>P</v>
      </c>
      <c r="R6" s="4" t="str">
        <f>IFERROR(LOOKUP(2,1/((#REF!=dec!$A6)*(#REF!&lt;=dec!R$3)*(#REF!&gt;=dec!R$3)),#REF!),IF(WEEKDAY(dec!R$3,1)=1,"WO","P"))</f>
        <v>WO</v>
      </c>
      <c r="S6" s="4" t="str">
        <f>IFERROR(LOOKUP(2,1/((#REF!=dec!$A6)*(#REF!&lt;=dec!S$3)*(#REF!&gt;=dec!S$3)),#REF!),IF(WEEKDAY(dec!S$3,1)=1,"WO","P"))</f>
        <v>P</v>
      </c>
      <c r="T6" s="4" t="str">
        <f>IFERROR(LOOKUP(2,1/((#REF!=dec!$A6)*(#REF!&lt;=dec!T$3)*(#REF!&gt;=dec!T$3)),#REF!),IF(WEEKDAY(dec!T$3,1)=1,"WO","P"))</f>
        <v>P</v>
      </c>
      <c r="U6" s="4" t="str">
        <f>IFERROR(LOOKUP(2,1/((#REF!=dec!$A6)*(#REF!&lt;=dec!U$3)*(#REF!&gt;=dec!U$3)),#REF!),IF(WEEKDAY(dec!U$3,1)=1,"WO","P"))</f>
        <v>P</v>
      </c>
      <c r="V6" s="4" t="str">
        <f>IFERROR(LOOKUP(2,1/((#REF!=dec!$A6)*(#REF!&lt;=dec!V$3)*(#REF!&gt;=dec!V$3)),#REF!),IF(WEEKDAY(dec!V$3,1)=1,"WO","P"))</f>
        <v>P</v>
      </c>
      <c r="W6" s="4" t="str">
        <f>IFERROR(LOOKUP(2,1/((#REF!=dec!$A6)*(#REF!&lt;=dec!W$3)*(#REF!&gt;=dec!W$3)),#REF!),IF(WEEKDAY(dec!W$3,1)=1,"WO","P"))</f>
        <v>P</v>
      </c>
      <c r="X6" s="4" t="str">
        <f>IFERROR(LOOKUP(2,1/((#REF!=dec!$A6)*(#REF!&lt;=dec!X$3)*(#REF!&gt;=dec!X$3)),#REF!),IF(WEEKDAY(dec!X$3,1)=1,"WO","P"))</f>
        <v>P</v>
      </c>
      <c r="Y6" s="4" t="str">
        <f>IFERROR(LOOKUP(2,1/((#REF!=dec!$A6)*(#REF!&lt;=dec!Y$3)*(#REF!&gt;=dec!Y$3)),#REF!),IF(WEEKDAY(dec!Y$3,1)=1,"WO","P"))</f>
        <v>WO</v>
      </c>
      <c r="Z6" s="4" t="str">
        <f>IFERROR(LOOKUP(2,1/((#REF!=dec!$A6)*(#REF!&lt;=dec!Z$3)*(#REF!&gt;=dec!Z$3)),#REF!),IF(WEEKDAY(dec!Z$3,1)=1,"WO","P"))</f>
        <v>P</v>
      </c>
      <c r="AA6" s="4" t="str">
        <f>IFERROR(LOOKUP(2,1/((#REF!=dec!$A6)*(#REF!&lt;=dec!AA$3)*(#REF!&gt;=dec!AA$3)),#REF!),IF(WEEKDAY(dec!AA$3,1)=1,"WO","P"))</f>
        <v>P</v>
      </c>
      <c r="AB6" s="4" t="str">
        <f>IFERROR(LOOKUP(2,1/((#REF!=dec!$A6)*(#REF!&lt;=dec!AB$3)*(#REF!&gt;=dec!AB$3)),#REF!),IF(WEEKDAY(dec!AB$3,1)=1,"WO","P"))</f>
        <v>P</v>
      </c>
      <c r="AC6" s="4" t="str">
        <f>IFERROR(LOOKUP(2,1/((#REF!=dec!$A6)*(#REF!&lt;=dec!AC$3)*(#REF!&gt;=dec!AC$3)),#REF!),IF(WEEKDAY(dec!AC$3,1)=1,"WO","P"))</f>
        <v>P</v>
      </c>
      <c r="AD6" s="4" t="str">
        <f>IFERROR(LOOKUP(2,1/((#REF!=dec!$A6)*(#REF!&lt;=dec!AD$3)*(#REF!&gt;=dec!AD$3)),#REF!),IF(WEEKDAY(dec!AD$3,1)=1,"WO","P"))</f>
        <v>P</v>
      </c>
      <c r="AE6" s="4" t="str">
        <f>IFERROR(LOOKUP(2,1/((#REF!=dec!$A6)*(#REF!&lt;=dec!AE$3)*(#REF!&gt;=dec!AE$3)),#REF!),IF(WEEKDAY(dec!AE$3,1)=1,"WO","P"))</f>
        <v>P</v>
      </c>
      <c r="AF6" s="4" t="str">
        <f>IFERROR(LOOKUP(2,1/((#REF!=dec!$A6)*(#REF!&lt;=dec!AF$3)*(#REF!&gt;=dec!AF$3)),#REF!),IF(WEEKDAY(dec!AF$3,1)=1,"WO","P"))</f>
        <v>WO</v>
      </c>
      <c r="AG6" s="4" t="str">
        <f>IFERROR(LOOKUP(2,1/((#REF!=dec!$A6)*(#REF!&lt;=dec!AG$3)*(#REF!&gt;=dec!AG$3)),#REF!),IF(WEEKDAY(dec!AG$3,1)=1,"WO","P"))</f>
        <v>P</v>
      </c>
      <c r="AH6" s="4" t="str">
        <f>IFERROR(LOOKUP(2,1/((#REF!=dec!$A6)*(#REF!&lt;=dec!AH$3)*(#REF!&gt;=dec!AH$3)),#REF!),IF(WEEKDAY(dec!AH$3,1)=1,"WO","P"))</f>
        <v>P</v>
      </c>
      <c r="AI6" s="4" t="str">
        <f>IFERROR(LOOKUP(2,1/((#REF!=dec!$A6)*(#REF!&lt;=dec!AI$3)*(#REF!&gt;=dec!AI$3)),#REF!),IF(WEEKDAY(dec!AI$3,1)=1,"WO","P"))</f>
        <v>P</v>
      </c>
      <c r="AJ6" s="4" t="str">
        <f>IFERROR(LOOKUP(2,1/((#REF!=dec!$A6)*(#REF!&lt;=dec!AJ$3)*(#REF!&gt;=dec!AJ$3)),#REF!),IF(WEEKDAY(dec!AJ$3,1)=1,"WO","P"))</f>
        <v>P</v>
      </c>
      <c r="AK6" s="4">
        <f>COUNTIF(mar!$F6:$AJ6,"WO")</f>
        <v>5</v>
      </c>
      <c r="AL6" s="4">
        <f>COUNTIF(mar!$F6:$AJ6,"H")</f>
        <v>2</v>
      </c>
      <c r="AM6" s="4">
        <f>COUNTIF(mar!$F6:$AJ6,"pl")</f>
        <v>0</v>
      </c>
      <c r="AN6" s="4">
        <f>COUNTIF(mar!$F6:$AJ6,"LWP")</f>
        <v>0</v>
      </c>
      <c r="AO6" s="4">
        <f>COUNTIF(mar!$F6:$AJ6,"HD")</f>
        <v>0</v>
      </c>
      <c r="AP6" s="4">
        <f>COUNTIF(mar!$F6:$AJ6,"SL")</f>
        <v>0</v>
      </c>
      <c r="AQ6" s="4">
        <f>COUNTIF(mar!$F6:$AJ6,"CL")</f>
        <v>0</v>
      </c>
      <c r="AR6" s="4">
        <f>COUNTIF(mar!$F6:$AJ6,"A")</f>
        <v>0</v>
      </c>
      <c r="AS6" s="4">
        <f>COUNTIF(mar!$F6:$AJ6,"P")</f>
        <v>24</v>
      </c>
      <c r="AT6" s="4">
        <f t="shared" ref="AT6:AT54" si="2">COUNTA($F6:$AJ6)</f>
        <v>31</v>
      </c>
      <c r="AU6" s="4">
        <f t="shared" ref="AU6:AU54" si="3">AK6+AL6+AM6+AP6+AQ6+AS6+(AO6/2)</f>
        <v>31</v>
      </c>
      <c r="AV6" s="4">
        <f>SUMIFS(holly!$L$2:$L$122,holly!$I$2:$I$122,mar!$A6,holly!$K$2:$K$122,"Mar")</f>
        <v>0</v>
      </c>
    </row>
    <row r="7" spans="1:48" ht="15.75" x14ac:dyDescent="0.25">
      <c r="A7" s="4" t="s">
        <v>13</v>
      </c>
      <c r="B7" s="4" t="str">
        <f>VLOOKUP($A7,Master!$A$2:$K$52,2,0)</f>
        <v>Employee3</v>
      </c>
      <c r="C7" s="4" t="str">
        <f>VLOOKUP($A7,Master!$A$2:$K$52,3,0)</f>
        <v>Female</v>
      </c>
      <c r="D7" s="4" t="str">
        <f>VLOOKUP($A7,Master!$A$2:$K$52,5,0)</f>
        <v>Production</v>
      </c>
      <c r="E7" s="4" t="str">
        <f>VLOOKUP($A7,Master!$A$2:$K$52,6,0)</f>
        <v>Operator</v>
      </c>
      <c r="F7" s="4" t="str">
        <f>IFERROR(LOOKUP(2,1/((#REF!=dec!$A7)*(#REF!&lt;=dec!F$3)*(#REF!&gt;=dec!F$3)),#REF!),IF(WEEKDAY(dec!F$3,1)=1,"WO","P"))</f>
        <v>P</v>
      </c>
      <c r="G7" s="4" t="str">
        <f>IFERROR(LOOKUP(2,1/((#REF!=dec!$A7)*(#REF!&lt;=dec!G$3)*(#REF!&gt;=dec!G$3)),#REF!),IF(WEEKDAY(dec!G$3,1)=1,"WO","P"))</f>
        <v>P</v>
      </c>
      <c r="H7" s="4" t="str">
        <f>IFERROR(LOOKUP(2,1/((#REF!=dec!$A7)*(#REF!&lt;=dec!H$3)*(#REF!&gt;=dec!H$3)),#REF!),IF(WEEKDAY(dec!H$3,1)=1,"WO","P"))</f>
        <v>P</v>
      </c>
      <c r="I7" s="4" t="str">
        <f>IFERROR(LOOKUP(2,1/((#REF!=dec!$A7)*(#REF!&lt;=dec!I$3)*(#REF!&gt;=dec!I$3)),#REF!),IF(WEEKDAY(dec!I$3,1)=1,"WO","P"))</f>
        <v>P</v>
      </c>
      <c r="J7" s="4" t="str">
        <f>IFERROR(LOOKUP(2,1/((#REF!=dec!$A7)*(#REF!&lt;=dec!J$3)*(#REF!&gt;=dec!J$3)),#REF!),IF(WEEKDAY(dec!J$3,1)=1,"WO","P"))</f>
        <v>P</v>
      </c>
      <c r="K7" s="4" t="str">
        <f>IFERROR(LOOKUP(2,1/((#REF!=dec!$A7)*(#REF!&lt;=dec!K$3)*(#REF!&gt;=dec!K$3)),#REF!),IF(WEEKDAY(dec!K$3,1)=1,"WO","P"))</f>
        <v>WO</v>
      </c>
      <c r="L7" s="4" t="str">
        <f>IFERROR(LOOKUP(2,1/((#REF!=dec!$A7)*(#REF!&lt;=dec!L$3)*(#REF!&gt;=dec!L$3)),#REF!),IF(WEEKDAY(dec!L$3,1)=1,"WO","P"))</f>
        <v>P</v>
      </c>
      <c r="M7" s="4" t="str">
        <f>IFERROR(LOOKUP(2,1/((#REF!=dec!$A7)*(#REF!&lt;=dec!M$3)*(#REF!&gt;=dec!M$3)),#REF!),IF(WEEKDAY(dec!M$3,1)=1,"WO","P"))</f>
        <v>P</v>
      </c>
      <c r="N7" s="4" t="str">
        <f>IFERROR(LOOKUP(2,1/((#REF!=dec!$A7)*(#REF!&lt;=dec!N$3)*(#REF!&gt;=dec!N$3)),#REF!),IF(WEEKDAY(dec!N$3,1)=1,"WO","P"))</f>
        <v>P</v>
      </c>
      <c r="O7" s="4" t="str">
        <f>IFERROR(LOOKUP(2,1/((#REF!=dec!$A7)*(#REF!&lt;=dec!O$3)*(#REF!&gt;=dec!O$3)),#REF!),IF(WEEKDAY(dec!O$3,1)=1,"WO","P"))</f>
        <v>P</v>
      </c>
      <c r="P7" s="4" t="str">
        <f>IFERROR(LOOKUP(2,1/((#REF!=dec!$A7)*(#REF!&lt;=dec!P$3)*(#REF!&gt;=dec!P$3)),#REF!),IF(WEEKDAY(dec!P$3,1)=1,"WO","P"))</f>
        <v>P</v>
      </c>
      <c r="Q7" s="4" t="str">
        <f>IFERROR(LOOKUP(2,1/((#REF!=dec!$A7)*(#REF!&lt;=dec!Q$3)*(#REF!&gt;=dec!Q$3)),#REF!),IF(WEEKDAY(dec!Q$3,1)=1,"WO","P"))</f>
        <v>P</v>
      </c>
      <c r="R7" s="4" t="str">
        <f>IFERROR(LOOKUP(2,1/((#REF!=dec!$A7)*(#REF!&lt;=dec!R$3)*(#REF!&gt;=dec!R$3)),#REF!),IF(WEEKDAY(dec!R$3,1)=1,"WO","P"))</f>
        <v>WO</v>
      </c>
      <c r="S7" s="4" t="str">
        <f>IFERROR(LOOKUP(2,1/((#REF!=dec!$A7)*(#REF!&lt;=dec!S$3)*(#REF!&gt;=dec!S$3)),#REF!),IF(WEEKDAY(dec!S$3,1)=1,"WO","P"))</f>
        <v>P</v>
      </c>
      <c r="T7" s="4" t="str">
        <f>IFERROR(LOOKUP(2,1/((#REF!=dec!$A7)*(#REF!&lt;=dec!T$3)*(#REF!&gt;=dec!T$3)),#REF!),IF(WEEKDAY(dec!T$3,1)=1,"WO","P"))</f>
        <v>P</v>
      </c>
      <c r="U7" s="4" t="str">
        <f>IFERROR(LOOKUP(2,1/((#REF!=dec!$A7)*(#REF!&lt;=dec!U$3)*(#REF!&gt;=dec!U$3)),#REF!),IF(WEEKDAY(dec!U$3,1)=1,"WO","P"))</f>
        <v>P</v>
      </c>
      <c r="V7" s="4" t="str">
        <f>IFERROR(LOOKUP(2,1/((#REF!=dec!$A7)*(#REF!&lt;=dec!V$3)*(#REF!&gt;=dec!V$3)),#REF!),IF(WEEKDAY(dec!V$3,1)=1,"WO","P"))</f>
        <v>P</v>
      </c>
      <c r="W7" s="4" t="str">
        <f>IFERROR(LOOKUP(2,1/((#REF!=dec!$A7)*(#REF!&lt;=dec!W$3)*(#REF!&gt;=dec!W$3)),#REF!),IF(WEEKDAY(dec!W$3,1)=1,"WO","P"))</f>
        <v>P</v>
      </c>
      <c r="X7" s="4" t="str">
        <f>IFERROR(LOOKUP(2,1/((#REF!=dec!$A7)*(#REF!&lt;=dec!X$3)*(#REF!&gt;=dec!X$3)),#REF!),IF(WEEKDAY(dec!X$3,1)=1,"WO","P"))</f>
        <v>P</v>
      </c>
      <c r="Y7" s="4" t="str">
        <f>IFERROR(LOOKUP(2,1/((#REF!=dec!$A7)*(#REF!&lt;=dec!Y$3)*(#REF!&gt;=dec!Y$3)),#REF!),IF(WEEKDAY(dec!Y$3,1)=1,"WO","P"))</f>
        <v>WO</v>
      </c>
      <c r="Z7" s="4" t="str">
        <f>IFERROR(LOOKUP(2,1/((#REF!=dec!$A7)*(#REF!&lt;=dec!Z$3)*(#REF!&gt;=dec!Z$3)),#REF!),IF(WEEKDAY(dec!Z$3,1)=1,"WO","P"))</f>
        <v>P</v>
      </c>
      <c r="AA7" s="4" t="str">
        <f>IFERROR(LOOKUP(2,1/((#REF!=dec!$A7)*(#REF!&lt;=dec!AA$3)*(#REF!&gt;=dec!AA$3)),#REF!),IF(WEEKDAY(dec!AA$3,1)=1,"WO","P"))</f>
        <v>P</v>
      </c>
      <c r="AB7" s="4" t="str">
        <f>IFERROR(LOOKUP(2,1/((#REF!=dec!$A7)*(#REF!&lt;=dec!AB$3)*(#REF!&gt;=dec!AB$3)),#REF!),IF(WEEKDAY(dec!AB$3,1)=1,"WO","P"))</f>
        <v>P</v>
      </c>
      <c r="AC7" s="4" t="str">
        <f>IFERROR(LOOKUP(2,1/((#REF!=dec!$A7)*(#REF!&lt;=dec!AC$3)*(#REF!&gt;=dec!AC$3)),#REF!),IF(WEEKDAY(dec!AC$3,1)=1,"WO","P"))</f>
        <v>P</v>
      </c>
      <c r="AD7" s="4" t="str">
        <f>IFERROR(LOOKUP(2,1/((#REF!=dec!$A7)*(#REF!&lt;=dec!AD$3)*(#REF!&gt;=dec!AD$3)),#REF!),IF(WEEKDAY(dec!AD$3,1)=1,"WO","P"))</f>
        <v>P</v>
      </c>
      <c r="AE7" s="4" t="str">
        <f>IFERROR(LOOKUP(2,1/((#REF!=dec!$A7)*(#REF!&lt;=dec!AE$3)*(#REF!&gt;=dec!AE$3)),#REF!),IF(WEEKDAY(dec!AE$3,1)=1,"WO","P"))</f>
        <v>P</v>
      </c>
      <c r="AF7" s="4" t="str">
        <f>IFERROR(LOOKUP(2,1/((#REF!=dec!$A7)*(#REF!&lt;=dec!AF$3)*(#REF!&gt;=dec!AF$3)),#REF!),IF(WEEKDAY(dec!AF$3,1)=1,"WO","P"))</f>
        <v>WO</v>
      </c>
      <c r="AG7" s="4" t="str">
        <f>IFERROR(LOOKUP(2,1/((#REF!=dec!$A7)*(#REF!&lt;=dec!AG$3)*(#REF!&gt;=dec!AG$3)),#REF!),IF(WEEKDAY(dec!AG$3,1)=1,"WO","P"))</f>
        <v>P</v>
      </c>
      <c r="AH7" s="4" t="str">
        <f>IFERROR(LOOKUP(2,1/((#REF!=dec!$A7)*(#REF!&lt;=dec!AH$3)*(#REF!&gt;=dec!AH$3)),#REF!),IF(WEEKDAY(dec!AH$3,1)=1,"WO","P"))</f>
        <v>P</v>
      </c>
      <c r="AI7" s="4" t="str">
        <f>IFERROR(LOOKUP(2,1/((#REF!=dec!$A7)*(#REF!&lt;=dec!AI$3)*(#REF!&gt;=dec!AI$3)),#REF!),IF(WEEKDAY(dec!AI$3,1)=1,"WO","P"))</f>
        <v>P</v>
      </c>
      <c r="AJ7" s="4" t="str">
        <f>IFERROR(LOOKUP(2,1/((#REF!=dec!$A7)*(#REF!&lt;=dec!AJ$3)*(#REF!&gt;=dec!AJ$3)),#REF!),IF(WEEKDAY(dec!AJ$3,1)=1,"WO","P"))</f>
        <v>P</v>
      </c>
      <c r="AK7" s="4">
        <f>COUNTIF(mar!$F7:$AJ7,"WO")</f>
        <v>5</v>
      </c>
      <c r="AL7" s="4">
        <f>COUNTIF(mar!$F7:$AJ7,"H")</f>
        <v>2</v>
      </c>
      <c r="AM7" s="4">
        <f>COUNTIF(mar!$F7:$AJ7,"pl")</f>
        <v>0</v>
      </c>
      <c r="AN7" s="4">
        <f>COUNTIF(mar!$F7:$AJ7,"LWP")</f>
        <v>0</v>
      </c>
      <c r="AO7" s="4">
        <f>COUNTIF(mar!$F7:$AJ7,"HD")</f>
        <v>0</v>
      </c>
      <c r="AP7" s="4">
        <f>COUNTIF(mar!$F7:$AJ7,"SL")</f>
        <v>0</v>
      </c>
      <c r="AQ7" s="4">
        <f>COUNTIF(mar!$F7:$AJ7,"CL")</f>
        <v>0</v>
      </c>
      <c r="AR7" s="4">
        <f>COUNTIF(mar!$F7:$AJ7,"A")</f>
        <v>2</v>
      </c>
      <c r="AS7" s="4">
        <f>COUNTIF(mar!$F7:$AJ7,"P")</f>
        <v>22</v>
      </c>
      <c r="AT7" s="4">
        <f t="shared" si="2"/>
        <v>31</v>
      </c>
      <c r="AU7" s="4">
        <f t="shared" si="3"/>
        <v>29</v>
      </c>
      <c r="AV7" s="4">
        <f>SUMIFS(holly!$L$2:$L$122,holly!$I$2:$I$122,mar!$A7,holly!$K$2:$K$122,"Mar")</f>
        <v>0</v>
      </c>
    </row>
    <row r="8" spans="1:48" ht="15.75" x14ac:dyDescent="0.25">
      <c r="A8" s="4" t="s">
        <v>17</v>
      </c>
      <c r="B8" s="4" t="str">
        <f>VLOOKUP($A8,Master!$A$2:$K$52,2,0)</f>
        <v>Employee4</v>
      </c>
      <c r="C8" s="4" t="str">
        <f>VLOOKUP($A8,Master!$A$2:$K$52,3,0)</f>
        <v>Male</v>
      </c>
      <c r="D8" s="4" t="str">
        <f>VLOOKUP($A8,Master!$A$2:$K$52,5,0)</f>
        <v>Production</v>
      </c>
      <c r="E8" s="4" t="str">
        <f>VLOOKUP($A8,Master!$A$2:$K$52,6,0)</f>
        <v>Operator</v>
      </c>
      <c r="F8" s="4" t="str">
        <f>IFERROR(LOOKUP(2,1/((#REF!=dec!$A8)*(#REF!&lt;=dec!F$3)*(#REF!&gt;=dec!F$3)),#REF!),IF(WEEKDAY(dec!F$3,1)=1,"WO","P"))</f>
        <v>P</v>
      </c>
      <c r="G8" s="4" t="str">
        <f>IFERROR(LOOKUP(2,1/((#REF!=dec!$A8)*(#REF!&lt;=dec!G$3)*(#REF!&gt;=dec!G$3)),#REF!),IF(WEEKDAY(dec!G$3,1)=1,"WO","P"))</f>
        <v>P</v>
      </c>
      <c r="H8" s="4" t="str">
        <f>IFERROR(LOOKUP(2,1/((#REF!=dec!$A8)*(#REF!&lt;=dec!H$3)*(#REF!&gt;=dec!H$3)),#REF!),IF(WEEKDAY(dec!H$3,1)=1,"WO","P"))</f>
        <v>P</v>
      </c>
      <c r="I8" s="4" t="str">
        <f>IFERROR(LOOKUP(2,1/((#REF!=dec!$A8)*(#REF!&lt;=dec!I$3)*(#REF!&gt;=dec!I$3)),#REF!),IF(WEEKDAY(dec!I$3,1)=1,"WO","P"))</f>
        <v>P</v>
      </c>
      <c r="J8" s="4" t="str">
        <f>IFERROR(LOOKUP(2,1/((#REF!=dec!$A8)*(#REF!&lt;=dec!J$3)*(#REF!&gt;=dec!J$3)),#REF!),IF(WEEKDAY(dec!J$3,1)=1,"WO","P"))</f>
        <v>P</v>
      </c>
      <c r="K8" s="4" t="str">
        <f>IFERROR(LOOKUP(2,1/((#REF!=dec!$A8)*(#REF!&lt;=dec!K$3)*(#REF!&gt;=dec!K$3)),#REF!),IF(WEEKDAY(dec!K$3,1)=1,"WO","P"))</f>
        <v>WO</v>
      </c>
      <c r="L8" s="4" t="str">
        <f>IFERROR(LOOKUP(2,1/((#REF!=dec!$A8)*(#REF!&lt;=dec!L$3)*(#REF!&gt;=dec!L$3)),#REF!),IF(WEEKDAY(dec!L$3,1)=1,"WO","P"))</f>
        <v>P</v>
      </c>
      <c r="M8" s="4" t="str">
        <f>IFERROR(LOOKUP(2,1/((#REF!=dec!$A8)*(#REF!&lt;=dec!M$3)*(#REF!&gt;=dec!M$3)),#REF!),IF(WEEKDAY(dec!M$3,1)=1,"WO","P"))</f>
        <v>P</v>
      </c>
      <c r="N8" s="4" t="str">
        <f>IFERROR(LOOKUP(2,1/((#REF!=dec!$A8)*(#REF!&lt;=dec!N$3)*(#REF!&gt;=dec!N$3)),#REF!),IF(WEEKDAY(dec!N$3,1)=1,"WO","P"))</f>
        <v>P</v>
      </c>
      <c r="O8" s="4" t="str">
        <f>IFERROR(LOOKUP(2,1/((#REF!=dec!$A8)*(#REF!&lt;=dec!O$3)*(#REF!&gt;=dec!O$3)),#REF!),IF(WEEKDAY(dec!O$3,1)=1,"WO","P"))</f>
        <v>P</v>
      </c>
      <c r="P8" s="4" t="str">
        <f>IFERROR(LOOKUP(2,1/((#REF!=dec!$A8)*(#REF!&lt;=dec!P$3)*(#REF!&gt;=dec!P$3)),#REF!),IF(WEEKDAY(dec!P$3,1)=1,"WO","P"))</f>
        <v>P</v>
      </c>
      <c r="Q8" s="4" t="str">
        <f>IFERROR(LOOKUP(2,1/((#REF!=dec!$A8)*(#REF!&lt;=dec!Q$3)*(#REF!&gt;=dec!Q$3)),#REF!),IF(WEEKDAY(dec!Q$3,1)=1,"WO","P"))</f>
        <v>P</v>
      </c>
      <c r="R8" s="4" t="str">
        <f>IFERROR(LOOKUP(2,1/((#REF!=dec!$A8)*(#REF!&lt;=dec!R$3)*(#REF!&gt;=dec!R$3)),#REF!),IF(WEEKDAY(dec!R$3,1)=1,"WO","P"))</f>
        <v>WO</v>
      </c>
      <c r="S8" s="4" t="str">
        <f>IFERROR(LOOKUP(2,1/((#REF!=dec!$A8)*(#REF!&lt;=dec!S$3)*(#REF!&gt;=dec!S$3)),#REF!),IF(WEEKDAY(dec!S$3,1)=1,"WO","P"))</f>
        <v>P</v>
      </c>
      <c r="T8" s="4" t="str">
        <f>IFERROR(LOOKUP(2,1/((#REF!=dec!$A8)*(#REF!&lt;=dec!T$3)*(#REF!&gt;=dec!T$3)),#REF!),IF(WEEKDAY(dec!T$3,1)=1,"WO","P"))</f>
        <v>P</v>
      </c>
      <c r="U8" s="4" t="str">
        <f>IFERROR(LOOKUP(2,1/((#REF!=dec!$A8)*(#REF!&lt;=dec!U$3)*(#REF!&gt;=dec!U$3)),#REF!),IF(WEEKDAY(dec!U$3,1)=1,"WO","P"))</f>
        <v>P</v>
      </c>
      <c r="V8" s="4" t="str">
        <f>IFERROR(LOOKUP(2,1/((#REF!=dec!$A8)*(#REF!&lt;=dec!V$3)*(#REF!&gt;=dec!V$3)),#REF!),IF(WEEKDAY(dec!V$3,1)=1,"WO","P"))</f>
        <v>P</v>
      </c>
      <c r="W8" s="4" t="str">
        <f>IFERROR(LOOKUP(2,1/((#REF!=dec!$A8)*(#REF!&lt;=dec!W$3)*(#REF!&gt;=dec!W$3)),#REF!),IF(WEEKDAY(dec!W$3,1)=1,"WO","P"))</f>
        <v>P</v>
      </c>
      <c r="X8" s="4" t="str">
        <f>IFERROR(LOOKUP(2,1/((#REF!=dec!$A8)*(#REF!&lt;=dec!X$3)*(#REF!&gt;=dec!X$3)),#REF!),IF(WEEKDAY(dec!X$3,1)=1,"WO","P"))</f>
        <v>P</v>
      </c>
      <c r="Y8" s="4" t="str">
        <f>IFERROR(LOOKUP(2,1/((#REF!=dec!$A8)*(#REF!&lt;=dec!Y$3)*(#REF!&gt;=dec!Y$3)),#REF!),IF(WEEKDAY(dec!Y$3,1)=1,"WO","P"))</f>
        <v>WO</v>
      </c>
      <c r="Z8" s="4" t="str">
        <f>IFERROR(LOOKUP(2,1/((#REF!=dec!$A8)*(#REF!&lt;=dec!Z$3)*(#REF!&gt;=dec!Z$3)),#REF!),IF(WEEKDAY(dec!Z$3,1)=1,"WO","P"))</f>
        <v>P</v>
      </c>
      <c r="AA8" s="4" t="str">
        <f>IFERROR(LOOKUP(2,1/((#REF!=dec!$A8)*(#REF!&lt;=dec!AA$3)*(#REF!&gt;=dec!AA$3)),#REF!),IF(WEEKDAY(dec!AA$3,1)=1,"WO","P"))</f>
        <v>P</v>
      </c>
      <c r="AB8" s="4" t="str">
        <f>IFERROR(LOOKUP(2,1/((#REF!=dec!$A8)*(#REF!&lt;=dec!AB$3)*(#REF!&gt;=dec!AB$3)),#REF!),IF(WEEKDAY(dec!AB$3,1)=1,"WO","P"))</f>
        <v>P</v>
      </c>
      <c r="AC8" s="4" t="str">
        <f>IFERROR(LOOKUP(2,1/((#REF!=dec!$A8)*(#REF!&lt;=dec!AC$3)*(#REF!&gt;=dec!AC$3)),#REF!),IF(WEEKDAY(dec!AC$3,1)=1,"WO","P"))</f>
        <v>P</v>
      </c>
      <c r="AD8" s="4" t="str">
        <f>IFERROR(LOOKUP(2,1/((#REF!=dec!$A8)*(#REF!&lt;=dec!AD$3)*(#REF!&gt;=dec!AD$3)),#REF!),IF(WEEKDAY(dec!AD$3,1)=1,"WO","P"))</f>
        <v>P</v>
      </c>
      <c r="AE8" s="4" t="str">
        <f>IFERROR(LOOKUP(2,1/((#REF!=dec!$A8)*(#REF!&lt;=dec!AE$3)*(#REF!&gt;=dec!AE$3)),#REF!),IF(WEEKDAY(dec!AE$3,1)=1,"WO","P"))</f>
        <v>P</v>
      </c>
      <c r="AF8" s="4" t="str">
        <f>IFERROR(LOOKUP(2,1/((#REF!=dec!$A8)*(#REF!&lt;=dec!AF$3)*(#REF!&gt;=dec!AF$3)),#REF!),IF(WEEKDAY(dec!AF$3,1)=1,"WO","P"))</f>
        <v>WO</v>
      </c>
      <c r="AG8" s="4" t="str">
        <f>IFERROR(LOOKUP(2,1/((#REF!=dec!$A8)*(#REF!&lt;=dec!AG$3)*(#REF!&gt;=dec!AG$3)),#REF!),IF(WEEKDAY(dec!AG$3,1)=1,"WO","P"))</f>
        <v>P</v>
      </c>
      <c r="AH8" s="4" t="str">
        <f>IFERROR(LOOKUP(2,1/((#REF!=dec!$A8)*(#REF!&lt;=dec!AH$3)*(#REF!&gt;=dec!AH$3)),#REF!),IF(WEEKDAY(dec!AH$3,1)=1,"WO","P"))</f>
        <v>P</v>
      </c>
      <c r="AI8" s="4" t="str">
        <f>IFERROR(LOOKUP(2,1/((#REF!=dec!$A8)*(#REF!&lt;=dec!AI$3)*(#REF!&gt;=dec!AI$3)),#REF!),IF(WEEKDAY(dec!AI$3,1)=1,"WO","P"))</f>
        <v>P</v>
      </c>
      <c r="AJ8" s="4" t="str">
        <f>IFERROR(LOOKUP(2,1/((#REF!=dec!$A8)*(#REF!&lt;=dec!AJ$3)*(#REF!&gt;=dec!AJ$3)),#REF!),IF(WEEKDAY(dec!AJ$3,1)=1,"WO","P"))</f>
        <v>P</v>
      </c>
      <c r="AK8" s="4">
        <f>COUNTIF(mar!$F8:$AJ8,"WO")</f>
        <v>5</v>
      </c>
      <c r="AL8" s="4">
        <f>COUNTIF(mar!$F8:$AJ8,"H")</f>
        <v>2</v>
      </c>
      <c r="AM8" s="4">
        <f>COUNTIF(mar!$F8:$AJ8,"pl")</f>
        <v>0</v>
      </c>
      <c r="AN8" s="4">
        <f>COUNTIF(mar!$F8:$AJ8,"LWP")</f>
        <v>0</v>
      </c>
      <c r="AO8" s="4">
        <f>COUNTIF(mar!$F8:$AJ8,"HD")</f>
        <v>0</v>
      </c>
      <c r="AP8" s="4">
        <f>COUNTIF(mar!$F8:$AJ8,"SL")</f>
        <v>0</v>
      </c>
      <c r="AQ8" s="4">
        <f>COUNTIF(mar!$F8:$AJ8,"CL")</f>
        <v>0</v>
      </c>
      <c r="AR8" s="4">
        <f>COUNTIF(mar!$F8:$AJ8,"A")</f>
        <v>1</v>
      </c>
      <c r="AS8" s="4">
        <f>COUNTIF(mar!$F8:$AJ8,"P")</f>
        <v>23</v>
      </c>
      <c r="AT8" s="4">
        <f t="shared" si="2"/>
        <v>31</v>
      </c>
      <c r="AU8" s="4">
        <f t="shared" si="3"/>
        <v>30</v>
      </c>
      <c r="AV8" s="4">
        <f>SUMIFS(holly!$L$2:$L$122,holly!$I$2:$I$122,mar!$A8,holly!$K$2:$K$122,"Mar")</f>
        <v>2</v>
      </c>
    </row>
    <row r="9" spans="1:48" ht="15.75" x14ac:dyDescent="0.25">
      <c r="A9" s="4" t="s">
        <v>18</v>
      </c>
      <c r="B9" s="4" t="str">
        <f>VLOOKUP($A9,Master!$A$2:$K$52,2,0)</f>
        <v>Employee5</v>
      </c>
      <c r="C9" s="4" t="str">
        <f>VLOOKUP($A9,Master!$A$2:$K$52,3,0)</f>
        <v>Female</v>
      </c>
      <c r="D9" s="4" t="str">
        <f>VLOOKUP($A9,Master!$A$2:$K$52,5,0)</f>
        <v>Production</v>
      </c>
      <c r="E9" s="4" t="str">
        <f>VLOOKUP($A9,Master!$A$2:$K$52,6,0)</f>
        <v>Senior Operator</v>
      </c>
      <c r="F9" s="4" t="str">
        <f>IFERROR(LOOKUP(2,1/((#REF!=dec!$A9)*(#REF!&lt;=dec!F$3)*(#REF!&gt;=dec!F$3)),#REF!),IF(WEEKDAY(dec!F$3,1)=1,"WO","P"))</f>
        <v>P</v>
      </c>
      <c r="G9" s="4" t="str">
        <f>IFERROR(LOOKUP(2,1/((#REF!=dec!$A9)*(#REF!&lt;=dec!G$3)*(#REF!&gt;=dec!G$3)),#REF!),IF(WEEKDAY(dec!G$3,1)=1,"WO","P"))</f>
        <v>P</v>
      </c>
      <c r="H9" s="4" t="str">
        <f>IFERROR(LOOKUP(2,1/((#REF!=dec!$A9)*(#REF!&lt;=dec!H$3)*(#REF!&gt;=dec!H$3)),#REF!),IF(WEEKDAY(dec!H$3,1)=1,"WO","P"))</f>
        <v>P</v>
      </c>
      <c r="I9" s="4" t="str">
        <f>IFERROR(LOOKUP(2,1/((#REF!=dec!$A9)*(#REF!&lt;=dec!I$3)*(#REF!&gt;=dec!I$3)),#REF!),IF(WEEKDAY(dec!I$3,1)=1,"WO","P"))</f>
        <v>P</v>
      </c>
      <c r="J9" s="4" t="str">
        <f>IFERROR(LOOKUP(2,1/((#REF!=dec!$A9)*(#REF!&lt;=dec!J$3)*(#REF!&gt;=dec!J$3)),#REF!),IF(WEEKDAY(dec!J$3,1)=1,"WO","P"))</f>
        <v>P</v>
      </c>
      <c r="K9" s="4" t="str">
        <f>IFERROR(LOOKUP(2,1/((#REF!=dec!$A9)*(#REF!&lt;=dec!K$3)*(#REF!&gt;=dec!K$3)),#REF!),IF(WEEKDAY(dec!K$3,1)=1,"WO","P"))</f>
        <v>WO</v>
      </c>
      <c r="L9" s="4" t="str">
        <f>IFERROR(LOOKUP(2,1/((#REF!=dec!$A9)*(#REF!&lt;=dec!L$3)*(#REF!&gt;=dec!L$3)),#REF!),IF(WEEKDAY(dec!L$3,1)=1,"WO","P"))</f>
        <v>P</v>
      </c>
      <c r="M9" s="4" t="str">
        <f>IFERROR(LOOKUP(2,1/((#REF!=dec!$A9)*(#REF!&lt;=dec!M$3)*(#REF!&gt;=dec!M$3)),#REF!),IF(WEEKDAY(dec!M$3,1)=1,"WO","P"))</f>
        <v>P</v>
      </c>
      <c r="N9" s="4" t="str">
        <f>IFERROR(LOOKUP(2,1/((#REF!=dec!$A9)*(#REF!&lt;=dec!N$3)*(#REF!&gt;=dec!N$3)),#REF!),IF(WEEKDAY(dec!N$3,1)=1,"WO","P"))</f>
        <v>P</v>
      </c>
      <c r="O9" s="4" t="str">
        <f>IFERROR(LOOKUP(2,1/((#REF!=dec!$A9)*(#REF!&lt;=dec!O$3)*(#REF!&gt;=dec!O$3)),#REF!),IF(WEEKDAY(dec!O$3,1)=1,"WO","P"))</f>
        <v>P</v>
      </c>
      <c r="P9" s="4" t="str">
        <f>IFERROR(LOOKUP(2,1/((#REF!=dec!$A9)*(#REF!&lt;=dec!P$3)*(#REF!&gt;=dec!P$3)),#REF!),IF(WEEKDAY(dec!P$3,1)=1,"WO","P"))</f>
        <v>P</v>
      </c>
      <c r="Q9" s="4" t="str">
        <f>IFERROR(LOOKUP(2,1/((#REF!=dec!$A9)*(#REF!&lt;=dec!Q$3)*(#REF!&gt;=dec!Q$3)),#REF!),IF(WEEKDAY(dec!Q$3,1)=1,"WO","P"))</f>
        <v>P</v>
      </c>
      <c r="R9" s="4" t="str">
        <f>IFERROR(LOOKUP(2,1/((#REF!=dec!$A9)*(#REF!&lt;=dec!R$3)*(#REF!&gt;=dec!R$3)),#REF!),IF(WEEKDAY(dec!R$3,1)=1,"WO","P"))</f>
        <v>WO</v>
      </c>
      <c r="S9" s="4" t="str">
        <f>IFERROR(LOOKUP(2,1/((#REF!=dec!$A9)*(#REF!&lt;=dec!S$3)*(#REF!&gt;=dec!S$3)),#REF!),IF(WEEKDAY(dec!S$3,1)=1,"WO","P"))</f>
        <v>P</v>
      </c>
      <c r="T9" s="4" t="str">
        <f>IFERROR(LOOKUP(2,1/((#REF!=dec!$A9)*(#REF!&lt;=dec!T$3)*(#REF!&gt;=dec!T$3)),#REF!),IF(WEEKDAY(dec!T$3,1)=1,"WO","P"))</f>
        <v>P</v>
      </c>
      <c r="U9" s="4" t="str">
        <f>IFERROR(LOOKUP(2,1/((#REF!=dec!$A9)*(#REF!&lt;=dec!U$3)*(#REF!&gt;=dec!U$3)),#REF!),IF(WEEKDAY(dec!U$3,1)=1,"WO","P"))</f>
        <v>P</v>
      </c>
      <c r="V9" s="4" t="str">
        <f>IFERROR(LOOKUP(2,1/((#REF!=dec!$A9)*(#REF!&lt;=dec!V$3)*(#REF!&gt;=dec!V$3)),#REF!),IF(WEEKDAY(dec!V$3,1)=1,"WO","P"))</f>
        <v>P</v>
      </c>
      <c r="W9" s="4" t="str">
        <f>IFERROR(LOOKUP(2,1/((#REF!=dec!$A9)*(#REF!&lt;=dec!W$3)*(#REF!&gt;=dec!W$3)),#REF!),IF(WEEKDAY(dec!W$3,1)=1,"WO","P"))</f>
        <v>P</v>
      </c>
      <c r="X9" s="4" t="str">
        <f>IFERROR(LOOKUP(2,1/((#REF!=dec!$A9)*(#REF!&lt;=dec!X$3)*(#REF!&gt;=dec!X$3)),#REF!),IF(WEEKDAY(dec!X$3,1)=1,"WO","P"))</f>
        <v>P</v>
      </c>
      <c r="Y9" s="4" t="str">
        <f>IFERROR(LOOKUP(2,1/((#REF!=dec!$A9)*(#REF!&lt;=dec!Y$3)*(#REF!&gt;=dec!Y$3)),#REF!),IF(WEEKDAY(dec!Y$3,1)=1,"WO","P"))</f>
        <v>WO</v>
      </c>
      <c r="Z9" s="4" t="str">
        <f>IFERROR(LOOKUP(2,1/((#REF!=dec!$A9)*(#REF!&lt;=dec!Z$3)*(#REF!&gt;=dec!Z$3)),#REF!),IF(WEEKDAY(dec!Z$3,1)=1,"WO","P"))</f>
        <v>P</v>
      </c>
      <c r="AA9" s="4" t="str">
        <f>IFERROR(LOOKUP(2,1/((#REF!=dec!$A9)*(#REF!&lt;=dec!AA$3)*(#REF!&gt;=dec!AA$3)),#REF!),IF(WEEKDAY(dec!AA$3,1)=1,"WO","P"))</f>
        <v>P</v>
      </c>
      <c r="AB9" s="4" t="str">
        <f>IFERROR(LOOKUP(2,1/((#REF!=dec!$A9)*(#REF!&lt;=dec!AB$3)*(#REF!&gt;=dec!AB$3)),#REF!),IF(WEEKDAY(dec!AB$3,1)=1,"WO","P"))</f>
        <v>P</v>
      </c>
      <c r="AC9" s="4" t="str">
        <f>IFERROR(LOOKUP(2,1/((#REF!=dec!$A9)*(#REF!&lt;=dec!AC$3)*(#REF!&gt;=dec!AC$3)),#REF!),IF(WEEKDAY(dec!AC$3,1)=1,"WO","P"))</f>
        <v>P</v>
      </c>
      <c r="AD9" s="4" t="str">
        <f>IFERROR(LOOKUP(2,1/((#REF!=dec!$A9)*(#REF!&lt;=dec!AD$3)*(#REF!&gt;=dec!AD$3)),#REF!),IF(WEEKDAY(dec!AD$3,1)=1,"WO","P"))</f>
        <v>P</v>
      </c>
      <c r="AE9" s="4" t="str">
        <f>IFERROR(LOOKUP(2,1/((#REF!=dec!$A9)*(#REF!&lt;=dec!AE$3)*(#REF!&gt;=dec!AE$3)),#REF!),IF(WEEKDAY(dec!AE$3,1)=1,"WO","P"))</f>
        <v>P</v>
      </c>
      <c r="AF9" s="4" t="str">
        <f>IFERROR(LOOKUP(2,1/((#REF!=dec!$A9)*(#REF!&lt;=dec!AF$3)*(#REF!&gt;=dec!AF$3)),#REF!),IF(WEEKDAY(dec!AF$3,1)=1,"WO","P"))</f>
        <v>WO</v>
      </c>
      <c r="AG9" s="4" t="str">
        <f>IFERROR(LOOKUP(2,1/((#REF!=dec!$A9)*(#REF!&lt;=dec!AG$3)*(#REF!&gt;=dec!AG$3)),#REF!),IF(WEEKDAY(dec!AG$3,1)=1,"WO","P"))</f>
        <v>P</v>
      </c>
      <c r="AH9" s="4" t="str">
        <f>IFERROR(LOOKUP(2,1/((#REF!=dec!$A9)*(#REF!&lt;=dec!AH$3)*(#REF!&gt;=dec!AH$3)),#REF!),IF(WEEKDAY(dec!AH$3,1)=1,"WO","P"))</f>
        <v>P</v>
      </c>
      <c r="AI9" s="4" t="str">
        <f>IFERROR(LOOKUP(2,1/((#REF!=dec!$A9)*(#REF!&lt;=dec!AI$3)*(#REF!&gt;=dec!AI$3)),#REF!),IF(WEEKDAY(dec!AI$3,1)=1,"WO","P"))</f>
        <v>P</v>
      </c>
      <c r="AJ9" s="4" t="str">
        <f>IFERROR(LOOKUP(2,1/((#REF!=dec!$A9)*(#REF!&lt;=dec!AJ$3)*(#REF!&gt;=dec!AJ$3)),#REF!),IF(WEEKDAY(dec!AJ$3,1)=1,"WO","P"))</f>
        <v>P</v>
      </c>
      <c r="AK9" s="4">
        <f>COUNTIF(mar!$F9:$AJ9,"WO")</f>
        <v>5</v>
      </c>
      <c r="AL9" s="4">
        <f>COUNTIF(mar!$F9:$AJ9,"H")</f>
        <v>2</v>
      </c>
      <c r="AM9" s="4">
        <f>COUNTIF(mar!$F9:$AJ9,"pl")</f>
        <v>0</v>
      </c>
      <c r="AN9" s="4">
        <f>COUNTIF(mar!$F9:$AJ9,"LWP")</f>
        <v>0</v>
      </c>
      <c r="AO9" s="4">
        <f>COUNTIF(mar!$F9:$AJ9,"HD")</f>
        <v>0</v>
      </c>
      <c r="AP9" s="4">
        <f>COUNTIF(mar!$F9:$AJ9,"SL")</f>
        <v>0</v>
      </c>
      <c r="AQ9" s="4">
        <f>COUNTIF(mar!$F9:$AJ9,"CL")</f>
        <v>0</v>
      </c>
      <c r="AR9" s="4">
        <f>COUNTIF(mar!$F9:$AJ9,"A")</f>
        <v>2</v>
      </c>
      <c r="AS9" s="4">
        <f>COUNTIF(mar!$F9:$AJ9,"P")</f>
        <v>22</v>
      </c>
      <c r="AT9" s="4">
        <f t="shared" si="2"/>
        <v>31</v>
      </c>
      <c r="AU9" s="4">
        <f t="shared" si="3"/>
        <v>29</v>
      </c>
      <c r="AV9" s="4">
        <f>SUMIFS(holly!$L$2:$L$122,holly!$I$2:$I$122,mar!$A9,holly!$K$2:$K$122,"Mar")</f>
        <v>1</v>
      </c>
    </row>
    <row r="10" spans="1:48" ht="15.75" x14ac:dyDescent="0.25">
      <c r="A10" s="4" t="s">
        <v>20</v>
      </c>
      <c r="B10" s="4" t="str">
        <f>VLOOKUP($A10,Master!$A$2:$K$52,2,0)</f>
        <v>Employee6</v>
      </c>
      <c r="C10" s="4" t="str">
        <f>VLOOKUP($A10,Master!$A$2:$K$52,3,0)</f>
        <v>Female</v>
      </c>
      <c r="D10" s="4" t="str">
        <f>VLOOKUP($A10,Master!$A$2:$K$52,5,0)</f>
        <v>Sales</v>
      </c>
      <c r="E10" s="4" t="str">
        <f>VLOOKUP($A10,Master!$A$2:$K$52,6,0)</f>
        <v>Sales Officer</v>
      </c>
      <c r="F10" s="4" t="str">
        <f>IFERROR(LOOKUP(2,1/((#REF!=dec!$A10)*(#REF!&lt;=dec!F$3)*(#REF!&gt;=dec!F$3)),#REF!),IF(WEEKDAY(dec!F$3,1)=1,"WO","P"))</f>
        <v>P</v>
      </c>
      <c r="G10" s="4" t="str">
        <f>IFERROR(LOOKUP(2,1/((#REF!=dec!$A10)*(#REF!&lt;=dec!G$3)*(#REF!&gt;=dec!G$3)),#REF!),IF(WEEKDAY(dec!G$3,1)=1,"WO","P"))</f>
        <v>P</v>
      </c>
      <c r="H10" s="4" t="str">
        <f>IFERROR(LOOKUP(2,1/((#REF!=dec!$A10)*(#REF!&lt;=dec!H$3)*(#REF!&gt;=dec!H$3)),#REF!),IF(WEEKDAY(dec!H$3,1)=1,"WO","P"))</f>
        <v>P</v>
      </c>
      <c r="I10" s="4" t="str">
        <f>IFERROR(LOOKUP(2,1/((#REF!=dec!$A10)*(#REF!&lt;=dec!I$3)*(#REF!&gt;=dec!I$3)),#REF!),IF(WEEKDAY(dec!I$3,1)=1,"WO","P"))</f>
        <v>P</v>
      </c>
      <c r="J10" s="4" t="str">
        <f>IFERROR(LOOKUP(2,1/((#REF!=dec!$A10)*(#REF!&lt;=dec!J$3)*(#REF!&gt;=dec!J$3)),#REF!),IF(WEEKDAY(dec!J$3,1)=1,"WO","P"))</f>
        <v>P</v>
      </c>
      <c r="K10" s="4" t="str">
        <f>IFERROR(LOOKUP(2,1/((#REF!=dec!$A10)*(#REF!&lt;=dec!K$3)*(#REF!&gt;=dec!K$3)),#REF!),IF(WEEKDAY(dec!K$3,1)=1,"WO","P"))</f>
        <v>WO</v>
      </c>
      <c r="L10" s="4" t="str">
        <f>IFERROR(LOOKUP(2,1/((#REF!=dec!$A10)*(#REF!&lt;=dec!L$3)*(#REF!&gt;=dec!L$3)),#REF!),IF(WEEKDAY(dec!L$3,1)=1,"WO","P"))</f>
        <v>P</v>
      </c>
      <c r="M10" s="4" t="str">
        <f>IFERROR(LOOKUP(2,1/((#REF!=dec!$A10)*(#REF!&lt;=dec!M$3)*(#REF!&gt;=dec!M$3)),#REF!),IF(WEEKDAY(dec!M$3,1)=1,"WO","P"))</f>
        <v>P</v>
      </c>
      <c r="N10" s="4" t="str">
        <f>IFERROR(LOOKUP(2,1/((#REF!=dec!$A10)*(#REF!&lt;=dec!N$3)*(#REF!&gt;=dec!N$3)),#REF!),IF(WEEKDAY(dec!N$3,1)=1,"WO","P"))</f>
        <v>P</v>
      </c>
      <c r="O10" s="4" t="str">
        <f>IFERROR(LOOKUP(2,1/((#REF!=dec!$A10)*(#REF!&lt;=dec!O$3)*(#REF!&gt;=dec!O$3)),#REF!),IF(WEEKDAY(dec!O$3,1)=1,"WO","P"))</f>
        <v>P</v>
      </c>
      <c r="P10" s="4" t="str">
        <f>IFERROR(LOOKUP(2,1/((#REF!=dec!$A10)*(#REF!&lt;=dec!P$3)*(#REF!&gt;=dec!P$3)),#REF!),IF(WEEKDAY(dec!P$3,1)=1,"WO","P"))</f>
        <v>P</v>
      </c>
      <c r="Q10" s="4" t="str">
        <f>IFERROR(LOOKUP(2,1/((#REF!=dec!$A10)*(#REF!&lt;=dec!Q$3)*(#REF!&gt;=dec!Q$3)),#REF!),IF(WEEKDAY(dec!Q$3,1)=1,"WO","P"))</f>
        <v>P</v>
      </c>
      <c r="R10" s="4" t="str">
        <f>IFERROR(LOOKUP(2,1/((#REF!=dec!$A10)*(#REF!&lt;=dec!R$3)*(#REF!&gt;=dec!R$3)),#REF!),IF(WEEKDAY(dec!R$3,1)=1,"WO","P"))</f>
        <v>WO</v>
      </c>
      <c r="S10" s="4" t="str">
        <f>IFERROR(LOOKUP(2,1/((#REF!=dec!$A10)*(#REF!&lt;=dec!S$3)*(#REF!&gt;=dec!S$3)),#REF!),IF(WEEKDAY(dec!S$3,1)=1,"WO","P"))</f>
        <v>P</v>
      </c>
      <c r="T10" s="4" t="str">
        <f>IFERROR(LOOKUP(2,1/((#REF!=dec!$A10)*(#REF!&lt;=dec!T$3)*(#REF!&gt;=dec!T$3)),#REF!),IF(WEEKDAY(dec!T$3,1)=1,"WO","P"))</f>
        <v>P</v>
      </c>
      <c r="U10" s="4" t="str">
        <f>IFERROR(LOOKUP(2,1/((#REF!=dec!$A10)*(#REF!&lt;=dec!U$3)*(#REF!&gt;=dec!U$3)),#REF!),IF(WEEKDAY(dec!U$3,1)=1,"WO","P"))</f>
        <v>P</v>
      </c>
      <c r="V10" s="4" t="str">
        <f>IFERROR(LOOKUP(2,1/((#REF!=dec!$A10)*(#REF!&lt;=dec!V$3)*(#REF!&gt;=dec!V$3)),#REF!),IF(WEEKDAY(dec!V$3,1)=1,"WO","P"))</f>
        <v>P</v>
      </c>
      <c r="W10" s="4" t="str">
        <f>IFERROR(LOOKUP(2,1/((#REF!=dec!$A10)*(#REF!&lt;=dec!W$3)*(#REF!&gt;=dec!W$3)),#REF!),IF(WEEKDAY(dec!W$3,1)=1,"WO","P"))</f>
        <v>P</v>
      </c>
      <c r="X10" s="4" t="str">
        <f>IFERROR(LOOKUP(2,1/((#REF!=dec!$A10)*(#REF!&lt;=dec!X$3)*(#REF!&gt;=dec!X$3)),#REF!),IF(WEEKDAY(dec!X$3,1)=1,"WO","P"))</f>
        <v>P</v>
      </c>
      <c r="Y10" s="4" t="str">
        <f>IFERROR(LOOKUP(2,1/((#REF!=dec!$A10)*(#REF!&lt;=dec!Y$3)*(#REF!&gt;=dec!Y$3)),#REF!),IF(WEEKDAY(dec!Y$3,1)=1,"WO","P"))</f>
        <v>WO</v>
      </c>
      <c r="Z10" s="4" t="str">
        <f>IFERROR(LOOKUP(2,1/((#REF!=dec!$A10)*(#REF!&lt;=dec!Z$3)*(#REF!&gt;=dec!Z$3)),#REF!),IF(WEEKDAY(dec!Z$3,1)=1,"WO","P"))</f>
        <v>P</v>
      </c>
      <c r="AA10" s="4" t="str">
        <f>IFERROR(LOOKUP(2,1/((#REF!=dec!$A10)*(#REF!&lt;=dec!AA$3)*(#REF!&gt;=dec!AA$3)),#REF!),IF(WEEKDAY(dec!AA$3,1)=1,"WO","P"))</f>
        <v>P</v>
      </c>
      <c r="AB10" s="4" t="str">
        <f>IFERROR(LOOKUP(2,1/((#REF!=dec!$A10)*(#REF!&lt;=dec!AB$3)*(#REF!&gt;=dec!AB$3)),#REF!),IF(WEEKDAY(dec!AB$3,1)=1,"WO","P"))</f>
        <v>P</v>
      </c>
      <c r="AC10" s="4" t="str">
        <f>IFERROR(LOOKUP(2,1/((#REF!=dec!$A10)*(#REF!&lt;=dec!AC$3)*(#REF!&gt;=dec!AC$3)),#REF!),IF(WEEKDAY(dec!AC$3,1)=1,"WO","P"))</f>
        <v>P</v>
      </c>
      <c r="AD10" s="4" t="str">
        <f>IFERROR(LOOKUP(2,1/((#REF!=dec!$A10)*(#REF!&lt;=dec!AD$3)*(#REF!&gt;=dec!AD$3)),#REF!),IF(WEEKDAY(dec!AD$3,1)=1,"WO","P"))</f>
        <v>P</v>
      </c>
      <c r="AE10" s="4" t="str">
        <f>IFERROR(LOOKUP(2,1/((#REF!=dec!$A10)*(#REF!&lt;=dec!AE$3)*(#REF!&gt;=dec!AE$3)),#REF!),IF(WEEKDAY(dec!AE$3,1)=1,"WO","P"))</f>
        <v>P</v>
      </c>
      <c r="AF10" s="4" t="str">
        <f>IFERROR(LOOKUP(2,1/((#REF!=dec!$A10)*(#REF!&lt;=dec!AF$3)*(#REF!&gt;=dec!AF$3)),#REF!),IF(WEEKDAY(dec!AF$3,1)=1,"WO","P"))</f>
        <v>WO</v>
      </c>
      <c r="AG10" s="4" t="str">
        <f>IFERROR(LOOKUP(2,1/((#REF!=dec!$A10)*(#REF!&lt;=dec!AG$3)*(#REF!&gt;=dec!AG$3)),#REF!),IF(WEEKDAY(dec!AG$3,1)=1,"WO","P"))</f>
        <v>P</v>
      </c>
      <c r="AH10" s="4" t="str">
        <f>IFERROR(LOOKUP(2,1/((#REF!=dec!$A10)*(#REF!&lt;=dec!AH$3)*(#REF!&gt;=dec!AH$3)),#REF!),IF(WEEKDAY(dec!AH$3,1)=1,"WO","P"))</f>
        <v>P</v>
      </c>
      <c r="AI10" s="4" t="str">
        <f>IFERROR(LOOKUP(2,1/((#REF!=dec!$A10)*(#REF!&lt;=dec!AI$3)*(#REF!&gt;=dec!AI$3)),#REF!),IF(WEEKDAY(dec!AI$3,1)=1,"WO","P"))</f>
        <v>P</v>
      </c>
      <c r="AJ10" s="4" t="str">
        <f>IFERROR(LOOKUP(2,1/((#REF!=dec!$A10)*(#REF!&lt;=dec!AJ$3)*(#REF!&gt;=dec!AJ$3)),#REF!),IF(WEEKDAY(dec!AJ$3,1)=1,"WO","P"))</f>
        <v>P</v>
      </c>
      <c r="AK10" s="4">
        <f>COUNTIF(mar!$F10:$AJ10,"WO")</f>
        <v>5</v>
      </c>
      <c r="AL10" s="4">
        <f>COUNTIF(mar!$F10:$AJ10,"H")</f>
        <v>2</v>
      </c>
      <c r="AM10" s="4">
        <f>COUNTIF(mar!$F10:$AJ10,"pl")</f>
        <v>0</v>
      </c>
      <c r="AN10" s="4">
        <f>COUNTIF(mar!$F10:$AJ10,"LWP")</f>
        <v>0</v>
      </c>
      <c r="AO10" s="4">
        <f>COUNTIF(mar!$F10:$AJ10,"HD")</f>
        <v>0</v>
      </c>
      <c r="AP10" s="4">
        <f>COUNTIF(mar!$F10:$AJ10,"SL")</f>
        <v>0</v>
      </c>
      <c r="AQ10" s="4">
        <f>COUNTIF(mar!$F10:$AJ10,"CL")</f>
        <v>0</v>
      </c>
      <c r="AR10" s="4">
        <f>COUNTIF(mar!$F10:$AJ10,"A")</f>
        <v>1</v>
      </c>
      <c r="AS10" s="4">
        <f>COUNTIF(mar!$F10:$AJ10,"P")</f>
        <v>23</v>
      </c>
      <c r="AT10" s="4">
        <f t="shared" si="2"/>
        <v>31</v>
      </c>
      <c r="AU10" s="4">
        <f t="shared" si="3"/>
        <v>30</v>
      </c>
      <c r="AV10" s="4">
        <f>SUMIFS(holly!$L$2:$L$122,holly!$I$2:$I$122,mar!$A10,holly!$K$2:$K$122,"Mar")</f>
        <v>0</v>
      </c>
    </row>
    <row r="11" spans="1:48" ht="15.75" x14ac:dyDescent="0.25">
      <c r="A11" s="4" t="s">
        <v>23</v>
      </c>
      <c r="B11" s="4" t="str">
        <f>VLOOKUP($A11,Master!$A$2:$K$52,2,0)</f>
        <v>Employee7</v>
      </c>
      <c r="C11" s="4" t="str">
        <f>VLOOKUP($A11,Master!$A$2:$K$52,3,0)</f>
        <v>Male</v>
      </c>
      <c r="D11" s="4" t="str">
        <f>VLOOKUP($A11,Master!$A$2:$K$52,5,0)</f>
        <v>Production</v>
      </c>
      <c r="E11" s="4" t="str">
        <f>VLOOKUP($A11,Master!$A$2:$K$52,6,0)</f>
        <v>Senior Operator</v>
      </c>
      <c r="F11" s="4" t="str">
        <f>IFERROR(LOOKUP(2,1/((#REF!=dec!$A11)*(#REF!&lt;=dec!F$3)*(#REF!&gt;=dec!F$3)),#REF!),IF(WEEKDAY(dec!F$3,1)=1,"WO","P"))</f>
        <v>P</v>
      </c>
      <c r="G11" s="4" t="str">
        <f>IFERROR(LOOKUP(2,1/((#REF!=dec!$A11)*(#REF!&lt;=dec!G$3)*(#REF!&gt;=dec!G$3)),#REF!),IF(WEEKDAY(dec!G$3,1)=1,"WO","P"))</f>
        <v>P</v>
      </c>
      <c r="H11" s="4" t="str">
        <f>IFERROR(LOOKUP(2,1/((#REF!=dec!$A11)*(#REF!&lt;=dec!H$3)*(#REF!&gt;=dec!H$3)),#REF!),IF(WEEKDAY(dec!H$3,1)=1,"WO","P"))</f>
        <v>P</v>
      </c>
      <c r="I11" s="4" t="str">
        <f>IFERROR(LOOKUP(2,1/((#REF!=dec!$A11)*(#REF!&lt;=dec!I$3)*(#REF!&gt;=dec!I$3)),#REF!),IF(WEEKDAY(dec!I$3,1)=1,"WO","P"))</f>
        <v>P</v>
      </c>
      <c r="J11" s="4" t="str">
        <f>IFERROR(LOOKUP(2,1/((#REF!=dec!$A11)*(#REF!&lt;=dec!J$3)*(#REF!&gt;=dec!J$3)),#REF!),IF(WEEKDAY(dec!J$3,1)=1,"WO","P"))</f>
        <v>P</v>
      </c>
      <c r="K11" s="4" t="str">
        <f>IFERROR(LOOKUP(2,1/((#REF!=dec!$A11)*(#REF!&lt;=dec!K$3)*(#REF!&gt;=dec!K$3)),#REF!),IF(WEEKDAY(dec!K$3,1)=1,"WO","P"))</f>
        <v>WO</v>
      </c>
      <c r="L11" s="4" t="str">
        <f>IFERROR(LOOKUP(2,1/((#REF!=dec!$A11)*(#REF!&lt;=dec!L$3)*(#REF!&gt;=dec!L$3)),#REF!),IF(WEEKDAY(dec!L$3,1)=1,"WO","P"))</f>
        <v>P</v>
      </c>
      <c r="M11" s="4" t="str">
        <f>IFERROR(LOOKUP(2,1/((#REF!=dec!$A11)*(#REF!&lt;=dec!M$3)*(#REF!&gt;=dec!M$3)),#REF!),IF(WEEKDAY(dec!M$3,1)=1,"WO","P"))</f>
        <v>P</v>
      </c>
      <c r="N11" s="4" t="str">
        <f>IFERROR(LOOKUP(2,1/((#REF!=dec!$A11)*(#REF!&lt;=dec!N$3)*(#REF!&gt;=dec!N$3)),#REF!),IF(WEEKDAY(dec!N$3,1)=1,"WO","P"))</f>
        <v>P</v>
      </c>
      <c r="O11" s="4" t="str">
        <f>IFERROR(LOOKUP(2,1/((#REF!=dec!$A11)*(#REF!&lt;=dec!O$3)*(#REF!&gt;=dec!O$3)),#REF!),IF(WEEKDAY(dec!O$3,1)=1,"WO","P"))</f>
        <v>P</v>
      </c>
      <c r="P11" s="4" t="str">
        <f>IFERROR(LOOKUP(2,1/((#REF!=dec!$A11)*(#REF!&lt;=dec!P$3)*(#REF!&gt;=dec!P$3)),#REF!),IF(WEEKDAY(dec!P$3,1)=1,"WO","P"))</f>
        <v>P</v>
      </c>
      <c r="Q11" s="4" t="str">
        <f>IFERROR(LOOKUP(2,1/((#REF!=dec!$A11)*(#REF!&lt;=dec!Q$3)*(#REF!&gt;=dec!Q$3)),#REF!),IF(WEEKDAY(dec!Q$3,1)=1,"WO","P"))</f>
        <v>P</v>
      </c>
      <c r="R11" s="4" t="str">
        <f>IFERROR(LOOKUP(2,1/((#REF!=dec!$A11)*(#REF!&lt;=dec!R$3)*(#REF!&gt;=dec!R$3)),#REF!),IF(WEEKDAY(dec!R$3,1)=1,"WO","P"))</f>
        <v>WO</v>
      </c>
      <c r="S11" s="4" t="str">
        <f>IFERROR(LOOKUP(2,1/((#REF!=dec!$A11)*(#REF!&lt;=dec!S$3)*(#REF!&gt;=dec!S$3)),#REF!),IF(WEEKDAY(dec!S$3,1)=1,"WO","P"))</f>
        <v>P</v>
      </c>
      <c r="T11" s="4" t="str">
        <f>IFERROR(LOOKUP(2,1/((#REF!=dec!$A11)*(#REF!&lt;=dec!T$3)*(#REF!&gt;=dec!T$3)),#REF!),IF(WEEKDAY(dec!T$3,1)=1,"WO","P"))</f>
        <v>P</v>
      </c>
      <c r="U11" s="4" t="str">
        <f>IFERROR(LOOKUP(2,1/((#REF!=dec!$A11)*(#REF!&lt;=dec!U$3)*(#REF!&gt;=dec!U$3)),#REF!),IF(WEEKDAY(dec!U$3,1)=1,"WO","P"))</f>
        <v>P</v>
      </c>
      <c r="V11" s="4" t="str">
        <f>IFERROR(LOOKUP(2,1/((#REF!=dec!$A11)*(#REF!&lt;=dec!V$3)*(#REF!&gt;=dec!V$3)),#REF!),IF(WEEKDAY(dec!V$3,1)=1,"WO","P"))</f>
        <v>P</v>
      </c>
      <c r="W11" s="4" t="str">
        <f>IFERROR(LOOKUP(2,1/((#REF!=dec!$A11)*(#REF!&lt;=dec!W$3)*(#REF!&gt;=dec!W$3)),#REF!),IF(WEEKDAY(dec!W$3,1)=1,"WO","P"))</f>
        <v>P</v>
      </c>
      <c r="X11" s="4" t="str">
        <f>IFERROR(LOOKUP(2,1/((#REF!=dec!$A11)*(#REF!&lt;=dec!X$3)*(#REF!&gt;=dec!X$3)),#REF!),IF(WEEKDAY(dec!X$3,1)=1,"WO","P"))</f>
        <v>P</v>
      </c>
      <c r="Y11" s="4" t="str">
        <f>IFERROR(LOOKUP(2,1/((#REF!=dec!$A11)*(#REF!&lt;=dec!Y$3)*(#REF!&gt;=dec!Y$3)),#REF!),IF(WEEKDAY(dec!Y$3,1)=1,"WO","P"))</f>
        <v>WO</v>
      </c>
      <c r="Z11" s="4" t="str">
        <f>IFERROR(LOOKUP(2,1/((#REF!=dec!$A11)*(#REF!&lt;=dec!Z$3)*(#REF!&gt;=dec!Z$3)),#REF!),IF(WEEKDAY(dec!Z$3,1)=1,"WO","P"))</f>
        <v>P</v>
      </c>
      <c r="AA11" s="4" t="str">
        <f>IFERROR(LOOKUP(2,1/((#REF!=dec!$A11)*(#REF!&lt;=dec!AA$3)*(#REF!&gt;=dec!AA$3)),#REF!),IF(WEEKDAY(dec!AA$3,1)=1,"WO","P"))</f>
        <v>P</v>
      </c>
      <c r="AB11" s="4" t="str">
        <f>IFERROR(LOOKUP(2,1/((#REF!=dec!$A11)*(#REF!&lt;=dec!AB$3)*(#REF!&gt;=dec!AB$3)),#REF!),IF(WEEKDAY(dec!AB$3,1)=1,"WO","P"))</f>
        <v>P</v>
      </c>
      <c r="AC11" s="4" t="str">
        <f>IFERROR(LOOKUP(2,1/((#REF!=dec!$A11)*(#REF!&lt;=dec!AC$3)*(#REF!&gt;=dec!AC$3)),#REF!),IF(WEEKDAY(dec!AC$3,1)=1,"WO","P"))</f>
        <v>P</v>
      </c>
      <c r="AD11" s="4" t="str">
        <f>IFERROR(LOOKUP(2,1/((#REF!=dec!$A11)*(#REF!&lt;=dec!AD$3)*(#REF!&gt;=dec!AD$3)),#REF!),IF(WEEKDAY(dec!AD$3,1)=1,"WO","P"))</f>
        <v>P</v>
      </c>
      <c r="AE11" s="4" t="str">
        <f>IFERROR(LOOKUP(2,1/((#REF!=dec!$A11)*(#REF!&lt;=dec!AE$3)*(#REF!&gt;=dec!AE$3)),#REF!),IF(WEEKDAY(dec!AE$3,1)=1,"WO","P"))</f>
        <v>P</v>
      </c>
      <c r="AF11" s="4" t="str">
        <f>IFERROR(LOOKUP(2,1/((#REF!=dec!$A11)*(#REF!&lt;=dec!AF$3)*(#REF!&gt;=dec!AF$3)),#REF!),IF(WEEKDAY(dec!AF$3,1)=1,"WO","P"))</f>
        <v>WO</v>
      </c>
      <c r="AG11" s="4" t="str">
        <f>IFERROR(LOOKUP(2,1/((#REF!=dec!$A11)*(#REF!&lt;=dec!AG$3)*(#REF!&gt;=dec!AG$3)),#REF!),IF(WEEKDAY(dec!AG$3,1)=1,"WO","P"))</f>
        <v>P</v>
      </c>
      <c r="AH11" s="4" t="str">
        <f>IFERROR(LOOKUP(2,1/((#REF!=dec!$A11)*(#REF!&lt;=dec!AH$3)*(#REF!&gt;=dec!AH$3)),#REF!),IF(WEEKDAY(dec!AH$3,1)=1,"WO","P"))</f>
        <v>P</v>
      </c>
      <c r="AI11" s="4" t="str">
        <f>IFERROR(LOOKUP(2,1/((#REF!=dec!$A11)*(#REF!&lt;=dec!AI$3)*(#REF!&gt;=dec!AI$3)),#REF!),IF(WEEKDAY(dec!AI$3,1)=1,"WO","P"))</f>
        <v>P</v>
      </c>
      <c r="AJ11" s="4" t="str">
        <f>IFERROR(LOOKUP(2,1/((#REF!=dec!$A11)*(#REF!&lt;=dec!AJ$3)*(#REF!&gt;=dec!AJ$3)),#REF!),IF(WEEKDAY(dec!AJ$3,1)=1,"WO","P"))</f>
        <v>P</v>
      </c>
      <c r="AK11" s="4">
        <f>COUNTIF(mar!$F11:$AJ11,"WO")</f>
        <v>5</v>
      </c>
      <c r="AL11" s="4">
        <f>COUNTIF(mar!$F11:$AJ11,"H")</f>
        <v>2</v>
      </c>
      <c r="AM11" s="4">
        <f>COUNTIF(mar!$F11:$AJ11,"pl")</f>
        <v>0</v>
      </c>
      <c r="AN11" s="4">
        <f>COUNTIF(mar!$F11:$AJ11,"LWP")</f>
        <v>0</v>
      </c>
      <c r="AO11" s="4">
        <f>COUNTIF(mar!$F11:$AJ11,"HD")</f>
        <v>0</v>
      </c>
      <c r="AP11" s="4">
        <f>COUNTIF(mar!$F11:$AJ11,"SL")</f>
        <v>0</v>
      </c>
      <c r="AQ11" s="4">
        <f>COUNTIF(mar!$F11:$AJ11,"CL")</f>
        <v>0</v>
      </c>
      <c r="AR11" s="4">
        <f>COUNTIF(mar!$F11:$AJ11,"A")</f>
        <v>1</v>
      </c>
      <c r="AS11" s="4">
        <f>COUNTIF(mar!$F11:$AJ11,"P")</f>
        <v>23</v>
      </c>
      <c r="AT11" s="4">
        <f t="shared" si="2"/>
        <v>31</v>
      </c>
      <c r="AU11" s="4">
        <f t="shared" si="3"/>
        <v>30</v>
      </c>
      <c r="AV11" s="4">
        <f>SUMIFS(holly!$L$2:$L$122,holly!$I$2:$I$122,mar!$A11,holly!$K$2:$K$122,"Mar")</f>
        <v>0</v>
      </c>
    </row>
    <row r="12" spans="1:48" ht="15.75" x14ac:dyDescent="0.25">
      <c r="A12" s="4" t="s">
        <v>24</v>
      </c>
      <c r="B12" s="4" t="str">
        <f>VLOOKUP($A12,Master!$A$2:$K$52,2,0)</f>
        <v>Employee8</v>
      </c>
      <c r="C12" s="4" t="str">
        <f>VLOOKUP($A12,Master!$A$2:$K$52,3,0)</f>
        <v>Male</v>
      </c>
      <c r="D12" s="4" t="str">
        <f>VLOOKUP($A12,Master!$A$2:$K$52,5,0)</f>
        <v>Production</v>
      </c>
      <c r="E12" s="4" t="str">
        <f>VLOOKUP($A12,Master!$A$2:$K$52,6,0)</f>
        <v>Supervisor</v>
      </c>
      <c r="F12" s="4" t="str">
        <f>IFERROR(LOOKUP(2,1/((#REF!=dec!$A12)*(#REF!&lt;=dec!F$3)*(#REF!&gt;=dec!F$3)),#REF!),IF(WEEKDAY(dec!F$3,1)=1,"WO","P"))</f>
        <v>P</v>
      </c>
      <c r="G12" s="4" t="str">
        <f>IFERROR(LOOKUP(2,1/((#REF!=dec!$A12)*(#REF!&lt;=dec!G$3)*(#REF!&gt;=dec!G$3)),#REF!),IF(WEEKDAY(dec!G$3,1)=1,"WO","P"))</f>
        <v>P</v>
      </c>
      <c r="H12" s="4" t="str">
        <f>IFERROR(LOOKUP(2,1/((#REF!=dec!$A12)*(#REF!&lt;=dec!H$3)*(#REF!&gt;=dec!H$3)),#REF!),IF(WEEKDAY(dec!H$3,1)=1,"WO","P"))</f>
        <v>P</v>
      </c>
      <c r="I12" s="4" t="str">
        <f>IFERROR(LOOKUP(2,1/((#REF!=dec!$A12)*(#REF!&lt;=dec!I$3)*(#REF!&gt;=dec!I$3)),#REF!),IF(WEEKDAY(dec!I$3,1)=1,"WO","P"))</f>
        <v>P</v>
      </c>
      <c r="J12" s="4" t="str">
        <f>IFERROR(LOOKUP(2,1/((#REF!=dec!$A12)*(#REF!&lt;=dec!J$3)*(#REF!&gt;=dec!J$3)),#REF!),IF(WEEKDAY(dec!J$3,1)=1,"WO","P"))</f>
        <v>P</v>
      </c>
      <c r="K12" s="4" t="str">
        <f>IFERROR(LOOKUP(2,1/((#REF!=dec!$A12)*(#REF!&lt;=dec!K$3)*(#REF!&gt;=dec!K$3)),#REF!),IF(WEEKDAY(dec!K$3,1)=1,"WO","P"))</f>
        <v>WO</v>
      </c>
      <c r="L12" s="4" t="str">
        <f>IFERROR(LOOKUP(2,1/((#REF!=dec!$A12)*(#REF!&lt;=dec!L$3)*(#REF!&gt;=dec!L$3)),#REF!),IF(WEEKDAY(dec!L$3,1)=1,"WO","P"))</f>
        <v>P</v>
      </c>
      <c r="M12" s="4" t="str">
        <f>IFERROR(LOOKUP(2,1/((#REF!=dec!$A12)*(#REF!&lt;=dec!M$3)*(#REF!&gt;=dec!M$3)),#REF!),IF(WEEKDAY(dec!M$3,1)=1,"WO","P"))</f>
        <v>P</v>
      </c>
      <c r="N12" s="4" t="str">
        <f>IFERROR(LOOKUP(2,1/((#REF!=dec!$A12)*(#REF!&lt;=dec!N$3)*(#REF!&gt;=dec!N$3)),#REF!),IF(WEEKDAY(dec!N$3,1)=1,"WO","P"))</f>
        <v>P</v>
      </c>
      <c r="O12" s="4" t="str">
        <f>IFERROR(LOOKUP(2,1/((#REF!=dec!$A12)*(#REF!&lt;=dec!O$3)*(#REF!&gt;=dec!O$3)),#REF!),IF(WEEKDAY(dec!O$3,1)=1,"WO","P"))</f>
        <v>P</v>
      </c>
      <c r="P12" s="4" t="str">
        <f>IFERROR(LOOKUP(2,1/((#REF!=dec!$A12)*(#REF!&lt;=dec!P$3)*(#REF!&gt;=dec!P$3)),#REF!),IF(WEEKDAY(dec!P$3,1)=1,"WO","P"))</f>
        <v>P</v>
      </c>
      <c r="Q12" s="4" t="str">
        <f>IFERROR(LOOKUP(2,1/((#REF!=dec!$A12)*(#REF!&lt;=dec!Q$3)*(#REF!&gt;=dec!Q$3)),#REF!),IF(WEEKDAY(dec!Q$3,1)=1,"WO","P"))</f>
        <v>P</v>
      </c>
      <c r="R12" s="4" t="str">
        <f>IFERROR(LOOKUP(2,1/((#REF!=dec!$A12)*(#REF!&lt;=dec!R$3)*(#REF!&gt;=dec!R$3)),#REF!),IF(WEEKDAY(dec!R$3,1)=1,"WO","P"))</f>
        <v>WO</v>
      </c>
      <c r="S12" s="4" t="str">
        <f>IFERROR(LOOKUP(2,1/((#REF!=dec!$A12)*(#REF!&lt;=dec!S$3)*(#REF!&gt;=dec!S$3)),#REF!),IF(WEEKDAY(dec!S$3,1)=1,"WO","P"))</f>
        <v>P</v>
      </c>
      <c r="T12" s="4" t="str">
        <f>IFERROR(LOOKUP(2,1/((#REF!=dec!$A12)*(#REF!&lt;=dec!T$3)*(#REF!&gt;=dec!T$3)),#REF!),IF(WEEKDAY(dec!T$3,1)=1,"WO","P"))</f>
        <v>P</v>
      </c>
      <c r="U12" s="4" t="str">
        <f>IFERROR(LOOKUP(2,1/((#REF!=dec!$A12)*(#REF!&lt;=dec!U$3)*(#REF!&gt;=dec!U$3)),#REF!),IF(WEEKDAY(dec!U$3,1)=1,"WO","P"))</f>
        <v>P</v>
      </c>
      <c r="V12" s="4" t="str">
        <f>IFERROR(LOOKUP(2,1/((#REF!=dec!$A12)*(#REF!&lt;=dec!V$3)*(#REF!&gt;=dec!V$3)),#REF!),IF(WEEKDAY(dec!V$3,1)=1,"WO","P"))</f>
        <v>P</v>
      </c>
      <c r="W12" s="4" t="str">
        <f>IFERROR(LOOKUP(2,1/((#REF!=dec!$A12)*(#REF!&lt;=dec!W$3)*(#REF!&gt;=dec!W$3)),#REF!),IF(WEEKDAY(dec!W$3,1)=1,"WO","P"))</f>
        <v>P</v>
      </c>
      <c r="X12" s="4" t="str">
        <f>IFERROR(LOOKUP(2,1/((#REF!=dec!$A12)*(#REF!&lt;=dec!X$3)*(#REF!&gt;=dec!X$3)),#REF!),IF(WEEKDAY(dec!X$3,1)=1,"WO","P"))</f>
        <v>P</v>
      </c>
      <c r="Y12" s="4" t="str">
        <f>IFERROR(LOOKUP(2,1/((#REF!=dec!$A12)*(#REF!&lt;=dec!Y$3)*(#REF!&gt;=dec!Y$3)),#REF!),IF(WEEKDAY(dec!Y$3,1)=1,"WO","P"))</f>
        <v>WO</v>
      </c>
      <c r="Z12" s="4" t="str">
        <f>IFERROR(LOOKUP(2,1/((#REF!=dec!$A12)*(#REF!&lt;=dec!Z$3)*(#REF!&gt;=dec!Z$3)),#REF!),IF(WEEKDAY(dec!Z$3,1)=1,"WO","P"))</f>
        <v>P</v>
      </c>
      <c r="AA12" s="4" t="str">
        <f>IFERROR(LOOKUP(2,1/((#REF!=dec!$A12)*(#REF!&lt;=dec!AA$3)*(#REF!&gt;=dec!AA$3)),#REF!),IF(WEEKDAY(dec!AA$3,1)=1,"WO","P"))</f>
        <v>P</v>
      </c>
      <c r="AB12" s="4" t="str">
        <f>IFERROR(LOOKUP(2,1/((#REF!=dec!$A12)*(#REF!&lt;=dec!AB$3)*(#REF!&gt;=dec!AB$3)),#REF!),IF(WEEKDAY(dec!AB$3,1)=1,"WO","P"))</f>
        <v>P</v>
      </c>
      <c r="AC12" s="4" t="str">
        <f>IFERROR(LOOKUP(2,1/((#REF!=dec!$A12)*(#REF!&lt;=dec!AC$3)*(#REF!&gt;=dec!AC$3)),#REF!),IF(WEEKDAY(dec!AC$3,1)=1,"WO","P"))</f>
        <v>P</v>
      </c>
      <c r="AD12" s="4" t="str">
        <f>IFERROR(LOOKUP(2,1/((#REF!=dec!$A12)*(#REF!&lt;=dec!AD$3)*(#REF!&gt;=dec!AD$3)),#REF!),IF(WEEKDAY(dec!AD$3,1)=1,"WO","P"))</f>
        <v>P</v>
      </c>
      <c r="AE12" s="4" t="str">
        <f>IFERROR(LOOKUP(2,1/((#REF!=dec!$A12)*(#REF!&lt;=dec!AE$3)*(#REF!&gt;=dec!AE$3)),#REF!),IF(WEEKDAY(dec!AE$3,1)=1,"WO","P"))</f>
        <v>P</v>
      </c>
      <c r="AF12" s="4" t="str">
        <f>IFERROR(LOOKUP(2,1/((#REF!=dec!$A12)*(#REF!&lt;=dec!AF$3)*(#REF!&gt;=dec!AF$3)),#REF!),IF(WEEKDAY(dec!AF$3,1)=1,"WO","P"))</f>
        <v>WO</v>
      </c>
      <c r="AG12" s="4" t="str">
        <f>IFERROR(LOOKUP(2,1/((#REF!=dec!$A12)*(#REF!&lt;=dec!AG$3)*(#REF!&gt;=dec!AG$3)),#REF!),IF(WEEKDAY(dec!AG$3,1)=1,"WO","P"))</f>
        <v>P</v>
      </c>
      <c r="AH12" s="4" t="str">
        <f>IFERROR(LOOKUP(2,1/((#REF!=dec!$A12)*(#REF!&lt;=dec!AH$3)*(#REF!&gt;=dec!AH$3)),#REF!),IF(WEEKDAY(dec!AH$3,1)=1,"WO","P"))</f>
        <v>P</v>
      </c>
      <c r="AI12" s="4" t="str">
        <f>IFERROR(LOOKUP(2,1/((#REF!=dec!$A12)*(#REF!&lt;=dec!AI$3)*(#REF!&gt;=dec!AI$3)),#REF!),IF(WEEKDAY(dec!AI$3,1)=1,"WO","P"))</f>
        <v>P</v>
      </c>
      <c r="AJ12" s="4" t="str">
        <f>IFERROR(LOOKUP(2,1/((#REF!=dec!$A12)*(#REF!&lt;=dec!AJ$3)*(#REF!&gt;=dec!AJ$3)),#REF!),IF(WEEKDAY(dec!AJ$3,1)=1,"WO","P"))</f>
        <v>P</v>
      </c>
      <c r="AK12" s="4">
        <f>COUNTIF(mar!$F12:$AJ12,"WO")</f>
        <v>5</v>
      </c>
      <c r="AL12" s="4">
        <f>COUNTIF(mar!$F12:$AJ12,"H")</f>
        <v>2</v>
      </c>
      <c r="AM12" s="4">
        <f>COUNTIF(mar!$F12:$AJ12,"pl")</f>
        <v>0</v>
      </c>
      <c r="AN12" s="4">
        <f>COUNTIF(mar!$F12:$AJ12,"LWP")</f>
        <v>0</v>
      </c>
      <c r="AO12" s="4">
        <f>COUNTIF(mar!$F12:$AJ12,"HD")</f>
        <v>0</v>
      </c>
      <c r="AP12" s="4">
        <f>COUNTIF(mar!$F12:$AJ12,"SL")</f>
        <v>0</v>
      </c>
      <c r="AQ12" s="4">
        <f>COUNTIF(mar!$F12:$AJ12,"CL")</f>
        <v>0</v>
      </c>
      <c r="AR12" s="4">
        <f>COUNTIF(mar!$F12:$AJ12,"A")</f>
        <v>0</v>
      </c>
      <c r="AS12" s="4">
        <f>COUNTIF(mar!$F12:$AJ12,"P")</f>
        <v>24</v>
      </c>
      <c r="AT12" s="4">
        <f t="shared" si="2"/>
        <v>31</v>
      </c>
      <c r="AU12" s="4">
        <f t="shared" si="3"/>
        <v>31</v>
      </c>
      <c r="AV12" s="4">
        <f>SUMIFS(holly!$L$2:$L$122,holly!$I$2:$I$122,mar!$A12,holly!$K$2:$K$122,"Mar")</f>
        <v>0</v>
      </c>
    </row>
    <row r="13" spans="1:48" ht="15.75" x14ac:dyDescent="0.25">
      <c r="A13" s="4" t="s">
        <v>26</v>
      </c>
      <c r="B13" s="4" t="str">
        <f>VLOOKUP($A13,Master!$A$2:$K$52,2,0)</f>
        <v>Employee9</v>
      </c>
      <c r="C13" s="4" t="str">
        <f>VLOOKUP($A13,Master!$A$2:$K$52,3,0)</f>
        <v>Female</v>
      </c>
      <c r="D13" s="4" t="str">
        <f>VLOOKUP($A13,Master!$A$2:$K$52,5,0)</f>
        <v>Maintenance</v>
      </c>
      <c r="E13" s="4" t="str">
        <f>VLOOKUP($A13,Master!$A$2:$K$52,6,0)</f>
        <v>Technician</v>
      </c>
      <c r="F13" s="4" t="str">
        <f>IFERROR(LOOKUP(2,1/((#REF!=dec!$A13)*(#REF!&lt;=dec!F$3)*(#REF!&gt;=dec!F$3)),#REF!),IF(WEEKDAY(dec!F$3,1)=1,"WO","P"))</f>
        <v>P</v>
      </c>
      <c r="G13" s="4" t="str">
        <f>IFERROR(LOOKUP(2,1/((#REF!=dec!$A13)*(#REF!&lt;=dec!G$3)*(#REF!&gt;=dec!G$3)),#REF!),IF(WEEKDAY(dec!G$3,1)=1,"WO","P"))</f>
        <v>P</v>
      </c>
      <c r="H13" s="4" t="str">
        <f>IFERROR(LOOKUP(2,1/((#REF!=dec!$A13)*(#REF!&lt;=dec!H$3)*(#REF!&gt;=dec!H$3)),#REF!),IF(WEEKDAY(dec!H$3,1)=1,"WO","P"))</f>
        <v>P</v>
      </c>
      <c r="I13" s="4" t="str">
        <f>IFERROR(LOOKUP(2,1/((#REF!=dec!$A13)*(#REF!&lt;=dec!I$3)*(#REF!&gt;=dec!I$3)),#REF!),IF(WEEKDAY(dec!I$3,1)=1,"WO","P"))</f>
        <v>P</v>
      </c>
      <c r="J13" s="4" t="str">
        <f>IFERROR(LOOKUP(2,1/((#REF!=dec!$A13)*(#REF!&lt;=dec!J$3)*(#REF!&gt;=dec!J$3)),#REF!),IF(WEEKDAY(dec!J$3,1)=1,"WO","P"))</f>
        <v>P</v>
      </c>
      <c r="K13" s="4" t="str">
        <f>IFERROR(LOOKUP(2,1/((#REF!=dec!$A13)*(#REF!&lt;=dec!K$3)*(#REF!&gt;=dec!K$3)),#REF!),IF(WEEKDAY(dec!K$3,1)=1,"WO","P"))</f>
        <v>WO</v>
      </c>
      <c r="L13" s="4" t="str">
        <f>IFERROR(LOOKUP(2,1/((#REF!=dec!$A13)*(#REF!&lt;=dec!L$3)*(#REF!&gt;=dec!L$3)),#REF!),IF(WEEKDAY(dec!L$3,1)=1,"WO","P"))</f>
        <v>P</v>
      </c>
      <c r="M13" s="4" t="str">
        <f>IFERROR(LOOKUP(2,1/((#REF!=dec!$A13)*(#REF!&lt;=dec!M$3)*(#REF!&gt;=dec!M$3)),#REF!),IF(WEEKDAY(dec!M$3,1)=1,"WO","P"))</f>
        <v>P</v>
      </c>
      <c r="N13" s="4" t="str">
        <f>IFERROR(LOOKUP(2,1/((#REF!=dec!$A13)*(#REF!&lt;=dec!N$3)*(#REF!&gt;=dec!N$3)),#REF!),IF(WEEKDAY(dec!N$3,1)=1,"WO","P"))</f>
        <v>P</v>
      </c>
      <c r="O13" s="4" t="str">
        <f>IFERROR(LOOKUP(2,1/((#REF!=dec!$A13)*(#REF!&lt;=dec!O$3)*(#REF!&gt;=dec!O$3)),#REF!),IF(WEEKDAY(dec!O$3,1)=1,"WO","P"))</f>
        <v>P</v>
      </c>
      <c r="P13" s="4" t="str">
        <f>IFERROR(LOOKUP(2,1/((#REF!=dec!$A13)*(#REF!&lt;=dec!P$3)*(#REF!&gt;=dec!P$3)),#REF!),IF(WEEKDAY(dec!P$3,1)=1,"WO","P"))</f>
        <v>P</v>
      </c>
      <c r="Q13" s="4" t="str">
        <f>IFERROR(LOOKUP(2,1/((#REF!=dec!$A13)*(#REF!&lt;=dec!Q$3)*(#REF!&gt;=dec!Q$3)),#REF!),IF(WEEKDAY(dec!Q$3,1)=1,"WO","P"))</f>
        <v>P</v>
      </c>
      <c r="R13" s="4" t="str">
        <f>IFERROR(LOOKUP(2,1/((#REF!=dec!$A13)*(#REF!&lt;=dec!R$3)*(#REF!&gt;=dec!R$3)),#REF!),IF(WEEKDAY(dec!R$3,1)=1,"WO","P"))</f>
        <v>WO</v>
      </c>
      <c r="S13" s="4" t="str">
        <f>IFERROR(LOOKUP(2,1/((#REF!=dec!$A13)*(#REF!&lt;=dec!S$3)*(#REF!&gt;=dec!S$3)),#REF!),IF(WEEKDAY(dec!S$3,1)=1,"WO","P"))</f>
        <v>P</v>
      </c>
      <c r="T13" s="4" t="str">
        <f>IFERROR(LOOKUP(2,1/((#REF!=dec!$A13)*(#REF!&lt;=dec!T$3)*(#REF!&gt;=dec!T$3)),#REF!),IF(WEEKDAY(dec!T$3,1)=1,"WO","P"))</f>
        <v>P</v>
      </c>
      <c r="U13" s="4" t="str">
        <f>IFERROR(LOOKUP(2,1/((#REF!=dec!$A13)*(#REF!&lt;=dec!U$3)*(#REF!&gt;=dec!U$3)),#REF!),IF(WEEKDAY(dec!U$3,1)=1,"WO","P"))</f>
        <v>P</v>
      </c>
      <c r="V13" s="4" t="str">
        <f>IFERROR(LOOKUP(2,1/((#REF!=dec!$A13)*(#REF!&lt;=dec!V$3)*(#REF!&gt;=dec!V$3)),#REF!),IF(WEEKDAY(dec!V$3,1)=1,"WO","P"))</f>
        <v>P</v>
      </c>
      <c r="W13" s="4" t="str">
        <f>IFERROR(LOOKUP(2,1/((#REF!=dec!$A13)*(#REF!&lt;=dec!W$3)*(#REF!&gt;=dec!W$3)),#REF!),IF(WEEKDAY(dec!W$3,1)=1,"WO","P"))</f>
        <v>P</v>
      </c>
      <c r="X13" s="4" t="str">
        <f>IFERROR(LOOKUP(2,1/((#REF!=dec!$A13)*(#REF!&lt;=dec!X$3)*(#REF!&gt;=dec!X$3)),#REF!),IF(WEEKDAY(dec!X$3,1)=1,"WO","P"))</f>
        <v>P</v>
      </c>
      <c r="Y13" s="4" t="str">
        <f>IFERROR(LOOKUP(2,1/((#REF!=dec!$A13)*(#REF!&lt;=dec!Y$3)*(#REF!&gt;=dec!Y$3)),#REF!),IF(WEEKDAY(dec!Y$3,1)=1,"WO","P"))</f>
        <v>WO</v>
      </c>
      <c r="Z13" s="4" t="str">
        <f>IFERROR(LOOKUP(2,1/((#REF!=dec!$A13)*(#REF!&lt;=dec!Z$3)*(#REF!&gt;=dec!Z$3)),#REF!),IF(WEEKDAY(dec!Z$3,1)=1,"WO","P"))</f>
        <v>P</v>
      </c>
      <c r="AA13" s="4" t="str">
        <f>IFERROR(LOOKUP(2,1/((#REF!=dec!$A13)*(#REF!&lt;=dec!AA$3)*(#REF!&gt;=dec!AA$3)),#REF!),IF(WEEKDAY(dec!AA$3,1)=1,"WO","P"))</f>
        <v>P</v>
      </c>
      <c r="AB13" s="4" t="str">
        <f>IFERROR(LOOKUP(2,1/((#REF!=dec!$A13)*(#REF!&lt;=dec!AB$3)*(#REF!&gt;=dec!AB$3)),#REF!),IF(WEEKDAY(dec!AB$3,1)=1,"WO","P"))</f>
        <v>P</v>
      </c>
      <c r="AC13" s="4" t="str">
        <f>IFERROR(LOOKUP(2,1/((#REF!=dec!$A13)*(#REF!&lt;=dec!AC$3)*(#REF!&gt;=dec!AC$3)),#REF!),IF(WEEKDAY(dec!AC$3,1)=1,"WO","P"))</f>
        <v>P</v>
      </c>
      <c r="AD13" s="4" t="str">
        <f>IFERROR(LOOKUP(2,1/((#REF!=dec!$A13)*(#REF!&lt;=dec!AD$3)*(#REF!&gt;=dec!AD$3)),#REF!),IF(WEEKDAY(dec!AD$3,1)=1,"WO","P"))</f>
        <v>P</v>
      </c>
      <c r="AE13" s="4" t="str">
        <f>IFERROR(LOOKUP(2,1/((#REF!=dec!$A13)*(#REF!&lt;=dec!AE$3)*(#REF!&gt;=dec!AE$3)),#REF!),IF(WEEKDAY(dec!AE$3,1)=1,"WO","P"))</f>
        <v>P</v>
      </c>
      <c r="AF13" s="4" t="str">
        <f>IFERROR(LOOKUP(2,1/((#REF!=dec!$A13)*(#REF!&lt;=dec!AF$3)*(#REF!&gt;=dec!AF$3)),#REF!),IF(WEEKDAY(dec!AF$3,1)=1,"WO","P"))</f>
        <v>WO</v>
      </c>
      <c r="AG13" s="4" t="str">
        <f>IFERROR(LOOKUP(2,1/((#REF!=dec!$A13)*(#REF!&lt;=dec!AG$3)*(#REF!&gt;=dec!AG$3)),#REF!),IF(WEEKDAY(dec!AG$3,1)=1,"WO","P"))</f>
        <v>P</v>
      </c>
      <c r="AH13" s="4" t="str">
        <f>IFERROR(LOOKUP(2,1/((#REF!=dec!$A13)*(#REF!&lt;=dec!AH$3)*(#REF!&gt;=dec!AH$3)),#REF!),IF(WEEKDAY(dec!AH$3,1)=1,"WO","P"))</f>
        <v>P</v>
      </c>
      <c r="AI13" s="4" t="str">
        <f>IFERROR(LOOKUP(2,1/((#REF!=dec!$A13)*(#REF!&lt;=dec!AI$3)*(#REF!&gt;=dec!AI$3)),#REF!),IF(WEEKDAY(dec!AI$3,1)=1,"WO","P"))</f>
        <v>P</v>
      </c>
      <c r="AJ13" s="4" t="str">
        <f>IFERROR(LOOKUP(2,1/((#REF!=dec!$A13)*(#REF!&lt;=dec!AJ$3)*(#REF!&gt;=dec!AJ$3)),#REF!),IF(WEEKDAY(dec!AJ$3,1)=1,"WO","P"))</f>
        <v>P</v>
      </c>
      <c r="AK13" s="4">
        <f>COUNTIF(mar!$F13:$AJ13,"WO")</f>
        <v>5</v>
      </c>
      <c r="AL13" s="4">
        <f>COUNTIF(mar!$F13:$AJ13,"H")</f>
        <v>2</v>
      </c>
      <c r="AM13" s="4">
        <f>COUNTIF(mar!$F13:$AJ13,"pl")</f>
        <v>0</v>
      </c>
      <c r="AN13" s="4">
        <f>COUNTIF(mar!$F13:$AJ13,"LWP")</f>
        <v>0</v>
      </c>
      <c r="AO13" s="4">
        <f>COUNTIF(mar!$F13:$AJ13,"HD")</f>
        <v>0</v>
      </c>
      <c r="AP13" s="4">
        <f>COUNTIF(mar!$F13:$AJ13,"SL")</f>
        <v>0</v>
      </c>
      <c r="AQ13" s="4">
        <f>COUNTIF(mar!$F13:$AJ13,"CL")</f>
        <v>0</v>
      </c>
      <c r="AR13" s="4">
        <f>COUNTIF(mar!$F13:$AJ13,"A")</f>
        <v>2</v>
      </c>
      <c r="AS13" s="4">
        <f>COUNTIF(mar!$F13:$AJ13,"P")</f>
        <v>22</v>
      </c>
      <c r="AT13" s="4">
        <f t="shared" si="2"/>
        <v>31</v>
      </c>
      <c r="AU13" s="4">
        <f t="shared" si="3"/>
        <v>29</v>
      </c>
      <c r="AV13" s="4">
        <f>SUMIFS(holly!$L$2:$L$122,holly!$I$2:$I$122,mar!$A13,holly!$K$2:$K$122,"Mar")</f>
        <v>0</v>
      </c>
    </row>
    <row r="14" spans="1:48" ht="15.75" x14ac:dyDescent="0.25">
      <c r="A14" s="4" t="s">
        <v>30</v>
      </c>
      <c r="B14" s="4" t="str">
        <f>VLOOKUP($A14,Master!$A$2:$K$52,2,0)</f>
        <v>Employee10</v>
      </c>
      <c r="C14" s="4" t="str">
        <f>VLOOKUP($A14,Master!$A$2:$K$52,3,0)</f>
        <v>Male</v>
      </c>
      <c r="D14" s="4" t="str">
        <f>VLOOKUP($A14,Master!$A$2:$K$52,5,0)</f>
        <v>Warehouse</v>
      </c>
      <c r="E14" s="4" t="str">
        <f>VLOOKUP($A14,Master!$A$2:$K$52,6,0)</f>
        <v>Store Assistant</v>
      </c>
      <c r="F14" s="4" t="str">
        <f>IFERROR(LOOKUP(2,1/((#REF!=dec!$A14)*(#REF!&lt;=dec!F$3)*(#REF!&gt;=dec!F$3)),#REF!),IF(WEEKDAY(dec!F$3,1)=1,"WO","P"))</f>
        <v>P</v>
      </c>
      <c r="G14" s="4" t="str">
        <f>IFERROR(LOOKUP(2,1/((#REF!=dec!$A14)*(#REF!&lt;=dec!G$3)*(#REF!&gt;=dec!G$3)),#REF!),IF(WEEKDAY(dec!G$3,1)=1,"WO","P"))</f>
        <v>P</v>
      </c>
      <c r="H14" s="4" t="str">
        <f>IFERROR(LOOKUP(2,1/((#REF!=dec!$A14)*(#REF!&lt;=dec!H$3)*(#REF!&gt;=dec!H$3)),#REF!),IF(WEEKDAY(dec!H$3,1)=1,"WO","P"))</f>
        <v>P</v>
      </c>
      <c r="I14" s="4" t="str">
        <f>IFERROR(LOOKUP(2,1/((#REF!=dec!$A14)*(#REF!&lt;=dec!I$3)*(#REF!&gt;=dec!I$3)),#REF!),IF(WEEKDAY(dec!I$3,1)=1,"WO","P"))</f>
        <v>P</v>
      </c>
      <c r="J14" s="4" t="str">
        <f>IFERROR(LOOKUP(2,1/((#REF!=dec!$A14)*(#REF!&lt;=dec!J$3)*(#REF!&gt;=dec!J$3)),#REF!),IF(WEEKDAY(dec!J$3,1)=1,"WO","P"))</f>
        <v>P</v>
      </c>
      <c r="K14" s="4" t="str">
        <f>IFERROR(LOOKUP(2,1/((#REF!=dec!$A14)*(#REF!&lt;=dec!K$3)*(#REF!&gt;=dec!K$3)),#REF!),IF(WEEKDAY(dec!K$3,1)=1,"WO","P"))</f>
        <v>WO</v>
      </c>
      <c r="L14" s="4" t="str">
        <f>IFERROR(LOOKUP(2,1/((#REF!=dec!$A14)*(#REF!&lt;=dec!L$3)*(#REF!&gt;=dec!L$3)),#REF!),IF(WEEKDAY(dec!L$3,1)=1,"WO","P"))</f>
        <v>P</v>
      </c>
      <c r="M14" s="4" t="str">
        <f>IFERROR(LOOKUP(2,1/((#REF!=dec!$A14)*(#REF!&lt;=dec!M$3)*(#REF!&gt;=dec!M$3)),#REF!),IF(WEEKDAY(dec!M$3,1)=1,"WO","P"))</f>
        <v>P</v>
      </c>
      <c r="N14" s="4" t="str">
        <f>IFERROR(LOOKUP(2,1/((#REF!=dec!$A14)*(#REF!&lt;=dec!N$3)*(#REF!&gt;=dec!N$3)),#REF!),IF(WEEKDAY(dec!N$3,1)=1,"WO","P"))</f>
        <v>P</v>
      </c>
      <c r="O14" s="4" t="str">
        <f>IFERROR(LOOKUP(2,1/((#REF!=dec!$A14)*(#REF!&lt;=dec!O$3)*(#REF!&gt;=dec!O$3)),#REF!),IF(WEEKDAY(dec!O$3,1)=1,"WO","P"))</f>
        <v>P</v>
      </c>
      <c r="P14" s="4" t="str">
        <f>IFERROR(LOOKUP(2,1/((#REF!=dec!$A14)*(#REF!&lt;=dec!P$3)*(#REF!&gt;=dec!P$3)),#REF!),IF(WEEKDAY(dec!P$3,1)=1,"WO","P"))</f>
        <v>P</v>
      </c>
      <c r="Q14" s="4" t="str">
        <f>IFERROR(LOOKUP(2,1/((#REF!=dec!$A14)*(#REF!&lt;=dec!Q$3)*(#REF!&gt;=dec!Q$3)),#REF!),IF(WEEKDAY(dec!Q$3,1)=1,"WO","P"))</f>
        <v>P</v>
      </c>
      <c r="R14" s="4" t="str">
        <f>IFERROR(LOOKUP(2,1/((#REF!=dec!$A14)*(#REF!&lt;=dec!R$3)*(#REF!&gt;=dec!R$3)),#REF!),IF(WEEKDAY(dec!R$3,1)=1,"WO","P"))</f>
        <v>WO</v>
      </c>
      <c r="S14" s="4" t="str">
        <f>IFERROR(LOOKUP(2,1/((#REF!=dec!$A14)*(#REF!&lt;=dec!S$3)*(#REF!&gt;=dec!S$3)),#REF!),IF(WEEKDAY(dec!S$3,1)=1,"WO","P"))</f>
        <v>P</v>
      </c>
      <c r="T14" s="4" t="str">
        <f>IFERROR(LOOKUP(2,1/((#REF!=dec!$A14)*(#REF!&lt;=dec!T$3)*(#REF!&gt;=dec!T$3)),#REF!),IF(WEEKDAY(dec!T$3,1)=1,"WO","P"))</f>
        <v>P</v>
      </c>
      <c r="U14" s="4" t="str">
        <f>IFERROR(LOOKUP(2,1/((#REF!=dec!$A14)*(#REF!&lt;=dec!U$3)*(#REF!&gt;=dec!U$3)),#REF!),IF(WEEKDAY(dec!U$3,1)=1,"WO","P"))</f>
        <v>P</v>
      </c>
      <c r="V14" s="4" t="str">
        <f>IFERROR(LOOKUP(2,1/((#REF!=dec!$A14)*(#REF!&lt;=dec!V$3)*(#REF!&gt;=dec!V$3)),#REF!),IF(WEEKDAY(dec!V$3,1)=1,"WO","P"))</f>
        <v>P</v>
      </c>
      <c r="W14" s="4" t="str">
        <f>IFERROR(LOOKUP(2,1/((#REF!=dec!$A14)*(#REF!&lt;=dec!W$3)*(#REF!&gt;=dec!W$3)),#REF!),IF(WEEKDAY(dec!W$3,1)=1,"WO","P"))</f>
        <v>P</v>
      </c>
      <c r="X14" s="4" t="str">
        <f>IFERROR(LOOKUP(2,1/((#REF!=dec!$A14)*(#REF!&lt;=dec!X$3)*(#REF!&gt;=dec!X$3)),#REF!),IF(WEEKDAY(dec!X$3,1)=1,"WO","P"))</f>
        <v>P</v>
      </c>
      <c r="Y14" s="4" t="str">
        <f>IFERROR(LOOKUP(2,1/((#REF!=dec!$A14)*(#REF!&lt;=dec!Y$3)*(#REF!&gt;=dec!Y$3)),#REF!),IF(WEEKDAY(dec!Y$3,1)=1,"WO","P"))</f>
        <v>WO</v>
      </c>
      <c r="Z14" s="4" t="str">
        <f>IFERROR(LOOKUP(2,1/((#REF!=dec!$A14)*(#REF!&lt;=dec!Z$3)*(#REF!&gt;=dec!Z$3)),#REF!),IF(WEEKDAY(dec!Z$3,1)=1,"WO","P"))</f>
        <v>P</v>
      </c>
      <c r="AA14" s="4" t="str">
        <f>IFERROR(LOOKUP(2,1/((#REF!=dec!$A14)*(#REF!&lt;=dec!AA$3)*(#REF!&gt;=dec!AA$3)),#REF!),IF(WEEKDAY(dec!AA$3,1)=1,"WO","P"))</f>
        <v>P</v>
      </c>
      <c r="AB14" s="4" t="str">
        <f>IFERROR(LOOKUP(2,1/((#REF!=dec!$A14)*(#REF!&lt;=dec!AB$3)*(#REF!&gt;=dec!AB$3)),#REF!),IF(WEEKDAY(dec!AB$3,1)=1,"WO","P"))</f>
        <v>P</v>
      </c>
      <c r="AC14" s="4" t="str">
        <f>IFERROR(LOOKUP(2,1/((#REF!=dec!$A14)*(#REF!&lt;=dec!AC$3)*(#REF!&gt;=dec!AC$3)),#REF!),IF(WEEKDAY(dec!AC$3,1)=1,"WO","P"))</f>
        <v>P</v>
      </c>
      <c r="AD14" s="4" t="str">
        <f>IFERROR(LOOKUP(2,1/((#REF!=dec!$A14)*(#REF!&lt;=dec!AD$3)*(#REF!&gt;=dec!AD$3)),#REF!),IF(WEEKDAY(dec!AD$3,1)=1,"WO","P"))</f>
        <v>P</v>
      </c>
      <c r="AE14" s="4" t="str">
        <f>IFERROR(LOOKUP(2,1/((#REF!=dec!$A14)*(#REF!&lt;=dec!AE$3)*(#REF!&gt;=dec!AE$3)),#REF!),IF(WEEKDAY(dec!AE$3,1)=1,"WO","P"))</f>
        <v>P</v>
      </c>
      <c r="AF14" s="4" t="str">
        <f>IFERROR(LOOKUP(2,1/((#REF!=dec!$A14)*(#REF!&lt;=dec!AF$3)*(#REF!&gt;=dec!AF$3)),#REF!),IF(WEEKDAY(dec!AF$3,1)=1,"WO","P"))</f>
        <v>WO</v>
      </c>
      <c r="AG14" s="4" t="str">
        <f>IFERROR(LOOKUP(2,1/((#REF!=dec!$A14)*(#REF!&lt;=dec!AG$3)*(#REF!&gt;=dec!AG$3)),#REF!),IF(WEEKDAY(dec!AG$3,1)=1,"WO","P"))</f>
        <v>P</v>
      </c>
      <c r="AH14" s="4" t="str">
        <f>IFERROR(LOOKUP(2,1/((#REF!=dec!$A14)*(#REF!&lt;=dec!AH$3)*(#REF!&gt;=dec!AH$3)),#REF!),IF(WEEKDAY(dec!AH$3,1)=1,"WO","P"))</f>
        <v>P</v>
      </c>
      <c r="AI14" s="4" t="str">
        <f>IFERROR(LOOKUP(2,1/((#REF!=dec!$A14)*(#REF!&lt;=dec!AI$3)*(#REF!&gt;=dec!AI$3)),#REF!),IF(WEEKDAY(dec!AI$3,1)=1,"WO","P"))</f>
        <v>P</v>
      </c>
      <c r="AJ14" s="4" t="str">
        <f>IFERROR(LOOKUP(2,1/((#REF!=dec!$A14)*(#REF!&lt;=dec!AJ$3)*(#REF!&gt;=dec!AJ$3)),#REF!),IF(WEEKDAY(dec!AJ$3,1)=1,"WO","P"))</f>
        <v>P</v>
      </c>
      <c r="AK14" s="4">
        <f>COUNTIF(mar!$F14:$AJ14,"WO")</f>
        <v>5</v>
      </c>
      <c r="AL14" s="4">
        <f>COUNTIF(mar!$F14:$AJ14,"H")</f>
        <v>2</v>
      </c>
      <c r="AM14" s="4">
        <f>COUNTIF(mar!$F14:$AJ14,"pl")</f>
        <v>0</v>
      </c>
      <c r="AN14" s="4">
        <f>COUNTIF(mar!$F14:$AJ14,"LWP")</f>
        <v>0</v>
      </c>
      <c r="AO14" s="4">
        <f>COUNTIF(mar!$F14:$AJ14,"HD")</f>
        <v>0</v>
      </c>
      <c r="AP14" s="4">
        <f>COUNTIF(mar!$F14:$AJ14,"SL")</f>
        <v>0</v>
      </c>
      <c r="AQ14" s="4">
        <f>COUNTIF(mar!$F14:$AJ14,"CL")</f>
        <v>0</v>
      </c>
      <c r="AR14" s="4">
        <f>COUNTIF(mar!$F14:$AJ14,"A")</f>
        <v>1</v>
      </c>
      <c r="AS14" s="4">
        <f>COUNTIF(mar!$F14:$AJ14,"P")</f>
        <v>23</v>
      </c>
      <c r="AT14" s="4">
        <f t="shared" si="2"/>
        <v>31</v>
      </c>
      <c r="AU14" s="4">
        <f t="shared" si="3"/>
        <v>30</v>
      </c>
      <c r="AV14" s="4">
        <f>SUMIFS(holly!$L$2:$L$122,holly!$I$2:$I$122,mar!$A14,holly!$K$2:$K$122,"Mar")</f>
        <v>4</v>
      </c>
    </row>
    <row r="15" spans="1:48" ht="15.75" x14ac:dyDescent="0.25">
      <c r="A15" s="4" t="s">
        <v>31</v>
      </c>
      <c r="B15" s="4" t="str">
        <f>VLOOKUP($A15,Master!$A$2:$K$52,2,0)</f>
        <v>Employee11</v>
      </c>
      <c r="C15" s="4" t="str">
        <f>VLOOKUP($A15,Master!$A$2:$K$52,3,0)</f>
        <v>Male</v>
      </c>
      <c r="D15" s="4" t="str">
        <f>VLOOKUP($A15,Master!$A$2:$K$52,5,0)</f>
        <v>Production</v>
      </c>
      <c r="E15" s="4" t="str">
        <f>VLOOKUP($A15,Master!$A$2:$K$52,6,0)</f>
        <v>Operator</v>
      </c>
      <c r="F15" s="4" t="str">
        <f>IFERROR(LOOKUP(2,1/((#REF!=dec!$A15)*(#REF!&lt;=dec!F$3)*(#REF!&gt;=dec!F$3)),#REF!),IF(WEEKDAY(dec!F$3,1)=1,"WO","P"))</f>
        <v>P</v>
      </c>
      <c r="G15" s="4" t="str">
        <f>IFERROR(LOOKUP(2,1/((#REF!=dec!$A15)*(#REF!&lt;=dec!G$3)*(#REF!&gt;=dec!G$3)),#REF!),IF(WEEKDAY(dec!G$3,1)=1,"WO","P"))</f>
        <v>P</v>
      </c>
      <c r="H15" s="4" t="str">
        <f>IFERROR(LOOKUP(2,1/((#REF!=dec!$A15)*(#REF!&lt;=dec!H$3)*(#REF!&gt;=dec!H$3)),#REF!),IF(WEEKDAY(dec!H$3,1)=1,"WO","P"))</f>
        <v>P</v>
      </c>
      <c r="I15" s="4" t="str">
        <f>IFERROR(LOOKUP(2,1/((#REF!=dec!$A15)*(#REF!&lt;=dec!I$3)*(#REF!&gt;=dec!I$3)),#REF!),IF(WEEKDAY(dec!I$3,1)=1,"WO","P"))</f>
        <v>P</v>
      </c>
      <c r="J15" s="4" t="str">
        <f>IFERROR(LOOKUP(2,1/((#REF!=dec!$A15)*(#REF!&lt;=dec!J$3)*(#REF!&gt;=dec!J$3)),#REF!),IF(WEEKDAY(dec!J$3,1)=1,"WO","P"))</f>
        <v>P</v>
      </c>
      <c r="K15" s="4" t="str">
        <f>IFERROR(LOOKUP(2,1/((#REF!=dec!$A15)*(#REF!&lt;=dec!K$3)*(#REF!&gt;=dec!K$3)),#REF!),IF(WEEKDAY(dec!K$3,1)=1,"WO","P"))</f>
        <v>WO</v>
      </c>
      <c r="L15" s="4" t="str">
        <f>IFERROR(LOOKUP(2,1/((#REF!=dec!$A15)*(#REF!&lt;=dec!L$3)*(#REF!&gt;=dec!L$3)),#REF!),IF(WEEKDAY(dec!L$3,1)=1,"WO","P"))</f>
        <v>P</v>
      </c>
      <c r="M15" s="4" t="str">
        <f>IFERROR(LOOKUP(2,1/((#REF!=dec!$A15)*(#REF!&lt;=dec!M$3)*(#REF!&gt;=dec!M$3)),#REF!),IF(WEEKDAY(dec!M$3,1)=1,"WO","P"))</f>
        <v>P</v>
      </c>
      <c r="N15" s="4" t="str">
        <f>IFERROR(LOOKUP(2,1/((#REF!=dec!$A15)*(#REF!&lt;=dec!N$3)*(#REF!&gt;=dec!N$3)),#REF!),IF(WEEKDAY(dec!N$3,1)=1,"WO","P"))</f>
        <v>P</v>
      </c>
      <c r="O15" s="4" t="str">
        <f>IFERROR(LOOKUP(2,1/((#REF!=dec!$A15)*(#REF!&lt;=dec!O$3)*(#REF!&gt;=dec!O$3)),#REF!),IF(WEEKDAY(dec!O$3,1)=1,"WO","P"))</f>
        <v>P</v>
      </c>
      <c r="P15" s="4" t="str">
        <f>IFERROR(LOOKUP(2,1/((#REF!=dec!$A15)*(#REF!&lt;=dec!P$3)*(#REF!&gt;=dec!P$3)),#REF!),IF(WEEKDAY(dec!P$3,1)=1,"WO","P"))</f>
        <v>P</v>
      </c>
      <c r="Q15" s="4" t="str">
        <f>IFERROR(LOOKUP(2,1/((#REF!=dec!$A15)*(#REF!&lt;=dec!Q$3)*(#REF!&gt;=dec!Q$3)),#REF!),IF(WEEKDAY(dec!Q$3,1)=1,"WO","P"))</f>
        <v>P</v>
      </c>
      <c r="R15" s="4" t="str">
        <f>IFERROR(LOOKUP(2,1/((#REF!=dec!$A15)*(#REF!&lt;=dec!R$3)*(#REF!&gt;=dec!R$3)),#REF!),IF(WEEKDAY(dec!R$3,1)=1,"WO","P"))</f>
        <v>WO</v>
      </c>
      <c r="S15" s="4" t="str">
        <f>IFERROR(LOOKUP(2,1/((#REF!=dec!$A15)*(#REF!&lt;=dec!S$3)*(#REF!&gt;=dec!S$3)),#REF!),IF(WEEKDAY(dec!S$3,1)=1,"WO","P"))</f>
        <v>P</v>
      </c>
      <c r="T15" s="4" t="str">
        <f>IFERROR(LOOKUP(2,1/((#REF!=dec!$A15)*(#REF!&lt;=dec!T$3)*(#REF!&gt;=dec!T$3)),#REF!),IF(WEEKDAY(dec!T$3,1)=1,"WO","P"))</f>
        <v>P</v>
      </c>
      <c r="U15" s="4" t="str">
        <f>IFERROR(LOOKUP(2,1/((#REF!=dec!$A15)*(#REF!&lt;=dec!U$3)*(#REF!&gt;=dec!U$3)),#REF!),IF(WEEKDAY(dec!U$3,1)=1,"WO","P"))</f>
        <v>P</v>
      </c>
      <c r="V15" s="4" t="str">
        <f>IFERROR(LOOKUP(2,1/((#REF!=dec!$A15)*(#REF!&lt;=dec!V$3)*(#REF!&gt;=dec!V$3)),#REF!),IF(WEEKDAY(dec!V$3,1)=1,"WO","P"))</f>
        <v>P</v>
      </c>
      <c r="W15" s="4" t="str">
        <f>IFERROR(LOOKUP(2,1/((#REF!=dec!$A15)*(#REF!&lt;=dec!W$3)*(#REF!&gt;=dec!W$3)),#REF!),IF(WEEKDAY(dec!W$3,1)=1,"WO","P"))</f>
        <v>P</v>
      </c>
      <c r="X15" s="4" t="str">
        <f>IFERROR(LOOKUP(2,1/((#REF!=dec!$A15)*(#REF!&lt;=dec!X$3)*(#REF!&gt;=dec!X$3)),#REF!),IF(WEEKDAY(dec!X$3,1)=1,"WO","P"))</f>
        <v>P</v>
      </c>
      <c r="Y15" s="4" t="str">
        <f>IFERROR(LOOKUP(2,1/((#REF!=dec!$A15)*(#REF!&lt;=dec!Y$3)*(#REF!&gt;=dec!Y$3)),#REF!),IF(WEEKDAY(dec!Y$3,1)=1,"WO","P"))</f>
        <v>WO</v>
      </c>
      <c r="Z15" s="4" t="str">
        <f>IFERROR(LOOKUP(2,1/((#REF!=dec!$A15)*(#REF!&lt;=dec!Z$3)*(#REF!&gt;=dec!Z$3)),#REF!),IF(WEEKDAY(dec!Z$3,1)=1,"WO","P"))</f>
        <v>P</v>
      </c>
      <c r="AA15" s="4" t="str">
        <f>IFERROR(LOOKUP(2,1/((#REF!=dec!$A15)*(#REF!&lt;=dec!AA$3)*(#REF!&gt;=dec!AA$3)),#REF!),IF(WEEKDAY(dec!AA$3,1)=1,"WO","P"))</f>
        <v>P</v>
      </c>
      <c r="AB15" s="4" t="str">
        <f>IFERROR(LOOKUP(2,1/((#REF!=dec!$A15)*(#REF!&lt;=dec!AB$3)*(#REF!&gt;=dec!AB$3)),#REF!),IF(WEEKDAY(dec!AB$3,1)=1,"WO","P"))</f>
        <v>P</v>
      </c>
      <c r="AC15" s="4" t="str">
        <f>IFERROR(LOOKUP(2,1/((#REF!=dec!$A15)*(#REF!&lt;=dec!AC$3)*(#REF!&gt;=dec!AC$3)),#REF!),IF(WEEKDAY(dec!AC$3,1)=1,"WO","P"))</f>
        <v>P</v>
      </c>
      <c r="AD15" s="4" t="str">
        <f>IFERROR(LOOKUP(2,1/((#REF!=dec!$A15)*(#REF!&lt;=dec!AD$3)*(#REF!&gt;=dec!AD$3)),#REF!),IF(WEEKDAY(dec!AD$3,1)=1,"WO","P"))</f>
        <v>P</v>
      </c>
      <c r="AE15" s="4" t="str">
        <f>IFERROR(LOOKUP(2,1/((#REF!=dec!$A15)*(#REF!&lt;=dec!AE$3)*(#REF!&gt;=dec!AE$3)),#REF!),IF(WEEKDAY(dec!AE$3,1)=1,"WO","P"))</f>
        <v>P</v>
      </c>
      <c r="AF15" s="4" t="str">
        <f>IFERROR(LOOKUP(2,1/((#REF!=dec!$A15)*(#REF!&lt;=dec!AF$3)*(#REF!&gt;=dec!AF$3)),#REF!),IF(WEEKDAY(dec!AF$3,1)=1,"WO","P"))</f>
        <v>WO</v>
      </c>
      <c r="AG15" s="4" t="str">
        <f>IFERROR(LOOKUP(2,1/((#REF!=dec!$A15)*(#REF!&lt;=dec!AG$3)*(#REF!&gt;=dec!AG$3)),#REF!),IF(WEEKDAY(dec!AG$3,1)=1,"WO","P"))</f>
        <v>P</v>
      </c>
      <c r="AH15" s="4" t="str">
        <f>IFERROR(LOOKUP(2,1/((#REF!=dec!$A15)*(#REF!&lt;=dec!AH$3)*(#REF!&gt;=dec!AH$3)),#REF!),IF(WEEKDAY(dec!AH$3,1)=1,"WO","P"))</f>
        <v>P</v>
      </c>
      <c r="AI15" s="4" t="str">
        <f>IFERROR(LOOKUP(2,1/((#REF!=dec!$A15)*(#REF!&lt;=dec!AI$3)*(#REF!&gt;=dec!AI$3)),#REF!),IF(WEEKDAY(dec!AI$3,1)=1,"WO","P"))</f>
        <v>P</v>
      </c>
      <c r="AJ15" s="4" t="str">
        <f>IFERROR(LOOKUP(2,1/((#REF!=dec!$A15)*(#REF!&lt;=dec!AJ$3)*(#REF!&gt;=dec!AJ$3)),#REF!),IF(WEEKDAY(dec!AJ$3,1)=1,"WO","P"))</f>
        <v>P</v>
      </c>
      <c r="AK15" s="4">
        <f>COUNTIF(mar!$F15:$AJ15,"WO")</f>
        <v>5</v>
      </c>
      <c r="AL15" s="4">
        <f>COUNTIF(mar!$F15:$AJ15,"H")</f>
        <v>2</v>
      </c>
      <c r="AM15" s="4">
        <f>COUNTIF(mar!$F15:$AJ15,"pl")</f>
        <v>0</v>
      </c>
      <c r="AN15" s="4">
        <f>COUNTIF(mar!$F15:$AJ15,"LWP")</f>
        <v>0</v>
      </c>
      <c r="AO15" s="4">
        <f>COUNTIF(mar!$F15:$AJ15,"HD")</f>
        <v>0</v>
      </c>
      <c r="AP15" s="4">
        <f>COUNTIF(mar!$F15:$AJ15,"SL")</f>
        <v>0</v>
      </c>
      <c r="AQ15" s="4">
        <f>COUNTIF(mar!$F15:$AJ15,"CL")</f>
        <v>0</v>
      </c>
      <c r="AR15" s="4">
        <f>COUNTIF(mar!$F15:$AJ15,"A")</f>
        <v>2</v>
      </c>
      <c r="AS15" s="4">
        <f>COUNTIF(mar!$F15:$AJ15,"P")</f>
        <v>22</v>
      </c>
      <c r="AT15" s="4">
        <f t="shared" si="2"/>
        <v>31</v>
      </c>
      <c r="AU15" s="4">
        <f t="shared" si="3"/>
        <v>29</v>
      </c>
      <c r="AV15" s="4">
        <f>SUMIFS(holly!$L$2:$L$122,holly!$I$2:$I$122,mar!$A15,holly!$K$2:$K$122,"Mar")</f>
        <v>1</v>
      </c>
    </row>
    <row r="16" spans="1:48" ht="15.75" x14ac:dyDescent="0.25">
      <c r="A16" s="4" t="s">
        <v>32</v>
      </c>
      <c r="B16" s="4" t="str">
        <f>VLOOKUP($A16,Master!$A$2:$K$52,2,0)</f>
        <v>Employee12</v>
      </c>
      <c r="C16" s="4" t="str">
        <f>VLOOKUP($A16,Master!$A$2:$K$52,3,0)</f>
        <v>Male</v>
      </c>
      <c r="D16" s="4" t="str">
        <f>VLOOKUP($A16,Master!$A$2:$K$52,5,0)</f>
        <v>Production</v>
      </c>
      <c r="E16" s="4" t="str">
        <f>VLOOKUP($A16,Master!$A$2:$K$52,6,0)</f>
        <v>Supervisor</v>
      </c>
      <c r="F16" s="4" t="str">
        <f>IFERROR(LOOKUP(2,1/((#REF!=dec!$A16)*(#REF!&lt;=dec!F$3)*(#REF!&gt;=dec!F$3)),#REF!),IF(WEEKDAY(dec!F$3,1)=1,"WO","P"))</f>
        <v>P</v>
      </c>
      <c r="G16" s="4" t="str">
        <f>IFERROR(LOOKUP(2,1/((#REF!=dec!$A16)*(#REF!&lt;=dec!G$3)*(#REF!&gt;=dec!G$3)),#REF!),IF(WEEKDAY(dec!G$3,1)=1,"WO","P"))</f>
        <v>P</v>
      </c>
      <c r="H16" s="4" t="str">
        <f>IFERROR(LOOKUP(2,1/((#REF!=dec!$A16)*(#REF!&lt;=dec!H$3)*(#REF!&gt;=dec!H$3)),#REF!),IF(WEEKDAY(dec!H$3,1)=1,"WO","P"))</f>
        <v>P</v>
      </c>
      <c r="I16" s="4" t="str">
        <f>IFERROR(LOOKUP(2,1/((#REF!=dec!$A16)*(#REF!&lt;=dec!I$3)*(#REF!&gt;=dec!I$3)),#REF!),IF(WEEKDAY(dec!I$3,1)=1,"WO","P"))</f>
        <v>P</v>
      </c>
      <c r="J16" s="4" t="str">
        <f>IFERROR(LOOKUP(2,1/((#REF!=dec!$A16)*(#REF!&lt;=dec!J$3)*(#REF!&gt;=dec!J$3)),#REF!),IF(WEEKDAY(dec!J$3,1)=1,"WO","P"))</f>
        <v>P</v>
      </c>
      <c r="K16" s="4" t="str">
        <f>IFERROR(LOOKUP(2,1/((#REF!=dec!$A16)*(#REF!&lt;=dec!K$3)*(#REF!&gt;=dec!K$3)),#REF!),IF(WEEKDAY(dec!K$3,1)=1,"WO","P"))</f>
        <v>WO</v>
      </c>
      <c r="L16" s="4" t="str">
        <f>IFERROR(LOOKUP(2,1/((#REF!=dec!$A16)*(#REF!&lt;=dec!L$3)*(#REF!&gt;=dec!L$3)),#REF!),IF(WEEKDAY(dec!L$3,1)=1,"WO","P"))</f>
        <v>P</v>
      </c>
      <c r="M16" s="4" t="str">
        <f>IFERROR(LOOKUP(2,1/((#REF!=dec!$A16)*(#REF!&lt;=dec!M$3)*(#REF!&gt;=dec!M$3)),#REF!),IF(WEEKDAY(dec!M$3,1)=1,"WO","P"))</f>
        <v>P</v>
      </c>
      <c r="N16" s="4" t="str">
        <f>IFERROR(LOOKUP(2,1/((#REF!=dec!$A16)*(#REF!&lt;=dec!N$3)*(#REF!&gt;=dec!N$3)),#REF!),IF(WEEKDAY(dec!N$3,1)=1,"WO","P"))</f>
        <v>P</v>
      </c>
      <c r="O16" s="4" t="str">
        <f>IFERROR(LOOKUP(2,1/((#REF!=dec!$A16)*(#REF!&lt;=dec!O$3)*(#REF!&gt;=dec!O$3)),#REF!),IF(WEEKDAY(dec!O$3,1)=1,"WO","P"))</f>
        <v>P</v>
      </c>
      <c r="P16" s="4" t="str">
        <f>IFERROR(LOOKUP(2,1/((#REF!=dec!$A16)*(#REF!&lt;=dec!P$3)*(#REF!&gt;=dec!P$3)),#REF!),IF(WEEKDAY(dec!P$3,1)=1,"WO","P"))</f>
        <v>P</v>
      </c>
      <c r="Q16" s="4" t="str">
        <f>IFERROR(LOOKUP(2,1/((#REF!=dec!$A16)*(#REF!&lt;=dec!Q$3)*(#REF!&gt;=dec!Q$3)),#REF!),IF(WEEKDAY(dec!Q$3,1)=1,"WO","P"))</f>
        <v>P</v>
      </c>
      <c r="R16" s="4" t="str">
        <f>IFERROR(LOOKUP(2,1/((#REF!=dec!$A16)*(#REF!&lt;=dec!R$3)*(#REF!&gt;=dec!R$3)),#REF!),IF(WEEKDAY(dec!R$3,1)=1,"WO","P"))</f>
        <v>WO</v>
      </c>
      <c r="S16" s="4" t="str">
        <f>IFERROR(LOOKUP(2,1/((#REF!=dec!$A16)*(#REF!&lt;=dec!S$3)*(#REF!&gt;=dec!S$3)),#REF!),IF(WEEKDAY(dec!S$3,1)=1,"WO","P"))</f>
        <v>P</v>
      </c>
      <c r="T16" s="4" t="str">
        <f>IFERROR(LOOKUP(2,1/((#REF!=dec!$A16)*(#REF!&lt;=dec!T$3)*(#REF!&gt;=dec!T$3)),#REF!),IF(WEEKDAY(dec!T$3,1)=1,"WO","P"))</f>
        <v>P</v>
      </c>
      <c r="U16" s="4" t="str">
        <f>IFERROR(LOOKUP(2,1/((#REF!=dec!$A16)*(#REF!&lt;=dec!U$3)*(#REF!&gt;=dec!U$3)),#REF!),IF(WEEKDAY(dec!U$3,1)=1,"WO","P"))</f>
        <v>P</v>
      </c>
      <c r="V16" s="4" t="str">
        <f>IFERROR(LOOKUP(2,1/((#REF!=dec!$A16)*(#REF!&lt;=dec!V$3)*(#REF!&gt;=dec!V$3)),#REF!),IF(WEEKDAY(dec!V$3,1)=1,"WO","P"))</f>
        <v>P</v>
      </c>
      <c r="W16" s="4" t="str">
        <f>IFERROR(LOOKUP(2,1/((#REF!=dec!$A16)*(#REF!&lt;=dec!W$3)*(#REF!&gt;=dec!W$3)),#REF!),IF(WEEKDAY(dec!W$3,1)=1,"WO","P"))</f>
        <v>P</v>
      </c>
      <c r="X16" s="4" t="str">
        <f>IFERROR(LOOKUP(2,1/((#REF!=dec!$A16)*(#REF!&lt;=dec!X$3)*(#REF!&gt;=dec!X$3)),#REF!),IF(WEEKDAY(dec!X$3,1)=1,"WO","P"))</f>
        <v>P</v>
      </c>
      <c r="Y16" s="4" t="str">
        <f>IFERROR(LOOKUP(2,1/((#REF!=dec!$A16)*(#REF!&lt;=dec!Y$3)*(#REF!&gt;=dec!Y$3)),#REF!),IF(WEEKDAY(dec!Y$3,1)=1,"WO","P"))</f>
        <v>WO</v>
      </c>
      <c r="Z16" s="4" t="str">
        <f>IFERROR(LOOKUP(2,1/((#REF!=dec!$A16)*(#REF!&lt;=dec!Z$3)*(#REF!&gt;=dec!Z$3)),#REF!),IF(WEEKDAY(dec!Z$3,1)=1,"WO","P"))</f>
        <v>P</v>
      </c>
      <c r="AA16" s="4" t="str">
        <f>IFERROR(LOOKUP(2,1/((#REF!=dec!$A16)*(#REF!&lt;=dec!AA$3)*(#REF!&gt;=dec!AA$3)),#REF!),IF(WEEKDAY(dec!AA$3,1)=1,"WO","P"))</f>
        <v>P</v>
      </c>
      <c r="AB16" s="4" t="str">
        <f>IFERROR(LOOKUP(2,1/((#REF!=dec!$A16)*(#REF!&lt;=dec!AB$3)*(#REF!&gt;=dec!AB$3)),#REF!),IF(WEEKDAY(dec!AB$3,1)=1,"WO","P"))</f>
        <v>P</v>
      </c>
      <c r="AC16" s="4" t="str">
        <f>IFERROR(LOOKUP(2,1/((#REF!=dec!$A16)*(#REF!&lt;=dec!AC$3)*(#REF!&gt;=dec!AC$3)),#REF!),IF(WEEKDAY(dec!AC$3,1)=1,"WO","P"))</f>
        <v>P</v>
      </c>
      <c r="AD16" s="4" t="str">
        <f>IFERROR(LOOKUP(2,1/((#REF!=dec!$A16)*(#REF!&lt;=dec!AD$3)*(#REF!&gt;=dec!AD$3)),#REF!),IF(WEEKDAY(dec!AD$3,1)=1,"WO","P"))</f>
        <v>P</v>
      </c>
      <c r="AE16" s="4" t="str">
        <f>IFERROR(LOOKUP(2,1/((#REF!=dec!$A16)*(#REF!&lt;=dec!AE$3)*(#REF!&gt;=dec!AE$3)),#REF!),IF(WEEKDAY(dec!AE$3,1)=1,"WO","P"))</f>
        <v>P</v>
      </c>
      <c r="AF16" s="4" t="str">
        <f>IFERROR(LOOKUP(2,1/((#REF!=dec!$A16)*(#REF!&lt;=dec!AF$3)*(#REF!&gt;=dec!AF$3)),#REF!),IF(WEEKDAY(dec!AF$3,1)=1,"WO","P"))</f>
        <v>WO</v>
      </c>
      <c r="AG16" s="4" t="str">
        <f>IFERROR(LOOKUP(2,1/((#REF!=dec!$A16)*(#REF!&lt;=dec!AG$3)*(#REF!&gt;=dec!AG$3)),#REF!),IF(WEEKDAY(dec!AG$3,1)=1,"WO","P"))</f>
        <v>P</v>
      </c>
      <c r="AH16" s="4" t="str">
        <f>IFERROR(LOOKUP(2,1/((#REF!=dec!$A16)*(#REF!&lt;=dec!AH$3)*(#REF!&gt;=dec!AH$3)),#REF!),IF(WEEKDAY(dec!AH$3,1)=1,"WO","P"))</f>
        <v>P</v>
      </c>
      <c r="AI16" s="4" t="str">
        <f>IFERROR(LOOKUP(2,1/((#REF!=dec!$A16)*(#REF!&lt;=dec!AI$3)*(#REF!&gt;=dec!AI$3)),#REF!),IF(WEEKDAY(dec!AI$3,1)=1,"WO","P"))</f>
        <v>P</v>
      </c>
      <c r="AJ16" s="4" t="str">
        <f>IFERROR(LOOKUP(2,1/((#REF!=dec!$A16)*(#REF!&lt;=dec!AJ$3)*(#REF!&gt;=dec!AJ$3)),#REF!),IF(WEEKDAY(dec!AJ$3,1)=1,"WO","P"))</f>
        <v>P</v>
      </c>
      <c r="AK16" s="4">
        <f>COUNTIF(mar!$F16:$AJ16,"WO")</f>
        <v>5</v>
      </c>
      <c r="AL16" s="4">
        <f>COUNTIF(mar!$F16:$AJ16,"H")</f>
        <v>2</v>
      </c>
      <c r="AM16" s="4">
        <f>COUNTIF(mar!$F16:$AJ16,"pl")</f>
        <v>0</v>
      </c>
      <c r="AN16" s="4">
        <f>COUNTIF(mar!$F16:$AJ16,"LWP")</f>
        <v>0</v>
      </c>
      <c r="AO16" s="4">
        <f>COUNTIF(mar!$F16:$AJ16,"HD")</f>
        <v>0</v>
      </c>
      <c r="AP16" s="4">
        <f>COUNTIF(mar!$F16:$AJ16,"SL")</f>
        <v>0</v>
      </c>
      <c r="AQ16" s="4">
        <f>COUNTIF(mar!$F16:$AJ16,"CL")</f>
        <v>0</v>
      </c>
      <c r="AR16" s="4">
        <f>COUNTIF(mar!$F16:$AJ16,"A")</f>
        <v>1</v>
      </c>
      <c r="AS16" s="4">
        <f>COUNTIF(mar!$F16:$AJ16,"P")</f>
        <v>23</v>
      </c>
      <c r="AT16" s="4">
        <f t="shared" si="2"/>
        <v>31</v>
      </c>
      <c r="AU16" s="4">
        <f t="shared" si="3"/>
        <v>30</v>
      </c>
      <c r="AV16" s="4">
        <f>SUMIFS(holly!$L$2:$L$122,holly!$I$2:$I$122,mar!$A16,holly!$K$2:$K$122,"Mar")</f>
        <v>0</v>
      </c>
    </row>
    <row r="17" spans="1:48" ht="15.75" x14ac:dyDescent="0.25">
      <c r="A17" s="4" t="s">
        <v>33</v>
      </c>
      <c r="B17" s="4" t="str">
        <f>VLOOKUP($A17,Master!$A$2:$K$52,2,0)</f>
        <v>Employee13</v>
      </c>
      <c r="C17" s="4" t="str">
        <f>VLOOKUP($A17,Master!$A$2:$K$52,3,0)</f>
        <v>Male</v>
      </c>
      <c r="D17" s="4" t="str">
        <f>VLOOKUP($A17,Master!$A$2:$K$52,5,0)</f>
        <v>Production</v>
      </c>
      <c r="E17" s="4" t="str">
        <f>VLOOKUP($A17,Master!$A$2:$K$52,6,0)</f>
        <v>Supervisor</v>
      </c>
      <c r="F17" s="4" t="str">
        <f>IFERROR(LOOKUP(2,1/((#REF!=dec!$A17)*(#REF!&lt;=dec!F$3)*(#REF!&gt;=dec!F$3)),#REF!),IF(WEEKDAY(dec!F$3,1)=1,"WO","P"))</f>
        <v>P</v>
      </c>
      <c r="G17" s="4" t="str">
        <f>IFERROR(LOOKUP(2,1/((#REF!=dec!$A17)*(#REF!&lt;=dec!G$3)*(#REF!&gt;=dec!G$3)),#REF!),IF(WEEKDAY(dec!G$3,1)=1,"WO","P"))</f>
        <v>P</v>
      </c>
      <c r="H17" s="4" t="str">
        <f>IFERROR(LOOKUP(2,1/((#REF!=dec!$A17)*(#REF!&lt;=dec!H$3)*(#REF!&gt;=dec!H$3)),#REF!),IF(WEEKDAY(dec!H$3,1)=1,"WO","P"))</f>
        <v>P</v>
      </c>
      <c r="I17" s="4" t="str">
        <f>IFERROR(LOOKUP(2,1/((#REF!=dec!$A17)*(#REF!&lt;=dec!I$3)*(#REF!&gt;=dec!I$3)),#REF!),IF(WEEKDAY(dec!I$3,1)=1,"WO","P"))</f>
        <v>P</v>
      </c>
      <c r="J17" s="4" t="str">
        <f>IFERROR(LOOKUP(2,1/((#REF!=dec!$A17)*(#REF!&lt;=dec!J$3)*(#REF!&gt;=dec!J$3)),#REF!),IF(WEEKDAY(dec!J$3,1)=1,"WO","P"))</f>
        <v>P</v>
      </c>
      <c r="K17" s="4" t="str">
        <f>IFERROR(LOOKUP(2,1/((#REF!=dec!$A17)*(#REF!&lt;=dec!K$3)*(#REF!&gt;=dec!K$3)),#REF!),IF(WEEKDAY(dec!K$3,1)=1,"WO","P"))</f>
        <v>WO</v>
      </c>
      <c r="L17" s="4" t="str">
        <f>IFERROR(LOOKUP(2,1/((#REF!=dec!$A17)*(#REF!&lt;=dec!L$3)*(#REF!&gt;=dec!L$3)),#REF!),IF(WEEKDAY(dec!L$3,1)=1,"WO","P"))</f>
        <v>P</v>
      </c>
      <c r="M17" s="4" t="str">
        <f>IFERROR(LOOKUP(2,1/((#REF!=dec!$A17)*(#REF!&lt;=dec!M$3)*(#REF!&gt;=dec!M$3)),#REF!),IF(WEEKDAY(dec!M$3,1)=1,"WO","P"))</f>
        <v>P</v>
      </c>
      <c r="N17" s="4" t="str">
        <f>IFERROR(LOOKUP(2,1/((#REF!=dec!$A17)*(#REF!&lt;=dec!N$3)*(#REF!&gt;=dec!N$3)),#REF!),IF(WEEKDAY(dec!N$3,1)=1,"WO","P"))</f>
        <v>P</v>
      </c>
      <c r="O17" s="4" t="str">
        <f>IFERROR(LOOKUP(2,1/((#REF!=dec!$A17)*(#REF!&lt;=dec!O$3)*(#REF!&gt;=dec!O$3)),#REF!),IF(WEEKDAY(dec!O$3,1)=1,"WO","P"))</f>
        <v>P</v>
      </c>
      <c r="P17" s="4" t="str">
        <f>IFERROR(LOOKUP(2,1/((#REF!=dec!$A17)*(#REF!&lt;=dec!P$3)*(#REF!&gt;=dec!P$3)),#REF!),IF(WEEKDAY(dec!P$3,1)=1,"WO","P"))</f>
        <v>P</v>
      </c>
      <c r="Q17" s="4" t="str">
        <f>IFERROR(LOOKUP(2,1/((#REF!=dec!$A17)*(#REF!&lt;=dec!Q$3)*(#REF!&gt;=dec!Q$3)),#REF!),IF(WEEKDAY(dec!Q$3,1)=1,"WO","P"))</f>
        <v>P</v>
      </c>
      <c r="R17" s="4" t="str">
        <f>IFERROR(LOOKUP(2,1/((#REF!=dec!$A17)*(#REF!&lt;=dec!R$3)*(#REF!&gt;=dec!R$3)),#REF!),IF(WEEKDAY(dec!R$3,1)=1,"WO","P"))</f>
        <v>WO</v>
      </c>
      <c r="S17" s="4" t="str">
        <f>IFERROR(LOOKUP(2,1/((#REF!=dec!$A17)*(#REF!&lt;=dec!S$3)*(#REF!&gt;=dec!S$3)),#REF!),IF(WEEKDAY(dec!S$3,1)=1,"WO","P"))</f>
        <v>P</v>
      </c>
      <c r="T17" s="4" t="str">
        <f>IFERROR(LOOKUP(2,1/((#REF!=dec!$A17)*(#REF!&lt;=dec!T$3)*(#REF!&gt;=dec!T$3)),#REF!),IF(WEEKDAY(dec!T$3,1)=1,"WO","P"))</f>
        <v>P</v>
      </c>
      <c r="U17" s="4" t="str">
        <f>IFERROR(LOOKUP(2,1/((#REF!=dec!$A17)*(#REF!&lt;=dec!U$3)*(#REF!&gt;=dec!U$3)),#REF!),IF(WEEKDAY(dec!U$3,1)=1,"WO","P"))</f>
        <v>P</v>
      </c>
      <c r="V17" s="4" t="str">
        <f>IFERROR(LOOKUP(2,1/((#REF!=dec!$A17)*(#REF!&lt;=dec!V$3)*(#REF!&gt;=dec!V$3)),#REF!),IF(WEEKDAY(dec!V$3,1)=1,"WO","P"))</f>
        <v>P</v>
      </c>
      <c r="W17" s="4" t="str">
        <f>IFERROR(LOOKUP(2,1/((#REF!=dec!$A17)*(#REF!&lt;=dec!W$3)*(#REF!&gt;=dec!W$3)),#REF!),IF(WEEKDAY(dec!W$3,1)=1,"WO","P"))</f>
        <v>P</v>
      </c>
      <c r="X17" s="4" t="str">
        <f>IFERROR(LOOKUP(2,1/((#REF!=dec!$A17)*(#REF!&lt;=dec!X$3)*(#REF!&gt;=dec!X$3)),#REF!),IF(WEEKDAY(dec!X$3,1)=1,"WO","P"))</f>
        <v>P</v>
      </c>
      <c r="Y17" s="4" t="str">
        <f>IFERROR(LOOKUP(2,1/((#REF!=dec!$A17)*(#REF!&lt;=dec!Y$3)*(#REF!&gt;=dec!Y$3)),#REF!),IF(WEEKDAY(dec!Y$3,1)=1,"WO","P"))</f>
        <v>WO</v>
      </c>
      <c r="Z17" s="4" t="str">
        <f>IFERROR(LOOKUP(2,1/((#REF!=dec!$A17)*(#REF!&lt;=dec!Z$3)*(#REF!&gt;=dec!Z$3)),#REF!),IF(WEEKDAY(dec!Z$3,1)=1,"WO","P"))</f>
        <v>P</v>
      </c>
      <c r="AA17" s="4" t="str">
        <f>IFERROR(LOOKUP(2,1/((#REF!=dec!$A17)*(#REF!&lt;=dec!AA$3)*(#REF!&gt;=dec!AA$3)),#REF!),IF(WEEKDAY(dec!AA$3,1)=1,"WO","P"))</f>
        <v>P</v>
      </c>
      <c r="AB17" s="4" t="str">
        <f>IFERROR(LOOKUP(2,1/((#REF!=dec!$A17)*(#REF!&lt;=dec!AB$3)*(#REF!&gt;=dec!AB$3)),#REF!),IF(WEEKDAY(dec!AB$3,1)=1,"WO","P"))</f>
        <v>P</v>
      </c>
      <c r="AC17" s="4" t="str">
        <f>IFERROR(LOOKUP(2,1/((#REF!=dec!$A17)*(#REF!&lt;=dec!AC$3)*(#REF!&gt;=dec!AC$3)),#REF!),IF(WEEKDAY(dec!AC$3,1)=1,"WO","P"))</f>
        <v>P</v>
      </c>
      <c r="AD17" s="4" t="str">
        <f>IFERROR(LOOKUP(2,1/((#REF!=dec!$A17)*(#REF!&lt;=dec!AD$3)*(#REF!&gt;=dec!AD$3)),#REF!),IF(WEEKDAY(dec!AD$3,1)=1,"WO","P"))</f>
        <v>P</v>
      </c>
      <c r="AE17" s="4" t="str">
        <f>IFERROR(LOOKUP(2,1/((#REF!=dec!$A17)*(#REF!&lt;=dec!AE$3)*(#REF!&gt;=dec!AE$3)),#REF!),IF(WEEKDAY(dec!AE$3,1)=1,"WO","P"))</f>
        <v>P</v>
      </c>
      <c r="AF17" s="4" t="str">
        <f>IFERROR(LOOKUP(2,1/((#REF!=dec!$A17)*(#REF!&lt;=dec!AF$3)*(#REF!&gt;=dec!AF$3)),#REF!),IF(WEEKDAY(dec!AF$3,1)=1,"WO","P"))</f>
        <v>WO</v>
      </c>
      <c r="AG17" s="4" t="str">
        <f>IFERROR(LOOKUP(2,1/((#REF!=dec!$A17)*(#REF!&lt;=dec!AG$3)*(#REF!&gt;=dec!AG$3)),#REF!),IF(WEEKDAY(dec!AG$3,1)=1,"WO","P"))</f>
        <v>P</v>
      </c>
      <c r="AH17" s="4" t="str">
        <f>IFERROR(LOOKUP(2,1/((#REF!=dec!$A17)*(#REF!&lt;=dec!AH$3)*(#REF!&gt;=dec!AH$3)),#REF!),IF(WEEKDAY(dec!AH$3,1)=1,"WO","P"))</f>
        <v>P</v>
      </c>
      <c r="AI17" s="4" t="str">
        <f>IFERROR(LOOKUP(2,1/((#REF!=dec!$A17)*(#REF!&lt;=dec!AI$3)*(#REF!&gt;=dec!AI$3)),#REF!),IF(WEEKDAY(dec!AI$3,1)=1,"WO","P"))</f>
        <v>P</v>
      </c>
      <c r="AJ17" s="4" t="str">
        <f>IFERROR(LOOKUP(2,1/((#REF!=dec!$A17)*(#REF!&lt;=dec!AJ$3)*(#REF!&gt;=dec!AJ$3)),#REF!),IF(WEEKDAY(dec!AJ$3,1)=1,"WO","P"))</f>
        <v>P</v>
      </c>
      <c r="AK17" s="4">
        <f>COUNTIF(mar!$F17:$AJ17,"WO")</f>
        <v>5</v>
      </c>
      <c r="AL17" s="4">
        <f>COUNTIF(mar!$F17:$AJ17,"H")</f>
        <v>2</v>
      </c>
      <c r="AM17" s="4">
        <f>COUNTIF(mar!$F17:$AJ17,"pl")</f>
        <v>0</v>
      </c>
      <c r="AN17" s="4">
        <f>COUNTIF(mar!$F17:$AJ17,"LWP")</f>
        <v>0</v>
      </c>
      <c r="AO17" s="4">
        <f>COUNTIF(mar!$F17:$AJ17,"HD")</f>
        <v>0</v>
      </c>
      <c r="AP17" s="4">
        <f>COUNTIF(mar!$F17:$AJ17,"SL")</f>
        <v>0</v>
      </c>
      <c r="AQ17" s="4">
        <f>COUNTIF(mar!$F17:$AJ17,"CL")</f>
        <v>0</v>
      </c>
      <c r="AR17" s="4">
        <f>COUNTIF(mar!$F17:$AJ17,"A")</f>
        <v>0</v>
      </c>
      <c r="AS17" s="4">
        <f>COUNTIF(mar!$F17:$AJ17,"P")</f>
        <v>24</v>
      </c>
      <c r="AT17" s="4">
        <f t="shared" si="2"/>
        <v>31</v>
      </c>
      <c r="AU17" s="4">
        <f t="shared" si="3"/>
        <v>31</v>
      </c>
      <c r="AV17" s="4">
        <f>SUMIFS(holly!$L$2:$L$122,holly!$I$2:$I$122,mar!$A17,holly!$K$2:$K$122,"Mar")</f>
        <v>0</v>
      </c>
    </row>
    <row r="18" spans="1:48" ht="15.75" x14ac:dyDescent="0.25">
      <c r="A18" s="4" t="s">
        <v>34</v>
      </c>
      <c r="B18" s="4" t="str">
        <f>VLOOKUP($A18,Master!$A$2:$K$52,2,0)</f>
        <v>Employee14</v>
      </c>
      <c r="C18" s="4" t="str">
        <f>VLOOKUP($A18,Master!$A$2:$K$52,3,0)</f>
        <v>Male</v>
      </c>
      <c r="D18" s="4" t="str">
        <f>VLOOKUP($A18,Master!$A$2:$K$52,5,0)</f>
        <v>Accounts</v>
      </c>
      <c r="E18" s="4" t="str">
        <f>VLOOKUP($A18,Master!$A$2:$K$52,6,0)</f>
        <v>Accounts Assistant</v>
      </c>
      <c r="F18" s="4" t="str">
        <f>IFERROR(LOOKUP(2,1/((#REF!=dec!$A18)*(#REF!&lt;=dec!F$3)*(#REF!&gt;=dec!F$3)),#REF!),IF(WEEKDAY(dec!F$3,1)=1,"WO","P"))</f>
        <v>P</v>
      </c>
      <c r="G18" s="4" t="str">
        <f>IFERROR(LOOKUP(2,1/((#REF!=dec!$A18)*(#REF!&lt;=dec!G$3)*(#REF!&gt;=dec!G$3)),#REF!),IF(WEEKDAY(dec!G$3,1)=1,"WO","P"))</f>
        <v>P</v>
      </c>
      <c r="H18" s="4" t="str">
        <f>IFERROR(LOOKUP(2,1/((#REF!=dec!$A18)*(#REF!&lt;=dec!H$3)*(#REF!&gt;=dec!H$3)),#REF!),IF(WEEKDAY(dec!H$3,1)=1,"WO","P"))</f>
        <v>P</v>
      </c>
      <c r="I18" s="4" t="str">
        <f>IFERROR(LOOKUP(2,1/((#REF!=dec!$A18)*(#REF!&lt;=dec!I$3)*(#REF!&gt;=dec!I$3)),#REF!),IF(WEEKDAY(dec!I$3,1)=1,"WO","P"))</f>
        <v>P</v>
      </c>
      <c r="J18" s="4" t="str">
        <f>IFERROR(LOOKUP(2,1/((#REF!=dec!$A18)*(#REF!&lt;=dec!J$3)*(#REF!&gt;=dec!J$3)),#REF!),IF(WEEKDAY(dec!J$3,1)=1,"WO","P"))</f>
        <v>P</v>
      </c>
      <c r="K18" s="4" t="str">
        <f>IFERROR(LOOKUP(2,1/((#REF!=dec!$A18)*(#REF!&lt;=dec!K$3)*(#REF!&gt;=dec!K$3)),#REF!),IF(WEEKDAY(dec!K$3,1)=1,"WO","P"))</f>
        <v>WO</v>
      </c>
      <c r="L18" s="4" t="str">
        <f>IFERROR(LOOKUP(2,1/((#REF!=dec!$A18)*(#REF!&lt;=dec!L$3)*(#REF!&gt;=dec!L$3)),#REF!),IF(WEEKDAY(dec!L$3,1)=1,"WO","P"))</f>
        <v>P</v>
      </c>
      <c r="M18" s="4" t="str">
        <f>IFERROR(LOOKUP(2,1/((#REF!=dec!$A18)*(#REF!&lt;=dec!M$3)*(#REF!&gt;=dec!M$3)),#REF!),IF(WEEKDAY(dec!M$3,1)=1,"WO","P"))</f>
        <v>P</v>
      </c>
      <c r="N18" s="4" t="str">
        <f>IFERROR(LOOKUP(2,1/((#REF!=dec!$A18)*(#REF!&lt;=dec!N$3)*(#REF!&gt;=dec!N$3)),#REF!),IF(WEEKDAY(dec!N$3,1)=1,"WO","P"))</f>
        <v>P</v>
      </c>
      <c r="O18" s="4" t="str">
        <f>IFERROR(LOOKUP(2,1/((#REF!=dec!$A18)*(#REF!&lt;=dec!O$3)*(#REF!&gt;=dec!O$3)),#REF!),IF(WEEKDAY(dec!O$3,1)=1,"WO","P"))</f>
        <v>P</v>
      </c>
      <c r="P18" s="4" t="str">
        <f>IFERROR(LOOKUP(2,1/((#REF!=dec!$A18)*(#REF!&lt;=dec!P$3)*(#REF!&gt;=dec!P$3)),#REF!),IF(WEEKDAY(dec!P$3,1)=1,"WO","P"))</f>
        <v>P</v>
      </c>
      <c r="Q18" s="4" t="str">
        <f>IFERROR(LOOKUP(2,1/((#REF!=dec!$A18)*(#REF!&lt;=dec!Q$3)*(#REF!&gt;=dec!Q$3)),#REF!),IF(WEEKDAY(dec!Q$3,1)=1,"WO","P"))</f>
        <v>P</v>
      </c>
      <c r="R18" s="4" t="str">
        <f>IFERROR(LOOKUP(2,1/((#REF!=dec!$A18)*(#REF!&lt;=dec!R$3)*(#REF!&gt;=dec!R$3)),#REF!),IF(WEEKDAY(dec!R$3,1)=1,"WO","P"))</f>
        <v>WO</v>
      </c>
      <c r="S18" s="4" t="str">
        <f>IFERROR(LOOKUP(2,1/((#REF!=dec!$A18)*(#REF!&lt;=dec!S$3)*(#REF!&gt;=dec!S$3)),#REF!),IF(WEEKDAY(dec!S$3,1)=1,"WO","P"))</f>
        <v>P</v>
      </c>
      <c r="T18" s="4" t="str">
        <f>IFERROR(LOOKUP(2,1/((#REF!=dec!$A18)*(#REF!&lt;=dec!T$3)*(#REF!&gt;=dec!T$3)),#REF!),IF(WEEKDAY(dec!T$3,1)=1,"WO","P"))</f>
        <v>P</v>
      </c>
      <c r="U18" s="4" t="str">
        <f>IFERROR(LOOKUP(2,1/((#REF!=dec!$A18)*(#REF!&lt;=dec!U$3)*(#REF!&gt;=dec!U$3)),#REF!),IF(WEEKDAY(dec!U$3,1)=1,"WO","P"))</f>
        <v>P</v>
      </c>
      <c r="V18" s="4" t="str">
        <f>IFERROR(LOOKUP(2,1/((#REF!=dec!$A18)*(#REF!&lt;=dec!V$3)*(#REF!&gt;=dec!V$3)),#REF!),IF(WEEKDAY(dec!V$3,1)=1,"WO","P"))</f>
        <v>P</v>
      </c>
      <c r="W18" s="4" t="str">
        <f>IFERROR(LOOKUP(2,1/((#REF!=dec!$A18)*(#REF!&lt;=dec!W$3)*(#REF!&gt;=dec!W$3)),#REF!),IF(WEEKDAY(dec!W$3,1)=1,"WO","P"))</f>
        <v>P</v>
      </c>
      <c r="X18" s="4" t="str">
        <f>IFERROR(LOOKUP(2,1/((#REF!=dec!$A18)*(#REF!&lt;=dec!X$3)*(#REF!&gt;=dec!X$3)),#REF!),IF(WEEKDAY(dec!X$3,1)=1,"WO","P"))</f>
        <v>P</v>
      </c>
      <c r="Y18" s="4" t="str">
        <f>IFERROR(LOOKUP(2,1/((#REF!=dec!$A18)*(#REF!&lt;=dec!Y$3)*(#REF!&gt;=dec!Y$3)),#REF!),IF(WEEKDAY(dec!Y$3,1)=1,"WO","P"))</f>
        <v>WO</v>
      </c>
      <c r="Z18" s="4" t="str">
        <f>IFERROR(LOOKUP(2,1/((#REF!=dec!$A18)*(#REF!&lt;=dec!Z$3)*(#REF!&gt;=dec!Z$3)),#REF!),IF(WEEKDAY(dec!Z$3,1)=1,"WO","P"))</f>
        <v>P</v>
      </c>
      <c r="AA18" s="4" t="str">
        <f>IFERROR(LOOKUP(2,1/((#REF!=dec!$A18)*(#REF!&lt;=dec!AA$3)*(#REF!&gt;=dec!AA$3)),#REF!),IF(WEEKDAY(dec!AA$3,1)=1,"WO","P"))</f>
        <v>P</v>
      </c>
      <c r="AB18" s="4" t="str">
        <f>IFERROR(LOOKUP(2,1/((#REF!=dec!$A18)*(#REF!&lt;=dec!AB$3)*(#REF!&gt;=dec!AB$3)),#REF!),IF(WEEKDAY(dec!AB$3,1)=1,"WO","P"))</f>
        <v>P</v>
      </c>
      <c r="AC18" s="4" t="str">
        <f>IFERROR(LOOKUP(2,1/((#REF!=dec!$A18)*(#REF!&lt;=dec!AC$3)*(#REF!&gt;=dec!AC$3)),#REF!),IF(WEEKDAY(dec!AC$3,1)=1,"WO","P"))</f>
        <v>P</v>
      </c>
      <c r="AD18" s="4" t="str">
        <f>IFERROR(LOOKUP(2,1/((#REF!=dec!$A18)*(#REF!&lt;=dec!AD$3)*(#REF!&gt;=dec!AD$3)),#REF!),IF(WEEKDAY(dec!AD$3,1)=1,"WO","P"))</f>
        <v>P</v>
      </c>
      <c r="AE18" s="4" t="str">
        <f>IFERROR(LOOKUP(2,1/((#REF!=dec!$A18)*(#REF!&lt;=dec!AE$3)*(#REF!&gt;=dec!AE$3)),#REF!),IF(WEEKDAY(dec!AE$3,1)=1,"WO","P"))</f>
        <v>P</v>
      </c>
      <c r="AF18" s="4" t="str">
        <f>IFERROR(LOOKUP(2,1/((#REF!=dec!$A18)*(#REF!&lt;=dec!AF$3)*(#REF!&gt;=dec!AF$3)),#REF!),IF(WEEKDAY(dec!AF$3,1)=1,"WO","P"))</f>
        <v>WO</v>
      </c>
      <c r="AG18" s="4" t="str">
        <f>IFERROR(LOOKUP(2,1/((#REF!=dec!$A18)*(#REF!&lt;=dec!AG$3)*(#REF!&gt;=dec!AG$3)),#REF!),IF(WEEKDAY(dec!AG$3,1)=1,"WO","P"))</f>
        <v>P</v>
      </c>
      <c r="AH18" s="4" t="str">
        <f>IFERROR(LOOKUP(2,1/((#REF!=dec!$A18)*(#REF!&lt;=dec!AH$3)*(#REF!&gt;=dec!AH$3)),#REF!),IF(WEEKDAY(dec!AH$3,1)=1,"WO","P"))</f>
        <v>P</v>
      </c>
      <c r="AI18" s="4" t="str">
        <f>IFERROR(LOOKUP(2,1/((#REF!=dec!$A18)*(#REF!&lt;=dec!AI$3)*(#REF!&gt;=dec!AI$3)),#REF!),IF(WEEKDAY(dec!AI$3,1)=1,"WO","P"))</f>
        <v>P</v>
      </c>
      <c r="AJ18" s="4" t="str">
        <f>IFERROR(LOOKUP(2,1/((#REF!=dec!$A18)*(#REF!&lt;=dec!AJ$3)*(#REF!&gt;=dec!AJ$3)),#REF!),IF(WEEKDAY(dec!AJ$3,1)=1,"WO","P"))</f>
        <v>P</v>
      </c>
      <c r="AK18" s="4">
        <f>COUNTIF(mar!$F18:$AJ18,"WO")</f>
        <v>5</v>
      </c>
      <c r="AL18" s="4">
        <f>COUNTIF(mar!$F18:$AJ18,"H")</f>
        <v>2</v>
      </c>
      <c r="AM18" s="4">
        <f>COUNTIF(mar!$F18:$AJ18,"pl")</f>
        <v>0</v>
      </c>
      <c r="AN18" s="4">
        <f>COUNTIF(mar!$F18:$AJ18,"LWP")</f>
        <v>0</v>
      </c>
      <c r="AO18" s="4">
        <f>COUNTIF(mar!$F18:$AJ18,"HD")</f>
        <v>0</v>
      </c>
      <c r="AP18" s="4">
        <f>COUNTIF(mar!$F18:$AJ18,"SL")</f>
        <v>0</v>
      </c>
      <c r="AQ18" s="4">
        <f>COUNTIF(mar!$F18:$AJ18,"CL")</f>
        <v>0</v>
      </c>
      <c r="AR18" s="4">
        <f>COUNTIF(mar!$F18:$AJ18,"A")</f>
        <v>1</v>
      </c>
      <c r="AS18" s="4">
        <f>COUNTIF(mar!$F18:$AJ18,"P")</f>
        <v>23</v>
      </c>
      <c r="AT18" s="4">
        <f t="shared" si="2"/>
        <v>31</v>
      </c>
      <c r="AU18" s="4">
        <f t="shared" si="3"/>
        <v>30</v>
      </c>
      <c r="AV18" s="4">
        <f>SUMIFS(holly!$L$2:$L$122,holly!$I$2:$I$122,mar!$A18,holly!$K$2:$K$122,"Mar")</f>
        <v>0</v>
      </c>
    </row>
    <row r="19" spans="1:48" ht="15.75" x14ac:dyDescent="0.25">
      <c r="A19" s="4" t="s">
        <v>37</v>
      </c>
      <c r="B19" s="4" t="str">
        <f>VLOOKUP($A19,Master!$A$2:$K$52,2,0)</f>
        <v>Employee15</v>
      </c>
      <c r="C19" s="4" t="str">
        <f>VLOOKUP($A19,Master!$A$2:$K$52,3,0)</f>
        <v>Male</v>
      </c>
      <c r="D19" s="4" t="str">
        <f>VLOOKUP($A19,Master!$A$2:$K$52,5,0)</f>
        <v>HR</v>
      </c>
      <c r="E19" s="4" t="str">
        <f>VLOOKUP($A19,Master!$A$2:$K$52,6,0)</f>
        <v>HR Executive</v>
      </c>
      <c r="F19" s="4" t="str">
        <f>IFERROR(LOOKUP(2,1/((#REF!=dec!$A19)*(#REF!&lt;=dec!F$3)*(#REF!&gt;=dec!F$3)),#REF!),IF(WEEKDAY(dec!F$3,1)=1,"WO","P"))</f>
        <v>P</v>
      </c>
      <c r="G19" s="4" t="str">
        <f>IFERROR(LOOKUP(2,1/((#REF!=dec!$A19)*(#REF!&lt;=dec!G$3)*(#REF!&gt;=dec!G$3)),#REF!),IF(WEEKDAY(dec!G$3,1)=1,"WO","P"))</f>
        <v>P</v>
      </c>
      <c r="H19" s="4" t="str">
        <f>IFERROR(LOOKUP(2,1/((#REF!=dec!$A19)*(#REF!&lt;=dec!H$3)*(#REF!&gt;=dec!H$3)),#REF!),IF(WEEKDAY(dec!H$3,1)=1,"WO","P"))</f>
        <v>P</v>
      </c>
      <c r="I19" s="4" t="str">
        <f>IFERROR(LOOKUP(2,1/((#REF!=dec!$A19)*(#REF!&lt;=dec!I$3)*(#REF!&gt;=dec!I$3)),#REF!),IF(WEEKDAY(dec!I$3,1)=1,"WO","P"))</f>
        <v>P</v>
      </c>
      <c r="J19" s="4" t="str">
        <f>IFERROR(LOOKUP(2,1/((#REF!=dec!$A19)*(#REF!&lt;=dec!J$3)*(#REF!&gt;=dec!J$3)),#REF!),IF(WEEKDAY(dec!J$3,1)=1,"WO","P"))</f>
        <v>P</v>
      </c>
      <c r="K19" s="4" t="str">
        <f>IFERROR(LOOKUP(2,1/((#REF!=dec!$A19)*(#REF!&lt;=dec!K$3)*(#REF!&gt;=dec!K$3)),#REF!),IF(WEEKDAY(dec!K$3,1)=1,"WO","P"))</f>
        <v>WO</v>
      </c>
      <c r="L19" s="4" t="str">
        <f>IFERROR(LOOKUP(2,1/((#REF!=dec!$A19)*(#REF!&lt;=dec!L$3)*(#REF!&gt;=dec!L$3)),#REF!),IF(WEEKDAY(dec!L$3,1)=1,"WO","P"))</f>
        <v>P</v>
      </c>
      <c r="M19" s="4" t="str">
        <f>IFERROR(LOOKUP(2,1/((#REF!=dec!$A19)*(#REF!&lt;=dec!M$3)*(#REF!&gt;=dec!M$3)),#REF!),IF(WEEKDAY(dec!M$3,1)=1,"WO","P"))</f>
        <v>P</v>
      </c>
      <c r="N19" s="4" t="str">
        <f>IFERROR(LOOKUP(2,1/((#REF!=dec!$A19)*(#REF!&lt;=dec!N$3)*(#REF!&gt;=dec!N$3)),#REF!),IF(WEEKDAY(dec!N$3,1)=1,"WO","P"))</f>
        <v>P</v>
      </c>
      <c r="O19" s="4" t="str">
        <f>IFERROR(LOOKUP(2,1/((#REF!=dec!$A19)*(#REF!&lt;=dec!O$3)*(#REF!&gt;=dec!O$3)),#REF!),IF(WEEKDAY(dec!O$3,1)=1,"WO","P"))</f>
        <v>P</v>
      </c>
      <c r="P19" s="4" t="str">
        <f>IFERROR(LOOKUP(2,1/((#REF!=dec!$A19)*(#REF!&lt;=dec!P$3)*(#REF!&gt;=dec!P$3)),#REF!),IF(WEEKDAY(dec!P$3,1)=1,"WO","P"))</f>
        <v>P</v>
      </c>
      <c r="Q19" s="4" t="str">
        <f>IFERROR(LOOKUP(2,1/((#REF!=dec!$A19)*(#REF!&lt;=dec!Q$3)*(#REF!&gt;=dec!Q$3)),#REF!),IF(WEEKDAY(dec!Q$3,1)=1,"WO","P"))</f>
        <v>P</v>
      </c>
      <c r="R19" s="4" t="str">
        <f>IFERROR(LOOKUP(2,1/((#REF!=dec!$A19)*(#REF!&lt;=dec!R$3)*(#REF!&gt;=dec!R$3)),#REF!),IF(WEEKDAY(dec!R$3,1)=1,"WO","P"))</f>
        <v>WO</v>
      </c>
      <c r="S19" s="4" t="str">
        <f>IFERROR(LOOKUP(2,1/((#REF!=dec!$A19)*(#REF!&lt;=dec!S$3)*(#REF!&gt;=dec!S$3)),#REF!),IF(WEEKDAY(dec!S$3,1)=1,"WO","P"))</f>
        <v>P</v>
      </c>
      <c r="T19" s="4" t="str">
        <f>IFERROR(LOOKUP(2,1/((#REF!=dec!$A19)*(#REF!&lt;=dec!T$3)*(#REF!&gt;=dec!T$3)),#REF!),IF(WEEKDAY(dec!T$3,1)=1,"WO","P"))</f>
        <v>P</v>
      </c>
      <c r="U19" s="4" t="str">
        <f>IFERROR(LOOKUP(2,1/((#REF!=dec!$A19)*(#REF!&lt;=dec!U$3)*(#REF!&gt;=dec!U$3)),#REF!),IF(WEEKDAY(dec!U$3,1)=1,"WO","P"))</f>
        <v>P</v>
      </c>
      <c r="V19" s="4" t="str">
        <f>IFERROR(LOOKUP(2,1/((#REF!=dec!$A19)*(#REF!&lt;=dec!V$3)*(#REF!&gt;=dec!V$3)),#REF!),IF(WEEKDAY(dec!V$3,1)=1,"WO","P"))</f>
        <v>P</v>
      </c>
      <c r="W19" s="4" t="str">
        <f>IFERROR(LOOKUP(2,1/((#REF!=dec!$A19)*(#REF!&lt;=dec!W$3)*(#REF!&gt;=dec!W$3)),#REF!),IF(WEEKDAY(dec!W$3,1)=1,"WO","P"))</f>
        <v>P</v>
      </c>
      <c r="X19" s="4" t="str">
        <f>IFERROR(LOOKUP(2,1/((#REF!=dec!$A19)*(#REF!&lt;=dec!X$3)*(#REF!&gt;=dec!X$3)),#REF!),IF(WEEKDAY(dec!X$3,1)=1,"WO","P"))</f>
        <v>P</v>
      </c>
      <c r="Y19" s="4" t="str">
        <f>IFERROR(LOOKUP(2,1/((#REF!=dec!$A19)*(#REF!&lt;=dec!Y$3)*(#REF!&gt;=dec!Y$3)),#REF!),IF(WEEKDAY(dec!Y$3,1)=1,"WO","P"))</f>
        <v>WO</v>
      </c>
      <c r="Z19" s="4" t="str">
        <f>IFERROR(LOOKUP(2,1/((#REF!=dec!$A19)*(#REF!&lt;=dec!Z$3)*(#REF!&gt;=dec!Z$3)),#REF!),IF(WEEKDAY(dec!Z$3,1)=1,"WO","P"))</f>
        <v>P</v>
      </c>
      <c r="AA19" s="4" t="str">
        <f>IFERROR(LOOKUP(2,1/((#REF!=dec!$A19)*(#REF!&lt;=dec!AA$3)*(#REF!&gt;=dec!AA$3)),#REF!),IF(WEEKDAY(dec!AA$3,1)=1,"WO","P"))</f>
        <v>P</v>
      </c>
      <c r="AB19" s="4" t="str">
        <f>IFERROR(LOOKUP(2,1/((#REF!=dec!$A19)*(#REF!&lt;=dec!AB$3)*(#REF!&gt;=dec!AB$3)),#REF!),IF(WEEKDAY(dec!AB$3,1)=1,"WO","P"))</f>
        <v>P</v>
      </c>
      <c r="AC19" s="4" t="str">
        <f>IFERROR(LOOKUP(2,1/((#REF!=dec!$A19)*(#REF!&lt;=dec!AC$3)*(#REF!&gt;=dec!AC$3)),#REF!),IF(WEEKDAY(dec!AC$3,1)=1,"WO","P"))</f>
        <v>P</v>
      </c>
      <c r="AD19" s="4" t="str">
        <f>IFERROR(LOOKUP(2,1/((#REF!=dec!$A19)*(#REF!&lt;=dec!AD$3)*(#REF!&gt;=dec!AD$3)),#REF!),IF(WEEKDAY(dec!AD$3,1)=1,"WO","P"))</f>
        <v>P</v>
      </c>
      <c r="AE19" s="4" t="str">
        <f>IFERROR(LOOKUP(2,1/((#REF!=dec!$A19)*(#REF!&lt;=dec!AE$3)*(#REF!&gt;=dec!AE$3)),#REF!),IF(WEEKDAY(dec!AE$3,1)=1,"WO","P"))</f>
        <v>P</v>
      </c>
      <c r="AF19" s="4" t="str">
        <f>IFERROR(LOOKUP(2,1/((#REF!=dec!$A19)*(#REF!&lt;=dec!AF$3)*(#REF!&gt;=dec!AF$3)),#REF!),IF(WEEKDAY(dec!AF$3,1)=1,"WO","P"))</f>
        <v>WO</v>
      </c>
      <c r="AG19" s="4" t="str">
        <f>IFERROR(LOOKUP(2,1/((#REF!=dec!$A19)*(#REF!&lt;=dec!AG$3)*(#REF!&gt;=dec!AG$3)),#REF!),IF(WEEKDAY(dec!AG$3,1)=1,"WO","P"))</f>
        <v>P</v>
      </c>
      <c r="AH19" s="4" t="str">
        <f>IFERROR(LOOKUP(2,1/((#REF!=dec!$A19)*(#REF!&lt;=dec!AH$3)*(#REF!&gt;=dec!AH$3)),#REF!),IF(WEEKDAY(dec!AH$3,1)=1,"WO","P"))</f>
        <v>P</v>
      </c>
      <c r="AI19" s="4" t="str">
        <f>IFERROR(LOOKUP(2,1/((#REF!=dec!$A19)*(#REF!&lt;=dec!AI$3)*(#REF!&gt;=dec!AI$3)),#REF!),IF(WEEKDAY(dec!AI$3,1)=1,"WO","P"))</f>
        <v>P</v>
      </c>
      <c r="AJ19" s="4" t="str">
        <f>IFERROR(LOOKUP(2,1/((#REF!=dec!$A19)*(#REF!&lt;=dec!AJ$3)*(#REF!&gt;=dec!AJ$3)),#REF!),IF(WEEKDAY(dec!AJ$3,1)=1,"WO","P"))</f>
        <v>P</v>
      </c>
      <c r="AK19" s="4">
        <f>COUNTIF(mar!$F19:$AJ19,"WO")</f>
        <v>5</v>
      </c>
      <c r="AL19" s="4">
        <f>COUNTIF(mar!$F19:$AJ19,"H")</f>
        <v>2</v>
      </c>
      <c r="AM19" s="4">
        <f>COUNTIF(mar!$F19:$AJ19,"pl")</f>
        <v>0</v>
      </c>
      <c r="AN19" s="4">
        <f>COUNTIF(mar!$F19:$AJ19,"LWP")</f>
        <v>0</v>
      </c>
      <c r="AO19" s="4">
        <f>COUNTIF(mar!$F19:$AJ19,"HD")</f>
        <v>0</v>
      </c>
      <c r="AP19" s="4">
        <f>COUNTIF(mar!$F19:$AJ19,"SL")</f>
        <v>0</v>
      </c>
      <c r="AQ19" s="4">
        <f>COUNTIF(mar!$F19:$AJ19,"CL")</f>
        <v>0</v>
      </c>
      <c r="AR19" s="4">
        <f>COUNTIF(mar!$F19:$AJ19,"A")</f>
        <v>2</v>
      </c>
      <c r="AS19" s="4">
        <f>COUNTIF(mar!$F19:$AJ19,"P")</f>
        <v>22</v>
      </c>
      <c r="AT19" s="4">
        <f t="shared" si="2"/>
        <v>31</v>
      </c>
      <c r="AU19" s="4">
        <f t="shared" si="3"/>
        <v>29</v>
      </c>
      <c r="AV19" s="4">
        <f>SUMIFS(holly!$L$2:$L$122,holly!$I$2:$I$122,mar!$A19,holly!$K$2:$K$122,"Mar")</f>
        <v>0</v>
      </c>
    </row>
    <row r="20" spans="1:48" ht="15.75" x14ac:dyDescent="0.25">
      <c r="A20" s="4" t="s">
        <v>40</v>
      </c>
      <c r="B20" s="4" t="str">
        <f>VLOOKUP($A20,Master!$A$2:$K$52,2,0)</f>
        <v>Employee16</v>
      </c>
      <c r="C20" s="4" t="str">
        <f>VLOOKUP($A20,Master!$A$2:$K$52,3,0)</f>
        <v>Male</v>
      </c>
      <c r="D20" s="4" t="str">
        <f>VLOOKUP($A20,Master!$A$2:$K$52,5,0)</f>
        <v>Warehouse</v>
      </c>
      <c r="E20" s="4" t="str">
        <f>VLOOKUP($A20,Master!$A$2:$K$52,6,0)</f>
        <v>Warehouse Executive</v>
      </c>
      <c r="F20" s="4" t="str">
        <f>IFERROR(LOOKUP(2,1/((#REF!=dec!$A20)*(#REF!&lt;=dec!F$3)*(#REF!&gt;=dec!F$3)),#REF!),IF(WEEKDAY(dec!F$3,1)=1,"WO","P"))</f>
        <v>P</v>
      </c>
      <c r="G20" s="4" t="str">
        <f>IFERROR(LOOKUP(2,1/((#REF!=dec!$A20)*(#REF!&lt;=dec!G$3)*(#REF!&gt;=dec!G$3)),#REF!),IF(WEEKDAY(dec!G$3,1)=1,"WO","P"))</f>
        <v>P</v>
      </c>
      <c r="H20" s="4" t="str">
        <f>IFERROR(LOOKUP(2,1/((#REF!=dec!$A20)*(#REF!&lt;=dec!H$3)*(#REF!&gt;=dec!H$3)),#REF!),IF(WEEKDAY(dec!H$3,1)=1,"WO","P"))</f>
        <v>P</v>
      </c>
      <c r="I20" s="4" t="str">
        <f>IFERROR(LOOKUP(2,1/((#REF!=dec!$A20)*(#REF!&lt;=dec!I$3)*(#REF!&gt;=dec!I$3)),#REF!),IF(WEEKDAY(dec!I$3,1)=1,"WO","P"))</f>
        <v>P</v>
      </c>
      <c r="J20" s="4" t="str">
        <f>IFERROR(LOOKUP(2,1/((#REF!=dec!$A20)*(#REF!&lt;=dec!J$3)*(#REF!&gt;=dec!J$3)),#REF!),IF(WEEKDAY(dec!J$3,1)=1,"WO","P"))</f>
        <v>P</v>
      </c>
      <c r="K20" s="4" t="str">
        <f>IFERROR(LOOKUP(2,1/((#REF!=dec!$A20)*(#REF!&lt;=dec!K$3)*(#REF!&gt;=dec!K$3)),#REF!),IF(WEEKDAY(dec!K$3,1)=1,"WO","P"))</f>
        <v>WO</v>
      </c>
      <c r="L20" s="4" t="str">
        <f>IFERROR(LOOKUP(2,1/((#REF!=dec!$A20)*(#REF!&lt;=dec!L$3)*(#REF!&gt;=dec!L$3)),#REF!),IF(WEEKDAY(dec!L$3,1)=1,"WO","P"))</f>
        <v>P</v>
      </c>
      <c r="M20" s="4" t="str">
        <f>IFERROR(LOOKUP(2,1/((#REF!=dec!$A20)*(#REF!&lt;=dec!M$3)*(#REF!&gt;=dec!M$3)),#REF!),IF(WEEKDAY(dec!M$3,1)=1,"WO","P"))</f>
        <v>P</v>
      </c>
      <c r="N20" s="4" t="str">
        <f>IFERROR(LOOKUP(2,1/((#REF!=dec!$A20)*(#REF!&lt;=dec!N$3)*(#REF!&gt;=dec!N$3)),#REF!),IF(WEEKDAY(dec!N$3,1)=1,"WO","P"))</f>
        <v>P</v>
      </c>
      <c r="O20" s="4" t="str">
        <f>IFERROR(LOOKUP(2,1/((#REF!=dec!$A20)*(#REF!&lt;=dec!O$3)*(#REF!&gt;=dec!O$3)),#REF!),IF(WEEKDAY(dec!O$3,1)=1,"WO","P"))</f>
        <v>P</v>
      </c>
      <c r="P20" s="4" t="str">
        <f>IFERROR(LOOKUP(2,1/((#REF!=dec!$A20)*(#REF!&lt;=dec!P$3)*(#REF!&gt;=dec!P$3)),#REF!),IF(WEEKDAY(dec!P$3,1)=1,"WO","P"))</f>
        <v>P</v>
      </c>
      <c r="Q20" s="4" t="str">
        <f>IFERROR(LOOKUP(2,1/((#REF!=dec!$A20)*(#REF!&lt;=dec!Q$3)*(#REF!&gt;=dec!Q$3)),#REF!),IF(WEEKDAY(dec!Q$3,1)=1,"WO","P"))</f>
        <v>P</v>
      </c>
      <c r="R20" s="4" t="str">
        <f>IFERROR(LOOKUP(2,1/((#REF!=dec!$A20)*(#REF!&lt;=dec!R$3)*(#REF!&gt;=dec!R$3)),#REF!),IF(WEEKDAY(dec!R$3,1)=1,"WO","P"))</f>
        <v>WO</v>
      </c>
      <c r="S20" s="4" t="str">
        <f>IFERROR(LOOKUP(2,1/((#REF!=dec!$A20)*(#REF!&lt;=dec!S$3)*(#REF!&gt;=dec!S$3)),#REF!),IF(WEEKDAY(dec!S$3,1)=1,"WO","P"))</f>
        <v>P</v>
      </c>
      <c r="T20" s="4" t="str">
        <f>IFERROR(LOOKUP(2,1/((#REF!=dec!$A20)*(#REF!&lt;=dec!T$3)*(#REF!&gt;=dec!T$3)),#REF!),IF(WEEKDAY(dec!T$3,1)=1,"WO","P"))</f>
        <v>P</v>
      </c>
      <c r="U20" s="4" t="str">
        <f>IFERROR(LOOKUP(2,1/((#REF!=dec!$A20)*(#REF!&lt;=dec!U$3)*(#REF!&gt;=dec!U$3)),#REF!),IF(WEEKDAY(dec!U$3,1)=1,"WO","P"))</f>
        <v>P</v>
      </c>
      <c r="V20" s="4" t="str">
        <f>IFERROR(LOOKUP(2,1/((#REF!=dec!$A20)*(#REF!&lt;=dec!V$3)*(#REF!&gt;=dec!V$3)),#REF!),IF(WEEKDAY(dec!V$3,1)=1,"WO","P"))</f>
        <v>P</v>
      </c>
      <c r="W20" s="4" t="str">
        <f>IFERROR(LOOKUP(2,1/((#REF!=dec!$A20)*(#REF!&lt;=dec!W$3)*(#REF!&gt;=dec!W$3)),#REF!),IF(WEEKDAY(dec!W$3,1)=1,"WO","P"))</f>
        <v>P</v>
      </c>
      <c r="X20" s="4" t="str">
        <f>IFERROR(LOOKUP(2,1/((#REF!=dec!$A20)*(#REF!&lt;=dec!X$3)*(#REF!&gt;=dec!X$3)),#REF!),IF(WEEKDAY(dec!X$3,1)=1,"WO","P"))</f>
        <v>P</v>
      </c>
      <c r="Y20" s="4" t="str">
        <f>IFERROR(LOOKUP(2,1/((#REF!=dec!$A20)*(#REF!&lt;=dec!Y$3)*(#REF!&gt;=dec!Y$3)),#REF!),IF(WEEKDAY(dec!Y$3,1)=1,"WO","P"))</f>
        <v>WO</v>
      </c>
      <c r="Z20" s="4" t="str">
        <f>IFERROR(LOOKUP(2,1/((#REF!=dec!$A20)*(#REF!&lt;=dec!Z$3)*(#REF!&gt;=dec!Z$3)),#REF!),IF(WEEKDAY(dec!Z$3,1)=1,"WO","P"))</f>
        <v>P</v>
      </c>
      <c r="AA20" s="4" t="str">
        <f>IFERROR(LOOKUP(2,1/((#REF!=dec!$A20)*(#REF!&lt;=dec!AA$3)*(#REF!&gt;=dec!AA$3)),#REF!),IF(WEEKDAY(dec!AA$3,1)=1,"WO","P"))</f>
        <v>P</v>
      </c>
      <c r="AB20" s="4" t="str">
        <f>IFERROR(LOOKUP(2,1/((#REF!=dec!$A20)*(#REF!&lt;=dec!AB$3)*(#REF!&gt;=dec!AB$3)),#REF!),IF(WEEKDAY(dec!AB$3,1)=1,"WO","P"))</f>
        <v>P</v>
      </c>
      <c r="AC20" s="4" t="str">
        <f>IFERROR(LOOKUP(2,1/((#REF!=dec!$A20)*(#REF!&lt;=dec!AC$3)*(#REF!&gt;=dec!AC$3)),#REF!),IF(WEEKDAY(dec!AC$3,1)=1,"WO","P"))</f>
        <v>P</v>
      </c>
      <c r="AD20" s="4" t="str">
        <f>IFERROR(LOOKUP(2,1/((#REF!=dec!$A20)*(#REF!&lt;=dec!AD$3)*(#REF!&gt;=dec!AD$3)),#REF!),IF(WEEKDAY(dec!AD$3,1)=1,"WO","P"))</f>
        <v>P</v>
      </c>
      <c r="AE20" s="4" t="str">
        <f>IFERROR(LOOKUP(2,1/((#REF!=dec!$A20)*(#REF!&lt;=dec!AE$3)*(#REF!&gt;=dec!AE$3)),#REF!),IF(WEEKDAY(dec!AE$3,1)=1,"WO","P"))</f>
        <v>P</v>
      </c>
      <c r="AF20" s="4" t="str">
        <f>IFERROR(LOOKUP(2,1/((#REF!=dec!$A20)*(#REF!&lt;=dec!AF$3)*(#REF!&gt;=dec!AF$3)),#REF!),IF(WEEKDAY(dec!AF$3,1)=1,"WO","P"))</f>
        <v>WO</v>
      </c>
      <c r="AG20" s="4" t="str">
        <f>IFERROR(LOOKUP(2,1/((#REF!=dec!$A20)*(#REF!&lt;=dec!AG$3)*(#REF!&gt;=dec!AG$3)),#REF!),IF(WEEKDAY(dec!AG$3,1)=1,"WO","P"))</f>
        <v>P</v>
      </c>
      <c r="AH20" s="4" t="str">
        <f>IFERROR(LOOKUP(2,1/((#REF!=dec!$A20)*(#REF!&lt;=dec!AH$3)*(#REF!&gt;=dec!AH$3)),#REF!),IF(WEEKDAY(dec!AH$3,1)=1,"WO","P"))</f>
        <v>P</v>
      </c>
      <c r="AI20" s="4" t="str">
        <f>IFERROR(LOOKUP(2,1/((#REF!=dec!$A20)*(#REF!&lt;=dec!AI$3)*(#REF!&gt;=dec!AI$3)),#REF!),IF(WEEKDAY(dec!AI$3,1)=1,"WO","P"))</f>
        <v>P</v>
      </c>
      <c r="AJ20" s="4" t="str">
        <f>IFERROR(LOOKUP(2,1/((#REF!=dec!$A20)*(#REF!&lt;=dec!AJ$3)*(#REF!&gt;=dec!AJ$3)),#REF!),IF(WEEKDAY(dec!AJ$3,1)=1,"WO","P"))</f>
        <v>P</v>
      </c>
      <c r="AK20" s="4">
        <f>COUNTIF(mar!$F20:$AJ20,"WO")</f>
        <v>5</v>
      </c>
      <c r="AL20" s="4">
        <f>COUNTIF(mar!$F20:$AJ20,"H")</f>
        <v>2</v>
      </c>
      <c r="AM20" s="4">
        <f>COUNTIF(mar!$F20:$AJ20,"pl")</f>
        <v>0</v>
      </c>
      <c r="AN20" s="4">
        <f>COUNTIF(mar!$F20:$AJ20,"LWP")</f>
        <v>0</v>
      </c>
      <c r="AO20" s="4">
        <f>COUNTIF(mar!$F20:$AJ20,"HD")</f>
        <v>0</v>
      </c>
      <c r="AP20" s="4">
        <f>COUNTIF(mar!$F20:$AJ20,"SL")</f>
        <v>0</v>
      </c>
      <c r="AQ20" s="4">
        <f>COUNTIF(mar!$F20:$AJ20,"CL")</f>
        <v>0</v>
      </c>
      <c r="AR20" s="4">
        <f>COUNTIF(mar!$F20:$AJ20,"A")</f>
        <v>0</v>
      </c>
      <c r="AS20" s="4">
        <f>COUNTIF(mar!$F20:$AJ20,"P")</f>
        <v>24</v>
      </c>
      <c r="AT20" s="4">
        <f t="shared" si="2"/>
        <v>31</v>
      </c>
      <c r="AU20" s="4">
        <f t="shared" si="3"/>
        <v>31</v>
      </c>
      <c r="AV20" s="4">
        <f>SUMIFS(holly!$L$2:$L$122,holly!$I$2:$I$122,mar!$A20,holly!$K$2:$K$122,"Mar")</f>
        <v>4</v>
      </c>
    </row>
    <row r="21" spans="1:48" ht="15.75" x14ac:dyDescent="0.25">
      <c r="A21" s="4" t="s">
        <v>42</v>
      </c>
      <c r="B21" s="4" t="str">
        <f>VLOOKUP($A21,Master!$A$2:$K$52,2,0)</f>
        <v>Employee17</v>
      </c>
      <c r="C21" s="4" t="str">
        <f>VLOOKUP($A21,Master!$A$2:$K$52,3,0)</f>
        <v>Male</v>
      </c>
      <c r="D21" s="4" t="str">
        <f>VLOOKUP($A21,Master!$A$2:$K$52,5,0)</f>
        <v>Production</v>
      </c>
      <c r="E21" s="4" t="str">
        <f>VLOOKUP($A21,Master!$A$2:$K$52,6,0)</f>
        <v>Senior Operator</v>
      </c>
      <c r="F21" s="4" t="str">
        <f>IFERROR(LOOKUP(2,1/((#REF!=dec!$A21)*(#REF!&lt;=dec!F$3)*(#REF!&gt;=dec!F$3)),#REF!),IF(WEEKDAY(dec!F$3,1)=1,"WO","P"))</f>
        <v>P</v>
      </c>
      <c r="G21" s="4" t="str">
        <f>IFERROR(LOOKUP(2,1/((#REF!=dec!$A21)*(#REF!&lt;=dec!G$3)*(#REF!&gt;=dec!G$3)),#REF!),IF(WEEKDAY(dec!G$3,1)=1,"WO","P"))</f>
        <v>P</v>
      </c>
      <c r="H21" s="4" t="str">
        <f>IFERROR(LOOKUP(2,1/((#REF!=dec!$A21)*(#REF!&lt;=dec!H$3)*(#REF!&gt;=dec!H$3)),#REF!),IF(WEEKDAY(dec!H$3,1)=1,"WO","P"))</f>
        <v>P</v>
      </c>
      <c r="I21" s="4" t="str">
        <f>IFERROR(LOOKUP(2,1/((#REF!=dec!$A21)*(#REF!&lt;=dec!I$3)*(#REF!&gt;=dec!I$3)),#REF!),IF(WEEKDAY(dec!I$3,1)=1,"WO","P"))</f>
        <v>P</v>
      </c>
      <c r="J21" s="4" t="str">
        <f>IFERROR(LOOKUP(2,1/((#REF!=dec!$A21)*(#REF!&lt;=dec!J$3)*(#REF!&gt;=dec!J$3)),#REF!),IF(WEEKDAY(dec!J$3,1)=1,"WO","P"))</f>
        <v>P</v>
      </c>
      <c r="K21" s="4" t="str">
        <f>IFERROR(LOOKUP(2,1/((#REF!=dec!$A21)*(#REF!&lt;=dec!K$3)*(#REF!&gt;=dec!K$3)),#REF!),IF(WEEKDAY(dec!K$3,1)=1,"WO","P"))</f>
        <v>WO</v>
      </c>
      <c r="L21" s="4" t="str">
        <f>IFERROR(LOOKUP(2,1/((#REF!=dec!$A21)*(#REF!&lt;=dec!L$3)*(#REF!&gt;=dec!L$3)),#REF!),IF(WEEKDAY(dec!L$3,1)=1,"WO","P"))</f>
        <v>P</v>
      </c>
      <c r="M21" s="4" t="str">
        <f>IFERROR(LOOKUP(2,1/((#REF!=dec!$A21)*(#REF!&lt;=dec!M$3)*(#REF!&gt;=dec!M$3)),#REF!),IF(WEEKDAY(dec!M$3,1)=1,"WO","P"))</f>
        <v>P</v>
      </c>
      <c r="N21" s="4" t="str">
        <f>IFERROR(LOOKUP(2,1/((#REF!=dec!$A21)*(#REF!&lt;=dec!N$3)*(#REF!&gt;=dec!N$3)),#REF!),IF(WEEKDAY(dec!N$3,1)=1,"WO","P"))</f>
        <v>P</v>
      </c>
      <c r="O21" s="4" t="str">
        <f>IFERROR(LOOKUP(2,1/((#REF!=dec!$A21)*(#REF!&lt;=dec!O$3)*(#REF!&gt;=dec!O$3)),#REF!),IF(WEEKDAY(dec!O$3,1)=1,"WO","P"))</f>
        <v>P</v>
      </c>
      <c r="P21" s="4" t="str">
        <f>IFERROR(LOOKUP(2,1/((#REF!=dec!$A21)*(#REF!&lt;=dec!P$3)*(#REF!&gt;=dec!P$3)),#REF!),IF(WEEKDAY(dec!P$3,1)=1,"WO","P"))</f>
        <v>P</v>
      </c>
      <c r="Q21" s="4" t="str">
        <f>IFERROR(LOOKUP(2,1/((#REF!=dec!$A21)*(#REF!&lt;=dec!Q$3)*(#REF!&gt;=dec!Q$3)),#REF!),IF(WEEKDAY(dec!Q$3,1)=1,"WO","P"))</f>
        <v>P</v>
      </c>
      <c r="R21" s="4" t="str">
        <f>IFERROR(LOOKUP(2,1/((#REF!=dec!$A21)*(#REF!&lt;=dec!R$3)*(#REF!&gt;=dec!R$3)),#REF!),IF(WEEKDAY(dec!R$3,1)=1,"WO","P"))</f>
        <v>WO</v>
      </c>
      <c r="S21" s="4" t="str">
        <f>IFERROR(LOOKUP(2,1/((#REF!=dec!$A21)*(#REF!&lt;=dec!S$3)*(#REF!&gt;=dec!S$3)),#REF!),IF(WEEKDAY(dec!S$3,1)=1,"WO","P"))</f>
        <v>P</v>
      </c>
      <c r="T21" s="4" t="str">
        <f>IFERROR(LOOKUP(2,1/((#REF!=dec!$A21)*(#REF!&lt;=dec!T$3)*(#REF!&gt;=dec!T$3)),#REF!),IF(WEEKDAY(dec!T$3,1)=1,"WO","P"))</f>
        <v>P</v>
      </c>
      <c r="U21" s="4" t="str">
        <f>IFERROR(LOOKUP(2,1/((#REF!=dec!$A21)*(#REF!&lt;=dec!U$3)*(#REF!&gt;=dec!U$3)),#REF!),IF(WEEKDAY(dec!U$3,1)=1,"WO","P"))</f>
        <v>P</v>
      </c>
      <c r="V21" s="4" t="str">
        <f>IFERROR(LOOKUP(2,1/((#REF!=dec!$A21)*(#REF!&lt;=dec!V$3)*(#REF!&gt;=dec!V$3)),#REF!),IF(WEEKDAY(dec!V$3,1)=1,"WO","P"))</f>
        <v>P</v>
      </c>
      <c r="W21" s="4" t="str">
        <f>IFERROR(LOOKUP(2,1/((#REF!=dec!$A21)*(#REF!&lt;=dec!W$3)*(#REF!&gt;=dec!W$3)),#REF!),IF(WEEKDAY(dec!W$3,1)=1,"WO","P"))</f>
        <v>P</v>
      </c>
      <c r="X21" s="4" t="str">
        <f>IFERROR(LOOKUP(2,1/((#REF!=dec!$A21)*(#REF!&lt;=dec!X$3)*(#REF!&gt;=dec!X$3)),#REF!),IF(WEEKDAY(dec!X$3,1)=1,"WO","P"))</f>
        <v>P</v>
      </c>
      <c r="Y21" s="4" t="str">
        <f>IFERROR(LOOKUP(2,1/((#REF!=dec!$A21)*(#REF!&lt;=dec!Y$3)*(#REF!&gt;=dec!Y$3)),#REF!),IF(WEEKDAY(dec!Y$3,1)=1,"WO","P"))</f>
        <v>WO</v>
      </c>
      <c r="Z21" s="4" t="str">
        <f>IFERROR(LOOKUP(2,1/((#REF!=dec!$A21)*(#REF!&lt;=dec!Z$3)*(#REF!&gt;=dec!Z$3)),#REF!),IF(WEEKDAY(dec!Z$3,1)=1,"WO","P"))</f>
        <v>P</v>
      </c>
      <c r="AA21" s="4" t="str">
        <f>IFERROR(LOOKUP(2,1/((#REF!=dec!$A21)*(#REF!&lt;=dec!AA$3)*(#REF!&gt;=dec!AA$3)),#REF!),IF(WEEKDAY(dec!AA$3,1)=1,"WO","P"))</f>
        <v>P</v>
      </c>
      <c r="AB21" s="4" t="str">
        <f>IFERROR(LOOKUP(2,1/((#REF!=dec!$A21)*(#REF!&lt;=dec!AB$3)*(#REF!&gt;=dec!AB$3)),#REF!),IF(WEEKDAY(dec!AB$3,1)=1,"WO","P"))</f>
        <v>P</v>
      </c>
      <c r="AC21" s="4" t="str">
        <f>IFERROR(LOOKUP(2,1/((#REF!=dec!$A21)*(#REF!&lt;=dec!AC$3)*(#REF!&gt;=dec!AC$3)),#REF!),IF(WEEKDAY(dec!AC$3,1)=1,"WO","P"))</f>
        <v>P</v>
      </c>
      <c r="AD21" s="4" t="str">
        <f>IFERROR(LOOKUP(2,1/((#REF!=dec!$A21)*(#REF!&lt;=dec!AD$3)*(#REF!&gt;=dec!AD$3)),#REF!),IF(WEEKDAY(dec!AD$3,1)=1,"WO","P"))</f>
        <v>P</v>
      </c>
      <c r="AE21" s="4" t="str">
        <f>IFERROR(LOOKUP(2,1/((#REF!=dec!$A21)*(#REF!&lt;=dec!AE$3)*(#REF!&gt;=dec!AE$3)),#REF!),IF(WEEKDAY(dec!AE$3,1)=1,"WO","P"))</f>
        <v>P</v>
      </c>
      <c r="AF21" s="4" t="str">
        <f>IFERROR(LOOKUP(2,1/((#REF!=dec!$A21)*(#REF!&lt;=dec!AF$3)*(#REF!&gt;=dec!AF$3)),#REF!),IF(WEEKDAY(dec!AF$3,1)=1,"WO","P"))</f>
        <v>WO</v>
      </c>
      <c r="AG21" s="4" t="str">
        <f>IFERROR(LOOKUP(2,1/((#REF!=dec!$A21)*(#REF!&lt;=dec!AG$3)*(#REF!&gt;=dec!AG$3)),#REF!),IF(WEEKDAY(dec!AG$3,1)=1,"WO","P"))</f>
        <v>P</v>
      </c>
      <c r="AH21" s="4" t="str">
        <f>IFERROR(LOOKUP(2,1/((#REF!=dec!$A21)*(#REF!&lt;=dec!AH$3)*(#REF!&gt;=dec!AH$3)),#REF!),IF(WEEKDAY(dec!AH$3,1)=1,"WO","P"))</f>
        <v>P</v>
      </c>
      <c r="AI21" s="4" t="str">
        <f>IFERROR(LOOKUP(2,1/((#REF!=dec!$A21)*(#REF!&lt;=dec!AI$3)*(#REF!&gt;=dec!AI$3)),#REF!),IF(WEEKDAY(dec!AI$3,1)=1,"WO","P"))</f>
        <v>P</v>
      </c>
      <c r="AJ21" s="4" t="str">
        <f>IFERROR(LOOKUP(2,1/((#REF!=dec!$A21)*(#REF!&lt;=dec!AJ$3)*(#REF!&gt;=dec!AJ$3)),#REF!),IF(WEEKDAY(dec!AJ$3,1)=1,"WO","P"))</f>
        <v>P</v>
      </c>
      <c r="AK21" s="4">
        <f>COUNTIF(mar!$F21:$AJ21,"WO")</f>
        <v>5</v>
      </c>
      <c r="AL21" s="4">
        <f>COUNTIF(mar!$F21:$AJ21,"H")</f>
        <v>2</v>
      </c>
      <c r="AM21" s="4">
        <f>COUNTIF(mar!$F21:$AJ21,"pl")</f>
        <v>0</v>
      </c>
      <c r="AN21" s="4">
        <f>COUNTIF(mar!$F21:$AJ21,"LWP")</f>
        <v>0</v>
      </c>
      <c r="AO21" s="4">
        <f>COUNTIF(mar!$F21:$AJ21,"HD")</f>
        <v>0</v>
      </c>
      <c r="AP21" s="4">
        <f>COUNTIF(mar!$F21:$AJ21,"SL")</f>
        <v>0</v>
      </c>
      <c r="AQ21" s="4">
        <f>COUNTIF(mar!$F21:$AJ21,"CL")</f>
        <v>0</v>
      </c>
      <c r="AR21" s="4">
        <f>COUNTIF(mar!$F21:$AJ21,"A")</f>
        <v>1</v>
      </c>
      <c r="AS21" s="4">
        <f>COUNTIF(mar!$F21:$AJ21,"P")</f>
        <v>23</v>
      </c>
      <c r="AT21" s="4">
        <f t="shared" si="2"/>
        <v>31</v>
      </c>
      <c r="AU21" s="4">
        <f t="shared" si="3"/>
        <v>30</v>
      </c>
      <c r="AV21" s="4">
        <f>SUMIFS(holly!$L$2:$L$122,holly!$I$2:$I$122,mar!$A21,holly!$K$2:$K$122,"Mar")</f>
        <v>0</v>
      </c>
    </row>
    <row r="22" spans="1:48" ht="15.75" x14ac:dyDescent="0.25">
      <c r="A22" s="4" t="s">
        <v>43</v>
      </c>
      <c r="B22" s="4" t="str">
        <f>VLOOKUP($A22,Master!$A$2:$K$52,2,0)</f>
        <v>Employee18</v>
      </c>
      <c r="C22" s="4" t="str">
        <f>VLOOKUP($A22,Master!$A$2:$K$52,3,0)</f>
        <v>Male</v>
      </c>
      <c r="D22" s="4" t="str">
        <f>VLOOKUP($A22,Master!$A$2:$K$52,5,0)</f>
        <v>Production</v>
      </c>
      <c r="E22" s="4" t="str">
        <f>VLOOKUP($A22,Master!$A$2:$K$52,6,0)</f>
        <v>Supervisor</v>
      </c>
      <c r="F22" s="4" t="str">
        <f>IFERROR(LOOKUP(2,1/((#REF!=dec!$A22)*(#REF!&lt;=dec!F$3)*(#REF!&gt;=dec!F$3)),#REF!),IF(WEEKDAY(dec!F$3,1)=1,"WO","P"))</f>
        <v>P</v>
      </c>
      <c r="G22" s="4" t="str">
        <f>IFERROR(LOOKUP(2,1/((#REF!=dec!$A22)*(#REF!&lt;=dec!G$3)*(#REF!&gt;=dec!G$3)),#REF!),IF(WEEKDAY(dec!G$3,1)=1,"WO","P"))</f>
        <v>P</v>
      </c>
      <c r="H22" s="4" t="str">
        <f>IFERROR(LOOKUP(2,1/((#REF!=dec!$A22)*(#REF!&lt;=dec!H$3)*(#REF!&gt;=dec!H$3)),#REF!),IF(WEEKDAY(dec!H$3,1)=1,"WO","P"))</f>
        <v>P</v>
      </c>
      <c r="I22" s="4" t="str">
        <f>IFERROR(LOOKUP(2,1/((#REF!=dec!$A22)*(#REF!&lt;=dec!I$3)*(#REF!&gt;=dec!I$3)),#REF!),IF(WEEKDAY(dec!I$3,1)=1,"WO","P"))</f>
        <v>P</v>
      </c>
      <c r="J22" s="4" t="str">
        <f>IFERROR(LOOKUP(2,1/((#REF!=dec!$A22)*(#REF!&lt;=dec!J$3)*(#REF!&gt;=dec!J$3)),#REF!),IF(WEEKDAY(dec!J$3,1)=1,"WO","P"))</f>
        <v>P</v>
      </c>
      <c r="K22" s="4" t="str">
        <f>IFERROR(LOOKUP(2,1/((#REF!=dec!$A22)*(#REF!&lt;=dec!K$3)*(#REF!&gt;=dec!K$3)),#REF!),IF(WEEKDAY(dec!K$3,1)=1,"WO","P"))</f>
        <v>WO</v>
      </c>
      <c r="L22" s="4" t="str">
        <f>IFERROR(LOOKUP(2,1/((#REF!=dec!$A22)*(#REF!&lt;=dec!L$3)*(#REF!&gt;=dec!L$3)),#REF!),IF(WEEKDAY(dec!L$3,1)=1,"WO","P"))</f>
        <v>P</v>
      </c>
      <c r="M22" s="4" t="str">
        <f>IFERROR(LOOKUP(2,1/((#REF!=dec!$A22)*(#REF!&lt;=dec!M$3)*(#REF!&gt;=dec!M$3)),#REF!),IF(WEEKDAY(dec!M$3,1)=1,"WO","P"))</f>
        <v>P</v>
      </c>
      <c r="N22" s="4" t="str">
        <f>IFERROR(LOOKUP(2,1/((#REF!=dec!$A22)*(#REF!&lt;=dec!N$3)*(#REF!&gt;=dec!N$3)),#REF!),IF(WEEKDAY(dec!N$3,1)=1,"WO","P"))</f>
        <v>P</v>
      </c>
      <c r="O22" s="4" t="str">
        <f>IFERROR(LOOKUP(2,1/((#REF!=dec!$A22)*(#REF!&lt;=dec!O$3)*(#REF!&gt;=dec!O$3)),#REF!),IF(WEEKDAY(dec!O$3,1)=1,"WO","P"))</f>
        <v>P</v>
      </c>
      <c r="P22" s="4" t="str">
        <f>IFERROR(LOOKUP(2,1/((#REF!=dec!$A22)*(#REF!&lt;=dec!P$3)*(#REF!&gt;=dec!P$3)),#REF!),IF(WEEKDAY(dec!P$3,1)=1,"WO","P"))</f>
        <v>P</v>
      </c>
      <c r="Q22" s="4" t="str">
        <f>IFERROR(LOOKUP(2,1/((#REF!=dec!$A22)*(#REF!&lt;=dec!Q$3)*(#REF!&gt;=dec!Q$3)),#REF!),IF(WEEKDAY(dec!Q$3,1)=1,"WO","P"))</f>
        <v>P</v>
      </c>
      <c r="R22" s="4" t="str">
        <f>IFERROR(LOOKUP(2,1/((#REF!=dec!$A22)*(#REF!&lt;=dec!R$3)*(#REF!&gt;=dec!R$3)),#REF!),IF(WEEKDAY(dec!R$3,1)=1,"WO","P"))</f>
        <v>WO</v>
      </c>
      <c r="S22" s="4" t="str">
        <f>IFERROR(LOOKUP(2,1/((#REF!=dec!$A22)*(#REF!&lt;=dec!S$3)*(#REF!&gt;=dec!S$3)),#REF!),IF(WEEKDAY(dec!S$3,1)=1,"WO","P"))</f>
        <v>P</v>
      </c>
      <c r="T22" s="4" t="str">
        <f>IFERROR(LOOKUP(2,1/((#REF!=dec!$A22)*(#REF!&lt;=dec!T$3)*(#REF!&gt;=dec!T$3)),#REF!),IF(WEEKDAY(dec!T$3,1)=1,"WO","P"))</f>
        <v>P</v>
      </c>
      <c r="U22" s="4" t="str">
        <f>IFERROR(LOOKUP(2,1/((#REF!=dec!$A22)*(#REF!&lt;=dec!U$3)*(#REF!&gt;=dec!U$3)),#REF!),IF(WEEKDAY(dec!U$3,1)=1,"WO","P"))</f>
        <v>P</v>
      </c>
      <c r="V22" s="4" t="str">
        <f>IFERROR(LOOKUP(2,1/((#REF!=dec!$A22)*(#REF!&lt;=dec!V$3)*(#REF!&gt;=dec!V$3)),#REF!),IF(WEEKDAY(dec!V$3,1)=1,"WO","P"))</f>
        <v>P</v>
      </c>
      <c r="W22" s="4" t="str">
        <f>IFERROR(LOOKUP(2,1/((#REF!=dec!$A22)*(#REF!&lt;=dec!W$3)*(#REF!&gt;=dec!W$3)),#REF!),IF(WEEKDAY(dec!W$3,1)=1,"WO","P"))</f>
        <v>P</v>
      </c>
      <c r="X22" s="4" t="str">
        <f>IFERROR(LOOKUP(2,1/((#REF!=dec!$A22)*(#REF!&lt;=dec!X$3)*(#REF!&gt;=dec!X$3)),#REF!),IF(WEEKDAY(dec!X$3,1)=1,"WO","P"))</f>
        <v>P</v>
      </c>
      <c r="Y22" s="4" t="str">
        <f>IFERROR(LOOKUP(2,1/((#REF!=dec!$A22)*(#REF!&lt;=dec!Y$3)*(#REF!&gt;=dec!Y$3)),#REF!),IF(WEEKDAY(dec!Y$3,1)=1,"WO","P"))</f>
        <v>WO</v>
      </c>
      <c r="Z22" s="4" t="str">
        <f>IFERROR(LOOKUP(2,1/((#REF!=dec!$A22)*(#REF!&lt;=dec!Z$3)*(#REF!&gt;=dec!Z$3)),#REF!),IF(WEEKDAY(dec!Z$3,1)=1,"WO","P"))</f>
        <v>P</v>
      </c>
      <c r="AA22" s="4" t="str">
        <f>IFERROR(LOOKUP(2,1/((#REF!=dec!$A22)*(#REF!&lt;=dec!AA$3)*(#REF!&gt;=dec!AA$3)),#REF!),IF(WEEKDAY(dec!AA$3,1)=1,"WO","P"))</f>
        <v>P</v>
      </c>
      <c r="AB22" s="4" t="str">
        <f>IFERROR(LOOKUP(2,1/((#REF!=dec!$A22)*(#REF!&lt;=dec!AB$3)*(#REF!&gt;=dec!AB$3)),#REF!),IF(WEEKDAY(dec!AB$3,1)=1,"WO","P"))</f>
        <v>P</v>
      </c>
      <c r="AC22" s="4" t="str">
        <f>IFERROR(LOOKUP(2,1/((#REF!=dec!$A22)*(#REF!&lt;=dec!AC$3)*(#REF!&gt;=dec!AC$3)),#REF!),IF(WEEKDAY(dec!AC$3,1)=1,"WO","P"))</f>
        <v>P</v>
      </c>
      <c r="AD22" s="4" t="str">
        <f>IFERROR(LOOKUP(2,1/((#REF!=dec!$A22)*(#REF!&lt;=dec!AD$3)*(#REF!&gt;=dec!AD$3)),#REF!),IF(WEEKDAY(dec!AD$3,1)=1,"WO","P"))</f>
        <v>P</v>
      </c>
      <c r="AE22" s="4" t="str">
        <f>IFERROR(LOOKUP(2,1/((#REF!=dec!$A22)*(#REF!&lt;=dec!AE$3)*(#REF!&gt;=dec!AE$3)),#REF!),IF(WEEKDAY(dec!AE$3,1)=1,"WO","P"))</f>
        <v>P</v>
      </c>
      <c r="AF22" s="4" t="str">
        <f>IFERROR(LOOKUP(2,1/((#REF!=dec!$A22)*(#REF!&lt;=dec!AF$3)*(#REF!&gt;=dec!AF$3)),#REF!),IF(WEEKDAY(dec!AF$3,1)=1,"WO","P"))</f>
        <v>WO</v>
      </c>
      <c r="AG22" s="4" t="str">
        <f>IFERROR(LOOKUP(2,1/((#REF!=dec!$A22)*(#REF!&lt;=dec!AG$3)*(#REF!&gt;=dec!AG$3)),#REF!),IF(WEEKDAY(dec!AG$3,1)=1,"WO","P"))</f>
        <v>P</v>
      </c>
      <c r="AH22" s="4" t="str">
        <f>IFERROR(LOOKUP(2,1/((#REF!=dec!$A22)*(#REF!&lt;=dec!AH$3)*(#REF!&gt;=dec!AH$3)),#REF!),IF(WEEKDAY(dec!AH$3,1)=1,"WO","P"))</f>
        <v>P</v>
      </c>
      <c r="AI22" s="4" t="str">
        <f>IFERROR(LOOKUP(2,1/((#REF!=dec!$A22)*(#REF!&lt;=dec!AI$3)*(#REF!&gt;=dec!AI$3)),#REF!),IF(WEEKDAY(dec!AI$3,1)=1,"WO","P"))</f>
        <v>P</v>
      </c>
      <c r="AJ22" s="4" t="str">
        <f>IFERROR(LOOKUP(2,1/((#REF!=dec!$A22)*(#REF!&lt;=dec!AJ$3)*(#REF!&gt;=dec!AJ$3)),#REF!),IF(WEEKDAY(dec!AJ$3,1)=1,"WO","P"))</f>
        <v>P</v>
      </c>
      <c r="AK22" s="4">
        <f>COUNTIF(mar!$F22:$AJ22,"WO")</f>
        <v>5</v>
      </c>
      <c r="AL22" s="4">
        <f>COUNTIF(mar!$F22:$AJ22,"H")</f>
        <v>2</v>
      </c>
      <c r="AM22" s="4">
        <f>COUNTIF(mar!$F22:$AJ22,"pl")</f>
        <v>0</v>
      </c>
      <c r="AN22" s="4">
        <f>COUNTIF(mar!$F22:$AJ22,"LWP")</f>
        <v>0</v>
      </c>
      <c r="AO22" s="4">
        <f>COUNTIF(mar!$F22:$AJ22,"HD")</f>
        <v>0</v>
      </c>
      <c r="AP22" s="4">
        <f>COUNTIF(mar!$F22:$AJ22,"SL")</f>
        <v>0</v>
      </c>
      <c r="AQ22" s="4">
        <f>COUNTIF(mar!$F22:$AJ22,"CL")</f>
        <v>0</v>
      </c>
      <c r="AR22" s="4">
        <f>COUNTIF(mar!$F22:$AJ22,"A")</f>
        <v>1</v>
      </c>
      <c r="AS22" s="4">
        <f>COUNTIF(mar!$F22:$AJ22,"P")</f>
        <v>23</v>
      </c>
      <c r="AT22" s="4">
        <f t="shared" si="2"/>
        <v>31</v>
      </c>
      <c r="AU22" s="4">
        <f t="shared" si="3"/>
        <v>30</v>
      </c>
      <c r="AV22" s="4">
        <f>SUMIFS(holly!$L$2:$L$122,holly!$I$2:$I$122,mar!$A22,holly!$K$2:$K$122,"Mar")</f>
        <v>1</v>
      </c>
    </row>
    <row r="23" spans="1:48" ht="15.75" x14ac:dyDescent="0.25">
      <c r="A23" s="4" t="s">
        <v>44</v>
      </c>
      <c r="B23" s="4" t="str">
        <f>VLOOKUP($A23,Master!$A$2:$K$52,2,0)</f>
        <v>Employee19</v>
      </c>
      <c r="C23" s="4" t="str">
        <f>VLOOKUP($A23,Master!$A$2:$K$52,3,0)</f>
        <v>Female</v>
      </c>
      <c r="D23" s="4" t="str">
        <f>VLOOKUP($A23,Master!$A$2:$K$52,5,0)</f>
        <v>Production</v>
      </c>
      <c r="E23" s="4" t="str">
        <f>VLOOKUP($A23,Master!$A$2:$K$52,6,0)</f>
        <v>Senior Operator</v>
      </c>
      <c r="F23" s="4" t="str">
        <f>IFERROR(LOOKUP(2,1/((#REF!=dec!$A23)*(#REF!&lt;=dec!F$3)*(#REF!&gt;=dec!F$3)),#REF!),IF(WEEKDAY(dec!F$3,1)=1,"WO","P"))</f>
        <v>P</v>
      </c>
      <c r="G23" s="4" t="str">
        <f>IFERROR(LOOKUP(2,1/((#REF!=dec!$A23)*(#REF!&lt;=dec!G$3)*(#REF!&gt;=dec!G$3)),#REF!),IF(WEEKDAY(dec!G$3,1)=1,"WO","P"))</f>
        <v>P</v>
      </c>
      <c r="H23" s="4" t="str">
        <f>IFERROR(LOOKUP(2,1/((#REF!=dec!$A23)*(#REF!&lt;=dec!H$3)*(#REF!&gt;=dec!H$3)),#REF!),IF(WEEKDAY(dec!H$3,1)=1,"WO","P"))</f>
        <v>P</v>
      </c>
      <c r="I23" s="4" t="str">
        <f>IFERROR(LOOKUP(2,1/((#REF!=dec!$A23)*(#REF!&lt;=dec!I$3)*(#REF!&gt;=dec!I$3)),#REF!),IF(WEEKDAY(dec!I$3,1)=1,"WO","P"))</f>
        <v>P</v>
      </c>
      <c r="J23" s="4" t="str">
        <f>IFERROR(LOOKUP(2,1/((#REF!=dec!$A23)*(#REF!&lt;=dec!J$3)*(#REF!&gt;=dec!J$3)),#REF!),IF(WEEKDAY(dec!J$3,1)=1,"WO","P"))</f>
        <v>P</v>
      </c>
      <c r="K23" s="4" t="str">
        <f>IFERROR(LOOKUP(2,1/((#REF!=dec!$A23)*(#REF!&lt;=dec!K$3)*(#REF!&gt;=dec!K$3)),#REF!),IF(WEEKDAY(dec!K$3,1)=1,"WO","P"))</f>
        <v>WO</v>
      </c>
      <c r="L23" s="4" t="str">
        <f>IFERROR(LOOKUP(2,1/((#REF!=dec!$A23)*(#REF!&lt;=dec!L$3)*(#REF!&gt;=dec!L$3)),#REF!),IF(WEEKDAY(dec!L$3,1)=1,"WO","P"))</f>
        <v>P</v>
      </c>
      <c r="M23" s="4" t="str">
        <f>IFERROR(LOOKUP(2,1/((#REF!=dec!$A23)*(#REF!&lt;=dec!M$3)*(#REF!&gt;=dec!M$3)),#REF!),IF(WEEKDAY(dec!M$3,1)=1,"WO","P"))</f>
        <v>P</v>
      </c>
      <c r="N23" s="4" t="str">
        <f>IFERROR(LOOKUP(2,1/((#REF!=dec!$A23)*(#REF!&lt;=dec!N$3)*(#REF!&gt;=dec!N$3)),#REF!),IF(WEEKDAY(dec!N$3,1)=1,"WO","P"))</f>
        <v>P</v>
      </c>
      <c r="O23" s="4" t="str">
        <f>IFERROR(LOOKUP(2,1/((#REF!=dec!$A23)*(#REF!&lt;=dec!O$3)*(#REF!&gt;=dec!O$3)),#REF!),IF(WEEKDAY(dec!O$3,1)=1,"WO","P"))</f>
        <v>P</v>
      </c>
      <c r="P23" s="4" t="str">
        <f>IFERROR(LOOKUP(2,1/((#REF!=dec!$A23)*(#REF!&lt;=dec!P$3)*(#REF!&gt;=dec!P$3)),#REF!),IF(WEEKDAY(dec!P$3,1)=1,"WO","P"))</f>
        <v>P</v>
      </c>
      <c r="Q23" s="4" t="str">
        <f>IFERROR(LOOKUP(2,1/((#REF!=dec!$A23)*(#REF!&lt;=dec!Q$3)*(#REF!&gt;=dec!Q$3)),#REF!),IF(WEEKDAY(dec!Q$3,1)=1,"WO","P"))</f>
        <v>P</v>
      </c>
      <c r="R23" s="4" t="str">
        <f>IFERROR(LOOKUP(2,1/((#REF!=dec!$A23)*(#REF!&lt;=dec!R$3)*(#REF!&gt;=dec!R$3)),#REF!),IF(WEEKDAY(dec!R$3,1)=1,"WO","P"))</f>
        <v>WO</v>
      </c>
      <c r="S23" s="4" t="str">
        <f>IFERROR(LOOKUP(2,1/((#REF!=dec!$A23)*(#REF!&lt;=dec!S$3)*(#REF!&gt;=dec!S$3)),#REF!),IF(WEEKDAY(dec!S$3,1)=1,"WO","P"))</f>
        <v>P</v>
      </c>
      <c r="T23" s="4" t="str">
        <f>IFERROR(LOOKUP(2,1/((#REF!=dec!$A23)*(#REF!&lt;=dec!T$3)*(#REF!&gt;=dec!T$3)),#REF!),IF(WEEKDAY(dec!T$3,1)=1,"WO","P"))</f>
        <v>P</v>
      </c>
      <c r="U23" s="4" t="str">
        <f>IFERROR(LOOKUP(2,1/((#REF!=dec!$A23)*(#REF!&lt;=dec!U$3)*(#REF!&gt;=dec!U$3)),#REF!),IF(WEEKDAY(dec!U$3,1)=1,"WO","P"))</f>
        <v>P</v>
      </c>
      <c r="V23" s="4" t="str">
        <f>IFERROR(LOOKUP(2,1/((#REF!=dec!$A23)*(#REF!&lt;=dec!V$3)*(#REF!&gt;=dec!V$3)),#REF!),IF(WEEKDAY(dec!V$3,1)=1,"WO","P"))</f>
        <v>P</v>
      </c>
      <c r="W23" s="4" t="str">
        <f>IFERROR(LOOKUP(2,1/((#REF!=dec!$A23)*(#REF!&lt;=dec!W$3)*(#REF!&gt;=dec!W$3)),#REF!),IF(WEEKDAY(dec!W$3,1)=1,"WO","P"))</f>
        <v>P</v>
      </c>
      <c r="X23" s="4" t="str">
        <f>IFERROR(LOOKUP(2,1/((#REF!=dec!$A23)*(#REF!&lt;=dec!X$3)*(#REF!&gt;=dec!X$3)),#REF!),IF(WEEKDAY(dec!X$3,1)=1,"WO","P"))</f>
        <v>P</v>
      </c>
      <c r="Y23" s="4" t="str">
        <f>IFERROR(LOOKUP(2,1/((#REF!=dec!$A23)*(#REF!&lt;=dec!Y$3)*(#REF!&gt;=dec!Y$3)),#REF!),IF(WEEKDAY(dec!Y$3,1)=1,"WO","P"))</f>
        <v>WO</v>
      </c>
      <c r="Z23" s="4" t="str">
        <f>IFERROR(LOOKUP(2,1/((#REF!=dec!$A23)*(#REF!&lt;=dec!Z$3)*(#REF!&gt;=dec!Z$3)),#REF!),IF(WEEKDAY(dec!Z$3,1)=1,"WO","P"))</f>
        <v>P</v>
      </c>
      <c r="AA23" s="4" t="str">
        <f>IFERROR(LOOKUP(2,1/((#REF!=dec!$A23)*(#REF!&lt;=dec!AA$3)*(#REF!&gt;=dec!AA$3)),#REF!),IF(WEEKDAY(dec!AA$3,1)=1,"WO","P"))</f>
        <v>P</v>
      </c>
      <c r="AB23" s="4" t="str">
        <f>IFERROR(LOOKUP(2,1/((#REF!=dec!$A23)*(#REF!&lt;=dec!AB$3)*(#REF!&gt;=dec!AB$3)),#REF!),IF(WEEKDAY(dec!AB$3,1)=1,"WO","P"))</f>
        <v>P</v>
      </c>
      <c r="AC23" s="4" t="str">
        <f>IFERROR(LOOKUP(2,1/((#REF!=dec!$A23)*(#REF!&lt;=dec!AC$3)*(#REF!&gt;=dec!AC$3)),#REF!),IF(WEEKDAY(dec!AC$3,1)=1,"WO","P"))</f>
        <v>P</v>
      </c>
      <c r="AD23" s="4" t="str">
        <f>IFERROR(LOOKUP(2,1/((#REF!=dec!$A23)*(#REF!&lt;=dec!AD$3)*(#REF!&gt;=dec!AD$3)),#REF!),IF(WEEKDAY(dec!AD$3,1)=1,"WO","P"))</f>
        <v>P</v>
      </c>
      <c r="AE23" s="4" t="str">
        <f>IFERROR(LOOKUP(2,1/((#REF!=dec!$A23)*(#REF!&lt;=dec!AE$3)*(#REF!&gt;=dec!AE$3)),#REF!),IF(WEEKDAY(dec!AE$3,1)=1,"WO","P"))</f>
        <v>P</v>
      </c>
      <c r="AF23" s="4" t="str">
        <f>IFERROR(LOOKUP(2,1/((#REF!=dec!$A23)*(#REF!&lt;=dec!AF$3)*(#REF!&gt;=dec!AF$3)),#REF!),IF(WEEKDAY(dec!AF$3,1)=1,"WO","P"))</f>
        <v>WO</v>
      </c>
      <c r="AG23" s="4" t="str">
        <f>IFERROR(LOOKUP(2,1/((#REF!=dec!$A23)*(#REF!&lt;=dec!AG$3)*(#REF!&gt;=dec!AG$3)),#REF!),IF(WEEKDAY(dec!AG$3,1)=1,"WO","P"))</f>
        <v>P</v>
      </c>
      <c r="AH23" s="4" t="str">
        <f>IFERROR(LOOKUP(2,1/((#REF!=dec!$A23)*(#REF!&lt;=dec!AH$3)*(#REF!&gt;=dec!AH$3)),#REF!),IF(WEEKDAY(dec!AH$3,1)=1,"WO","P"))</f>
        <v>P</v>
      </c>
      <c r="AI23" s="4" t="str">
        <f>IFERROR(LOOKUP(2,1/((#REF!=dec!$A23)*(#REF!&lt;=dec!AI$3)*(#REF!&gt;=dec!AI$3)),#REF!),IF(WEEKDAY(dec!AI$3,1)=1,"WO","P"))</f>
        <v>P</v>
      </c>
      <c r="AJ23" s="4" t="str">
        <f>IFERROR(LOOKUP(2,1/((#REF!=dec!$A23)*(#REF!&lt;=dec!AJ$3)*(#REF!&gt;=dec!AJ$3)),#REF!),IF(WEEKDAY(dec!AJ$3,1)=1,"WO","P"))</f>
        <v>P</v>
      </c>
      <c r="AK23" s="4">
        <f>COUNTIF(mar!$F23:$AJ23,"WO")</f>
        <v>5</v>
      </c>
      <c r="AL23" s="4">
        <f>COUNTIF(mar!$F23:$AJ23,"H")</f>
        <v>2</v>
      </c>
      <c r="AM23" s="4">
        <f>COUNTIF(mar!$F23:$AJ23,"pl")</f>
        <v>0</v>
      </c>
      <c r="AN23" s="4">
        <f>COUNTIF(mar!$F23:$AJ23,"LWP")</f>
        <v>0</v>
      </c>
      <c r="AO23" s="4">
        <f>COUNTIF(mar!$F23:$AJ23,"HD")</f>
        <v>0</v>
      </c>
      <c r="AP23" s="4">
        <f>COUNTIF(mar!$F23:$AJ23,"SL")</f>
        <v>0</v>
      </c>
      <c r="AQ23" s="4">
        <f>COUNTIF(mar!$F23:$AJ23,"CL")</f>
        <v>0</v>
      </c>
      <c r="AR23" s="4">
        <f>COUNTIF(mar!$F23:$AJ23,"A")</f>
        <v>0</v>
      </c>
      <c r="AS23" s="4">
        <f>COUNTIF(mar!$F23:$AJ23,"P")</f>
        <v>24</v>
      </c>
      <c r="AT23" s="4">
        <f t="shared" si="2"/>
        <v>31</v>
      </c>
      <c r="AU23" s="4">
        <f t="shared" si="3"/>
        <v>31</v>
      </c>
      <c r="AV23" s="4">
        <f>SUMIFS(holly!$L$2:$L$122,holly!$I$2:$I$122,mar!$A23,holly!$K$2:$K$122,"Mar")</f>
        <v>0</v>
      </c>
    </row>
    <row r="24" spans="1:48" ht="15.75" x14ac:dyDescent="0.25">
      <c r="A24" s="4" t="s">
        <v>45</v>
      </c>
      <c r="B24" s="4" t="str">
        <f>VLOOKUP($A24,Master!$A$2:$K$52,2,0)</f>
        <v>Employee20</v>
      </c>
      <c r="C24" s="4" t="str">
        <f>VLOOKUP($A24,Master!$A$2:$K$52,3,0)</f>
        <v>Male</v>
      </c>
      <c r="D24" s="4" t="str">
        <f>VLOOKUP($A24,Master!$A$2:$K$52,5,0)</f>
        <v>Production</v>
      </c>
      <c r="E24" s="4" t="str">
        <f>VLOOKUP($A24,Master!$A$2:$K$52,6,0)</f>
        <v>Senior Operator</v>
      </c>
      <c r="F24" s="4" t="str">
        <f>IFERROR(LOOKUP(2,1/((#REF!=dec!$A24)*(#REF!&lt;=dec!F$3)*(#REF!&gt;=dec!F$3)),#REF!),IF(WEEKDAY(dec!F$3,1)=1,"WO","P"))</f>
        <v>P</v>
      </c>
      <c r="G24" s="4" t="str">
        <f>IFERROR(LOOKUP(2,1/((#REF!=dec!$A24)*(#REF!&lt;=dec!G$3)*(#REF!&gt;=dec!G$3)),#REF!),IF(WEEKDAY(dec!G$3,1)=1,"WO","P"))</f>
        <v>P</v>
      </c>
      <c r="H24" s="4" t="str">
        <f>IFERROR(LOOKUP(2,1/((#REF!=dec!$A24)*(#REF!&lt;=dec!H$3)*(#REF!&gt;=dec!H$3)),#REF!),IF(WEEKDAY(dec!H$3,1)=1,"WO","P"))</f>
        <v>P</v>
      </c>
      <c r="I24" s="4" t="str">
        <f>IFERROR(LOOKUP(2,1/((#REF!=dec!$A24)*(#REF!&lt;=dec!I$3)*(#REF!&gt;=dec!I$3)),#REF!),IF(WEEKDAY(dec!I$3,1)=1,"WO","P"))</f>
        <v>P</v>
      </c>
      <c r="J24" s="4" t="str">
        <f>IFERROR(LOOKUP(2,1/((#REF!=dec!$A24)*(#REF!&lt;=dec!J$3)*(#REF!&gt;=dec!J$3)),#REF!),IF(WEEKDAY(dec!J$3,1)=1,"WO","P"))</f>
        <v>P</v>
      </c>
      <c r="K24" s="4" t="str">
        <f>IFERROR(LOOKUP(2,1/((#REF!=dec!$A24)*(#REF!&lt;=dec!K$3)*(#REF!&gt;=dec!K$3)),#REF!),IF(WEEKDAY(dec!K$3,1)=1,"WO","P"))</f>
        <v>WO</v>
      </c>
      <c r="L24" s="4" t="str">
        <f>IFERROR(LOOKUP(2,1/((#REF!=dec!$A24)*(#REF!&lt;=dec!L$3)*(#REF!&gt;=dec!L$3)),#REF!),IF(WEEKDAY(dec!L$3,1)=1,"WO","P"))</f>
        <v>P</v>
      </c>
      <c r="M24" s="4" t="str">
        <f>IFERROR(LOOKUP(2,1/((#REF!=dec!$A24)*(#REF!&lt;=dec!M$3)*(#REF!&gt;=dec!M$3)),#REF!),IF(WEEKDAY(dec!M$3,1)=1,"WO","P"))</f>
        <v>P</v>
      </c>
      <c r="N24" s="4" t="str">
        <f>IFERROR(LOOKUP(2,1/((#REF!=dec!$A24)*(#REF!&lt;=dec!N$3)*(#REF!&gt;=dec!N$3)),#REF!),IF(WEEKDAY(dec!N$3,1)=1,"WO","P"))</f>
        <v>P</v>
      </c>
      <c r="O24" s="4" t="str">
        <f>IFERROR(LOOKUP(2,1/((#REF!=dec!$A24)*(#REF!&lt;=dec!O$3)*(#REF!&gt;=dec!O$3)),#REF!),IF(WEEKDAY(dec!O$3,1)=1,"WO","P"))</f>
        <v>P</v>
      </c>
      <c r="P24" s="4" t="str">
        <f>IFERROR(LOOKUP(2,1/((#REF!=dec!$A24)*(#REF!&lt;=dec!P$3)*(#REF!&gt;=dec!P$3)),#REF!),IF(WEEKDAY(dec!P$3,1)=1,"WO","P"))</f>
        <v>P</v>
      </c>
      <c r="Q24" s="4" t="str">
        <f>IFERROR(LOOKUP(2,1/((#REF!=dec!$A24)*(#REF!&lt;=dec!Q$3)*(#REF!&gt;=dec!Q$3)),#REF!),IF(WEEKDAY(dec!Q$3,1)=1,"WO","P"))</f>
        <v>P</v>
      </c>
      <c r="R24" s="4" t="str">
        <f>IFERROR(LOOKUP(2,1/((#REF!=dec!$A24)*(#REF!&lt;=dec!R$3)*(#REF!&gt;=dec!R$3)),#REF!),IF(WEEKDAY(dec!R$3,1)=1,"WO","P"))</f>
        <v>WO</v>
      </c>
      <c r="S24" s="4" t="str">
        <f>IFERROR(LOOKUP(2,1/((#REF!=dec!$A24)*(#REF!&lt;=dec!S$3)*(#REF!&gt;=dec!S$3)),#REF!),IF(WEEKDAY(dec!S$3,1)=1,"WO","P"))</f>
        <v>P</v>
      </c>
      <c r="T24" s="4" t="str">
        <f>IFERROR(LOOKUP(2,1/((#REF!=dec!$A24)*(#REF!&lt;=dec!T$3)*(#REF!&gt;=dec!T$3)),#REF!),IF(WEEKDAY(dec!T$3,1)=1,"WO","P"))</f>
        <v>P</v>
      </c>
      <c r="U24" s="4" t="str">
        <f>IFERROR(LOOKUP(2,1/((#REF!=dec!$A24)*(#REF!&lt;=dec!U$3)*(#REF!&gt;=dec!U$3)),#REF!),IF(WEEKDAY(dec!U$3,1)=1,"WO","P"))</f>
        <v>P</v>
      </c>
      <c r="V24" s="4" t="str">
        <f>IFERROR(LOOKUP(2,1/((#REF!=dec!$A24)*(#REF!&lt;=dec!V$3)*(#REF!&gt;=dec!V$3)),#REF!),IF(WEEKDAY(dec!V$3,1)=1,"WO","P"))</f>
        <v>P</v>
      </c>
      <c r="W24" s="4" t="str">
        <f>IFERROR(LOOKUP(2,1/((#REF!=dec!$A24)*(#REF!&lt;=dec!W$3)*(#REF!&gt;=dec!W$3)),#REF!),IF(WEEKDAY(dec!W$3,1)=1,"WO","P"))</f>
        <v>P</v>
      </c>
      <c r="X24" s="4" t="str">
        <f>IFERROR(LOOKUP(2,1/((#REF!=dec!$A24)*(#REF!&lt;=dec!X$3)*(#REF!&gt;=dec!X$3)),#REF!),IF(WEEKDAY(dec!X$3,1)=1,"WO","P"))</f>
        <v>P</v>
      </c>
      <c r="Y24" s="4" t="str">
        <f>IFERROR(LOOKUP(2,1/((#REF!=dec!$A24)*(#REF!&lt;=dec!Y$3)*(#REF!&gt;=dec!Y$3)),#REF!),IF(WEEKDAY(dec!Y$3,1)=1,"WO","P"))</f>
        <v>WO</v>
      </c>
      <c r="Z24" s="4" t="str">
        <f>IFERROR(LOOKUP(2,1/((#REF!=dec!$A24)*(#REF!&lt;=dec!Z$3)*(#REF!&gt;=dec!Z$3)),#REF!),IF(WEEKDAY(dec!Z$3,1)=1,"WO","P"))</f>
        <v>P</v>
      </c>
      <c r="AA24" s="4" t="str">
        <f>IFERROR(LOOKUP(2,1/((#REF!=dec!$A24)*(#REF!&lt;=dec!AA$3)*(#REF!&gt;=dec!AA$3)),#REF!),IF(WEEKDAY(dec!AA$3,1)=1,"WO","P"))</f>
        <v>P</v>
      </c>
      <c r="AB24" s="4" t="str">
        <f>IFERROR(LOOKUP(2,1/((#REF!=dec!$A24)*(#REF!&lt;=dec!AB$3)*(#REF!&gt;=dec!AB$3)),#REF!),IF(WEEKDAY(dec!AB$3,1)=1,"WO","P"))</f>
        <v>P</v>
      </c>
      <c r="AC24" s="4" t="str">
        <f>IFERROR(LOOKUP(2,1/((#REF!=dec!$A24)*(#REF!&lt;=dec!AC$3)*(#REF!&gt;=dec!AC$3)),#REF!),IF(WEEKDAY(dec!AC$3,1)=1,"WO","P"))</f>
        <v>P</v>
      </c>
      <c r="AD24" s="4" t="str">
        <f>IFERROR(LOOKUP(2,1/((#REF!=dec!$A24)*(#REF!&lt;=dec!AD$3)*(#REF!&gt;=dec!AD$3)),#REF!),IF(WEEKDAY(dec!AD$3,1)=1,"WO","P"))</f>
        <v>P</v>
      </c>
      <c r="AE24" s="4" t="str">
        <f>IFERROR(LOOKUP(2,1/((#REF!=dec!$A24)*(#REF!&lt;=dec!AE$3)*(#REF!&gt;=dec!AE$3)),#REF!),IF(WEEKDAY(dec!AE$3,1)=1,"WO","P"))</f>
        <v>P</v>
      </c>
      <c r="AF24" s="4" t="str">
        <f>IFERROR(LOOKUP(2,1/((#REF!=dec!$A24)*(#REF!&lt;=dec!AF$3)*(#REF!&gt;=dec!AF$3)),#REF!),IF(WEEKDAY(dec!AF$3,1)=1,"WO","P"))</f>
        <v>WO</v>
      </c>
      <c r="AG24" s="4" t="str">
        <f>IFERROR(LOOKUP(2,1/((#REF!=dec!$A24)*(#REF!&lt;=dec!AG$3)*(#REF!&gt;=dec!AG$3)),#REF!),IF(WEEKDAY(dec!AG$3,1)=1,"WO","P"))</f>
        <v>P</v>
      </c>
      <c r="AH24" s="4" t="str">
        <f>IFERROR(LOOKUP(2,1/((#REF!=dec!$A24)*(#REF!&lt;=dec!AH$3)*(#REF!&gt;=dec!AH$3)),#REF!),IF(WEEKDAY(dec!AH$3,1)=1,"WO","P"))</f>
        <v>P</v>
      </c>
      <c r="AI24" s="4" t="str">
        <f>IFERROR(LOOKUP(2,1/((#REF!=dec!$A24)*(#REF!&lt;=dec!AI$3)*(#REF!&gt;=dec!AI$3)),#REF!),IF(WEEKDAY(dec!AI$3,1)=1,"WO","P"))</f>
        <v>P</v>
      </c>
      <c r="AJ24" s="4" t="str">
        <f>IFERROR(LOOKUP(2,1/((#REF!=dec!$A24)*(#REF!&lt;=dec!AJ$3)*(#REF!&gt;=dec!AJ$3)),#REF!),IF(WEEKDAY(dec!AJ$3,1)=1,"WO","P"))</f>
        <v>P</v>
      </c>
      <c r="AK24" s="4">
        <f>COUNTIF(mar!$F24:$AJ24,"WO")</f>
        <v>5</v>
      </c>
      <c r="AL24" s="4">
        <f>COUNTIF(mar!$F24:$AJ24,"H")</f>
        <v>2</v>
      </c>
      <c r="AM24" s="4">
        <f>COUNTIF(mar!$F24:$AJ24,"pl")</f>
        <v>0</v>
      </c>
      <c r="AN24" s="4">
        <f>COUNTIF(mar!$F24:$AJ24,"LWP")</f>
        <v>0</v>
      </c>
      <c r="AO24" s="4">
        <f>COUNTIF(mar!$F24:$AJ24,"HD")</f>
        <v>0</v>
      </c>
      <c r="AP24" s="4">
        <f>COUNTIF(mar!$F24:$AJ24,"SL")</f>
        <v>0</v>
      </c>
      <c r="AQ24" s="4">
        <f>COUNTIF(mar!$F24:$AJ24,"CL")</f>
        <v>0</v>
      </c>
      <c r="AR24" s="4">
        <f>COUNTIF(mar!$F24:$AJ24,"A")</f>
        <v>1</v>
      </c>
      <c r="AS24" s="4">
        <f>COUNTIF(mar!$F24:$AJ24,"P")</f>
        <v>23</v>
      </c>
      <c r="AT24" s="4">
        <f t="shared" si="2"/>
        <v>31</v>
      </c>
      <c r="AU24" s="4">
        <f t="shared" si="3"/>
        <v>30</v>
      </c>
      <c r="AV24" s="4">
        <f>SUMIFS(holly!$L$2:$L$122,holly!$I$2:$I$122,mar!$A24,holly!$K$2:$K$122,"Mar")</f>
        <v>0</v>
      </c>
    </row>
    <row r="25" spans="1:48" ht="15.75" x14ac:dyDescent="0.25">
      <c r="A25" s="4" t="s">
        <v>46</v>
      </c>
      <c r="B25" s="4" t="str">
        <f>VLOOKUP($A25,Master!$A$2:$K$52,2,0)</f>
        <v>Employee21</v>
      </c>
      <c r="C25" s="4" t="str">
        <f>VLOOKUP($A25,Master!$A$2:$K$52,3,0)</f>
        <v>Male</v>
      </c>
      <c r="D25" s="4" t="str">
        <f>VLOOKUP($A25,Master!$A$2:$K$52,5,0)</f>
        <v>Production</v>
      </c>
      <c r="E25" s="4" t="str">
        <f>VLOOKUP($A25,Master!$A$2:$K$52,6,0)</f>
        <v>Supervisor</v>
      </c>
      <c r="F25" s="4" t="str">
        <f>IFERROR(LOOKUP(2,1/((#REF!=dec!$A25)*(#REF!&lt;=dec!F$3)*(#REF!&gt;=dec!F$3)),#REF!),IF(WEEKDAY(dec!F$3,1)=1,"WO","P"))</f>
        <v>P</v>
      </c>
      <c r="G25" s="4" t="str">
        <f>IFERROR(LOOKUP(2,1/((#REF!=dec!$A25)*(#REF!&lt;=dec!G$3)*(#REF!&gt;=dec!G$3)),#REF!),IF(WEEKDAY(dec!G$3,1)=1,"WO","P"))</f>
        <v>P</v>
      </c>
      <c r="H25" s="4" t="str">
        <f>IFERROR(LOOKUP(2,1/((#REF!=dec!$A25)*(#REF!&lt;=dec!H$3)*(#REF!&gt;=dec!H$3)),#REF!),IF(WEEKDAY(dec!H$3,1)=1,"WO","P"))</f>
        <v>P</v>
      </c>
      <c r="I25" s="4" t="str">
        <f>IFERROR(LOOKUP(2,1/((#REF!=dec!$A25)*(#REF!&lt;=dec!I$3)*(#REF!&gt;=dec!I$3)),#REF!),IF(WEEKDAY(dec!I$3,1)=1,"WO","P"))</f>
        <v>P</v>
      </c>
      <c r="J25" s="4" t="str">
        <f>IFERROR(LOOKUP(2,1/((#REF!=dec!$A25)*(#REF!&lt;=dec!J$3)*(#REF!&gt;=dec!J$3)),#REF!),IF(WEEKDAY(dec!J$3,1)=1,"WO","P"))</f>
        <v>P</v>
      </c>
      <c r="K25" s="4" t="str">
        <f>IFERROR(LOOKUP(2,1/((#REF!=dec!$A25)*(#REF!&lt;=dec!K$3)*(#REF!&gt;=dec!K$3)),#REF!),IF(WEEKDAY(dec!K$3,1)=1,"WO","P"))</f>
        <v>WO</v>
      </c>
      <c r="L25" s="4" t="str">
        <f>IFERROR(LOOKUP(2,1/((#REF!=dec!$A25)*(#REF!&lt;=dec!L$3)*(#REF!&gt;=dec!L$3)),#REF!),IF(WEEKDAY(dec!L$3,1)=1,"WO","P"))</f>
        <v>P</v>
      </c>
      <c r="M25" s="4" t="str">
        <f>IFERROR(LOOKUP(2,1/((#REF!=dec!$A25)*(#REF!&lt;=dec!M$3)*(#REF!&gt;=dec!M$3)),#REF!),IF(WEEKDAY(dec!M$3,1)=1,"WO","P"))</f>
        <v>P</v>
      </c>
      <c r="N25" s="4" t="str">
        <f>IFERROR(LOOKUP(2,1/((#REF!=dec!$A25)*(#REF!&lt;=dec!N$3)*(#REF!&gt;=dec!N$3)),#REF!),IF(WEEKDAY(dec!N$3,1)=1,"WO","P"))</f>
        <v>P</v>
      </c>
      <c r="O25" s="4" t="str">
        <f>IFERROR(LOOKUP(2,1/((#REF!=dec!$A25)*(#REF!&lt;=dec!O$3)*(#REF!&gt;=dec!O$3)),#REF!),IF(WEEKDAY(dec!O$3,1)=1,"WO","P"))</f>
        <v>P</v>
      </c>
      <c r="P25" s="4" t="str">
        <f>IFERROR(LOOKUP(2,1/((#REF!=dec!$A25)*(#REF!&lt;=dec!P$3)*(#REF!&gt;=dec!P$3)),#REF!),IF(WEEKDAY(dec!P$3,1)=1,"WO","P"))</f>
        <v>P</v>
      </c>
      <c r="Q25" s="4" t="str">
        <f>IFERROR(LOOKUP(2,1/((#REF!=dec!$A25)*(#REF!&lt;=dec!Q$3)*(#REF!&gt;=dec!Q$3)),#REF!),IF(WEEKDAY(dec!Q$3,1)=1,"WO","P"))</f>
        <v>P</v>
      </c>
      <c r="R25" s="4" t="str">
        <f>IFERROR(LOOKUP(2,1/((#REF!=dec!$A25)*(#REF!&lt;=dec!R$3)*(#REF!&gt;=dec!R$3)),#REF!),IF(WEEKDAY(dec!R$3,1)=1,"WO","P"))</f>
        <v>WO</v>
      </c>
      <c r="S25" s="4" t="str">
        <f>IFERROR(LOOKUP(2,1/((#REF!=dec!$A25)*(#REF!&lt;=dec!S$3)*(#REF!&gt;=dec!S$3)),#REF!),IF(WEEKDAY(dec!S$3,1)=1,"WO","P"))</f>
        <v>P</v>
      </c>
      <c r="T25" s="4" t="str">
        <f>IFERROR(LOOKUP(2,1/((#REF!=dec!$A25)*(#REF!&lt;=dec!T$3)*(#REF!&gt;=dec!T$3)),#REF!),IF(WEEKDAY(dec!T$3,1)=1,"WO","P"))</f>
        <v>P</v>
      </c>
      <c r="U25" s="4" t="str">
        <f>IFERROR(LOOKUP(2,1/((#REF!=dec!$A25)*(#REF!&lt;=dec!U$3)*(#REF!&gt;=dec!U$3)),#REF!),IF(WEEKDAY(dec!U$3,1)=1,"WO","P"))</f>
        <v>P</v>
      </c>
      <c r="V25" s="4" t="str">
        <f>IFERROR(LOOKUP(2,1/((#REF!=dec!$A25)*(#REF!&lt;=dec!V$3)*(#REF!&gt;=dec!V$3)),#REF!),IF(WEEKDAY(dec!V$3,1)=1,"WO","P"))</f>
        <v>P</v>
      </c>
      <c r="W25" s="4" t="str">
        <f>IFERROR(LOOKUP(2,1/((#REF!=dec!$A25)*(#REF!&lt;=dec!W$3)*(#REF!&gt;=dec!W$3)),#REF!),IF(WEEKDAY(dec!W$3,1)=1,"WO","P"))</f>
        <v>P</v>
      </c>
      <c r="X25" s="4" t="str">
        <f>IFERROR(LOOKUP(2,1/((#REF!=dec!$A25)*(#REF!&lt;=dec!X$3)*(#REF!&gt;=dec!X$3)),#REF!),IF(WEEKDAY(dec!X$3,1)=1,"WO","P"))</f>
        <v>P</v>
      </c>
      <c r="Y25" s="4" t="str">
        <f>IFERROR(LOOKUP(2,1/((#REF!=dec!$A25)*(#REF!&lt;=dec!Y$3)*(#REF!&gt;=dec!Y$3)),#REF!),IF(WEEKDAY(dec!Y$3,1)=1,"WO","P"))</f>
        <v>WO</v>
      </c>
      <c r="Z25" s="4" t="str">
        <f>IFERROR(LOOKUP(2,1/((#REF!=dec!$A25)*(#REF!&lt;=dec!Z$3)*(#REF!&gt;=dec!Z$3)),#REF!),IF(WEEKDAY(dec!Z$3,1)=1,"WO","P"))</f>
        <v>P</v>
      </c>
      <c r="AA25" s="4" t="str">
        <f>IFERROR(LOOKUP(2,1/((#REF!=dec!$A25)*(#REF!&lt;=dec!AA$3)*(#REF!&gt;=dec!AA$3)),#REF!),IF(WEEKDAY(dec!AA$3,1)=1,"WO","P"))</f>
        <v>P</v>
      </c>
      <c r="AB25" s="4" t="str">
        <f>IFERROR(LOOKUP(2,1/((#REF!=dec!$A25)*(#REF!&lt;=dec!AB$3)*(#REF!&gt;=dec!AB$3)),#REF!),IF(WEEKDAY(dec!AB$3,1)=1,"WO","P"))</f>
        <v>P</v>
      </c>
      <c r="AC25" s="4" t="str">
        <f>IFERROR(LOOKUP(2,1/((#REF!=dec!$A25)*(#REF!&lt;=dec!AC$3)*(#REF!&gt;=dec!AC$3)),#REF!),IF(WEEKDAY(dec!AC$3,1)=1,"WO","P"))</f>
        <v>P</v>
      </c>
      <c r="AD25" s="4" t="str">
        <f>IFERROR(LOOKUP(2,1/((#REF!=dec!$A25)*(#REF!&lt;=dec!AD$3)*(#REF!&gt;=dec!AD$3)),#REF!),IF(WEEKDAY(dec!AD$3,1)=1,"WO","P"))</f>
        <v>P</v>
      </c>
      <c r="AE25" s="4" t="str">
        <f>IFERROR(LOOKUP(2,1/((#REF!=dec!$A25)*(#REF!&lt;=dec!AE$3)*(#REF!&gt;=dec!AE$3)),#REF!),IF(WEEKDAY(dec!AE$3,1)=1,"WO","P"))</f>
        <v>P</v>
      </c>
      <c r="AF25" s="4" t="str">
        <f>IFERROR(LOOKUP(2,1/((#REF!=dec!$A25)*(#REF!&lt;=dec!AF$3)*(#REF!&gt;=dec!AF$3)),#REF!),IF(WEEKDAY(dec!AF$3,1)=1,"WO","P"))</f>
        <v>WO</v>
      </c>
      <c r="AG25" s="4" t="str">
        <f>IFERROR(LOOKUP(2,1/((#REF!=dec!$A25)*(#REF!&lt;=dec!AG$3)*(#REF!&gt;=dec!AG$3)),#REF!),IF(WEEKDAY(dec!AG$3,1)=1,"WO","P"))</f>
        <v>P</v>
      </c>
      <c r="AH25" s="4" t="str">
        <f>IFERROR(LOOKUP(2,1/((#REF!=dec!$A25)*(#REF!&lt;=dec!AH$3)*(#REF!&gt;=dec!AH$3)),#REF!),IF(WEEKDAY(dec!AH$3,1)=1,"WO","P"))</f>
        <v>P</v>
      </c>
      <c r="AI25" s="4" t="str">
        <f>IFERROR(LOOKUP(2,1/((#REF!=dec!$A25)*(#REF!&lt;=dec!AI$3)*(#REF!&gt;=dec!AI$3)),#REF!),IF(WEEKDAY(dec!AI$3,1)=1,"WO","P"))</f>
        <v>P</v>
      </c>
      <c r="AJ25" s="4" t="str">
        <f>IFERROR(LOOKUP(2,1/((#REF!=dec!$A25)*(#REF!&lt;=dec!AJ$3)*(#REF!&gt;=dec!AJ$3)),#REF!),IF(WEEKDAY(dec!AJ$3,1)=1,"WO","P"))</f>
        <v>P</v>
      </c>
      <c r="AK25" s="4">
        <f>COUNTIF(mar!$F25:$AJ25,"WO")</f>
        <v>5</v>
      </c>
      <c r="AL25" s="4">
        <f>COUNTIF(mar!$F25:$AJ25,"H")</f>
        <v>2</v>
      </c>
      <c r="AM25" s="4">
        <f>COUNTIF(mar!$F25:$AJ25,"pl")</f>
        <v>0</v>
      </c>
      <c r="AN25" s="4">
        <f>COUNTIF(mar!$F25:$AJ25,"LWP")</f>
        <v>0</v>
      </c>
      <c r="AO25" s="4">
        <f>COUNTIF(mar!$F25:$AJ25,"HD")</f>
        <v>0</v>
      </c>
      <c r="AP25" s="4">
        <f>COUNTIF(mar!$F25:$AJ25,"SL")</f>
        <v>0</v>
      </c>
      <c r="AQ25" s="4">
        <f>COUNTIF(mar!$F25:$AJ25,"CL")</f>
        <v>0</v>
      </c>
      <c r="AR25" s="4">
        <f>COUNTIF(mar!$F25:$AJ25,"A")</f>
        <v>2</v>
      </c>
      <c r="AS25" s="4">
        <f>COUNTIF(mar!$F25:$AJ25,"P")</f>
        <v>22</v>
      </c>
      <c r="AT25" s="4">
        <f t="shared" si="2"/>
        <v>31</v>
      </c>
      <c r="AU25" s="4">
        <f t="shared" si="3"/>
        <v>29</v>
      </c>
      <c r="AV25" s="4">
        <f>SUMIFS(holly!$L$2:$L$122,holly!$I$2:$I$122,mar!$A25,holly!$K$2:$K$122,"Mar")</f>
        <v>0</v>
      </c>
    </row>
    <row r="26" spans="1:48" ht="15.75" x14ac:dyDescent="0.25">
      <c r="A26" s="4" t="s">
        <v>47</v>
      </c>
      <c r="B26" s="4" t="str">
        <f>VLOOKUP($A26,Master!$A$2:$K$52,2,0)</f>
        <v>Employee22</v>
      </c>
      <c r="C26" s="4" t="str">
        <f>VLOOKUP($A26,Master!$A$2:$K$52,3,0)</f>
        <v>Male</v>
      </c>
      <c r="D26" s="4" t="str">
        <f>VLOOKUP($A26,Master!$A$2:$K$52,5,0)</f>
        <v>Production</v>
      </c>
      <c r="E26" s="4" t="str">
        <f>VLOOKUP($A26,Master!$A$2:$K$52,6,0)</f>
        <v>Supervisor</v>
      </c>
      <c r="F26" s="4" t="str">
        <f>IFERROR(LOOKUP(2,1/((#REF!=dec!$A26)*(#REF!&lt;=dec!F$3)*(#REF!&gt;=dec!F$3)),#REF!),IF(WEEKDAY(dec!F$3,1)=1,"WO","P"))</f>
        <v>P</v>
      </c>
      <c r="G26" s="4" t="str">
        <f>IFERROR(LOOKUP(2,1/((#REF!=dec!$A26)*(#REF!&lt;=dec!G$3)*(#REF!&gt;=dec!G$3)),#REF!),IF(WEEKDAY(dec!G$3,1)=1,"WO","P"))</f>
        <v>P</v>
      </c>
      <c r="H26" s="4" t="str">
        <f>IFERROR(LOOKUP(2,1/((#REF!=dec!$A26)*(#REF!&lt;=dec!H$3)*(#REF!&gt;=dec!H$3)),#REF!),IF(WEEKDAY(dec!H$3,1)=1,"WO","P"))</f>
        <v>P</v>
      </c>
      <c r="I26" s="4" t="str">
        <f>IFERROR(LOOKUP(2,1/((#REF!=dec!$A26)*(#REF!&lt;=dec!I$3)*(#REF!&gt;=dec!I$3)),#REF!),IF(WEEKDAY(dec!I$3,1)=1,"WO","P"))</f>
        <v>P</v>
      </c>
      <c r="J26" s="4" t="str">
        <f>IFERROR(LOOKUP(2,1/((#REF!=dec!$A26)*(#REF!&lt;=dec!J$3)*(#REF!&gt;=dec!J$3)),#REF!),IF(WEEKDAY(dec!J$3,1)=1,"WO","P"))</f>
        <v>P</v>
      </c>
      <c r="K26" s="4" t="str">
        <f>IFERROR(LOOKUP(2,1/((#REF!=dec!$A26)*(#REF!&lt;=dec!K$3)*(#REF!&gt;=dec!K$3)),#REF!),IF(WEEKDAY(dec!K$3,1)=1,"WO","P"))</f>
        <v>WO</v>
      </c>
      <c r="L26" s="4" t="str">
        <f>IFERROR(LOOKUP(2,1/((#REF!=dec!$A26)*(#REF!&lt;=dec!L$3)*(#REF!&gt;=dec!L$3)),#REF!),IF(WEEKDAY(dec!L$3,1)=1,"WO","P"))</f>
        <v>P</v>
      </c>
      <c r="M26" s="4" t="str">
        <f>IFERROR(LOOKUP(2,1/((#REF!=dec!$A26)*(#REF!&lt;=dec!M$3)*(#REF!&gt;=dec!M$3)),#REF!),IF(WEEKDAY(dec!M$3,1)=1,"WO","P"))</f>
        <v>P</v>
      </c>
      <c r="N26" s="4" t="str">
        <f>IFERROR(LOOKUP(2,1/((#REF!=dec!$A26)*(#REF!&lt;=dec!N$3)*(#REF!&gt;=dec!N$3)),#REF!),IF(WEEKDAY(dec!N$3,1)=1,"WO","P"))</f>
        <v>P</v>
      </c>
      <c r="O26" s="4" t="str">
        <f>IFERROR(LOOKUP(2,1/((#REF!=dec!$A26)*(#REF!&lt;=dec!O$3)*(#REF!&gt;=dec!O$3)),#REF!),IF(WEEKDAY(dec!O$3,1)=1,"WO","P"))</f>
        <v>P</v>
      </c>
      <c r="P26" s="4" t="str">
        <f>IFERROR(LOOKUP(2,1/((#REF!=dec!$A26)*(#REF!&lt;=dec!P$3)*(#REF!&gt;=dec!P$3)),#REF!),IF(WEEKDAY(dec!P$3,1)=1,"WO","P"))</f>
        <v>P</v>
      </c>
      <c r="Q26" s="4" t="str">
        <f>IFERROR(LOOKUP(2,1/((#REF!=dec!$A26)*(#REF!&lt;=dec!Q$3)*(#REF!&gt;=dec!Q$3)),#REF!),IF(WEEKDAY(dec!Q$3,1)=1,"WO","P"))</f>
        <v>P</v>
      </c>
      <c r="R26" s="4" t="str">
        <f>IFERROR(LOOKUP(2,1/((#REF!=dec!$A26)*(#REF!&lt;=dec!R$3)*(#REF!&gt;=dec!R$3)),#REF!),IF(WEEKDAY(dec!R$3,1)=1,"WO","P"))</f>
        <v>WO</v>
      </c>
      <c r="S26" s="4" t="str">
        <f>IFERROR(LOOKUP(2,1/((#REF!=dec!$A26)*(#REF!&lt;=dec!S$3)*(#REF!&gt;=dec!S$3)),#REF!),IF(WEEKDAY(dec!S$3,1)=1,"WO","P"))</f>
        <v>P</v>
      </c>
      <c r="T26" s="4" t="str">
        <f>IFERROR(LOOKUP(2,1/((#REF!=dec!$A26)*(#REF!&lt;=dec!T$3)*(#REF!&gt;=dec!T$3)),#REF!),IF(WEEKDAY(dec!T$3,1)=1,"WO","P"))</f>
        <v>P</v>
      </c>
      <c r="U26" s="4" t="str">
        <f>IFERROR(LOOKUP(2,1/((#REF!=dec!$A26)*(#REF!&lt;=dec!U$3)*(#REF!&gt;=dec!U$3)),#REF!),IF(WEEKDAY(dec!U$3,1)=1,"WO","P"))</f>
        <v>P</v>
      </c>
      <c r="V26" s="4" t="str">
        <f>IFERROR(LOOKUP(2,1/((#REF!=dec!$A26)*(#REF!&lt;=dec!V$3)*(#REF!&gt;=dec!V$3)),#REF!),IF(WEEKDAY(dec!V$3,1)=1,"WO","P"))</f>
        <v>P</v>
      </c>
      <c r="W26" s="4" t="str">
        <f>IFERROR(LOOKUP(2,1/((#REF!=dec!$A26)*(#REF!&lt;=dec!W$3)*(#REF!&gt;=dec!W$3)),#REF!),IF(WEEKDAY(dec!W$3,1)=1,"WO","P"))</f>
        <v>P</v>
      </c>
      <c r="X26" s="4" t="str">
        <f>IFERROR(LOOKUP(2,1/((#REF!=dec!$A26)*(#REF!&lt;=dec!X$3)*(#REF!&gt;=dec!X$3)),#REF!),IF(WEEKDAY(dec!X$3,1)=1,"WO","P"))</f>
        <v>P</v>
      </c>
      <c r="Y26" s="4" t="str">
        <f>IFERROR(LOOKUP(2,1/((#REF!=dec!$A26)*(#REF!&lt;=dec!Y$3)*(#REF!&gt;=dec!Y$3)),#REF!),IF(WEEKDAY(dec!Y$3,1)=1,"WO","P"))</f>
        <v>WO</v>
      </c>
      <c r="Z26" s="4" t="str">
        <f>IFERROR(LOOKUP(2,1/((#REF!=dec!$A26)*(#REF!&lt;=dec!Z$3)*(#REF!&gt;=dec!Z$3)),#REF!),IF(WEEKDAY(dec!Z$3,1)=1,"WO","P"))</f>
        <v>P</v>
      </c>
      <c r="AA26" s="4" t="str">
        <f>IFERROR(LOOKUP(2,1/((#REF!=dec!$A26)*(#REF!&lt;=dec!AA$3)*(#REF!&gt;=dec!AA$3)),#REF!),IF(WEEKDAY(dec!AA$3,1)=1,"WO","P"))</f>
        <v>P</v>
      </c>
      <c r="AB26" s="4" t="str">
        <f>IFERROR(LOOKUP(2,1/((#REF!=dec!$A26)*(#REF!&lt;=dec!AB$3)*(#REF!&gt;=dec!AB$3)),#REF!),IF(WEEKDAY(dec!AB$3,1)=1,"WO","P"))</f>
        <v>P</v>
      </c>
      <c r="AC26" s="4" t="str">
        <f>IFERROR(LOOKUP(2,1/((#REF!=dec!$A26)*(#REF!&lt;=dec!AC$3)*(#REF!&gt;=dec!AC$3)),#REF!),IF(WEEKDAY(dec!AC$3,1)=1,"WO","P"))</f>
        <v>P</v>
      </c>
      <c r="AD26" s="4" t="str">
        <f>IFERROR(LOOKUP(2,1/((#REF!=dec!$A26)*(#REF!&lt;=dec!AD$3)*(#REF!&gt;=dec!AD$3)),#REF!),IF(WEEKDAY(dec!AD$3,1)=1,"WO","P"))</f>
        <v>P</v>
      </c>
      <c r="AE26" s="4" t="str">
        <f>IFERROR(LOOKUP(2,1/((#REF!=dec!$A26)*(#REF!&lt;=dec!AE$3)*(#REF!&gt;=dec!AE$3)),#REF!),IF(WEEKDAY(dec!AE$3,1)=1,"WO","P"))</f>
        <v>P</v>
      </c>
      <c r="AF26" s="4" t="str">
        <f>IFERROR(LOOKUP(2,1/((#REF!=dec!$A26)*(#REF!&lt;=dec!AF$3)*(#REF!&gt;=dec!AF$3)),#REF!),IF(WEEKDAY(dec!AF$3,1)=1,"WO","P"))</f>
        <v>WO</v>
      </c>
      <c r="AG26" s="4" t="str">
        <f>IFERROR(LOOKUP(2,1/((#REF!=dec!$A26)*(#REF!&lt;=dec!AG$3)*(#REF!&gt;=dec!AG$3)),#REF!),IF(WEEKDAY(dec!AG$3,1)=1,"WO","P"))</f>
        <v>P</v>
      </c>
      <c r="AH26" s="4" t="str">
        <f>IFERROR(LOOKUP(2,1/((#REF!=dec!$A26)*(#REF!&lt;=dec!AH$3)*(#REF!&gt;=dec!AH$3)),#REF!),IF(WEEKDAY(dec!AH$3,1)=1,"WO","P"))</f>
        <v>P</v>
      </c>
      <c r="AI26" s="4" t="str">
        <f>IFERROR(LOOKUP(2,1/((#REF!=dec!$A26)*(#REF!&lt;=dec!AI$3)*(#REF!&gt;=dec!AI$3)),#REF!),IF(WEEKDAY(dec!AI$3,1)=1,"WO","P"))</f>
        <v>P</v>
      </c>
      <c r="AJ26" s="4" t="str">
        <f>IFERROR(LOOKUP(2,1/((#REF!=dec!$A26)*(#REF!&lt;=dec!AJ$3)*(#REF!&gt;=dec!AJ$3)),#REF!),IF(WEEKDAY(dec!AJ$3,1)=1,"WO","P"))</f>
        <v>P</v>
      </c>
      <c r="AK26" s="4">
        <f>COUNTIF(mar!$F26:$AJ26,"WO")</f>
        <v>5</v>
      </c>
      <c r="AL26" s="4">
        <f>COUNTIF(mar!$F26:$AJ26,"H")</f>
        <v>2</v>
      </c>
      <c r="AM26" s="4">
        <f>COUNTIF(mar!$F26:$AJ26,"pl")</f>
        <v>0</v>
      </c>
      <c r="AN26" s="4">
        <f>COUNTIF(mar!$F26:$AJ26,"LWP")</f>
        <v>0</v>
      </c>
      <c r="AO26" s="4">
        <f>COUNTIF(mar!$F26:$AJ26,"HD")</f>
        <v>0</v>
      </c>
      <c r="AP26" s="4">
        <f>COUNTIF(mar!$F26:$AJ26,"SL")</f>
        <v>0</v>
      </c>
      <c r="AQ26" s="4">
        <f>COUNTIF(mar!$F26:$AJ26,"CL")</f>
        <v>0</v>
      </c>
      <c r="AR26" s="4">
        <f>COUNTIF(mar!$F26:$AJ26,"A")</f>
        <v>1</v>
      </c>
      <c r="AS26" s="4">
        <f>COUNTIF(mar!$F26:$AJ26,"P")</f>
        <v>23</v>
      </c>
      <c r="AT26" s="4">
        <f t="shared" si="2"/>
        <v>31</v>
      </c>
      <c r="AU26" s="4">
        <f t="shared" si="3"/>
        <v>30</v>
      </c>
      <c r="AV26" s="4">
        <f>SUMIFS(holly!$L$2:$L$122,holly!$I$2:$I$122,mar!$A26,holly!$K$2:$K$122,"Mar")</f>
        <v>0</v>
      </c>
    </row>
    <row r="27" spans="1:48" ht="15.75" x14ac:dyDescent="0.25">
      <c r="A27" s="4" t="s">
        <v>48</v>
      </c>
      <c r="B27" s="4" t="str">
        <f>VLOOKUP($A27,Master!$A$2:$K$52,2,0)</f>
        <v>Employee23</v>
      </c>
      <c r="C27" s="4" t="str">
        <f>VLOOKUP($A27,Master!$A$2:$K$52,3,0)</f>
        <v>Male</v>
      </c>
      <c r="D27" s="4" t="str">
        <f>VLOOKUP($A27,Master!$A$2:$K$52,5,0)</f>
        <v>Accounts</v>
      </c>
      <c r="E27" s="4" t="str">
        <f>VLOOKUP($A27,Master!$A$2:$K$52,6,0)</f>
        <v>Accountant</v>
      </c>
      <c r="F27" s="4" t="str">
        <f>IFERROR(LOOKUP(2,1/((#REF!=dec!$A27)*(#REF!&lt;=dec!F$3)*(#REF!&gt;=dec!F$3)),#REF!),IF(WEEKDAY(dec!F$3,1)=1,"WO","P"))</f>
        <v>P</v>
      </c>
      <c r="G27" s="4" t="str">
        <f>IFERROR(LOOKUP(2,1/((#REF!=dec!$A27)*(#REF!&lt;=dec!G$3)*(#REF!&gt;=dec!G$3)),#REF!),IF(WEEKDAY(dec!G$3,1)=1,"WO","P"))</f>
        <v>P</v>
      </c>
      <c r="H27" s="4" t="str">
        <f>IFERROR(LOOKUP(2,1/((#REF!=dec!$A27)*(#REF!&lt;=dec!H$3)*(#REF!&gt;=dec!H$3)),#REF!),IF(WEEKDAY(dec!H$3,1)=1,"WO","P"))</f>
        <v>P</v>
      </c>
      <c r="I27" s="4" t="str">
        <f>IFERROR(LOOKUP(2,1/((#REF!=dec!$A27)*(#REF!&lt;=dec!I$3)*(#REF!&gt;=dec!I$3)),#REF!),IF(WEEKDAY(dec!I$3,1)=1,"WO","P"))</f>
        <v>P</v>
      </c>
      <c r="J27" s="4" t="str">
        <f>IFERROR(LOOKUP(2,1/((#REF!=dec!$A27)*(#REF!&lt;=dec!J$3)*(#REF!&gt;=dec!J$3)),#REF!),IF(WEEKDAY(dec!J$3,1)=1,"WO","P"))</f>
        <v>P</v>
      </c>
      <c r="K27" s="4" t="str">
        <f>IFERROR(LOOKUP(2,1/((#REF!=dec!$A27)*(#REF!&lt;=dec!K$3)*(#REF!&gt;=dec!K$3)),#REF!),IF(WEEKDAY(dec!K$3,1)=1,"WO","P"))</f>
        <v>WO</v>
      </c>
      <c r="L27" s="4" t="str">
        <f>IFERROR(LOOKUP(2,1/((#REF!=dec!$A27)*(#REF!&lt;=dec!L$3)*(#REF!&gt;=dec!L$3)),#REF!),IF(WEEKDAY(dec!L$3,1)=1,"WO","P"))</f>
        <v>P</v>
      </c>
      <c r="M27" s="4" t="str">
        <f>IFERROR(LOOKUP(2,1/((#REF!=dec!$A27)*(#REF!&lt;=dec!M$3)*(#REF!&gt;=dec!M$3)),#REF!),IF(WEEKDAY(dec!M$3,1)=1,"WO","P"))</f>
        <v>P</v>
      </c>
      <c r="N27" s="4" t="str">
        <f>IFERROR(LOOKUP(2,1/((#REF!=dec!$A27)*(#REF!&lt;=dec!N$3)*(#REF!&gt;=dec!N$3)),#REF!),IF(WEEKDAY(dec!N$3,1)=1,"WO","P"))</f>
        <v>P</v>
      </c>
      <c r="O27" s="4" t="str">
        <f>IFERROR(LOOKUP(2,1/((#REF!=dec!$A27)*(#REF!&lt;=dec!O$3)*(#REF!&gt;=dec!O$3)),#REF!),IF(WEEKDAY(dec!O$3,1)=1,"WO","P"))</f>
        <v>P</v>
      </c>
      <c r="P27" s="4" t="str">
        <f>IFERROR(LOOKUP(2,1/((#REF!=dec!$A27)*(#REF!&lt;=dec!P$3)*(#REF!&gt;=dec!P$3)),#REF!),IF(WEEKDAY(dec!P$3,1)=1,"WO","P"))</f>
        <v>P</v>
      </c>
      <c r="Q27" s="4" t="str">
        <f>IFERROR(LOOKUP(2,1/((#REF!=dec!$A27)*(#REF!&lt;=dec!Q$3)*(#REF!&gt;=dec!Q$3)),#REF!),IF(WEEKDAY(dec!Q$3,1)=1,"WO","P"))</f>
        <v>P</v>
      </c>
      <c r="R27" s="4" t="str">
        <f>IFERROR(LOOKUP(2,1/((#REF!=dec!$A27)*(#REF!&lt;=dec!R$3)*(#REF!&gt;=dec!R$3)),#REF!),IF(WEEKDAY(dec!R$3,1)=1,"WO","P"))</f>
        <v>WO</v>
      </c>
      <c r="S27" s="4" t="str">
        <f>IFERROR(LOOKUP(2,1/((#REF!=dec!$A27)*(#REF!&lt;=dec!S$3)*(#REF!&gt;=dec!S$3)),#REF!),IF(WEEKDAY(dec!S$3,1)=1,"WO","P"))</f>
        <v>P</v>
      </c>
      <c r="T27" s="4" t="str">
        <f>IFERROR(LOOKUP(2,1/((#REF!=dec!$A27)*(#REF!&lt;=dec!T$3)*(#REF!&gt;=dec!T$3)),#REF!),IF(WEEKDAY(dec!T$3,1)=1,"WO","P"))</f>
        <v>P</v>
      </c>
      <c r="U27" s="4" t="str">
        <f>IFERROR(LOOKUP(2,1/((#REF!=dec!$A27)*(#REF!&lt;=dec!U$3)*(#REF!&gt;=dec!U$3)),#REF!),IF(WEEKDAY(dec!U$3,1)=1,"WO","P"))</f>
        <v>P</v>
      </c>
      <c r="V27" s="4" t="str">
        <f>IFERROR(LOOKUP(2,1/((#REF!=dec!$A27)*(#REF!&lt;=dec!V$3)*(#REF!&gt;=dec!V$3)),#REF!),IF(WEEKDAY(dec!V$3,1)=1,"WO","P"))</f>
        <v>P</v>
      </c>
      <c r="W27" s="4" t="str">
        <f>IFERROR(LOOKUP(2,1/((#REF!=dec!$A27)*(#REF!&lt;=dec!W$3)*(#REF!&gt;=dec!W$3)),#REF!),IF(WEEKDAY(dec!W$3,1)=1,"WO","P"))</f>
        <v>P</v>
      </c>
      <c r="X27" s="4" t="str">
        <f>IFERROR(LOOKUP(2,1/((#REF!=dec!$A27)*(#REF!&lt;=dec!X$3)*(#REF!&gt;=dec!X$3)),#REF!),IF(WEEKDAY(dec!X$3,1)=1,"WO","P"))</f>
        <v>P</v>
      </c>
      <c r="Y27" s="4" t="str">
        <f>IFERROR(LOOKUP(2,1/((#REF!=dec!$A27)*(#REF!&lt;=dec!Y$3)*(#REF!&gt;=dec!Y$3)),#REF!),IF(WEEKDAY(dec!Y$3,1)=1,"WO","P"))</f>
        <v>WO</v>
      </c>
      <c r="Z27" s="4" t="str">
        <f>IFERROR(LOOKUP(2,1/((#REF!=dec!$A27)*(#REF!&lt;=dec!Z$3)*(#REF!&gt;=dec!Z$3)),#REF!),IF(WEEKDAY(dec!Z$3,1)=1,"WO","P"))</f>
        <v>P</v>
      </c>
      <c r="AA27" s="4" t="str">
        <f>IFERROR(LOOKUP(2,1/((#REF!=dec!$A27)*(#REF!&lt;=dec!AA$3)*(#REF!&gt;=dec!AA$3)),#REF!),IF(WEEKDAY(dec!AA$3,1)=1,"WO","P"))</f>
        <v>P</v>
      </c>
      <c r="AB27" s="4" t="str">
        <f>IFERROR(LOOKUP(2,1/((#REF!=dec!$A27)*(#REF!&lt;=dec!AB$3)*(#REF!&gt;=dec!AB$3)),#REF!),IF(WEEKDAY(dec!AB$3,1)=1,"WO","P"))</f>
        <v>P</v>
      </c>
      <c r="AC27" s="4" t="str">
        <f>IFERROR(LOOKUP(2,1/((#REF!=dec!$A27)*(#REF!&lt;=dec!AC$3)*(#REF!&gt;=dec!AC$3)),#REF!),IF(WEEKDAY(dec!AC$3,1)=1,"WO","P"))</f>
        <v>P</v>
      </c>
      <c r="AD27" s="4" t="str">
        <f>IFERROR(LOOKUP(2,1/((#REF!=dec!$A27)*(#REF!&lt;=dec!AD$3)*(#REF!&gt;=dec!AD$3)),#REF!),IF(WEEKDAY(dec!AD$3,1)=1,"WO","P"))</f>
        <v>P</v>
      </c>
      <c r="AE27" s="4" t="str">
        <f>IFERROR(LOOKUP(2,1/((#REF!=dec!$A27)*(#REF!&lt;=dec!AE$3)*(#REF!&gt;=dec!AE$3)),#REF!),IF(WEEKDAY(dec!AE$3,1)=1,"WO","P"))</f>
        <v>P</v>
      </c>
      <c r="AF27" s="4" t="str">
        <f>IFERROR(LOOKUP(2,1/((#REF!=dec!$A27)*(#REF!&lt;=dec!AF$3)*(#REF!&gt;=dec!AF$3)),#REF!),IF(WEEKDAY(dec!AF$3,1)=1,"WO","P"))</f>
        <v>WO</v>
      </c>
      <c r="AG27" s="4" t="str">
        <f>IFERROR(LOOKUP(2,1/((#REF!=dec!$A27)*(#REF!&lt;=dec!AG$3)*(#REF!&gt;=dec!AG$3)),#REF!),IF(WEEKDAY(dec!AG$3,1)=1,"WO","P"))</f>
        <v>P</v>
      </c>
      <c r="AH27" s="4" t="str">
        <f>IFERROR(LOOKUP(2,1/((#REF!=dec!$A27)*(#REF!&lt;=dec!AH$3)*(#REF!&gt;=dec!AH$3)),#REF!),IF(WEEKDAY(dec!AH$3,1)=1,"WO","P"))</f>
        <v>P</v>
      </c>
      <c r="AI27" s="4" t="str">
        <f>IFERROR(LOOKUP(2,1/((#REF!=dec!$A27)*(#REF!&lt;=dec!AI$3)*(#REF!&gt;=dec!AI$3)),#REF!),IF(WEEKDAY(dec!AI$3,1)=1,"WO","P"))</f>
        <v>P</v>
      </c>
      <c r="AJ27" s="4" t="str">
        <f>IFERROR(LOOKUP(2,1/((#REF!=dec!$A27)*(#REF!&lt;=dec!AJ$3)*(#REF!&gt;=dec!AJ$3)),#REF!),IF(WEEKDAY(dec!AJ$3,1)=1,"WO","P"))</f>
        <v>P</v>
      </c>
      <c r="AK27" s="4">
        <f>COUNTIF(mar!$F27:$AJ27,"WO")</f>
        <v>5</v>
      </c>
      <c r="AL27" s="4">
        <f>COUNTIF(mar!$F27:$AJ27,"H")</f>
        <v>2</v>
      </c>
      <c r="AM27" s="4">
        <f>COUNTIF(mar!$F27:$AJ27,"pl")</f>
        <v>0</v>
      </c>
      <c r="AN27" s="4">
        <f>COUNTIF(mar!$F27:$AJ27,"LWP")</f>
        <v>0</v>
      </c>
      <c r="AO27" s="4">
        <f>COUNTIF(mar!$F27:$AJ27,"HD")</f>
        <v>0</v>
      </c>
      <c r="AP27" s="4">
        <f>COUNTIF(mar!$F27:$AJ27,"SL")</f>
        <v>0</v>
      </c>
      <c r="AQ27" s="4">
        <f>COUNTIF(mar!$F27:$AJ27,"CL")</f>
        <v>0</v>
      </c>
      <c r="AR27" s="4">
        <f>COUNTIF(mar!$F27:$AJ27,"A")</f>
        <v>0</v>
      </c>
      <c r="AS27" s="4">
        <f>COUNTIF(mar!$F27:$AJ27,"P")</f>
        <v>24</v>
      </c>
      <c r="AT27" s="4">
        <f t="shared" si="2"/>
        <v>31</v>
      </c>
      <c r="AU27" s="4">
        <f t="shared" si="3"/>
        <v>31</v>
      </c>
      <c r="AV27" s="4">
        <f>SUMIFS(holly!$L$2:$L$122,holly!$I$2:$I$122,mar!$A27,holly!$K$2:$K$122,"Mar")</f>
        <v>0</v>
      </c>
    </row>
    <row r="28" spans="1:48" ht="15.75" x14ac:dyDescent="0.25">
      <c r="A28" s="4" t="s">
        <v>50</v>
      </c>
      <c r="B28" s="4" t="str">
        <f>VLOOKUP($A28,Master!$A$2:$K$52,2,0)</f>
        <v>Employee24</v>
      </c>
      <c r="C28" s="4" t="str">
        <f>VLOOKUP($A28,Master!$A$2:$K$52,3,0)</f>
        <v>Male</v>
      </c>
      <c r="D28" s="4" t="str">
        <f>VLOOKUP($A28,Master!$A$2:$K$52,5,0)</f>
        <v>Production</v>
      </c>
      <c r="E28" s="4" t="str">
        <f>VLOOKUP($A28,Master!$A$2:$K$52,6,0)</f>
        <v>Operator</v>
      </c>
      <c r="F28" s="4" t="str">
        <f>IFERROR(LOOKUP(2,1/((#REF!=dec!$A28)*(#REF!&lt;=dec!F$3)*(#REF!&gt;=dec!F$3)),#REF!),IF(WEEKDAY(dec!F$3,1)=1,"WO","P"))</f>
        <v>P</v>
      </c>
      <c r="G28" s="4" t="str">
        <f>IFERROR(LOOKUP(2,1/((#REF!=dec!$A28)*(#REF!&lt;=dec!G$3)*(#REF!&gt;=dec!G$3)),#REF!),IF(WEEKDAY(dec!G$3,1)=1,"WO","P"))</f>
        <v>P</v>
      </c>
      <c r="H28" s="4" t="str">
        <f>IFERROR(LOOKUP(2,1/((#REF!=dec!$A28)*(#REF!&lt;=dec!H$3)*(#REF!&gt;=dec!H$3)),#REF!),IF(WEEKDAY(dec!H$3,1)=1,"WO","P"))</f>
        <v>P</v>
      </c>
      <c r="I28" s="4" t="str">
        <f>IFERROR(LOOKUP(2,1/((#REF!=dec!$A28)*(#REF!&lt;=dec!I$3)*(#REF!&gt;=dec!I$3)),#REF!),IF(WEEKDAY(dec!I$3,1)=1,"WO","P"))</f>
        <v>P</v>
      </c>
      <c r="J28" s="4" t="str">
        <f>IFERROR(LOOKUP(2,1/((#REF!=dec!$A28)*(#REF!&lt;=dec!J$3)*(#REF!&gt;=dec!J$3)),#REF!),IF(WEEKDAY(dec!J$3,1)=1,"WO","P"))</f>
        <v>P</v>
      </c>
      <c r="K28" s="4" t="str">
        <f>IFERROR(LOOKUP(2,1/((#REF!=dec!$A28)*(#REF!&lt;=dec!K$3)*(#REF!&gt;=dec!K$3)),#REF!),IF(WEEKDAY(dec!K$3,1)=1,"WO","P"))</f>
        <v>WO</v>
      </c>
      <c r="L28" s="4" t="str">
        <f>IFERROR(LOOKUP(2,1/((#REF!=dec!$A28)*(#REF!&lt;=dec!L$3)*(#REF!&gt;=dec!L$3)),#REF!),IF(WEEKDAY(dec!L$3,1)=1,"WO","P"))</f>
        <v>P</v>
      </c>
      <c r="M28" s="4" t="str">
        <f>IFERROR(LOOKUP(2,1/((#REF!=dec!$A28)*(#REF!&lt;=dec!M$3)*(#REF!&gt;=dec!M$3)),#REF!),IF(WEEKDAY(dec!M$3,1)=1,"WO","P"))</f>
        <v>P</v>
      </c>
      <c r="N28" s="4" t="str">
        <f>IFERROR(LOOKUP(2,1/((#REF!=dec!$A28)*(#REF!&lt;=dec!N$3)*(#REF!&gt;=dec!N$3)),#REF!),IF(WEEKDAY(dec!N$3,1)=1,"WO","P"))</f>
        <v>P</v>
      </c>
      <c r="O28" s="4" t="str">
        <f>IFERROR(LOOKUP(2,1/((#REF!=dec!$A28)*(#REF!&lt;=dec!O$3)*(#REF!&gt;=dec!O$3)),#REF!),IF(WEEKDAY(dec!O$3,1)=1,"WO","P"))</f>
        <v>P</v>
      </c>
      <c r="P28" s="4" t="str">
        <f>IFERROR(LOOKUP(2,1/((#REF!=dec!$A28)*(#REF!&lt;=dec!P$3)*(#REF!&gt;=dec!P$3)),#REF!),IF(WEEKDAY(dec!P$3,1)=1,"WO","P"))</f>
        <v>P</v>
      </c>
      <c r="Q28" s="4" t="str">
        <f>IFERROR(LOOKUP(2,1/((#REF!=dec!$A28)*(#REF!&lt;=dec!Q$3)*(#REF!&gt;=dec!Q$3)),#REF!),IF(WEEKDAY(dec!Q$3,1)=1,"WO","P"))</f>
        <v>P</v>
      </c>
      <c r="R28" s="4" t="str">
        <f>IFERROR(LOOKUP(2,1/((#REF!=dec!$A28)*(#REF!&lt;=dec!R$3)*(#REF!&gt;=dec!R$3)),#REF!),IF(WEEKDAY(dec!R$3,1)=1,"WO","P"))</f>
        <v>WO</v>
      </c>
      <c r="S28" s="4" t="str">
        <f>IFERROR(LOOKUP(2,1/((#REF!=dec!$A28)*(#REF!&lt;=dec!S$3)*(#REF!&gt;=dec!S$3)),#REF!),IF(WEEKDAY(dec!S$3,1)=1,"WO","P"))</f>
        <v>P</v>
      </c>
      <c r="T28" s="4" t="str">
        <f>IFERROR(LOOKUP(2,1/((#REF!=dec!$A28)*(#REF!&lt;=dec!T$3)*(#REF!&gt;=dec!T$3)),#REF!),IF(WEEKDAY(dec!T$3,1)=1,"WO","P"))</f>
        <v>P</v>
      </c>
      <c r="U28" s="4" t="str">
        <f>IFERROR(LOOKUP(2,1/((#REF!=dec!$A28)*(#REF!&lt;=dec!U$3)*(#REF!&gt;=dec!U$3)),#REF!),IF(WEEKDAY(dec!U$3,1)=1,"WO","P"))</f>
        <v>P</v>
      </c>
      <c r="V28" s="4" t="str">
        <f>IFERROR(LOOKUP(2,1/((#REF!=dec!$A28)*(#REF!&lt;=dec!V$3)*(#REF!&gt;=dec!V$3)),#REF!),IF(WEEKDAY(dec!V$3,1)=1,"WO","P"))</f>
        <v>P</v>
      </c>
      <c r="W28" s="4" t="str">
        <f>IFERROR(LOOKUP(2,1/((#REF!=dec!$A28)*(#REF!&lt;=dec!W$3)*(#REF!&gt;=dec!W$3)),#REF!),IF(WEEKDAY(dec!W$3,1)=1,"WO","P"))</f>
        <v>P</v>
      </c>
      <c r="X28" s="4" t="str">
        <f>IFERROR(LOOKUP(2,1/((#REF!=dec!$A28)*(#REF!&lt;=dec!X$3)*(#REF!&gt;=dec!X$3)),#REF!),IF(WEEKDAY(dec!X$3,1)=1,"WO","P"))</f>
        <v>P</v>
      </c>
      <c r="Y28" s="4" t="str">
        <f>IFERROR(LOOKUP(2,1/((#REF!=dec!$A28)*(#REF!&lt;=dec!Y$3)*(#REF!&gt;=dec!Y$3)),#REF!),IF(WEEKDAY(dec!Y$3,1)=1,"WO","P"))</f>
        <v>WO</v>
      </c>
      <c r="Z28" s="4" t="str">
        <f>IFERROR(LOOKUP(2,1/((#REF!=dec!$A28)*(#REF!&lt;=dec!Z$3)*(#REF!&gt;=dec!Z$3)),#REF!),IF(WEEKDAY(dec!Z$3,1)=1,"WO","P"))</f>
        <v>P</v>
      </c>
      <c r="AA28" s="4" t="str">
        <f>IFERROR(LOOKUP(2,1/((#REF!=dec!$A28)*(#REF!&lt;=dec!AA$3)*(#REF!&gt;=dec!AA$3)),#REF!),IF(WEEKDAY(dec!AA$3,1)=1,"WO","P"))</f>
        <v>P</v>
      </c>
      <c r="AB28" s="4" t="str">
        <f>IFERROR(LOOKUP(2,1/((#REF!=dec!$A28)*(#REF!&lt;=dec!AB$3)*(#REF!&gt;=dec!AB$3)),#REF!),IF(WEEKDAY(dec!AB$3,1)=1,"WO","P"))</f>
        <v>P</v>
      </c>
      <c r="AC28" s="4" t="str">
        <f>IFERROR(LOOKUP(2,1/((#REF!=dec!$A28)*(#REF!&lt;=dec!AC$3)*(#REF!&gt;=dec!AC$3)),#REF!),IF(WEEKDAY(dec!AC$3,1)=1,"WO","P"))</f>
        <v>P</v>
      </c>
      <c r="AD28" s="4" t="str">
        <f>IFERROR(LOOKUP(2,1/((#REF!=dec!$A28)*(#REF!&lt;=dec!AD$3)*(#REF!&gt;=dec!AD$3)),#REF!),IF(WEEKDAY(dec!AD$3,1)=1,"WO","P"))</f>
        <v>P</v>
      </c>
      <c r="AE28" s="4" t="str">
        <f>IFERROR(LOOKUP(2,1/((#REF!=dec!$A28)*(#REF!&lt;=dec!AE$3)*(#REF!&gt;=dec!AE$3)),#REF!),IF(WEEKDAY(dec!AE$3,1)=1,"WO","P"))</f>
        <v>P</v>
      </c>
      <c r="AF28" s="4" t="str">
        <f>IFERROR(LOOKUP(2,1/((#REF!=dec!$A28)*(#REF!&lt;=dec!AF$3)*(#REF!&gt;=dec!AF$3)),#REF!),IF(WEEKDAY(dec!AF$3,1)=1,"WO","P"))</f>
        <v>WO</v>
      </c>
      <c r="AG28" s="4" t="str">
        <f>IFERROR(LOOKUP(2,1/((#REF!=dec!$A28)*(#REF!&lt;=dec!AG$3)*(#REF!&gt;=dec!AG$3)),#REF!),IF(WEEKDAY(dec!AG$3,1)=1,"WO","P"))</f>
        <v>P</v>
      </c>
      <c r="AH28" s="4" t="str">
        <f>IFERROR(LOOKUP(2,1/((#REF!=dec!$A28)*(#REF!&lt;=dec!AH$3)*(#REF!&gt;=dec!AH$3)),#REF!),IF(WEEKDAY(dec!AH$3,1)=1,"WO","P"))</f>
        <v>P</v>
      </c>
      <c r="AI28" s="4" t="str">
        <f>IFERROR(LOOKUP(2,1/((#REF!=dec!$A28)*(#REF!&lt;=dec!AI$3)*(#REF!&gt;=dec!AI$3)),#REF!),IF(WEEKDAY(dec!AI$3,1)=1,"WO","P"))</f>
        <v>P</v>
      </c>
      <c r="AJ28" s="4" t="str">
        <f>IFERROR(LOOKUP(2,1/((#REF!=dec!$A28)*(#REF!&lt;=dec!AJ$3)*(#REF!&gt;=dec!AJ$3)),#REF!),IF(WEEKDAY(dec!AJ$3,1)=1,"WO","P"))</f>
        <v>P</v>
      </c>
      <c r="AK28" s="4">
        <f>COUNTIF(mar!$F28:$AJ28,"WO")</f>
        <v>5</v>
      </c>
      <c r="AL28" s="4">
        <f>COUNTIF(mar!$F28:$AJ28,"H")</f>
        <v>2</v>
      </c>
      <c r="AM28" s="4">
        <f>COUNTIF(mar!$F28:$AJ28,"pl")</f>
        <v>0</v>
      </c>
      <c r="AN28" s="4">
        <f>COUNTIF(mar!$F28:$AJ28,"LWP")</f>
        <v>0</v>
      </c>
      <c r="AO28" s="4">
        <f>COUNTIF(mar!$F28:$AJ28,"HD")</f>
        <v>0</v>
      </c>
      <c r="AP28" s="4">
        <f>COUNTIF(mar!$F28:$AJ28,"SL")</f>
        <v>0</v>
      </c>
      <c r="AQ28" s="4">
        <f>COUNTIF(mar!$F28:$AJ28,"CL")</f>
        <v>0</v>
      </c>
      <c r="AR28" s="4">
        <f>COUNTIF(mar!$F28:$AJ28,"A")</f>
        <v>0</v>
      </c>
      <c r="AS28" s="4">
        <f>COUNTIF(mar!$F28:$AJ28,"P")</f>
        <v>24</v>
      </c>
      <c r="AT28" s="4">
        <f t="shared" si="2"/>
        <v>31</v>
      </c>
      <c r="AU28" s="4">
        <f t="shared" si="3"/>
        <v>31</v>
      </c>
      <c r="AV28" s="4">
        <f>SUMIFS(holly!$L$2:$L$122,holly!$I$2:$I$122,mar!$A28,holly!$K$2:$K$122,"Mar")</f>
        <v>0</v>
      </c>
    </row>
    <row r="29" spans="1:48" ht="15.75" x14ac:dyDescent="0.25">
      <c r="A29" s="4" t="s">
        <v>51</v>
      </c>
      <c r="B29" s="4" t="str">
        <f>VLOOKUP($A29,Master!$A$2:$K$52,2,0)</f>
        <v>Employee25</v>
      </c>
      <c r="C29" s="4" t="str">
        <f>VLOOKUP($A29,Master!$A$2:$K$52,3,0)</f>
        <v>Male</v>
      </c>
      <c r="D29" s="4" t="str">
        <f>VLOOKUP($A29,Master!$A$2:$K$52,5,0)</f>
        <v>Accounts</v>
      </c>
      <c r="E29" s="4" t="str">
        <f>VLOOKUP($A29,Master!$A$2:$K$52,6,0)</f>
        <v>Accountant</v>
      </c>
      <c r="F29" s="4" t="str">
        <f>IFERROR(LOOKUP(2,1/((#REF!=dec!$A29)*(#REF!&lt;=dec!F$3)*(#REF!&gt;=dec!F$3)),#REF!),IF(WEEKDAY(dec!F$3,1)=1,"WO","P"))</f>
        <v>P</v>
      </c>
      <c r="G29" s="4" t="str">
        <f>IFERROR(LOOKUP(2,1/((#REF!=dec!$A29)*(#REF!&lt;=dec!G$3)*(#REF!&gt;=dec!G$3)),#REF!),IF(WEEKDAY(dec!G$3,1)=1,"WO","P"))</f>
        <v>P</v>
      </c>
      <c r="H29" s="4" t="str">
        <f>IFERROR(LOOKUP(2,1/((#REF!=dec!$A29)*(#REF!&lt;=dec!H$3)*(#REF!&gt;=dec!H$3)),#REF!),IF(WEEKDAY(dec!H$3,1)=1,"WO","P"))</f>
        <v>P</v>
      </c>
      <c r="I29" s="4" t="str">
        <f>IFERROR(LOOKUP(2,1/((#REF!=dec!$A29)*(#REF!&lt;=dec!I$3)*(#REF!&gt;=dec!I$3)),#REF!),IF(WEEKDAY(dec!I$3,1)=1,"WO","P"))</f>
        <v>P</v>
      </c>
      <c r="J29" s="4" t="str">
        <f>IFERROR(LOOKUP(2,1/((#REF!=dec!$A29)*(#REF!&lt;=dec!J$3)*(#REF!&gt;=dec!J$3)),#REF!),IF(WEEKDAY(dec!J$3,1)=1,"WO","P"))</f>
        <v>P</v>
      </c>
      <c r="K29" s="4" t="str">
        <f>IFERROR(LOOKUP(2,1/((#REF!=dec!$A29)*(#REF!&lt;=dec!K$3)*(#REF!&gt;=dec!K$3)),#REF!),IF(WEEKDAY(dec!K$3,1)=1,"WO","P"))</f>
        <v>WO</v>
      </c>
      <c r="L29" s="4" t="str">
        <f>IFERROR(LOOKUP(2,1/((#REF!=dec!$A29)*(#REF!&lt;=dec!L$3)*(#REF!&gt;=dec!L$3)),#REF!),IF(WEEKDAY(dec!L$3,1)=1,"WO","P"))</f>
        <v>P</v>
      </c>
      <c r="M29" s="4" t="str">
        <f>IFERROR(LOOKUP(2,1/((#REF!=dec!$A29)*(#REF!&lt;=dec!M$3)*(#REF!&gt;=dec!M$3)),#REF!),IF(WEEKDAY(dec!M$3,1)=1,"WO","P"))</f>
        <v>P</v>
      </c>
      <c r="N29" s="4" t="str">
        <f>IFERROR(LOOKUP(2,1/((#REF!=dec!$A29)*(#REF!&lt;=dec!N$3)*(#REF!&gt;=dec!N$3)),#REF!),IF(WEEKDAY(dec!N$3,1)=1,"WO","P"))</f>
        <v>P</v>
      </c>
      <c r="O29" s="4" t="str">
        <f>IFERROR(LOOKUP(2,1/((#REF!=dec!$A29)*(#REF!&lt;=dec!O$3)*(#REF!&gt;=dec!O$3)),#REF!),IF(WEEKDAY(dec!O$3,1)=1,"WO","P"))</f>
        <v>P</v>
      </c>
      <c r="P29" s="4" t="str">
        <f>IFERROR(LOOKUP(2,1/((#REF!=dec!$A29)*(#REF!&lt;=dec!P$3)*(#REF!&gt;=dec!P$3)),#REF!),IF(WEEKDAY(dec!P$3,1)=1,"WO","P"))</f>
        <v>P</v>
      </c>
      <c r="Q29" s="4" t="str">
        <f>IFERROR(LOOKUP(2,1/((#REF!=dec!$A29)*(#REF!&lt;=dec!Q$3)*(#REF!&gt;=dec!Q$3)),#REF!),IF(WEEKDAY(dec!Q$3,1)=1,"WO","P"))</f>
        <v>P</v>
      </c>
      <c r="R29" s="4" t="str">
        <f>IFERROR(LOOKUP(2,1/((#REF!=dec!$A29)*(#REF!&lt;=dec!R$3)*(#REF!&gt;=dec!R$3)),#REF!),IF(WEEKDAY(dec!R$3,1)=1,"WO","P"))</f>
        <v>WO</v>
      </c>
      <c r="S29" s="4" t="str">
        <f>IFERROR(LOOKUP(2,1/((#REF!=dec!$A29)*(#REF!&lt;=dec!S$3)*(#REF!&gt;=dec!S$3)),#REF!),IF(WEEKDAY(dec!S$3,1)=1,"WO","P"))</f>
        <v>P</v>
      </c>
      <c r="T29" s="4" t="str">
        <f>IFERROR(LOOKUP(2,1/((#REF!=dec!$A29)*(#REF!&lt;=dec!T$3)*(#REF!&gt;=dec!T$3)),#REF!),IF(WEEKDAY(dec!T$3,1)=1,"WO","P"))</f>
        <v>P</v>
      </c>
      <c r="U29" s="4" t="str">
        <f>IFERROR(LOOKUP(2,1/((#REF!=dec!$A29)*(#REF!&lt;=dec!U$3)*(#REF!&gt;=dec!U$3)),#REF!),IF(WEEKDAY(dec!U$3,1)=1,"WO","P"))</f>
        <v>P</v>
      </c>
      <c r="V29" s="4" t="str">
        <f>IFERROR(LOOKUP(2,1/((#REF!=dec!$A29)*(#REF!&lt;=dec!V$3)*(#REF!&gt;=dec!V$3)),#REF!),IF(WEEKDAY(dec!V$3,1)=1,"WO","P"))</f>
        <v>P</v>
      </c>
      <c r="W29" s="4" t="str">
        <f>IFERROR(LOOKUP(2,1/((#REF!=dec!$A29)*(#REF!&lt;=dec!W$3)*(#REF!&gt;=dec!W$3)),#REF!),IF(WEEKDAY(dec!W$3,1)=1,"WO","P"))</f>
        <v>P</v>
      </c>
      <c r="X29" s="4" t="str">
        <f>IFERROR(LOOKUP(2,1/((#REF!=dec!$A29)*(#REF!&lt;=dec!X$3)*(#REF!&gt;=dec!X$3)),#REF!),IF(WEEKDAY(dec!X$3,1)=1,"WO","P"))</f>
        <v>P</v>
      </c>
      <c r="Y29" s="4" t="str">
        <f>IFERROR(LOOKUP(2,1/((#REF!=dec!$A29)*(#REF!&lt;=dec!Y$3)*(#REF!&gt;=dec!Y$3)),#REF!),IF(WEEKDAY(dec!Y$3,1)=1,"WO","P"))</f>
        <v>WO</v>
      </c>
      <c r="Z29" s="4" t="str">
        <f>IFERROR(LOOKUP(2,1/((#REF!=dec!$A29)*(#REF!&lt;=dec!Z$3)*(#REF!&gt;=dec!Z$3)),#REF!),IF(WEEKDAY(dec!Z$3,1)=1,"WO","P"))</f>
        <v>P</v>
      </c>
      <c r="AA29" s="4" t="str">
        <f>IFERROR(LOOKUP(2,1/((#REF!=dec!$A29)*(#REF!&lt;=dec!AA$3)*(#REF!&gt;=dec!AA$3)),#REF!),IF(WEEKDAY(dec!AA$3,1)=1,"WO","P"))</f>
        <v>P</v>
      </c>
      <c r="AB29" s="4" t="str">
        <f>IFERROR(LOOKUP(2,1/((#REF!=dec!$A29)*(#REF!&lt;=dec!AB$3)*(#REF!&gt;=dec!AB$3)),#REF!),IF(WEEKDAY(dec!AB$3,1)=1,"WO","P"))</f>
        <v>P</v>
      </c>
      <c r="AC29" s="4" t="str">
        <f>IFERROR(LOOKUP(2,1/((#REF!=dec!$A29)*(#REF!&lt;=dec!AC$3)*(#REF!&gt;=dec!AC$3)),#REF!),IF(WEEKDAY(dec!AC$3,1)=1,"WO","P"))</f>
        <v>P</v>
      </c>
      <c r="AD29" s="4" t="str">
        <f>IFERROR(LOOKUP(2,1/((#REF!=dec!$A29)*(#REF!&lt;=dec!AD$3)*(#REF!&gt;=dec!AD$3)),#REF!),IF(WEEKDAY(dec!AD$3,1)=1,"WO","P"))</f>
        <v>P</v>
      </c>
      <c r="AE29" s="4" t="str">
        <f>IFERROR(LOOKUP(2,1/((#REF!=dec!$A29)*(#REF!&lt;=dec!AE$3)*(#REF!&gt;=dec!AE$3)),#REF!),IF(WEEKDAY(dec!AE$3,1)=1,"WO","P"))</f>
        <v>P</v>
      </c>
      <c r="AF29" s="4" t="str">
        <f>IFERROR(LOOKUP(2,1/((#REF!=dec!$A29)*(#REF!&lt;=dec!AF$3)*(#REF!&gt;=dec!AF$3)),#REF!),IF(WEEKDAY(dec!AF$3,1)=1,"WO","P"))</f>
        <v>WO</v>
      </c>
      <c r="AG29" s="4" t="str">
        <f>IFERROR(LOOKUP(2,1/((#REF!=dec!$A29)*(#REF!&lt;=dec!AG$3)*(#REF!&gt;=dec!AG$3)),#REF!),IF(WEEKDAY(dec!AG$3,1)=1,"WO","P"))</f>
        <v>P</v>
      </c>
      <c r="AH29" s="4" t="str">
        <f>IFERROR(LOOKUP(2,1/((#REF!=dec!$A29)*(#REF!&lt;=dec!AH$3)*(#REF!&gt;=dec!AH$3)),#REF!),IF(WEEKDAY(dec!AH$3,1)=1,"WO","P"))</f>
        <v>P</v>
      </c>
      <c r="AI29" s="4" t="str">
        <f>IFERROR(LOOKUP(2,1/((#REF!=dec!$A29)*(#REF!&lt;=dec!AI$3)*(#REF!&gt;=dec!AI$3)),#REF!),IF(WEEKDAY(dec!AI$3,1)=1,"WO","P"))</f>
        <v>P</v>
      </c>
      <c r="AJ29" s="4" t="str">
        <f>IFERROR(LOOKUP(2,1/((#REF!=dec!$A29)*(#REF!&lt;=dec!AJ$3)*(#REF!&gt;=dec!AJ$3)),#REF!),IF(WEEKDAY(dec!AJ$3,1)=1,"WO","P"))</f>
        <v>P</v>
      </c>
      <c r="AK29" s="4">
        <f>COUNTIF(mar!$F29:$AJ29,"WO")</f>
        <v>5</v>
      </c>
      <c r="AL29" s="4">
        <f>COUNTIF(mar!$F29:$AJ29,"H")</f>
        <v>2</v>
      </c>
      <c r="AM29" s="4">
        <f>COUNTIF(mar!$F29:$AJ29,"pl")</f>
        <v>0</v>
      </c>
      <c r="AN29" s="4">
        <f>COUNTIF(mar!$F29:$AJ29,"LWP")</f>
        <v>0</v>
      </c>
      <c r="AO29" s="4">
        <f>COUNTIF(mar!$F29:$AJ29,"HD")</f>
        <v>0</v>
      </c>
      <c r="AP29" s="4">
        <f>COUNTIF(mar!$F29:$AJ29,"SL")</f>
        <v>0</v>
      </c>
      <c r="AQ29" s="4">
        <f>COUNTIF(mar!$F29:$AJ29,"CL")</f>
        <v>0</v>
      </c>
      <c r="AR29" s="4">
        <f>COUNTIF(mar!$F29:$AJ29,"A")</f>
        <v>0</v>
      </c>
      <c r="AS29" s="4">
        <f>COUNTIF(mar!$F29:$AJ29,"P")</f>
        <v>24</v>
      </c>
      <c r="AT29" s="4">
        <f t="shared" si="2"/>
        <v>31</v>
      </c>
      <c r="AU29" s="4">
        <f t="shared" si="3"/>
        <v>31</v>
      </c>
      <c r="AV29" s="4">
        <f>SUMIFS(holly!$L$2:$L$122,holly!$I$2:$I$122,mar!$A29,holly!$K$2:$K$122,"Mar")</f>
        <v>0</v>
      </c>
    </row>
    <row r="30" spans="1:48" ht="15.75" x14ac:dyDescent="0.25">
      <c r="A30" s="4" t="s">
        <v>52</v>
      </c>
      <c r="B30" s="4" t="str">
        <f>VLOOKUP($A30,Master!$A$2:$K$52,2,0)</f>
        <v>Employee26</v>
      </c>
      <c r="C30" s="4" t="str">
        <f>VLOOKUP($A30,Master!$A$2:$K$52,3,0)</f>
        <v>Female</v>
      </c>
      <c r="D30" s="4" t="str">
        <f>VLOOKUP($A30,Master!$A$2:$K$52,5,0)</f>
        <v>Production</v>
      </c>
      <c r="E30" s="4" t="str">
        <f>VLOOKUP($A30,Master!$A$2:$K$52,6,0)</f>
        <v>Operator</v>
      </c>
      <c r="F30" s="4" t="str">
        <f>IFERROR(LOOKUP(2,1/((#REF!=dec!$A30)*(#REF!&lt;=dec!F$3)*(#REF!&gt;=dec!F$3)),#REF!),IF(WEEKDAY(dec!F$3,1)=1,"WO","P"))</f>
        <v>P</v>
      </c>
      <c r="G30" s="4" t="str">
        <f>IFERROR(LOOKUP(2,1/((#REF!=dec!$A30)*(#REF!&lt;=dec!G$3)*(#REF!&gt;=dec!G$3)),#REF!),IF(WEEKDAY(dec!G$3,1)=1,"WO","P"))</f>
        <v>P</v>
      </c>
      <c r="H30" s="4" t="str">
        <f>IFERROR(LOOKUP(2,1/((#REF!=dec!$A30)*(#REF!&lt;=dec!H$3)*(#REF!&gt;=dec!H$3)),#REF!),IF(WEEKDAY(dec!H$3,1)=1,"WO","P"))</f>
        <v>P</v>
      </c>
      <c r="I30" s="4" t="str">
        <f>IFERROR(LOOKUP(2,1/((#REF!=dec!$A30)*(#REF!&lt;=dec!I$3)*(#REF!&gt;=dec!I$3)),#REF!),IF(WEEKDAY(dec!I$3,1)=1,"WO","P"))</f>
        <v>P</v>
      </c>
      <c r="J30" s="4" t="str">
        <f>IFERROR(LOOKUP(2,1/((#REF!=dec!$A30)*(#REF!&lt;=dec!J$3)*(#REF!&gt;=dec!J$3)),#REF!),IF(WEEKDAY(dec!J$3,1)=1,"WO","P"))</f>
        <v>P</v>
      </c>
      <c r="K30" s="4" t="str">
        <f>IFERROR(LOOKUP(2,1/((#REF!=dec!$A30)*(#REF!&lt;=dec!K$3)*(#REF!&gt;=dec!K$3)),#REF!),IF(WEEKDAY(dec!K$3,1)=1,"WO","P"))</f>
        <v>WO</v>
      </c>
      <c r="L30" s="4" t="str">
        <f>IFERROR(LOOKUP(2,1/((#REF!=dec!$A30)*(#REF!&lt;=dec!L$3)*(#REF!&gt;=dec!L$3)),#REF!),IF(WEEKDAY(dec!L$3,1)=1,"WO","P"))</f>
        <v>P</v>
      </c>
      <c r="M30" s="4" t="str">
        <f>IFERROR(LOOKUP(2,1/((#REF!=dec!$A30)*(#REF!&lt;=dec!M$3)*(#REF!&gt;=dec!M$3)),#REF!),IF(WEEKDAY(dec!M$3,1)=1,"WO","P"))</f>
        <v>P</v>
      </c>
      <c r="N30" s="4" t="str">
        <f>IFERROR(LOOKUP(2,1/((#REF!=dec!$A30)*(#REF!&lt;=dec!N$3)*(#REF!&gt;=dec!N$3)),#REF!),IF(WEEKDAY(dec!N$3,1)=1,"WO","P"))</f>
        <v>P</v>
      </c>
      <c r="O30" s="4" t="str">
        <f>IFERROR(LOOKUP(2,1/((#REF!=dec!$A30)*(#REF!&lt;=dec!O$3)*(#REF!&gt;=dec!O$3)),#REF!),IF(WEEKDAY(dec!O$3,1)=1,"WO","P"))</f>
        <v>P</v>
      </c>
      <c r="P30" s="4" t="str">
        <f>IFERROR(LOOKUP(2,1/((#REF!=dec!$A30)*(#REF!&lt;=dec!P$3)*(#REF!&gt;=dec!P$3)),#REF!),IF(WEEKDAY(dec!P$3,1)=1,"WO","P"))</f>
        <v>P</v>
      </c>
      <c r="Q30" s="4" t="str">
        <f>IFERROR(LOOKUP(2,1/((#REF!=dec!$A30)*(#REF!&lt;=dec!Q$3)*(#REF!&gt;=dec!Q$3)),#REF!),IF(WEEKDAY(dec!Q$3,1)=1,"WO","P"))</f>
        <v>P</v>
      </c>
      <c r="R30" s="4" t="str">
        <f>IFERROR(LOOKUP(2,1/((#REF!=dec!$A30)*(#REF!&lt;=dec!R$3)*(#REF!&gt;=dec!R$3)),#REF!),IF(WEEKDAY(dec!R$3,1)=1,"WO","P"))</f>
        <v>WO</v>
      </c>
      <c r="S30" s="4" t="str">
        <f>IFERROR(LOOKUP(2,1/((#REF!=dec!$A30)*(#REF!&lt;=dec!S$3)*(#REF!&gt;=dec!S$3)),#REF!),IF(WEEKDAY(dec!S$3,1)=1,"WO","P"))</f>
        <v>P</v>
      </c>
      <c r="T30" s="4" t="str">
        <f>IFERROR(LOOKUP(2,1/((#REF!=dec!$A30)*(#REF!&lt;=dec!T$3)*(#REF!&gt;=dec!T$3)),#REF!),IF(WEEKDAY(dec!T$3,1)=1,"WO","P"))</f>
        <v>P</v>
      </c>
      <c r="U30" s="4" t="str">
        <f>IFERROR(LOOKUP(2,1/((#REF!=dec!$A30)*(#REF!&lt;=dec!U$3)*(#REF!&gt;=dec!U$3)),#REF!),IF(WEEKDAY(dec!U$3,1)=1,"WO","P"))</f>
        <v>P</v>
      </c>
      <c r="V30" s="4" t="str">
        <f>IFERROR(LOOKUP(2,1/((#REF!=dec!$A30)*(#REF!&lt;=dec!V$3)*(#REF!&gt;=dec!V$3)),#REF!),IF(WEEKDAY(dec!V$3,1)=1,"WO","P"))</f>
        <v>P</v>
      </c>
      <c r="W30" s="4" t="str">
        <f>IFERROR(LOOKUP(2,1/((#REF!=dec!$A30)*(#REF!&lt;=dec!W$3)*(#REF!&gt;=dec!W$3)),#REF!),IF(WEEKDAY(dec!W$3,1)=1,"WO","P"))</f>
        <v>P</v>
      </c>
      <c r="X30" s="4" t="str">
        <f>IFERROR(LOOKUP(2,1/((#REF!=dec!$A30)*(#REF!&lt;=dec!X$3)*(#REF!&gt;=dec!X$3)),#REF!),IF(WEEKDAY(dec!X$3,1)=1,"WO","P"))</f>
        <v>P</v>
      </c>
      <c r="Y30" s="4" t="str">
        <f>IFERROR(LOOKUP(2,1/((#REF!=dec!$A30)*(#REF!&lt;=dec!Y$3)*(#REF!&gt;=dec!Y$3)),#REF!),IF(WEEKDAY(dec!Y$3,1)=1,"WO","P"))</f>
        <v>WO</v>
      </c>
      <c r="Z30" s="4" t="str">
        <f>IFERROR(LOOKUP(2,1/((#REF!=dec!$A30)*(#REF!&lt;=dec!Z$3)*(#REF!&gt;=dec!Z$3)),#REF!),IF(WEEKDAY(dec!Z$3,1)=1,"WO","P"))</f>
        <v>P</v>
      </c>
      <c r="AA30" s="4" t="str">
        <f>IFERROR(LOOKUP(2,1/((#REF!=dec!$A30)*(#REF!&lt;=dec!AA$3)*(#REF!&gt;=dec!AA$3)),#REF!),IF(WEEKDAY(dec!AA$3,1)=1,"WO","P"))</f>
        <v>P</v>
      </c>
      <c r="AB30" s="4" t="str">
        <f>IFERROR(LOOKUP(2,1/((#REF!=dec!$A30)*(#REF!&lt;=dec!AB$3)*(#REF!&gt;=dec!AB$3)),#REF!),IF(WEEKDAY(dec!AB$3,1)=1,"WO","P"))</f>
        <v>P</v>
      </c>
      <c r="AC30" s="4" t="str">
        <f>IFERROR(LOOKUP(2,1/((#REF!=dec!$A30)*(#REF!&lt;=dec!AC$3)*(#REF!&gt;=dec!AC$3)),#REF!),IF(WEEKDAY(dec!AC$3,1)=1,"WO","P"))</f>
        <v>P</v>
      </c>
      <c r="AD30" s="4" t="str">
        <f>IFERROR(LOOKUP(2,1/((#REF!=dec!$A30)*(#REF!&lt;=dec!AD$3)*(#REF!&gt;=dec!AD$3)),#REF!),IF(WEEKDAY(dec!AD$3,1)=1,"WO","P"))</f>
        <v>P</v>
      </c>
      <c r="AE30" s="4" t="str">
        <f>IFERROR(LOOKUP(2,1/((#REF!=dec!$A30)*(#REF!&lt;=dec!AE$3)*(#REF!&gt;=dec!AE$3)),#REF!),IF(WEEKDAY(dec!AE$3,1)=1,"WO","P"))</f>
        <v>P</v>
      </c>
      <c r="AF30" s="4" t="str">
        <f>IFERROR(LOOKUP(2,1/((#REF!=dec!$A30)*(#REF!&lt;=dec!AF$3)*(#REF!&gt;=dec!AF$3)),#REF!),IF(WEEKDAY(dec!AF$3,1)=1,"WO","P"))</f>
        <v>WO</v>
      </c>
      <c r="AG30" s="4" t="str">
        <f>IFERROR(LOOKUP(2,1/((#REF!=dec!$A30)*(#REF!&lt;=dec!AG$3)*(#REF!&gt;=dec!AG$3)),#REF!),IF(WEEKDAY(dec!AG$3,1)=1,"WO","P"))</f>
        <v>P</v>
      </c>
      <c r="AH30" s="4" t="str">
        <f>IFERROR(LOOKUP(2,1/((#REF!=dec!$A30)*(#REF!&lt;=dec!AH$3)*(#REF!&gt;=dec!AH$3)),#REF!),IF(WEEKDAY(dec!AH$3,1)=1,"WO","P"))</f>
        <v>P</v>
      </c>
      <c r="AI30" s="4" t="str">
        <f>IFERROR(LOOKUP(2,1/((#REF!=dec!$A30)*(#REF!&lt;=dec!AI$3)*(#REF!&gt;=dec!AI$3)),#REF!),IF(WEEKDAY(dec!AI$3,1)=1,"WO","P"))</f>
        <v>P</v>
      </c>
      <c r="AJ30" s="4" t="str">
        <f>IFERROR(LOOKUP(2,1/((#REF!=dec!$A30)*(#REF!&lt;=dec!AJ$3)*(#REF!&gt;=dec!AJ$3)),#REF!),IF(WEEKDAY(dec!AJ$3,1)=1,"WO","P"))</f>
        <v>P</v>
      </c>
      <c r="AK30" s="4">
        <f>COUNTIF(mar!$F30:$AJ30,"WO")</f>
        <v>5</v>
      </c>
      <c r="AL30" s="4">
        <f>COUNTIF(mar!$F30:$AJ30,"H")</f>
        <v>2</v>
      </c>
      <c r="AM30" s="4">
        <f>COUNTIF(mar!$F30:$AJ30,"pl")</f>
        <v>0</v>
      </c>
      <c r="AN30" s="4">
        <f>COUNTIF(mar!$F30:$AJ30,"LWP")</f>
        <v>0</v>
      </c>
      <c r="AO30" s="4">
        <f>COUNTIF(mar!$F30:$AJ30,"HD")</f>
        <v>0</v>
      </c>
      <c r="AP30" s="4">
        <f>COUNTIF(mar!$F30:$AJ30,"SL")</f>
        <v>2</v>
      </c>
      <c r="AQ30" s="4">
        <f>COUNTIF(mar!$F30:$AJ30,"CL")</f>
        <v>0</v>
      </c>
      <c r="AR30" s="4">
        <f>COUNTIF(mar!$F30:$AJ30,"A")</f>
        <v>0</v>
      </c>
      <c r="AS30" s="4">
        <f>COUNTIF(mar!$F30:$AJ30,"P")</f>
        <v>22</v>
      </c>
      <c r="AT30" s="4">
        <f t="shared" si="2"/>
        <v>31</v>
      </c>
      <c r="AU30" s="4">
        <f t="shared" si="3"/>
        <v>31</v>
      </c>
      <c r="AV30" s="4">
        <f>SUMIFS(holly!$L$2:$L$122,holly!$I$2:$I$122,mar!$A30,holly!$K$2:$K$122,"Mar")</f>
        <v>0</v>
      </c>
    </row>
    <row r="31" spans="1:48" ht="15.75" x14ac:dyDescent="0.25">
      <c r="A31" s="4" t="s">
        <v>53</v>
      </c>
      <c r="B31" s="4" t="str">
        <f>VLOOKUP($A31,Master!$A$2:$K$52,2,0)</f>
        <v>Employee27</v>
      </c>
      <c r="C31" s="4" t="str">
        <f>VLOOKUP($A31,Master!$A$2:$K$52,3,0)</f>
        <v>Male</v>
      </c>
      <c r="D31" s="4" t="str">
        <f>VLOOKUP($A31,Master!$A$2:$K$52,5,0)</f>
        <v>Maintenance</v>
      </c>
      <c r="E31" s="4" t="str">
        <f>VLOOKUP($A31,Master!$A$2:$K$52,6,0)</f>
        <v>Fitter</v>
      </c>
      <c r="F31" s="4" t="str">
        <f>IFERROR(LOOKUP(2,1/((#REF!=dec!$A31)*(#REF!&lt;=dec!F$3)*(#REF!&gt;=dec!F$3)),#REF!),IF(WEEKDAY(dec!F$3,1)=1,"WO","P"))</f>
        <v>P</v>
      </c>
      <c r="G31" s="4" t="str">
        <f>IFERROR(LOOKUP(2,1/((#REF!=dec!$A31)*(#REF!&lt;=dec!G$3)*(#REF!&gt;=dec!G$3)),#REF!),IF(WEEKDAY(dec!G$3,1)=1,"WO","P"))</f>
        <v>P</v>
      </c>
      <c r="H31" s="4" t="str">
        <f>IFERROR(LOOKUP(2,1/((#REF!=dec!$A31)*(#REF!&lt;=dec!H$3)*(#REF!&gt;=dec!H$3)),#REF!),IF(WEEKDAY(dec!H$3,1)=1,"WO","P"))</f>
        <v>P</v>
      </c>
      <c r="I31" s="4" t="str">
        <f>IFERROR(LOOKUP(2,1/((#REF!=dec!$A31)*(#REF!&lt;=dec!I$3)*(#REF!&gt;=dec!I$3)),#REF!),IF(WEEKDAY(dec!I$3,1)=1,"WO","P"))</f>
        <v>P</v>
      </c>
      <c r="J31" s="4" t="str">
        <f>IFERROR(LOOKUP(2,1/((#REF!=dec!$A31)*(#REF!&lt;=dec!J$3)*(#REF!&gt;=dec!J$3)),#REF!),IF(WEEKDAY(dec!J$3,1)=1,"WO","P"))</f>
        <v>P</v>
      </c>
      <c r="K31" s="4" t="str">
        <f>IFERROR(LOOKUP(2,1/((#REF!=dec!$A31)*(#REF!&lt;=dec!K$3)*(#REF!&gt;=dec!K$3)),#REF!),IF(WEEKDAY(dec!K$3,1)=1,"WO","P"))</f>
        <v>WO</v>
      </c>
      <c r="L31" s="4" t="str">
        <f>IFERROR(LOOKUP(2,1/((#REF!=dec!$A31)*(#REF!&lt;=dec!L$3)*(#REF!&gt;=dec!L$3)),#REF!),IF(WEEKDAY(dec!L$3,1)=1,"WO","P"))</f>
        <v>P</v>
      </c>
      <c r="M31" s="4" t="str">
        <f>IFERROR(LOOKUP(2,1/((#REF!=dec!$A31)*(#REF!&lt;=dec!M$3)*(#REF!&gt;=dec!M$3)),#REF!),IF(WEEKDAY(dec!M$3,1)=1,"WO","P"))</f>
        <v>P</v>
      </c>
      <c r="N31" s="4" t="str">
        <f>IFERROR(LOOKUP(2,1/((#REF!=dec!$A31)*(#REF!&lt;=dec!N$3)*(#REF!&gt;=dec!N$3)),#REF!),IF(WEEKDAY(dec!N$3,1)=1,"WO","P"))</f>
        <v>P</v>
      </c>
      <c r="O31" s="4" t="str">
        <f>IFERROR(LOOKUP(2,1/((#REF!=dec!$A31)*(#REF!&lt;=dec!O$3)*(#REF!&gt;=dec!O$3)),#REF!),IF(WEEKDAY(dec!O$3,1)=1,"WO","P"))</f>
        <v>P</v>
      </c>
      <c r="P31" s="4" t="str">
        <f>IFERROR(LOOKUP(2,1/((#REF!=dec!$A31)*(#REF!&lt;=dec!P$3)*(#REF!&gt;=dec!P$3)),#REF!),IF(WEEKDAY(dec!P$3,1)=1,"WO","P"))</f>
        <v>P</v>
      </c>
      <c r="Q31" s="4" t="str">
        <f>IFERROR(LOOKUP(2,1/((#REF!=dec!$A31)*(#REF!&lt;=dec!Q$3)*(#REF!&gt;=dec!Q$3)),#REF!),IF(WEEKDAY(dec!Q$3,1)=1,"WO","P"))</f>
        <v>P</v>
      </c>
      <c r="R31" s="4" t="str">
        <f>IFERROR(LOOKUP(2,1/((#REF!=dec!$A31)*(#REF!&lt;=dec!R$3)*(#REF!&gt;=dec!R$3)),#REF!),IF(WEEKDAY(dec!R$3,1)=1,"WO","P"))</f>
        <v>WO</v>
      </c>
      <c r="S31" s="4" t="str">
        <f>IFERROR(LOOKUP(2,1/((#REF!=dec!$A31)*(#REF!&lt;=dec!S$3)*(#REF!&gt;=dec!S$3)),#REF!),IF(WEEKDAY(dec!S$3,1)=1,"WO","P"))</f>
        <v>P</v>
      </c>
      <c r="T31" s="4" t="str">
        <f>IFERROR(LOOKUP(2,1/((#REF!=dec!$A31)*(#REF!&lt;=dec!T$3)*(#REF!&gt;=dec!T$3)),#REF!),IF(WEEKDAY(dec!T$3,1)=1,"WO","P"))</f>
        <v>P</v>
      </c>
      <c r="U31" s="4" t="str">
        <f>IFERROR(LOOKUP(2,1/((#REF!=dec!$A31)*(#REF!&lt;=dec!U$3)*(#REF!&gt;=dec!U$3)),#REF!),IF(WEEKDAY(dec!U$3,1)=1,"WO","P"))</f>
        <v>P</v>
      </c>
      <c r="V31" s="4" t="str">
        <f>IFERROR(LOOKUP(2,1/((#REF!=dec!$A31)*(#REF!&lt;=dec!V$3)*(#REF!&gt;=dec!V$3)),#REF!),IF(WEEKDAY(dec!V$3,1)=1,"WO","P"))</f>
        <v>P</v>
      </c>
      <c r="W31" s="4" t="str">
        <f>IFERROR(LOOKUP(2,1/((#REF!=dec!$A31)*(#REF!&lt;=dec!W$3)*(#REF!&gt;=dec!W$3)),#REF!),IF(WEEKDAY(dec!W$3,1)=1,"WO","P"))</f>
        <v>P</v>
      </c>
      <c r="X31" s="4" t="str">
        <f>IFERROR(LOOKUP(2,1/((#REF!=dec!$A31)*(#REF!&lt;=dec!X$3)*(#REF!&gt;=dec!X$3)),#REF!),IF(WEEKDAY(dec!X$3,1)=1,"WO","P"))</f>
        <v>P</v>
      </c>
      <c r="Y31" s="4" t="str">
        <f>IFERROR(LOOKUP(2,1/((#REF!=dec!$A31)*(#REF!&lt;=dec!Y$3)*(#REF!&gt;=dec!Y$3)),#REF!),IF(WEEKDAY(dec!Y$3,1)=1,"WO","P"))</f>
        <v>WO</v>
      </c>
      <c r="Z31" s="4" t="str">
        <f>IFERROR(LOOKUP(2,1/((#REF!=dec!$A31)*(#REF!&lt;=dec!Z$3)*(#REF!&gt;=dec!Z$3)),#REF!),IF(WEEKDAY(dec!Z$3,1)=1,"WO","P"))</f>
        <v>P</v>
      </c>
      <c r="AA31" s="4" t="str">
        <f>IFERROR(LOOKUP(2,1/((#REF!=dec!$A31)*(#REF!&lt;=dec!AA$3)*(#REF!&gt;=dec!AA$3)),#REF!),IF(WEEKDAY(dec!AA$3,1)=1,"WO","P"))</f>
        <v>P</v>
      </c>
      <c r="AB31" s="4" t="str">
        <f>IFERROR(LOOKUP(2,1/((#REF!=dec!$A31)*(#REF!&lt;=dec!AB$3)*(#REF!&gt;=dec!AB$3)),#REF!),IF(WEEKDAY(dec!AB$3,1)=1,"WO","P"))</f>
        <v>P</v>
      </c>
      <c r="AC31" s="4" t="str">
        <f>IFERROR(LOOKUP(2,1/((#REF!=dec!$A31)*(#REF!&lt;=dec!AC$3)*(#REF!&gt;=dec!AC$3)),#REF!),IF(WEEKDAY(dec!AC$3,1)=1,"WO","P"))</f>
        <v>P</v>
      </c>
      <c r="AD31" s="4" t="str">
        <f>IFERROR(LOOKUP(2,1/((#REF!=dec!$A31)*(#REF!&lt;=dec!AD$3)*(#REF!&gt;=dec!AD$3)),#REF!),IF(WEEKDAY(dec!AD$3,1)=1,"WO","P"))</f>
        <v>P</v>
      </c>
      <c r="AE31" s="4" t="str">
        <f>IFERROR(LOOKUP(2,1/((#REF!=dec!$A31)*(#REF!&lt;=dec!AE$3)*(#REF!&gt;=dec!AE$3)),#REF!),IF(WEEKDAY(dec!AE$3,1)=1,"WO","P"))</f>
        <v>P</v>
      </c>
      <c r="AF31" s="4" t="str">
        <f>IFERROR(LOOKUP(2,1/((#REF!=dec!$A31)*(#REF!&lt;=dec!AF$3)*(#REF!&gt;=dec!AF$3)),#REF!),IF(WEEKDAY(dec!AF$3,1)=1,"WO","P"))</f>
        <v>WO</v>
      </c>
      <c r="AG31" s="4" t="str">
        <f>IFERROR(LOOKUP(2,1/((#REF!=dec!$A31)*(#REF!&lt;=dec!AG$3)*(#REF!&gt;=dec!AG$3)),#REF!),IF(WEEKDAY(dec!AG$3,1)=1,"WO","P"))</f>
        <v>P</v>
      </c>
      <c r="AH31" s="4" t="str">
        <f>IFERROR(LOOKUP(2,1/((#REF!=dec!$A31)*(#REF!&lt;=dec!AH$3)*(#REF!&gt;=dec!AH$3)),#REF!),IF(WEEKDAY(dec!AH$3,1)=1,"WO","P"))</f>
        <v>P</v>
      </c>
      <c r="AI31" s="4" t="str">
        <f>IFERROR(LOOKUP(2,1/((#REF!=dec!$A31)*(#REF!&lt;=dec!AI$3)*(#REF!&gt;=dec!AI$3)),#REF!),IF(WEEKDAY(dec!AI$3,1)=1,"WO","P"))</f>
        <v>P</v>
      </c>
      <c r="AJ31" s="4" t="str">
        <f>IFERROR(LOOKUP(2,1/((#REF!=dec!$A31)*(#REF!&lt;=dec!AJ$3)*(#REF!&gt;=dec!AJ$3)),#REF!),IF(WEEKDAY(dec!AJ$3,1)=1,"WO","P"))</f>
        <v>P</v>
      </c>
      <c r="AK31" s="4">
        <f>COUNTIF(mar!$F31:$AJ31,"WO")</f>
        <v>5</v>
      </c>
      <c r="AL31" s="4">
        <f>COUNTIF(mar!$F31:$AJ31,"H")</f>
        <v>2</v>
      </c>
      <c r="AM31" s="4">
        <f>COUNTIF(mar!$F31:$AJ31,"pl")</f>
        <v>0</v>
      </c>
      <c r="AN31" s="4">
        <f>COUNTIF(mar!$F31:$AJ31,"LWP")</f>
        <v>0</v>
      </c>
      <c r="AO31" s="4">
        <f>COUNTIF(mar!$F31:$AJ31,"HD")</f>
        <v>0</v>
      </c>
      <c r="AP31" s="4">
        <f>COUNTIF(mar!$F31:$AJ31,"SL")</f>
        <v>0</v>
      </c>
      <c r="AQ31" s="4">
        <f>COUNTIF(mar!$F31:$AJ31,"CL")</f>
        <v>0</v>
      </c>
      <c r="AR31" s="4">
        <f>COUNTIF(mar!$F31:$AJ31,"A")</f>
        <v>0</v>
      </c>
      <c r="AS31" s="4">
        <f>COUNTIF(mar!$F31:$AJ31,"P")</f>
        <v>24</v>
      </c>
      <c r="AT31" s="4">
        <f t="shared" si="2"/>
        <v>31</v>
      </c>
      <c r="AU31" s="4">
        <f t="shared" si="3"/>
        <v>31</v>
      </c>
      <c r="AV31" s="4">
        <f>SUMIFS(holly!$L$2:$L$122,holly!$I$2:$I$122,mar!$A31,holly!$K$2:$K$122,"Mar")</f>
        <v>0</v>
      </c>
    </row>
    <row r="32" spans="1:48" ht="15.75" x14ac:dyDescent="0.25">
      <c r="A32" s="4" t="s">
        <v>55</v>
      </c>
      <c r="B32" s="4" t="str">
        <f>VLOOKUP($A32,Master!$A$2:$K$52,2,0)</f>
        <v>Employee28</v>
      </c>
      <c r="C32" s="4" t="str">
        <f>VLOOKUP($A32,Master!$A$2:$K$52,3,0)</f>
        <v>Male</v>
      </c>
      <c r="D32" s="4" t="str">
        <f>VLOOKUP($A32,Master!$A$2:$K$52,5,0)</f>
        <v>Warehouse</v>
      </c>
      <c r="E32" s="4" t="str">
        <f>VLOOKUP($A32,Master!$A$2:$K$52,6,0)</f>
        <v>Store Assistant</v>
      </c>
      <c r="F32" s="4" t="str">
        <f>IFERROR(LOOKUP(2,1/((#REF!=dec!$A32)*(#REF!&lt;=dec!F$3)*(#REF!&gt;=dec!F$3)),#REF!),IF(WEEKDAY(dec!F$3,1)=1,"WO","P"))</f>
        <v>P</v>
      </c>
      <c r="G32" s="4" t="str">
        <f>IFERROR(LOOKUP(2,1/((#REF!=dec!$A32)*(#REF!&lt;=dec!G$3)*(#REF!&gt;=dec!G$3)),#REF!),IF(WEEKDAY(dec!G$3,1)=1,"WO","P"))</f>
        <v>P</v>
      </c>
      <c r="H32" s="4" t="str">
        <f>IFERROR(LOOKUP(2,1/((#REF!=dec!$A32)*(#REF!&lt;=dec!H$3)*(#REF!&gt;=dec!H$3)),#REF!),IF(WEEKDAY(dec!H$3,1)=1,"WO","P"))</f>
        <v>P</v>
      </c>
      <c r="I32" s="4" t="str">
        <f>IFERROR(LOOKUP(2,1/((#REF!=dec!$A32)*(#REF!&lt;=dec!I$3)*(#REF!&gt;=dec!I$3)),#REF!),IF(WEEKDAY(dec!I$3,1)=1,"WO","P"))</f>
        <v>P</v>
      </c>
      <c r="J32" s="4" t="str">
        <f>IFERROR(LOOKUP(2,1/((#REF!=dec!$A32)*(#REF!&lt;=dec!J$3)*(#REF!&gt;=dec!J$3)),#REF!),IF(WEEKDAY(dec!J$3,1)=1,"WO","P"))</f>
        <v>P</v>
      </c>
      <c r="K32" s="4" t="str">
        <f>IFERROR(LOOKUP(2,1/((#REF!=dec!$A32)*(#REF!&lt;=dec!K$3)*(#REF!&gt;=dec!K$3)),#REF!),IF(WEEKDAY(dec!K$3,1)=1,"WO","P"))</f>
        <v>WO</v>
      </c>
      <c r="L32" s="4" t="str">
        <f>IFERROR(LOOKUP(2,1/((#REF!=dec!$A32)*(#REF!&lt;=dec!L$3)*(#REF!&gt;=dec!L$3)),#REF!),IF(WEEKDAY(dec!L$3,1)=1,"WO","P"))</f>
        <v>P</v>
      </c>
      <c r="M32" s="4" t="str">
        <f>IFERROR(LOOKUP(2,1/((#REF!=dec!$A32)*(#REF!&lt;=dec!M$3)*(#REF!&gt;=dec!M$3)),#REF!),IF(WEEKDAY(dec!M$3,1)=1,"WO","P"))</f>
        <v>P</v>
      </c>
      <c r="N32" s="4" t="str">
        <f>IFERROR(LOOKUP(2,1/((#REF!=dec!$A32)*(#REF!&lt;=dec!N$3)*(#REF!&gt;=dec!N$3)),#REF!),IF(WEEKDAY(dec!N$3,1)=1,"WO","P"))</f>
        <v>P</v>
      </c>
      <c r="O32" s="4" t="str">
        <f>IFERROR(LOOKUP(2,1/((#REF!=dec!$A32)*(#REF!&lt;=dec!O$3)*(#REF!&gt;=dec!O$3)),#REF!),IF(WEEKDAY(dec!O$3,1)=1,"WO","P"))</f>
        <v>P</v>
      </c>
      <c r="P32" s="4" t="str">
        <f>IFERROR(LOOKUP(2,1/((#REF!=dec!$A32)*(#REF!&lt;=dec!P$3)*(#REF!&gt;=dec!P$3)),#REF!),IF(WEEKDAY(dec!P$3,1)=1,"WO","P"))</f>
        <v>P</v>
      </c>
      <c r="Q32" s="4" t="str">
        <f>IFERROR(LOOKUP(2,1/((#REF!=dec!$A32)*(#REF!&lt;=dec!Q$3)*(#REF!&gt;=dec!Q$3)),#REF!),IF(WEEKDAY(dec!Q$3,1)=1,"WO","P"))</f>
        <v>P</v>
      </c>
      <c r="R32" s="4" t="str">
        <f>IFERROR(LOOKUP(2,1/((#REF!=dec!$A32)*(#REF!&lt;=dec!R$3)*(#REF!&gt;=dec!R$3)),#REF!),IF(WEEKDAY(dec!R$3,1)=1,"WO","P"))</f>
        <v>WO</v>
      </c>
      <c r="S32" s="4" t="str">
        <f>IFERROR(LOOKUP(2,1/((#REF!=dec!$A32)*(#REF!&lt;=dec!S$3)*(#REF!&gt;=dec!S$3)),#REF!),IF(WEEKDAY(dec!S$3,1)=1,"WO","P"))</f>
        <v>P</v>
      </c>
      <c r="T32" s="4" t="str">
        <f>IFERROR(LOOKUP(2,1/((#REF!=dec!$A32)*(#REF!&lt;=dec!T$3)*(#REF!&gt;=dec!T$3)),#REF!),IF(WEEKDAY(dec!T$3,1)=1,"WO","P"))</f>
        <v>P</v>
      </c>
      <c r="U32" s="4" t="str">
        <f>IFERROR(LOOKUP(2,1/((#REF!=dec!$A32)*(#REF!&lt;=dec!U$3)*(#REF!&gt;=dec!U$3)),#REF!),IF(WEEKDAY(dec!U$3,1)=1,"WO","P"))</f>
        <v>P</v>
      </c>
      <c r="V32" s="4" t="str">
        <f>IFERROR(LOOKUP(2,1/((#REF!=dec!$A32)*(#REF!&lt;=dec!V$3)*(#REF!&gt;=dec!V$3)),#REF!),IF(WEEKDAY(dec!V$3,1)=1,"WO","P"))</f>
        <v>P</v>
      </c>
      <c r="W32" s="4" t="str">
        <f>IFERROR(LOOKUP(2,1/((#REF!=dec!$A32)*(#REF!&lt;=dec!W$3)*(#REF!&gt;=dec!W$3)),#REF!),IF(WEEKDAY(dec!W$3,1)=1,"WO","P"))</f>
        <v>P</v>
      </c>
      <c r="X32" s="4" t="str">
        <f>IFERROR(LOOKUP(2,1/((#REF!=dec!$A32)*(#REF!&lt;=dec!X$3)*(#REF!&gt;=dec!X$3)),#REF!),IF(WEEKDAY(dec!X$3,1)=1,"WO","P"))</f>
        <v>P</v>
      </c>
      <c r="Y32" s="4" t="str">
        <f>IFERROR(LOOKUP(2,1/((#REF!=dec!$A32)*(#REF!&lt;=dec!Y$3)*(#REF!&gt;=dec!Y$3)),#REF!),IF(WEEKDAY(dec!Y$3,1)=1,"WO","P"))</f>
        <v>WO</v>
      </c>
      <c r="Z32" s="4" t="str">
        <f>IFERROR(LOOKUP(2,1/((#REF!=dec!$A32)*(#REF!&lt;=dec!Z$3)*(#REF!&gt;=dec!Z$3)),#REF!),IF(WEEKDAY(dec!Z$3,1)=1,"WO","P"))</f>
        <v>P</v>
      </c>
      <c r="AA32" s="4" t="str">
        <f>IFERROR(LOOKUP(2,1/((#REF!=dec!$A32)*(#REF!&lt;=dec!AA$3)*(#REF!&gt;=dec!AA$3)),#REF!),IF(WEEKDAY(dec!AA$3,1)=1,"WO","P"))</f>
        <v>P</v>
      </c>
      <c r="AB32" s="4" t="str">
        <f>IFERROR(LOOKUP(2,1/((#REF!=dec!$A32)*(#REF!&lt;=dec!AB$3)*(#REF!&gt;=dec!AB$3)),#REF!),IF(WEEKDAY(dec!AB$3,1)=1,"WO","P"))</f>
        <v>P</v>
      </c>
      <c r="AC32" s="4" t="str">
        <f>IFERROR(LOOKUP(2,1/((#REF!=dec!$A32)*(#REF!&lt;=dec!AC$3)*(#REF!&gt;=dec!AC$3)),#REF!),IF(WEEKDAY(dec!AC$3,1)=1,"WO","P"))</f>
        <v>P</v>
      </c>
      <c r="AD32" s="4" t="str">
        <f>IFERROR(LOOKUP(2,1/((#REF!=dec!$A32)*(#REF!&lt;=dec!AD$3)*(#REF!&gt;=dec!AD$3)),#REF!),IF(WEEKDAY(dec!AD$3,1)=1,"WO","P"))</f>
        <v>P</v>
      </c>
      <c r="AE32" s="4" t="str">
        <f>IFERROR(LOOKUP(2,1/((#REF!=dec!$A32)*(#REF!&lt;=dec!AE$3)*(#REF!&gt;=dec!AE$3)),#REF!),IF(WEEKDAY(dec!AE$3,1)=1,"WO","P"))</f>
        <v>P</v>
      </c>
      <c r="AF32" s="4" t="str">
        <f>IFERROR(LOOKUP(2,1/((#REF!=dec!$A32)*(#REF!&lt;=dec!AF$3)*(#REF!&gt;=dec!AF$3)),#REF!),IF(WEEKDAY(dec!AF$3,1)=1,"WO","P"))</f>
        <v>WO</v>
      </c>
      <c r="AG32" s="4" t="str">
        <f>IFERROR(LOOKUP(2,1/((#REF!=dec!$A32)*(#REF!&lt;=dec!AG$3)*(#REF!&gt;=dec!AG$3)),#REF!),IF(WEEKDAY(dec!AG$3,1)=1,"WO","P"))</f>
        <v>P</v>
      </c>
      <c r="AH32" s="4" t="str">
        <f>IFERROR(LOOKUP(2,1/((#REF!=dec!$A32)*(#REF!&lt;=dec!AH$3)*(#REF!&gt;=dec!AH$3)),#REF!),IF(WEEKDAY(dec!AH$3,1)=1,"WO","P"))</f>
        <v>P</v>
      </c>
      <c r="AI32" s="4" t="str">
        <f>IFERROR(LOOKUP(2,1/((#REF!=dec!$A32)*(#REF!&lt;=dec!AI$3)*(#REF!&gt;=dec!AI$3)),#REF!),IF(WEEKDAY(dec!AI$3,1)=1,"WO","P"))</f>
        <v>P</v>
      </c>
      <c r="AJ32" s="4" t="str">
        <f>IFERROR(LOOKUP(2,1/((#REF!=dec!$A32)*(#REF!&lt;=dec!AJ$3)*(#REF!&gt;=dec!AJ$3)),#REF!),IF(WEEKDAY(dec!AJ$3,1)=1,"WO","P"))</f>
        <v>P</v>
      </c>
      <c r="AK32" s="4">
        <f>COUNTIF(mar!$F32:$AJ32,"WO")</f>
        <v>5</v>
      </c>
      <c r="AL32" s="4">
        <f>COUNTIF(mar!$F32:$AJ32,"H")</f>
        <v>2</v>
      </c>
      <c r="AM32" s="4">
        <f>COUNTIF(mar!$F32:$AJ32,"pl")</f>
        <v>0</v>
      </c>
      <c r="AN32" s="4">
        <f>COUNTIF(mar!$F32:$AJ32,"LWP")</f>
        <v>0</v>
      </c>
      <c r="AO32" s="4">
        <f>COUNTIF(mar!$F32:$AJ32,"HD")</f>
        <v>0</v>
      </c>
      <c r="AP32" s="4">
        <f>COUNTIF(mar!$F32:$AJ32,"SL")</f>
        <v>0</v>
      </c>
      <c r="AQ32" s="4">
        <f>COUNTIF(mar!$F32:$AJ32,"CL")</f>
        <v>0</v>
      </c>
      <c r="AR32" s="4">
        <f>COUNTIF(mar!$F32:$AJ32,"A")</f>
        <v>1</v>
      </c>
      <c r="AS32" s="4">
        <f>COUNTIF(mar!$F32:$AJ32,"P")</f>
        <v>23</v>
      </c>
      <c r="AT32" s="4">
        <f t="shared" si="2"/>
        <v>31</v>
      </c>
      <c r="AU32" s="4">
        <f t="shared" si="3"/>
        <v>30</v>
      </c>
      <c r="AV32" s="4">
        <f>SUMIFS(holly!$L$2:$L$122,holly!$I$2:$I$122,mar!$A32,holly!$K$2:$K$122,"Mar")</f>
        <v>0</v>
      </c>
    </row>
    <row r="33" spans="1:48" ht="15.75" x14ac:dyDescent="0.25">
      <c r="A33" s="4" t="s">
        <v>56</v>
      </c>
      <c r="B33" s="4" t="str">
        <f>VLOOKUP($A33,Master!$A$2:$K$52,2,0)</f>
        <v>Employee29</v>
      </c>
      <c r="C33" s="4" t="str">
        <f>VLOOKUP($A33,Master!$A$2:$K$52,3,0)</f>
        <v>Male</v>
      </c>
      <c r="D33" s="4" t="str">
        <f>VLOOKUP($A33,Master!$A$2:$K$52,5,0)</f>
        <v>IT</v>
      </c>
      <c r="E33" s="4" t="str">
        <f>VLOOKUP($A33,Master!$A$2:$K$52,6,0)</f>
        <v>IT Support Executive</v>
      </c>
      <c r="F33" s="4" t="str">
        <f>IFERROR(LOOKUP(2,1/((#REF!=dec!$A33)*(#REF!&lt;=dec!F$3)*(#REF!&gt;=dec!F$3)),#REF!),IF(WEEKDAY(dec!F$3,1)=1,"WO","P"))</f>
        <v>P</v>
      </c>
      <c r="G33" s="4" t="str">
        <f>IFERROR(LOOKUP(2,1/((#REF!=dec!$A33)*(#REF!&lt;=dec!G$3)*(#REF!&gt;=dec!G$3)),#REF!),IF(WEEKDAY(dec!G$3,1)=1,"WO","P"))</f>
        <v>P</v>
      </c>
      <c r="H33" s="4" t="str">
        <f>IFERROR(LOOKUP(2,1/((#REF!=dec!$A33)*(#REF!&lt;=dec!H$3)*(#REF!&gt;=dec!H$3)),#REF!),IF(WEEKDAY(dec!H$3,1)=1,"WO","P"))</f>
        <v>P</v>
      </c>
      <c r="I33" s="4" t="str">
        <f>IFERROR(LOOKUP(2,1/((#REF!=dec!$A33)*(#REF!&lt;=dec!I$3)*(#REF!&gt;=dec!I$3)),#REF!),IF(WEEKDAY(dec!I$3,1)=1,"WO","P"))</f>
        <v>P</v>
      </c>
      <c r="J33" s="4" t="str">
        <f>IFERROR(LOOKUP(2,1/((#REF!=dec!$A33)*(#REF!&lt;=dec!J$3)*(#REF!&gt;=dec!J$3)),#REF!),IF(WEEKDAY(dec!J$3,1)=1,"WO","P"))</f>
        <v>P</v>
      </c>
      <c r="K33" s="4" t="str">
        <f>IFERROR(LOOKUP(2,1/((#REF!=dec!$A33)*(#REF!&lt;=dec!K$3)*(#REF!&gt;=dec!K$3)),#REF!),IF(WEEKDAY(dec!K$3,1)=1,"WO","P"))</f>
        <v>WO</v>
      </c>
      <c r="L33" s="4" t="str">
        <f>IFERROR(LOOKUP(2,1/((#REF!=dec!$A33)*(#REF!&lt;=dec!L$3)*(#REF!&gt;=dec!L$3)),#REF!),IF(WEEKDAY(dec!L$3,1)=1,"WO","P"))</f>
        <v>P</v>
      </c>
      <c r="M33" s="4" t="str">
        <f>IFERROR(LOOKUP(2,1/((#REF!=dec!$A33)*(#REF!&lt;=dec!M$3)*(#REF!&gt;=dec!M$3)),#REF!),IF(WEEKDAY(dec!M$3,1)=1,"WO","P"))</f>
        <v>P</v>
      </c>
      <c r="N33" s="4" t="str">
        <f>IFERROR(LOOKUP(2,1/((#REF!=dec!$A33)*(#REF!&lt;=dec!N$3)*(#REF!&gt;=dec!N$3)),#REF!),IF(WEEKDAY(dec!N$3,1)=1,"WO","P"))</f>
        <v>P</v>
      </c>
      <c r="O33" s="4" t="str">
        <f>IFERROR(LOOKUP(2,1/((#REF!=dec!$A33)*(#REF!&lt;=dec!O$3)*(#REF!&gt;=dec!O$3)),#REF!),IF(WEEKDAY(dec!O$3,1)=1,"WO","P"))</f>
        <v>P</v>
      </c>
      <c r="P33" s="4" t="str">
        <f>IFERROR(LOOKUP(2,1/((#REF!=dec!$A33)*(#REF!&lt;=dec!P$3)*(#REF!&gt;=dec!P$3)),#REF!),IF(WEEKDAY(dec!P$3,1)=1,"WO","P"))</f>
        <v>P</v>
      </c>
      <c r="Q33" s="4" t="str">
        <f>IFERROR(LOOKUP(2,1/((#REF!=dec!$A33)*(#REF!&lt;=dec!Q$3)*(#REF!&gt;=dec!Q$3)),#REF!),IF(WEEKDAY(dec!Q$3,1)=1,"WO","P"))</f>
        <v>P</v>
      </c>
      <c r="R33" s="4" t="str">
        <f>IFERROR(LOOKUP(2,1/((#REF!=dec!$A33)*(#REF!&lt;=dec!R$3)*(#REF!&gt;=dec!R$3)),#REF!),IF(WEEKDAY(dec!R$3,1)=1,"WO","P"))</f>
        <v>WO</v>
      </c>
      <c r="S33" s="4" t="str">
        <f>IFERROR(LOOKUP(2,1/((#REF!=dec!$A33)*(#REF!&lt;=dec!S$3)*(#REF!&gt;=dec!S$3)),#REF!),IF(WEEKDAY(dec!S$3,1)=1,"WO","P"))</f>
        <v>P</v>
      </c>
      <c r="T33" s="4" t="str">
        <f>IFERROR(LOOKUP(2,1/((#REF!=dec!$A33)*(#REF!&lt;=dec!T$3)*(#REF!&gt;=dec!T$3)),#REF!),IF(WEEKDAY(dec!T$3,1)=1,"WO","P"))</f>
        <v>P</v>
      </c>
      <c r="U33" s="4" t="str">
        <f>IFERROR(LOOKUP(2,1/((#REF!=dec!$A33)*(#REF!&lt;=dec!U$3)*(#REF!&gt;=dec!U$3)),#REF!),IF(WEEKDAY(dec!U$3,1)=1,"WO","P"))</f>
        <v>P</v>
      </c>
      <c r="V33" s="4" t="str">
        <f>IFERROR(LOOKUP(2,1/((#REF!=dec!$A33)*(#REF!&lt;=dec!V$3)*(#REF!&gt;=dec!V$3)),#REF!),IF(WEEKDAY(dec!V$3,1)=1,"WO","P"))</f>
        <v>P</v>
      </c>
      <c r="W33" s="4" t="str">
        <f>IFERROR(LOOKUP(2,1/((#REF!=dec!$A33)*(#REF!&lt;=dec!W$3)*(#REF!&gt;=dec!W$3)),#REF!),IF(WEEKDAY(dec!W$3,1)=1,"WO","P"))</f>
        <v>P</v>
      </c>
      <c r="X33" s="4" t="str">
        <f>IFERROR(LOOKUP(2,1/((#REF!=dec!$A33)*(#REF!&lt;=dec!X$3)*(#REF!&gt;=dec!X$3)),#REF!),IF(WEEKDAY(dec!X$3,1)=1,"WO","P"))</f>
        <v>P</v>
      </c>
      <c r="Y33" s="4" t="str">
        <f>IFERROR(LOOKUP(2,1/((#REF!=dec!$A33)*(#REF!&lt;=dec!Y$3)*(#REF!&gt;=dec!Y$3)),#REF!),IF(WEEKDAY(dec!Y$3,1)=1,"WO","P"))</f>
        <v>WO</v>
      </c>
      <c r="Z33" s="4" t="str">
        <f>IFERROR(LOOKUP(2,1/((#REF!=dec!$A33)*(#REF!&lt;=dec!Z$3)*(#REF!&gt;=dec!Z$3)),#REF!),IF(WEEKDAY(dec!Z$3,1)=1,"WO","P"))</f>
        <v>P</v>
      </c>
      <c r="AA33" s="4" t="str">
        <f>IFERROR(LOOKUP(2,1/((#REF!=dec!$A33)*(#REF!&lt;=dec!AA$3)*(#REF!&gt;=dec!AA$3)),#REF!),IF(WEEKDAY(dec!AA$3,1)=1,"WO","P"))</f>
        <v>P</v>
      </c>
      <c r="AB33" s="4" t="str">
        <f>IFERROR(LOOKUP(2,1/((#REF!=dec!$A33)*(#REF!&lt;=dec!AB$3)*(#REF!&gt;=dec!AB$3)),#REF!),IF(WEEKDAY(dec!AB$3,1)=1,"WO","P"))</f>
        <v>P</v>
      </c>
      <c r="AC33" s="4" t="str">
        <f>IFERROR(LOOKUP(2,1/((#REF!=dec!$A33)*(#REF!&lt;=dec!AC$3)*(#REF!&gt;=dec!AC$3)),#REF!),IF(WEEKDAY(dec!AC$3,1)=1,"WO","P"))</f>
        <v>P</v>
      </c>
      <c r="AD33" s="4" t="str">
        <f>IFERROR(LOOKUP(2,1/((#REF!=dec!$A33)*(#REF!&lt;=dec!AD$3)*(#REF!&gt;=dec!AD$3)),#REF!),IF(WEEKDAY(dec!AD$3,1)=1,"WO","P"))</f>
        <v>P</v>
      </c>
      <c r="AE33" s="4" t="str">
        <f>IFERROR(LOOKUP(2,1/((#REF!=dec!$A33)*(#REF!&lt;=dec!AE$3)*(#REF!&gt;=dec!AE$3)),#REF!),IF(WEEKDAY(dec!AE$3,1)=1,"WO","P"))</f>
        <v>P</v>
      </c>
      <c r="AF33" s="4" t="str">
        <f>IFERROR(LOOKUP(2,1/((#REF!=dec!$A33)*(#REF!&lt;=dec!AF$3)*(#REF!&gt;=dec!AF$3)),#REF!),IF(WEEKDAY(dec!AF$3,1)=1,"WO","P"))</f>
        <v>WO</v>
      </c>
      <c r="AG33" s="4" t="str">
        <f>IFERROR(LOOKUP(2,1/((#REF!=dec!$A33)*(#REF!&lt;=dec!AG$3)*(#REF!&gt;=dec!AG$3)),#REF!),IF(WEEKDAY(dec!AG$3,1)=1,"WO","P"))</f>
        <v>P</v>
      </c>
      <c r="AH33" s="4" t="str">
        <f>IFERROR(LOOKUP(2,1/((#REF!=dec!$A33)*(#REF!&lt;=dec!AH$3)*(#REF!&gt;=dec!AH$3)),#REF!),IF(WEEKDAY(dec!AH$3,1)=1,"WO","P"))</f>
        <v>P</v>
      </c>
      <c r="AI33" s="4" t="str">
        <f>IFERROR(LOOKUP(2,1/((#REF!=dec!$A33)*(#REF!&lt;=dec!AI$3)*(#REF!&gt;=dec!AI$3)),#REF!),IF(WEEKDAY(dec!AI$3,1)=1,"WO","P"))</f>
        <v>P</v>
      </c>
      <c r="AJ33" s="4" t="str">
        <f>IFERROR(LOOKUP(2,1/((#REF!=dec!$A33)*(#REF!&lt;=dec!AJ$3)*(#REF!&gt;=dec!AJ$3)),#REF!),IF(WEEKDAY(dec!AJ$3,1)=1,"WO","P"))</f>
        <v>P</v>
      </c>
      <c r="AK33" s="4">
        <f>COUNTIF(mar!$F33:$AJ33,"WO")</f>
        <v>5</v>
      </c>
      <c r="AL33" s="4">
        <f>COUNTIF(mar!$F33:$AJ33,"H")</f>
        <v>2</v>
      </c>
      <c r="AM33" s="4">
        <f>COUNTIF(mar!$F33:$AJ33,"pl")</f>
        <v>0</v>
      </c>
      <c r="AN33" s="4">
        <f>COUNTIF(mar!$F33:$AJ33,"LWP")</f>
        <v>0</v>
      </c>
      <c r="AO33" s="4">
        <f>COUNTIF(mar!$F33:$AJ33,"HD")</f>
        <v>0</v>
      </c>
      <c r="AP33" s="4">
        <f>COUNTIF(mar!$F33:$AJ33,"SL")</f>
        <v>0</v>
      </c>
      <c r="AQ33" s="4">
        <f>COUNTIF(mar!$F33:$AJ33,"CL")</f>
        <v>0</v>
      </c>
      <c r="AR33" s="4">
        <f>COUNTIF(mar!$F33:$AJ33,"A")</f>
        <v>0</v>
      </c>
      <c r="AS33" s="4">
        <f>COUNTIF(mar!$F33:$AJ33,"P")</f>
        <v>24</v>
      </c>
      <c r="AT33" s="4">
        <f t="shared" si="2"/>
        <v>31</v>
      </c>
      <c r="AU33" s="4">
        <f t="shared" si="3"/>
        <v>31</v>
      </c>
      <c r="AV33" s="4">
        <f>SUMIFS(holly!$L$2:$L$122,holly!$I$2:$I$122,mar!$A33,holly!$K$2:$K$122,"Mar")</f>
        <v>5</v>
      </c>
    </row>
    <row r="34" spans="1:48" ht="15.75" x14ac:dyDescent="0.25">
      <c r="A34" s="4" t="s">
        <v>59</v>
      </c>
      <c r="B34" s="4" t="str">
        <f>VLOOKUP($A34,Master!$A$2:$K$52,2,0)</f>
        <v>Employee30</v>
      </c>
      <c r="C34" s="4" t="str">
        <f>VLOOKUP($A34,Master!$A$2:$K$52,3,0)</f>
        <v>Male</v>
      </c>
      <c r="D34" s="4" t="str">
        <f>VLOOKUP($A34,Master!$A$2:$K$52,5,0)</f>
        <v>Production</v>
      </c>
      <c r="E34" s="4" t="str">
        <f>VLOOKUP($A34,Master!$A$2:$K$52,6,0)</f>
        <v>Operator</v>
      </c>
      <c r="F34" s="4" t="str">
        <f>IFERROR(LOOKUP(2,1/((#REF!=dec!$A34)*(#REF!&lt;=dec!F$3)*(#REF!&gt;=dec!F$3)),#REF!),IF(WEEKDAY(dec!F$3,1)=1,"WO","P"))</f>
        <v>P</v>
      </c>
      <c r="G34" s="4" t="str">
        <f>IFERROR(LOOKUP(2,1/((#REF!=dec!$A34)*(#REF!&lt;=dec!G$3)*(#REF!&gt;=dec!G$3)),#REF!),IF(WEEKDAY(dec!G$3,1)=1,"WO","P"))</f>
        <v>P</v>
      </c>
      <c r="H34" s="4" t="str">
        <f>IFERROR(LOOKUP(2,1/((#REF!=dec!$A34)*(#REF!&lt;=dec!H$3)*(#REF!&gt;=dec!H$3)),#REF!),IF(WEEKDAY(dec!H$3,1)=1,"WO","P"))</f>
        <v>P</v>
      </c>
      <c r="I34" s="4" t="str">
        <f>IFERROR(LOOKUP(2,1/((#REF!=dec!$A34)*(#REF!&lt;=dec!I$3)*(#REF!&gt;=dec!I$3)),#REF!),IF(WEEKDAY(dec!I$3,1)=1,"WO","P"))</f>
        <v>P</v>
      </c>
      <c r="J34" s="4" t="str">
        <f>IFERROR(LOOKUP(2,1/((#REF!=dec!$A34)*(#REF!&lt;=dec!J$3)*(#REF!&gt;=dec!J$3)),#REF!),IF(WEEKDAY(dec!J$3,1)=1,"WO","P"))</f>
        <v>P</v>
      </c>
      <c r="K34" s="4" t="str">
        <f>IFERROR(LOOKUP(2,1/((#REF!=dec!$A34)*(#REF!&lt;=dec!K$3)*(#REF!&gt;=dec!K$3)),#REF!),IF(WEEKDAY(dec!K$3,1)=1,"WO","P"))</f>
        <v>WO</v>
      </c>
      <c r="L34" s="4" t="str">
        <f>IFERROR(LOOKUP(2,1/((#REF!=dec!$A34)*(#REF!&lt;=dec!L$3)*(#REF!&gt;=dec!L$3)),#REF!),IF(WEEKDAY(dec!L$3,1)=1,"WO","P"))</f>
        <v>P</v>
      </c>
      <c r="M34" s="4" t="str">
        <f>IFERROR(LOOKUP(2,1/((#REF!=dec!$A34)*(#REF!&lt;=dec!M$3)*(#REF!&gt;=dec!M$3)),#REF!),IF(WEEKDAY(dec!M$3,1)=1,"WO","P"))</f>
        <v>P</v>
      </c>
      <c r="N34" s="4" t="str">
        <f>IFERROR(LOOKUP(2,1/((#REF!=dec!$A34)*(#REF!&lt;=dec!N$3)*(#REF!&gt;=dec!N$3)),#REF!),IF(WEEKDAY(dec!N$3,1)=1,"WO","P"))</f>
        <v>P</v>
      </c>
      <c r="O34" s="4" t="str">
        <f>IFERROR(LOOKUP(2,1/((#REF!=dec!$A34)*(#REF!&lt;=dec!O$3)*(#REF!&gt;=dec!O$3)),#REF!),IF(WEEKDAY(dec!O$3,1)=1,"WO","P"))</f>
        <v>P</v>
      </c>
      <c r="P34" s="4" t="str">
        <f>IFERROR(LOOKUP(2,1/((#REF!=dec!$A34)*(#REF!&lt;=dec!P$3)*(#REF!&gt;=dec!P$3)),#REF!),IF(WEEKDAY(dec!P$3,1)=1,"WO","P"))</f>
        <v>P</v>
      </c>
      <c r="Q34" s="4" t="str">
        <f>IFERROR(LOOKUP(2,1/((#REF!=dec!$A34)*(#REF!&lt;=dec!Q$3)*(#REF!&gt;=dec!Q$3)),#REF!),IF(WEEKDAY(dec!Q$3,1)=1,"WO","P"))</f>
        <v>P</v>
      </c>
      <c r="R34" s="4" t="str">
        <f>IFERROR(LOOKUP(2,1/((#REF!=dec!$A34)*(#REF!&lt;=dec!R$3)*(#REF!&gt;=dec!R$3)),#REF!),IF(WEEKDAY(dec!R$3,1)=1,"WO","P"))</f>
        <v>WO</v>
      </c>
      <c r="S34" s="4" t="str">
        <f>IFERROR(LOOKUP(2,1/((#REF!=dec!$A34)*(#REF!&lt;=dec!S$3)*(#REF!&gt;=dec!S$3)),#REF!),IF(WEEKDAY(dec!S$3,1)=1,"WO","P"))</f>
        <v>P</v>
      </c>
      <c r="T34" s="4" t="str">
        <f>IFERROR(LOOKUP(2,1/((#REF!=dec!$A34)*(#REF!&lt;=dec!T$3)*(#REF!&gt;=dec!T$3)),#REF!),IF(WEEKDAY(dec!T$3,1)=1,"WO","P"))</f>
        <v>P</v>
      </c>
      <c r="U34" s="4" t="str">
        <f>IFERROR(LOOKUP(2,1/((#REF!=dec!$A34)*(#REF!&lt;=dec!U$3)*(#REF!&gt;=dec!U$3)),#REF!),IF(WEEKDAY(dec!U$3,1)=1,"WO","P"))</f>
        <v>P</v>
      </c>
      <c r="V34" s="4" t="str">
        <f>IFERROR(LOOKUP(2,1/((#REF!=dec!$A34)*(#REF!&lt;=dec!V$3)*(#REF!&gt;=dec!V$3)),#REF!),IF(WEEKDAY(dec!V$3,1)=1,"WO","P"))</f>
        <v>P</v>
      </c>
      <c r="W34" s="4" t="str">
        <f>IFERROR(LOOKUP(2,1/((#REF!=dec!$A34)*(#REF!&lt;=dec!W$3)*(#REF!&gt;=dec!W$3)),#REF!),IF(WEEKDAY(dec!W$3,1)=1,"WO","P"))</f>
        <v>P</v>
      </c>
      <c r="X34" s="4" t="str">
        <f>IFERROR(LOOKUP(2,1/((#REF!=dec!$A34)*(#REF!&lt;=dec!X$3)*(#REF!&gt;=dec!X$3)),#REF!),IF(WEEKDAY(dec!X$3,1)=1,"WO","P"))</f>
        <v>P</v>
      </c>
      <c r="Y34" s="4" t="str">
        <f>IFERROR(LOOKUP(2,1/((#REF!=dec!$A34)*(#REF!&lt;=dec!Y$3)*(#REF!&gt;=dec!Y$3)),#REF!),IF(WEEKDAY(dec!Y$3,1)=1,"WO","P"))</f>
        <v>WO</v>
      </c>
      <c r="Z34" s="4" t="str">
        <f>IFERROR(LOOKUP(2,1/((#REF!=dec!$A34)*(#REF!&lt;=dec!Z$3)*(#REF!&gt;=dec!Z$3)),#REF!),IF(WEEKDAY(dec!Z$3,1)=1,"WO","P"))</f>
        <v>P</v>
      </c>
      <c r="AA34" s="4" t="str">
        <f>IFERROR(LOOKUP(2,1/((#REF!=dec!$A34)*(#REF!&lt;=dec!AA$3)*(#REF!&gt;=dec!AA$3)),#REF!),IF(WEEKDAY(dec!AA$3,1)=1,"WO","P"))</f>
        <v>P</v>
      </c>
      <c r="AB34" s="4" t="str">
        <f>IFERROR(LOOKUP(2,1/((#REF!=dec!$A34)*(#REF!&lt;=dec!AB$3)*(#REF!&gt;=dec!AB$3)),#REF!),IF(WEEKDAY(dec!AB$3,1)=1,"WO","P"))</f>
        <v>P</v>
      </c>
      <c r="AC34" s="4" t="str">
        <f>IFERROR(LOOKUP(2,1/((#REF!=dec!$A34)*(#REF!&lt;=dec!AC$3)*(#REF!&gt;=dec!AC$3)),#REF!),IF(WEEKDAY(dec!AC$3,1)=1,"WO","P"))</f>
        <v>P</v>
      </c>
      <c r="AD34" s="4" t="str">
        <f>IFERROR(LOOKUP(2,1/((#REF!=dec!$A34)*(#REF!&lt;=dec!AD$3)*(#REF!&gt;=dec!AD$3)),#REF!),IF(WEEKDAY(dec!AD$3,1)=1,"WO","P"))</f>
        <v>P</v>
      </c>
      <c r="AE34" s="4" t="str">
        <f>IFERROR(LOOKUP(2,1/((#REF!=dec!$A34)*(#REF!&lt;=dec!AE$3)*(#REF!&gt;=dec!AE$3)),#REF!),IF(WEEKDAY(dec!AE$3,1)=1,"WO","P"))</f>
        <v>P</v>
      </c>
      <c r="AF34" s="4" t="str">
        <f>IFERROR(LOOKUP(2,1/((#REF!=dec!$A34)*(#REF!&lt;=dec!AF$3)*(#REF!&gt;=dec!AF$3)),#REF!),IF(WEEKDAY(dec!AF$3,1)=1,"WO","P"))</f>
        <v>WO</v>
      </c>
      <c r="AG34" s="4" t="str">
        <f>IFERROR(LOOKUP(2,1/((#REF!=dec!$A34)*(#REF!&lt;=dec!AG$3)*(#REF!&gt;=dec!AG$3)),#REF!),IF(WEEKDAY(dec!AG$3,1)=1,"WO","P"))</f>
        <v>P</v>
      </c>
      <c r="AH34" s="4" t="str">
        <f>IFERROR(LOOKUP(2,1/((#REF!=dec!$A34)*(#REF!&lt;=dec!AH$3)*(#REF!&gt;=dec!AH$3)),#REF!),IF(WEEKDAY(dec!AH$3,1)=1,"WO","P"))</f>
        <v>P</v>
      </c>
      <c r="AI34" s="4" t="str">
        <f>IFERROR(LOOKUP(2,1/((#REF!=dec!$A34)*(#REF!&lt;=dec!AI$3)*(#REF!&gt;=dec!AI$3)),#REF!),IF(WEEKDAY(dec!AI$3,1)=1,"WO","P"))</f>
        <v>P</v>
      </c>
      <c r="AJ34" s="4" t="str">
        <f>IFERROR(LOOKUP(2,1/((#REF!=dec!$A34)*(#REF!&lt;=dec!AJ$3)*(#REF!&gt;=dec!AJ$3)),#REF!),IF(WEEKDAY(dec!AJ$3,1)=1,"WO","P"))</f>
        <v>P</v>
      </c>
      <c r="AK34" s="4">
        <f>COUNTIF(mar!$F34:$AJ34,"WO")</f>
        <v>5</v>
      </c>
      <c r="AL34" s="4">
        <f>COUNTIF(mar!$F34:$AJ34,"H")</f>
        <v>2</v>
      </c>
      <c r="AM34" s="4">
        <f>COUNTIF(mar!$F34:$AJ34,"pl")</f>
        <v>0</v>
      </c>
      <c r="AN34" s="4">
        <f>COUNTIF(mar!$F34:$AJ34,"LWP")</f>
        <v>1</v>
      </c>
      <c r="AO34" s="4">
        <f>COUNTIF(mar!$F34:$AJ34,"HD")</f>
        <v>0</v>
      </c>
      <c r="AP34" s="4">
        <f>COUNTIF(mar!$F34:$AJ34,"SL")</f>
        <v>0</v>
      </c>
      <c r="AQ34" s="4">
        <f>COUNTIF(mar!$F34:$AJ34,"CL")</f>
        <v>0</v>
      </c>
      <c r="AR34" s="4">
        <f>COUNTIF(mar!$F34:$AJ34,"A")</f>
        <v>0</v>
      </c>
      <c r="AS34" s="4">
        <f>COUNTIF(mar!$F34:$AJ34,"P")</f>
        <v>23</v>
      </c>
      <c r="AT34" s="4">
        <f t="shared" si="2"/>
        <v>31</v>
      </c>
      <c r="AU34" s="4">
        <f t="shared" si="3"/>
        <v>30</v>
      </c>
      <c r="AV34" s="4">
        <f>SUMIFS(holly!$L$2:$L$122,holly!$I$2:$I$122,mar!$A34,holly!$K$2:$K$122,"Mar")</f>
        <v>0</v>
      </c>
    </row>
    <row r="35" spans="1:48" ht="15.75" x14ac:dyDescent="0.25">
      <c r="A35" s="4" t="s">
        <v>60</v>
      </c>
      <c r="B35" s="4" t="str">
        <f>VLOOKUP($A35,Master!$A$2:$K$52,2,0)</f>
        <v>Employee31</v>
      </c>
      <c r="C35" s="4" t="str">
        <f>VLOOKUP($A35,Master!$A$2:$K$52,3,0)</f>
        <v>Male</v>
      </c>
      <c r="D35" s="4" t="str">
        <f>VLOOKUP($A35,Master!$A$2:$K$52,5,0)</f>
        <v>Production</v>
      </c>
      <c r="E35" s="4" t="str">
        <f>VLOOKUP($A35,Master!$A$2:$K$52,6,0)</f>
        <v>Supervisor</v>
      </c>
      <c r="F35" s="4" t="str">
        <f>IFERROR(LOOKUP(2,1/((#REF!=dec!$A35)*(#REF!&lt;=dec!F$3)*(#REF!&gt;=dec!F$3)),#REF!),IF(WEEKDAY(dec!F$3,1)=1,"WO","P"))</f>
        <v>P</v>
      </c>
      <c r="G35" s="4" t="str">
        <f>IFERROR(LOOKUP(2,1/((#REF!=dec!$A35)*(#REF!&lt;=dec!G$3)*(#REF!&gt;=dec!G$3)),#REF!),IF(WEEKDAY(dec!G$3,1)=1,"WO","P"))</f>
        <v>P</v>
      </c>
      <c r="H35" s="4" t="str">
        <f>IFERROR(LOOKUP(2,1/((#REF!=dec!$A35)*(#REF!&lt;=dec!H$3)*(#REF!&gt;=dec!H$3)),#REF!),IF(WEEKDAY(dec!H$3,1)=1,"WO","P"))</f>
        <v>P</v>
      </c>
      <c r="I35" s="4" t="str">
        <f>IFERROR(LOOKUP(2,1/((#REF!=dec!$A35)*(#REF!&lt;=dec!I$3)*(#REF!&gt;=dec!I$3)),#REF!),IF(WEEKDAY(dec!I$3,1)=1,"WO","P"))</f>
        <v>P</v>
      </c>
      <c r="J35" s="4" t="str">
        <f>IFERROR(LOOKUP(2,1/((#REF!=dec!$A35)*(#REF!&lt;=dec!J$3)*(#REF!&gt;=dec!J$3)),#REF!),IF(WEEKDAY(dec!J$3,1)=1,"WO","P"))</f>
        <v>P</v>
      </c>
      <c r="K35" s="4" t="str">
        <f>IFERROR(LOOKUP(2,1/((#REF!=dec!$A35)*(#REF!&lt;=dec!K$3)*(#REF!&gt;=dec!K$3)),#REF!),IF(WEEKDAY(dec!K$3,1)=1,"WO","P"))</f>
        <v>WO</v>
      </c>
      <c r="L35" s="4" t="str">
        <f>IFERROR(LOOKUP(2,1/((#REF!=dec!$A35)*(#REF!&lt;=dec!L$3)*(#REF!&gt;=dec!L$3)),#REF!),IF(WEEKDAY(dec!L$3,1)=1,"WO","P"))</f>
        <v>P</v>
      </c>
      <c r="M35" s="4" t="str">
        <f>IFERROR(LOOKUP(2,1/((#REF!=dec!$A35)*(#REF!&lt;=dec!M$3)*(#REF!&gt;=dec!M$3)),#REF!),IF(WEEKDAY(dec!M$3,1)=1,"WO","P"))</f>
        <v>P</v>
      </c>
      <c r="N35" s="4" t="str">
        <f>IFERROR(LOOKUP(2,1/((#REF!=dec!$A35)*(#REF!&lt;=dec!N$3)*(#REF!&gt;=dec!N$3)),#REF!),IF(WEEKDAY(dec!N$3,1)=1,"WO","P"))</f>
        <v>P</v>
      </c>
      <c r="O35" s="4" t="str">
        <f>IFERROR(LOOKUP(2,1/((#REF!=dec!$A35)*(#REF!&lt;=dec!O$3)*(#REF!&gt;=dec!O$3)),#REF!),IF(WEEKDAY(dec!O$3,1)=1,"WO","P"))</f>
        <v>P</v>
      </c>
      <c r="P35" s="4" t="str">
        <f>IFERROR(LOOKUP(2,1/((#REF!=dec!$A35)*(#REF!&lt;=dec!P$3)*(#REF!&gt;=dec!P$3)),#REF!),IF(WEEKDAY(dec!P$3,1)=1,"WO","P"))</f>
        <v>P</v>
      </c>
      <c r="Q35" s="4" t="str">
        <f>IFERROR(LOOKUP(2,1/((#REF!=dec!$A35)*(#REF!&lt;=dec!Q$3)*(#REF!&gt;=dec!Q$3)),#REF!),IF(WEEKDAY(dec!Q$3,1)=1,"WO","P"))</f>
        <v>P</v>
      </c>
      <c r="R35" s="4" t="str">
        <f>IFERROR(LOOKUP(2,1/((#REF!=dec!$A35)*(#REF!&lt;=dec!R$3)*(#REF!&gt;=dec!R$3)),#REF!),IF(WEEKDAY(dec!R$3,1)=1,"WO","P"))</f>
        <v>WO</v>
      </c>
      <c r="S35" s="4" t="str">
        <f>IFERROR(LOOKUP(2,1/((#REF!=dec!$A35)*(#REF!&lt;=dec!S$3)*(#REF!&gt;=dec!S$3)),#REF!),IF(WEEKDAY(dec!S$3,1)=1,"WO","P"))</f>
        <v>P</v>
      </c>
      <c r="T35" s="4" t="str">
        <f>IFERROR(LOOKUP(2,1/((#REF!=dec!$A35)*(#REF!&lt;=dec!T$3)*(#REF!&gt;=dec!T$3)),#REF!),IF(WEEKDAY(dec!T$3,1)=1,"WO","P"))</f>
        <v>P</v>
      </c>
      <c r="U35" s="4" t="str">
        <f>IFERROR(LOOKUP(2,1/((#REF!=dec!$A35)*(#REF!&lt;=dec!U$3)*(#REF!&gt;=dec!U$3)),#REF!),IF(WEEKDAY(dec!U$3,1)=1,"WO","P"))</f>
        <v>P</v>
      </c>
      <c r="V35" s="4" t="str">
        <f>IFERROR(LOOKUP(2,1/((#REF!=dec!$A35)*(#REF!&lt;=dec!V$3)*(#REF!&gt;=dec!V$3)),#REF!),IF(WEEKDAY(dec!V$3,1)=1,"WO","P"))</f>
        <v>P</v>
      </c>
      <c r="W35" s="4" t="str">
        <f>IFERROR(LOOKUP(2,1/((#REF!=dec!$A35)*(#REF!&lt;=dec!W$3)*(#REF!&gt;=dec!W$3)),#REF!),IF(WEEKDAY(dec!W$3,1)=1,"WO","P"))</f>
        <v>P</v>
      </c>
      <c r="X35" s="4" t="str">
        <f>IFERROR(LOOKUP(2,1/((#REF!=dec!$A35)*(#REF!&lt;=dec!X$3)*(#REF!&gt;=dec!X$3)),#REF!),IF(WEEKDAY(dec!X$3,1)=1,"WO","P"))</f>
        <v>P</v>
      </c>
      <c r="Y35" s="4" t="str">
        <f>IFERROR(LOOKUP(2,1/((#REF!=dec!$A35)*(#REF!&lt;=dec!Y$3)*(#REF!&gt;=dec!Y$3)),#REF!),IF(WEEKDAY(dec!Y$3,1)=1,"WO","P"))</f>
        <v>WO</v>
      </c>
      <c r="Z35" s="4" t="str">
        <f>IFERROR(LOOKUP(2,1/((#REF!=dec!$A35)*(#REF!&lt;=dec!Z$3)*(#REF!&gt;=dec!Z$3)),#REF!),IF(WEEKDAY(dec!Z$3,1)=1,"WO","P"))</f>
        <v>P</v>
      </c>
      <c r="AA35" s="4" t="str">
        <f>IFERROR(LOOKUP(2,1/((#REF!=dec!$A35)*(#REF!&lt;=dec!AA$3)*(#REF!&gt;=dec!AA$3)),#REF!),IF(WEEKDAY(dec!AA$3,1)=1,"WO","P"))</f>
        <v>P</v>
      </c>
      <c r="AB35" s="4" t="str">
        <f>IFERROR(LOOKUP(2,1/((#REF!=dec!$A35)*(#REF!&lt;=dec!AB$3)*(#REF!&gt;=dec!AB$3)),#REF!),IF(WEEKDAY(dec!AB$3,1)=1,"WO","P"))</f>
        <v>P</v>
      </c>
      <c r="AC35" s="4" t="str">
        <f>IFERROR(LOOKUP(2,1/((#REF!=dec!$A35)*(#REF!&lt;=dec!AC$3)*(#REF!&gt;=dec!AC$3)),#REF!),IF(WEEKDAY(dec!AC$3,1)=1,"WO","P"))</f>
        <v>P</v>
      </c>
      <c r="AD35" s="4" t="str">
        <f>IFERROR(LOOKUP(2,1/((#REF!=dec!$A35)*(#REF!&lt;=dec!AD$3)*(#REF!&gt;=dec!AD$3)),#REF!),IF(WEEKDAY(dec!AD$3,1)=1,"WO","P"))</f>
        <v>P</v>
      </c>
      <c r="AE35" s="4" t="str">
        <f>IFERROR(LOOKUP(2,1/((#REF!=dec!$A35)*(#REF!&lt;=dec!AE$3)*(#REF!&gt;=dec!AE$3)),#REF!),IF(WEEKDAY(dec!AE$3,1)=1,"WO","P"))</f>
        <v>P</v>
      </c>
      <c r="AF35" s="4" t="str">
        <f>IFERROR(LOOKUP(2,1/((#REF!=dec!$A35)*(#REF!&lt;=dec!AF$3)*(#REF!&gt;=dec!AF$3)),#REF!),IF(WEEKDAY(dec!AF$3,1)=1,"WO","P"))</f>
        <v>WO</v>
      </c>
      <c r="AG35" s="4" t="str">
        <f>IFERROR(LOOKUP(2,1/((#REF!=dec!$A35)*(#REF!&lt;=dec!AG$3)*(#REF!&gt;=dec!AG$3)),#REF!),IF(WEEKDAY(dec!AG$3,1)=1,"WO","P"))</f>
        <v>P</v>
      </c>
      <c r="AH35" s="4" t="str">
        <f>IFERROR(LOOKUP(2,1/((#REF!=dec!$A35)*(#REF!&lt;=dec!AH$3)*(#REF!&gt;=dec!AH$3)),#REF!),IF(WEEKDAY(dec!AH$3,1)=1,"WO","P"))</f>
        <v>P</v>
      </c>
      <c r="AI35" s="4" t="str">
        <f>IFERROR(LOOKUP(2,1/((#REF!=dec!$A35)*(#REF!&lt;=dec!AI$3)*(#REF!&gt;=dec!AI$3)),#REF!),IF(WEEKDAY(dec!AI$3,1)=1,"WO","P"))</f>
        <v>P</v>
      </c>
      <c r="AJ35" s="4" t="str">
        <f>IFERROR(LOOKUP(2,1/((#REF!=dec!$A35)*(#REF!&lt;=dec!AJ$3)*(#REF!&gt;=dec!AJ$3)),#REF!),IF(WEEKDAY(dec!AJ$3,1)=1,"WO","P"))</f>
        <v>P</v>
      </c>
      <c r="AK35" s="4">
        <f>COUNTIF(mar!$F35:$AJ35,"WO")</f>
        <v>5</v>
      </c>
      <c r="AL35" s="4">
        <f>COUNTIF(mar!$F35:$AJ35,"H")</f>
        <v>2</v>
      </c>
      <c r="AM35" s="4">
        <f>COUNTIF(mar!$F35:$AJ35,"pl")</f>
        <v>0</v>
      </c>
      <c r="AN35" s="4">
        <f>COUNTIF(mar!$F35:$AJ35,"LWP")</f>
        <v>0</v>
      </c>
      <c r="AO35" s="4">
        <f>COUNTIF(mar!$F35:$AJ35,"HD")</f>
        <v>0</v>
      </c>
      <c r="AP35" s="4">
        <f>COUNTIF(mar!$F35:$AJ35,"SL")</f>
        <v>0</v>
      </c>
      <c r="AQ35" s="4">
        <f>COUNTIF(mar!$F35:$AJ35,"CL")</f>
        <v>0</v>
      </c>
      <c r="AR35" s="4">
        <f>COUNTIF(mar!$F35:$AJ35,"A")</f>
        <v>0</v>
      </c>
      <c r="AS35" s="4">
        <f>COUNTIF(mar!$F35:$AJ35,"P")</f>
        <v>24</v>
      </c>
      <c r="AT35" s="4">
        <f t="shared" si="2"/>
        <v>31</v>
      </c>
      <c r="AU35" s="4">
        <f t="shared" si="3"/>
        <v>31</v>
      </c>
      <c r="AV35" s="4">
        <f>SUMIFS(holly!$L$2:$L$122,holly!$I$2:$I$122,mar!$A35,holly!$K$2:$K$122,"Mar")</f>
        <v>0</v>
      </c>
    </row>
    <row r="36" spans="1:48" ht="15.75" x14ac:dyDescent="0.25">
      <c r="A36" s="4" t="s">
        <v>61</v>
      </c>
      <c r="B36" s="4" t="str">
        <f>VLOOKUP($A36,Master!$A$2:$K$52,2,0)</f>
        <v>Employee32</v>
      </c>
      <c r="C36" s="4" t="str">
        <f>VLOOKUP($A36,Master!$A$2:$K$52,3,0)</f>
        <v>Male</v>
      </c>
      <c r="D36" s="4" t="str">
        <f>VLOOKUP($A36,Master!$A$2:$K$52,5,0)</f>
        <v>Production</v>
      </c>
      <c r="E36" s="4" t="str">
        <f>VLOOKUP($A36,Master!$A$2:$K$52,6,0)</f>
        <v>Supervisor</v>
      </c>
      <c r="F36" s="4" t="str">
        <f>IFERROR(LOOKUP(2,1/((#REF!=dec!$A36)*(#REF!&lt;=dec!F$3)*(#REF!&gt;=dec!F$3)),#REF!),IF(WEEKDAY(dec!F$3,1)=1,"WO","P"))</f>
        <v>P</v>
      </c>
      <c r="G36" s="4" t="str">
        <f>IFERROR(LOOKUP(2,1/((#REF!=dec!$A36)*(#REF!&lt;=dec!G$3)*(#REF!&gt;=dec!G$3)),#REF!),IF(WEEKDAY(dec!G$3,1)=1,"WO","P"))</f>
        <v>P</v>
      </c>
      <c r="H36" s="4" t="str">
        <f>IFERROR(LOOKUP(2,1/((#REF!=dec!$A36)*(#REF!&lt;=dec!H$3)*(#REF!&gt;=dec!H$3)),#REF!),IF(WEEKDAY(dec!H$3,1)=1,"WO","P"))</f>
        <v>P</v>
      </c>
      <c r="I36" s="4" t="str">
        <f>IFERROR(LOOKUP(2,1/((#REF!=dec!$A36)*(#REF!&lt;=dec!I$3)*(#REF!&gt;=dec!I$3)),#REF!),IF(WEEKDAY(dec!I$3,1)=1,"WO","P"))</f>
        <v>P</v>
      </c>
      <c r="J36" s="4" t="str">
        <f>IFERROR(LOOKUP(2,1/((#REF!=dec!$A36)*(#REF!&lt;=dec!J$3)*(#REF!&gt;=dec!J$3)),#REF!),IF(WEEKDAY(dec!J$3,1)=1,"WO","P"))</f>
        <v>P</v>
      </c>
      <c r="K36" s="4" t="str">
        <f>IFERROR(LOOKUP(2,1/((#REF!=dec!$A36)*(#REF!&lt;=dec!K$3)*(#REF!&gt;=dec!K$3)),#REF!),IF(WEEKDAY(dec!K$3,1)=1,"WO","P"))</f>
        <v>WO</v>
      </c>
      <c r="L36" s="4" t="str">
        <f>IFERROR(LOOKUP(2,1/((#REF!=dec!$A36)*(#REF!&lt;=dec!L$3)*(#REF!&gt;=dec!L$3)),#REF!),IF(WEEKDAY(dec!L$3,1)=1,"WO","P"))</f>
        <v>P</v>
      </c>
      <c r="M36" s="4" t="str">
        <f>IFERROR(LOOKUP(2,1/((#REF!=dec!$A36)*(#REF!&lt;=dec!M$3)*(#REF!&gt;=dec!M$3)),#REF!),IF(WEEKDAY(dec!M$3,1)=1,"WO","P"))</f>
        <v>P</v>
      </c>
      <c r="N36" s="4" t="str">
        <f>IFERROR(LOOKUP(2,1/((#REF!=dec!$A36)*(#REF!&lt;=dec!N$3)*(#REF!&gt;=dec!N$3)),#REF!),IF(WEEKDAY(dec!N$3,1)=1,"WO","P"))</f>
        <v>P</v>
      </c>
      <c r="O36" s="4" t="str">
        <f>IFERROR(LOOKUP(2,1/((#REF!=dec!$A36)*(#REF!&lt;=dec!O$3)*(#REF!&gt;=dec!O$3)),#REF!),IF(WEEKDAY(dec!O$3,1)=1,"WO","P"))</f>
        <v>P</v>
      </c>
      <c r="P36" s="4" t="str">
        <f>IFERROR(LOOKUP(2,1/((#REF!=dec!$A36)*(#REF!&lt;=dec!P$3)*(#REF!&gt;=dec!P$3)),#REF!),IF(WEEKDAY(dec!P$3,1)=1,"WO","P"))</f>
        <v>P</v>
      </c>
      <c r="Q36" s="4" t="str">
        <f>IFERROR(LOOKUP(2,1/((#REF!=dec!$A36)*(#REF!&lt;=dec!Q$3)*(#REF!&gt;=dec!Q$3)),#REF!),IF(WEEKDAY(dec!Q$3,1)=1,"WO","P"))</f>
        <v>P</v>
      </c>
      <c r="R36" s="4" t="str">
        <f>IFERROR(LOOKUP(2,1/((#REF!=dec!$A36)*(#REF!&lt;=dec!R$3)*(#REF!&gt;=dec!R$3)),#REF!),IF(WEEKDAY(dec!R$3,1)=1,"WO","P"))</f>
        <v>WO</v>
      </c>
      <c r="S36" s="4" t="str">
        <f>IFERROR(LOOKUP(2,1/((#REF!=dec!$A36)*(#REF!&lt;=dec!S$3)*(#REF!&gt;=dec!S$3)),#REF!),IF(WEEKDAY(dec!S$3,1)=1,"WO","P"))</f>
        <v>P</v>
      </c>
      <c r="T36" s="4" t="str">
        <f>IFERROR(LOOKUP(2,1/((#REF!=dec!$A36)*(#REF!&lt;=dec!T$3)*(#REF!&gt;=dec!T$3)),#REF!),IF(WEEKDAY(dec!T$3,1)=1,"WO","P"))</f>
        <v>P</v>
      </c>
      <c r="U36" s="4" t="str">
        <f>IFERROR(LOOKUP(2,1/((#REF!=dec!$A36)*(#REF!&lt;=dec!U$3)*(#REF!&gt;=dec!U$3)),#REF!),IF(WEEKDAY(dec!U$3,1)=1,"WO","P"))</f>
        <v>P</v>
      </c>
      <c r="V36" s="4" t="str">
        <f>IFERROR(LOOKUP(2,1/((#REF!=dec!$A36)*(#REF!&lt;=dec!V$3)*(#REF!&gt;=dec!V$3)),#REF!),IF(WEEKDAY(dec!V$3,1)=1,"WO","P"))</f>
        <v>P</v>
      </c>
      <c r="W36" s="4" t="str">
        <f>IFERROR(LOOKUP(2,1/((#REF!=dec!$A36)*(#REF!&lt;=dec!W$3)*(#REF!&gt;=dec!W$3)),#REF!),IF(WEEKDAY(dec!W$3,1)=1,"WO","P"))</f>
        <v>P</v>
      </c>
      <c r="X36" s="4" t="str">
        <f>IFERROR(LOOKUP(2,1/((#REF!=dec!$A36)*(#REF!&lt;=dec!X$3)*(#REF!&gt;=dec!X$3)),#REF!),IF(WEEKDAY(dec!X$3,1)=1,"WO","P"))</f>
        <v>P</v>
      </c>
      <c r="Y36" s="4" t="str">
        <f>IFERROR(LOOKUP(2,1/((#REF!=dec!$A36)*(#REF!&lt;=dec!Y$3)*(#REF!&gt;=dec!Y$3)),#REF!),IF(WEEKDAY(dec!Y$3,1)=1,"WO","P"))</f>
        <v>WO</v>
      </c>
      <c r="Z36" s="4" t="str">
        <f>IFERROR(LOOKUP(2,1/((#REF!=dec!$A36)*(#REF!&lt;=dec!Z$3)*(#REF!&gt;=dec!Z$3)),#REF!),IF(WEEKDAY(dec!Z$3,1)=1,"WO","P"))</f>
        <v>P</v>
      </c>
      <c r="AA36" s="4" t="str">
        <f>IFERROR(LOOKUP(2,1/((#REF!=dec!$A36)*(#REF!&lt;=dec!AA$3)*(#REF!&gt;=dec!AA$3)),#REF!),IF(WEEKDAY(dec!AA$3,1)=1,"WO","P"))</f>
        <v>P</v>
      </c>
      <c r="AB36" s="4" t="str">
        <f>IFERROR(LOOKUP(2,1/((#REF!=dec!$A36)*(#REF!&lt;=dec!AB$3)*(#REF!&gt;=dec!AB$3)),#REF!),IF(WEEKDAY(dec!AB$3,1)=1,"WO","P"))</f>
        <v>P</v>
      </c>
      <c r="AC36" s="4" t="str">
        <f>IFERROR(LOOKUP(2,1/((#REF!=dec!$A36)*(#REF!&lt;=dec!AC$3)*(#REF!&gt;=dec!AC$3)),#REF!),IF(WEEKDAY(dec!AC$3,1)=1,"WO","P"))</f>
        <v>P</v>
      </c>
      <c r="AD36" s="4" t="str">
        <f>IFERROR(LOOKUP(2,1/((#REF!=dec!$A36)*(#REF!&lt;=dec!AD$3)*(#REF!&gt;=dec!AD$3)),#REF!),IF(WEEKDAY(dec!AD$3,1)=1,"WO","P"))</f>
        <v>P</v>
      </c>
      <c r="AE36" s="4" t="str">
        <f>IFERROR(LOOKUP(2,1/((#REF!=dec!$A36)*(#REF!&lt;=dec!AE$3)*(#REF!&gt;=dec!AE$3)),#REF!),IF(WEEKDAY(dec!AE$3,1)=1,"WO","P"))</f>
        <v>P</v>
      </c>
      <c r="AF36" s="4" t="str">
        <f>IFERROR(LOOKUP(2,1/((#REF!=dec!$A36)*(#REF!&lt;=dec!AF$3)*(#REF!&gt;=dec!AF$3)),#REF!),IF(WEEKDAY(dec!AF$3,1)=1,"WO","P"))</f>
        <v>WO</v>
      </c>
      <c r="AG36" s="4" t="str">
        <f>IFERROR(LOOKUP(2,1/((#REF!=dec!$A36)*(#REF!&lt;=dec!AG$3)*(#REF!&gt;=dec!AG$3)),#REF!),IF(WEEKDAY(dec!AG$3,1)=1,"WO","P"))</f>
        <v>P</v>
      </c>
      <c r="AH36" s="4" t="str">
        <f>IFERROR(LOOKUP(2,1/((#REF!=dec!$A36)*(#REF!&lt;=dec!AH$3)*(#REF!&gt;=dec!AH$3)),#REF!),IF(WEEKDAY(dec!AH$3,1)=1,"WO","P"))</f>
        <v>P</v>
      </c>
      <c r="AI36" s="4" t="str">
        <f>IFERROR(LOOKUP(2,1/((#REF!=dec!$A36)*(#REF!&lt;=dec!AI$3)*(#REF!&gt;=dec!AI$3)),#REF!),IF(WEEKDAY(dec!AI$3,1)=1,"WO","P"))</f>
        <v>P</v>
      </c>
      <c r="AJ36" s="4" t="str">
        <f>IFERROR(LOOKUP(2,1/((#REF!=dec!$A36)*(#REF!&lt;=dec!AJ$3)*(#REF!&gt;=dec!AJ$3)),#REF!),IF(WEEKDAY(dec!AJ$3,1)=1,"WO","P"))</f>
        <v>P</v>
      </c>
      <c r="AK36" s="4">
        <f>COUNTIF(mar!$F36:$AJ36,"WO")</f>
        <v>5</v>
      </c>
      <c r="AL36" s="4">
        <f>COUNTIF(mar!$F36:$AJ36,"H")</f>
        <v>2</v>
      </c>
      <c r="AM36" s="4">
        <f>COUNTIF(mar!$F36:$AJ36,"pl")</f>
        <v>0</v>
      </c>
      <c r="AN36" s="4">
        <f>COUNTIF(mar!$F36:$AJ36,"LWP")</f>
        <v>0</v>
      </c>
      <c r="AO36" s="4">
        <f>COUNTIF(mar!$F36:$AJ36,"HD")</f>
        <v>0</v>
      </c>
      <c r="AP36" s="4">
        <f>COUNTIF(mar!$F36:$AJ36,"SL")</f>
        <v>0</v>
      </c>
      <c r="AQ36" s="4">
        <f>COUNTIF(mar!$F36:$AJ36,"CL")</f>
        <v>0</v>
      </c>
      <c r="AR36" s="4">
        <f>COUNTIF(mar!$F36:$AJ36,"A")</f>
        <v>0</v>
      </c>
      <c r="AS36" s="4">
        <f>COUNTIF(mar!$F36:$AJ36,"P")</f>
        <v>24</v>
      </c>
      <c r="AT36" s="4">
        <f t="shared" si="2"/>
        <v>31</v>
      </c>
      <c r="AU36" s="4">
        <f t="shared" si="3"/>
        <v>31</v>
      </c>
      <c r="AV36" s="4">
        <f>SUMIFS(holly!$L$2:$L$122,holly!$I$2:$I$122,mar!$A36,holly!$K$2:$K$122,"Mar")</f>
        <v>0</v>
      </c>
    </row>
    <row r="37" spans="1:48" ht="15.75" x14ac:dyDescent="0.25">
      <c r="A37" s="4" t="s">
        <v>62</v>
      </c>
      <c r="B37" s="4" t="str">
        <f>VLOOKUP($A37,Master!$A$2:$K$52,2,0)</f>
        <v>Employee33</v>
      </c>
      <c r="C37" s="4" t="str">
        <f>VLOOKUP($A37,Master!$A$2:$K$52,3,0)</f>
        <v>Male</v>
      </c>
      <c r="D37" s="4" t="str">
        <f>VLOOKUP($A37,Master!$A$2:$K$52,5,0)</f>
        <v>Maintenance</v>
      </c>
      <c r="E37" s="4" t="str">
        <f>VLOOKUP($A37,Master!$A$2:$K$52,6,0)</f>
        <v>Technician</v>
      </c>
      <c r="F37" s="4" t="str">
        <f>IFERROR(LOOKUP(2,1/((#REF!=dec!$A37)*(#REF!&lt;=dec!F$3)*(#REF!&gt;=dec!F$3)),#REF!),IF(WEEKDAY(dec!F$3,1)=1,"WO","P"))</f>
        <v>P</v>
      </c>
      <c r="G37" s="4" t="str">
        <f>IFERROR(LOOKUP(2,1/((#REF!=dec!$A37)*(#REF!&lt;=dec!G$3)*(#REF!&gt;=dec!G$3)),#REF!),IF(WEEKDAY(dec!G$3,1)=1,"WO","P"))</f>
        <v>P</v>
      </c>
      <c r="H37" s="4" t="str">
        <f>IFERROR(LOOKUP(2,1/((#REF!=dec!$A37)*(#REF!&lt;=dec!H$3)*(#REF!&gt;=dec!H$3)),#REF!),IF(WEEKDAY(dec!H$3,1)=1,"WO","P"))</f>
        <v>P</v>
      </c>
      <c r="I37" s="4" t="str">
        <f>IFERROR(LOOKUP(2,1/((#REF!=dec!$A37)*(#REF!&lt;=dec!I$3)*(#REF!&gt;=dec!I$3)),#REF!),IF(WEEKDAY(dec!I$3,1)=1,"WO","P"))</f>
        <v>P</v>
      </c>
      <c r="J37" s="4" t="str">
        <f>IFERROR(LOOKUP(2,1/((#REF!=dec!$A37)*(#REF!&lt;=dec!J$3)*(#REF!&gt;=dec!J$3)),#REF!),IF(WEEKDAY(dec!J$3,1)=1,"WO","P"))</f>
        <v>P</v>
      </c>
      <c r="K37" s="4" t="str">
        <f>IFERROR(LOOKUP(2,1/((#REF!=dec!$A37)*(#REF!&lt;=dec!K$3)*(#REF!&gt;=dec!K$3)),#REF!),IF(WEEKDAY(dec!K$3,1)=1,"WO","P"))</f>
        <v>WO</v>
      </c>
      <c r="L37" s="4" t="str">
        <f>IFERROR(LOOKUP(2,1/((#REF!=dec!$A37)*(#REF!&lt;=dec!L$3)*(#REF!&gt;=dec!L$3)),#REF!),IF(WEEKDAY(dec!L$3,1)=1,"WO","P"))</f>
        <v>P</v>
      </c>
      <c r="M37" s="4" t="str">
        <f>IFERROR(LOOKUP(2,1/((#REF!=dec!$A37)*(#REF!&lt;=dec!M$3)*(#REF!&gt;=dec!M$3)),#REF!),IF(WEEKDAY(dec!M$3,1)=1,"WO","P"))</f>
        <v>P</v>
      </c>
      <c r="N37" s="4" t="str">
        <f>IFERROR(LOOKUP(2,1/((#REF!=dec!$A37)*(#REF!&lt;=dec!N$3)*(#REF!&gt;=dec!N$3)),#REF!),IF(WEEKDAY(dec!N$3,1)=1,"WO","P"))</f>
        <v>P</v>
      </c>
      <c r="O37" s="4" t="str">
        <f>IFERROR(LOOKUP(2,1/((#REF!=dec!$A37)*(#REF!&lt;=dec!O$3)*(#REF!&gt;=dec!O$3)),#REF!),IF(WEEKDAY(dec!O$3,1)=1,"WO","P"))</f>
        <v>P</v>
      </c>
      <c r="P37" s="4" t="str">
        <f>IFERROR(LOOKUP(2,1/((#REF!=dec!$A37)*(#REF!&lt;=dec!P$3)*(#REF!&gt;=dec!P$3)),#REF!),IF(WEEKDAY(dec!P$3,1)=1,"WO","P"))</f>
        <v>P</v>
      </c>
      <c r="Q37" s="4" t="str">
        <f>IFERROR(LOOKUP(2,1/((#REF!=dec!$A37)*(#REF!&lt;=dec!Q$3)*(#REF!&gt;=dec!Q$3)),#REF!),IF(WEEKDAY(dec!Q$3,1)=1,"WO","P"))</f>
        <v>P</v>
      </c>
      <c r="R37" s="4" t="str">
        <f>IFERROR(LOOKUP(2,1/((#REF!=dec!$A37)*(#REF!&lt;=dec!R$3)*(#REF!&gt;=dec!R$3)),#REF!),IF(WEEKDAY(dec!R$3,1)=1,"WO","P"))</f>
        <v>WO</v>
      </c>
      <c r="S37" s="4" t="str">
        <f>IFERROR(LOOKUP(2,1/((#REF!=dec!$A37)*(#REF!&lt;=dec!S$3)*(#REF!&gt;=dec!S$3)),#REF!),IF(WEEKDAY(dec!S$3,1)=1,"WO","P"))</f>
        <v>P</v>
      </c>
      <c r="T37" s="4" t="str">
        <f>IFERROR(LOOKUP(2,1/((#REF!=dec!$A37)*(#REF!&lt;=dec!T$3)*(#REF!&gt;=dec!T$3)),#REF!),IF(WEEKDAY(dec!T$3,1)=1,"WO","P"))</f>
        <v>P</v>
      </c>
      <c r="U37" s="4" t="str">
        <f>IFERROR(LOOKUP(2,1/((#REF!=dec!$A37)*(#REF!&lt;=dec!U$3)*(#REF!&gt;=dec!U$3)),#REF!),IF(WEEKDAY(dec!U$3,1)=1,"WO","P"))</f>
        <v>P</v>
      </c>
      <c r="V37" s="4" t="str">
        <f>IFERROR(LOOKUP(2,1/((#REF!=dec!$A37)*(#REF!&lt;=dec!V$3)*(#REF!&gt;=dec!V$3)),#REF!),IF(WEEKDAY(dec!V$3,1)=1,"WO","P"))</f>
        <v>P</v>
      </c>
      <c r="W37" s="4" t="str">
        <f>IFERROR(LOOKUP(2,1/((#REF!=dec!$A37)*(#REF!&lt;=dec!W$3)*(#REF!&gt;=dec!W$3)),#REF!),IF(WEEKDAY(dec!W$3,1)=1,"WO","P"))</f>
        <v>P</v>
      </c>
      <c r="X37" s="4" t="str">
        <f>IFERROR(LOOKUP(2,1/((#REF!=dec!$A37)*(#REF!&lt;=dec!X$3)*(#REF!&gt;=dec!X$3)),#REF!),IF(WEEKDAY(dec!X$3,1)=1,"WO","P"))</f>
        <v>P</v>
      </c>
      <c r="Y37" s="4" t="str">
        <f>IFERROR(LOOKUP(2,1/((#REF!=dec!$A37)*(#REF!&lt;=dec!Y$3)*(#REF!&gt;=dec!Y$3)),#REF!),IF(WEEKDAY(dec!Y$3,1)=1,"WO","P"))</f>
        <v>WO</v>
      </c>
      <c r="Z37" s="4" t="str">
        <f>IFERROR(LOOKUP(2,1/((#REF!=dec!$A37)*(#REF!&lt;=dec!Z$3)*(#REF!&gt;=dec!Z$3)),#REF!),IF(WEEKDAY(dec!Z$3,1)=1,"WO","P"))</f>
        <v>P</v>
      </c>
      <c r="AA37" s="4" t="str">
        <f>IFERROR(LOOKUP(2,1/((#REF!=dec!$A37)*(#REF!&lt;=dec!AA$3)*(#REF!&gt;=dec!AA$3)),#REF!),IF(WEEKDAY(dec!AA$3,1)=1,"WO","P"))</f>
        <v>P</v>
      </c>
      <c r="AB37" s="4" t="str">
        <f>IFERROR(LOOKUP(2,1/((#REF!=dec!$A37)*(#REF!&lt;=dec!AB$3)*(#REF!&gt;=dec!AB$3)),#REF!),IF(WEEKDAY(dec!AB$3,1)=1,"WO","P"))</f>
        <v>P</v>
      </c>
      <c r="AC37" s="4" t="str">
        <f>IFERROR(LOOKUP(2,1/((#REF!=dec!$A37)*(#REF!&lt;=dec!AC$3)*(#REF!&gt;=dec!AC$3)),#REF!),IF(WEEKDAY(dec!AC$3,1)=1,"WO","P"))</f>
        <v>P</v>
      </c>
      <c r="AD37" s="4" t="str">
        <f>IFERROR(LOOKUP(2,1/((#REF!=dec!$A37)*(#REF!&lt;=dec!AD$3)*(#REF!&gt;=dec!AD$3)),#REF!),IF(WEEKDAY(dec!AD$3,1)=1,"WO","P"))</f>
        <v>P</v>
      </c>
      <c r="AE37" s="4" t="str">
        <f>IFERROR(LOOKUP(2,1/((#REF!=dec!$A37)*(#REF!&lt;=dec!AE$3)*(#REF!&gt;=dec!AE$3)),#REF!),IF(WEEKDAY(dec!AE$3,1)=1,"WO","P"))</f>
        <v>P</v>
      </c>
      <c r="AF37" s="4" t="str">
        <f>IFERROR(LOOKUP(2,1/((#REF!=dec!$A37)*(#REF!&lt;=dec!AF$3)*(#REF!&gt;=dec!AF$3)),#REF!),IF(WEEKDAY(dec!AF$3,1)=1,"WO","P"))</f>
        <v>WO</v>
      </c>
      <c r="AG37" s="4" t="str">
        <f>IFERROR(LOOKUP(2,1/((#REF!=dec!$A37)*(#REF!&lt;=dec!AG$3)*(#REF!&gt;=dec!AG$3)),#REF!),IF(WEEKDAY(dec!AG$3,1)=1,"WO","P"))</f>
        <v>P</v>
      </c>
      <c r="AH37" s="4" t="str">
        <f>IFERROR(LOOKUP(2,1/((#REF!=dec!$A37)*(#REF!&lt;=dec!AH$3)*(#REF!&gt;=dec!AH$3)),#REF!),IF(WEEKDAY(dec!AH$3,1)=1,"WO","P"))</f>
        <v>P</v>
      </c>
      <c r="AI37" s="4" t="str">
        <f>IFERROR(LOOKUP(2,1/((#REF!=dec!$A37)*(#REF!&lt;=dec!AI$3)*(#REF!&gt;=dec!AI$3)),#REF!),IF(WEEKDAY(dec!AI$3,1)=1,"WO","P"))</f>
        <v>P</v>
      </c>
      <c r="AJ37" s="4" t="str">
        <f>IFERROR(LOOKUP(2,1/((#REF!=dec!$A37)*(#REF!&lt;=dec!AJ$3)*(#REF!&gt;=dec!AJ$3)),#REF!),IF(WEEKDAY(dec!AJ$3,1)=1,"WO","P"))</f>
        <v>P</v>
      </c>
      <c r="AK37" s="4">
        <f>COUNTIF(mar!$F37:$AJ37,"WO")</f>
        <v>5</v>
      </c>
      <c r="AL37" s="4">
        <f>COUNTIF(mar!$F37:$AJ37,"H")</f>
        <v>2</v>
      </c>
      <c r="AM37" s="4">
        <f>COUNTIF(mar!$F37:$AJ37,"pl")</f>
        <v>0</v>
      </c>
      <c r="AN37" s="4">
        <f>COUNTIF(mar!$F37:$AJ37,"LWP")</f>
        <v>0</v>
      </c>
      <c r="AO37" s="4">
        <f>COUNTIF(mar!$F37:$AJ37,"HD")</f>
        <v>0</v>
      </c>
      <c r="AP37" s="4">
        <f>COUNTIF(mar!$F37:$AJ37,"SL")</f>
        <v>0</v>
      </c>
      <c r="AQ37" s="4">
        <f>COUNTIF(mar!$F37:$AJ37,"CL")</f>
        <v>0</v>
      </c>
      <c r="AR37" s="4">
        <f>COUNTIF(mar!$F37:$AJ37,"A")</f>
        <v>2</v>
      </c>
      <c r="AS37" s="4">
        <f>COUNTIF(mar!$F37:$AJ37,"P")</f>
        <v>22</v>
      </c>
      <c r="AT37" s="4">
        <f t="shared" si="2"/>
        <v>31</v>
      </c>
      <c r="AU37" s="4">
        <f t="shared" si="3"/>
        <v>29</v>
      </c>
      <c r="AV37" s="4">
        <f>SUMIFS(holly!$L$2:$L$122,holly!$I$2:$I$122,mar!$A37,holly!$K$2:$K$122,"Mar")</f>
        <v>1</v>
      </c>
    </row>
    <row r="38" spans="1:48" ht="15.75" x14ac:dyDescent="0.25">
      <c r="A38" s="4" t="s">
        <v>63</v>
      </c>
      <c r="B38" s="4" t="str">
        <f>VLOOKUP($A38,Master!$A$2:$K$52,2,0)</f>
        <v>Employee34</v>
      </c>
      <c r="C38" s="4" t="str">
        <f>VLOOKUP($A38,Master!$A$2:$K$52,3,0)</f>
        <v>Male</v>
      </c>
      <c r="D38" s="4" t="str">
        <f>VLOOKUP($A38,Master!$A$2:$K$52,5,0)</f>
        <v>Production</v>
      </c>
      <c r="E38" s="4" t="str">
        <f>VLOOKUP($A38,Master!$A$2:$K$52,6,0)</f>
        <v>Senior Operator</v>
      </c>
      <c r="F38" s="4" t="str">
        <f>IFERROR(LOOKUP(2,1/((#REF!=dec!$A38)*(#REF!&lt;=dec!F$3)*(#REF!&gt;=dec!F$3)),#REF!),IF(WEEKDAY(dec!F$3,1)=1,"WO","P"))</f>
        <v>P</v>
      </c>
      <c r="G38" s="4" t="str">
        <f>IFERROR(LOOKUP(2,1/((#REF!=dec!$A38)*(#REF!&lt;=dec!G$3)*(#REF!&gt;=dec!G$3)),#REF!),IF(WEEKDAY(dec!G$3,1)=1,"WO","P"))</f>
        <v>P</v>
      </c>
      <c r="H38" s="4" t="str">
        <f>IFERROR(LOOKUP(2,1/((#REF!=dec!$A38)*(#REF!&lt;=dec!H$3)*(#REF!&gt;=dec!H$3)),#REF!),IF(WEEKDAY(dec!H$3,1)=1,"WO","P"))</f>
        <v>P</v>
      </c>
      <c r="I38" s="4" t="str">
        <f>IFERROR(LOOKUP(2,1/((#REF!=dec!$A38)*(#REF!&lt;=dec!I$3)*(#REF!&gt;=dec!I$3)),#REF!),IF(WEEKDAY(dec!I$3,1)=1,"WO","P"))</f>
        <v>P</v>
      </c>
      <c r="J38" s="4" t="str">
        <f>IFERROR(LOOKUP(2,1/((#REF!=dec!$A38)*(#REF!&lt;=dec!J$3)*(#REF!&gt;=dec!J$3)),#REF!),IF(WEEKDAY(dec!J$3,1)=1,"WO","P"))</f>
        <v>P</v>
      </c>
      <c r="K38" s="4" t="str">
        <f>IFERROR(LOOKUP(2,1/((#REF!=dec!$A38)*(#REF!&lt;=dec!K$3)*(#REF!&gt;=dec!K$3)),#REF!),IF(WEEKDAY(dec!K$3,1)=1,"WO","P"))</f>
        <v>WO</v>
      </c>
      <c r="L38" s="4" t="str">
        <f>IFERROR(LOOKUP(2,1/((#REF!=dec!$A38)*(#REF!&lt;=dec!L$3)*(#REF!&gt;=dec!L$3)),#REF!),IF(WEEKDAY(dec!L$3,1)=1,"WO","P"))</f>
        <v>P</v>
      </c>
      <c r="M38" s="4" t="str">
        <f>IFERROR(LOOKUP(2,1/((#REF!=dec!$A38)*(#REF!&lt;=dec!M$3)*(#REF!&gt;=dec!M$3)),#REF!),IF(WEEKDAY(dec!M$3,1)=1,"WO","P"))</f>
        <v>P</v>
      </c>
      <c r="N38" s="4" t="str">
        <f>IFERROR(LOOKUP(2,1/((#REF!=dec!$A38)*(#REF!&lt;=dec!N$3)*(#REF!&gt;=dec!N$3)),#REF!),IF(WEEKDAY(dec!N$3,1)=1,"WO","P"))</f>
        <v>P</v>
      </c>
      <c r="O38" s="4" t="str">
        <f>IFERROR(LOOKUP(2,1/((#REF!=dec!$A38)*(#REF!&lt;=dec!O$3)*(#REF!&gt;=dec!O$3)),#REF!),IF(WEEKDAY(dec!O$3,1)=1,"WO","P"))</f>
        <v>P</v>
      </c>
      <c r="P38" s="4" t="str">
        <f>IFERROR(LOOKUP(2,1/((#REF!=dec!$A38)*(#REF!&lt;=dec!P$3)*(#REF!&gt;=dec!P$3)),#REF!),IF(WEEKDAY(dec!P$3,1)=1,"WO","P"))</f>
        <v>P</v>
      </c>
      <c r="Q38" s="4" t="str">
        <f>IFERROR(LOOKUP(2,1/((#REF!=dec!$A38)*(#REF!&lt;=dec!Q$3)*(#REF!&gt;=dec!Q$3)),#REF!),IF(WEEKDAY(dec!Q$3,1)=1,"WO","P"))</f>
        <v>P</v>
      </c>
      <c r="R38" s="4" t="str">
        <f>IFERROR(LOOKUP(2,1/((#REF!=dec!$A38)*(#REF!&lt;=dec!R$3)*(#REF!&gt;=dec!R$3)),#REF!),IF(WEEKDAY(dec!R$3,1)=1,"WO","P"))</f>
        <v>WO</v>
      </c>
      <c r="S38" s="4" t="str">
        <f>IFERROR(LOOKUP(2,1/((#REF!=dec!$A38)*(#REF!&lt;=dec!S$3)*(#REF!&gt;=dec!S$3)),#REF!),IF(WEEKDAY(dec!S$3,1)=1,"WO","P"))</f>
        <v>P</v>
      </c>
      <c r="T38" s="4" t="str">
        <f>IFERROR(LOOKUP(2,1/((#REF!=dec!$A38)*(#REF!&lt;=dec!T$3)*(#REF!&gt;=dec!T$3)),#REF!),IF(WEEKDAY(dec!T$3,1)=1,"WO","P"))</f>
        <v>P</v>
      </c>
      <c r="U38" s="4" t="str">
        <f>IFERROR(LOOKUP(2,1/((#REF!=dec!$A38)*(#REF!&lt;=dec!U$3)*(#REF!&gt;=dec!U$3)),#REF!),IF(WEEKDAY(dec!U$3,1)=1,"WO","P"))</f>
        <v>P</v>
      </c>
      <c r="V38" s="4" t="str">
        <f>IFERROR(LOOKUP(2,1/((#REF!=dec!$A38)*(#REF!&lt;=dec!V$3)*(#REF!&gt;=dec!V$3)),#REF!),IF(WEEKDAY(dec!V$3,1)=1,"WO","P"))</f>
        <v>P</v>
      </c>
      <c r="W38" s="4" t="str">
        <f>IFERROR(LOOKUP(2,1/((#REF!=dec!$A38)*(#REF!&lt;=dec!W$3)*(#REF!&gt;=dec!W$3)),#REF!),IF(WEEKDAY(dec!W$3,1)=1,"WO","P"))</f>
        <v>P</v>
      </c>
      <c r="X38" s="4" t="str">
        <f>IFERROR(LOOKUP(2,1/((#REF!=dec!$A38)*(#REF!&lt;=dec!X$3)*(#REF!&gt;=dec!X$3)),#REF!),IF(WEEKDAY(dec!X$3,1)=1,"WO","P"))</f>
        <v>P</v>
      </c>
      <c r="Y38" s="4" t="str">
        <f>IFERROR(LOOKUP(2,1/((#REF!=dec!$A38)*(#REF!&lt;=dec!Y$3)*(#REF!&gt;=dec!Y$3)),#REF!),IF(WEEKDAY(dec!Y$3,1)=1,"WO","P"))</f>
        <v>WO</v>
      </c>
      <c r="Z38" s="4" t="str">
        <f>IFERROR(LOOKUP(2,1/((#REF!=dec!$A38)*(#REF!&lt;=dec!Z$3)*(#REF!&gt;=dec!Z$3)),#REF!),IF(WEEKDAY(dec!Z$3,1)=1,"WO","P"))</f>
        <v>P</v>
      </c>
      <c r="AA38" s="4" t="str">
        <f>IFERROR(LOOKUP(2,1/((#REF!=dec!$A38)*(#REF!&lt;=dec!AA$3)*(#REF!&gt;=dec!AA$3)),#REF!),IF(WEEKDAY(dec!AA$3,1)=1,"WO","P"))</f>
        <v>P</v>
      </c>
      <c r="AB38" s="4" t="str">
        <f>IFERROR(LOOKUP(2,1/((#REF!=dec!$A38)*(#REF!&lt;=dec!AB$3)*(#REF!&gt;=dec!AB$3)),#REF!),IF(WEEKDAY(dec!AB$3,1)=1,"WO","P"))</f>
        <v>P</v>
      </c>
      <c r="AC38" s="4" t="str">
        <f>IFERROR(LOOKUP(2,1/((#REF!=dec!$A38)*(#REF!&lt;=dec!AC$3)*(#REF!&gt;=dec!AC$3)),#REF!),IF(WEEKDAY(dec!AC$3,1)=1,"WO","P"))</f>
        <v>P</v>
      </c>
      <c r="AD38" s="4" t="str">
        <f>IFERROR(LOOKUP(2,1/((#REF!=dec!$A38)*(#REF!&lt;=dec!AD$3)*(#REF!&gt;=dec!AD$3)),#REF!),IF(WEEKDAY(dec!AD$3,1)=1,"WO","P"))</f>
        <v>P</v>
      </c>
      <c r="AE38" s="4" t="str">
        <f>IFERROR(LOOKUP(2,1/((#REF!=dec!$A38)*(#REF!&lt;=dec!AE$3)*(#REF!&gt;=dec!AE$3)),#REF!),IF(WEEKDAY(dec!AE$3,1)=1,"WO","P"))</f>
        <v>P</v>
      </c>
      <c r="AF38" s="4" t="str">
        <f>IFERROR(LOOKUP(2,1/((#REF!=dec!$A38)*(#REF!&lt;=dec!AF$3)*(#REF!&gt;=dec!AF$3)),#REF!),IF(WEEKDAY(dec!AF$3,1)=1,"WO","P"))</f>
        <v>WO</v>
      </c>
      <c r="AG38" s="4" t="str">
        <f>IFERROR(LOOKUP(2,1/((#REF!=dec!$A38)*(#REF!&lt;=dec!AG$3)*(#REF!&gt;=dec!AG$3)),#REF!),IF(WEEKDAY(dec!AG$3,1)=1,"WO","P"))</f>
        <v>P</v>
      </c>
      <c r="AH38" s="4" t="str">
        <f>IFERROR(LOOKUP(2,1/((#REF!=dec!$A38)*(#REF!&lt;=dec!AH$3)*(#REF!&gt;=dec!AH$3)),#REF!),IF(WEEKDAY(dec!AH$3,1)=1,"WO","P"))</f>
        <v>P</v>
      </c>
      <c r="AI38" s="4" t="str">
        <f>IFERROR(LOOKUP(2,1/((#REF!=dec!$A38)*(#REF!&lt;=dec!AI$3)*(#REF!&gt;=dec!AI$3)),#REF!),IF(WEEKDAY(dec!AI$3,1)=1,"WO","P"))</f>
        <v>P</v>
      </c>
      <c r="AJ38" s="4" t="str">
        <f>IFERROR(LOOKUP(2,1/((#REF!=dec!$A38)*(#REF!&lt;=dec!AJ$3)*(#REF!&gt;=dec!AJ$3)),#REF!),IF(WEEKDAY(dec!AJ$3,1)=1,"WO","P"))</f>
        <v>P</v>
      </c>
      <c r="AK38" s="4">
        <f>COUNTIF(mar!$F38:$AJ38,"WO")</f>
        <v>5</v>
      </c>
      <c r="AL38" s="4">
        <f>COUNTIF(mar!$F38:$AJ38,"H")</f>
        <v>2</v>
      </c>
      <c r="AM38" s="4">
        <f>COUNTIF(mar!$F38:$AJ38,"pl")</f>
        <v>0</v>
      </c>
      <c r="AN38" s="4">
        <f>COUNTIF(mar!$F38:$AJ38,"LWP")</f>
        <v>0</v>
      </c>
      <c r="AO38" s="4">
        <f>COUNTIF(mar!$F38:$AJ38,"HD")</f>
        <v>0</v>
      </c>
      <c r="AP38" s="4">
        <f>COUNTIF(mar!$F38:$AJ38,"SL")</f>
        <v>0</v>
      </c>
      <c r="AQ38" s="4">
        <f>COUNTIF(mar!$F38:$AJ38,"CL")</f>
        <v>0</v>
      </c>
      <c r="AR38" s="4">
        <f>COUNTIF(mar!$F38:$AJ38,"A")</f>
        <v>0</v>
      </c>
      <c r="AS38" s="4">
        <f>COUNTIF(mar!$F38:$AJ38,"P")</f>
        <v>24</v>
      </c>
      <c r="AT38" s="4">
        <f t="shared" si="2"/>
        <v>31</v>
      </c>
      <c r="AU38" s="4">
        <f t="shared" si="3"/>
        <v>31</v>
      </c>
      <c r="AV38" s="4">
        <f>SUMIFS(holly!$L$2:$L$122,holly!$I$2:$I$122,mar!$A38,holly!$K$2:$K$122,"Mar")</f>
        <v>0</v>
      </c>
    </row>
    <row r="39" spans="1:48" ht="15.75" x14ac:dyDescent="0.25">
      <c r="A39" s="4" t="s">
        <v>64</v>
      </c>
      <c r="B39" s="4" t="str">
        <f>VLOOKUP($A39,Master!$A$2:$K$52,2,0)</f>
        <v>Employee35</v>
      </c>
      <c r="C39" s="4" t="str">
        <f>VLOOKUP($A39,Master!$A$2:$K$52,3,0)</f>
        <v>Male</v>
      </c>
      <c r="D39" s="4" t="str">
        <f>VLOOKUP($A39,Master!$A$2:$K$52,5,0)</f>
        <v>Accounts</v>
      </c>
      <c r="E39" s="4" t="str">
        <f>VLOOKUP($A39,Master!$A$2:$K$52,6,0)</f>
        <v>Accountant</v>
      </c>
      <c r="F39" s="4" t="str">
        <f>IFERROR(LOOKUP(2,1/((#REF!=dec!$A39)*(#REF!&lt;=dec!F$3)*(#REF!&gt;=dec!F$3)),#REF!),IF(WEEKDAY(dec!F$3,1)=1,"WO","P"))</f>
        <v>P</v>
      </c>
      <c r="G39" s="4" t="str">
        <f>IFERROR(LOOKUP(2,1/((#REF!=dec!$A39)*(#REF!&lt;=dec!G$3)*(#REF!&gt;=dec!G$3)),#REF!),IF(WEEKDAY(dec!G$3,1)=1,"WO","P"))</f>
        <v>P</v>
      </c>
      <c r="H39" s="4" t="str">
        <f>IFERROR(LOOKUP(2,1/((#REF!=dec!$A39)*(#REF!&lt;=dec!H$3)*(#REF!&gt;=dec!H$3)),#REF!),IF(WEEKDAY(dec!H$3,1)=1,"WO","P"))</f>
        <v>P</v>
      </c>
      <c r="I39" s="4" t="str">
        <f>IFERROR(LOOKUP(2,1/((#REF!=dec!$A39)*(#REF!&lt;=dec!I$3)*(#REF!&gt;=dec!I$3)),#REF!),IF(WEEKDAY(dec!I$3,1)=1,"WO","P"))</f>
        <v>P</v>
      </c>
      <c r="J39" s="4" t="str">
        <f>IFERROR(LOOKUP(2,1/((#REF!=dec!$A39)*(#REF!&lt;=dec!J$3)*(#REF!&gt;=dec!J$3)),#REF!),IF(WEEKDAY(dec!J$3,1)=1,"WO","P"))</f>
        <v>P</v>
      </c>
      <c r="K39" s="4" t="str">
        <f>IFERROR(LOOKUP(2,1/((#REF!=dec!$A39)*(#REF!&lt;=dec!K$3)*(#REF!&gt;=dec!K$3)),#REF!),IF(WEEKDAY(dec!K$3,1)=1,"WO","P"))</f>
        <v>WO</v>
      </c>
      <c r="L39" s="4" t="str">
        <f>IFERROR(LOOKUP(2,1/((#REF!=dec!$A39)*(#REF!&lt;=dec!L$3)*(#REF!&gt;=dec!L$3)),#REF!),IF(WEEKDAY(dec!L$3,1)=1,"WO","P"))</f>
        <v>P</v>
      </c>
      <c r="M39" s="4" t="str">
        <f>IFERROR(LOOKUP(2,1/((#REF!=dec!$A39)*(#REF!&lt;=dec!M$3)*(#REF!&gt;=dec!M$3)),#REF!),IF(WEEKDAY(dec!M$3,1)=1,"WO","P"))</f>
        <v>P</v>
      </c>
      <c r="N39" s="4" t="str">
        <f>IFERROR(LOOKUP(2,1/((#REF!=dec!$A39)*(#REF!&lt;=dec!N$3)*(#REF!&gt;=dec!N$3)),#REF!),IF(WEEKDAY(dec!N$3,1)=1,"WO","P"))</f>
        <v>P</v>
      </c>
      <c r="O39" s="4" t="str">
        <f>IFERROR(LOOKUP(2,1/((#REF!=dec!$A39)*(#REF!&lt;=dec!O$3)*(#REF!&gt;=dec!O$3)),#REF!),IF(WEEKDAY(dec!O$3,1)=1,"WO","P"))</f>
        <v>P</v>
      </c>
      <c r="P39" s="4" t="str">
        <f>IFERROR(LOOKUP(2,1/((#REF!=dec!$A39)*(#REF!&lt;=dec!P$3)*(#REF!&gt;=dec!P$3)),#REF!),IF(WEEKDAY(dec!P$3,1)=1,"WO","P"))</f>
        <v>P</v>
      </c>
      <c r="Q39" s="4" t="str">
        <f>IFERROR(LOOKUP(2,1/((#REF!=dec!$A39)*(#REF!&lt;=dec!Q$3)*(#REF!&gt;=dec!Q$3)),#REF!),IF(WEEKDAY(dec!Q$3,1)=1,"WO","P"))</f>
        <v>P</v>
      </c>
      <c r="R39" s="4" t="str">
        <f>IFERROR(LOOKUP(2,1/((#REF!=dec!$A39)*(#REF!&lt;=dec!R$3)*(#REF!&gt;=dec!R$3)),#REF!),IF(WEEKDAY(dec!R$3,1)=1,"WO","P"))</f>
        <v>WO</v>
      </c>
      <c r="S39" s="4" t="str">
        <f>IFERROR(LOOKUP(2,1/((#REF!=dec!$A39)*(#REF!&lt;=dec!S$3)*(#REF!&gt;=dec!S$3)),#REF!),IF(WEEKDAY(dec!S$3,1)=1,"WO","P"))</f>
        <v>P</v>
      </c>
      <c r="T39" s="4" t="str">
        <f>IFERROR(LOOKUP(2,1/((#REF!=dec!$A39)*(#REF!&lt;=dec!T$3)*(#REF!&gt;=dec!T$3)),#REF!),IF(WEEKDAY(dec!T$3,1)=1,"WO","P"))</f>
        <v>P</v>
      </c>
      <c r="U39" s="4" t="str">
        <f>IFERROR(LOOKUP(2,1/((#REF!=dec!$A39)*(#REF!&lt;=dec!U$3)*(#REF!&gt;=dec!U$3)),#REF!),IF(WEEKDAY(dec!U$3,1)=1,"WO","P"))</f>
        <v>P</v>
      </c>
      <c r="V39" s="4" t="str">
        <f>IFERROR(LOOKUP(2,1/((#REF!=dec!$A39)*(#REF!&lt;=dec!V$3)*(#REF!&gt;=dec!V$3)),#REF!),IF(WEEKDAY(dec!V$3,1)=1,"WO","P"))</f>
        <v>P</v>
      </c>
      <c r="W39" s="4" t="str">
        <f>IFERROR(LOOKUP(2,1/((#REF!=dec!$A39)*(#REF!&lt;=dec!W$3)*(#REF!&gt;=dec!W$3)),#REF!),IF(WEEKDAY(dec!W$3,1)=1,"WO","P"))</f>
        <v>P</v>
      </c>
      <c r="X39" s="4" t="str">
        <f>IFERROR(LOOKUP(2,1/((#REF!=dec!$A39)*(#REF!&lt;=dec!X$3)*(#REF!&gt;=dec!X$3)),#REF!),IF(WEEKDAY(dec!X$3,1)=1,"WO","P"))</f>
        <v>P</v>
      </c>
      <c r="Y39" s="4" t="str">
        <f>IFERROR(LOOKUP(2,1/((#REF!=dec!$A39)*(#REF!&lt;=dec!Y$3)*(#REF!&gt;=dec!Y$3)),#REF!),IF(WEEKDAY(dec!Y$3,1)=1,"WO","P"))</f>
        <v>WO</v>
      </c>
      <c r="Z39" s="4" t="str">
        <f>IFERROR(LOOKUP(2,1/((#REF!=dec!$A39)*(#REF!&lt;=dec!Z$3)*(#REF!&gt;=dec!Z$3)),#REF!),IF(WEEKDAY(dec!Z$3,1)=1,"WO","P"))</f>
        <v>P</v>
      </c>
      <c r="AA39" s="4" t="str">
        <f>IFERROR(LOOKUP(2,1/((#REF!=dec!$A39)*(#REF!&lt;=dec!AA$3)*(#REF!&gt;=dec!AA$3)),#REF!),IF(WEEKDAY(dec!AA$3,1)=1,"WO","P"))</f>
        <v>P</v>
      </c>
      <c r="AB39" s="4" t="str">
        <f>IFERROR(LOOKUP(2,1/((#REF!=dec!$A39)*(#REF!&lt;=dec!AB$3)*(#REF!&gt;=dec!AB$3)),#REF!),IF(WEEKDAY(dec!AB$3,1)=1,"WO","P"))</f>
        <v>P</v>
      </c>
      <c r="AC39" s="4" t="str">
        <f>IFERROR(LOOKUP(2,1/((#REF!=dec!$A39)*(#REF!&lt;=dec!AC$3)*(#REF!&gt;=dec!AC$3)),#REF!),IF(WEEKDAY(dec!AC$3,1)=1,"WO","P"))</f>
        <v>P</v>
      </c>
      <c r="AD39" s="4" t="str">
        <f>IFERROR(LOOKUP(2,1/((#REF!=dec!$A39)*(#REF!&lt;=dec!AD$3)*(#REF!&gt;=dec!AD$3)),#REF!),IF(WEEKDAY(dec!AD$3,1)=1,"WO","P"))</f>
        <v>P</v>
      </c>
      <c r="AE39" s="4" t="str">
        <f>IFERROR(LOOKUP(2,1/((#REF!=dec!$A39)*(#REF!&lt;=dec!AE$3)*(#REF!&gt;=dec!AE$3)),#REF!),IF(WEEKDAY(dec!AE$3,1)=1,"WO","P"))</f>
        <v>P</v>
      </c>
      <c r="AF39" s="4" t="str">
        <f>IFERROR(LOOKUP(2,1/((#REF!=dec!$A39)*(#REF!&lt;=dec!AF$3)*(#REF!&gt;=dec!AF$3)),#REF!),IF(WEEKDAY(dec!AF$3,1)=1,"WO","P"))</f>
        <v>WO</v>
      </c>
      <c r="AG39" s="4" t="str">
        <f>IFERROR(LOOKUP(2,1/((#REF!=dec!$A39)*(#REF!&lt;=dec!AG$3)*(#REF!&gt;=dec!AG$3)),#REF!),IF(WEEKDAY(dec!AG$3,1)=1,"WO","P"))</f>
        <v>P</v>
      </c>
      <c r="AH39" s="4" t="str">
        <f>IFERROR(LOOKUP(2,1/((#REF!=dec!$A39)*(#REF!&lt;=dec!AH$3)*(#REF!&gt;=dec!AH$3)),#REF!),IF(WEEKDAY(dec!AH$3,1)=1,"WO","P"))</f>
        <v>P</v>
      </c>
      <c r="AI39" s="4" t="str">
        <f>IFERROR(LOOKUP(2,1/((#REF!=dec!$A39)*(#REF!&lt;=dec!AI$3)*(#REF!&gt;=dec!AI$3)),#REF!),IF(WEEKDAY(dec!AI$3,1)=1,"WO","P"))</f>
        <v>P</v>
      </c>
      <c r="AJ39" s="4" t="str">
        <f>IFERROR(LOOKUP(2,1/((#REF!=dec!$A39)*(#REF!&lt;=dec!AJ$3)*(#REF!&gt;=dec!AJ$3)),#REF!),IF(WEEKDAY(dec!AJ$3,1)=1,"WO","P"))</f>
        <v>P</v>
      </c>
      <c r="AK39" s="4">
        <f>COUNTIF(mar!$F39:$AJ39,"WO")</f>
        <v>5</v>
      </c>
      <c r="AL39" s="4">
        <f>COUNTIF(mar!$F39:$AJ39,"H")</f>
        <v>2</v>
      </c>
      <c r="AM39" s="4">
        <f>COUNTIF(mar!$F39:$AJ39,"pl")</f>
        <v>0</v>
      </c>
      <c r="AN39" s="4">
        <f>COUNTIF(mar!$F39:$AJ39,"LWP")</f>
        <v>0</v>
      </c>
      <c r="AO39" s="4">
        <f>COUNTIF(mar!$F39:$AJ39,"HD")</f>
        <v>0</v>
      </c>
      <c r="AP39" s="4">
        <f>COUNTIF(mar!$F39:$AJ39,"SL")</f>
        <v>0</v>
      </c>
      <c r="AQ39" s="4">
        <f>COUNTIF(mar!$F39:$AJ39,"CL")</f>
        <v>0</v>
      </c>
      <c r="AR39" s="4">
        <f>COUNTIF(mar!$F39:$AJ39,"A")</f>
        <v>1</v>
      </c>
      <c r="AS39" s="4">
        <f>COUNTIF(mar!$F39:$AJ39,"P")</f>
        <v>23</v>
      </c>
      <c r="AT39" s="4">
        <f t="shared" si="2"/>
        <v>31</v>
      </c>
      <c r="AU39" s="4">
        <f t="shared" si="3"/>
        <v>30</v>
      </c>
      <c r="AV39" s="4">
        <f>SUMIFS(holly!$L$2:$L$122,holly!$I$2:$I$122,mar!$A39,holly!$K$2:$K$122,"Mar")</f>
        <v>0</v>
      </c>
    </row>
    <row r="40" spans="1:48" ht="15.75" x14ac:dyDescent="0.25">
      <c r="A40" s="4" t="s">
        <v>65</v>
      </c>
      <c r="B40" s="4" t="str">
        <f>VLOOKUP($A40,Master!$A$2:$K$52,2,0)</f>
        <v>Employee36</v>
      </c>
      <c r="C40" s="4" t="str">
        <f>VLOOKUP($A40,Master!$A$2:$K$52,3,0)</f>
        <v>Male</v>
      </c>
      <c r="D40" s="4" t="str">
        <f>VLOOKUP($A40,Master!$A$2:$K$52,5,0)</f>
        <v>Production</v>
      </c>
      <c r="E40" s="4" t="str">
        <f>VLOOKUP($A40,Master!$A$2:$K$52,6,0)</f>
        <v>Operator</v>
      </c>
      <c r="F40" s="4" t="str">
        <f>IFERROR(LOOKUP(2,1/((#REF!=dec!$A40)*(#REF!&lt;=dec!F$3)*(#REF!&gt;=dec!F$3)),#REF!),IF(WEEKDAY(dec!F$3,1)=1,"WO","P"))</f>
        <v>P</v>
      </c>
      <c r="G40" s="4" t="str">
        <f>IFERROR(LOOKUP(2,1/((#REF!=dec!$A40)*(#REF!&lt;=dec!G$3)*(#REF!&gt;=dec!G$3)),#REF!),IF(WEEKDAY(dec!G$3,1)=1,"WO","P"))</f>
        <v>P</v>
      </c>
      <c r="H40" s="4" t="str">
        <f>IFERROR(LOOKUP(2,1/((#REF!=dec!$A40)*(#REF!&lt;=dec!H$3)*(#REF!&gt;=dec!H$3)),#REF!),IF(WEEKDAY(dec!H$3,1)=1,"WO","P"))</f>
        <v>P</v>
      </c>
      <c r="I40" s="4" t="str">
        <f>IFERROR(LOOKUP(2,1/((#REF!=dec!$A40)*(#REF!&lt;=dec!I$3)*(#REF!&gt;=dec!I$3)),#REF!),IF(WEEKDAY(dec!I$3,1)=1,"WO","P"))</f>
        <v>P</v>
      </c>
      <c r="J40" s="4" t="str">
        <f>IFERROR(LOOKUP(2,1/((#REF!=dec!$A40)*(#REF!&lt;=dec!J$3)*(#REF!&gt;=dec!J$3)),#REF!),IF(WEEKDAY(dec!J$3,1)=1,"WO","P"))</f>
        <v>P</v>
      </c>
      <c r="K40" s="4" t="str">
        <f>IFERROR(LOOKUP(2,1/((#REF!=dec!$A40)*(#REF!&lt;=dec!K$3)*(#REF!&gt;=dec!K$3)),#REF!),IF(WEEKDAY(dec!K$3,1)=1,"WO","P"))</f>
        <v>WO</v>
      </c>
      <c r="L40" s="4" t="str">
        <f>IFERROR(LOOKUP(2,1/((#REF!=dec!$A40)*(#REF!&lt;=dec!L$3)*(#REF!&gt;=dec!L$3)),#REF!),IF(WEEKDAY(dec!L$3,1)=1,"WO","P"))</f>
        <v>P</v>
      </c>
      <c r="M40" s="4" t="str">
        <f>IFERROR(LOOKUP(2,1/((#REF!=dec!$A40)*(#REF!&lt;=dec!M$3)*(#REF!&gt;=dec!M$3)),#REF!),IF(WEEKDAY(dec!M$3,1)=1,"WO","P"))</f>
        <v>P</v>
      </c>
      <c r="N40" s="4" t="str">
        <f>IFERROR(LOOKUP(2,1/((#REF!=dec!$A40)*(#REF!&lt;=dec!N$3)*(#REF!&gt;=dec!N$3)),#REF!),IF(WEEKDAY(dec!N$3,1)=1,"WO","P"))</f>
        <v>P</v>
      </c>
      <c r="O40" s="4" t="str">
        <f>IFERROR(LOOKUP(2,1/((#REF!=dec!$A40)*(#REF!&lt;=dec!O$3)*(#REF!&gt;=dec!O$3)),#REF!),IF(WEEKDAY(dec!O$3,1)=1,"WO","P"))</f>
        <v>P</v>
      </c>
      <c r="P40" s="4" t="str">
        <f>IFERROR(LOOKUP(2,1/((#REF!=dec!$A40)*(#REF!&lt;=dec!P$3)*(#REF!&gt;=dec!P$3)),#REF!),IF(WEEKDAY(dec!P$3,1)=1,"WO","P"))</f>
        <v>P</v>
      </c>
      <c r="Q40" s="4" t="str">
        <f>IFERROR(LOOKUP(2,1/((#REF!=dec!$A40)*(#REF!&lt;=dec!Q$3)*(#REF!&gt;=dec!Q$3)),#REF!),IF(WEEKDAY(dec!Q$3,1)=1,"WO","P"))</f>
        <v>P</v>
      </c>
      <c r="R40" s="4" t="str">
        <f>IFERROR(LOOKUP(2,1/((#REF!=dec!$A40)*(#REF!&lt;=dec!R$3)*(#REF!&gt;=dec!R$3)),#REF!),IF(WEEKDAY(dec!R$3,1)=1,"WO","P"))</f>
        <v>WO</v>
      </c>
      <c r="S40" s="4" t="str">
        <f>IFERROR(LOOKUP(2,1/((#REF!=dec!$A40)*(#REF!&lt;=dec!S$3)*(#REF!&gt;=dec!S$3)),#REF!),IF(WEEKDAY(dec!S$3,1)=1,"WO","P"))</f>
        <v>P</v>
      </c>
      <c r="T40" s="4" t="str">
        <f>IFERROR(LOOKUP(2,1/((#REF!=dec!$A40)*(#REF!&lt;=dec!T$3)*(#REF!&gt;=dec!T$3)),#REF!),IF(WEEKDAY(dec!T$3,1)=1,"WO","P"))</f>
        <v>P</v>
      </c>
      <c r="U40" s="4" t="str">
        <f>IFERROR(LOOKUP(2,1/((#REF!=dec!$A40)*(#REF!&lt;=dec!U$3)*(#REF!&gt;=dec!U$3)),#REF!),IF(WEEKDAY(dec!U$3,1)=1,"WO","P"))</f>
        <v>P</v>
      </c>
      <c r="V40" s="4" t="str">
        <f>IFERROR(LOOKUP(2,1/((#REF!=dec!$A40)*(#REF!&lt;=dec!V$3)*(#REF!&gt;=dec!V$3)),#REF!),IF(WEEKDAY(dec!V$3,1)=1,"WO","P"))</f>
        <v>P</v>
      </c>
      <c r="W40" s="4" t="str">
        <f>IFERROR(LOOKUP(2,1/((#REF!=dec!$A40)*(#REF!&lt;=dec!W$3)*(#REF!&gt;=dec!W$3)),#REF!),IF(WEEKDAY(dec!W$3,1)=1,"WO","P"))</f>
        <v>P</v>
      </c>
      <c r="X40" s="4" t="str">
        <f>IFERROR(LOOKUP(2,1/((#REF!=dec!$A40)*(#REF!&lt;=dec!X$3)*(#REF!&gt;=dec!X$3)),#REF!),IF(WEEKDAY(dec!X$3,1)=1,"WO","P"))</f>
        <v>P</v>
      </c>
      <c r="Y40" s="4" t="str">
        <f>IFERROR(LOOKUP(2,1/((#REF!=dec!$A40)*(#REF!&lt;=dec!Y$3)*(#REF!&gt;=dec!Y$3)),#REF!),IF(WEEKDAY(dec!Y$3,1)=1,"WO","P"))</f>
        <v>WO</v>
      </c>
      <c r="Z40" s="4" t="str">
        <f>IFERROR(LOOKUP(2,1/((#REF!=dec!$A40)*(#REF!&lt;=dec!Z$3)*(#REF!&gt;=dec!Z$3)),#REF!),IF(WEEKDAY(dec!Z$3,1)=1,"WO","P"))</f>
        <v>P</v>
      </c>
      <c r="AA40" s="4" t="str">
        <f>IFERROR(LOOKUP(2,1/((#REF!=dec!$A40)*(#REF!&lt;=dec!AA$3)*(#REF!&gt;=dec!AA$3)),#REF!),IF(WEEKDAY(dec!AA$3,1)=1,"WO","P"))</f>
        <v>P</v>
      </c>
      <c r="AB40" s="4" t="str">
        <f>IFERROR(LOOKUP(2,1/((#REF!=dec!$A40)*(#REF!&lt;=dec!AB$3)*(#REF!&gt;=dec!AB$3)),#REF!),IF(WEEKDAY(dec!AB$3,1)=1,"WO","P"))</f>
        <v>P</v>
      </c>
      <c r="AC40" s="4" t="str">
        <f>IFERROR(LOOKUP(2,1/((#REF!=dec!$A40)*(#REF!&lt;=dec!AC$3)*(#REF!&gt;=dec!AC$3)),#REF!),IF(WEEKDAY(dec!AC$3,1)=1,"WO","P"))</f>
        <v>P</v>
      </c>
      <c r="AD40" s="4" t="str">
        <f>IFERROR(LOOKUP(2,1/((#REF!=dec!$A40)*(#REF!&lt;=dec!AD$3)*(#REF!&gt;=dec!AD$3)),#REF!),IF(WEEKDAY(dec!AD$3,1)=1,"WO","P"))</f>
        <v>P</v>
      </c>
      <c r="AE40" s="4" t="str">
        <f>IFERROR(LOOKUP(2,1/((#REF!=dec!$A40)*(#REF!&lt;=dec!AE$3)*(#REF!&gt;=dec!AE$3)),#REF!),IF(WEEKDAY(dec!AE$3,1)=1,"WO","P"))</f>
        <v>P</v>
      </c>
      <c r="AF40" s="4" t="str">
        <f>IFERROR(LOOKUP(2,1/((#REF!=dec!$A40)*(#REF!&lt;=dec!AF$3)*(#REF!&gt;=dec!AF$3)),#REF!),IF(WEEKDAY(dec!AF$3,1)=1,"WO","P"))</f>
        <v>WO</v>
      </c>
      <c r="AG40" s="4" t="str">
        <f>IFERROR(LOOKUP(2,1/((#REF!=dec!$A40)*(#REF!&lt;=dec!AG$3)*(#REF!&gt;=dec!AG$3)),#REF!),IF(WEEKDAY(dec!AG$3,1)=1,"WO","P"))</f>
        <v>P</v>
      </c>
      <c r="AH40" s="4" t="str">
        <f>IFERROR(LOOKUP(2,1/((#REF!=dec!$A40)*(#REF!&lt;=dec!AH$3)*(#REF!&gt;=dec!AH$3)),#REF!),IF(WEEKDAY(dec!AH$3,1)=1,"WO","P"))</f>
        <v>P</v>
      </c>
      <c r="AI40" s="4" t="str">
        <f>IFERROR(LOOKUP(2,1/((#REF!=dec!$A40)*(#REF!&lt;=dec!AI$3)*(#REF!&gt;=dec!AI$3)),#REF!),IF(WEEKDAY(dec!AI$3,1)=1,"WO","P"))</f>
        <v>P</v>
      </c>
      <c r="AJ40" s="4" t="str">
        <f>IFERROR(LOOKUP(2,1/((#REF!=dec!$A40)*(#REF!&lt;=dec!AJ$3)*(#REF!&gt;=dec!AJ$3)),#REF!),IF(WEEKDAY(dec!AJ$3,1)=1,"WO","P"))</f>
        <v>P</v>
      </c>
      <c r="AK40" s="4">
        <f>COUNTIF(mar!$F40:$AJ40,"WO")</f>
        <v>5</v>
      </c>
      <c r="AL40" s="4">
        <f>COUNTIF(mar!$F40:$AJ40,"H")</f>
        <v>2</v>
      </c>
      <c r="AM40" s="4">
        <f>COUNTIF(mar!$F40:$AJ40,"pl")</f>
        <v>1</v>
      </c>
      <c r="AN40" s="4">
        <f>COUNTIF(mar!$F40:$AJ40,"LWP")</f>
        <v>0</v>
      </c>
      <c r="AO40" s="4">
        <f>COUNTIF(mar!$F40:$AJ40,"HD")</f>
        <v>0</v>
      </c>
      <c r="AP40" s="4">
        <f>COUNTIF(mar!$F40:$AJ40,"SL")</f>
        <v>0</v>
      </c>
      <c r="AQ40" s="4">
        <f>COUNTIF(mar!$F40:$AJ40,"CL")</f>
        <v>0</v>
      </c>
      <c r="AR40" s="4">
        <f>COUNTIF(mar!$F40:$AJ40,"A")</f>
        <v>0</v>
      </c>
      <c r="AS40" s="4">
        <f>COUNTIF(mar!$F40:$AJ40,"P")</f>
        <v>23</v>
      </c>
      <c r="AT40" s="4">
        <f t="shared" si="2"/>
        <v>31</v>
      </c>
      <c r="AU40" s="4">
        <f t="shared" si="3"/>
        <v>31</v>
      </c>
      <c r="AV40" s="4">
        <f>SUMIFS(holly!$L$2:$L$122,holly!$I$2:$I$122,mar!$A40,holly!$K$2:$K$122,"Mar")</f>
        <v>0</v>
      </c>
    </row>
    <row r="41" spans="1:48" ht="15.75" x14ac:dyDescent="0.25">
      <c r="A41" s="4" t="s">
        <v>66</v>
      </c>
      <c r="B41" s="4" t="str">
        <f>VLOOKUP($A41,Master!$A$2:$K$52,2,0)</f>
        <v>Employee37</v>
      </c>
      <c r="C41" s="4" t="str">
        <f>VLOOKUP($A41,Master!$A$2:$K$52,3,0)</f>
        <v>Male</v>
      </c>
      <c r="D41" s="4" t="str">
        <f>VLOOKUP($A41,Master!$A$2:$K$52,5,0)</f>
        <v>Maintenance</v>
      </c>
      <c r="E41" s="4" t="str">
        <f>VLOOKUP($A41,Master!$A$2:$K$52,6,0)</f>
        <v>Electrician</v>
      </c>
      <c r="F41" s="4" t="str">
        <f>IFERROR(LOOKUP(2,1/((#REF!=dec!$A41)*(#REF!&lt;=dec!F$3)*(#REF!&gt;=dec!F$3)),#REF!),IF(WEEKDAY(dec!F$3,1)=1,"WO","P"))</f>
        <v>P</v>
      </c>
      <c r="G41" s="4" t="str">
        <f>IFERROR(LOOKUP(2,1/((#REF!=dec!$A41)*(#REF!&lt;=dec!G$3)*(#REF!&gt;=dec!G$3)),#REF!),IF(WEEKDAY(dec!G$3,1)=1,"WO","P"))</f>
        <v>P</v>
      </c>
      <c r="H41" s="4" t="str">
        <f>IFERROR(LOOKUP(2,1/((#REF!=dec!$A41)*(#REF!&lt;=dec!H$3)*(#REF!&gt;=dec!H$3)),#REF!),IF(WEEKDAY(dec!H$3,1)=1,"WO","P"))</f>
        <v>P</v>
      </c>
      <c r="I41" s="4" t="str">
        <f>IFERROR(LOOKUP(2,1/((#REF!=dec!$A41)*(#REF!&lt;=dec!I$3)*(#REF!&gt;=dec!I$3)),#REF!),IF(WEEKDAY(dec!I$3,1)=1,"WO","P"))</f>
        <v>P</v>
      </c>
      <c r="J41" s="4" t="str">
        <f>IFERROR(LOOKUP(2,1/((#REF!=dec!$A41)*(#REF!&lt;=dec!J$3)*(#REF!&gt;=dec!J$3)),#REF!),IF(WEEKDAY(dec!J$3,1)=1,"WO","P"))</f>
        <v>P</v>
      </c>
      <c r="K41" s="4" t="str">
        <f>IFERROR(LOOKUP(2,1/((#REF!=dec!$A41)*(#REF!&lt;=dec!K$3)*(#REF!&gt;=dec!K$3)),#REF!),IF(WEEKDAY(dec!K$3,1)=1,"WO","P"))</f>
        <v>WO</v>
      </c>
      <c r="L41" s="4" t="str">
        <f>IFERROR(LOOKUP(2,1/((#REF!=dec!$A41)*(#REF!&lt;=dec!L$3)*(#REF!&gt;=dec!L$3)),#REF!),IF(WEEKDAY(dec!L$3,1)=1,"WO","P"))</f>
        <v>P</v>
      </c>
      <c r="M41" s="4" t="str">
        <f>IFERROR(LOOKUP(2,1/((#REF!=dec!$A41)*(#REF!&lt;=dec!M$3)*(#REF!&gt;=dec!M$3)),#REF!),IF(WEEKDAY(dec!M$3,1)=1,"WO","P"))</f>
        <v>P</v>
      </c>
      <c r="N41" s="4" t="str">
        <f>IFERROR(LOOKUP(2,1/((#REF!=dec!$A41)*(#REF!&lt;=dec!N$3)*(#REF!&gt;=dec!N$3)),#REF!),IF(WEEKDAY(dec!N$3,1)=1,"WO","P"))</f>
        <v>P</v>
      </c>
      <c r="O41" s="4" t="str">
        <f>IFERROR(LOOKUP(2,1/((#REF!=dec!$A41)*(#REF!&lt;=dec!O$3)*(#REF!&gt;=dec!O$3)),#REF!),IF(WEEKDAY(dec!O$3,1)=1,"WO","P"))</f>
        <v>P</v>
      </c>
      <c r="P41" s="4" t="str">
        <f>IFERROR(LOOKUP(2,1/((#REF!=dec!$A41)*(#REF!&lt;=dec!P$3)*(#REF!&gt;=dec!P$3)),#REF!),IF(WEEKDAY(dec!P$3,1)=1,"WO","P"))</f>
        <v>P</v>
      </c>
      <c r="Q41" s="4" t="str">
        <f>IFERROR(LOOKUP(2,1/((#REF!=dec!$A41)*(#REF!&lt;=dec!Q$3)*(#REF!&gt;=dec!Q$3)),#REF!),IF(WEEKDAY(dec!Q$3,1)=1,"WO","P"))</f>
        <v>P</v>
      </c>
      <c r="R41" s="4" t="str">
        <f>IFERROR(LOOKUP(2,1/((#REF!=dec!$A41)*(#REF!&lt;=dec!R$3)*(#REF!&gt;=dec!R$3)),#REF!),IF(WEEKDAY(dec!R$3,1)=1,"WO","P"))</f>
        <v>WO</v>
      </c>
      <c r="S41" s="4" t="str">
        <f>IFERROR(LOOKUP(2,1/((#REF!=dec!$A41)*(#REF!&lt;=dec!S$3)*(#REF!&gt;=dec!S$3)),#REF!),IF(WEEKDAY(dec!S$3,1)=1,"WO","P"))</f>
        <v>P</v>
      </c>
      <c r="T41" s="4" t="str">
        <f>IFERROR(LOOKUP(2,1/((#REF!=dec!$A41)*(#REF!&lt;=dec!T$3)*(#REF!&gt;=dec!T$3)),#REF!),IF(WEEKDAY(dec!T$3,1)=1,"WO","P"))</f>
        <v>P</v>
      </c>
      <c r="U41" s="4" t="str">
        <f>IFERROR(LOOKUP(2,1/((#REF!=dec!$A41)*(#REF!&lt;=dec!U$3)*(#REF!&gt;=dec!U$3)),#REF!),IF(WEEKDAY(dec!U$3,1)=1,"WO","P"))</f>
        <v>P</v>
      </c>
      <c r="V41" s="4" t="str">
        <f>IFERROR(LOOKUP(2,1/((#REF!=dec!$A41)*(#REF!&lt;=dec!V$3)*(#REF!&gt;=dec!V$3)),#REF!),IF(WEEKDAY(dec!V$3,1)=1,"WO","P"))</f>
        <v>P</v>
      </c>
      <c r="W41" s="4" t="str">
        <f>IFERROR(LOOKUP(2,1/((#REF!=dec!$A41)*(#REF!&lt;=dec!W$3)*(#REF!&gt;=dec!W$3)),#REF!),IF(WEEKDAY(dec!W$3,1)=1,"WO","P"))</f>
        <v>P</v>
      </c>
      <c r="X41" s="4" t="str">
        <f>IFERROR(LOOKUP(2,1/((#REF!=dec!$A41)*(#REF!&lt;=dec!X$3)*(#REF!&gt;=dec!X$3)),#REF!),IF(WEEKDAY(dec!X$3,1)=1,"WO","P"))</f>
        <v>P</v>
      </c>
      <c r="Y41" s="4" t="str">
        <f>IFERROR(LOOKUP(2,1/((#REF!=dec!$A41)*(#REF!&lt;=dec!Y$3)*(#REF!&gt;=dec!Y$3)),#REF!),IF(WEEKDAY(dec!Y$3,1)=1,"WO","P"))</f>
        <v>WO</v>
      </c>
      <c r="Z41" s="4" t="str">
        <f>IFERROR(LOOKUP(2,1/((#REF!=dec!$A41)*(#REF!&lt;=dec!Z$3)*(#REF!&gt;=dec!Z$3)),#REF!),IF(WEEKDAY(dec!Z$3,1)=1,"WO","P"))</f>
        <v>P</v>
      </c>
      <c r="AA41" s="4" t="str">
        <f>IFERROR(LOOKUP(2,1/((#REF!=dec!$A41)*(#REF!&lt;=dec!AA$3)*(#REF!&gt;=dec!AA$3)),#REF!),IF(WEEKDAY(dec!AA$3,1)=1,"WO","P"))</f>
        <v>P</v>
      </c>
      <c r="AB41" s="4" t="str">
        <f>IFERROR(LOOKUP(2,1/((#REF!=dec!$A41)*(#REF!&lt;=dec!AB$3)*(#REF!&gt;=dec!AB$3)),#REF!),IF(WEEKDAY(dec!AB$3,1)=1,"WO","P"))</f>
        <v>P</v>
      </c>
      <c r="AC41" s="4" t="str">
        <f>IFERROR(LOOKUP(2,1/((#REF!=dec!$A41)*(#REF!&lt;=dec!AC$3)*(#REF!&gt;=dec!AC$3)),#REF!),IF(WEEKDAY(dec!AC$3,1)=1,"WO","P"))</f>
        <v>P</v>
      </c>
      <c r="AD41" s="4" t="str">
        <f>IFERROR(LOOKUP(2,1/((#REF!=dec!$A41)*(#REF!&lt;=dec!AD$3)*(#REF!&gt;=dec!AD$3)),#REF!),IF(WEEKDAY(dec!AD$3,1)=1,"WO","P"))</f>
        <v>P</v>
      </c>
      <c r="AE41" s="4" t="str">
        <f>IFERROR(LOOKUP(2,1/((#REF!=dec!$A41)*(#REF!&lt;=dec!AE$3)*(#REF!&gt;=dec!AE$3)),#REF!),IF(WEEKDAY(dec!AE$3,1)=1,"WO","P"))</f>
        <v>P</v>
      </c>
      <c r="AF41" s="4" t="str">
        <f>IFERROR(LOOKUP(2,1/((#REF!=dec!$A41)*(#REF!&lt;=dec!AF$3)*(#REF!&gt;=dec!AF$3)),#REF!),IF(WEEKDAY(dec!AF$3,1)=1,"WO","P"))</f>
        <v>WO</v>
      </c>
      <c r="AG41" s="4" t="str">
        <f>IFERROR(LOOKUP(2,1/((#REF!=dec!$A41)*(#REF!&lt;=dec!AG$3)*(#REF!&gt;=dec!AG$3)),#REF!),IF(WEEKDAY(dec!AG$3,1)=1,"WO","P"))</f>
        <v>P</v>
      </c>
      <c r="AH41" s="4" t="str">
        <f>IFERROR(LOOKUP(2,1/((#REF!=dec!$A41)*(#REF!&lt;=dec!AH$3)*(#REF!&gt;=dec!AH$3)),#REF!),IF(WEEKDAY(dec!AH$3,1)=1,"WO","P"))</f>
        <v>P</v>
      </c>
      <c r="AI41" s="4" t="str">
        <f>IFERROR(LOOKUP(2,1/((#REF!=dec!$A41)*(#REF!&lt;=dec!AI$3)*(#REF!&gt;=dec!AI$3)),#REF!),IF(WEEKDAY(dec!AI$3,1)=1,"WO","P"))</f>
        <v>P</v>
      </c>
      <c r="AJ41" s="4" t="str">
        <f>IFERROR(LOOKUP(2,1/((#REF!=dec!$A41)*(#REF!&lt;=dec!AJ$3)*(#REF!&gt;=dec!AJ$3)),#REF!),IF(WEEKDAY(dec!AJ$3,1)=1,"WO","P"))</f>
        <v>P</v>
      </c>
      <c r="AK41" s="4">
        <f>COUNTIF(mar!$F41:$AJ41,"WO")</f>
        <v>5</v>
      </c>
      <c r="AL41" s="4">
        <f>COUNTIF(mar!$F41:$AJ41,"H")</f>
        <v>2</v>
      </c>
      <c r="AM41" s="4">
        <f>COUNTIF(mar!$F41:$AJ41,"pl")</f>
        <v>0</v>
      </c>
      <c r="AN41" s="4">
        <f>COUNTIF(mar!$F41:$AJ41,"LWP")</f>
        <v>0</v>
      </c>
      <c r="AO41" s="4">
        <f>COUNTIF(mar!$F41:$AJ41,"HD")</f>
        <v>0</v>
      </c>
      <c r="AP41" s="4">
        <f>COUNTIF(mar!$F41:$AJ41,"SL")</f>
        <v>0</v>
      </c>
      <c r="AQ41" s="4">
        <f>COUNTIF(mar!$F41:$AJ41,"CL")</f>
        <v>0</v>
      </c>
      <c r="AR41" s="4">
        <f>COUNTIF(mar!$F41:$AJ41,"A")</f>
        <v>0</v>
      </c>
      <c r="AS41" s="4">
        <f>COUNTIF(mar!$F41:$AJ41,"P")</f>
        <v>24</v>
      </c>
      <c r="AT41" s="4">
        <f t="shared" si="2"/>
        <v>31</v>
      </c>
      <c r="AU41" s="4">
        <f t="shared" si="3"/>
        <v>31</v>
      </c>
      <c r="AV41" s="4">
        <f>SUMIFS(holly!$L$2:$L$122,holly!$I$2:$I$122,mar!$A41,holly!$K$2:$K$122,"Mar")</f>
        <v>0</v>
      </c>
    </row>
    <row r="42" spans="1:48" ht="15.75" x14ac:dyDescent="0.25">
      <c r="A42" s="4" t="s">
        <v>68</v>
      </c>
      <c r="B42" s="4" t="str">
        <f>VLOOKUP($A42,Master!$A$2:$K$52,2,0)</f>
        <v>Employee38</v>
      </c>
      <c r="C42" s="4" t="str">
        <f>VLOOKUP($A42,Master!$A$2:$K$52,3,0)</f>
        <v>Male</v>
      </c>
      <c r="D42" s="4" t="str">
        <f>VLOOKUP($A42,Master!$A$2:$K$52,5,0)</f>
        <v>Production</v>
      </c>
      <c r="E42" s="4" t="str">
        <f>VLOOKUP($A42,Master!$A$2:$K$52,6,0)</f>
        <v>Operator</v>
      </c>
      <c r="F42" s="4" t="str">
        <f>IFERROR(LOOKUP(2,1/((#REF!=dec!$A42)*(#REF!&lt;=dec!F$3)*(#REF!&gt;=dec!F$3)),#REF!),IF(WEEKDAY(dec!F$3,1)=1,"WO","P"))</f>
        <v>P</v>
      </c>
      <c r="G42" s="4" t="str">
        <f>IFERROR(LOOKUP(2,1/((#REF!=dec!$A42)*(#REF!&lt;=dec!G$3)*(#REF!&gt;=dec!G$3)),#REF!),IF(WEEKDAY(dec!G$3,1)=1,"WO","P"))</f>
        <v>P</v>
      </c>
      <c r="H42" s="4" t="str">
        <f>IFERROR(LOOKUP(2,1/((#REF!=dec!$A42)*(#REF!&lt;=dec!H$3)*(#REF!&gt;=dec!H$3)),#REF!),IF(WEEKDAY(dec!H$3,1)=1,"WO","P"))</f>
        <v>P</v>
      </c>
      <c r="I42" s="4" t="str">
        <f>IFERROR(LOOKUP(2,1/((#REF!=dec!$A42)*(#REF!&lt;=dec!I$3)*(#REF!&gt;=dec!I$3)),#REF!),IF(WEEKDAY(dec!I$3,1)=1,"WO","P"))</f>
        <v>P</v>
      </c>
      <c r="J42" s="4" t="str">
        <f>IFERROR(LOOKUP(2,1/((#REF!=dec!$A42)*(#REF!&lt;=dec!J$3)*(#REF!&gt;=dec!J$3)),#REF!),IF(WEEKDAY(dec!J$3,1)=1,"WO","P"))</f>
        <v>P</v>
      </c>
      <c r="K42" s="4" t="str">
        <f>IFERROR(LOOKUP(2,1/((#REF!=dec!$A42)*(#REF!&lt;=dec!K$3)*(#REF!&gt;=dec!K$3)),#REF!),IF(WEEKDAY(dec!K$3,1)=1,"WO","P"))</f>
        <v>WO</v>
      </c>
      <c r="L42" s="4" t="str">
        <f>IFERROR(LOOKUP(2,1/((#REF!=dec!$A42)*(#REF!&lt;=dec!L$3)*(#REF!&gt;=dec!L$3)),#REF!),IF(WEEKDAY(dec!L$3,1)=1,"WO","P"))</f>
        <v>P</v>
      </c>
      <c r="M42" s="4" t="str">
        <f>IFERROR(LOOKUP(2,1/((#REF!=dec!$A42)*(#REF!&lt;=dec!M$3)*(#REF!&gt;=dec!M$3)),#REF!),IF(WEEKDAY(dec!M$3,1)=1,"WO","P"))</f>
        <v>P</v>
      </c>
      <c r="N42" s="4" t="str">
        <f>IFERROR(LOOKUP(2,1/((#REF!=dec!$A42)*(#REF!&lt;=dec!N$3)*(#REF!&gt;=dec!N$3)),#REF!),IF(WEEKDAY(dec!N$3,1)=1,"WO","P"))</f>
        <v>P</v>
      </c>
      <c r="O42" s="4" t="str">
        <f>IFERROR(LOOKUP(2,1/((#REF!=dec!$A42)*(#REF!&lt;=dec!O$3)*(#REF!&gt;=dec!O$3)),#REF!),IF(WEEKDAY(dec!O$3,1)=1,"WO","P"))</f>
        <v>P</v>
      </c>
      <c r="P42" s="4" t="str">
        <f>IFERROR(LOOKUP(2,1/((#REF!=dec!$A42)*(#REF!&lt;=dec!P$3)*(#REF!&gt;=dec!P$3)),#REF!),IF(WEEKDAY(dec!P$3,1)=1,"WO","P"))</f>
        <v>P</v>
      </c>
      <c r="Q42" s="4" t="str">
        <f>IFERROR(LOOKUP(2,1/((#REF!=dec!$A42)*(#REF!&lt;=dec!Q$3)*(#REF!&gt;=dec!Q$3)),#REF!),IF(WEEKDAY(dec!Q$3,1)=1,"WO","P"))</f>
        <v>P</v>
      </c>
      <c r="R42" s="4" t="str">
        <f>IFERROR(LOOKUP(2,1/((#REF!=dec!$A42)*(#REF!&lt;=dec!R$3)*(#REF!&gt;=dec!R$3)),#REF!),IF(WEEKDAY(dec!R$3,1)=1,"WO","P"))</f>
        <v>WO</v>
      </c>
      <c r="S42" s="4" t="str">
        <f>IFERROR(LOOKUP(2,1/((#REF!=dec!$A42)*(#REF!&lt;=dec!S$3)*(#REF!&gt;=dec!S$3)),#REF!),IF(WEEKDAY(dec!S$3,1)=1,"WO","P"))</f>
        <v>P</v>
      </c>
      <c r="T42" s="4" t="str">
        <f>IFERROR(LOOKUP(2,1/((#REF!=dec!$A42)*(#REF!&lt;=dec!T$3)*(#REF!&gt;=dec!T$3)),#REF!),IF(WEEKDAY(dec!T$3,1)=1,"WO","P"))</f>
        <v>P</v>
      </c>
      <c r="U42" s="4" t="str">
        <f>IFERROR(LOOKUP(2,1/((#REF!=dec!$A42)*(#REF!&lt;=dec!U$3)*(#REF!&gt;=dec!U$3)),#REF!),IF(WEEKDAY(dec!U$3,1)=1,"WO","P"))</f>
        <v>P</v>
      </c>
      <c r="V42" s="4" t="str">
        <f>IFERROR(LOOKUP(2,1/((#REF!=dec!$A42)*(#REF!&lt;=dec!V$3)*(#REF!&gt;=dec!V$3)),#REF!),IF(WEEKDAY(dec!V$3,1)=1,"WO","P"))</f>
        <v>P</v>
      </c>
      <c r="W42" s="4" t="str">
        <f>IFERROR(LOOKUP(2,1/((#REF!=dec!$A42)*(#REF!&lt;=dec!W$3)*(#REF!&gt;=dec!W$3)),#REF!),IF(WEEKDAY(dec!W$3,1)=1,"WO","P"))</f>
        <v>P</v>
      </c>
      <c r="X42" s="4" t="str">
        <f>IFERROR(LOOKUP(2,1/((#REF!=dec!$A42)*(#REF!&lt;=dec!X$3)*(#REF!&gt;=dec!X$3)),#REF!),IF(WEEKDAY(dec!X$3,1)=1,"WO","P"))</f>
        <v>P</v>
      </c>
      <c r="Y42" s="4" t="str">
        <f>IFERROR(LOOKUP(2,1/((#REF!=dec!$A42)*(#REF!&lt;=dec!Y$3)*(#REF!&gt;=dec!Y$3)),#REF!),IF(WEEKDAY(dec!Y$3,1)=1,"WO","P"))</f>
        <v>WO</v>
      </c>
      <c r="Z42" s="4" t="str">
        <f>IFERROR(LOOKUP(2,1/((#REF!=dec!$A42)*(#REF!&lt;=dec!Z$3)*(#REF!&gt;=dec!Z$3)),#REF!),IF(WEEKDAY(dec!Z$3,1)=1,"WO","P"))</f>
        <v>P</v>
      </c>
      <c r="AA42" s="4" t="str">
        <f>IFERROR(LOOKUP(2,1/((#REF!=dec!$A42)*(#REF!&lt;=dec!AA$3)*(#REF!&gt;=dec!AA$3)),#REF!),IF(WEEKDAY(dec!AA$3,1)=1,"WO","P"))</f>
        <v>P</v>
      </c>
      <c r="AB42" s="4" t="str">
        <f>IFERROR(LOOKUP(2,1/((#REF!=dec!$A42)*(#REF!&lt;=dec!AB$3)*(#REF!&gt;=dec!AB$3)),#REF!),IF(WEEKDAY(dec!AB$3,1)=1,"WO","P"))</f>
        <v>P</v>
      </c>
      <c r="AC42" s="4" t="str">
        <f>IFERROR(LOOKUP(2,1/((#REF!=dec!$A42)*(#REF!&lt;=dec!AC$3)*(#REF!&gt;=dec!AC$3)),#REF!),IF(WEEKDAY(dec!AC$3,1)=1,"WO","P"))</f>
        <v>P</v>
      </c>
      <c r="AD42" s="4" t="str">
        <f>IFERROR(LOOKUP(2,1/((#REF!=dec!$A42)*(#REF!&lt;=dec!AD$3)*(#REF!&gt;=dec!AD$3)),#REF!),IF(WEEKDAY(dec!AD$3,1)=1,"WO","P"))</f>
        <v>P</v>
      </c>
      <c r="AE42" s="4" t="str">
        <f>IFERROR(LOOKUP(2,1/((#REF!=dec!$A42)*(#REF!&lt;=dec!AE$3)*(#REF!&gt;=dec!AE$3)),#REF!),IF(WEEKDAY(dec!AE$3,1)=1,"WO","P"))</f>
        <v>P</v>
      </c>
      <c r="AF42" s="4" t="str">
        <f>IFERROR(LOOKUP(2,1/((#REF!=dec!$A42)*(#REF!&lt;=dec!AF$3)*(#REF!&gt;=dec!AF$3)),#REF!),IF(WEEKDAY(dec!AF$3,1)=1,"WO","P"))</f>
        <v>WO</v>
      </c>
      <c r="AG42" s="4" t="str">
        <f>IFERROR(LOOKUP(2,1/((#REF!=dec!$A42)*(#REF!&lt;=dec!AG$3)*(#REF!&gt;=dec!AG$3)),#REF!),IF(WEEKDAY(dec!AG$3,1)=1,"WO","P"))</f>
        <v>P</v>
      </c>
      <c r="AH42" s="4" t="str">
        <f>IFERROR(LOOKUP(2,1/((#REF!=dec!$A42)*(#REF!&lt;=dec!AH$3)*(#REF!&gt;=dec!AH$3)),#REF!),IF(WEEKDAY(dec!AH$3,1)=1,"WO","P"))</f>
        <v>P</v>
      </c>
      <c r="AI42" s="4" t="str">
        <f>IFERROR(LOOKUP(2,1/((#REF!=dec!$A42)*(#REF!&lt;=dec!AI$3)*(#REF!&gt;=dec!AI$3)),#REF!),IF(WEEKDAY(dec!AI$3,1)=1,"WO","P"))</f>
        <v>P</v>
      </c>
      <c r="AJ42" s="4" t="str">
        <f>IFERROR(LOOKUP(2,1/((#REF!=dec!$A42)*(#REF!&lt;=dec!AJ$3)*(#REF!&gt;=dec!AJ$3)),#REF!),IF(WEEKDAY(dec!AJ$3,1)=1,"WO","P"))</f>
        <v>P</v>
      </c>
      <c r="AK42" s="4">
        <f>COUNTIF(mar!$F42:$AJ42,"WO")</f>
        <v>5</v>
      </c>
      <c r="AL42" s="4">
        <f>COUNTIF(mar!$F42:$AJ42,"H")</f>
        <v>2</v>
      </c>
      <c r="AM42" s="4">
        <f>COUNTIF(mar!$F42:$AJ42,"pl")</f>
        <v>0</v>
      </c>
      <c r="AN42" s="4">
        <f>COUNTIF(mar!$F42:$AJ42,"LWP")</f>
        <v>0</v>
      </c>
      <c r="AO42" s="4">
        <f>COUNTIF(mar!$F42:$AJ42,"HD")</f>
        <v>0</v>
      </c>
      <c r="AP42" s="4">
        <f>COUNTIF(mar!$F42:$AJ42,"SL")</f>
        <v>0</v>
      </c>
      <c r="AQ42" s="4">
        <f>COUNTIF(mar!$F42:$AJ42,"CL")</f>
        <v>0</v>
      </c>
      <c r="AR42" s="4">
        <f>COUNTIF(mar!$F42:$AJ42,"A")</f>
        <v>0</v>
      </c>
      <c r="AS42" s="4">
        <f>COUNTIF(mar!$F42:$AJ42,"P")</f>
        <v>24</v>
      </c>
      <c r="AT42" s="4">
        <f t="shared" si="2"/>
        <v>31</v>
      </c>
      <c r="AU42" s="4">
        <f t="shared" si="3"/>
        <v>31</v>
      </c>
      <c r="AV42" s="4">
        <f>SUMIFS(holly!$L$2:$L$122,holly!$I$2:$I$122,mar!$A42,holly!$K$2:$K$122,"Mar")</f>
        <v>2</v>
      </c>
    </row>
    <row r="43" spans="1:48" ht="15.75" x14ac:dyDescent="0.25">
      <c r="A43" s="4" t="s">
        <v>69</v>
      </c>
      <c r="B43" s="4" t="str">
        <f>VLOOKUP($A43,Master!$A$2:$K$52,2,0)</f>
        <v>Employee39</v>
      </c>
      <c r="C43" s="4" t="str">
        <f>VLOOKUP($A43,Master!$A$2:$K$52,3,0)</f>
        <v>Male</v>
      </c>
      <c r="D43" s="4" t="str">
        <f>VLOOKUP($A43,Master!$A$2:$K$52,5,0)</f>
        <v>Production</v>
      </c>
      <c r="E43" s="4" t="str">
        <f>VLOOKUP($A43,Master!$A$2:$K$52,6,0)</f>
        <v>Supervisor</v>
      </c>
      <c r="F43" s="4" t="str">
        <f>IFERROR(LOOKUP(2,1/((#REF!=dec!$A43)*(#REF!&lt;=dec!F$3)*(#REF!&gt;=dec!F$3)),#REF!),IF(WEEKDAY(dec!F$3,1)=1,"WO","P"))</f>
        <v>P</v>
      </c>
      <c r="G43" s="4" t="str">
        <f>IFERROR(LOOKUP(2,1/((#REF!=dec!$A43)*(#REF!&lt;=dec!G$3)*(#REF!&gt;=dec!G$3)),#REF!),IF(WEEKDAY(dec!G$3,1)=1,"WO","P"))</f>
        <v>P</v>
      </c>
      <c r="H43" s="4" t="str">
        <f>IFERROR(LOOKUP(2,1/((#REF!=dec!$A43)*(#REF!&lt;=dec!H$3)*(#REF!&gt;=dec!H$3)),#REF!),IF(WEEKDAY(dec!H$3,1)=1,"WO","P"))</f>
        <v>P</v>
      </c>
      <c r="I43" s="4" t="str">
        <f>IFERROR(LOOKUP(2,1/((#REF!=dec!$A43)*(#REF!&lt;=dec!I$3)*(#REF!&gt;=dec!I$3)),#REF!),IF(WEEKDAY(dec!I$3,1)=1,"WO","P"))</f>
        <v>P</v>
      </c>
      <c r="J43" s="4" t="str">
        <f>IFERROR(LOOKUP(2,1/((#REF!=dec!$A43)*(#REF!&lt;=dec!J$3)*(#REF!&gt;=dec!J$3)),#REF!),IF(WEEKDAY(dec!J$3,1)=1,"WO","P"))</f>
        <v>P</v>
      </c>
      <c r="K43" s="4" t="str">
        <f>IFERROR(LOOKUP(2,1/((#REF!=dec!$A43)*(#REF!&lt;=dec!K$3)*(#REF!&gt;=dec!K$3)),#REF!),IF(WEEKDAY(dec!K$3,1)=1,"WO","P"))</f>
        <v>WO</v>
      </c>
      <c r="L43" s="4" t="str">
        <f>IFERROR(LOOKUP(2,1/((#REF!=dec!$A43)*(#REF!&lt;=dec!L$3)*(#REF!&gt;=dec!L$3)),#REF!),IF(WEEKDAY(dec!L$3,1)=1,"WO","P"))</f>
        <v>P</v>
      </c>
      <c r="M43" s="4" t="str">
        <f>IFERROR(LOOKUP(2,1/((#REF!=dec!$A43)*(#REF!&lt;=dec!M$3)*(#REF!&gt;=dec!M$3)),#REF!),IF(WEEKDAY(dec!M$3,1)=1,"WO","P"))</f>
        <v>P</v>
      </c>
      <c r="N43" s="4" t="str">
        <f>IFERROR(LOOKUP(2,1/((#REF!=dec!$A43)*(#REF!&lt;=dec!N$3)*(#REF!&gt;=dec!N$3)),#REF!),IF(WEEKDAY(dec!N$3,1)=1,"WO","P"))</f>
        <v>P</v>
      </c>
      <c r="O43" s="4" t="str">
        <f>IFERROR(LOOKUP(2,1/((#REF!=dec!$A43)*(#REF!&lt;=dec!O$3)*(#REF!&gt;=dec!O$3)),#REF!),IF(WEEKDAY(dec!O$3,1)=1,"WO","P"))</f>
        <v>P</v>
      </c>
      <c r="P43" s="4" t="str">
        <f>IFERROR(LOOKUP(2,1/((#REF!=dec!$A43)*(#REF!&lt;=dec!P$3)*(#REF!&gt;=dec!P$3)),#REF!),IF(WEEKDAY(dec!P$3,1)=1,"WO","P"))</f>
        <v>P</v>
      </c>
      <c r="Q43" s="4" t="str">
        <f>IFERROR(LOOKUP(2,1/((#REF!=dec!$A43)*(#REF!&lt;=dec!Q$3)*(#REF!&gt;=dec!Q$3)),#REF!),IF(WEEKDAY(dec!Q$3,1)=1,"WO","P"))</f>
        <v>P</v>
      </c>
      <c r="R43" s="4" t="str">
        <f>IFERROR(LOOKUP(2,1/((#REF!=dec!$A43)*(#REF!&lt;=dec!R$3)*(#REF!&gt;=dec!R$3)),#REF!),IF(WEEKDAY(dec!R$3,1)=1,"WO","P"))</f>
        <v>WO</v>
      </c>
      <c r="S43" s="4" t="str">
        <f>IFERROR(LOOKUP(2,1/((#REF!=dec!$A43)*(#REF!&lt;=dec!S$3)*(#REF!&gt;=dec!S$3)),#REF!),IF(WEEKDAY(dec!S$3,1)=1,"WO","P"))</f>
        <v>P</v>
      </c>
      <c r="T43" s="4" t="str">
        <f>IFERROR(LOOKUP(2,1/((#REF!=dec!$A43)*(#REF!&lt;=dec!T$3)*(#REF!&gt;=dec!T$3)),#REF!),IF(WEEKDAY(dec!T$3,1)=1,"WO","P"))</f>
        <v>P</v>
      </c>
      <c r="U43" s="4" t="str">
        <f>IFERROR(LOOKUP(2,1/((#REF!=dec!$A43)*(#REF!&lt;=dec!U$3)*(#REF!&gt;=dec!U$3)),#REF!),IF(WEEKDAY(dec!U$3,1)=1,"WO","P"))</f>
        <v>P</v>
      </c>
      <c r="V43" s="4" t="str">
        <f>IFERROR(LOOKUP(2,1/((#REF!=dec!$A43)*(#REF!&lt;=dec!V$3)*(#REF!&gt;=dec!V$3)),#REF!),IF(WEEKDAY(dec!V$3,1)=1,"WO","P"))</f>
        <v>P</v>
      </c>
      <c r="W43" s="4" t="str">
        <f>IFERROR(LOOKUP(2,1/((#REF!=dec!$A43)*(#REF!&lt;=dec!W$3)*(#REF!&gt;=dec!W$3)),#REF!),IF(WEEKDAY(dec!W$3,1)=1,"WO","P"))</f>
        <v>P</v>
      </c>
      <c r="X43" s="4" t="str">
        <f>IFERROR(LOOKUP(2,1/((#REF!=dec!$A43)*(#REF!&lt;=dec!X$3)*(#REF!&gt;=dec!X$3)),#REF!),IF(WEEKDAY(dec!X$3,1)=1,"WO","P"))</f>
        <v>P</v>
      </c>
      <c r="Y43" s="4" t="str">
        <f>IFERROR(LOOKUP(2,1/((#REF!=dec!$A43)*(#REF!&lt;=dec!Y$3)*(#REF!&gt;=dec!Y$3)),#REF!),IF(WEEKDAY(dec!Y$3,1)=1,"WO","P"))</f>
        <v>WO</v>
      </c>
      <c r="Z43" s="4" t="str">
        <f>IFERROR(LOOKUP(2,1/((#REF!=dec!$A43)*(#REF!&lt;=dec!Z$3)*(#REF!&gt;=dec!Z$3)),#REF!),IF(WEEKDAY(dec!Z$3,1)=1,"WO","P"))</f>
        <v>P</v>
      </c>
      <c r="AA43" s="4" t="str">
        <f>IFERROR(LOOKUP(2,1/((#REF!=dec!$A43)*(#REF!&lt;=dec!AA$3)*(#REF!&gt;=dec!AA$3)),#REF!),IF(WEEKDAY(dec!AA$3,1)=1,"WO","P"))</f>
        <v>P</v>
      </c>
      <c r="AB43" s="4" t="str">
        <f>IFERROR(LOOKUP(2,1/((#REF!=dec!$A43)*(#REF!&lt;=dec!AB$3)*(#REF!&gt;=dec!AB$3)),#REF!),IF(WEEKDAY(dec!AB$3,1)=1,"WO","P"))</f>
        <v>P</v>
      </c>
      <c r="AC43" s="4" t="str">
        <f>IFERROR(LOOKUP(2,1/((#REF!=dec!$A43)*(#REF!&lt;=dec!AC$3)*(#REF!&gt;=dec!AC$3)),#REF!),IF(WEEKDAY(dec!AC$3,1)=1,"WO","P"))</f>
        <v>P</v>
      </c>
      <c r="AD43" s="4" t="str">
        <f>IFERROR(LOOKUP(2,1/((#REF!=dec!$A43)*(#REF!&lt;=dec!AD$3)*(#REF!&gt;=dec!AD$3)),#REF!),IF(WEEKDAY(dec!AD$3,1)=1,"WO","P"))</f>
        <v>P</v>
      </c>
      <c r="AE43" s="4" t="str">
        <f>IFERROR(LOOKUP(2,1/((#REF!=dec!$A43)*(#REF!&lt;=dec!AE$3)*(#REF!&gt;=dec!AE$3)),#REF!),IF(WEEKDAY(dec!AE$3,1)=1,"WO","P"))</f>
        <v>P</v>
      </c>
      <c r="AF43" s="4" t="str">
        <f>IFERROR(LOOKUP(2,1/((#REF!=dec!$A43)*(#REF!&lt;=dec!AF$3)*(#REF!&gt;=dec!AF$3)),#REF!),IF(WEEKDAY(dec!AF$3,1)=1,"WO","P"))</f>
        <v>WO</v>
      </c>
      <c r="AG43" s="4" t="str">
        <f>IFERROR(LOOKUP(2,1/((#REF!=dec!$A43)*(#REF!&lt;=dec!AG$3)*(#REF!&gt;=dec!AG$3)),#REF!),IF(WEEKDAY(dec!AG$3,1)=1,"WO","P"))</f>
        <v>P</v>
      </c>
      <c r="AH43" s="4" t="str">
        <f>IFERROR(LOOKUP(2,1/((#REF!=dec!$A43)*(#REF!&lt;=dec!AH$3)*(#REF!&gt;=dec!AH$3)),#REF!),IF(WEEKDAY(dec!AH$3,1)=1,"WO","P"))</f>
        <v>P</v>
      </c>
      <c r="AI43" s="4" t="str">
        <f>IFERROR(LOOKUP(2,1/((#REF!=dec!$A43)*(#REF!&lt;=dec!AI$3)*(#REF!&gt;=dec!AI$3)),#REF!),IF(WEEKDAY(dec!AI$3,1)=1,"WO","P"))</f>
        <v>P</v>
      </c>
      <c r="AJ43" s="4" t="str">
        <f>IFERROR(LOOKUP(2,1/((#REF!=dec!$A43)*(#REF!&lt;=dec!AJ$3)*(#REF!&gt;=dec!AJ$3)),#REF!),IF(WEEKDAY(dec!AJ$3,1)=1,"WO","P"))</f>
        <v>P</v>
      </c>
      <c r="AK43" s="4">
        <f>COUNTIF(mar!$F43:$AJ43,"WO")</f>
        <v>5</v>
      </c>
      <c r="AL43" s="4">
        <f>COUNTIF(mar!$F43:$AJ43,"H")</f>
        <v>2</v>
      </c>
      <c r="AM43" s="4">
        <f>COUNTIF(mar!$F43:$AJ43,"pl")</f>
        <v>0</v>
      </c>
      <c r="AN43" s="4">
        <f>COUNTIF(mar!$F43:$AJ43,"LWP")</f>
        <v>0</v>
      </c>
      <c r="AO43" s="4">
        <f>COUNTIF(mar!$F43:$AJ43,"HD")</f>
        <v>0</v>
      </c>
      <c r="AP43" s="4">
        <f>COUNTIF(mar!$F43:$AJ43,"SL")</f>
        <v>0</v>
      </c>
      <c r="AQ43" s="4">
        <f>COUNTIF(mar!$F43:$AJ43,"CL")</f>
        <v>0</v>
      </c>
      <c r="AR43" s="4">
        <f>COUNTIF(mar!$F43:$AJ43,"A")</f>
        <v>1</v>
      </c>
      <c r="AS43" s="4">
        <f>COUNTIF(mar!$F43:$AJ43,"P")</f>
        <v>23</v>
      </c>
      <c r="AT43" s="4">
        <f t="shared" si="2"/>
        <v>31</v>
      </c>
      <c r="AU43" s="4">
        <f t="shared" si="3"/>
        <v>30</v>
      </c>
      <c r="AV43" s="4">
        <f>SUMIFS(holly!$L$2:$L$122,holly!$I$2:$I$122,mar!$A43,holly!$K$2:$K$122,"Mar")</f>
        <v>0</v>
      </c>
    </row>
    <row r="44" spans="1:48" ht="15.75" x14ac:dyDescent="0.25">
      <c r="A44" s="4" t="s">
        <v>70</v>
      </c>
      <c r="B44" s="4" t="str">
        <f>VLOOKUP($A44,Master!$A$2:$K$52,2,0)</f>
        <v>Employee40</v>
      </c>
      <c r="C44" s="4" t="str">
        <f>VLOOKUP($A44,Master!$A$2:$K$52,3,0)</f>
        <v>Female</v>
      </c>
      <c r="D44" s="4" t="str">
        <f>VLOOKUP($A44,Master!$A$2:$K$52,5,0)</f>
        <v>HR</v>
      </c>
      <c r="E44" s="4" t="str">
        <f>VLOOKUP($A44,Master!$A$2:$K$52,6,0)</f>
        <v>HR Executive</v>
      </c>
      <c r="F44" s="4" t="str">
        <f>IFERROR(LOOKUP(2,1/((#REF!=dec!$A44)*(#REF!&lt;=dec!F$3)*(#REF!&gt;=dec!F$3)),#REF!),IF(WEEKDAY(dec!F$3,1)=1,"WO","P"))</f>
        <v>P</v>
      </c>
      <c r="G44" s="4" t="str">
        <f>IFERROR(LOOKUP(2,1/((#REF!=dec!$A44)*(#REF!&lt;=dec!G$3)*(#REF!&gt;=dec!G$3)),#REF!),IF(WEEKDAY(dec!G$3,1)=1,"WO","P"))</f>
        <v>P</v>
      </c>
      <c r="H44" s="4" t="str">
        <f>IFERROR(LOOKUP(2,1/((#REF!=dec!$A44)*(#REF!&lt;=dec!H$3)*(#REF!&gt;=dec!H$3)),#REF!),IF(WEEKDAY(dec!H$3,1)=1,"WO","P"))</f>
        <v>P</v>
      </c>
      <c r="I44" s="4" t="str">
        <f>IFERROR(LOOKUP(2,1/((#REF!=dec!$A44)*(#REF!&lt;=dec!I$3)*(#REF!&gt;=dec!I$3)),#REF!),IF(WEEKDAY(dec!I$3,1)=1,"WO","P"))</f>
        <v>P</v>
      </c>
      <c r="J44" s="4" t="str">
        <f>IFERROR(LOOKUP(2,1/((#REF!=dec!$A44)*(#REF!&lt;=dec!J$3)*(#REF!&gt;=dec!J$3)),#REF!),IF(WEEKDAY(dec!J$3,1)=1,"WO","P"))</f>
        <v>P</v>
      </c>
      <c r="K44" s="4" t="str">
        <f>IFERROR(LOOKUP(2,1/((#REF!=dec!$A44)*(#REF!&lt;=dec!K$3)*(#REF!&gt;=dec!K$3)),#REF!),IF(WEEKDAY(dec!K$3,1)=1,"WO","P"))</f>
        <v>WO</v>
      </c>
      <c r="L44" s="4" t="str">
        <f>IFERROR(LOOKUP(2,1/((#REF!=dec!$A44)*(#REF!&lt;=dec!L$3)*(#REF!&gt;=dec!L$3)),#REF!),IF(WEEKDAY(dec!L$3,1)=1,"WO","P"))</f>
        <v>P</v>
      </c>
      <c r="M44" s="4" t="str">
        <f>IFERROR(LOOKUP(2,1/((#REF!=dec!$A44)*(#REF!&lt;=dec!M$3)*(#REF!&gt;=dec!M$3)),#REF!),IF(WEEKDAY(dec!M$3,1)=1,"WO","P"))</f>
        <v>P</v>
      </c>
      <c r="N44" s="4" t="str">
        <f>IFERROR(LOOKUP(2,1/((#REF!=dec!$A44)*(#REF!&lt;=dec!N$3)*(#REF!&gt;=dec!N$3)),#REF!),IF(WEEKDAY(dec!N$3,1)=1,"WO","P"))</f>
        <v>P</v>
      </c>
      <c r="O44" s="4" t="str">
        <f>IFERROR(LOOKUP(2,1/((#REF!=dec!$A44)*(#REF!&lt;=dec!O$3)*(#REF!&gt;=dec!O$3)),#REF!),IF(WEEKDAY(dec!O$3,1)=1,"WO","P"))</f>
        <v>P</v>
      </c>
      <c r="P44" s="4" t="str">
        <f>IFERROR(LOOKUP(2,1/((#REF!=dec!$A44)*(#REF!&lt;=dec!P$3)*(#REF!&gt;=dec!P$3)),#REF!),IF(WEEKDAY(dec!P$3,1)=1,"WO","P"))</f>
        <v>P</v>
      </c>
      <c r="Q44" s="4" t="str">
        <f>IFERROR(LOOKUP(2,1/((#REF!=dec!$A44)*(#REF!&lt;=dec!Q$3)*(#REF!&gt;=dec!Q$3)),#REF!),IF(WEEKDAY(dec!Q$3,1)=1,"WO","P"))</f>
        <v>P</v>
      </c>
      <c r="R44" s="4" t="str">
        <f>IFERROR(LOOKUP(2,1/((#REF!=dec!$A44)*(#REF!&lt;=dec!R$3)*(#REF!&gt;=dec!R$3)),#REF!),IF(WEEKDAY(dec!R$3,1)=1,"WO","P"))</f>
        <v>WO</v>
      </c>
      <c r="S44" s="4" t="str">
        <f>IFERROR(LOOKUP(2,1/((#REF!=dec!$A44)*(#REF!&lt;=dec!S$3)*(#REF!&gt;=dec!S$3)),#REF!),IF(WEEKDAY(dec!S$3,1)=1,"WO","P"))</f>
        <v>P</v>
      </c>
      <c r="T44" s="4" t="str">
        <f>IFERROR(LOOKUP(2,1/((#REF!=dec!$A44)*(#REF!&lt;=dec!T$3)*(#REF!&gt;=dec!T$3)),#REF!),IF(WEEKDAY(dec!T$3,1)=1,"WO","P"))</f>
        <v>P</v>
      </c>
      <c r="U44" s="4" t="str">
        <f>IFERROR(LOOKUP(2,1/((#REF!=dec!$A44)*(#REF!&lt;=dec!U$3)*(#REF!&gt;=dec!U$3)),#REF!),IF(WEEKDAY(dec!U$3,1)=1,"WO","P"))</f>
        <v>P</v>
      </c>
      <c r="V44" s="4" t="str">
        <f>IFERROR(LOOKUP(2,1/((#REF!=dec!$A44)*(#REF!&lt;=dec!V$3)*(#REF!&gt;=dec!V$3)),#REF!),IF(WEEKDAY(dec!V$3,1)=1,"WO","P"))</f>
        <v>P</v>
      </c>
      <c r="W44" s="4" t="str">
        <f>IFERROR(LOOKUP(2,1/((#REF!=dec!$A44)*(#REF!&lt;=dec!W$3)*(#REF!&gt;=dec!W$3)),#REF!),IF(WEEKDAY(dec!W$3,1)=1,"WO","P"))</f>
        <v>P</v>
      </c>
      <c r="X44" s="4" t="str">
        <f>IFERROR(LOOKUP(2,1/((#REF!=dec!$A44)*(#REF!&lt;=dec!X$3)*(#REF!&gt;=dec!X$3)),#REF!),IF(WEEKDAY(dec!X$3,1)=1,"WO","P"))</f>
        <v>P</v>
      </c>
      <c r="Y44" s="4" t="str">
        <f>IFERROR(LOOKUP(2,1/((#REF!=dec!$A44)*(#REF!&lt;=dec!Y$3)*(#REF!&gt;=dec!Y$3)),#REF!),IF(WEEKDAY(dec!Y$3,1)=1,"WO","P"))</f>
        <v>WO</v>
      </c>
      <c r="Z44" s="4" t="str">
        <f>IFERROR(LOOKUP(2,1/((#REF!=dec!$A44)*(#REF!&lt;=dec!Z$3)*(#REF!&gt;=dec!Z$3)),#REF!),IF(WEEKDAY(dec!Z$3,1)=1,"WO","P"))</f>
        <v>P</v>
      </c>
      <c r="AA44" s="4" t="str">
        <f>IFERROR(LOOKUP(2,1/((#REF!=dec!$A44)*(#REF!&lt;=dec!AA$3)*(#REF!&gt;=dec!AA$3)),#REF!),IF(WEEKDAY(dec!AA$3,1)=1,"WO","P"))</f>
        <v>P</v>
      </c>
      <c r="AB44" s="4" t="str">
        <f>IFERROR(LOOKUP(2,1/((#REF!=dec!$A44)*(#REF!&lt;=dec!AB$3)*(#REF!&gt;=dec!AB$3)),#REF!),IF(WEEKDAY(dec!AB$3,1)=1,"WO","P"))</f>
        <v>P</v>
      </c>
      <c r="AC44" s="4" t="str">
        <f>IFERROR(LOOKUP(2,1/((#REF!=dec!$A44)*(#REF!&lt;=dec!AC$3)*(#REF!&gt;=dec!AC$3)),#REF!),IF(WEEKDAY(dec!AC$3,1)=1,"WO","P"))</f>
        <v>P</v>
      </c>
      <c r="AD44" s="4" t="str">
        <f>IFERROR(LOOKUP(2,1/((#REF!=dec!$A44)*(#REF!&lt;=dec!AD$3)*(#REF!&gt;=dec!AD$3)),#REF!),IF(WEEKDAY(dec!AD$3,1)=1,"WO","P"))</f>
        <v>P</v>
      </c>
      <c r="AE44" s="4" t="str">
        <f>IFERROR(LOOKUP(2,1/((#REF!=dec!$A44)*(#REF!&lt;=dec!AE$3)*(#REF!&gt;=dec!AE$3)),#REF!),IF(WEEKDAY(dec!AE$3,1)=1,"WO","P"))</f>
        <v>P</v>
      </c>
      <c r="AF44" s="4" t="str">
        <f>IFERROR(LOOKUP(2,1/((#REF!=dec!$A44)*(#REF!&lt;=dec!AF$3)*(#REF!&gt;=dec!AF$3)),#REF!),IF(WEEKDAY(dec!AF$3,1)=1,"WO","P"))</f>
        <v>WO</v>
      </c>
      <c r="AG44" s="4" t="str">
        <f>IFERROR(LOOKUP(2,1/((#REF!=dec!$A44)*(#REF!&lt;=dec!AG$3)*(#REF!&gt;=dec!AG$3)),#REF!),IF(WEEKDAY(dec!AG$3,1)=1,"WO","P"))</f>
        <v>P</v>
      </c>
      <c r="AH44" s="4" t="str">
        <f>IFERROR(LOOKUP(2,1/((#REF!=dec!$A44)*(#REF!&lt;=dec!AH$3)*(#REF!&gt;=dec!AH$3)),#REF!),IF(WEEKDAY(dec!AH$3,1)=1,"WO","P"))</f>
        <v>P</v>
      </c>
      <c r="AI44" s="4" t="str">
        <f>IFERROR(LOOKUP(2,1/((#REF!=dec!$A44)*(#REF!&lt;=dec!AI$3)*(#REF!&gt;=dec!AI$3)),#REF!),IF(WEEKDAY(dec!AI$3,1)=1,"WO","P"))</f>
        <v>P</v>
      </c>
      <c r="AJ44" s="4" t="str">
        <f>IFERROR(LOOKUP(2,1/((#REF!=dec!$A44)*(#REF!&lt;=dec!AJ$3)*(#REF!&gt;=dec!AJ$3)),#REF!),IF(WEEKDAY(dec!AJ$3,1)=1,"WO","P"))</f>
        <v>P</v>
      </c>
      <c r="AK44" s="4">
        <f>COUNTIF(mar!$F44:$AJ44,"WO")</f>
        <v>5</v>
      </c>
      <c r="AL44" s="4">
        <f>COUNTIF(mar!$F44:$AJ44,"H")</f>
        <v>2</v>
      </c>
      <c r="AM44" s="4">
        <f>COUNTIF(mar!$F44:$AJ44,"pl")</f>
        <v>0</v>
      </c>
      <c r="AN44" s="4">
        <f>COUNTIF(mar!$F44:$AJ44,"LWP")</f>
        <v>0</v>
      </c>
      <c r="AO44" s="4">
        <f>COUNTIF(mar!$F44:$AJ44,"HD")</f>
        <v>0</v>
      </c>
      <c r="AP44" s="4">
        <f>COUNTIF(mar!$F44:$AJ44,"SL")</f>
        <v>0</v>
      </c>
      <c r="AQ44" s="4">
        <f>COUNTIF(mar!$F44:$AJ44,"CL")</f>
        <v>0</v>
      </c>
      <c r="AR44" s="4">
        <f>COUNTIF(mar!$F44:$AJ44,"A")</f>
        <v>2</v>
      </c>
      <c r="AS44" s="4">
        <f>COUNTIF(mar!$F44:$AJ44,"P")</f>
        <v>22</v>
      </c>
      <c r="AT44" s="4">
        <f t="shared" si="2"/>
        <v>31</v>
      </c>
      <c r="AU44" s="4">
        <f t="shared" si="3"/>
        <v>29</v>
      </c>
      <c r="AV44" s="4">
        <f>SUMIFS(holly!$L$2:$L$122,holly!$I$2:$I$122,mar!$A44,holly!$K$2:$K$122,"Mar")</f>
        <v>0</v>
      </c>
    </row>
    <row r="45" spans="1:48" ht="15.75" x14ac:dyDescent="0.25">
      <c r="A45" s="4" t="s">
        <v>71</v>
      </c>
      <c r="B45" s="4" t="str">
        <f>VLOOKUP($A45,Master!$A$2:$K$52,2,0)</f>
        <v>Employee41</v>
      </c>
      <c r="C45" s="4" t="str">
        <f>VLOOKUP($A45,Master!$A$2:$K$52,3,0)</f>
        <v>Male</v>
      </c>
      <c r="D45" s="4" t="str">
        <f>VLOOKUP($A45,Master!$A$2:$K$52,5,0)</f>
        <v>Production</v>
      </c>
      <c r="E45" s="4" t="str">
        <f>VLOOKUP($A45,Master!$A$2:$K$52,6,0)</f>
        <v>Senior Operator</v>
      </c>
      <c r="F45" s="4" t="str">
        <f>IFERROR(LOOKUP(2,1/((#REF!=dec!$A45)*(#REF!&lt;=dec!F$3)*(#REF!&gt;=dec!F$3)),#REF!),IF(WEEKDAY(dec!F$3,1)=1,"WO","P"))</f>
        <v>P</v>
      </c>
      <c r="G45" s="4" t="str">
        <f>IFERROR(LOOKUP(2,1/((#REF!=dec!$A45)*(#REF!&lt;=dec!G$3)*(#REF!&gt;=dec!G$3)),#REF!),IF(WEEKDAY(dec!G$3,1)=1,"WO","P"))</f>
        <v>P</v>
      </c>
      <c r="H45" s="4" t="str">
        <f>IFERROR(LOOKUP(2,1/((#REF!=dec!$A45)*(#REF!&lt;=dec!H$3)*(#REF!&gt;=dec!H$3)),#REF!),IF(WEEKDAY(dec!H$3,1)=1,"WO","P"))</f>
        <v>P</v>
      </c>
      <c r="I45" s="4" t="str">
        <f>IFERROR(LOOKUP(2,1/((#REF!=dec!$A45)*(#REF!&lt;=dec!I$3)*(#REF!&gt;=dec!I$3)),#REF!),IF(WEEKDAY(dec!I$3,1)=1,"WO","P"))</f>
        <v>P</v>
      </c>
      <c r="J45" s="4" t="str">
        <f>IFERROR(LOOKUP(2,1/((#REF!=dec!$A45)*(#REF!&lt;=dec!J$3)*(#REF!&gt;=dec!J$3)),#REF!),IF(WEEKDAY(dec!J$3,1)=1,"WO","P"))</f>
        <v>P</v>
      </c>
      <c r="K45" s="4" t="str">
        <f>IFERROR(LOOKUP(2,1/((#REF!=dec!$A45)*(#REF!&lt;=dec!K$3)*(#REF!&gt;=dec!K$3)),#REF!),IF(WEEKDAY(dec!K$3,1)=1,"WO","P"))</f>
        <v>WO</v>
      </c>
      <c r="L45" s="4" t="str">
        <f>IFERROR(LOOKUP(2,1/((#REF!=dec!$A45)*(#REF!&lt;=dec!L$3)*(#REF!&gt;=dec!L$3)),#REF!),IF(WEEKDAY(dec!L$3,1)=1,"WO","P"))</f>
        <v>P</v>
      </c>
      <c r="M45" s="4" t="str">
        <f>IFERROR(LOOKUP(2,1/((#REF!=dec!$A45)*(#REF!&lt;=dec!M$3)*(#REF!&gt;=dec!M$3)),#REF!),IF(WEEKDAY(dec!M$3,1)=1,"WO","P"))</f>
        <v>P</v>
      </c>
      <c r="N45" s="4" t="str">
        <f>IFERROR(LOOKUP(2,1/((#REF!=dec!$A45)*(#REF!&lt;=dec!N$3)*(#REF!&gt;=dec!N$3)),#REF!),IF(WEEKDAY(dec!N$3,1)=1,"WO","P"))</f>
        <v>P</v>
      </c>
      <c r="O45" s="4" t="str">
        <f>IFERROR(LOOKUP(2,1/((#REF!=dec!$A45)*(#REF!&lt;=dec!O$3)*(#REF!&gt;=dec!O$3)),#REF!),IF(WEEKDAY(dec!O$3,1)=1,"WO","P"))</f>
        <v>P</v>
      </c>
      <c r="P45" s="4" t="str">
        <f>IFERROR(LOOKUP(2,1/((#REF!=dec!$A45)*(#REF!&lt;=dec!P$3)*(#REF!&gt;=dec!P$3)),#REF!),IF(WEEKDAY(dec!P$3,1)=1,"WO","P"))</f>
        <v>P</v>
      </c>
      <c r="Q45" s="4" t="str">
        <f>IFERROR(LOOKUP(2,1/((#REF!=dec!$A45)*(#REF!&lt;=dec!Q$3)*(#REF!&gt;=dec!Q$3)),#REF!),IF(WEEKDAY(dec!Q$3,1)=1,"WO","P"))</f>
        <v>P</v>
      </c>
      <c r="R45" s="4" t="str">
        <f>IFERROR(LOOKUP(2,1/((#REF!=dec!$A45)*(#REF!&lt;=dec!R$3)*(#REF!&gt;=dec!R$3)),#REF!),IF(WEEKDAY(dec!R$3,1)=1,"WO","P"))</f>
        <v>WO</v>
      </c>
      <c r="S45" s="4" t="str">
        <f>IFERROR(LOOKUP(2,1/((#REF!=dec!$A45)*(#REF!&lt;=dec!S$3)*(#REF!&gt;=dec!S$3)),#REF!),IF(WEEKDAY(dec!S$3,1)=1,"WO","P"))</f>
        <v>P</v>
      </c>
      <c r="T45" s="4" t="str">
        <f>IFERROR(LOOKUP(2,1/((#REF!=dec!$A45)*(#REF!&lt;=dec!T$3)*(#REF!&gt;=dec!T$3)),#REF!),IF(WEEKDAY(dec!T$3,1)=1,"WO","P"))</f>
        <v>P</v>
      </c>
      <c r="U45" s="4" t="str">
        <f>IFERROR(LOOKUP(2,1/((#REF!=dec!$A45)*(#REF!&lt;=dec!U$3)*(#REF!&gt;=dec!U$3)),#REF!),IF(WEEKDAY(dec!U$3,1)=1,"WO","P"))</f>
        <v>P</v>
      </c>
      <c r="V45" s="4" t="str">
        <f>IFERROR(LOOKUP(2,1/((#REF!=dec!$A45)*(#REF!&lt;=dec!V$3)*(#REF!&gt;=dec!V$3)),#REF!),IF(WEEKDAY(dec!V$3,1)=1,"WO","P"))</f>
        <v>P</v>
      </c>
      <c r="W45" s="4" t="str">
        <f>IFERROR(LOOKUP(2,1/((#REF!=dec!$A45)*(#REF!&lt;=dec!W$3)*(#REF!&gt;=dec!W$3)),#REF!),IF(WEEKDAY(dec!W$3,1)=1,"WO","P"))</f>
        <v>P</v>
      </c>
      <c r="X45" s="4" t="str">
        <f>IFERROR(LOOKUP(2,1/((#REF!=dec!$A45)*(#REF!&lt;=dec!X$3)*(#REF!&gt;=dec!X$3)),#REF!),IF(WEEKDAY(dec!X$3,1)=1,"WO","P"))</f>
        <v>P</v>
      </c>
      <c r="Y45" s="4" t="str">
        <f>IFERROR(LOOKUP(2,1/((#REF!=dec!$A45)*(#REF!&lt;=dec!Y$3)*(#REF!&gt;=dec!Y$3)),#REF!),IF(WEEKDAY(dec!Y$3,1)=1,"WO","P"))</f>
        <v>WO</v>
      </c>
      <c r="Z45" s="4" t="str">
        <f>IFERROR(LOOKUP(2,1/((#REF!=dec!$A45)*(#REF!&lt;=dec!Z$3)*(#REF!&gt;=dec!Z$3)),#REF!),IF(WEEKDAY(dec!Z$3,1)=1,"WO","P"))</f>
        <v>P</v>
      </c>
      <c r="AA45" s="4" t="str">
        <f>IFERROR(LOOKUP(2,1/((#REF!=dec!$A45)*(#REF!&lt;=dec!AA$3)*(#REF!&gt;=dec!AA$3)),#REF!),IF(WEEKDAY(dec!AA$3,1)=1,"WO","P"))</f>
        <v>P</v>
      </c>
      <c r="AB45" s="4" t="str">
        <f>IFERROR(LOOKUP(2,1/((#REF!=dec!$A45)*(#REF!&lt;=dec!AB$3)*(#REF!&gt;=dec!AB$3)),#REF!),IF(WEEKDAY(dec!AB$3,1)=1,"WO","P"))</f>
        <v>P</v>
      </c>
      <c r="AC45" s="4" t="str">
        <f>IFERROR(LOOKUP(2,1/((#REF!=dec!$A45)*(#REF!&lt;=dec!AC$3)*(#REF!&gt;=dec!AC$3)),#REF!),IF(WEEKDAY(dec!AC$3,1)=1,"WO","P"))</f>
        <v>P</v>
      </c>
      <c r="AD45" s="4" t="str">
        <f>IFERROR(LOOKUP(2,1/((#REF!=dec!$A45)*(#REF!&lt;=dec!AD$3)*(#REF!&gt;=dec!AD$3)),#REF!),IF(WEEKDAY(dec!AD$3,1)=1,"WO","P"))</f>
        <v>P</v>
      </c>
      <c r="AE45" s="4" t="str">
        <f>IFERROR(LOOKUP(2,1/((#REF!=dec!$A45)*(#REF!&lt;=dec!AE$3)*(#REF!&gt;=dec!AE$3)),#REF!),IF(WEEKDAY(dec!AE$3,1)=1,"WO","P"))</f>
        <v>P</v>
      </c>
      <c r="AF45" s="4" t="str">
        <f>IFERROR(LOOKUP(2,1/((#REF!=dec!$A45)*(#REF!&lt;=dec!AF$3)*(#REF!&gt;=dec!AF$3)),#REF!),IF(WEEKDAY(dec!AF$3,1)=1,"WO","P"))</f>
        <v>WO</v>
      </c>
      <c r="AG45" s="4" t="str">
        <f>IFERROR(LOOKUP(2,1/((#REF!=dec!$A45)*(#REF!&lt;=dec!AG$3)*(#REF!&gt;=dec!AG$3)),#REF!),IF(WEEKDAY(dec!AG$3,1)=1,"WO","P"))</f>
        <v>P</v>
      </c>
      <c r="AH45" s="4" t="str">
        <f>IFERROR(LOOKUP(2,1/((#REF!=dec!$A45)*(#REF!&lt;=dec!AH$3)*(#REF!&gt;=dec!AH$3)),#REF!),IF(WEEKDAY(dec!AH$3,1)=1,"WO","P"))</f>
        <v>P</v>
      </c>
      <c r="AI45" s="4" t="str">
        <f>IFERROR(LOOKUP(2,1/((#REF!=dec!$A45)*(#REF!&lt;=dec!AI$3)*(#REF!&gt;=dec!AI$3)),#REF!),IF(WEEKDAY(dec!AI$3,1)=1,"WO","P"))</f>
        <v>P</v>
      </c>
      <c r="AJ45" s="4" t="str">
        <f>IFERROR(LOOKUP(2,1/((#REF!=dec!$A45)*(#REF!&lt;=dec!AJ$3)*(#REF!&gt;=dec!AJ$3)),#REF!),IF(WEEKDAY(dec!AJ$3,1)=1,"WO","P"))</f>
        <v>P</v>
      </c>
      <c r="AK45" s="4">
        <f>COUNTIF(mar!$F45:$AJ45,"WO")</f>
        <v>5</v>
      </c>
      <c r="AL45" s="4">
        <f>COUNTIF(mar!$F45:$AJ45,"H")</f>
        <v>2</v>
      </c>
      <c r="AM45" s="4">
        <f>COUNTIF(mar!$F45:$AJ45,"pl")</f>
        <v>0</v>
      </c>
      <c r="AN45" s="4">
        <f>COUNTIF(mar!$F45:$AJ45,"LWP")</f>
        <v>0</v>
      </c>
      <c r="AO45" s="4">
        <f>COUNTIF(mar!$F45:$AJ45,"HD")</f>
        <v>0</v>
      </c>
      <c r="AP45" s="4">
        <f>COUNTIF(mar!$F45:$AJ45,"SL")</f>
        <v>0</v>
      </c>
      <c r="AQ45" s="4">
        <f>COUNTIF(mar!$F45:$AJ45,"CL")</f>
        <v>0</v>
      </c>
      <c r="AR45" s="4">
        <f>COUNTIF(mar!$F45:$AJ45,"A")</f>
        <v>0</v>
      </c>
      <c r="AS45" s="4">
        <f>COUNTIF(mar!$F45:$AJ45,"P")</f>
        <v>24</v>
      </c>
      <c r="AT45" s="4">
        <f t="shared" si="2"/>
        <v>31</v>
      </c>
      <c r="AU45" s="4">
        <f t="shared" si="3"/>
        <v>31</v>
      </c>
      <c r="AV45" s="4">
        <f>SUMIFS(holly!$L$2:$L$122,holly!$I$2:$I$122,mar!$A45,holly!$K$2:$K$122,"Mar")</f>
        <v>0</v>
      </c>
    </row>
    <row r="46" spans="1:48" ht="15.75" x14ac:dyDescent="0.25">
      <c r="A46" s="4" t="s">
        <v>72</v>
      </c>
      <c r="B46" s="4" t="str">
        <f>VLOOKUP($A46,Master!$A$2:$K$52,2,0)</f>
        <v>Employee42</v>
      </c>
      <c r="C46" s="4" t="str">
        <f>VLOOKUP($A46,Master!$A$2:$K$52,3,0)</f>
        <v>Female</v>
      </c>
      <c r="D46" s="4" t="str">
        <f>VLOOKUP($A46,Master!$A$2:$K$52,5,0)</f>
        <v>Production</v>
      </c>
      <c r="E46" s="4" t="str">
        <f>VLOOKUP($A46,Master!$A$2:$K$52,6,0)</f>
        <v>Operator</v>
      </c>
      <c r="F46" s="4" t="str">
        <f>IFERROR(LOOKUP(2,1/((#REF!=dec!$A46)*(#REF!&lt;=dec!F$3)*(#REF!&gt;=dec!F$3)),#REF!),IF(WEEKDAY(dec!F$3,1)=1,"WO","P"))</f>
        <v>P</v>
      </c>
      <c r="G46" s="4" t="str">
        <f>IFERROR(LOOKUP(2,1/((#REF!=dec!$A46)*(#REF!&lt;=dec!G$3)*(#REF!&gt;=dec!G$3)),#REF!),IF(WEEKDAY(dec!G$3,1)=1,"WO","P"))</f>
        <v>P</v>
      </c>
      <c r="H46" s="4" t="str">
        <f>IFERROR(LOOKUP(2,1/((#REF!=dec!$A46)*(#REF!&lt;=dec!H$3)*(#REF!&gt;=dec!H$3)),#REF!),IF(WEEKDAY(dec!H$3,1)=1,"WO","P"))</f>
        <v>P</v>
      </c>
      <c r="I46" s="4" t="str">
        <f>IFERROR(LOOKUP(2,1/((#REF!=dec!$A46)*(#REF!&lt;=dec!I$3)*(#REF!&gt;=dec!I$3)),#REF!),IF(WEEKDAY(dec!I$3,1)=1,"WO","P"))</f>
        <v>P</v>
      </c>
      <c r="J46" s="4" t="str">
        <f>IFERROR(LOOKUP(2,1/((#REF!=dec!$A46)*(#REF!&lt;=dec!J$3)*(#REF!&gt;=dec!J$3)),#REF!),IF(WEEKDAY(dec!J$3,1)=1,"WO","P"))</f>
        <v>P</v>
      </c>
      <c r="K46" s="4" t="str">
        <f>IFERROR(LOOKUP(2,1/((#REF!=dec!$A46)*(#REF!&lt;=dec!K$3)*(#REF!&gt;=dec!K$3)),#REF!),IF(WEEKDAY(dec!K$3,1)=1,"WO","P"))</f>
        <v>WO</v>
      </c>
      <c r="L46" s="4" t="str">
        <f>IFERROR(LOOKUP(2,1/((#REF!=dec!$A46)*(#REF!&lt;=dec!L$3)*(#REF!&gt;=dec!L$3)),#REF!),IF(WEEKDAY(dec!L$3,1)=1,"WO","P"))</f>
        <v>P</v>
      </c>
      <c r="M46" s="4" t="str">
        <f>IFERROR(LOOKUP(2,1/((#REF!=dec!$A46)*(#REF!&lt;=dec!M$3)*(#REF!&gt;=dec!M$3)),#REF!),IF(WEEKDAY(dec!M$3,1)=1,"WO","P"))</f>
        <v>P</v>
      </c>
      <c r="N46" s="4" t="str">
        <f>IFERROR(LOOKUP(2,1/((#REF!=dec!$A46)*(#REF!&lt;=dec!N$3)*(#REF!&gt;=dec!N$3)),#REF!),IF(WEEKDAY(dec!N$3,1)=1,"WO","P"))</f>
        <v>P</v>
      </c>
      <c r="O46" s="4" t="str">
        <f>IFERROR(LOOKUP(2,1/((#REF!=dec!$A46)*(#REF!&lt;=dec!O$3)*(#REF!&gt;=dec!O$3)),#REF!),IF(WEEKDAY(dec!O$3,1)=1,"WO","P"))</f>
        <v>P</v>
      </c>
      <c r="P46" s="4" t="str">
        <f>IFERROR(LOOKUP(2,1/((#REF!=dec!$A46)*(#REF!&lt;=dec!P$3)*(#REF!&gt;=dec!P$3)),#REF!),IF(WEEKDAY(dec!P$3,1)=1,"WO","P"))</f>
        <v>P</v>
      </c>
      <c r="Q46" s="4" t="str">
        <f>IFERROR(LOOKUP(2,1/((#REF!=dec!$A46)*(#REF!&lt;=dec!Q$3)*(#REF!&gt;=dec!Q$3)),#REF!),IF(WEEKDAY(dec!Q$3,1)=1,"WO","P"))</f>
        <v>P</v>
      </c>
      <c r="R46" s="4" t="str">
        <f>IFERROR(LOOKUP(2,1/((#REF!=dec!$A46)*(#REF!&lt;=dec!R$3)*(#REF!&gt;=dec!R$3)),#REF!),IF(WEEKDAY(dec!R$3,1)=1,"WO","P"))</f>
        <v>WO</v>
      </c>
      <c r="S46" s="4" t="str">
        <f>IFERROR(LOOKUP(2,1/((#REF!=dec!$A46)*(#REF!&lt;=dec!S$3)*(#REF!&gt;=dec!S$3)),#REF!),IF(WEEKDAY(dec!S$3,1)=1,"WO","P"))</f>
        <v>P</v>
      </c>
      <c r="T46" s="4" t="str">
        <f>IFERROR(LOOKUP(2,1/((#REF!=dec!$A46)*(#REF!&lt;=dec!T$3)*(#REF!&gt;=dec!T$3)),#REF!),IF(WEEKDAY(dec!T$3,1)=1,"WO","P"))</f>
        <v>P</v>
      </c>
      <c r="U46" s="4" t="str">
        <f>IFERROR(LOOKUP(2,1/((#REF!=dec!$A46)*(#REF!&lt;=dec!U$3)*(#REF!&gt;=dec!U$3)),#REF!),IF(WEEKDAY(dec!U$3,1)=1,"WO","P"))</f>
        <v>P</v>
      </c>
      <c r="V46" s="4" t="str">
        <f>IFERROR(LOOKUP(2,1/((#REF!=dec!$A46)*(#REF!&lt;=dec!V$3)*(#REF!&gt;=dec!V$3)),#REF!),IF(WEEKDAY(dec!V$3,1)=1,"WO","P"))</f>
        <v>P</v>
      </c>
      <c r="W46" s="4" t="str">
        <f>IFERROR(LOOKUP(2,1/((#REF!=dec!$A46)*(#REF!&lt;=dec!W$3)*(#REF!&gt;=dec!W$3)),#REF!),IF(WEEKDAY(dec!W$3,1)=1,"WO","P"))</f>
        <v>P</v>
      </c>
      <c r="X46" s="4" t="str">
        <f>IFERROR(LOOKUP(2,1/((#REF!=dec!$A46)*(#REF!&lt;=dec!X$3)*(#REF!&gt;=dec!X$3)),#REF!),IF(WEEKDAY(dec!X$3,1)=1,"WO","P"))</f>
        <v>P</v>
      </c>
      <c r="Y46" s="4" t="str">
        <f>IFERROR(LOOKUP(2,1/((#REF!=dec!$A46)*(#REF!&lt;=dec!Y$3)*(#REF!&gt;=dec!Y$3)),#REF!),IF(WEEKDAY(dec!Y$3,1)=1,"WO","P"))</f>
        <v>WO</v>
      </c>
      <c r="Z46" s="4" t="str">
        <f>IFERROR(LOOKUP(2,1/((#REF!=dec!$A46)*(#REF!&lt;=dec!Z$3)*(#REF!&gt;=dec!Z$3)),#REF!),IF(WEEKDAY(dec!Z$3,1)=1,"WO","P"))</f>
        <v>P</v>
      </c>
      <c r="AA46" s="4" t="str">
        <f>IFERROR(LOOKUP(2,1/((#REF!=dec!$A46)*(#REF!&lt;=dec!AA$3)*(#REF!&gt;=dec!AA$3)),#REF!),IF(WEEKDAY(dec!AA$3,1)=1,"WO","P"))</f>
        <v>P</v>
      </c>
      <c r="AB46" s="4" t="str">
        <f>IFERROR(LOOKUP(2,1/((#REF!=dec!$A46)*(#REF!&lt;=dec!AB$3)*(#REF!&gt;=dec!AB$3)),#REF!),IF(WEEKDAY(dec!AB$3,1)=1,"WO","P"))</f>
        <v>P</v>
      </c>
      <c r="AC46" s="4" t="str">
        <f>IFERROR(LOOKUP(2,1/((#REF!=dec!$A46)*(#REF!&lt;=dec!AC$3)*(#REF!&gt;=dec!AC$3)),#REF!),IF(WEEKDAY(dec!AC$3,1)=1,"WO","P"))</f>
        <v>P</v>
      </c>
      <c r="AD46" s="4" t="str">
        <f>IFERROR(LOOKUP(2,1/((#REF!=dec!$A46)*(#REF!&lt;=dec!AD$3)*(#REF!&gt;=dec!AD$3)),#REF!),IF(WEEKDAY(dec!AD$3,1)=1,"WO","P"))</f>
        <v>P</v>
      </c>
      <c r="AE46" s="4" t="str">
        <f>IFERROR(LOOKUP(2,1/((#REF!=dec!$A46)*(#REF!&lt;=dec!AE$3)*(#REF!&gt;=dec!AE$3)),#REF!),IF(WEEKDAY(dec!AE$3,1)=1,"WO","P"))</f>
        <v>P</v>
      </c>
      <c r="AF46" s="4" t="str">
        <f>IFERROR(LOOKUP(2,1/((#REF!=dec!$A46)*(#REF!&lt;=dec!AF$3)*(#REF!&gt;=dec!AF$3)),#REF!),IF(WEEKDAY(dec!AF$3,1)=1,"WO","P"))</f>
        <v>WO</v>
      </c>
      <c r="AG46" s="4" t="str">
        <f>IFERROR(LOOKUP(2,1/((#REF!=dec!$A46)*(#REF!&lt;=dec!AG$3)*(#REF!&gt;=dec!AG$3)),#REF!),IF(WEEKDAY(dec!AG$3,1)=1,"WO","P"))</f>
        <v>P</v>
      </c>
      <c r="AH46" s="4" t="str">
        <f>IFERROR(LOOKUP(2,1/((#REF!=dec!$A46)*(#REF!&lt;=dec!AH$3)*(#REF!&gt;=dec!AH$3)),#REF!),IF(WEEKDAY(dec!AH$3,1)=1,"WO","P"))</f>
        <v>P</v>
      </c>
      <c r="AI46" s="4" t="str">
        <f>IFERROR(LOOKUP(2,1/((#REF!=dec!$A46)*(#REF!&lt;=dec!AI$3)*(#REF!&gt;=dec!AI$3)),#REF!),IF(WEEKDAY(dec!AI$3,1)=1,"WO","P"))</f>
        <v>P</v>
      </c>
      <c r="AJ46" s="4" t="str">
        <f>IFERROR(LOOKUP(2,1/((#REF!=dec!$A46)*(#REF!&lt;=dec!AJ$3)*(#REF!&gt;=dec!AJ$3)),#REF!),IF(WEEKDAY(dec!AJ$3,1)=1,"WO","P"))</f>
        <v>P</v>
      </c>
      <c r="AK46" s="4">
        <f>COUNTIF(mar!$F46:$AJ46,"WO")</f>
        <v>5</v>
      </c>
      <c r="AL46" s="4">
        <f>COUNTIF(mar!$F46:$AJ46,"H")</f>
        <v>2</v>
      </c>
      <c r="AM46" s="4">
        <f>COUNTIF(mar!$F46:$AJ46,"pl")</f>
        <v>0</v>
      </c>
      <c r="AN46" s="4">
        <f>COUNTIF(mar!$F46:$AJ46,"LWP")</f>
        <v>0</v>
      </c>
      <c r="AO46" s="4">
        <f>COUNTIF(mar!$F46:$AJ46,"HD")</f>
        <v>0</v>
      </c>
      <c r="AP46" s="4">
        <f>COUNTIF(mar!$F46:$AJ46,"SL")</f>
        <v>0</v>
      </c>
      <c r="AQ46" s="4">
        <f>COUNTIF(mar!$F46:$AJ46,"CL")</f>
        <v>0</v>
      </c>
      <c r="AR46" s="4">
        <f>COUNTIF(mar!$F46:$AJ46,"A")</f>
        <v>1</v>
      </c>
      <c r="AS46" s="4">
        <f>COUNTIF(mar!$F46:$AJ46,"P")</f>
        <v>23</v>
      </c>
      <c r="AT46" s="4">
        <f t="shared" si="2"/>
        <v>31</v>
      </c>
      <c r="AU46" s="4">
        <f t="shared" si="3"/>
        <v>30</v>
      </c>
      <c r="AV46" s="4">
        <f>SUMIFS(holly!$L$2:$L$122,holly!$I$2:$I$122,mar!$A46,holly!$K$2:$K$122,"Mar")</f>
        <v>1</v>
      </c>
    </row>
    <row r="47" spans="1:48" ht="15.75" x14ac:dyDescent="0.25">
      <c r="A47" s="4" t="s">
        <v>73</v>
      </c>
      <c r="B47" s="4" t="str">
        <f>VLOOKUP($A47,Master!$A$2:$K$52,2,0)</f>
        <v>Employee43</v>
      </c>
      <c r="C47" s="4" t="str">
        <f>VLOOKUP($A47,Master!$A$2:$K$52,3,0)</f>
        <v>Female</v>
      </c>
      <c r="D47" s="4" t="str">
        <f>VLOOKUP($A47,Master!$A$2:$K$52,5,0)</f>
        <v>Production</v>
      </c>
      <c r="E47" s="4" t="str">
        <f>VLOOKUP($A47,Master!$A$2:$K$52,6,0)</f>
        <v>Operator</v>
      </c>
      <c r="F47" s="4" t="str">
        <f>IFERROR(LOOKUP(2,1/((#REF!=dec!$A47)*(#REF!&lt;=dec!F$3)*(#REF!&gt;=dec!F$3)),#REF!),IF(WEEKDAY(dec!F$3,1)=1,"WO","P"))</f>
        <v>P</v>
      </c>
      <c r="G47" s="4" t="str">
        <f>IFERROR(LOOKUP(2,1/((#REF!=dec!$A47)*(#REF!&lt;=dec!G$3)*(#REF!&gt;=dec!G$3)),#REF!),IF(WEEKDAY(dec!G$3,1)=1,"WO","P"))</f>
        <v>P</v>
      </c>
      <c r="H47" s="4" t="str">
        <f>IFERROR(LOOKUP(2,1/((#REF!=dec!$A47)*(#REF!&lt;=dec!H$3)*(#REF!&gt;=dec!H$3)),#REF!),IF(WEEKDAY(dec!H$3,1)=1,"WO","P"))</f>
        <v>P</v>
      </c>
      <c r="I47" s="4" t="str">
        <f>IFERROR(LOOKUP(2,1/((#REF!=dec!$A47)*(#REF!&lt;=dec!I$3)*(#REF!&gt;=dec!I$3)),#REF!),IF(WEEKDAY(dec!I$3,1)=1,"WO","P"))</f>
        <v>P</v>
      </c>
      <c r="J47" s="4" t="str">
        <f>IFERROR(LOOKUP(2,1/((#REF!=dec!$A47)*(#REF!&lt;=dec!J$3)*(#REF!&gt;=dec!J$3)),#REF!),IF(WEEKDAY(dec!J$3,1)=1,"WO","P"))</f>
        <v>P</v>
      </c>
      <c r="K47" s="4" t="str">
        <f>IFERROR(LOOKUP(2,1/((#REF!=dec!$A47)*(#REF!&lt;=dec!K$3)*(#REF!&gt;=dec!K$3)),#REF!),IF(WEEKDAY(dec!K$3,1)=1,"WO","P"))</f>
        <v>WO</v>
      </c>
      <c r="L47" s="4" t="str">
        <f>IFERROR(LOOKUP(2,1/((#REF!=dec!$A47)*(#REF!&lt;=dec!L$3)*(#REF!&gt;=dec!L$3)),#REF!),IF(WEEKDAY(dec!L$3,1)=1,"WO","P"))</f>
        <v>P</v>
      </c>
      <c r="M47" s="4" t="str">
        <f>IFERROR(LOOKUP(2,1/((#REF!=dec!$A47)*(#REF!&lt;=dec!M$3)*(#REF!&gt;=dec!M$3)),#REF!),IF(WEEKDAY(dec!M$3,1)=1,"WO","P"))</f>
        <v>P</v>
      </c>
      <c r="N47" s="4" t="str">
        <f>IFERROR(LOOKUP(2,1/((#REF!=dec!$A47)*(#REF!&lt;=dec!N$3)*(#REF!&gt;=dec!N$3)),#REF!),IF(WEEKDAY(dec!N$3,1)=1,"WO","P"))</f>
        <v>P</v>
      </c>
      <c r="O47" s="4" t="str">
        <f>IFERROR(LOOKUP(2,1/((#REF!=dec!$A47)*(#REF!&lt;=dec!O$3)*(#REF!&gt;=dec!O$3)),#REF!),IF(WEEKDAY(dec!O$3,1)=1,"WO","P"))</f>
        <v>P</v>
      </c>
      <c r="P47" s="4" t="str">
        <f>IFERROR(LOOKUP(2,1/((#REF!=dec!$A47)*(#REF!&lt;=dec!P$3)*(#REF!&gt;=dec!P$3)),#REF!),IF(WEEKDAY(dec!P$3,1)=1,"WO","P"))</f>
        <v>P</v>
      </c>
      <c r="Q47" s="4" t="str">
        <f>IFERROR(LOOKUP(2,1/((#REF!=dec!$A47)*(#REF!&lt;=dec!Q$3)*(#REF!&gt;=dec!Q$3)),#REF!),IF(WEEKDAY(dec!Q$3,1)=1,"WO","P"))</f>
        <v>P</v>
      </c>
      <c r="R47" s="4" t="str">
        <f>IFERROR(LOOKUP(2,1/((#REF!=dec!$A47)*(#REF!&lt;=dec!R$3)*(#REF!&gt;=dec!R$3)),#REF!),IF(WEEKDAY(dec!R$3,1)=1,"WO","P"))</f>
        <v>WO</v>
      </c>
      <c r="S47" s="4" t="str">
        <f>IFERROR(LOOKUP(2,1/((#REF!=dec!$A47)*(#REF!&lt;=dec!S$3)*(#REF!&gt;=dec!S$3)),#REF!),IF(WEEKDAY(dec!S$3,1)=1,"WO","P"))</f>
        <v>P</v>
      </c>
      <c r="T47" s="4" t="str">
        <f>IFERROR(LOOKUP(2,1/((#REF!=dec!$A47)*(#REF!&lt;=dec!T$3)*(#REF!&gt;=dec!T$3)),#REF!),IF(WEEKDAY(dec!T$3,1)=1,"WO","P"))</f>
        <v>P</v>
      </c>
      <c r="U47" s="4" t="str">
        <f>IFERROR(LOOKUP(2,1/((#REF!=dec!$A47)*(#REF!&lt;=dec!U$3)*(#REF!&gt;=dec!U$3)),#REF!),IF(WEEKDAY(dec!U$3,1)=1,"WO","P"))</f>
        <v>P</v>
      </c>
      <c r="V47" s="4" t="str">
        <f>IFERROR(LOOKUP(2,1/((#REF!=dec!$A47)*(#REF!&lt;=dec!V$3)*(#REF!&gt;=dec!V$3)),#REF!),IF(WEEKDAY(dec!V$3,1)=1,"WO","P"))</f>
        <v>P</v>
      </c>
      <c r="W47" s="4" t="str">
        <f>IFERROR(LOOKUP(2,1/((#REF!=dec!$A47)*(#REF!&lt;=dec!W$3)*(#REF!&gt;=dec!W$3)),#REF!),IF(WEEKDAY(dec!W$3,1)=1,"WO","P"))</f>
        <v>P</v>
      </c>
      <c r="X47" s="4" t="str">
        <f>IFERROR(LOOKUP(2,1/((#REF!=dec!$A47)*(#REF!&lt;=dec!X$3)*(#REF!&gt;=dec!X$3)),#REF!),IF(WEEKDAY(dec!X$3,1)=1,"WO","P"))</f>
        <v>P</v>
      </c>
      <c r="Y47" s="4" t="str">
        <f>IFERROR(LOOKUP(2,1/((#REF!=dec!$A47)*(#REF!&lt;=dec!Y$3)*(#REF!&gt;=dec!Y$3)),#REF!),IF(WEEKDAY(dec!Y$3,1)=1,"WO","P"))</f>
        <v>WO</v>
      </c>
      <c r="Z47" s="4" t="str">
        <f>IFERROR(LOOKUP(2,1/((#REF!=dec!$A47)*(#REF!&lt;=dec!Z$3)*(#REF!&gt;=dec!Z$3)),#REF!),IF(WEEKDAY(dec!Z$3,1)=1,"WO","P"))</f>
        <v>P</v>
      </c>
      <c r="AA47" s="4" t="str">
        <f>IFERROR(LOOKUP(2,1/((#REF!=dec!$A47)*(#REF!&lt;=dec!AA$3)*(#REF!&gt;=dec!AA$3)),#REF!),IF(WEEKDAY(dec!AA$3,1)=1,"WO","P"))</f>
        <v>P</v>
      </c>
      <c r="AB47" s="4" t="str">
        <f>IFERROR(LOOKUP(2,1/((#REF!=dec!$A47)*(#REF!&lt;=dec!AB$3)*(#REF!&gt;=dec!AB$3)),#REF!),IF(WEEKDAY(dec!AB$3,1)=1,"WO","P"))</f>
        <v>P</v>
      </c>
      <c r="AC47" s="4" t="str">
        <f>IFERROR(LOOKUP(2,1/((#REF!=dec!$A47)*(#REF!&lt;=dec!AC$3)*(#REF!&gt;=dec!AC$3)),#REF!),IF(WEEKDAY(dec!AC$3,1)=1,"WO","P"))</f>
        <v>P</v>
      </c>
      <c r="AD47" s="4" t="str">
        <f>IFERROR(LOOKUP(2,1/((#REF!=dec!$A47)*(#REF!&lt;=dec!AD$3)*(#REF!&gt;=dec!AD$3)),#REF!),IF(WEEKDAY(dec!AD$3,1)=1,"WO","P"))</f>
        <v>P</v>
      </c>
      <c r="AE47" s="4" t="str">
        <f>IFERROR(LOOKUP(2,1/((#REF!=dec!$A47)*(#REF!&lt;=dec!AE$3)*(#REF!&gt;=dec!AE$3)),#REF!),IF(WEEKDAY(dec!AE$3,1)=1,"WO","P"))</f>
        <v>P</v>
      </c>
      <c r="AF47" s="4" t="str">
        <f>IFERROR(LOOKUP(2,1/((#REF!=dec!$A47)*(#REF!&lt;=dec!AF$3)*(#REF!&gt;=dec!AF$3)),#REF!),IF(WEEKDAY(dec!AF$3,1)=1,"WO","P"))</f>
        <v>WO</v>
      </c>
      <c r="AG47" s="4" t="str">
        <f>IFERROR(LOOKUP(2,1/((#REF!=dec!$A47)*(#REF!&lt;=dec!AG$3)*(#REF!&gt;=dec!AG$3)),#REF!),IF(WEEKDAY(dec!AG$3,1)=1,"WO","P"))</f>
        <v>P</v>
      </c>
      <c r="AH47" s="4" t="str">
        <f>IFERROR(LOOKUP(2,1/((#REF!=dec!$A47)*(#REF!&lt;=dec!AH$3)*(#REF!&gt;=dec!AH$3)),#REF!),IF(WEEKDAY(dec!AH$3,1)=1,"WO","P"))</f>
        <v>P</v>
      </c>
      <c r="AI47" s="4" t="str">
        <f>IFERROR(LOOKUP(2,1/((#REF!=dec!$A47)*(#REF!&lt;=dec!AI$3)*(#REF!&gt;=dec!AI$3)),#REF!),IF(WEEKDAY(dec!AI$3,1)=1,"WO","P"))</f>
        <v>P</v>
      </c>
      <c r="AJ47" s="4" t="str">
        <f>IFERROR(LOOKUP(2,1/((#REF!=dec!$A47)*(#REF!&lt;=dec!AJ$3)*(#REF!&gt;=dec!AJ$3)),#REF!),IF(WEEKDAY(dec!AJ$3,1)=1,"WO","P"))</f>
        <v>P</v>
      </c>
      <c r="AK47" s="4">
        <f>COUNTIF(mar!$F47:$AJ47,"WO")</f>
        <v>5</v>
      </c>
      <c r="AL47" s="4">
        <f>COUNTIF(mar!$F47:$AJ47,"H")</f>
        <v>2</v>
      </c>
      <c r="AM47" s="4">
        <f>COUNTIF(mar!$F47:$AJ47,"pl")</f>
        <v>0</v>
      </c>
      <c r="AN47" s="4">
        <f>COUNTIF(mar!$F47:$AJ47,"LWP")</f>
        <v>0</v>
      </c>
      <c r="AO47" s="4">
        <f>COUNTIF(mar!$F47:$AJ47,"HD")</f>
        <v>0</v>
      </c>
      <c r="AP47" s="4">
        <f>COUNTIF(mar!$F47:$AJ47,"SL")</f>
        <v>0</v>
      </c>
      <c r="AQ47" s="4">
        <f>COUNTIF(mar!$F47:$AJ47,"CL")</f>
        <v>0</v>
      </c>
      <c r="AR47" s="4">
        <f>COUNTIF(mar!$F47:$AJ47,"A")</f>
        <v>0</v>
      </c>
      <c r="AS47" s="4">
        <f>COUNTIF(mar!$F47:$AJ47,"P")</f>
        <v>24</v>
      </c>
      <c r="AT47" s="4">
        <f t="shared" si="2"/>
        <v>31</v>
      </c>
      <c r="AU47" s="4">
        <f t="shared" si="3"/>
        <v>31</v>
      </c>
      <c r="AV47" s="4">
        <f>SUMIFS(holly!$L$2:$L$122,holly!$I$2:$I$122,mar!$A47,holly!$K$2:$K$122,"Mar")</f>
        <v>0</v>
      </c>
    </row>
    <row r="48" spans="1:48" ht="15.75" x14ac:dyDescent="0.25">
      <c r="A48" s="4" t="s">
        <v>74</v>
      </c>
      <c r="B48" s="4" t="str">
        <f>VLOOKUP($A48,Master!$A$2:$K$52,2,0)</f>
        <v>Employee44</v>
      </c>
      <c r="C48" s="4" t="str">
        <f>VLOOKUP($A48,Master!$A$2:$K$52,3,0)</f>
        <v>Female</v>
      </c>
      <c r="D48" s="4" t="str">
        <f>VLOOKUP($A48,Master!$A$2:$K$52,5,0)</f>
        <v>Production</v>
      </c>
      <c r="E48" s="4" t="str">
        <f>VLOOKUP($A48,Master!$A$2:$K$52,6,0)</f>
        <v>Senior Operator</v>
      </c>
      <c r="F48" s="4" t="str">
        <f>IFERROR(LOOKUP(2,1/((#REF!=dec!$A48)*(#REF!&lt;=dec!F$3)*(#REF!&gt;=dec!F$3)),#REF!),IF(WEEKDAY(dec!F$3,1)=1,"WO","P"))</f>
        <v>P</v>
      </c>
      <c r="G48" s="4" t="str">
        <f>IFERROR(LOOKUP(2,1/((#REF!=dec!$A48)*(#REF!&lt;=dec!G$3)*(#REF!&gt;=dec!G$3)),#REF!),IF(WEEKDAY(dec!G$3,1)=1,"WO","P"))</f>
        <v>P</v>
      </c>
      <c r="H48" s="4" t="str">
        <f>IFERROR(LOOKUP(2,1/((#REF!=dec!$A48)*(#REF!&lt;=dec!H$3)*(#REF!&gt;=dec!H$3)),#REF!),IF(WEEKDAY(dec!H$3,1)=1,"WO","P"))</f>
        <v>P</v>
      </c>
      <c r="I48" s="4" t="str">
        <f>IFERROR(LOOKUP(2,1/((#REF!=dec!$A48)*(#REF!&lt;=dec!I$3)*(#REF!&gt;=dec!I$3)),#REF!),IF(WEEKDAY(dec!I$3,1)=1,"WO","P"))</f>
        <v>P</v>
      </c>
      <c r="J48" s="4" t="str">
        <f>IFERROR(LOOKUP(2,1/((#REF!=dec!$A48)*(#REF!&lt;=dec!J$3)*(#REF!&gt;=dec!J$3)),#REF!),IF(WEEKDAY(dec!J$3,1)=1,"WO","P"))</f>
        <v>P</v>
      </c>
      <c r="K48" s="4" t="str">
        <f>IFERROR(LOOKUP(2,1/((#REF!=dec!$A48)*(#REF!&lt;=dec!K$3)*(#REF!&gt;=dec!K$3)),#REF!),IF(WEEKDAY(dec!K$3,1)=1,"WO","P"))</f>
        <v>WO</v>
      </c>
      <c r="L48" s="4" t="str">
        <f>IFERROR(LOOKUP(2,1/((#REF!=dec!$A48)*(#REF!&lt;=dec!L$3)*(#REF!&gt;=dec!L$3)),#REF!),IF(WEEKDAY(dec!L$3,1)=1,"WO","P"))</f>
        <v>P</v>
      </c>
      <c r="M48" s="4" t="str">
        <f>IFERROR(LOOKUP(2,1/((#REF!=dec!$A48)*(#REF!&lt;=dec!M$3)*(#REF!&gt;=dec!M$3)),#REF!),IF(WEEKDAY(dec!M$3,1)=1,"WO","P"))</f>
        <v>P</v>
      </c>
      <c r="N48" s="4" t="str">
        <f>IFERROR(LOOKUP(2,1/((#REF!=dec!$A48)*(#REF!&lt;=dec!N$3)*(#REF!&gt;=dec!N$3)),#REF!),IF(WEEKDAY(dec!N$3,1)=1,"WO","P"))</f>
        <v>P</v>
      </c>
      <c r="O48" s="4" t="str">
        <f>IFERROR(LOOKUP(2,1/((#REF!=dec!$A48)*(#REF!&lt;=dec!O$3)*(#REF!&gt;=dec!O$3)),#REF!),IF(WEEKDAY(dec!O$3,1)=1,"WO","P"))</f>
        <v>P</v>
      </c>
      <c r="P48" s="4" t="str">
        <f>IFERROR(LOOKUP(2,1/((#REF!=dec!$A48)*(#REF!&lt;=dec!P$3)*(#REF!&gt;=dec!P$3)),#REF!),IF(WEEKDAY(dec!P$3,1)=1,"WO","P"))</f>
        <v>P</v>
      </c>
      <c r="Q48" s="4" t="str">
        <f>IFERROR(LOOKUP(2,1/((#REF!=dec!$A48)*(#REF!&lt;=dec!Q$3)*(#REF!&gt;=dec!Q$3)),#REF!),IF(WEEKDAY(dec!Q$3,1)=1,"WO","P"))</f>
        <v>P</v>
      </c>
      <c r="R48" s="4" t="str">
        <f>IFERROR(LOOKUP(2,1/((#REF!=dec!$A48)*(#REF!&lt;=dec!R$3)*(#REF!&gt;=dec!R$3)),#REF!),IF(WEEKDAY(dec!R$3,1)=1,"WO","P"))</f>
        <v>WO</v>
      </c>
      <c r="S48" s="4" t="str">
        <f>IFERROR(LOOKUP(2,1/((#REF!=dec!$A48)*(#REF!&lt;=dec!S$3)*(#REF!&gt;=dec!S$3)),#REF!),IF(WEEKDAY(dec!S$3,1)=1,"WO","P"))</f>
        <v>P</v>
      </c>
      <c r="T48" s="4" t="str">
        <f>IFERROR(LOOKUP(2,1/((#REF!=dec!$A48)*(#REF!&lt;=dec!T$3)*(#REF!&gt;=dec!T$3)),#REF!),IF(WEEKDAY(dec!T$3,1)=1,"WO","P"))</f>
        <v>P</v>
      </c>
      <c r="U48" s="4" t="str">
        <f>IFERROR(LOOKUP(2,1/((#REF!=dec!$A48)*(#REF!&lt;=dec!U$3)*(#REF!&gt;=dec!U$3)),#REF!),IF(WEEKDAY(dec!U$3,1)=1,"WO","P"))</f>
        <v>P</v>
      </c>
      <c r="V48" s="4" t="str">
        <f>IFERROR(LOOKUP(2,1/((#REF!=dec!$A48)*(#REF!&lt;=dec!V$3)*(#REF!&gt;=dec!V$3)),#REF!),IF(WEEKDAY(dec!V$3,1)=1,"WO","P"))</f>
        <v>P</v>
      </c>
      <c r="W48" s="4" t="str">
        <f>IFERROR(LOOKUP(2,1/((#REF!=dec!$A48)*(#REF!&lt;=dec!W$3)*(#REF!&gt;=dec!W$3)),#REF!),IF(WEEKDAY(dec!W$3,1)=1,"WO","P"))</f>
        <v>P</v>
      </c>
      <c r="X48" s="4" t="str">
        <f>IFERROR(LOOKUP(2,1/((#REF!=dec!$A48)*(#REF!&lt;=dec!X$3)*(#REF!&gt;=dec!X$3)),#REF!),IF(WEEKDAY(dec!X$3,1)=1,"WO","P"))</f>
        <v>P</v>
      </c>
      <c r="Y48" s="4" t="str">
        <f>IFERROR(LOOKUP(2,1/((#REF!=dec!$A48)*(#REF!&lt;=dec!Y$3)*(#REF!&gt;=dec!Y$3)),#REF!),IF(WEEKDAY(dec!Y$3,1)=1,"WO","P"))</f>
        <v>WO</v>
      </c>
      <c r="Z48" s="4" t="str">
        <f>IFERROR(LOOKUP(2,1/((#REF!=dec!$A48)*(#REF!&lt;=dec!Z$3)*(#REF!&gt;=dec!Z$3)),#REF!),IF(WEEKDAY(dec!Z$3,1)=1,"WO","P"))</f>
        <v>P</v>
      </c>
      <c r="AA48" s="4" t="str">
        <f>IFERROR(LOOKUP(2,1/((#REF!=dec!$A48)*(#REF!&lt;=dec!AA$3)*(#REF!&gt;=dec!AA$3)),#REF!),IF(WEEKDAY(dec!AA$3,1)=1,"WO","P"))</f>
        <v>P</v>
      </c>
      <c r="AB48" s="4" t="str">
        <f>IFERROR(LOOKUP(2,1/((#REF!=dec!$A48)*(#REF!&lt;=dec!AB$3)*(#REF!&gt;=dec!AB$3)),#REF!),IF(WEEKDAY(dec!AB$3,1)=1,"WO","P"))</f>
        <v>P</v>
      </c>
      <c r="AC48" s="4" t="str">
        <f>IFERROR(LOOKUP(2,1/((#REF!=dec!$A48)*(#REF!&lt;=dec!AC$3)*(#REF!&gt;=dec!AC$3)),#REF!),IF(WEEKDAY(dec!AC$3,1)=1,"WO","P"))</f>
        <v>P</v>
      </c>
      <c r="AD48" s="4" t="str">
        <f>IFERROR(LOOKUP(2,1/((#REF!=dec!$A48)*(#REF!&lt;=dec!AD$3)*(#REF!&gt;=dec!AD$3)),#REF!),IF(WEEKDAY(dec!AD$3,1)=1,"WO","P"))</f>
        <v>P</v>
      </c>
      <c r="AE48" s="4" t="str">
        <f>IFERROR(LOOKUP(2,1/((#REF!=dec!$A48)*(#REF!&lt;=dec!AE$3)*(#REF!&gt;=dec!AE$3)),#REF!),IF(WEEKDAY(dec!AE$3,1)=1,"WO","P"))</f>
        <v>P</v>
      </c>
      <c r="AF48" s="4" t="str">
        <f>IFERROR(LOOKUP(2,1/((#REF!=dec!$A48)*(#REF!&lt;=dec!AF$3)*(#REF!&gt;=dec!AF$3)),#REF!),IF(WEEKDAY(dec!AF$3,1)=1,"WO","P"))</f>
        <v>WO</v>
      </c>
      <c r="AG48" s="4" t="str">
        <f>IFERROR(LOOKUP(2,1/((#REF!=dec!$A48)*(#REF!&lt;=dec!AG$3)*(#REF!&gt;=dec!AG$3)),#REF!),IF(WEEKDAY(dec!AG$3,1)=1,"WO","P"))</f>
        <v>P</v>
      </c>
      <c r="AH48" s="4" t="str">
        <f>IFERROR(LOOKUP(2,1/((#REF!=dec!$A48)*(#REF!&lt;=dec!AH$3)*(#REF!&gt;=dec!AH$3)),#REF!),IF(WEEKDAY(dec!AH$3,1)=1,"WO","P"))</f>
        <v>P</v>
      </c>
      <c r="AI48" s="4" t="str">
        <f>IFERROR(LOOKUP(2,1/((#REF!=dec!$A48)*(#REF!&lt;=dec!AI$3)*(#REF!&gt;=dec!AI$3)),#REF!),IF(WEEKDAY(dec!AI$3,1)=1,"WO","P"))</f>
        <v>P</v>
      </c>
      <c r="AJ48" s="4" t="str">
        <f>IFERROR(LOOKUP(2,1/((#REF!=dec!$A48)*(#REF!&lt;=dec!AJ$3)*(#REF!&gt;=dec!AJ$3)),#REF!),IF(WEEKDAY(dec!AJ$3,1)=1,"WO","P"))</f>
        <v>P</v>
      </c>
      <c r="AK48" s="4">
        <f>COUNTIF(mar!$F48:$AJ48,"WO")</f>
        <v>5</v>
      </c>
      <c r="AL48" s="4">
        <f>COUNTIF(mar!$F48:$AJ48,"H")</f>
        <v>2</v>
      </c>
      <c r="AM48" s="4">
        <f>COUNTIF(mar!$F48:$AJ48,"pl")</f>
        <v>0</v>
      </c>
      <c r="AN48" s="4">
        <f>COUNTIF(mar!$F48:$AJ48,"LWP")</f>
        <v>0</v>
      </c>
      <c r="AO48" s="4">
        <f>COUNTIF(mar!$F48:$AJ48,"HD")</f>
        <v>0</v>
      </c>
      <c r="AP48" s="4">
        <f>COUNTIF(mar!$F48:$AJ48,"SL")</f>
        <v>0</v>
      </c>
      <c r="AQ48" s="4">
        <f>COUNTIF(mar!$F48:$AJ48,"CL")</f>
        <v>0</v>
      </c>
      <c r="AR48" s="4">
        <f>COUNTIF(mar!$F48:$AJ48,"A")</f>
        <v>2</v>
      </c>
      <c r="AS48" s="4">
        <f>COUNTIF(mar!$F48:$AJ48,"P")</f>
        <v>22</v>
      </c>
      <c r="AT48" s="4">
        <f t="shared" si="2"/>
        <v>31</v>
      </c>
      <c r="AU48" s="4">
        <f t="shared" si="3"/>
        <v>29</v>
      </c>
      <c r="AV48" s="4">
        <f>SUMIFS(holly!$L$2:$L$122,holly!$I$2:$I$122,mar!$A48,holly!$K$2:$K$122,"Mar")</f>
        <v>0</v>
      </c>
    </row>
    <row r="49" spans="1:48" ht="15.75" x14ac:dyDescent="0.25">
      <c r="A49" s="4" t="s">
        <v>75</v>
      </c>
      <c r="B49" s="4" t="str">
        <f>VLOOKUP($A49,Master!$A$2:$K$52,2,0)</f>
        <v>Employee45</v>
      </c>
      <c r="C49" s="4" t="str">
        <f>VLOOKUP($A49,Master!$A$2:$K$52,3,0)</f>
        <v>Female</v>
      </c>
      <c r="D49" s="4" t="str">
        <f>VLOOKUP($A49,Master!$A$2:$K$52,5,0)</f>
        <v>Production</v>
      </c>
      <c r="E49" s="4" t="str">
        <f>VLOOKUP($A49,Master!$A$2:$K$52,6,0)</f>
        <v>Senior Operator</v>
      </c>
      <c r="F49" s="4" t="str">
        <f>IFERROR(LOOKUP(2,1/((#REF!=dec!$A49)*(#REF!&lt;=dec!F$3)*(#REF!&gt;=dec!F$3)),#REF!),IF(WEEKDAY(dec!F$3,1)=1,"WO","P"))</f>
        <v>P</v>
      </c>
      <c r="G49" s="4" t="str">
        <f>IFERROR(LOOKUP(2,1/((#REF!=dec!$A49)*(#REF!&lt;=dec!G$3)*(#REF!&gt;=dec!G$3)),#REF!),IF(WEEKDAY(dec!G$3,1)=1,"WO","P"))</f>
        <v>P</v>
      </c>
      <c r="H49" s="4" t="str">
        <f>IFERROR(LOOKUP(2,1/((#REF!=dec!$A49)*(#REF!&lt;=dec!H$3)*(#REF!&gt;=dec!H$3)),#REF!),IF(WEEKDAY(dec!H$3,1)=1,"WO","P"))</f>
        <v>P</v>
      </c>
      <c r="I49" s="4" t="str">
        <f>IFERROR(LOOKUP(2,1/((#REF!=dec!$A49)*(#REF!&lt;=dec!I$3)*(#REF!&gt;=dec!I$3)),#REF!),IF(WEEKDAY(dec!I$3,1)=1,"WO","P"))</f>
        <v>P</v>
      </c>
      <c r="J49" s="4" t="str">
        <f>IFERROR(LOOKUP(2,1/((#REF!=dec!$A49)*(#REF!&lt;=dec!J$3)*(#REF!&gt;=dec!J$3)),#REF!),IF(WEEKDAY(dec!J$3,1)=1,"WO","P"))</f>
        <v>P</v>
      </c>
      <c r="K49" s="4" t="str">
        <f>IFERROR(LOOKUP(2,1/((#REF!=dec!$A49)*(#REF!&lt;=dec!K$3)*(#REF!&gt;=dec!K$3)),#REF!),IF(WEEKDAY(dec!K$3,1)=1,"WO","P"))</f>
        <v>WO</v>
      </c>
      <c r="L49" s="4" t="str">
        <f>IFERROR(LOOKUP(2,1/((#REF!=dec!$A49)*(#REF!&lt;=dec!L$3)*(#REF!&gt;=dec!L$3)),#REF!),IF(WEEKDAY(dec!L$3,1)=1,"WO","P"))</f>
        <v>P</v>
      </c>
      <c r="M49" s="4" t="str">
        <f>IFERROR(LOOKUP(2,1/((#REF!=dec!$A49)*(#REF!&lt;=dec!M$3)*(#REF!&gt;=dec!M$3)),#REF!),IF(WEEKDAY(dec!M$3,1)=1,"WO","P"))</f>
        <v>P</v>
      </c>
      <c r="N49" s="4" t="str">
        <f>IFERROR(LOOKUP(2,1/((#REF!=dec!$A49)*(#REF!&lt;=dec!N$3)*(#REF!&gt;=dec!N$3)),#REF!),IF(WEEKDAY(dec!N$3,1)=1,"WO","P"))</f>
        <v>P</v>
      </c>
      <c r="O49" s="4" t="str">
        <f>IFERROR(LOOKUP(2,1/((#REF!=dec!$A49)*(#REF!&lt;=dec!O$3)*(#REF!&gt;=dec!O$3)),#REF!),IF(WEEKDAY(dec!O$3,1)=1,"WO","P"))</f>
        <v>P</v>
      </c>
      <c r="P49" s="4" t="str">
        <f>IFERROR(LOOKUP(2,1/((#REF!=dec!$A49)*(#REF!&lt;=dec!P$3)*(#REF!&gt;=dec!P$3)),#REF!),IF(WEEKDAY(dec!P$3,1)=1,"WO","P"))</f>
        <v>P</v>
      </c>
      <c r="Q49" s="4" t="str">
        <f>IFERROR(LOOKUP(2,1/((#REF!=dec!$A49)*(#REF!&lt;=dec!Q$3)*(#REF!&gt;=dec!Q$3)),#REF!),IF(WEEKDAY(dec!Q$3,1)=1,"WO","P"))</f>
        <v>P</v>
      </c>
      <c r="R49" s="4" t="str">
        <f>IFERROR(LOOKUP(2,1/((#REF!=dec!$A49)*(#REF!&lt;=dec!R$3)*(#REF!&gt;=dec!R$3)),#REF!),IF(WEEKDAY(dec!R$3,1)=1,"WO","P"))</f>
        <v>WO</v>
      </c>
      <c r="S49" s="4" t="str">
        <f>IFERROR(LOOKUP(2,1/((#REF!=dec!$A49)*(#REF!&lt;=dec!S$3)*(#REF!&gt;=dec!S$3)),#REF!),IF(WEEKDAY(dec!S$3,1)=1,"WO","P"))</f>
        <v>P</v>
      </c>
      <c r="T49" s="4" t="str">
        <f>IFERROR(LOOKUP(2,1/((#REF!=dec!$A49)*(#REF!&lt;=dec!T$3)*(#REF!&gt;=dec!T$3)),#REF!),IF(WEEKDAY(dec!T$3,1)=1,"WO","P"))</f>
        <v>P</v>
      </c>
      <c r="U49" s="4" t="str">
        <f>IFERROR(LOOKUP(2,1/((#REF!=dec!$A49)*(#REF!&lt;=dec!U$3)*(#REF!&gt;=dec!U$3)),#REF!),IF(WEEKDAY(dec!U$3,1)=1,"WO","P"))</f>
        <v>P</v>
      </c>
      <c r="V49" s="4" t="str">
        <f>IFERROR(LOOKUP(2,1/((#REF!=dec!$A49)*(#REF!&lt;=dec!V$3)*(#REF!&gt;=dec!V$3)),#REF!),IF(WEEKDAY(dec!V$3,1)=1,"WO","P"))</f>
        <v>P</v>
      </c>
      <c r="W49" s="4" t="str">
        <f>IFERROR(LOOKUP(2,1/((#REF!=dec!$A49)*(#REF!&lt;=dec!W$3)*(#REF!&gt;=dec!W$3)),#REF!),IF(WEEKDAY(dec!W$3,1)=1,"WO","P"))</f>
        <v>P</v>
      </c>
      <c r="X49" s="4" t="str">
        <f>IFERROR(LOOKUP(2,1/((#REF!=dec!$A49)*(#REF!&lt;=dec!X$3)*(#REF!&gt;=dec!X$3)),#REF!),IF(WEEKDAY(dec!X$3,1)=1,"WO","P"))</f>
        <v>P</v>
      </c>
      <c r="Y49" s="4" t="str">
        <f>IFERROR(LOOKUP(2,1/((#REF!=dec!$A49)*(#REF!&lt;=dec!Y$3)*(#REF!&gt;=dec!Y$3)),#REF!),IF(WEEKDAY(dec!Y$3,1)=1,"WO","P"))</f>
        <v>WO</v>
      </c>
      <c r="Z49" s="4" t="str">
        <f>IFERROR(LOOKUP(2,1/((#REF!=dec!$A49)*(#REF!&lt;=dec!Z$3)*(#REF!&gt;=dec!Z$3)),#REF!),IF(WEEKDAY(dec!Z$3,1)=1,"WO","P"))</f>
        <v>P</v>
      </c>
      <c r="AA49" s="4" t="str">
        <f>IFERROR(LOOKUP(2,1/((#REF!=dec!$A49)*(#REF!&lt;=dec!AA$3)*(#REF!&gt;=dec!AA$3)),#REF!),IF(WEEKDAY(dec!AA$3,1)=1,"WO","P"))</f>
        <v>P</v>
      </c>
      <c r="AB49" s="4" t="str">
        <f>IFERROR(LOOKUP(2,1/((#REF!=dec!$A49)*(#REF!&lt;=dec!AB$3)*(#REF!&gt;=dec!AB$3)),#REF!),IF(WEEKDAY(dec!AB$3,1)=1,"WO","P"))</f>
        <v>P</v>
      </c>
      <c r="AC49" s="4" t="str">
        <f>IFERROR(LOOKUP(2,1/((#REF!=dec!$A49)*(#REF!&lt;=dec!AC$3)*(#REF!&gt;=dec!AC$3)),#REF!),IF(WEEKDAY(dec!AC$3,1)=1,"WO","P"))</f>
        <v>P</v>
      </c>
      <c r="AD49" s="4" t="str">
        <f>IFERROR(LOOKUP(2,1/((#REF!=dec!$A49)*(#REF!&lt;=dec!AD$3)*(#REF!&gt;=dec!AD$3)),#REF!),IF(WEEKDAY(dec!AD$3,1)=1,"WO","P"))</f>
        <v>P</v>
      </c>
      <c r="AE49" s="4" t="str">
        <f>IFERROR(LOOKUP(2,1/((#REF!=dec!$A49)*(#REF!&lt;=dec!AE$3)*(#REF!&gt;=dec!AE$3)),#REF!),IF(WEEKDAY(dec!AE$3,1)=1,"WO","P"))</f>
        <v>P</v>
      </c>
      <c r="AF49" s="4" t="str">
        <f>IFERROR(LOOKUP(2,1/((#REF!=dec!$A49)*(#REF!&lt;=dec!AF$3)*(#REF!&gt;=dec!AF$3)),#REF!),IF(WEEKDAY(dec!AF$3,1)=1,"WO","P"))</f>
        <v>WO</v>
      </c>
      <c r="AG49" s="4" t="str">
        <f>IFERROR(LOOKUP(2,1/((#REF!=dec!$A49)*(#REF!&lt;=dec!AG$3)*(#REF!&gt;=dec!AG$3)),#REF!),IF(WEEKDAY(dec!AG$3,1)=1,"WO","P"))</f>
        <v>P</v>
      </c>
      <c r="AH49" s="4" t="str">
        <f>IFERROR(LOOKUP(2,1/((#REF!=dec!$A49)*(#REF!&lt;=dec!AH$3)*(#REF!&gt;=dec!AH$3)),#REF!),IF(WEEKDAY(dec!AH$3,1)=1,"WO","P"))</f>
        <v>P</v>
      </c>
      <c r="AI49" s="4" t="str">
        <f>IFERROR(LOOKUP(2,1/((#REF!=dec!$A49)*(#REF!&lt;=dec!AI$3)*(#REF!&gt;=dec!AI$3)),#REF!),IF(WEEKDAY(dec!AI$3,1)=1,"WO","P"))</f>
        <v>P</v>
      </c>
      <c r="AJ49" s="4" t="str">
        <f>IFERROR(LOOKUP(2,1/((#REF!=dec!$A49)*(#REF!&lt;=dec!AJ$3)*(#REF!&gt;=dec!AJ$3)),#REF!),IF(WEEKDAY(dec!AJ$3,1)=1,"WO","P"))</f>
        <v>P</v>
      </c>
      <c r="AK49" s="4">
        <f>COUNTIF(mar!$F49:$AJ49,"WO")</f>
        <v>5</v>
      </c>
      <c r="AL49" s="4">
        <f>COUNTIF(mar!$F49:$AJ49,"H")</f>
        <v>2</v>
      </c>
      <c r="AM49" s="4">
        <f>COUNTIF(mar!$F49:$AJ49,"pl")</f>
        <v>0</v>
      </c>
      <c r="AN49" s="4">
        <f>COUNTIF(mar!$F49:$AJ49,"LWP")</f>
        <v>0</v>
      </c>
      <c r="AO49" s="4">
        <f>COUNTIF(mar!$F49:$AJ49,"HD")</f>
        <v>0</v>
      </c>
      <c r="AP49" s="4">
        <f>COUNTIF(mar!$F49:$AJ49,"SL")</f>
        <v>0</v>
      </c>
      <c r="AQ49" s="4">
        <f>COUNTIF(mar!$F49:$AJ49,"CL")</f>
        <v>0</v>
      </c>
      <c r="AR49" s="4">
        <f>COUNTIF(mar!$F49:$AJ49,"A")</f>
        <v>0</v>
      </c>
      <c r="AS49" s="4">
        <f>COUNTIF(mar!$F49:$AJ49,"P")</f>
        <v>24</v>
      </c>
      <c r="AT49" s="4">
        <f t="shared" si="2"/>
        <v>31</v>
      </c>
      <c r="AU49" s="4">
        <f t="shared" si="3"/>
        <v>31</v>
      </c>
      <c r="AV49" s="4">
        <f>SUMIFS(holly!$L$2:$L$122,holly!$I$2:$I$122,mar!$A49,holly!$K$2:$K$122,"Mar")</f>
        <v>0</v>
      </c>
    </row>
    <row r="50" spans="1:48" ht="15.75" x14ac:dyDescent="0.25">
      <c r="A50" s="4" t="s">
        <v>76</v>
      </c>
      <c r="B50" s="4" t="str">
        <f>VLOOKUP($A50,Master!$A$2:$K$52,2,0)</f>
        <v>Employee46</v>
      </c>
      <c r="C50" s="4" t="str">
        <f>VLOOKUP($A50,Master!$A$2:$K$52,3,0)</f>
        <v>Female</v>
      </c>
      <c r="D50" s="4" t="str">
        <f>VLOOKUP($A50,Master!$A$2:$K$52,5,0)</f>
        <v>Production</v>
      </c>
      <c r="E50" s="4" t="str">
        <f>VLOOKUP($A50,Master!$A$2:$K$52,6,0)</f>
        <v>Operator</v>
      </c>
      <c r="F50" s="4" t="str">
        <f>IFERROR(LOOKUP(2,1/((#REF!=dec!$A50)*(#REF!&lt;=dec!F$3)*(#REF!&gt;=dec!F$3)),#REF!),IF(WEEKDAY(dec!F$3,1)=1,"WO","P"))</f>
        <v>P</v>
      </c>
      <c r="G50" s="4" t="str">
        <f>IFERROR(LOOKUP(2,1/((#REF!=dec!$A50)*(#REF!&lt;=dec!G$3)*(#REF!&gt;=dec!G$3)),#REF!),IF(WEEKDAY(dec!G$3,1)=1,"WO","P"))</f>
        <v>P</v>
      </c>
      <c r="H50" s="4" t="str">
        <f>IFERROR(LOOKUP(2,1/((#REF!=dec!$A50)*(#REF!&lt;=dec!H$3)*(#REF!&gt;=dec!H$3)),#REF!),IF(WEEKDAY(dec!H$3,1)=1,"WO","P"))</f>
        <v>P</v>
      </c>
      <c r="I50" s="4" t="str">
        <f>IFERROR(LOOKUP(2,1/((#REF!=dec!$A50)*(#REF!&lt;=dec!I$3)*(#REF!&gt;=dec!I$3)),#REF!),IF(WEEKDAY(dec!I$3,1)=1,"WO","P"))</f>
        <v>P</v>
      </c>
      <c r="J50" s="4" t="str">
        <f>IFERROR(LOOKUP(2,1/((#REF!=dec!$A50)*(#REF!&lt;=dec!J$3)*(#REF!&gt;=dec!J$3)),#REF!),IF(WEEKDAY(dec!J$3,1)=1,"WO","P"))</f>
        <v>P</v>
      </c>
      <c r="K50" s="4" t="str">
        <f>IFERROR(LOOKUP(2,1/((#REF!=dec!$A50)*(#REF!&lt;=dec!K$3)*(#REF!&gt;=dec!K$3)),#REF!),IF(WEEKDAY(dec!K$3,1)=1,"WO","P"))</f>
        <v>WO</v>
      </c>
      <c r="L50" s="4" t="str">
        <f>IFERROR(LOOKUP(2,1/((#REF!=dec!$A50)*(#REF!&lt;=dec!L$3)*(#REF!&gt;=dec!L$3)),#REF!),IF(WEEKDAY(dec!L$3,1)=1,"WO","P"))</f>
        <v>P</v>
      </c>
      <c r="M50" s="4" t="str">
        <f>IFERROR(LOOKUP(2,1/((#REF!=dec!$A50)*(#REF!&lt;=dec!M$3)*(#REF!&gt;=dec!M$3)),#REF!),IF(WEEKDAY(dec!M$3,1)=1,"WO","P"))</f>
        <v>P</v>
      </c>
      <c r="N50" s="4" t="str">
        <f>IFERROR(LOOKUP(2,1/((#REF!=dec!$A50)*(#REF!&lt;=dec!N$3)*(#REF!&gt;=dec!N$3)),#REF!),IF(WEEKDAY(dec!N$3,1)=1,"WO","P"))</f>
        <v>P</v>
      </c>
      <c r="O50" s="4" t="str">
        <f>IFERROR(LOOKUP(2,1/((#REF!=dec!$A50)*(#REF!&lt;=dec!O$3)*(#REF!&gt;=dec!O$3)),#REF!),IF(WEEKDAY(dec!O$3,1)=1,"WO","P"))</f>
        <v>P</v>
      </c>
      <c r="P50" s="4" t="str">
        <f>IFERROR(LOOKUP(2,1/((#REF!=dec!$A50)*(#REF!&lt;=dec!P$3)*(#REF!&gt;=dec!P$3)),#REF!),IF(WEEKDAY(dec!P$3,1)=1,"WO","P"))</f>
        <v>P</v>
      </c>
      <c r="Q50" s="4" t="str">
        <f>IFERROR(LOOKUP(2,1/((#REF!=dec!$A50)*(#REF!&lt;=dec!Q$3)*(#REF!&gt;=dec!Q$3)),#REF!),IF(WEEKDAY(dec!Q$3,1)=1,"WO","P"))</f>
        <v>P</v>
      </c>
      <c r="R50" s="4" t="str">
        <f>IFERROR(LOOKUP(2,1/((#REF!=dec!$A50)*(#REF!&lt;=dec!R$3)*(#REF!&gt;=dec!R$3)),#REF!),IF(WEEKDAY(dec!R$3,1)=1,"WO","P"))</f>
        <v>WO</v>
      </c>
      <c r="S50" s="4" t="str">
        <f>IFERROR(LOOKUP(2,1/((#REF!=dec!$A50)*(#REF!&lt;=dec!S$3)*(#REF!&gt;=dec!S$3)),#REF!),IF(WEEKDAY(dec!S$3,1)=1,"WO","P"))</f>
        <v>P</v>
      </c>
      <c r="T50" s="4" t="str">
        <f>IFERROR(LOOKUP(2,1/((#REF!=dec!$A50)*(#REF!&lt;=dec!T$3)*(#REF!&gt;=dec!T$3)),#REF!),IF(WEEKDAY(dec!T$3,1)=1,"WO","P"))</f>
        <v>P</v>
      </c>
      <c r="U50" s="4" t="str">
        <f>IFERROR(LOOKUP(2,1/((#REF!=dec!$A50)*(#REF!&lt;=dec!U$3)*(#REF!&gt;=dec!U$3)),#REF!),IF(WEEKDAY(dec!U$3,1)=1,"WO","P"))</f>
        <v>P</v>
      </c>
      <c r="V50" s="4" t="str">
        <f>IFERROR(LOOKUP(2,1/((#REF!=dec!$A50)*(#REF!&lt;=dec!V$3)*(#REF!&gt;=dec!V$3)),#REF!),IF(WEEKDAY(dec!V$3,1)=1,"WO","P"))</f>
        <v>P</v>
      </c>
      <c r="W50" s="4" t="str">
        <f>IFERROR(LOOKUP(2,1/((#REF!=dec!$A50)*(#REF!&lt;=dec!W$3)*(#REF!&gt;=dec!W$3)),#REF!),IF(WEEKDAY(dec!W$3,1)=1,"WO","P"))</f>
        <v>P</v>
      </c>
      <c r="X50" s="4" t="str">
        <f>IFERROR(LOOKUP(2,1/((#REF!=dec!$A50)*(#REF!&lt;=dec!X$3)*(#REF!&gt;=dec!X$3)),#REF!),IF(WEEKDAY(dec!X$3,1)=1,"WO","P"))</f>
        <v>P</v>
      </c>
      <c r="Y50" s="4" t="str">
        <f>IFERROR(LOOKUP(2,1/((#REF!=dec!$A50)*(#REF!&lt;=dec!Y$3)*(#REF!&gt;=dec!Y$3)),#REF!),IF(WEEKDAY(dec!Y$3,1)=1,"WO","P"))</f>
        <v>WO</v>
      </c>
      <c r="Z50" s="4" t="str">
        <f>IFERROR(LOOKUP(2,1/((#REF!=dec!$A50)*(#REF!&lt;=dec!Z$3)*(#REF!&gt;=dec!Z$3)),#REF!),IF(WEEKDAY(dec!Z$3,1)=1,"WO","P"))</f>
        <v>P</v>
      </c>
      <c r="AA50" s="4" t="str">
        <f>IFERROR(LOOKUP(2,1/((#REF!=dec!$A50)*(#REF!&lt;=dec!AA$3)*(#REF!&gt;=dec!AA$3)),#REF!),IF(WEEKDAY(dec!AA$3,1)=1,"WO","P"))</f>
        <v>P</v>
      </c>
      <c r="AB50" s="4" t="str">
        <f>IFERROR(LOOKUP(2,1/((#REF!=dec!$A50)*(#REF!&lt;=dec!AB$3)*(#REF!&gt;=dec!AB$3)),#REF!),IF(WEEKDAY(dec!AB$3,1)=1,"WO","P"))</f>
        <v>P</v>
      </c>
      <c r="AC50" s="4" t="str">
        <f>IFERROR(LOOKUP(2,1/((#REF!=dec!$A50)*(#REF!&lt;=dec!AC$3)*(#REF!&gt;=dec!AC$3)),#REF!),IF(WEEKDAY(dec!AC$3,1)=1,"WO","P"))</f>
        <v>P</v>
      </c>
      <c r="AD50" s="4" t="str">
        <f>IFERROR(LOOKUP(2,1/((#REF!=dec!$A50)*(#REF!&lt;=dec!AD$3)*(#REF!&gt;=dec!AD$3)),#REF!),IF(WEEKDAY(dec!AD$3,1)=1,"WO","P"))</f>
        <v>P</v>
      </c>
      <c r="AE50" s="4" t="str">
        <f>IFERROR(LOOKUP(2,1/((#REF!=dec!$A50)*(#REF!&lt;=dec!AE$3)*(#REF!&gt;=dec!AE$3)),#REF!),IF(WEEKDAY(dec!AE$3,1)=1,"WO","P"))</f>
        <v>P</v>
      </c>
      <c r="AF50" s="4" t="str">
        <f>IFERROR(LOOKUP(2,1/((#REF!=dec!$A50)*(#REF!&lt;=dec!AF$3)*(#REF!&gt;=dec!AF$3)),#REF!),IF(WEEKDAY(dec!AF$3,1)=1,"WO","P"))</f>
        <v>WO</v>
      </c>
      <c r="AG50" s="4" t="str">
        <f>IFERROR(LOOKUP(2,1/((#REF!=dec!$A50)*(#REF!&lt;=dec!AG$3)*(#REF!&gt;=dec!AG$3)),#REF!),IF(WEEKDAY(dec!AG$3,1)=1,"WO","P"))</f>
        <v>P</v>
      </c>
      <c r="AH50" s="4" t="str">
        <f>IFERROR(LOOKUP(2,1/((#REF!=dec!$A50)*(#REF!&lt;=dec!AH$3)*(#REF!&gt;=dec!AH$3)),#REF!),IF(WEEKDAY(dec!AH$3,1)=1,"WO","P"))</f>
        <v>P</v>
      </c>
      <c r="AI50" s="4" t="str">
        <f>IFERROR(LOOKUP(2,1/((#REF!=dec!$A50)*(#REF!&lt;=dec!AI$3)*(#REF!&gt;=dec!AI$3)),#REF!),IF(WEEKDAY(dec!AI$3,1)=1,"WO","P"))</f>
        <v>P</v>
      </c>
      <c r="AJ50" s="4" t="str">
        <f>IFERROR(LOOKUP(2,1/((#REF!=dec!$A50)*(#REF!&lt;=dec!AJ$3)*(#REF!&gt;=dec!AJ$3)),#REF!),IF(WEEKDAY(dec!AJ$3,1)=1,"WO","P"))</f>
        <v>P</v>
      </c>
      <c r="AK50" s="4">
        <f>COUNTIF(mar!$F50:$AJ50,"WO")</f>
        <v>5</v>
      </c>
      <c r="AL50" s="4">
        <f>COUNTIF(mar!$F50:$AJ50,"H")</f>
        <v>2</v>
      </c>
      <c r="AM50" s="4">
        <f>COUNTIF(mar!$F50:$AJ50,"pl")</f>
        <v>0</v>
      </c>
      <c r="AN50" s="4">
        <f>COUNTIF(mar!$F50:$AJ50,"LWP")</f>
        <v>0</v>
      </c>
      <c r="AO50" s="4">
        <f>COUNTIF(mar!$F50:$AJ50,"HD")</f>
        <v>0</v>
      </c>
      <c r="AP50" s="4">
        <f>COUNTIF(mar!$F50:$AJ50,"SL")</f>
        <v>0</v>
      </c>
      <c r="AQ50" s="4">
        <f>COUNTIF(mar!$F50:$AJ50,"CL")</f>
        <v>0</v>
      </c>
      <c r="AR50" s="4">
        <f>COUNTIF(mar!$F50:$AJ50,"A")</f>
        <v>1</v>
      </c>
      <c r="AS50" s="4">
        <f>COUNTIF(mar!$F50:$AJ50,"P")</f>
        <v>23</v>
      </c>
      <c r="AT50" s="4">
        <f t="shared" si="2"/>
        <v>31</v>
      </c>
      <c r="AU50" s="4">
        <f t="shared" si="3"/>
        <v>30</v>
      </c>
      <c r="AV50" s="4">
        <f>SUMIFS(holly!$L$2:$L$122,holly!$I$2:$I$122,mar!$A50,holly!$K$2:$K$122,"Mar")</f>
        <v>0</v>
      </c>
    </row>
    <row r="51" spans="1:48" ht="15.75" x14ac:dyDescent="0.25">
      <c r="A51" s="4" t="s">
        <v>77</v>
      </c>
      <c r="B51" s="4" t="str">
        <f>VLOOKUP($A51,Master!$A$2:$K$52,2,0)</f>
        <v>Employee47</v>
      </c>
      <c r="C51" s="4" t="str">
        <f>VLOOKUP($A51,Master!$A$2:$K$52,3,0)</f>
        <v>Male</v>
      </c>
      <c r="D51" s="4" t="str">
        <f>VLOOKUP($A51,Master!$A$2:$K$52,5,0)</f>
        <v>Production</v>
      </c>
      <c r="E51" s="4" t="str">
        <f>VLOOKUP($A51,Master!$A$2:$K$52,6,0)</f>
        <v>Senior Operator</v>
      </c>
      <c r="F51" s="4" t="str">
        <f>IFERROR(LOOKUP(2,1/((#REF!=dec!$A51)*(#REF!&lt;=dec!F$3)*(#REF!&gt;=dec!F$3)),#REF!),IF(WEEKDAY(dec!F$3,1)=1,"WO","P"))</f>
        <v>P</v>
      </c>
      <c r="G51" s="4" t="str">
        <f>IFERROR(LOOKUP(2,1/((#REF!=dec!$A51)*(#REF!&lt;=dec!G$3)*(#REF!&gt;=dec!G$3)),#REF!),IF(WEEKDAY(dec!G$3,1)=1,"WO","P"))</f>
        <v>P</v>
      </c>
      <c r="H51" s="4" t="str">
        <f>IFERROR(LOOKUP(2,1/((#REF!=dec!$A51)*(#REF!&lt;=dec!H$3)*(#REF!&gt;=dec!H$3)),#REF!),IF(WEEKDAY(dec!H$3,1)=1,"WO","P"))</f>
        <v>P</v>
      </c>
      <c r="I51" s="4" t="str">
        <f>IFERROR(LOOKUP(2,1/((#REF!=dec!$A51)*(#REF!&lt;=dec!I$3)*(#REF!&gt;=dec!I$3)),#REF!),IF(WEEKDAY(dec!I$3,1)=1,"WO","P"))</f>
        <v>P</v>
      </c>
      <c r="J51" s="4" t="str">
        <f>IFERROR(LOOKUP(2,1/((#REF!=dec!$A51)*(#REF!&lt;=dec!J$3)*(#REF!&gt;=dec!J$3)),#REF!),IF(WEEKDAY(dec!J$3,1)=1,"WO","P"))</f>
        <v>P</v>
      </c>
      <c r="K51" s="4" t="str">
        <f>IFERROR(LOOKUP(2,1/((#REF!=dec!$A51)*(#REF!&lt;=dec!K$3)*(#REF!&gt;=dec!K$3)),#REF!),IF(WEEKDAY(dec!K$3,1)=1,"WO","P"))</f>
        <v>WO</v>
      </c>
      <c r="L51" s="4" t="str">
        <f>IFERROR(LOOKUP(2,1/((#REF!=dec!$A51)*(#REF!&lt;=dec!L$3)*(#REF!&gt;=dec!L$3)),#REF!),IF(WEEKDAY(dec!L$3,1)=1,"WO","P"))</f>
        <v>P</v>
      </c>
      <c r="M51" s="4" t="str">
        <f>IFERROR(LOOKUP(2,1/((#REF!=dec!$A51)*(#REF!&lt;=dec!M$3)*(#REF!&gt;=dec!M$3)),#REF!),IF(WEEKDAY(dec!M$3,1)=1,"WO","P"))</f>
        <v>P</v>
      </c>
      <c r="N51" s="4" t="str">
        <f>IFERROR(LOOKUP(2,1/((#REF!=dec!$A51)*(#REF!&lt;=dec!N$3)*(#REF!&gt;=dec!N$3)),#REF!),IF(WEEKDAY(dec!N$3,1)=1,"WO","P"))</f>
        <v>P</v>
      </c>
      <c r="O51" s="4" t="str">
        <f>IFERROR(LOOKUP(2,1/((#REF!=dec!$A51)*(#REF!&lt;=dec!O$3)*(#REF!&gt;=dec!O$3)),#REF!),IF(WEEKDAY(dec!O$3,1)=1,"WO","P"))</f>
        <v>P</v>
      </c>
      <c r="P51" s="4" t="str">
        <f>IFERROR(LOOKUP(2,1/((#REF!=dec!$A51)*(#REF!&lt;=dec!P$3)*(#REF!&gt;=dec!P$3)),#REF!),IF(WEEKDAY(dec!P$3,1)=1,"WO","P"))</f>
        <v>P</v>
      </c>
      <c r="Q51" s="4" t="str">
        <f>IFERROR(LOOKUP(2,1/((#REF!=dec!$A51)*(#REF!&lt;=dec!Q$3)*(#REF!&gt;=dec!Q$3)),#REF!),IF(WEEKDAY(dec!Q$3,1)=1,"WO","P"))</f>
        <v>P</v>
      </c>
      <c r="R51" s="4" t="str">
        <f>IFERROR(LOOKUP(2,1/((#REF!=dec!$A51)*(#REF!&lt;=dec!R$3)*(#REF!&gt;=dec!R$3)),#REF!),IF(WEEKDAY(dec!R$3,1)=1,"WO","P"))</f>
        <v>WO</v>
      </c>
      <c r="S51" s="4" t="str">
        <f>IFERROR(LOOKUP(2,1/((#REF!=dec!$A51)*(#REF!&lt;=dec!S$3)*(#REF!&gt;=dec!S$3)),#REF!),IF(WEEKDAY(dec!S$3,1)=1,"WO","P"))</f>
        <v>P</v>
      </c>
      <c r="T51" s="4" t="str">
        <f>IFERROR(LOOKUP(2,1/((#REF!=dec!$A51)*(#REF!&lt;=dec!T$3)*(#REF!&gt;=dec!T$3)),#REF!),IF(WEEKDAY(dec!T$3,1)=1,"WO","P"))</f>
        <v>P</v>
      </c>
      <c r="U51" s="4" t="str">
        <f>IFERROR(LOOKUP(2,1/((#REF!=dec!$A51)*(#REF!&lt;=dec!U$3)*(#REF!&gt;=dec!U$3)),#REF!),IF(WEEKDAY(dec!U$3,1)=1,"WO","P"))</f>
        <v>P</v>
      </c>
      <c r="V51" s="4" t="str">
        <f>IFERROR(LOOKUP(2,1/((#REF!=dec!$A51)*(#REF!&lt;=dec!V$3)*(#REF!&gt;=dec!V$3)),#REF!),IF(WEEKDAY(dec!V$3,1)=1,"WO","P"))</f>
        <v>P</v>
      </c>
      <c r="W51" s="4" t="str">
        <f>IFERROR(LOOKUP(2,1/((#REF!=dec!$A51)*(#REF!&lt;=dec!W$3)*(#REF!&gt;=dec!W$3)),#REF!),IF(WEEKDAY(dec!W$3,1)=1,"WO","P"))</f>
        <v>P</v>
      </c>
      <c r="X51" s="4" t="str">
        <f>IFERROR(LOOKUP(2,1/((#REF!=dec!$A51)*(#REF!&lt;=dec!X$3)*(#REF!&gt;=dec!X$3)),#REF!),IF(WEEKDAY(dec!X$3,1)=1,"WO","P"))</f>
        <v>P</v>
      </c>
      <c r="Y51" s="4" t="str">
        <f>IFERROR(LOOKUP(2,1/((#REF!=dec!$A51)*(#REF!&lt;=dec!Y$3)*(#REF!&gt;=dec!Y$3)),#REF!),IF(WEEKDAY(dec!Y$3,1)=1,"WO","P"))</f>
        <v>WO</v>
      </c>
      <c r="Z51" s="4" t="str">
        <f>IFERROR(LOOKUP(2,1/((#REF!=dec!$A51)*(#REF!&lt;=dec!Z$3)*(#REF!&gt;=dec!Z$3)),#REF!),IF(WEEKDAY(dec!Z$3,1)=1,"WO","P"))</f>
        <v>P</v>
      </c>
      <c r="AA51" s="4" t="str">
        <f>IFERROR(LOOKUP(2,1/((#REF!=dec!$A51)*(#REF!&lt;=dec!AA$3)*(#REF!&gt;=dec!AA$3)),#REF!),IF(WEEKDAY(dec!AA$3,1)=1,"WO","P"))</f>
        <v>P</v>
      </c>
      <c r="AB51" s="4" t="str">
        <f>IFERROR(LOOKUP(2,1/((#REF!=dec!$A51)*(#REF!&lt;=dec!AB$3)*(#REF!&gt;=dec!AB$3)),#REF!),IF(WEEKDAY(dec!AB$3,1)=1,"WO","P"))</f>
        <v>P</v>
      </c>
      <c r="AC51" s="4" t="str">
        <f>IFERROR(LOOKUP(2,1/((#REF!=dec!$A51)*(#REF!&lt;=dec!AC$3)*(#REF!&gt;=dec!AC$3)),#REF!),IF(WEEKDAY(dec!AC$3,1)=1,"WO","P"))</f>
        <v>P</v>
      </c>
      <c r="AD51" s="4" t="str">
        <f>IFERROR(LOOKUP(2,1/((#REF!=dec!$A51)*(#REF!&lt;=dec!AD$3)*(#REF!&gt;=dec!AD$3)),#REF!),IF(WEEKDAY(dec!AD$3,1)=1,"WO","P"))</f>
        <v>P</v>
      </c>
      <c r="AE51" s="4" t="str">
        <f>IFERROR(LOOKUP(2,1/((#REF!=dec!$A51)*(#REF!&lt;=dec!AE$3)*(#REF!&gt;=dec!AE$3)),#REF!),IF(WEEKDAY(dec!AE$3,1)=1,"WO","P"))</f>
        <v>P</v>
      </c>
      <c r="AF51" s="4" t="str">
        <f>IFERROR(LOOKUP(2,1/((#REF!=dec!$A51)*(#REF!&lt;=dec!AF$3)*(#REF!&gt;=dec!AF$3)),#REF!),IF(WEEKDAY(dec!AF$3,1)=1,"WO","P"))</f>
        <v>WO</v>
      </c>
      <c r="AG51" s="4" t="str">
        <f>IFERROR(LOOKUP(2,1/((#REF!=dec!$A51)*(#REF!&lt;=dec!AG$3)*(#REF!&gt;=dec!AG$3)),#REF!),IF(WEEKDAY(dec!AG$3,1)=1,"WO","P"))</f>
        <v>P</v>
      </c>
      <c r="AH51" s="4" t="str">
        <f>IFERROR(LOOKUP(2,1/((#REF!=dec!$A51)*(#REF!&lt;=dec!AH$3)*(#REF!&gt;=dec!AH$3)),#REF!),IF(WEEKDAY(dec!AH$3,1)=1,"WO","P"))</f>
        <v>P</v>
      </c>
      <c r="AI51" s="4" t="str">
        <f>IFERROR(LOOKUP(2,1/((#REF!=dec!$A51)*(#REF!&lt;=dec!AI$3)*(#REF!&gt;=dec!AI$3)),#REF!),IF(WEEKDAY(dec!AI$3,1)=1,"WO","P"))</f>
        <v>P</v>
      </c>
      <c r="AJ51" s="4" t="str">
        <f>IFERROR(LOOKUP(2,1/((#REF!=dec!$A51)*(#REF!&lt;=dec!AJ$3)*(#REF!&gt;=dec!AJ$3)),#REF!),IF(WEEKDAY(dec!AJ$3,1)=1,"WO","P"))</f>
        <v>P</v>
      </c>
      <c r="AK51" s="4">
        <f>COUNTIF(mar!$F51:$AJ51,"WO")</f>
        <v>5</v>
      </c>
      <c r="AL51" s="4">
        <f>COUNTIF(mar!$F51:$AJ51,"H")</f>
        <v>2</v>
      </c>
      <c r="AM51" s="4">
        <f>COUNTIF(mar!$F51:$AJ51,"pl")</f>
        <v>0</v>
      </c>
      <c r="AN51" s="4">
        <f>COUNTIF(mar!$F51:$AJ51,"LWP")</f>
        <v>0</v>
      </c>
      <c r="AO51" s="4">
        <f>COUNTIF(mar!$F51:$AJ51,"HD")</f>
        <v>0</v>
      </c>
      <c r="AP51" s="4">
        <f>COUNTIF(mar!$F51:$AJ51,"SL")</f>
        <v>0</v>
      </c>
      <c r="AQ51" s="4">
        <f>COUNTIF(mar!$F51:$AJ51,"CL")</f>
        <v>0</v>
      </c>
      <c r="AR51" s="4">
        <f>COUNTIF(mar!$F51:$AJ51,"A")</f>
        <v>0</v>
      </c>
      <c r="AS51" s="4">
        <f>COUNTIF(mar!$F51:$AJ51,"P")</f>
        <v>24</v>
      </c>
      <c r="AT51" s="4">
        <f t="shared" si="2"/>
        <v>31</v>
      </c>
      <c r="AU51" s="4">
        <f t="shared" si="3"/>
        <v>31</v>
      </c>
      <c r="AV51" s="4">
        <f>SUMIFS(holly!$L$2:$L$122,holly!$I$2:$I$122,mar!$A51,holly!$K$2:$K$122,"Mar")</f>
        <v>3</v>
      </c>
    </row>
    <row r="52" spans="1:48" ht="15.75" x14ac:dyDescent="0.25">
      <c r="A52" s="4" t="s">
        <v>78</v>
      </c>
      <c r="B52" s="4" t="str">
        <f>VLOOKUP($A52,Master!$A$2:$K$52,2,0)</f>
        <v>Employee48</v>
      </c>
      <c r="C52" s="4" t="str">
        <f>VLOOKUP($A52,Master!$A$2:$K$52,3,0)</f>
        <v>Female</v>
      </c>
      <c r="D52" s="4" t="str">
        <f>VLOOKUP($A52,Master!$A$2:$K$52,5,0)</f>
        <v>Production</v>
      </c>
      <c r="E52" s="4" t="str">
        <f>VLOOKUP($A52,Master!$A$2:$K$52,6,0)</f>
        <v>Senior Operator</v>
      </c>
      <c r="F52" s="4" t="str">
        <f>IFERROR(LOOKUP(2,1/((#REF!=dec!$A52)*(#REF!&lt;=dec!F$3)*(#REF!&gt;=dec!F$3)),#REF!),IF(WEEKDAY(dec!F$3,1)=1,"WO","P"))</f>
        <v>P</v>
      </c>
      <c r="G52" s="4" t="str">
        <f>IFERROR(LOOKUP(2,1/((#REF!=dec!$A52)*(#REF!&lt;=dec!G$3)*(#REF!&gt;=dec!G$3)),#REF!),IF(WEEKDAY(dec!G$3,1)=1,"WO","P"))</f>
        <v>P</v>
      </c>
      <c r="H52" s="4" t="str">
        <f>IFERROR(LOOKUP(2,1/((#REF!=dec!$A52)*(#REF!&lt;=dec!H$3)*(#REF!&gt;=dec!H$3)),#REF!),IF(WEEKDAY(dec!H$3,1)=1,"WO","P"))</f>
        <v>P</v>
      </c>
      <c r="I52" s="4" t="str">
        <f>IFERROR(LOOKUP(2,1/((#REF!=dec!$A52)*(#REF!&lt;=dec!I$3)*(#REF!&gt;=dec!I$3)),#REF!),IF(WEEKDAY(dec!I$3,1)=1,"WO","P"))</f>
        <v>P</v>
      </c>
      <c r="J52" s="4" t="str">
        <f>IFERROR(LOOKUP(2,1/((#REF!=dec!$A52)*(#REF!&lt;=dec!J$3)*(#REF!&gt;=dec!J$3)),#REF!),IF(WEEKDAY(dec!J$3,1)=1,"WO","P"))</f>
        <v>P</v>
      </c>
      <c r="K52" s="4" t="str">
        <f>IFERROR(LOOKUP(2,1/((#REF!=dec!$A52)*(#REF!&lt;=dec!K$3)*(#REF!&gt;=dec!K$3)),#REF!),IF(WEEKDAY(dec!K$3,1)=1,"WO","P"))</f>
        <v>WO</v>
      </c>
      <c r="L52" s="4" t="str">
        <f>IFERROR(LOOKUP(2,1/((#REF!=dec!$A52)*(#REF!&lt;=dec!L$3)*(#REF!&gt;=dec!L$3)),#REF!),IF(WEEKDAY(dec!L$3,1)=1,"WO","P"))</f>
        <v>P</v>
      </c>
      <c r="M52" s="4" t="str">
        <f>IFERROR(LOOKUP(2,1/((#REF!=dec!$A52)*(#REF!&lt;=dec!M$3)*(#REF!&gt;=dec!M$3)),#REF!),IF(WEEKDAY(dec!M$3,1)=1,"WO","P"))</f>
        <v>P</v>
      </c>
      <c r="N52" s="4" t="str">
        <f>IFERROR(LOOKUP(2,1/((#REF!=dec!$A52)*(#REF!&lt;=dec!N$3)*(#REF!&gt;=dec!N$3)),#REF!),IF(WEEKDAY(dec!N$3,1)=1,"WO","P"))</f>
        <v>P</v>
      </c>
      <c r="O52" s="4" t="str">
        <f>IFERROR(LOOKUP(2,1/((#REF!=dec!$A52)*(#REF!&lt;=dec!O$3)*(#REF!&gt;=dec!O$3)),#REF!),IF(WEEKDAY(dec!O$3,1)=1,"WO","P"))</f>
        <v>P</v>
      </c>
      <c r="P52" s="4" t="str">
        <f>IFERROR(LOOKUP(2,1/((#REF!=dec!$A52)*(#REF!&lt;=dec!P$3)*(#REF!&gt;=dec!P$3)),#REF!),IF(WEEKDAY(dec!P$3,1)=1,"WO","P"))</f>
        <v>P</v>
      </c>
      <c r="Q52" s="4" t="str">
        <f>IFERROR(LOOKUP(2,1/((#REF!=dec!$A52)*(#REF!&lt;=dec!Q$3)*(#REF!&gt;=dec!Q$3)),#REF!),IF(WEEKDAY(dec!Q$3,1)=1,"WO","P"))</f>
        <v>P</v>
      </c>
      <c r="R52" s="4" t="str">
        <f>IFERROR(LOOKUP(2,1/((#REF!=dec!$A52)*(#REF!&lt;=dec!R$3)*(#REF!&gt;=dec!R$3)),#REF!),IF(WEEKDAY(dec!R$3,1)=1,"WO","P"))</f>
        <v>WO</v>
      </c>
      <c r="S52" s="4" t="str">
        <f>IFERROR(LOOKUP(2,1/((#REF!=dec!$A52)*(#REF!&lt;=dec!S$3)*(#REF!&gt;=dec!S$3)),#REF!),IF(WEEKDAY(dec!S$3,1)=1,"WO","P"))</f>
        <v>P</v>
      </c>
      <c r="T52" s="4" t="str">
        <f>IFERROR(LOOKUP(2,1/((#REF!=dec!$A52)*(#REF!&lt;=dec!T$3)*(#REF!&gt;=dec!T$3)),#REF!),IF(WEEKDAY(dec!T$3,1)=1,"WO","P"))</f>
        <v>P</v>
      </c>
      <c r="U52" s="4" t="str">
        <f>IFERROR(LOOKUP(2,1/((#REF!=dec!$A52)*(#REF!&lt;=dec!U$3)*(#REF!&gt;=dec!U$3)),#REF!),IF(WEEKDAY(dec!U$3,1)=1,"WO","P"))</f>
        <v>P</v>
      </c>
      <c r="V52" s="4" t="str">
        <f>IFERROR(LOOKUP(2,1/((#REF!=dec!$A52)*(#REF!&lt;=dec!V$3)*(#REF!&gt;=dec!V$3)),#REF!),IF(WEEKDAY(dec!V$3,1)=1,"WO","P"))</f>
        <v>P</v>
      </c>
      <c r="W52" s="4" t="str">
        <f>IFERROR(LOOKUP(2,1/((#REF!=dec!$A52)*(#REF!&lt;=dec!W$3)*(#REF!&gt;=dec!W$3)),#REF!),IF(WEEKDAY(dec!W$3,1)=1,"WO","P"))</f>
        <v>P</v>
      </c>
      <c r="X52" s="4" t="str">
        <f>IFERROR(LOOKUP(2,1/((#REF!=dec!$A52)*(#REF!&lt;=dec!X$3)*(#REF!&gt;=dec!X$3)),#REF!),IF(WEEKDAY(dec!X$3,1)=1,"WO","P"))</f>
        <v>P</v>
      </c>
      <c r="Y52" s="4" t="str">
        <f>IFERROR(LOOKUP(2,1/((#REF!=dec!$A52)*(#REF!&lt;=dec!Y$3)*(#REF!&gt;=dec!Y$3)),#REF!),IF(WEEKDAY(dec!Y$3,1)=1,"WO","P"))</f>
        <v>WO</v>
      </c>
      <c r="Z52" s="4" t="str">
        <f>IFERROR(LOOKUP(2,1/((#REF!=dec!$A52)*(#REF!&lt;=dec!Z$3)*(#REF!&gt;=dec!Z$3)),#REF!),IF(WEEKDAY(dec!Z$3,1)=1,"WO","P"))</f>
        <v>P</v>
      </c>
      <c r="AA52" s="4" t="str">
        <f>IFERROR(LOOKUP(2,1/((#REF!=dec!$A52)*(#REF!&lt;=dec!AA$3)*(#REF!&gt;=dec!AA$3)),#REF!),IF(WEEKDAY(dec!AA$3,1)=1,"WO","P"))</f>
        <v>P</v>
      </c>
      <c r="AB52" s="4" t="str">
        <f>IFERROR(LOOKUP(2,1/((#REF!=dec!$A52)*(#REF!&lt;=dec!AB$3)*(#REF!&gt;=dec!AB$3)),#REF!),IF(WEEKDAY(dec!AB$3,1)=1,"WO","P"))</f>
        <v>P</v>
      </c>
      <c r="AC52" s="4" t="str">
        <f>IFERROR(LOOKUP(2,1/((#REF!=dec!$A52)*(#REF!&lt;=dec!AC$3)*(#REF!&gt;=dec!AC$3)),#REF!),IF(WEEKDAY(dec!AC$3,1)=1,"WO","P"))</f>
        <v>P</v>
      </c>
      <c r="AD52" s="4" t="str">
        <f>IFERROR(LOOKUP(2,1/((#REF!=dec!$A52)*(#REF!&lt;=dec!AD$3)*(#REF!&gt;=dec!AD$3)),#REF!),IF(WEEKDAY(dec!AD$3,1)=1,"WO","P"))</f>
        <v>P</v>
      </c>
      <c r="AE52" s="4" t="str">
        <f>IFERROR(LOOKUP(2,1/((#REF!=dec!$A52)*(#REF!&lt;=dec!AE$3)*(#REF!&gt;=dec!AE$3)),#REF!),IF(WEEKDAY(dec!AE$3,1)=1,"WO","P"))</f>
        <v>P</v>
      </c>
      <c r="AF52" s="4" t="str">
        <f>IFERROR(LOOKUP(2,1/((#REF!=dec!$A52)*(#REF!&lt;=dec!AF$3)*(#REF!&gt;=dec!AF$3)),#REF!),IF(WEEKDAY(dec!AF$3,1)=1,"WO","P"))</f>
        <v>WO</v>
      </c>
      <c r="AG52" s="4" t="str">
        <f>IFERROR(LOOKUP(2,1/((#REF!=dec!$A52)*(#REF!&lt;=dec!AG$3)*(#REF!&gt;=dec!AG$3)),#REF!),IF(WEEKDAY(dec!AG$3,1)=1,"WO","P"))</f>
        <v>P</v>
      </c>
      <c r="AH52" s="4" t="str">
        <f>IFERROR(LOOKUP(2,1/((#REF!=dec!$A52)*(#REF!&lt;=dec!AH$3)*(#REF!&gt;=dec!AH$3)),#REF!),IF(WEEKDAY(dec!AH$3,1)=1,"WO","P"))</f>
        <v>P</v>
      </c>
      <c r="AI52" s="4" t="str">
        <f>IFERROR(LOOKUP(2,1/((#REF!=dec!$A52)*(#REF!&lt;=dec!AI$3)*(#REF!&gt;=dec!AI$3)),#REF!),IF(WEEKDAY(dec!AI$3,1)=1,"WO","P"))</f>
        <v>P</v>
      </c>
      <c r="AJ52" s="4" t="str">
        <f>IFERROR(LOOKUP(2,1/((#REF!=dec!$A52)*(#REF!&lt;=dec!AJ$3)*(#REF!&gt;=dec!AJ$3)),#REF!),IF(WEEKDAY(dec!AJ$3,1)=1,"WO","P"))</f>
        <v>P</v>
      </c>
      <c r="AK52" s="4">
        <f>COUNTIF(mar!$F52:$AJ52,"WO")</f>
        <v>5</v>
      </c>
      <c r="AL52" s="4">
        <f>COUNTIF(mar!$F52:$AJ52,"H")</f>
        <v>2</v>
      </c>
      <c r="AM52" s="4">
        <f>COUNTIF(mar!$F52:$AJ52,"pl")</f>
        <v>0</v>
      </c>
      <c r="AN52" s="4">
        <f>COUNTIF(mar!$F52:$AJ52,"LWP")</f>
        <v>0</v>
      </c>
      <c r="AO52" s="4">
        <f>COUNTIF(mar!$F52:$AJ52,"HD")</f>
        <v>0</v>
      </c>
      <c r="AP52" s="4">
        <f>COUNTIF(mar!$F52:$AJ52,"SL")</f>
        <v>0</v>
      </c>
      <c r="AQ52" s="4">
        <f>COUNTIF(mar!$F52:$AJ52,"CL")</f>
        <v>0</v>
      </c>
      <c r="AR52" s="4">
        <f>COUNTIF(mar!$F52:$AJ52,"A")</f>
        <v>0</v>
      </c>
      <c r="AS52" s="4">
        <f>COUNTIF(mar!$F52:$AJ52,"P")</f>
        <v>24</v>
      </c>
      <c r="AT52" s="4">
        <f t="shared" si="2"/>
        <v>31</v>
      </c>
      <c r="AU52" s="4">
        <f t="shared" si="3"/>
        <v>31</v>
      </c>
      <c r="AV52" s="4">
        <f>SUMIFS(holly!$L$2:$L$122,holly!$I$2:$I$122,mar!$A52,holly!$K$2:$K$122,"Mar")</f>
        <v>0</v>
      </c>
    </row>
    <row r="53" spans="1:48" ht="15.75" x14ac:dyDescent="0.25">
      <c r="A53" s="4" t="s">
        <v>79</v>
      </c>
      <c r="B53" s="4" t="str">
        <f>VLOOKUP($A53,Master!$A$2:$K$52,2,0)</f>
        <v>Employee49</v>
      </c>
      <c r="C53" s="4" t="str">
        <f>VLOOKUP($A53,Master!$A$2:$K$52,3,0)</f>
        <v>Female</v>
      </c>
      <c r="D53" s="4" t="str">
        <f>VLOOKUP($A53,Master!$A$2:$K$52,5,0)</f>
        <v>Production</v>
      </c>
      <c r="E53" s="4" t="str">
        <f>VLOOKUP($A53,Master!$A$2:$K$52,6,0)</f>
        <v>Operator</v>
      </c>
      <c r="F53" s="4" t="str">
        <f>IFERROR(LOOKUP(2,1/((#REF!=dec!$A53)*(#REF!&lt;=dec!F$3)*(#REF!&gt;=dec!F$3)),#REF!),IF(WEEKDAY(dec!F$3,1)=1,"WO","P"))</f>
        <v>P</v>
      </c>
      <c r="G53" s="4" t="str">
        <f>IFERROR(LOOKUP(2,1/((#REF!=dec!$A53)*(#REF!&lt;=dec!G$3)*(#REF!&gt;=dec!G$3)),#REF!),IF(WEEKDAY(dec!G$3,1)=1,"WO","P"))</f>
        <v>P</v>
      </c>
      <c r="H53" s="4" t="str">
        <f>IFERROR(LOOKUP(2,1/((#REF!=dec!$A53)*(#REF!&lt;=dec!H$3)*(#REF!&gt;=dec!H$3)),#REF!),IF(WEEKDAY(dec!H$3,1)=1,"WO","P"))</f>
        <v>P</v>
      </c>
      <c r="I53" s="4" t="str">
        <f>IFERROR(LOOKUP(2,1/((#REF!=dec!$A53)*(#REF!&lt;=dec!I$3)*(#REF!&gt;=dec!I$3)),#REF!),IF(WEEKDAY(dec!I$3,1)=1,"WO","P"))</f>
        <v>P</v>
      </c>
      <c r="J53" s="4" t="str">
        <f>IFERROR(LOOKUP(2,1/((#REF!=dec!$A53)*(#REF!&lt;=dec!J$3)*(#REF!&gt;=dec!J$3)),#REF!),IF(WEEKDAY(dec!J$3,1)=1,"WO","P"))</f>
        <v>P</v>
      </c>
      <c r="K53" s="4" t="str">
        <f>IFERROR(LOOKUP(2,1/((#REF!=dec!$A53)*(#REF!&lt;=dec!K$3)*(#REF!&gt;=dec!K$3)),#REF!),IF(WEEKDAY(dec!K$3,1)=1,"WO","P"))</f>
        <v>WO</v>
      </c>
      <c r="L53" s="4" t="str">
        <f>IFERROR(LOOKUP(2,1/((#REF!=dec!$A53)*(#REF!&lt;=dec!L$3)*(#REF!&gt;=dec!L$3)),#REF!),IF(WEEKDAY(dec!L$3,1)=1,"WO","P"))</f>
        <v>P</v>
      </c>
      <c r="M53" s="4" t="str">
        <f>IFERROR(LOOKUP(2,1/((#REF!=dec!$A53)*(#REF!&lt;=dec!M$3)*(#REF!&gt;=dec!M$3)),#REF!),IF(WEEKDAY(dec!M$3,1)=1,"WO","P"))</f>
        <v>P</v>
      </c>
      <c r="N53" s="4" t="str">
        <f>IFERROR(LOOKUP(2,1/((#REF!=dec!$A53)*(#REF!&lt;=dec!N$3)*(#REF!&gt;=dec!N$3)),#REF!),IF(WEEKDAY(dec!N$3,1)=1,"WO","P"))</f>
        <v>P</v>
      </c>
      <c r="O53" s="4" t="str">
        <f>IFERROR(LOOKUP(2,1/((#REF!=dec!$A53)*(#REF!&lt;=dec!O$3)*(#REF!&gt;=dec!O$3)),#REF!),IF(WEEKDAY(dec!O$3,1)=1,"WO","P"))</f>
        <v>P</v>
      </c>
      <c r="P53" s="4" t="str">
        <f>IFERROR(LOOKUP(2,1/((#REF!=dec!$A53)*(#REF!&lt;=dec!P$3)*(#REF!&gt;=dec!P$3)),#REF!),IF(WEEKDAY(dec!P$3,1)=1,"WO","P"))</f>
        <v>P</v>
      </c>
      <c r="Q53" s="4" t="str">
        <f>IFERROR(LOOKUP(2,1/((#REF!=dec!$A53)*(#REF!&lt;=dec!Q$3)*(#REF!&gt;=dec!Q$3)),#REF!),IF(WEEKDAY(dec!Q$3,1)=1,"WO","P"))</f>
        <v>P</v>
      </c>
      <c r="R53" s="4" t="str">
        <f>IFERROR(LOOKUP(2,1/((#REF!=dec!$A53)*(#REF!&lt;=dec!R$3)*(#REF!&gt;=dec!R$3)),#REF!),IF(WEEKDAY(dec!R$3,1)=1,"WO","P"))</f>
        <v>WO</v>
      </c>
      <c r="S53" s="4" t="str">
        <f>IFERROR(LOOKUP(2,1/((#REF!=dec!$A53)*(#REF!&lt;=dec!S$3)*(#REF!&gt;=dec!S$3)),#REF!),IF(WEEKDAY(dec!S$3,1)=1,"WO","P"))</f>
        <v>P</v>
      </c>
      <c r="T53" s="4" t="str">
        <f>IFERROR(LOOKUP(2,1/((#REF!=dec!$A53)*(#REF!&lt;=dec!T$3)*(#REF!&gt;=dec!T$3)),#REF!),IF(WEEKDAY(dec!T$3,1)=1,"WO","P"))</f>
        <v>P</v>
      </c>
      <c r="U53" s="4" t="str">
        <f>IFERROR(LOOKUP(2,1/((#REF!=dec!$A53)*(#REF!&lt;=dec!U$3)*(#REF!&gt;=dec!U$3)),#REF!),IF(WEEKDAY(dec!U$3,1)=1,"WO","P"))</f>
        <v>P</v>
      </c>
      <c r="V53" s="4" t="str">
        <f>IFERROR(LOOKUP(2,1/((#REF!=dec!$A53)*(#REF!&lt;=dec!V$3)*(#REF!&gt;=dec!V$3)),#REF!),IF(WEEKDAY(dec!V$3,1)=1,"WO","P"))</f>
        <v>P</v>
      </c>
      <c r="W53" s="4" t="str">
        <f>IFERROR(LOOKUP(2,1/((#REF!=dec!$A53)*(#REF!&lt;=dec!W$3)*(#REF!&gt;=dec!W$3)),#REF!),IF(WEEKDAY(dec!W$3,1)=1,"WO","P"))</f>
        <v>P</v>
      </c>
      <c r="X53" s="4" t="str">
        <f>IFERROR(LOOKUP(2,1/((#REF!=dec!$A53)*(#REF!&lt;=dec!X$3)*(#REF!&gt;=dec!X$3)),#REF!),IF(WEEKDAY(dec!X$3,1)=1,"WO","P"))</f>
        <v>P</v>
      </c>
      <c r="Y53" s="4" t="str">
        <f>IFERROR(LOOKUP(2,1/((#REF!=dec!$A53)*(#REF!&lt;=dec!Y$3)*(#REF!&gt;=dec!Y$3)),#REF!),IF(WEEKDAY(dec!Y$3,1)=1,"WO","P"))</f>
        <v>WO</v>
      </c>
      <c r="Z53" s="4" t="str">
        <f>IFERROR(LOOKUP(2,1/((#REF!=dec!$A53)*(#REF!&lt;=dec!Z$3)*(#REF!&gt;=dec!Z$3)),#REF!),IF(WEEKDAY(dec!Z$3,1)=1,"WO","P"))</f>
        <v>P</v>
      </c>
      <c r="AA53" s="4" t="str">
        <f>IFERROR(LOOKUP(2,1/((#REF!=dec!$A53)*(#REF!&lt;=dec!AA$3)*(#REF!&gt;=dec!AA$3)),#REF!),IF(WEEKDAY(dec!AA$3,1)=1,"WO","P"))</f>
        <v>P</v>
      </c>
      <c r="AB53" s="4" t="str">
        <f>IFERROR(LOOKUP(2,1/((#REF!=dec!$A53)*(#REF!&lt;=dec!AB$3)*(#REF!&gt;=dec!AB$3)),#REF!),IF(WEEKDAY(dec!AB$3,1)=1,"WO","P"))</f>
        <v>P</v>
      </c>
      <c r="AC53" s="4" t="str">
        <f>IFERROR(LOOKUP(2,1/((#REF!=dec!$A53)*(#REF!&lt;=dec!AC$3)*(#REF!&gt;=dec!AC$3)),#REF!),IF(WEEKDAY(dec!AC$3,1)=1,"WO","P"))</f>
        <v>P</v>
      </c>
      <c r="AD53" s="4" t="str">
        <f>IFERROR(LOOKUP(2,1/((#REF!=dec!$A53)*(#REF!&lt;=dec!AD$3)*(#REF!&gt;=dec!AD$3)),#REF!),IF(WEEKDAY(dec!AD$3,1)=1,"WO","P"))</f>
        <v>P</v>
      </c>
      <c r="AE53" s="4" t="str">
        <f>IFERROR(LOOKUP(2,1/((#REF!=dec!$A53)*(#REF!&lt;=dec!AE$3)*(#REF!&gt;=dec!AE$3)),#REF!),IF(WEEKDAY(dec!AE$3,1)=1,"WO","P"))</f>
        <v>P</v>
      </c>
      <c r="AF53" s="4" t="str">
        <f>IFERROR(LOOKUP(2,1/((#REF!=dec!$A53)*(#REF!&lt;=dec!AF$3)*(#REF!&gt;=dec!AF$3)),#REF!),IF(WEEKDAY(dec!AF$3,1)=1,"WO","P"))</f>
        <v>WO</v>
      </c>
      <c r="AG53" s="4" t="str">
        <f>IFERROR(LOOKUP(2,1/((#REF!=dec!$A53)*(#REF!&lt;=dec!AG$3)*(#REF!&gt;=dec!AG$3)),#REF!),IF(WEEKDAY(dec!AG$3,1)=1,"WO","P"))</f>
        <v>P</v>
      </c>
      <c r="AH53" s="4" t="str">
        <f>IFERROR(LOOKUP(2,1/((#REF!=dec!$A53)*(#REF!&lt;=dec!AH$3)*(#REF!&gt;=dec!AH$3)),#REF!),IF(WEEKDAY(dec!AH$3,1)=1,"WO","P"))</f>
        <v>P</v>
      </c>
      <c r="AI53" s="4" t="str">
        <f>IFERROR(LOOKUP(2,1/((#REF!=dec!$A53)*(#REF!&lt;=dec!AI$3)*(#REF!&gt;=dec!AI$3)),#REF!),IF(WEEKDAY(dec!AI$3,1)=1,"WO","P"))</f>
        <v>P</v>
      </c>
      <c r="AJ53" s="4" t="str">
        <f>IFERROR(LOOKUP(2,1/((#REF!=dec!$A53)*(#REF!&lt;=dec!AJ$3)*(#REF!&gt;=dec!AJ$3)),#REF!),IF(WEEKDAY(dec!AJ$3,1)=1,"WO","P"))</f>
        <v>P</v>
      </c>
      <c r="AK53" s="4">
        <f>COUNTIF(mar!$F53:$AJ53,"WO")</f>
        <v>5</v>
      </c>
      <c r="AL53" s="4">
        <f>COUNTIF(mar!$F53:$AJ53,"H")</f>
        <v>2</v>
      </c>
      <c r="AM53" s="4">
        <f>COUNTIF(mar!$F53:$AJ53,"pl")</f>
        <v>0</v>
      </c>
      <c r="AN53" s="4">
        <f>COUNTIF(mar!$F53:$AJ53,"LWP")</f>
        <v>0</v>
      </c>
      <c r="AO53" s="4">
        <f>COUNTIF(mar!$F53:$AJ53,"HD")</f>
        <v>0</v>
      </c>
      <c r="AP53" s="4">
        <f>COUNTIF(mar!$F53:$AJ53,"SL")</f>
        <v>0</v>
      </c>
      <c r="AQ53" s="4">
        <f>COUNTIF(mar!$F53:$AJ53,"CL")</f>
        <v>0</v>
      </c>
      <c r="AR53" s="4">
        <f>COUNTIF(mar!$F53:$AJ53,"A")</f>
        <v>1</v>
      </c>
      <c r="AS53" s="4">
        <f>COUNTIF(mar!$F53:$AJ53,"P")</f>
        <v>23</v>
      </c>
      <c r="AT53" s="4">
        <f t="shared" si="2"/>
        <v>31</v>
      </c>
      <c r="AU53" s="4">
        <f t="shared" si="3"/>
        <v>30</v>
      </c>
      <c r="AV53" s="4">
        <f>SUMIFS(holly!$L$2:$L$122,holly!$I$2:$I$122,mar!$A53,holly!$K$2:$K$122,"Mar")</f>
        <v>0</v>
      </c>
    </row>
    <row r="54" spans="1:48" ht="15.75" x14ac:dyDescent="0.25">
      <c r="A54" s="4" t="s">
        <v>80</v>
      </c>
      <c r="B54" s="4" t="str">
        <f>VLOOKUP($A54,Master!$A$2:$K$52,2,0)</f>
        <v>Employee50</v>
      </c>
      <c r="C54" s="4" t="str">
        <f>VLOOKUP($A54,Master!$A$2:$K$52,3,0)</f>
        <v>Female</v>
      </c>
      <c r="D54" s="4" t="str">
        <f>VLOOKUP($A54,Master!$A$2:$K$52,5,0)</f>
        <v>Production</v>
      </c>
      <c r="E54" s="4" t="str">
        <f>VLOOKUP($A54,Master!$A$2:$K$52,6,0)</f>
        <v>Operator</v>
      </c>
      <c r="F54" s="4" t="str">
        <f>IFERROR(LOOKUP(2,1/((#REF!=dec!$A54)*(#REF!&lt;=dec!F$3)*(#REF!&gt;=dec!F$3)),#REF!),IF(WEEKDAY(dec!F$3,1)=1,"WO","P"))</f>
        <v>P</v>
      </c>
      <c r="G54" s="4" t="str">
        <f>IFERROR(LOOKUP(2,1/((#REF!=dec!$A54)*(#REF!&lt;=dec!G$3)*(#REF!&gt;=dec!G$3)),#REF!),IF(WEEKDAY(dec!G$3,1)=1,"WO","P"))</f>
        <v>P</v>
      </c>
      <c r="H54" s="4" t="str">
        <f>IFERROR(LOOKUP(2,1/((#REF!=dec!$A54)*(#REF!&lt;=dec!H$3)*(#REF!&gt;=dec!H$3)),#REF!),IF(WEEKDAY(dec!H$3,1)=1,"WO","P"))</f>
        <v>P</v>
      </c>
      <c r="I54" s="4" t="str">
        <f>IFERROR(LOOKUP(2,1/((#REF!=dec!$A54)*(#REF!&lt;=dec!I$3)*(#REF!&gt;=dec!I$3)),#REF!),IF(WEEKDAY(dec!I$3,1)=1,"WO","P"))</f>
        <v>P</v>
      </c>
      <c r="J54" s="4" t="str">
        <f>IFERROR(LOOKUP(2,1/((#REF!=dec!$A54)*(#REF!&lt;=dec!J$3)*(#REF!&gt;=dec!J$3)),#REF!),IF(WEEKDAY(dec!J$3,1)=1,"WO","P"))</f>
        <v>P</v>
      </c>
      <c r="K54" s="4" t="str">
        <f>IFERROR(LOOKUP(2,1/((#REF!=dec!$A54)*(#REF!&lt;=dec!K$3)*(#REF!&gt;=dec!K$3)),#REF!),IF(WEEKDAY(dec!K$3,1)=1,"WO","P"))</f>
        <v>WO</v>
      </c>
      <c r="L54" s="4" t="str">
        <f>IFERROR(LOOKUP(2,1/((#REF!=dec!$A54)*(#REF!&lt;=dec!L$3)*(#REF!&gt;=dec!L$3)),#REF!),IF(WEEKDAY(dec!L$3,1)=1,"WO","P"))</f>
        <v>P</v>
      </c>
      <c r="M54" s="4" t="str">
        <f>IFERROR(LOOKUP(2,1/((#REF!=dec!$A54)*(#REF!&lt;=dec!M$3)*(#REF!&gt;=dec!M$3)),#REF!),IF(WEEKDAY(dec!M$3,1)=1,"WO","P"))</f>
        <v>P</v>
      </c>
      <c r="N54" s="4" t="str">
        <f>IFERROR(LOOKUP(2,1/((#REF!=dec!$A54)*(#REF!&lt;=dec!N$3)*(#REF!&gt;=dec!N$3)),#REF!),IF(WEEKDAY(dec!N$3,1)=1,"WO","P"))</f>
        <v>P</v>
      </c>
      <c r="O54" s="4" t="str">
        <f>IFERROR(LOOKUP(2,1/((#REF!=dec!$A54)*(#REF!&lt;=dec!O$3)*(#REF!&gt;=dec!O$3)),#REF!),IF(WEEKDAY(dec!O$3,1)=1,"WO","P"))</f>
        <v>P</v>
      </c>
      <c r="P54" s="4" t="str">
        <f>IFERROR(LOOKUP(2,1/((#REF!=dec!$A54)*(#REF!&lt;=dec!P$3)*(#REF!&gt;=dec!P$3)),#REF!),IF(WEEKDAY(dec!P$3,1)=1,"WO","P"))</f>
        <v>P</v>
      </c>
      <c r="Q54" s="4" t="str">
        <f>IFERROR(LOOKUP(2,1/((#REF!=dec!$A54)*(#REF!&lt;=dec!Q$3)*(#REF!&gt;=dec!Q$3)),#REF!),IF(WEEKDAY(dec!Q$3,1)=1,"WO","P"))</f>
        <v>P</v>
      </c>
      <c r="R54" s="4" t="str">
        <f>IFERROR(LOOKUP(2,1/((#REF!=dec!$A54)*(#REF!&lt;=dec!R$3)*(#REF!&gt;=dec!R$3)),#REF!),IF(WEEKDAY(dec!R$3,1)=1,"WO","P"))</f>
        <v>WO</v>
      </c>
      <c r="S54" s="4" t="str">
        <f>IFERROR(LOOKUP(2,1/((#REF!=dec!$A54)*(#REF!&lt;=dec!S$3)*(#REF!&gt;=dec!S$3)),#REF!),IF(WEEKDAY(dec!S$3,1)=1,"WO","P"))</f>
        <v>P</v>
      </c>
      <c r="T54" s="4" t="str">
        <f>IFERROR(LOOKUP(2,1/((#REF!=dec!$A54)*(#REF!&lt;=dec!T$3)*(#REF!&gt;=dec!T$3)),#REF!),IF(WEEKDAY(dec!T$3,1)=1,"WO","P"))</f>
        <v>P</v>
      </c>
      <c r="U54" s="4" t="str">
        <f>IFERROR(LOOKUP(2,1/((#REF!=dec!$A54)*(#REF!&lt;=dec!U$3)*(#REF!&gt;=dec!U$3)),#REF!),IF(WEEKDAY(dec!U$3,1)=1,"WO","P"))</f>
        <v>P</v>
      </c>
      <c r="V54" s="4" t="str">
        <f>IFERROR(LOOKUP(2,1/((#REF!=dec!$A54)*(#REF!&lt;=dec!V$3)*(#REF!&gt;=dec!V$3)),#REF!),IF(WEEKDAY(dec!V$3,1)=1,"WO","P"))</f>
        <v>P</v>
      </c>
      <c r="W54" s="4" t="str">
        <f>IFERROR(LOOKUP(2,1/((#REF!=dec!$A54)*(#REF!&lt;=dec!W$3)*(#REF!&gt;=dec!W$3)),#REF!),IF(WEEKDAY(dec!W$3,1)=1,"WO","P"))</f>
        <v>P</v>
      </c>
      <c r="X54" s="4" t="str">
        <f>IFERROR(LOOKUP(2,1/((#REF!=dec!$A54)*(#REF!&lt;=dec!X$3)*(#REF!&gt;=dec!X$3)),#REF!),IF(WEEKDAY(dec!X$3,1)=1,"WO","P"))</f>
        <v>P</v>
      </c>
      <c r="Y54" s="4" t="str">
        <f>IFERROR(LOOKUP(2,1/((#REF!=dec!$A54)*(#REF!&lt;=dec!Y$3)*(#REF!&gt;=dec!Y$3)),#REF!),IF(WEEKDAY(dec!Y$3,1)=1,"WO","P"))</f>
        <v>WO</v>
      </c>
      <c r="Z54" s="4" t="str">
        <f>IFERROR(LOOKUP(2,1/((#REF!=dec!$A54)*(#REF!&lt;=dec!Z$3)*(#REF!&gt;=dec!Z$3)),#REF!),IF(WEEKDAY(dec!Z$3,1)=1,"WO","P"))</f>
        <v>P</v>
      </c>
      <c r="AA54" s="4" t="str">
        <f>IFERROR(LOOKUP(2,1/((#REF!=dec!$A54)*(#REF!&lt;=dec!AA$3)*(#REF!&gt;=dec!AA$3)),#REF!),IF(WEEKDAY(dec!AA$3,1)=1,"WO","P"))</f>
        <v>P</v>
      </c>
      <c r="AB54" s="4" t="str">
        <f>IFERROR(LOOKUP(2,1/((#REF!=dec!$A54)*(#REF!&lt;=dec!AB$3)*(#REF!&gt;=dec!AB$3)),#REF!),IF(WEEKDAY(dec!AB$3,1)=1,"WO","P"))</f>
        <v>P</v>
      </c>
      <c r="AC54" s="4" t="str">
        <f>IFERROR(LOOKUP(2,1/((#REF!=dec!$A54)*(#REF!&lt;=dec!AC$3)*(#REF!&gt;=dec!AC$3)),#REF!),IF(WEEKDAY(dec!AC$3,1)=1,"WO","P"))</f>
        <v>P</v>
      </c>
      <c r="AD54" s="4" t="str">
        <f>IFERROR(LOOKUP(2,1/((#REF!=dec!$A54)*(#REF!&lt;=dec!AD$3)*(#REF!&gt;=dec!AD$3)),#REF!),IF(WEEKDAY(dec!AD$3,1)=1,"WO","P"))</f>
        <v>P</v>
      </c>
      <c r="AE54" s="4" t="str">
        <f>IFERROR(LOOKUP(2,1/((#REF!=dec!$A54)*(#REF!&lt;=dec!AE$3)*(#REF!&gt;=dec!AE$3)),#REF!),IF(WEEKDAY(dec!AE$3,1)=1,"WO","P"))</f>
        <v>P</v>
      </c>
      <c r="AF54" s="4" t="str">
        <f>IFERROR(LOOKUP(2,1/((#REF!=dec!$A54)*(#REF!&lt;=dec!AF$3)*(#REF!&gt;=dec!AF$3)),#REF!),IF(WEEKDAY(dec!AF$3,1)=1,"WO","P"))</f>
        <v>WO</v>
      </c>
      <c r="AG54" s="4" t="str">
        <f>IFERROR(LOOKUP(2,1/((#REF!=dec!$A54)*(#REF!&lt;=dec!AG$3)*(#REF!&gt;=dec!AG$3)),#REF!),IF(WEEKDAY(dec!AG$3,1)=1,"WO","P"))</f>
        <v>P</v>
      </c>
      <c r="AH54" s="4" t="str">
        <f>IFERROR(LOOKUP(2,1/((#REF!=dec!$A54)*(#REF!&lt;=dec!AH$3)*(#REF!&gt;=dec!AH$3)),#REF!),IF(WEEKDAY(dec!AH$3,1)=1,"WO","P"))</f>
        <v>P</v>
      </c>
      <c r="AI54" s="4" t="str">
        <f>IFERROR(LOOKUP(2,1/((#REF!=dec!$A54)*(#REF!&lt;=dec!AI$3)*(#REF!&gt;=dec!AI$3)),#REF!),IF(WEEKDAY(dec!AI$3,1)=1,"WO","P"))</f>
        <v>P</v>
      </c>
      <c r="AJ54" s="4" t="str">
        <f>IFERROR(LOOKUP(2,1/((#REF!=dec!$A54)*(#REF!&lt;=dec!AJ$3)*(#REF!&gt;=dec!AJ$3)),#REF!),IF(WEEKDAY(dec!AJ$3,1)=1,"WO","P"))</f>
        <v>P</v>
      </c>
      <c r="AK54" s="4">
        <f>COUNTIF(mar!$F54:$AJ54,"WO")</f>
        <v>5</v>
      </c>
      <c r="AL54" s="4">
        <f>COUNTIF(mar!$F54:$AJ54,"H")</f>
        <v>2</v>
      </c>
      <c r="AM54" s="4">
        <f>COUNTIF(mar!$F54:$AJ54,"pl")</f>
        <v>0</v>
      </c>
      <c r="AN54" s="4">
        <f>COUNTIF(mar!$F54:$AJ54,"LWP")</f>
        <v>0</v>
      </c>
      <c r="AO54" s="4">
        <f>COUNTIF(mar!$F54:$AJ54,"HD")</f>
        <v>0</v>
      </c>
      <c r="AP54" s="4">
        <f>COUNTIF(mar!$F54:$AJ54,"SL")</f>
        <v>0</v>
      </c>
      <c r="AQ54" s="4">
        <f>COUNTIF(mar!$F54:$AJ54,"CL")</f>
        <v>0</v>
      </c>
      <c r="AR54" s="4">
        <f>COUNTIF(mar!$F54:$AJ54,"A")</f>
        <v>0</v>
      </c>
      <c r="AS54" s="4">
        <f>COUNTIF(mar!$F54:$AJ54,"P")</f>
        <v>24</v>
      </c>
      <c r="AT54" s="4">
        <f t="shared" si="2"/>
        <v>31</v>
      </c>
      <c r="AU54" s="4">
        <f t="shared" si="3"/>
        <v>31</v>
      </c>
      <c r="AV54" s="4">
        <f>SUMIFS(holly!$L$2:$L$122,holly!$I$2:$I$122,mar!$A54,holly!$K$2:$K$122,"Mar")</f>
        <v>0</v>
      </c>
    </row>
  </sheetData>
  <mergeCells count="23">
    <mergeCell ref="A1:AV1"/>
    <mergeCell ref="A2:K2"/>
    <mergeCell ref="L2:O2"/>
    <mergeCell ref="P2:AA2"/>
    <mergeCell ref="AB2:AE2"/>
    <mergeCell ref="AF2:AV2"/>
    <mergeCell ref="AQ3:AQ4"/>
    <mergeCell ref="A3:A4"/>
    <mergeCell ref="B3:B4"/>
    <mergeCell ref="C3:C4"/>
    <mergeCell ref="D3:D4"/>
    <mergeCell ref="E3:E4"/>
    <mergeCell ref="AK3:AK4"/>
    <mergeCell ref="AL3:AL4"/>
    <mergeCell ref="AM3:AM4"/>
    <mergeCell ref="AN3:AN4"/>
    <mergeCell ref="AO3:AO4"/>
    <mergeCell ref="AP3:AP4"/>
    <mergeCell ref="AR3:AR4"/>
    <mergeCell ref="AS3:AS4"/>
    <mergeCell ref="AT3:AT4"/>
    <mergeCell ref="AU3:AU4"/>
    <mergeCell ref="AV3:AV4"/>
  </mergeCells>
  <conditionalFormatting sqref="F5:AJ54">
    <cfRule type="cellIs" dxfId="8" priority="2" operator="equal">
      <formula>"HD"</formula>
    </cfRule>
    <cfRule type="cellIs" dxfId="7" priority="3" operator="equal">
      <formula>"LWP"</formula>
    </cfRule>
    <cfRule type="cellIs" dxfId="6" priority="4" operator="equal">
      <formula>"PL"</formula>
    </cfRule>
    <cfRule type="cellIs" dxfId="5" priority="5" operator="equal">
      <formula>"H"</formula>
    </cfRule>
    <cfRule type="cellIs" dxfId="4" priority="6" operator="equal">
      <formula>"A"</formula>
    </cfRule>
    <cfRule type="cellIs" dxfId="3" priority="7" operator="equal">
      <formula>"P"</formula>
    </cfRule>
    <cfRule type="expression" dxfId="2" priority="8">
      <formula>F$4="Sun"</formula>
    </cfRule>
  </conditionalFormatting>
  <conditionalFormatting sqref="AV5:AV54">
    <cfRule type="cellIs" dxfId="1" priority="1" operator="greaterThan">
      <formula>0</formula>
    </cfRule>
  </conditionalFormatting>
  <dataValidations count="1">
    <dataValidation type="list" allowBlank="1" showInputMessage="1" showErrorMessage="1" sqref="F5:AJ54" xr:uid="{55A49A85-7C21-49DD-AB5E-18B10A3266F3}">
      <formula1>"A,P,WO,H,PL,LWP,HD"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0561-B1F4-4FB8-A3A8-C7A929CDCA2A}">
  <sheetPr codeName="Sheet18"/>
  <dimension ref="A1:AP599"/>
  <sheetViews>
    <sheetView zoomScaleNormal="100" workbookViewId="0">
      <pane xSplit="1" topLeftCell="V1" activePane="topRight" state="frozen"/>
      <selection activeCell="A24" sqref="A24"/>
      <selection pane="topRight" activeCell="I3" sqref="I1:I1048576"/>
    </sheetView>
  </sheetViews>
  <sheetFormatPr defaultRowHeight="15" x14ac:dyDescent="0.25"/>
  <cols>
    <col min="1" max="1" width="10.42578125" style="30" bestFit="1" customWidth="1"/>
    <col min="2" max="2" width="17.140625" style="30" customWidth="1"/>
    <col min="3" max="3" width="10.5703125" style="30" bestFit="1" customWidth="1"/>
    <col min="4" max="4" width="22.42578125" style="31" hidden="1" customWidth="1"/>
    <col min="5" max="5" width="16.140625" style="30" customWidth="1"/>
    <col min="6" max="6" width="21.42578125" style="30" hidden="1" customWidth="1"/>
    <col min="7" max="7" width="14.7109375" style="30" customWidth="1"/>
    <col min="8" max="8" width="16.42578125" style="30" customWidth="1"/>
    <col min="9" max="9" width="16.42578125" style="30" hidden="1" customWidth="1"/>
    <col min="10" max="10" width="11.5703125" style="30" customWidth="1"/>
    <col min="11" max="12" width="7" style="30" bestFit="1" customWidth="1"/>
    <col min="13" max="13" width="15" style="30" customWidth="1"/>
    <col min="14" max="14" width="9" style="30" customWidth="1"/>
    <col min="15" max="15" width="11.7109375" style="30" customWidth="1"/>
    <col min="16" max="16" width="8.5703125" style="30" customWidth="1"/>
    <col min="17" max="17" width="10.5703125" style="30" customWidth="1"/>
    <col min="18" max="18" width="9" style="30" customWidth="1"/>
    <col min="19" max="19" width="14" style="30" customWidth="1"/>
    <col min="20" max="20" width="12.140625" style="30" customWidth="1"/>
    <col min="21" max="21" width="9.28515625" style="30" bestFit="1" customWidth="1"/>
    <col min="22" max="22" width="13.28515625" style="30" bestFit="1" customWidth="1"/>
    <col min="23" max="23" width="10.42578125" style="30" customWidth="1"/>
    <col min="24" max="24" width="9" style="30" customWidth="1"/>
    <col min="25" max="25" width="11.140625" style="30" customWidth="1"/>
    <col min="26" max="26" width="11" style="30" customWidth="1"/>
    <col min="27" max="27" width="13.140625" style="30" customWidth="1"/>
    <col min="28" max="28" width="14.5703125" style="30" customWidth="1"/>
    <col min="29" max="29" width="12.140625" style="30" customWidth="1"/>
    <col min="30" max="30" width="9.28515625" style="30" bestFit="1" customWidth="1"/>
    <col min="31" max="31" width="11.42578125" style="30" bestFit="1" customWidth="1"/>
    <col min="32" max="33" width="9.140625" style="30"/>
    <col min="34" max="34" width="14.7109375" style="30" bestFit="1" customWidth="1"/>
    <col min="35" max="35" width="11.5703125" style="30" bestFit="1" customWidth="1"/>
    <col min="36" max="36" width="11.5703125" style="30" customWidth="1"/>
    <col min="37" max="37" width="10" style="30" bestFit="1" customWidth="1"/>
    <col min="38" max="38" width="12" style="30" bestFit="1" customWidth="1"/>
    <col min="39" max="40" width="11.5703125" style="30" bestFit="1" customWidth="1"/>
    <col min="41" max="41" width="13.28515625" style="30" customWidth="1"/>
    <col min="42" max="42" width="25.28515625" style="30" customWidth="1"/>
  </cols>
  <sheetData>
    <row r="1" spans="1:42" ht="51" x14ac:dyDescent="0.25">
      <c r="A1" s="83" t="s">
        <v>371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4" t="s">
        <v>295</v>
      </c>
      <c r="AJ1" s="84"/>
      <c r="AK1" s="84"/>
      <c r="AL1" s="24"/>
      <c r="AM1" s="24" t="s">
        <v>372</v>
      </c>
      <c r="AN1" s="24"/>
      <c r="AO1" s="24" t="s">
        <v>540</v>
      </c>
      <c r="AP1" s="35">
        <v>2026</v>
      </c>
    </row>
    <row r="2" spans="1:42" ht="37.5" customHeight="1" x14ac:dyDescent="0.25">
      <c r="A2" s="81" t="s">
        <v>464</v>
      </c>
      <c r="B2" s="82"/>
      <c r="C2" s="82"/>
      <c r="D2" s="82"/>
      <c r="E2" s="82"/>
      <c r="F2" s="86"/>
      <c r="G2" s="85" t="s">
        <v>465</v>
      </c>
      <c r="H2" s="85"/>
      <c r="I2" s="85"/>
      <c r="J2" s="81" t="s">
        <v>466</v>
      </c>
      <c r="K2" s="82"/>
      <c r="L2" s="82"/>
      <c r="M2" s="82"/>
      <c r="N2" s="82"/>
      <c r="O2" s="82"/>
      <c r="P2" s="82"/>
      <c r="Q2" s="82"/>
      <c r="R2" s="82"/>
      <c r="S2" s="86"/>
      <c r="T2" s="81" t="s">
        <v>467</v>
      </c>
      <c r="U2" s="82"/>
      <c r="V2" s="82"/>
      <c r="W2" s="82"/>
      <c r="X2" s="82"/>
      <c r="Y2" s="82"/>
      <c r="Z2" s="86"/>
      <c r="AA2" s="87" t="s">
        <v>468</v>
      </c>
      <c r="AB2" s="88"/>
      <c r="AC2" s="88"/>
      <c r="AD2" s="85" t="s">
        <v>373</v>
      </c>
      <c r="AE2" s="85"/>
      <c r="AF2" s="85"/>
      <c r="AG2" s="85"/>
      <c r="AH2" s="85"/>
      <c r="AI2" s="85"/>
      <c r="AJ2" s="85"/>
      <c r="AK2" s="85"/>
      <c r="AL2" s="81" t="s">
        <v>374</v>
      </c>
      <c r="AM2" s="82"/>
      <c r="AN2" s="82"/>
      <c r="AO2" s="82"/>
      <c r="AP2" s="37" t="s">
        <v>453</v>
      </c>
    </row>
    <row r="3" spans="1:42" ht="69.75" customHeight="1" x14ac:dyDescent="0.25">
      <c r="A3" s="38" t="s">
        <v>338</v>
      </c>
      <c r="B3" s="38" t="s">
        <v>375</v>
      </c>
      <c r="C3" s="38" t="s">
        <v>1</v>
      </c>
      <c r="D3" s="39" t="s">
        <v>376</v>
      </c>
      <c r="E3" s="38" t="s">
        <v>2</v>
      </c>
      <c r="F3" s="38" t="s">
        <v>3</v>
      </c>
      <c r="G3" s="38" t="s">
        <v>379</v>
      </c>
      <c r="H3" s="38" t="s">
        <v>432</v>
      </c>
      <c r="I3" s="38" t="s">
        <v>380</v>
      </c>
      <c r="J3" s="38" t="s">
        <v>377</v>
      </c>
      <c r="K3" s="38" t="s">
        <v>4</v>
      </c>
      <c r="L3" s="38" t="s">
        <v>5</v>
      </c>
      <c r="M3" s="38" t="s">
        <v>378</v>
      </c>
      <c r="N3" s="38" t="s">
        <v>348</v>
      </c>
      <c r="O3" s="38" t="s">
        <v>349</v>
      </c>
      <c r="P3" s="38" t="s">
        <v>433</v>
      </c>
      <c r="Q3" s="38" t="s">
        <v>434</v>
      </c>
      <c r="R3" s="38" t="s">
        <v>296</v>
      </c>
      <c r="S3" s="38" t="s">
        <v>463</v>
      </c>
      <c r="T3" s="38" t="s">
        <v>358</v>
      </c>
      <c r="U3" s="38" t="s">
        <v>289</v>
      </c>
      <c r="V3" s="38" t="s">
        <v>440</v>
      </c>
      <c r="W3" s="38" t="s">
        <v>438</v>
      </c>
      <c r="X3" s="38" t="s">
        <v>439</v>
      </c>
      <c r="Y3" s="38" t="s">
        <v>441</v>
      </c>
      <c r="Z3" s="38" t="s">
        <v>436</v>
      </c>
      <c r="AA3" s="38" t="s">
        <v>446</v>
      </c>
      <c r="AB3" s="38" t="s">
        <v>357</v>
      </c>
      <c r="AC3" s="38" t="s">
        <v>210</v>
      </c>
      <c r="AD3" s="38" t="s">
        <v>365</v>
      </c>
      <c r="AE3" s="38" t="s">
        <v>449</v>
      </c>
      <c r="AF3" s="38" t="s">
        <v>4</v>
      </c>
      <c r="AG3" s="38" t="s">
        <v>5</v>
      </c>
      <c r="AH3" s="38" t="s">
        <v>378</v>
      </c>
      <c r="AI3" s="38" t="s">
        <v>435</v>
      </c>
      <c r="AJ3" s="38" t="s">
        <v>296</v>
      </c>
      <c r="AK3" s="38" t="s">
        <v>452</v>
      </c>
      <c r="AL3" s="38" t="s">
        <v>450</v>
      </c>
      <c r="AM3" s="38" t="s">
        <v>451</v>
      </c>
      <c r="AN3" s="38" t="s">
        <v>358</v>
      </c>
      <c r="AO3" s="38" t="s">
        <v>370</v>
      </c>
      <c r="AP3" s="40" t="s">
        <v>453</v>
      </c>
    </row>
    <row r="4" spans="1:42" ht="21" x14ac:dyDescent="0.25">
      <c r="A4" s="4" t="s">
        <v>6</v>
      </c>
      <c r="B4" s="4" t="str">
        <f>VLOOKUP($A4,Master!$A$2:$K$52,COLUMN(Master!B2),0)</f>
        <v>Employee1</v>
      </c>
      <c r="C4" s="4" t="str">
        <f>VLOOKUP($A4,Master!$A$2:$K$52,COLUMN(Master!C2),0)</f>
        <v>Male</v>
      </c>
      <c r="D4" s="26">
        <f>VLOOKUP($A4,Master!$A$2:$K$52,COLUMN(Master!D2),0)</f>
        <v>44760</v>
      </c>
      <c r="E4" s="4" t="str">
        <f>VLOOKUP($A4,Master!$A$2:$K$52,COLUMN(Master!E2),0)</f>
        <v>Warehouse</v>
      </c>
      <c r="F4" s="4" t="str">
        <f>VLOOKUP($A4,Master!$A$2:$K$52,COLUMN(Master!F2),0)</f>
        <v>Store Assistant</v>
      </c>
      <c r="G4" s="4" t="s">
        <v>25</v>
      </c>
      <c r="H4" s="4">
        <v>69986499952</v>
      </c>
      <c r="I4" s="4" t="s">
        <v>381</v>
      </c>
      <c r="J4" s="4">
        <f>VLOOKUP($A4,Master!$A$2:$K$52,COLUMN(Master!G2),0)</f>
        <v>10000</v>
      </c>
      <c r="K4" s="4">
        <f>VLOOKUP($A4,Master!$A$2:$K$52,COLUMN(Master!H2),0)</f>
        <v>4000</v>
      </c>
      <c r="L4" s="4">
        <f>VLOOKUP($A4,Master!$A$2:$K$52,COLUMN(Master!I2),0)</f>
        <v>1000</v>
      </c>
      <c r="M4" s="4">
        <f>VLOOKUP($A4,Master!$A$2:$K$52,COLUMN(Master!J2),0)</f>
        <v>500</v>
      </c>
      <c r="N4" s="4">
        <f>IF($AO$1="Jan",VLOOKUP($A4,jan!$A$5:$AU$54,46,0),IF('S Sheet'!$AO$1="Feb",VLOOKUP('S Sheet'!$A4,feb!$A$5:$AR$54,43,0),IF($AO$1="Mar",VLOOKUP($A4,mar!$A$5:$AU$54,46,0),IF($AO$1="Apr",VLOOKUP($A4,apr!$A$5:$AU$54,45,0),IF($AO$1="May",VLOOKUP($A4,may!$A$5:$AU$54,46,0),IF($AO$1="Jun",VLOOKUP($A4,jun!$A$5:$AU$54,45,0),IF($AO$1="Jul",VLOOKUP($A4,jul!$A$5:$AV$54,46,0),IF($AO$1="Aug",VLOOKUP($A4,aug!$A$5:$AU$54,46,0),IF($AO$1="Sep",VLOOKUP($A4,sep!$A$5:$AT$54,45,0),IF($AO$1="Oct",VLOOKUP($A4,oct!$A$5:$AU$54,46,0),IF($AO$1="Nov",VLOOKUP($A4,nov!$A$5:$AU$54,45,0),IF($AO$1="Dec",VLOOKUP($A4,dec!$A$5:$AU$54,46,0),""))))))))))))</f>
        <v>31</v>
      </c>
      <c r="O4" s="4">
        <f>IF($AO$1="Jan",VLOOKUP($A4,jan!$A$5:$AU$54,47,0),IF('S Sheet'!$AO$1="Feb",VLOOKUP('S Sheet'!$A4,feb!$A$5:$AR$54,44,0),IF($AO$1="Mar",VLOOKUP($A4,mar!$A$5:$AU$54,47,0),IF($AO$1="Apr",VLOOKUP($A4,apr!$A$5:$AU$54,46,0),IF($AO$1="May",VLOOKUP($A4,may!$A$5:$AU$54,47,0),IF($AO$1="Jun",VLOOKUP($A4,jun!$A$5:$AU$54,46,0),IF($AO$1="Jul",VLOOKUP($A4,jul!$A$5:$AV$54,47,0),IF($AO$1="Aug",VLOOKUP($A4,aug!$A$5:$AU$54,47,0),IF($AO$1="Sep",VLOOKUP($A4,sep!$A$5:$AT$54,46,0),IF($AO$1="Oct",VLOOKUP($A4,oct!$A$5:$AU$54,47,0),IF($AO$1="Nov",VLOOKUP($A4,nov!$A$5:$AU$54,46,0),IF($AO$1="Dec",VLOOKUP($A4,dec!$A$5:$AU$54,47,0),""))))))))))))</f>
        <v>31</v>
      </c>
      <c r="P4" s="4">
        <f>IF($AO$1="Jan",SUMIFS(holly!$L$3:$L$122,holly!$I$3:$I$122,'S Sheet'!$A4,holly!$K$3:$K$122,'S Sheet'!$AO$1),IF($AO$1="Feb",SUMIFS(holly!$L$3:$L$122,holly!$I$3:$I$122,'S Sheet'!$A4,holly!$K$3:$K$122,'S Sheet'!$AO$1),IF($AO$1="Mar",SUMIFS(holly!$L$3:$L$122,holly!$I$3:$I$122,'S Sheet'!$A4,holly!$K$3:$K$122,'S Sheet'!$AO$1),IF($AO$1="Apr",SUMIFS(holly!$L$3:$L$122,holly!$I$3:$I$122,'S Sheet'!$A4,holly!$K$3:$K$122,'S Sheet'!$AO$1),IF($AO$1="May",SUMIFS(holly!$L$3:$L$122,holly!$I$3:$I$122,'S Sheet'!$A4,holly!$K$3:$K$122,'S Sheet'!$AO$1),IF($AO$1="Jun",SUMIFS(holly!$L$3:$L$122,holly!$I$3:$I$122,'S Sheet'!$A4,holly!$K$3:$K$122,'S Sheet'!$AO$1),IF($AO$1="Jul",SUMIFS(holly!$L$3:$L$122,holly!$I$3:$I$122,'S Sheet'!$A4,holly!$K$3:$K$122,'S Sheet'!$AO$1),IF($AO$1="Aug",SUMIFS(holly!$L$3:$L$122,holly!$I$3:$I$122,'S Sheet'!$A4,holly!$K$3:$K$122,'S Sheet'!$AO$1),IF($AO$1="Sep",SUMIFS(holly!$L$3:$L$122,holly!$I$3:$I$122,'S Sheet'!$A4,holly!$K$3:$K$122,'S Sheet'!$AO$1),IF($AO$1="Oct",SUMIFS(holly!$L$3:$L$122,holly!$I$3:$I$122,'S Sheet'!$A4,holly!$K$3:$K$122,'S Sheet'!$AO$1),IF($AO$1="Nov",SUMIFS(holly!$L$3:$L$122,holly!$I$3:$I$122,'S Sheet'!$A4,holly!$K$3:$K$122,'S Sheet'!$AO$1),IF($AO$1="Dec",SUMIFS(holly!$L$3:$L$122,holly!$I$3:$I$122,'S Sheet'!$A4,holly!$K$3:$K$122,'S Sheet'!$AO$1),""))))))))))))</f>
        <v>0</v>
      </c>
      <c r="Q4" s="4">
        <f>IFERROR(VLOOKUP($A4,holly!$I$2:$O$122,5,0),0)</f>
        <v>72.12</v>
      </c>
      <c r="R4" s="4">
        <f>IF($AO$1="Jan",SUMIFS(adv!$Q$3:$Q$52,adv!$M$3:$M$52,'S Sheet'!$A4,adv!$O$3:$O$52,'S Sheet'!$AO$1),IF($AO$1="Feb",SUMIFS(adv!$Q$3:$Q$52,adv!$M$3:$M$52,'S Sheet'!$A4,adv!$O$3:$O$52,'S Sheet'!$AO$1),IF($AO$1="Mar",SUMIFS(adv!$Q$3:$Q$52,adv!$M$3:$M$52,'S Sheet'!$A4,adv!$O$3:$O$52,'S Sheet'!$AO$1),IF($AO$1="Apr",SUMIFS(adv!$Q$3:$Q$52,adv!$M$3:$M$52,'S Sheet'!$A4,adv!$O$3:$O$52,'S Sheet'!$AO$1),IF($AO$1="May",SUMIFS(adv!$Q$3:$Q$52,adv!$M$3:$M$52,'S Sheet'!$A4,adv!$O$3:$O$52,'S Sheet'!$AO$1),IF($AO$1="Jun",SUMIFS(adv!$Q$3:$Q$52,adv!$M$3:$M$52,'S Sheet'!$A4,adv!$O$3:$O$52,'S Sheet'!$AO$1),IF($AO$1="Jul",SUMIFS(adv!$Q$3:$Q$52,adv!$M$3:$M$52,'S Sheet'!$A4,adv!$O$3:$O$52,'S Sheet'!$AO$1),IF($AO$1="Aug",SUMIFS(adv!$Q$3:$Q$52,adv!$M$3:$M$52,'S Sheet'!$A4,adv!$O$3:$O$52,'S Sheet'!$AO$1),IF($AO$1="Sep",SUMIFS(adv!$Q$3:$Q$52,adv!$M$3:$M$52,'S Sheet'!$A4,adv!$O$3:$O$52,'S Sheet'!$AO$1),IF($AO$1="Oct",SUMIFS(adv!$Q$3:$Q$52,adv!$M$3:$M$52,'S Sheet'!$A4,adv!$O$3:$O$52,'S Sheet'!$AO$1),IF($AO$1="Nov",SUMIFS(adv!$Q$3:$Q$52,adv!$M$3:$M$52,'S Sheet'!$A4,adv!$O$3:$O$52,'S Sheet'!$AO$1),IF($AO$1="Dec",SUMIFS(adv!$Q$3:$Q$52,adv!$M$3:$M$52,'S Sheet'!$A4,adv!$O$3:$O$52,'S Sheet'!$AO$1),""))))))))))))</f>
        <v>0</v>
      </c>
      <c r="S4" s="4">
        <f>IF($AO$1="Jan",SUMIFS(loan!$O$3:$O$32,loan!$J$3:$J$32,'S Sheet'!$A4,loan!$L$3:$L$32,'S Sheet'!$AO$1),IF($AO$1="Feb",SUMIFS(loan!$O$3:$O$32,loan!$J$3:$J$32,'S Sheet'!$A4,loan!$L$3:$L$32,'S Sheet'!$AO$1),IF($AO$1="Mar",SUMIFS(loan!$O$3:$O$32,loan!$J$3:$J$32,'S Sheet'!$A4,loan!$L$3:$L$32,'S Sheet'!$AO$1),IF($AO$1="Apr",SUMIFS(loan!$O$3:$O$32,loan!$J$3:$J$32,'S Sheet'!$A4,loan!$L$3:$L$32,'S Sheet'!$AO$1),IF($AO$1="May",SUMIFS(loan!$O$3:$O$32,loan!$J$3:$J$32,'S Sheet'!$A4,loan!$L$3:$L$32,'S Sheet'!$AO$1),IF($AO$1="Jun",SUMIFS(loan!$O$3:$O$32,loan!$J$3:$J$32,'S Sheet'!$A4,loan!$L$3:$L$32,'S Sheet'!$AO$1),IF($AO$1="Jul",SUMIFS(loan!$O$3:$O$32,loan!$J$3:$J$32,'S Sheet'!$A4,loan!$L$3:$L$32,'S Sheet'!$AO$1),IF($AO$1="Aug",SUMIFS(loan!$O$3:$O$32,loan!$J$3:$J$32,'S Sheet'!$A4,loan!$L$3:$L$32,'S Sheet'!$AO$1),IF($AO$1="Sep",SUMIFS(loan!$O$3:$O$32,loan!$J$3:$J$32,'S Sheet'!$A4,loan!$L$3:$L$32,'S Sheet'!$AO$1),IF($AO$1="Oct",SUMIFS(loan!$O$3:$O$32,loan!$J$3:$J$32,'S Sheet'!$A4,loan!$L$3:$L$32,'S Sheet'!$AO$1),IF($AO$1="Nov",SUMIFS(loan!$O$3:$O$32,loan!$J$3:$J$32,'S Sheet'!$A4,loan!$L$3:$L$32,'S Sheet'!$AO$1),IF($AO$1="Dec",SUMIFS(loan!$O$3:$O$32,loan!$J$3:$J$32,'S Sheet'!$A4,loan!$L$3:$L$32,'S Sheet'!$AO$1),""))))))))))))</f>
        <v>0</v>
      </c>
      <c r="T4" s="4">
        <f>IFERROR(VLOOKUP($A4,loan!$A$2:$H$22,3,0),0)</f>
        <v>0</v>
      </c>
      <c r="U4" s="4">
        <f>IFERROR(T4/W4,0)</f>
        <v>0</v>
      </c>
      <c r="V4" s="28" t="str">
        <f>IFERROR(VLOOKUP($A4,loan!$A$2:$H$22,2,0),"")</f>
        <v/>
      </c>
      <c r="W4" s="4">
        <f>IFERROR(VLOOKUP($A4,loan!$A$2:$H$22,5,0),0)</f>
        <v>0</v>
      </c>
      <c r="X4" s="4">
        <f>IFERROR(IF(((2026-YEAR(V4))*12+MONTH(DATEVALUE("1-"&amp;$AO$1&amp;"-2026"))-MONTH(V4)+1)&gt;W4,"Paid",(2026-YEAR(V4))*12+MONTH(DATEVALUE("1-"&amp;$AO$1&amp;"-2026"))-MONTH(V4)+1),0)</f>
        <v>0</v>
      </c>
      <c r="Y4" s="4">
        <f>IFERROR(W4-X4,0)</f>
        <v>0</v>
      </c>
      <c r="Z4" s="29">
        <f>IFERROR(T4/W4*Y4,0)</f>
        <v>0</v>
      </c>
      <c r="AA4" s="4">
        <f>IF('S Sheet'!$AO$1='S Sheet'!$AO$1,SUMIFS(adv!$E$3:$E$97,adv!$B$3:$B$97,'S Sheet'!$A4,adv!$D$3:$D$97,'S Sheet'!$AO$1),0)</f>
        <v>0</v>
      </c>
      <c r="AB4" s="4">
        <f>IF($AO$1=$AO$1,SUMIFS(adv!$H$3:$H$97,adv!$B$3:$B$97,'S Sheet'!$A4,adv!$D$3:$D$97,'S Sheet'!$AO$1),0)</f>
        <v>0</v>
      </c>
      <c r="AC4" s="29">
        <f t="shared" ref="AC4:AC53" si="0">AA4-AB4</f>
        <v>0</v>
      </c>
      <c r="AD4" s="4">
        <f t="shared" ref="AD4:AD35" si="1">J4+S4</f>
        <v>10000</v>
      </c>
      <c r="AE4" s="34">
        <f t="shared" ref="AE4:AE35" si="2">(AD4/N4)*O4</f>
        <v>10000</v>
      </c>
      <c r="AF4" s="4">
        <f>VLOOKUP($A4,Master!$A$2:$K$52,8,0)</f>
        <v>4000</v>
      </c>
      <c r="AG4" s="4">
        <f>VLOOKUP($A4,Master!$A$2:$K$52,9,0)</f>
        <v>1000</v>
      </c>
      <c r="AH4" s="4">
        <f>VLOOKUP($A4,Master!$A$2:$K$52,10,0)</f>
        <v>500</v>
      </c>
      <c r="AI4" s="4">
        <f t="shared" ref="AI4:AI35" si="3">Q4*P4</f>
        <v>0</v>
      </c>
      <c r="AJ4" s="4">
        <f>IF($AO$1=$AO$1,SUMIFS(adv!$Q$3:$Q$52,adv!$M$3:$M$52,'S Sheet'!$A4,adv!$O$3:$O$52,'S Sheet'!$AO$1),0)</f>
        <v>0</v>
      </c>
      <c r="AK4" s="34">
        <f t="shared" ref="AK4:AK35" si="4">AE4+AF4+AG4+AH4+AI4+AJ4</f>
        <v>15500</v>
      </c>
      <c r="AL4" s="4">
        <f>(AD4+AG4)*12%</f>
        <v>1320</v>
      </c>
      <c r="AM4" s="34">
        <f>IF(AK4&lt;=21000,AK4*0.75%,0)</f>
        <v>116.25</v>
      </c>
      <c r="AN4" s="34">
        <f>IF(Z4=0,0,U4)</f>
        <v>0</v>
      </c>
      <c r="AO4" s="4">
        <f>IF(AB4=0,0,AB4)</f>
        <v>0</v>
      </c>
      <c r="AP4" s="36">
        <f>AK4-AL4-AM4-AN4-AO4</f>
        <v>14063.75</v>
      </c>
    </row>
    <row r="5" spans="1:42" ht="21" x14ac:dyDescent="0.25">
      <c r="A5" s="4" t="s">
        <v>10</v>
      </c>
      <c r="B5" s="4" t="str">
        <f>VLOOKUP($A5,Master!$A$2:$K$52,COLUMN(Master!B3),0)</f>
        <v>Employee2</v>
      </c>
      <c r="C5" s="4" t="str">
        <f>VLOOKUP($A5,Master!$A$2:$K$52,COLUMN(Master!C3),0)</f>
        <v>Male</v>
      </c>
      <c r="D5" s="26">
        <f>VLOOKUP($A5,Master!$A$2:$K$52,COLUMN(Master!D3),0)</f>
        <v>45582</v>
      </c>
      <c r="E5" s="4" t="str">
        <f>VLOOKUP($A5,Master!$A$2:$K$52,COLUMN(Master!E3),0)</f>
        <v>Production</v>
      </c>
      <c r="F5" s="4" t="str">
        <f>VLOOKUP($A5,Master!$A$2:$K$52,COLUMN(Master!F3),0)</f>
        <v>Supervisor</v>
      </c>
      <c r="G5" s="4" t="s">
        <v>29</v>
      </c>
      <c r="H5" s="4">
        <v>47006440804</v>
      </c>
      <c r="I5" s="4" t="s">
        <v>382</v>
      </c>
      <c r="J5" s="4">
        <f>VLOOKUP($A5,Master!$A$2:$K$52,COLUMN(Master!G3),0)</f>
        <v>22000</v>
      </c>
      <c r="K5" s="4">
        <f>VLOOKUP($A5,Master!$A$2:$K$52,COLUMN(Master!H3),0)</f>
        <v>8800</v>
      </c>
      <c r="L5" s="4">
        <f>VLOOKUP($A5,Master!$A$2:$K$52,COLUMN(Master!I3),0)</f>
        <v>2200</v>
      </c>
      <c r="M5" s="4">
        <f>VLOOKUP($A5,Master!$A$2:$K$52,COLUMN(Master!J3),0)</f>
        <v>1100</v>
      </c>
      <c r="N5" s="4">
        <f>IF($AO$1="Jan",VLOOKUP($A5,jan!$A$5:$AU$54,46,0),IF('S Sheet'!$AO$1="Feb",VLOOKUP('S Sheet'!$A5,feb!$A$5:$AR$54,43,0),IF($AO$1="Mar",VLOOKUP($A5,mar!$A$5:$AU$54,46,0),IF($AO$1="Apr",VLOOKUP($A5,apr!$A$5:$AU$54,45,0),IF($AO$1="May",VLOOKUP($A5,may!$A$5:$AU$54,46,0),IF($AO$1="Jun",VLOOKUP($A5,jun!$A$5:$AU$54,45,0),IF($AO$1="Jul",VLOOKUP($A5,jul!$A$5:$AV$54,46,0),IF($AO$1="Aug",VLOOKUP($A5,aug!$A$5:$AU$54,46,0),IF($AO$1="Sep",VLOOKUP($A5,sep!$A$5:$AT$54,45,0),IF($AO$1="Oct",VLOOKUP($A5,oct!$A$5:$AU$54,46,0),IF($AO$1="Nov",VLOOKUP($A5,nov!$A$5:$AU$54,45,0),IF($AO$1="Dec",VLOOKUP($A5,dec!$A$5:$AU$54,46,0),""))))))))))))</f>
        <v>31</v>
      </c>
      <c r="O5" s="4">
        <f>IF($AO$1="Jan",VLOOKUP($A5,jan!$A$5:$AU$54,47,0),IF('S Sheet'!$AO$1="Feb",VLOOKUP('S Sheet'!$A5,feb!$A$5:$AR$54,44,0),IF($AO$1="Mar",VLOOKUP($A5,mar!$A$5:$AU$54,47,0),IF($AO$1="Apr",VLOOKUP($A5,apr!$A$5:$AU$54,46,0),IF($AO$1="May",VLOOKUP($A5,may!$A$5:$AU$54,47,0),IF($AO$1="Jun",VLOOKUP($A5,jun!$A$5:$AU$54,46,0),IF($AO$1="Jul",VLOOKUP($A5,jul!$A$5:$AV$54,47,0),IF($AO$1="Aug",VLOOKUP($A5,aug!$A$5:$AU$54,47,0),IF($AO$1="Sep",VLOOKUP($A5,sep!$A$5:$AT$54,46,0),IF($AO$1="Oct",VLOOKUP($A5,oct!$A$5:$AU$54,47,0),IF($AO$1="Nov",VLOOKUP($A5,nov!$A$5:$AU$54,46,0),IF($AO$1="Dec",VLOOKUP($A5,dec!$A$5:$AU$54,47,0),""))))))))))))</f>
        <v>31</v>
      </c>
      <c r="P5" s="4">
        <f>IF($AO$1="Jan",SUMIFS(holly!$L$3:$L$122,holly!$I$3:$I$122,'S Sheet'!$A5,holly!$K$3:$K$122,'S Sheet'!$AO$1),IF($AO$1="Feb",SUMIFS(holly!$L$3:$L$122,holly!$I$3:$I$122,'S Sheet'!$A5,holly!$K$3:$K$122,'S Sheet'!$AO$1),IF($AO$1="Mar",SUMIFS(holly!$L$3:$L$122,holly!$I$3:$I$122,'S Sheet'!$A5,holly!$K$3:$K$122,'S Sheet'!$AO$1),IF($AO$1="Apr",SUMIFS(holly!$L$3:$L$122,holly!$I$3:$I$122,'S Sheet'!$A5,holly!$K$3:$K$122,'S Sheet'!$AO$1),IF($AO$1="May",SUMIFS(holly!$L$3:$L$122,holly!$I$3:$I$122,'S Sheet'!$A5,holly!$K$3:$K$122,'S Sheet'!$AO$1),IF($AO$1="Jun",SUMIFS(holly!$L$3:$L$122,holly!$I$3:$I$122,'S Sheet'!$A5,holly!$K$3:$K$122,'S Sheet'!$AO$1),IF($AO$1="Jul",SUMIFS(holly!$L$3:$L$122,holly!$I$3:$I$122,'S Sheet'!$A5,holly!$K$3:$K$122,'S Sheet'!$AO$1),IF($AO$1="Aug",SUMIFS(holly!$L$3:$L$122,holly!$I$3:$I$122,'S Sheet'!$A5,holly!$K$3:$K$122,'S Sheet'!$AO$1),IF($AO$1="Sep",SUMIFS(holly!$L$3:$L$122,holly!$I$3:$I$122,'S Sheet'!$A5,holly!$K$3:$K$122,'S Sheet'!$AO$1),IF($AO$1="Oct",SUMIFS(holly!$L$3:$L$122,holly!$I$3:$I$122,'S Sheet'!$A5,holly!$K$3:$K$122,'S Sheet'!$AO$1),IF($AO$1="Nov",SUMIFS(holly!$L$3:$L$122,holly!$I$3:$I$122,'S Sheet'!$A5,holly!$K$3:$K$122,'S Sheet'!$AO$1),IF($AO$1="Dec",SUMIFS(holly!$L$3:$L$122,holly!$I$3:$I$122,'S Sheet'!$A5,holly!$K$3:$K$122,'S Sheet'!$AO$1),""))))))))))))</f>
        <v>0</v>
      </c>
      <c r="Q5" s="4">
        <f>IFERROR(VLOOKUP($A5,holly!$I$2:$O$122,5,0),0)</f>
        <v>158.65</v>
      </c>
      <c r="R5" s="4">
        <f>IF($AO$1="Jan",SUMIFS(adv!$Q$3:$Q$52,adv!$M$3:$M$52,'S Sheet'!$A5,adv!$O$3:$O$52,'S Sheet'!$AO$1),IF($AO$1="Feb",SUMIFS(adv!$Q$3:$Q$52,adv!$M$3:$M$52,'S Sheet'!$A5,adv!$O$3:$O$52,'S Sheet'!$AO$1),IF($AO$1="Mar",SUMIFS(adv!$Q$3:$Q$52,adv!$M$3:$M$52,'S Sheet'!$A5,adv!$O$3:$O$52,'S Sheet'!$AO$1),IF($AO$1="Apr",SUMIFS(adv!$Q$3:$Q$52,adv!$M$3:$M$52,'S Sheet'!$A5,adv!$O$3:$O$52,'S Sheet'!$AO$1),IF($AO$1="May",SUMIFS(adv!$Q$3:$Q$52,adv!$M$3:$M$52,'S Sheet'!$A5,adv!$O$3:$O$52,'S Sheet'!$AO$1),IF($AO$1="Jun",SUMIFS(adv!$Q$3:$Q$52,adv!$M$3:$M$52,'S Sheet'!$A5,adv!$O$3:$O$52,'S Sheet'!$AO$1),IF($AO$1="Jul",SUMIFS(adv!$Q$3:$Q$52,adv!$M$3:$M$52,'S Sheet'!$A5,adv!$O$3:$O$52,'S Sheet'!$AO$1),IF($AO$1="Aug",SUMIFS(adv!$Q$3:$Q$52,adv!$M$3:$M$52,'S Sheet'!$A5,adv!$O$3:$O$52,'S Sheet'!$AO$1),IF($AO$1="Sep",SUMIFS(adv!$Q$3:$Q$52,adv!$M$3:$M$52,'S Sheet'!$A5,adv!$O$3:$O$52,'S Sheet'!$AO$1),IF($AO$1="Oct",SUMIFS(adv!$Q$3:$Q$52,adv!$M$3:$M$52,'S Sheet'!$A5,adv!$O$3:$O$52,'S Sheet'!$AO$1),IF($AO$1="Nov",SUMIFS(adv!$Q$3:$Q$52,adv!$M$3:$M$52,'S Sheet'!$A5,adv!$O$3:$O$52,'S Sheet'!$AO$1),IF($AO$1="Dec",SUMIFS(adv!$Q$3:$Q$52,adv!$M$3:$M$52,'S Sheet'!$A5,adv!$O$3:$O$52,'S Sheet'!$AO$1),""))))))))))))</f>
        <v>0</v>
      </c>
      <c r="S5" s="4">
        <f>IF($AO$1="Jan",SUMIFS(loan!$O$3:$O$32,loan!$J$3:$J$32,'S Sheet'!$A5,loan!$L$3:$L$32,'S Sheet'!$AO$1),IF($AO$1="Feb",SUMIFS(loan!$O$3:$O$32,loan!$J$3:$J$32,'S Sheet'!$A5,loan!$L$3:$L$32,'S Sheet'!$AO$1),IF($AO$1="Mar",SUMIFS(loan!$O$3:$O$32,loan!$J$3:$J$32,'S Sheet'!$A5,loan!$L$3:$L$32,'S Sheet'!$AO$1),IF($AO$1="Apr",SUMIFS(loan!$O$3:$O$32,loan!$J$3:$J$32,'S Sheet'!$A5,loan!$L$3:$L$32,'S Sheet'!$AO$1),IF($AO$1="May",SUMIFS(loan!$O$3:$O$32,loan!$J$3:$J$32,'S Sheet'!$A5,loan!$L$3:$L$32,'S Sheet'!$AO$1),IF($AO$1="Jun",SUMIFS(loan!$O$3:$O$32,loan!$J$3:$J$32,'S Sheet'!$A5,loan!$L$3:$L$32,'S Sheet'!$AO$1),IF($AO$1="Jul",SUMIFS(loan!$O$3:$O$32,loan!$J$3:$J$32,'S Sheet'!$A5,loan!$L$3:$L$32,'S Sheet'!$AO$1),IF($AO$1="Aug",SUMIFS(loan!$O$3:$O$32,loan!$J$3:$J$32,'S Sheet'!$A5,loan!$L$3:$L$32,'S Sheet'!$AO$1),IF($AO$1="Sep",SUMIFS(loan!$O$3:$O$32,loan!$J$3:$J$32,'S Sheet'!$A5,loan!$L$3:$L$32,'S Sheet'!$AO$1),IF($AO$1="Oct",SUMIFS(loan!$O$3:$O$32,loan!$J$3:$J$32,'S Sheet'!$A5,loan!$L$3:$L$32,'S Sheet'!$AO$1),IF($AO$1="Nov",SUMIFS(loan!$O$3:$O$32,loan!$J$3:$J$32,'S Sheet'!$A5,loan!$L$3:$L$32,'S Sheet'!$AO$1),IF($AO$1="Dec",SUMIFS(loan!$O$3:$O$32,loan!$J$3:$J$32,'S Sheet'!$A5,loan!$L$3:$L$32,'S Sheet'!$AO$1),""))))))))))))</f>
        <v>0</v>
      </c>
      <c r="T5" s="4">
        <f>IFERROR(VLOOKUP($A5,loan!$A$2:$H$22,3,0),0)</f>
        <v>50000</v>
      </c>
      <c r="U5" s="4">
        <f t="shared" ref="U5:U53" si="5">IFERROR(T5/W5,0)</f>
        <v>4166.666666666667</v>
      </c>
      <c r="V5" s="28">
        <f>IFERROR(VLOOKUP($A5,loan!$A$2:$H$22,2,0),"")</f>
        <v>45893</v>
      </c>
      <c r="W5" s="4">
        <f>IFERROR(VLOOKUP($A5,loan!$A$2:$H$22,5,0),0)</f>
        <v>12</v>
      </c>
      <c r="X5" s="4" t="str">
        <f t="shared" ref="X5:X35" si="6">IFERROR(IF(((2026-YEAR(V5))*12+MONTH(DATEVALUE("1-"&amp;$AO$1&amp;"-2026"))-MONTH(V5)+1)&gt;W5,"Paid",(2026-YEAR(V5))*12+MONTH(DATEVALUE("1-"&amp;$AO$1&amp;"-2026"))-MONTH(V5)+1),0)</f>
        <v>Paid</v>
      </c>
      <c r="Y5" s="4">
        <f t="shared" ref="Y5:Y53" si="7">IFERROR(W5-X5,0)</f>
        <v>0</v>
      </c>
      <c r="Z5" s="29">
        <f>IFERROR(T5/W5*Y5,0)</f>
        <v>0</v>
      </c>
      <c r="AA5" s="4">
        <f>IF('S Sheet'!$AO$1='S Sheet'!$AO$1,SUMIFS(adv!$E$3:$E$97,adv!$B$3:$B$97,'S Sheet'!$A5,adv!$D$3:$D$97,'S Sheet'!$AO$1),0)</f>
        <v>0</v>
      </c>
      <c r="AB5" s="4">
        <f>IF($AO$1=$AO$1,SUMIFS(adv!$H$3:$H$97,adv!$B$3:$B$97,'S Sheet'!$A5,adv!$D$3:$D$97,'S Sheet'!$AO$1),0)</f>
        <v>0</v>
      </c>
      <c r="AC5" s="29">
        <f t="shared" si="0"/>
        <v>0</v>
      </c>
      <c r="AD5" s="4">
        <f t="shared" si="1"/>
        <v>22000</v>
      </c>
      <c r="AE5" s="34">
        <f t="shared" si="2"/>
        <v>22000</v>
      </c>
      <c r="AF5" s="4">
        <f>VLOOKUP($A5,Master!$A$2:$K$52,8,0)</f>
        <v>8800</v>
      </c>
      <c r="AG5" s="4">
        <f>VLOOKUP($A5,Master!$A$2:$K$52,9,0)</f>
        <v>2200</v>
      </c>
      <c r="AH5" s="4">
        <f>VLOOKUP($A5,Master!$A$2:$K$52,10,0)</f>
        <v>1100</v>
      </c>
      <c r="AI5" s="4">
        <f t="shared" si="3"/>
        <v>0</v>
      </c>
      <c r="AJ5" s="4">
        <f>IF($AO$1=$AO$1,SUMIFS(adv!$Q$3:$Q$52,adv!$M$3:$M$52,'S Sheet'!$A5,adv!$O$3:$O$52,'S Sheet'!$AO$1),0)</f>
        <v>0</v>
      </c>
      <c r="AK5" s="34">
        <f t="shared" si="4"/>
        <v>34100</v>
      </c>
      <c r="AL5" s="4">
        <f t="shared" ref="AL5:AL53" si="8">(AD5+AG5)*12%</f>
        <v>2904</v>
      </c>
      <c r="AM5" s="34">
        <f t="shared" ref="AM5:AM53" si="9">IF(AK5&lt;=21000,AK5*0.75%,0)</f>
        <v>0</v>
      </c>
      <c r="AN5" s="34">
        <f t="shared" ref="AN5:AN53" si="10">IF(Z5=0,0,U5)</f>
        <v>0</v>
      </c>
      <c r="AO5" s="4">
        <f t="shared" ref="AO5:AO53" si="11">IF(AB5=0,0,AB5)</f>
        <v>0</v>
      </c>
      <c r="AP5" s="36">
        <f t="shared" ref="AP5:AP53" si="12">AK5-AL5-AM5-AN5-AO5</f>
        <v>31196</v>
      </c>
    </row>
    <row r="6" spans="1:42" ht="21" x14ac:dyDescent="0.25">
      <c r="A6" s="4" t="s">
        <v>13</v>
      </c>
      <c r="B6" s="4" t="str">
        <f>VLOOKUP($A6,Master!$A$2:$K$52,COLUMN(Master!B4),0)</f>
        <v>Employee3</v>
      </c>
      <c r="C6" s="4" t="str">
        <f>VLOOKUP($A6,Master!$A$2:$K$52,COLUMN(Master!C4),0)</f>
        <v>Female</v>
      </c>
      <c r="D6" s="26">
        <f>VLOOKUP($A6,Master!$A$2:$K$52,COLUMN(Master!D4),0)</f>
        <v>44262</v>
      </c>
      <c r="E6" s="4" t="str">
        <f>VLOOKUP($A6,Master!$A$2:$K$52,COLUMN(Master!E4),0)</f>
        <v>Production</v>
      </c>
      <c r="F6" s="4" t="str">
        <f>VLOOKUP($A6,Master!$A$2:$K$52,COLUMN(Master!F4),0)</f>
        <v>Operator</v>
      </c>
      <c r="G6" s="4" t="s">
        <v>25</v>
      </c>
      <c r="H6" s="4">
        <v>98375231070</v>
      </c>
      <c r="I6" s="4" t="s">
        <v>383</v>
      </c>
      <c r="J6" s="4">
        <f>VLOOKUP($A6,Master!$A$2:$K$52,COLUMN(Master!G4),0)</f>
        <v>18000</v>
      </c>
      <c r="K6" s="4">
        <f>VLOOKUP($A6,Master!$A$2:$K$52,COLUMN(Master!H4),0)</f>
        <v>7200</v>
      </c>
      <c r="L6" s="4">
        <f>VLOOKUP($A6,Master!$A$2:$K$52,COLUMN(Master!I4),0)</f>
        <v>1800</v>
      </c>
      <c r="M6" s="4">
        <f>VLOOKUP($A6,Master!$A$2:$K$52,COLUMN(Master!J4),0)</f>
        <v>900</v>
      </c>
      <c r="N6" s="4">
        <f>IF($AO$1="Jan",VLOOKUP($A6,jan!$A$5:$AU$54,46,0),IF('S Sheet'!$AO$1="Feb",VLOOKUP('S Sheet'!$A6,feb!$A$5:$AR$54,43,0),IF($AO$1="Mar",VLOOKUP($A6,mar!$A$5:$AU$54,46,0),IF($AO$1="Apr",VLOOKUP($A6,apr!$A$5:$AU$54,45,0),IF($AO$1="May",VLOOKUP($A6,may!$A$5:$AU$54,46,0),IF($AO$1="Jun",VLOOKUP($A6,jun!$A$5:$AU$54,45,0),IF($AO$1="Jul",VLOOKUP($A6,jul!$A$5:$AV$54,46,0),IF($AO$1="Aug",VLOOKUP($A6,aug!$A$5:$AU$54,46,0),IF($AO$1="Sep",VLOOKUP($A6,sep!$A$5:$AT$54,45,0),IF($AO$1="Oct",VLOOKUP($A6,oct!$A$5:$AU$54,46,0),IF($AO$1="Nov",VLOOKUP($A6,nov!$A$5:$AU$54,45,0),IF($AO$1="Dec",VLOOKUP($A6,dec!$A$5:$AU$54,46,0),""))))))))))))</f>
        <v>31</v>
      </c>
      <c r="O6" s="4">
        <f>IF($AO$1="Jan",VLOOKUP($A6,jan!$A$5:$AU$54,47,0),IF('S Sheet'!$AO$1="Feb",VLOOKUP('S Sheet'!$A6,feb!$A$5:$AR$54,44,0),IF($AO$1="Mar",VLOOKUP($A6,mar!$A$5:$AU$54,47,0),IF($AO$1="Apr",VLOOKUP($A6,apr!$A$5:$AU$54,46,0),IF($AO$1="May",VLOOKUP($A6,may!$A$5:$AU$54,47,0),IF($AO$1="Jun",VLOOKUP($A6,jun!$A$5:$AU$54,46,0),IF($AO$1="Jul",VLOOKUP($A6,jul!$A$5:$AV$54,47,0),IF($AO$1="Aug",VLOOKUP($A6,aug!$A$5:$AU$54,47,0),IF($AO$1="Sep",VLOOKUP($A6,sep!$A$5:$AT$54,46,0),IF($AO$1="Oct",VLOOKUP($A6,oct!$A$5:$AU$54,47,0),IF($AO$1="Nov",VLOOKUP($A6,nov!$A$5:$AU$54,46,0),IF($AO$1="Dec",VLOOKUP($A6,dec!$A$5:$AU$54,47,0),""))))))))))))</f>
        <v>31</v>
      </c>
      <c r="P6" s="4">
        <f>IF($AO$1="Jan",SUMIFS(holly!$L$3:$L$122,holly!$I$3:$I$122,'S Sheet'!$A6,holly!$K$3:$K$122,'S Sheet'!$AO$1),IF($AO$1="Feb",SUMIFS(holly!$L$3:$L$122,holly!$I$3:$I$122,'S Sheet'!$A6,holly!$K$3:$K$122,'S Sheet'!$AO$1),IF($AO$1="Mar",SUMIFS(holly!$L$3:$L$122,holly!$I$3:$I$122,'S Sheet'!$A6,holly!$K$3:$K$122,'S Sheet'!$AO$1),IF($AO$1="Apr",SUMIFS(holly!$L$3:$L$122,holly!$I$3:$I$122,'S Sheet'!$A6,holly!$K$3:$K$122,'S Sheet'!$AO$1),IF($AO$1="May",SUMIFS(holly!$L$3:$L$122,holly!$I$3:$I$122,'S Sheet'!$A6,holly!$K$3:$K$122,'S Sheet'!$AO$1),IF($AO$1="Jun",SUMIFS(holly!$L$3:$L$122,holly!$I$3:$I$122,'S Sheet'!$A6,holly!$K$3:$K$122,'S Sheet'!$AO$1),IF($AO$1="Jul",SUMIFS(holly!$L$3:$L$122,holly!$I$3:$I$122,'S Sheet'!$A6,holly!$K$3:$K$122,'S Sheet'!$AO$1),IF($AO$1="Aug",SUMIFS(holly!$L$3:$L$122,holly!$I$3:$I$122,'S Sheet'!$A6,holly!$K$3:$K$122,'S Sheet'!$AO$1),IF($AO$1="Sep",SUMIFS(holly!$L$3:$L$122,holly!$I$3:$I$122,'S Sheet'!$A6,holly!$K$3:$K$122,'S Sheet'!$AO$1),IF($AO$1="Oct",SUMIFS(holly!$L$3:$L$122,holly!$I$3:$I$122,'S Sheet'!$A6,holly!$K$3:$K$122,'S Sheet'!$AO$1),IF($AO$1="Nov",SUMIFS(holly!$L$3:$L$122,holly!$I$3:$I$122,'S Sheet'!$A6,holly!$K$3:$K$122,'S Sheet'!$AO$1),IF($AO$1="Dec",SUMIFS(holly!$L$3:$L$122,holly!$I$3:$I$122,'S Sheet'!$A6,holly!$K$3:$K$122,'S Sheet'!$AO$1),""))))))))))))</f>
        <v>0</v>
      </c>
      <c r="Q6" s="4">
        <f>IFERROR(VLOOKUP($A6,holly!$I$2:$O$122,5,0),0)</f>
        <v>129.81</v>
      </c>
      <c r="R6" s="4">
        <f>IF($AO$1="Jan",SUMIFS(adv!$Q$3:$Q$52,adv!$M$3:$M$52,'S Sheet'!$A6,adv!$O$3:$O$52,'S Sheet'!$AO$1),IF($AO$1="Feb",SUMIFS(adv!$Q$3:$Q$52,adv!$M$3:$M$52,'S Sheet'!$A6,adv!$O$3:$O$52,'S Sheet'!$AO$1),IF($AO$1="Mar",SUMIFS(adv!$Q$3:$Q$52,adv!$M$3:$M$52,'S Sheet'!$A6,adv!$O$3:$O$52,'S Sheet'!$AO$1),IF($AO$1="Apr",SUMIFS(adv!$Q$3:$Q$52,adv!$M$3:$M$52,'S Sheet'!$A6,adv!$O$3:$O$52,'S Sheet'!$AO$1),IF($AO$1="May",SUMIFS(adv!$Q$3:$Q$52,adv!$M$3:$M$52,'S Sheet'!$A6,adv!$O$3:$O$52,'S Sheet'!$AO$1),IF($AO$1="Jun",SUMIFS(adv!$Q$3:$Q$52,adv!$M$3:$M$52,'S Sheet'!$A6,adv!$O$3:$O$52,'S Sheet'!$AO$1),IF($AO$1="Jul",SUMIFS(adv!$Q$3:$Q$52,adv!$M$3:$M$52,'S Sheet'!$A6,adv!$O$3:$O$52,'S Sheet'!$AO$1),IF($AO$1="Aug",SUMIFS(adv!$Q$3:$Q$52,adv!$M$3:$M$52,'S Sheet'!$A6,adv!$O$3:$O$52,'S Sheet'!$AO$1),IF($AO$1="Sep",SUMIFS(adv!$Q$3:$Q$52,adv!$M$3:$M$52,'S Sheet'!$A6,adv!$O$3:$O$52,'S Sheet'!$AO$1),IF($AO$1="Oct",SUMIFS(adv!$Q$3:$Q$52,adv!$M$3:$M$52,'S Sheet'!$A6,adv!$O$3:$O$52,'S Sheet'!$AO$1),IF($AO$1="Nov",SUMIFS(adv!$Q$3:$Q$52,adv!$M$3:$M$52,'S Sheet'!$A6,adv!$O$3:$O$52,'S Sheet'!$AO$1),IF($AO$1="Dec",SUMIFS(adv!$Q$3:$Q$52,adv!$M$3:$M$52,'S Sheet'!$A6,adv!$O$3:$O$52,'S Sheet'!$AO$1),""))))))))))))</f>
        <v>0</v>
      </c>
      <c r="S6" s="4">
        <f>IF($AO$1="Jan",SUMIFS(loan!$O$3:$O$32,loan!$J$3:$J$32,'S Sheet'!$A6,loan!$L$3:$L$32,'S Sheet'!$AO$1),IF($AO$1="Feb",SUMIFS(loan!$O$3:$O$32,loan!$J$3:$J$32,'S Sheet'!$A6,loan!$L$3:$L$32,'S Sheet'!$AO$1),IF($AO$1="Mar",SUMIFS(loan!$O$3:$O$32,loan!$J$3:$J$32,'S Sheet'!$A6,loan!$L$3:$L$32,'S Sheet'!$AO$1),IF($AO$1="Apr",SUMIFS(loan!$O$3:$O$32,loan!$J$3:$J$32,'S Sheet'!$A6,loan!$L$3:$L$32,'S Sheet'!$AO$1),IF($AO$1="May",SUMIFS(loan!$O$3:$O$32,loan!$J$3:$J$32,'S Sheet'!$A6,loan!$L$3:$L$32,'S Sheet'!$AO$1),IF($AO$1="Jun",SUMIFS(loan!$O$3:$O$32,loan!$J$3:$J$32,'S Sheet'!$A6,loan!$L$3:$L$32,'S Sheet'!$AO$1),IF($AO$1="Jul",SUMIFS(loan!$O$3:$O$32,loan!$J$3:$J$32,'S Sheet'!$A6,loan!$L$3:$L$32,'S Sheet'!$AO$1),IF($AO$1="Aug",SUMIFS(loan!$O$3:$O$32,loan!$J$3:$J$32,'S Sheet'!$A6,loan!$L$3:$L$32,'S Sheet'!$AO$1),IF($AO$1="Sep",SUMIFS(loan!$O$3:$O$32,loan!$J$3:$J$32,'S Sheet'!$A6,loan!$L$3:$L$32,'S Sheet'!$AO$1),IF($AO$1="Oct",SUMIFS(loan!$O$3:$O$32,loan!$J$3:$J$32,'S Sheet'!$A6,loan!$L$3:$L$32,'S Sheet'!$AO$1),IF($AO$1="Nov",SUMIFS(loan!$O$3:$O$32,loan!$J$3:$J$32,'S Sheet'!$A6,loan!$L$3:$L$32,'S Sheet'!$AO$1),IF($AO$1="Dec",SUMIFS(loan!$O$3:$O$32,loan!$J$3:$J$32,'S Sheet'!$A6,loan!$L$3:$L$32,'S Sheet'!$AO$1),""))))))))))))</f>
        <v>0</v>
      </c>
      <c r="T6" s="4">
        <f>IFERROR(VLOOKUP($A6,loan!$A$2:$H$22,3,0),0)</f>
        <v>0</v>
      </c>
      <c r="U6" s="4">
        <f t="shared" si="5"/>
        <v>0</v>
      </c>
      <c r="V6" s="28" t="str">
        <f>IFERROR(VLOOKUP($A6,loan!$A$2:$H$22,2,0),"")</f>
        <v/>
      </c>
      <c r="W6" s="4">
        <f>IFERROR(VLOOKUP($A6,loan!$A$2:$H$22,5,0),0)</f>
        <v>0</v>
      </c>
      <c r="X6" s="4">
        <f t="shared" si="6"/>
        <v>0</v>
      </c>
      <c r="Y6" s="4">
        <f t="shared" si="7"/>
        <v>0</v>
      </c>
      <c r="Z6" s="29">
        <f t="shared" ref="Z6:Z53" si="13">IFERROR(T6/W6*Y6,0)</f>
        <v>0</v>
      </c>
      <c r="AA6" s="4">
        <f>IF('S Sheet'!$AO$1='S Sheet'!$AO$1,SUMIFS(adv!$E$3:$E$97,adv!$B$3:$B$97,'S Sheet'!$A6,adv!$D$3:$D$97,'S Sheet'!$AO$1),0)</f>
        <v>5000</v>
      </c>
      <c r="AB6" s="4">
        <f>IF($AO$1=$AO$1,SUMIFS(adv!$H$3:$H$97,adv!$B$3:$B$97,'S Sheet'!$A6,adv!$D$3:$D$97,'S Sheet'!$AO$1),0)</f>
        <v>1000</v>
      </c>
      <c r="AC6" s="29">
        <f t="shared" si="0"/>
        <v>4000</v>
      </c>
      <c r="AD6" s="4">
        <f t="shared" si="1"/>
        <v>18000</v>
      </c>
      <c r="AE6" s="34">
        <f t="shared" si="2"/>
        <v>18000</v>
      </c>
      <c r="AF6" s="4">
        <f>VLOOKUP($A6,Master!$A$2:$K$52,8,0)</f>
        <v>7200</v>
      </c>
      <c r="AG6" s="4">
        <f>VLOOKUP($A6,Master!$A$2:$K$52,9,0)</f>
        <v>1800</v>
      </c>
      <c r="AH6" s="4">
        <f>VLOOKUP($A6,Master!$A$2:$K$52,10,0)</f>
        <v>900</v>
      </c>
      <c r="AI6" s="4">
        <f t="shared" si="3"/>
        <v>0</v>
      </c>
      <c r="AJ6" s="4">
        <f>IF($AO$1=$AO$1,SUMIFS(adv!$Q$3:$Q$52,adv!$M$3:$M$52,'S Sheet'!$A6,adv!$O$3:$O$52,'S Sheet'!$AO$1),0)</f>
        <v>0</v>
      </c>
      <c r="AK6" s="34">
        <f t="shared" si="4"/>
        <v>27900</v>
      </c>
      <c r="AL6" s="4">
        <f t="shared" si="8"/>
        <v>2376</v>
      </c>
      <c r="AM6" s="34">
        <f t="shared" si="9"/>
        <v>0</v>
      </c>
      <c r="AN6" s="34">
        <f t="shared" si="10"/>
        <v>0</v>
      </c>
      <c r="AO6" s="4">
        <f t="shared" si="11"/>
        <v>1000</v>
      </c>
      <c r="AP6" s="36">
        <f t="shared" si="12"/>
        <v>24524</v>
      </c>
    </row>
    <row r="7" spans="1:42" ht="21" x14ac:dyDescent="0.25">
      <c r="A7" s="4" t="s">
        <v>17</v>
      </c>
      <c r="B7" s="4" t="str">
        <f>VLOOKUP($A7,Master!$A$2:$K$52,COLUMN(Master!B5),0)</f>
        <v>Employee4</v>
      </c>
      <c r="C7" s="4" t="str">
        <f>VLOOKUP($A7,Master!$A$2:$K$52,COLUMN(Master!C5),0)</f>
        <v>Male</v>
      </c>
      <c r="D7" s="26">
        <f>VLOOKUP($A7,Master!$A$2:$K$52,COLUMN(Master!D5),0)</f>
        <v>45346</v>
      </c>
      <c r="E7" s="4" t="str">
        <f>VLOOKUP($A7,Master!$A$2:$K$52,COLUMN(Master!E5),0)</f>
        <v>Production</v>
      </c>
      <c r="F7" s="4" t="str">
        <f>VLOOKUP($A7,Master!$A$2:$K$52,COLUMN(Master!F5),0)</f>
        <v>Operator</v>
      </c>
      <c r="G7" s="4" t="s">
        <v>25</v>
      </c>
      <c r="H7" s="4">
        <v>3995806947</v>
      </c>
      <c r="I7" s="4" t="s">
        <v>384</v>
      </c>
      <c r="J7" s="4">
        <f>VLOOKUP($A7,Master!$A$2:$K$52,COLUMN(Master!G5),0)</f>
        <v>12000</v>
      </c>
      <c r="K7" s="4">
        <f>VLOOKUP($A7,Master!$A$2:$K$52,COLUMN(Master!H5),0)</f>
        <v>4800</v>
      </c>
      <c r="L7" s="4">
        <f>VLOOKUP($A7,Master!$A$2:$K$52,COLUMN(Master!I5),0)</f>
        <v>1200</v>
      </c>
      <c r="M7" s="4">
        <f>VLOOKUP($A7,Master!$A$2:$K$52,COLUMN(Master!J5),0)</f>
        <v>600</v>
      </c>
      <c r="N7" s="4">
        <f>IF($AO$1="Jan",VLOOKUP($A7,jan!$A$5:$AU$54,46,0),IF('S Sheet'!$AO$1="Feb",VLOOKUP('S Sheet'!$A7,feb!$A$5:$AR$54,43,0),IF($AO$1="Mar",VLOOKUP($A7,mar!$A$5:$AU$54,46,0),IF($AO$1="Apr",VLOOKUP($A7,apr!$A$5:$AU$54,45,0),IF($AO$1="May",VLOOKUP($A7,may!$A$5:$AU$54,46,0),IF($AO$1="Jun",VLOOKUP($A7,jun!$A$5:$AU$54,45,0),IF($AO$1="Jul",VLOOKUP($A7,jul!$A$5:$AV$54,46,0),IF($AO$1="Aug",VLOOKUP($A7,aug!$A$5:$AU$54,46,0),IF($AO$1="Sep",VLOOKUP($A7,sep!$A$5:$AT$54,45,0),IF($AO$1="Oct",VLOOKUP($A7,oct!$A$5:$AU$54,46,0),IF($AO$1="Nov",VLOOKUP($A7,nov!$A$5:$AU$54,45,0),IF($AO$1="Dec",VLOOKUP($A7,dec!$A$5:$AU$54,46,0),""))))))))))))</f>
        <v>31</v>
      </c>
      <c r="O7" s="4">
        <f>IF($AO$1="Jan",VLOOKUP($A7,jan!$A$5:$AU$54,47,0),IF('S Sheet'!$AO$1="Feb",VLOOKUP('S Sheet'!$A7,feb!$A$5:$AR$54,44,0),IF($AO$1="Mar",VLOOKUP($A7,mar!$A$5:$AU$54,47,0),IF($AO$1="Apr",VLOOKUP($A7,apr!$A$5:$AU$54,46,0),IF($AO$1="May",VLOOKUP($A7,may!$A$5:$AU$54,47,0),IF($AO$1="Jun",VLOOKUP($A7,jun!$A$5:$AU$54,46,0),IF($AO$1="Jul",VLOOKUP($A7,jul!$A$5:$AV$54,47,0),IF($AO$1="Aug",VLOOKUP($A7,aug!$A$5:$AU$54,47,0),IF($AO$1="Sep",VLOOKUP($A7,sep!$A$5:$AT$54,46,0),IF($AO$1="Oct",VLOOKUP($A7,oct!$A$5:$AU$54,47,0),IF($AO$1="Nov",VLOOKUP($A7,nov!$A$5:$AU$54,46,0),IF($AO$1="Dec",VLOOKUP($A7,dec!$A$5:$AU$54,47,0),""))))))))))))</f>
        <v>29</v>
      </c>
      <c r="P7" s="4">
        <f>IF($AO$1="Jan",SUMIFS(holly!$L$3:$L$122,holly!$I$3:$I$122,'S Sheet'!$A7,holly!$K$3:$K$122,'S Sheet'!$AO$1),IF($AO$1="Feb",SUMIFS(holly!$L$3:$L$122,holly!$I$3:$I$122,'S Sheet'!$A7,holly!$K$3:$K$122,'S Sheet'!$AO$1),IF($AO$1="Mar",SUMIFS(holly!$L$3:$L$122,holly!$I$3:$I$122,'S Sheet'!$A7,holly!$K$3:$K$122,'S Sheet'!$AO$1),IF($AO$1="Apr",SUMIFS(holly!$L$3:$L$122,holly!$I$3:$I$122,'S Sheet'!$A7,holly!$K$3:$K$122,'S Sheet'!$AO$1),IF($AO$1="May",SUMIFS(holly!$L$3:$L$122,holly!$I$3:$I$122,'S Sheet'!$A7,holly!$K$3:$K$122,'S Sheet'!$AO$1),IF($AO$1="Jun",SUMIFS(holly!$L$3:$L$122,holly!$I$3:$I$122,'S Sheet'!$A7,holly!$K$3:$K$122,'S Sheet'!$AO$1),IF($AO$1="Jul",SUMIFS(holly!$L$3:$L$122,holly!$I$3:$I$122,'S Sheet'!$A7,holly!$K$3:$K$122,'S Sheet'!$AO$1),IF($AO$1="Aug",SUMIFS(holly!$L$3:$L$122,holly!$I$3:$I$122,'S Sheet'!$A7,holly!$K$3:$K$122,'S Sheet'!$AO$1),IF($AO$1="Sep",SUMIFS(holly!$L$3:$L$122,holly!$I$3:$I$122,'S Sheet'!$A7,holly!$K$3:$K$122,'S Sheet'!$AO$1),IF($AO$1="Oct",SUMIFS(holly!$L$3:$L$122,holly!$I$3:$I$122,'S Sheet'!$A7,holly!$K$3:$K$122,'S Sheet'!$AO$1),IF($AO$1="Nov",SUMIFS(holly!$L$3:$L$122,holly!$I$3:$I$122,'S Sheet'!$A7,holly!$K$3:$K$122,'S Sheet'!$AO$1),IF($AO$1="Dec",SUMIFS(holly!$L$3:$L$122,holly!$I$3:$I$122,'S Sheet'!$A7,holly!$K$3:$K$122,'S Sheet'!$AO$1),""))))))))))))</f>
        <v>0</v>
      </c>
      <c r="Q7" s="4">
        <f>IFERROR(VLOOKUP($A7,holly!$I$2:$O$122,5,0),0)</f>
        <v>86.54</v>
      </c>
      <c r="R7" s="4">
        <f>IF($AO$1="Jan",SUMIFS(adv!$Q$3:$Q$52,adv!$M$3:$M$52,'S Sheet'!$A7,adv!$O$3:$O$52,'S Sheet'!$AO$1),IF($AO$1="Feb",SUMIFS(adv!$Q$3:$Q$52,adv!$M$3:$M$52,'S Sheet'!$A7,adv!$O$3:$O$52,'S Sheet'!$AO$1),IF($AO$1="Mar",SUMIFS(adv!$Q$3:$Q$52,adv!$M$3:$M$52,'S Sheet'!$A7,adv!$O$3:$O$52,'S Sheet'!$AO$1),IF($AO$1="Apr",SUMIFS(adv!$Q$3:$Q$52,adv!$M$3:$M$52,'S Sheet'!$A7,adv!$O$3:$O$52,'S Sheet'!$AO$1),IF($AO$1="May",SUMIFS(adv!$Q$3:$Q$52,adv!$M$3:$M$52,'S Sheet'!$A7,adv!$O$3:$O$52,'S Sheet'!$AO$1),IF($AO$1="Jun",SUMIFS(adv!$Q$3:$Q$52,adv!$M$3:$M$52,'S Sheet'!$A7,adv!$O$3:$O$52,'S Sheet'!$AO$1),IF($AO$1="Jul",SUMIFS(adv!$Q$3:$Q$52,adv!$M$3:$M$52,'S Sheet'!$A7,adv!$O$3:$O$52,'S Sheet'!$AO$1),IF($AO$1="Aug",SUMIFS(adv!$Q$3:$Q$52,adv!$M$3:$M$52,'S Sheet'!$A7,adv!$O$3:$O$52,'S Sheet'!$AO$1),IF($AO$1="Sep",SUMIFS(adv!$Q$3:$Q$52,adv!$M$3:$M$52,'S Sheet'!$A7,adv!$O$3:$O$52,'S Sheet'!$AO$1),IF($AO$1="Oct",SUMIFS(adv!$Q$3:$Q$52,adv!$M$3:$M$52,'S Sheet'!$A7,adv!$O$3:$O$52,'S Sheet'!$AO$1),IF($AO$1="Nov",SUMIFS(adv!$Q$3:$Q$52,adv!$M$3:$M$52,'S Sheet'!$A7,adv!$O$3:$O$52,'S Sheet'!$AO$1),IF($AO$1="Dec",SUMIFS(adv!$Q$3:$Q$52,adv!$M$3:$M$52,'S Sheet'!$A7,adv!$O$3:$O$52,'S Sheet'!$AO$1),""))))))))))))</f>
        <v>0</v>
      </c>
      <c r="S7" s="4">
        <f>IF($AO$1="Jan",SUMIFS(loan!$O$3:$O$32,loan!$J$3:$J$32,'S Sheet'!$A7,loan!$L$3:$L$32,'S Sheet'!$AO$1),IF($AO$1="Feb",SUMIFS(loan!$O$3:$O$32,loan!$J$3:$J$32,'S Sheet'!$A7,loan!$L$3:$L$32,'S Sheet'!$AO$1),IF($AO$1="Mar",SUMIFS(loan!$O$3:$O$32,loan!$J$3:$J$32,'S Sheet'!$A7,loan!$L$3:$L$32,'S Sheet'!$AO$1),IF($AO$1="Apr",SUMIFS(loan!$O$3:$O$32,loan!$J$3:$J$32,'S Sheet'!$A7,loan!$L$3:$L$32,'S Sheet'!$AO$1),IF($AO$1="May",SUMIFS(loan!$O$3:$O$32,loan!$J$3:$J$32,'S Sheet'!$A7,loan!$L$3:$L$32,'S Sheet'!$AO$1),IF($AO$1="Jun",SUMIFS(loan!$O$3:$O$32,loan!$J$3:$J$32,'S Sheet'!$A7,loan!$L$3:$L$32,'S Sheet'!$AO$1),IF($AO$1="Jul",SUMIFS(loan!$O$3:$O$32,loan!$J$3:$J$32,'S Sheet'!$A7,loan!$L$3:$L$32,'S Sheet'!$AO$1),IF($AO$1="Aug",SUMIFS(loan!$O$3:$O$32,loan!$J$3:$J$32,'S Sheet'!$A7,loan!$L$3:$L$32,'S Sheet'!$AO$1),IF($AO$1="Sep",SUMIFS(loan!$O$3:$O$32,loan!$J$3:$J$32,'S Sheet'!$A7,loan!$L$3:$L$32,'S Sheet'!$AO$1),IF($AO$1="Oct",SUMIFS(loan!$O$3:$O$32,loan!$J$3:$J$32,'S Sheet'!$A7,loan!$L$3:$L$32,'S Sheet'!$AO$1),IF($AO$1="Nov",SUMIFS(loan!$O$3:$O$32,loan!$J$3:$J$32,'S Sheet'!$A7,loan!$L$3:$L$32,'S Sheet'!$AO$1),IF($AO$1="Dec",SUMIFS(loan!$O$3:$O$32,loan!$J$3:$J$32,'S Sheet'!$A7,loan!$L$3:$L$32,'S Sheet'!$AO$1),""))))))))))))</f>
        <v>0</v>
      </c>
      <c r="T7" s="4">
        <f>IFERROR(VLOOKUP($A7,loan!$A$2:$H$22,3,0),0)</f>
        <v>30000</v>
      </c>
      <c r="U7" s="4">
        <f t="shared" si="5"/>
        <v>2500</v>
      </c>
      <c r="V7" s="28">
        <f>IFERROR(VLOOKUP($A7,loan!$A$2:$H$22,2,0),"")</f>
        <v>45834</v>
      </c>
      <c r="W7" s="4">
        <f>IFERROR(VLOOKUP($A7,loan!$A$2:$H$22,5,0),0)</f>
        <v>12</v>
      </c>
      <c r="X7" s="4" t="str">
        <f t="shared" si="6"/>
        <v>Paid</v>
      </c>
      <c r="Y7" s="4">
        <f t="shared" si="7"/>
        <v>0</v>
      </c>
      <c r="Z7" s="29">
        <f t="shared" si="13"/>
        <v>0</v>
      </c>
      <c r="AA7" s="4">
        <f>IF('S Sheet'!$AO$1='S Sheet'!$AO$1,SUMIFS(adv!$E$3:$E$97,adv!$B$3:$B$97,'S Sheet'!$A7,adv!$D$3:$D$97,'S Sheet'!$AO$1),0)</f>
        <v>0</v>
      </c>
      <c r="AB7" s="4">
        <f>IF($AO$1=$AO$1,SUMIFS(adv!$H$3:$H$97,adv!$B$3:$B$97,'S Sheet'!$A7,adv!$D$3:$D$97,'S Sheet'!$AO$1),0)</f>
        <v>0</v>
      </c>
      <c r="AC7" s="29">
        <f t="shared" si="0"/>
        <v>0</v>
      </c>
      <c r="AD7" s="4">
        <f t="shared" si="1"/>
        <v>12000</v>
      </c>
      <c r="AE7" s="34">
        <f t="shared" si="2"/>
        <v>11225.806451612903</v>
      </c>
      <c r="AF7" s="4">
        <f>VLOOKUP($A7,Master!$A$2:$K$52,8,0)</f>
        <v>4800</v>
      </c>
      <c r="AG7" s="4">
        <f>VLOOKUP($A7,Master!$A$2:$K$52,9,0)</f>
        <v>1200</v>
      </c>
      <c r="AH7" s="4">
        <f>VLOOKUP($A7,Master!$A$2:$K$52,10,0)</f>
        <v>600</v>
      </c>
      <c r="AI7" s="4">
        <f t="shared" si="3"/>
        <v>0</v>
      </c>
      <c r="AJ7" s="4">
        <f>IF($AO$1=$AO$1,SUMIFS(adv!$Q$3:$Q$52,adv!$M$3:$M$52,'S Sheet'!$A7,adv!$O$3:$O$52,'S Sheet'!$AO$1),0)</f>
        <v>0</v>
      </c>
      <c r="AK7" s="34">
        <f t="shared" si="4"/>
        <v>17825.806451612902</v>
      </c>
      <c r="AL7" s="4">
        <f t="shared" si="8"/>
        <v>1584</v>
      </c>
      <c r="AM7" s="34">
        <f t="shared" si="9"/>
        <v>133.69354838709677</v>
      </c>
      <c r="AN7" s="34">
        <f t="shared" si="10"/>
        <v>0</v>
      </c>
      <c r="AO7" s="4">
        <f t="shared" si="11"/>
        <v>0</v>
      </c>
      <c r="AP7" s="36">
        <f t="shared" si="12"/>
        <v>16108.112903225805</v>
      </c>
    </row>
    <row r="8" spans="1:42" ht="21" x14ac:dyDescent="0.25">
      <c r="A8" s="4" t="s">
        <v>18</v>
      </c>
      <c r="B8" s="4" t="str">
        <f>VLOOKUP($A8,Master!$A$2:$K$52,COLUMN(Master!B6),0)</f>
        <v>Employee5</v>
      </c>
      <c r="C8" s="4" t="str">
        <f>VLOOKUP($A8,Master!$A$2:$K$52,COLUMN(Master!C6),0)</f>
        <v>Female</v>
      </c>
      <c r="D8" s="26">
        <f>VLOOKUP($A8,Master!$A$2:$K$52,COLUMN(Master!D6),0)</f>
        <v>45403</v>
      </c>
      <c r="E8" s="4" t="str">
        <f>VLOOKUP($A8,Master!$A$2:$K$52,COLUMN(Master!E6),0)</f>
        <v>Production</v>
      </c>
      <c r="F8" s="4" t="str">
        <f>VLOOKUP($A8,Master!$A$2:$K$52,COLUMN(Master!F6),0)</f>
        <v>Senior Operator</v>
      </c>
      <c r="G8" s="4" t="s">
        <v>16</v>
      </c>
      <c r="H8" s="4">
        <v>63355847415</v>
      </c>
      <c r="I8" s="4" t="s">
        <v>385</v>
      </c>
      <c r="J8" s="4">
        <f>VLOOKUP($A8,Master!$A$2:$K$52,COLUMN(Master!G6),0)</f>
        <v>12000</v>
      </c>
      <c r="K8" s="4">
        <f>VLOOKUP($A8,Master!$A$2:$K$52,COLUMN(Master!H6),0)</f>
        <v>4800</v>
      </c>
      <c r="L8" s="4">
        <f>VLOOKUP($A8,Master!$A$2:$K$52,COLUMN(Master!I6),0)</f>
        <v>1200</v>
      </c>
      <c r="M8" s="4">
        <f>VLOOKUP($A8,Master!$A$2:$K$52,COLUMN(Master!J6),0)</f>
        <v>600</v>
      </c>
      <c r="N8" s="4">
        <f>IF($AO$1="Jan",VLOOKUP($A8,jan!$A$5:$AU$54,46,0),IF('S Sheet'!$AO$1="Feb",VLOOKUP('S Sheet'!$A8,feb!$A$5:$AR$54,43,0),IF($AO$1="Mar",VLOOKUP($A8,mar!$A$5:$AU$54,46,0),IF($AO$1="Apr",VLOOKUP($A8,apr!$A$5:$AU$54,45,0),IF($AO$1="May",VLOOKUP($A8,may!$A$5:$AU$54,46,0),IF($AO$1="Jun",VLOOKUP($A8,jun!$A$5:$AU$54,45,0),IF($AO$1="Jul",VLOOKUP($A8,jul!$A$5:$AV$54,46,0),IF($AO$1="Aug",VLOOKUP($A8,aug!$A$5:$AU$54,46,0),IF($AO$1="Sep",VLOOKUP($A8,sep!$A$5:$AT$54,45,0),IF($AO$1="Oct",VLOOKUP($A8,oct!$A$5:$AU$54,46,0),IF($AO$1="Nov",VLOOKUP($A8,nov!$A$5:$AU$54,45,0),IF($AO$1="Dec",VLOOKUP($A8,dec!$A$5:$AU$54,46,0),""))))))))))))</f>
        <v>31</v>
      </c>
      <c r="O8" s="4">
        <f>IF($AO$1="Jan",VLOOKUP($A8,jan!$A$5:$AU$54,47,0),IF('S Sheet'!$AO$1="Feb",VLOOKUP('S Sheet'!$A8,feb!$A$5:$AR$54,44,0),IF($AO$1="Mar",VLOOKUP($A8,mar!$A$5:$AU$54,47,0),IF($AO$1="Apr",VLOOKUP($A8,apr!$A$5:$AU$54,46,0),IF($AO$1="May",VLOOKUP($A8,may!$A$5:$AU$54,47,0),IF($AO$1="Jun",VLOOKUP($A8,jun!$A$5:$AU$54,46,0),IF($AO$1="Jul",VLOOKUP($A8,jul!$A$5:$AV$54,47,0),IF($AO$1="Aug",VLOOKUP($A8,aug!$A$5:$AU$54,47,0),IF($AO$1="Sep",VLOOKUP($A8,sep!$A$5:$AT$54,46,0),IF($AO$1="Oct",VLOOKUP($A8,oct!$A$5:$AU$54,47,0),IF($AO$1="Nov",VLOOKUP($A8,nov!$A$5:$AU$54,46,0),IF($AO$1="Dec",VLOOKUP($A8,dec!$A$5:$AU$54,47,0),""))))))))))))</f>
        <v>30</v>
      </c>
      <c r="P8" s="4">
        <f>IF($AO$1="Jan",SUMIFS(holly!$L$3:$L$122,holly!$I$3:$I$122,'S Sheet'!$A8,holly!$K$3:$K$122,'S Sheet'!$AO$1),IF($AO$1="Feb",SUMIFS(holly!$L$3:$L$122,holly!$I$3:$I$122,'S Sheet'!$A8,holly!$K$3:$K$122,'S Sheet'!$AO$1),IF($AO$1="Mar",SUMIFS(holly!$L$3:$L$122,holly!$I$3:$I$122,'S Sheet'!$A8,holly!$K$3:$K$122,'S Sheet'!$AO$1),IF($AO$1="Apr",SUMIFS(holly!$L$3:$L$122,holly!$I$3:$I$122,'S Sheet'!$A8,holly!$K$3:$K$122,'S Sheet'!$AO$1),IF($AO$1="May",SUMIFS(holly!$L$3:$L$122,holly!$I$3:$I$122,'S Sheet'!$A8,holly!$K$3:$K$122,'S Sheet'!$AO$1),IF($AO$1="Jun",SUMIFS(holly!$L$3:$L$122,holly!$I$3:$I$122,'S Sheet'!$A8,holly!$K$3:$K$122,'S Sheet'!$AO$1),IF($AO$1="Jul",SUMIFS(holly!$L$3:$L$122,holly!$I$3:$I$122,'S Sheet'!$A8,holly!$K$3:$K$122,'S Sheet'!$AO$1),IF($AO$1="Aug",SUMIFS(holly!$L$3:$L$122,holly!$I$3:$I$122,'S Sheet'!$A8,holly!$K$3:$K$122,'S Sheet'!$AO$1),IF($AO$1="Sep",SUMIFS(holly!$L$3:$L$122,holly!$I$3:$I$122,'S Sheet'!$A8,holly!$K$3:$K$122,'S Sheet'!$AO$1),IF($AO$1="Oct",SUMIFS(holly!$L$3:$L$122,holly!$I$3:$I$122,'S Sheet'!$A8,holly!$K$3:$K$122,'S Sheet'!$AO$1),IF($AO$1="Nov",SUMIFS(holly!$L$3:$L$122,holly!$I$3:$I$122,'S Sheet'!$A8,holly!$K$3:$K$122,'S Sheet'!$AO$1),IF($AO$1="Dec",SUMIFS(holly!$L$3:$L$122,holly!$I$3:$I$122,'S Sheet'!$A8,holly!$K$3:$K$122,'S Sheet'!$AO$1),""))))))))))))</f>
        <v>0</v>
      </c>
      <c r="Q8" s="4">
        <f>IFERROR(VLOOKUP($A8,holly!$I$2:$O$122,5,0),0)</f>
        <v>86.54</v>
      </c>
      <c r="R8" s="4">
        <f>IF($AO$1="Jan",SUMIFS(adv!$Q$3:$Q$52,adv!$M$3:$M$52,'S Sheet'!$A8,adv!$O$3:$O$52,'S Sheet'!$AO$1),IF($AO$1="Feb",SUMIFS(adv!$Q$3:$Q$52,adv!$M$3:$M$52,'S Sheet'!$A8,adv!$O$3:$O$52,'S Sheet'!$AO$1),IF($AO$1="Mar",SUMIFS(adv!$Q$3:$Q$52,adv!$M$3:$M$52,'S Sheet'!$A8,adv!$O$3:$O$52,'S Sheet'!$AO$1),IF($AO$1="Apr",SUMIFS(adv!$Q$3:$Q$52,adv!$M$3:$M$52,'S Sheet'!$A8,adv!$O$3:$O$52,'S Sheet'!$AO$1),IF($AO$1="May",SUMIFS(adv!$Q$3:$Q$52,adv!$M$3:$M$52,'S Sheet'!$A8,adv!$O$3:$O$52,'S Sheet'!$AO$1),IF($AO$1="Jun",SUMIFS(adv!$Q$3:$Q$52,adv!$M$3:$M$52,'S Sheet'!$A8,adv!$O$3:$O$52,'S Sheet'!$AO$1),IF($AO$1="Jul",SUMIFS(adv!$Q$3:$Q$52,adv!$M$3:$M$52,'S Sheet'!$A8,adv!$O$3:$O$52,'S Sheet'!$AO$1),IF($AO$1="Aug",SUMIFS(adv!$Q$3:$Q$52,adv!$M$3:$M$52,'S Sheet'!$A8,adv!$O$3:$O$52,'S Sheet'!$AO$1),IF($AO$1="Sep",SUMIFS(adv!$Q$3:$Q$52,adv!$M$3:$M$52,'S Sheet'!$A8,adv!$O$3:$O$52,'S Sheet'!$AO$1),IF($AO$1="Oct",SUMIFS(adv!$Q$3:$Q$52,adv!$M$3:$M$52,'S Sheet'!$A8,adv!$O$3:$O$52,'S Sheet'!$AO$1),IF($AO$1="Nov",SUMIFS(adv!$Q$3:$Q$52,adv!$M$3:$M$52,'S Sheet'!$A8,adv!$O$3:$O$52,'S Sheet'!$AO$1),IF($AO$1="Dec",SUMIFS(adv!$Q$3:$Q$52,adv!$M$3:$M$52,'S Sheet'!$A8,adv!$O$3:$O$52,'S Sheet'!$AO$1),""))))))))))))</f>
        <v>0</v>
      </c>
      <c r="S8" s="4">
        <f>IF($AO$1="Jan",SUMIFS(loan!$O$3:$O$32,loan!$J$3:$J$32,'S Sheet'!$A8,loan!$L$3:$L$32,'S Sheet'!$AO$1),IF($AO$1="Feb",SUMIFS(loan!$O$3:$O$32,loan!$J$3:$J$32,'S Sheet'!$A8,loan!$L$3:$L$32,'S Sheet'!$AO$1),IF($AO$1="Mar",SUMIFS(loan!$O$3:$O$32,loan!$J$3:$J$32,'S Sheet'!$A8,loan!$L$3:$L$32,'S Sheet'!$AO$1),IF($AO$1="Apr",SUMIFS(loan!$O$3:$O$32,loan!$J$3:$J$32,'S Sheet'!$A8,loan!$L$3:$L$32,'S Sheet'!$AO$1),IF($AO$1="May",SUMIFS(loan!$O$3:$O$32,loan!$J$3:$J$32,'S Sheet'!$A8,loan!$L$3:$L$32,'S Sheet'!$AO$1),IF($AO$1="Jun",SUMIFS(loan!$O$3:$O$32,loan!$J$3:$J$32,'S Sheet'!$A8,loan!$L$3:$L$32,'S Sheet'!$AO$1),IF($AO$1="Jul",SUMIFS(loan!$O$3:$O$32,loan!$J$3:$J$32,'S Sheet'!$A8,loan!$L$3:$L$32,'S Sheet'!$AO$1),IF($AO$1="Aug",SUMIFS(loan!$O$3:$O$32,loan!$J$3:$J$32,'S Sheet'!$A8,loan!$L$3:$L$32,'S Sheet'!$AO$1),IF($AO$1="Sep",SUMIFS(loan!$O$3:$O$32,loan!$J$3:$J$32,'S Sheet'!$A8,loan!$L$3:$L$32,'S Sheet'!$AO$1),IF($AO$1="Oct",SUMIFS(loan!$O$3:$O$32,loan!$J$3:$J$32,'S Sheet'!$A8,loan!$L$3:$L$32,'S Sheet'!$AO$1),IF($AO$1="Nov",SUMIFS(loan!$O$3:$O$32,loan!$J$3:$J$32,'S Sheet'!$A8,loan!$L$3:$L$32,'S Sheet'!$AO$1),IF($AO$1="Dec",SUMIFS(loan!$O$3:$O$32,loan!$J$3:$J$32,'S Sheet'!$A8,loan!$L$3:$L$32,'S Sheet'!$AO$1),""))))))))))))</f>
        <v>0</v>
      </c>
      <c r="T8" s="4">
        <f>IFERROR(VLOOKUP($A8,loan!$A$2:$H$22,3,0),0)</f>
        <v>0</v>
      </c>
      <c r="U8" s="4">
        <f t="shared" si="5"/>
        <v>0</v>
      </c>
      <c r="V8" s="28" t="str">
        <f>IFERROR(VLOOKUP($A8,loan!$A$2:$H$22,2,0),"")</f>
        <v/>
      </c>
      <c r="W8" s="4">
        <f>IFERROR(VLOOKUP($A8,loan!$A$2:$H$22,5,0),0)</f>
        <v>0</v>
      </c>
      <c r="X8" s="4">
        <f t="shared" si="6"/>
        <v>0</v>
      </c>
      <c r="Y8" s="4">
        <f t="shared" si="7"/>
        <v>0</v>
      </c>
      <c r="Z8" s="29">
        <f t="shared" si="13"/>
        <v>0</v>
      </c>
      <c r="AA8" s="4">
        <f>IF('S Sheet'!$AO$1='S Sheet'!$AO$1,SUMIFS(adv!$E$3:$E$97,adv!$B$3:$B$97,'S Sheet'!$A8,adv!$D$3:$D$97,'S Sheet'!$AO$1),0)</f>
        <v>0</v>
      </c>
      <c r="AB8" s="4">
        <f>IF($AO$1=$AO$1,SUMIFS(adv!$H$3:$H$97,adv!$B$3:$B$97,'S Sheet'!$A8,adv!$D$3:$D$97,'S Sheet'!$AO$1),0)</f>
        <v>0</v>
      </c>
      <c r="AC8" s="29">
        <f t="shared" si="0"/>
        <v>0</v>
      </c>
      <c r="AD8" s="4">
        <f t="shared" si="1"/>
        <v>12000</v>
      </c>
      <c r="AE8" s="34">
        <f t="shared" si="2"/>
        <v>11612.903225806453</v>
      </c>
      <c r="AF8" s="4">
        <f>VLOOKUP($A8,Master!$A$2:$K$52,8,0)</f>
        <v>4800</v>
      </c>
      <c r="AG8" s="4">
        <f>VLOOKUP($A8,Master!$A$2:$K$52,9,0)</f>
        <v>1200</v>
      </c>
      <c r="AH8" s="4">
        <f>VLOOKUP($A8,Master!$A$2:$K$52,10,0)</f>
        <v>600</v>
      </c>
      <c r="AI8" s="4">
        <f t="shared" si="3"/>
        <v>0</v>
      </c>
      <c r="AJ8" s="4">
        <f>IF($AO$1=$AO$1,SUMIFS(adv!$Q$3:$Q$52,adv!$M$3:$M$52,'S Sheet'!$A8,adv!$O$3:$O$52,'S Sheet'!$AO$1),0)</f>
        <v>0</v>
      </c>
      <c r="AK8" s="34">
        <f t="shared" si="4"/>
        <v>18212.903225806454</v>
      </c>
      <c r="AL8" s="4">
        <f t="shared" si="8"/>
        <v>1584</v>
      </c>
      <c r="AM8" s="34">
        <f t="shared" si="9"/>
        <v>136.59677419354841</v>
      </c>
      <c r="AN8" s="34">
        <f t="shared" si="10"/>
        <v>0</v>
      </c>
      <c r="AO8" s="4">
        <f t="shared" si="11"/>
        <v>0</v>
      </c>
      <c r="AP8" s="36">
        <f t="shared" si="12"/>
        <v>16492.306451612905</v>
      </c>
    </row>
    <row r="9" spans="1:42" ht="21" x14ac:dyDescent="0.25">
      <c r="A9" s="4" t="s">
        <v>20</v>
      </c>
      <c r="B9" s="4" t="str">
        <f>VLOOKUP($A9,Master!$A$2:$K$52,COLUMN(Master!B7),0)</f>
        <v>Employee6</v>
      </c>
      <c r="C9" s="4" t="str">
        <f>VLOOKUP($A9,Master!$A$2:$K$52,COLUMN(Master!C7),0)</f>
        <v>Female</v>
      </c>
      <c r="D9" s="26">
        <f>VLOOKUP($A9,Master!$A$2:$K$52,COLUMN(Master!D7),0)</f>
        <v>44893</v>
      </c>
      <c r="E9" s="4" t="str">
        <f>VLOOKUP($A9,Master!$A$2:$K$52,COLUMN(Master!E7),0)</f>
        <v>Sales</v>
      </c>
      <c r="F9" s="4" t="str">
        <f>VLOOKUP($A9,Master!$A$2:$K$52,COLUMN(Master!F7),0)</f>
        <v>Sales Officer</v>
      </c>
      <c r="G9" s="4" t="s">
        <v>386</v>
      </c>
      <c r="H9" s="4">
        <v>82002942872</v>
      </c>
      <c r="I9" s="4" t="s">
        <v>387</v>
      </c>
      <c r="J9" s="4">
        <f>VLOOKUP($A9,Master!$A$2:$K$52,COLUMN(Master!G7),0)</f>
        <v>11000</v>
      </c>
      <c r="K9" s="4">
        <f>VLOOKUP($A9,Master!$A$2:$K$52,COLUMN(Master!H7),0)</f>
        <v>4400</v>
      </c>
      <c r="L9" s="4">
        <f>VLOOKUP($A9,Master!$A$2:$K$52,COLUMN(Master!I7),0)</f>
        <v>1100</v>
      </c>
      <c r="M9" s="4">
        <f>VLOOKUP($A9,Master!$A$2:$K$52,COLUMN(Master!J7),0)</f>
        <v>550</v>
      </c>
      <c r="N9" s="4">
        <f>IF($AO$1="Jan",VLOOKUP($A9,jan!$A$5:$AU$54,46,0),IF('S Sheet'!$AO$1="Feb",VLOOKUP('S Sheet'!$A9,feb!$A$5:$AR$54,43,0),IF($AO$1="Mar",VLOOKUP($A9,mar!$A$5:$AU$54,46,0),IF($AO$1="Apr",VLOOKUP($A9,apr!$A$5:$AU$54,45,0),IF($AO$1="May",VLOOKUP($A9,may!$A$5:$AU$54,46,0),IF($AO$1="Jun",VLOOKUP($A9,jun!$A$5:$AU$54,45,0),IF($AO$1="Jul",VLOOKUP($A9,jul!$A$5:$AV$54,46,0),IF($AO$1="Aug",VLOOKUP($A9,aug!$A$5:$AU$54,46,0),IF($AO$1="Sep",VLOOKUP($A9,sep!$A$5:$AT$54,45,0),IF($AO$1="Oct",VLOOKUP($A9,oct!$A$5:$AU$54,46,0),IF($AO$1="Nov",VLOOKUP($A9,nov!$A$5:$AU$54,45,0),IF($AO$1="Dec",VLOOKUP($A9,dec!$A$5:$AU$54,46,0),""))))))))))))</f>
        <v>31</v>
      </c>
      <c r="O9" s="4">
        <f>IF($AO$1="Jan",VLOOKUP($A9,jan!$A$5:$AU$54,47,0),IF('S Sheet'!$AO$1="Feb",VLOOKUP('S Sheet'!$A9,feb!$A$5:$AR$54,44,0),IF($AO$1="Mar",VLOOKUP($A9,mar!$A$5:$AU$54,47,0),IF($AO$1="Apr",VLOOKUP($A9,apr!$A$5:$AU$54,46,0),IF($AO$1="May",VLOOKUP($A9,may!$A$5:$AU$54,47,0),IF($AO$1="Jun",VLOOKUP($A9,jun!$A$5:$AU$54,46,0),IF($AO$1="Jul",VLOOKUP($A9,jul!$A$5:$AV$54,47,0),IF($AO$1="Aug",VLOOKUP($A9,aug!$A$5:$AU$54,47,0),IF($AO$1="Sep",VLOOKUP($A9,sep!$A$5:$AT$54,46,0),IF($AO$1="Oct",VLOOKUP($A9,oct!$A$5:$AU$54,47,0),IF($AO$1="Nov",VLOOKUP($A9,nov!$A$5:$AU$54,46,0),IF($AO$1="Dec",VLOOKUP($A9,dec!$A$5:$AU$54,47,0),""))))))))))))</f>
        <v>31</v>
      </c>
      <c r="P9" s="4">
        <f>IF($AO$1="Jan",SUMIFS(holly!$L$3:$L$122,holly!$I$3:$I$122,'S Sheet'!$A9,holly!$K$3:$K$122,'S Sheet'!$AO$1),IF($AO$1="Feb",SUMIFS(holly!$L$3:$L$122,holly!$I$3:$I$122,'S Sheet'!$A9,holly!$K$3:$K$122,'S Sheet'!$AO$1),IF($AO$1="Mar",SUMIFS(holly!$L$3:$L$122,holly!$I$3:$I$122,'S Sheet'!$A9,holly!$K$3:$K$122,'S Sheet'!$AO$1),IF($AO$1="Apr",SUMIFS(holly!$L$3:$L$122,holly!$I$3:$I$122,'S Sheet'!$A9,holly!$K$3:$K$122,'S Sheet'!$AO$1),IF($AO$1="May",SUMIFS(holly!$L$3:$L$122,holly!$I$3:$I$122,'S Sheet'!$A9,holly!$K$3:$K$122,'S Sheet'!$AO$1),IF($AO$1="Jun",SUMIFS(holly!$L$3:$L$122,holly!$I$3:$I$122,'S Sheet'!$A9,holly!$K$3:$K$122,'S Sheet'!$AO$1),IF($AO$1="Jul",SUMIFS(holly!$L$3:$L$122,holly!$I$3:$I$122,'S Sheet'!$A9,holly!$K$3:$K$122,'S Sheet'!$AO$1),IF($AO$1="Aug",SUMIFS(holly!$L$3:$L$122,holly!$I$3:$I$122,'S Sheet'!$A9,holly!$K$3:$K$122,'S Sheet'!$AO$1),IF($AO$1="Sep",SUMIFS(holly!$L$3:$L$122,holly!$I$3:$I$122,'S Sheet'!$A9,holly!$K$3:$K$122,'S Sheet'!$AO$1),IF($AO$1="Oct",SUMIFS(holly!$L$3:$L$122,holly!$I$3:$I$122,'S Sheet'!$A9,holly!$K$3:$K$122,'S Sheet'!$AO$1),IF($AO$1="Nov",SUMIFS(holly!$L$3:$L$122,holly!$I$3:$I$122,'S Sheet'!$A9,holly!$K$3:$K$122,'S Sheet'!$AO$1),IF($AO$1="Dec",SUMIFS(holly!$L$3:$L$122,holly!$I$3:$I$122,'S Sheet'!$A9,holly!$K$3:$K$122,'S Sheet'!$AO$1),""))))))))))))</f>
        <v>2</v>
      </c>
      <c r="Q9" s="4">
        <f>IFERROR(VLOOKUP($A9,holly!$I$2:$O$122,5,0),0)</f>
        <v>79.33</v>
      </c>
      <c r="R9" s="4">
        <f>IF($AO$1="Jan",SUMIFS(adv!$Q$3:$Q$52,adv!$M$3:$M$52,'S Sheet'!$A9,adv!$O$3:$O$52,'S Sheet'!$AO$1),IF($AO$1="Feb",SUMIFS(adv!$Q$3:$Q$52,adv!$M$3:$M$52,'S Sheet'!$A9,adv!$O$3:$O$52,'S Sheet'!$AO$1),IF($AO$1="Mar",SUMIFS(adv!$Q$3:$Q$52,adv!$M$3:$M$52,'S Sheet'!$A9,adv!$O$3:$O$52,'S Sheet'!$AO$1),IF($AO$1="Apr",SUMIFS(adv!$Q$3:$Q$52,adv!$M$3:$M$52,'S Sheet'!$A9,adv!$O$3:$O$52,'S Sheet'!$AO$1),IF($AO$1="May",SUMIFS(adv!$Q$3:$Q$52,adv!$M$3:$M$52,'S Sheet'!$A9,adv!$O$3:$O$52,'S Sheet'!$AO$1),IF($AO$1="Jun",SUMIFS(adv!$Q$3:$Q$52,adv!$M$3:$M$52,'S Sheet'!$A9,adv!$O$3:$O$52,'S Sheet'!$AO$1),IF($AO$1="Jul",SUMIFS(adv!$Q$3:$Q$52,adv!$M$3:$M$52,'S Sheet'!$A9,adv!$O$3:$O$52,'S Sheet'!$AO$1),IF($AO$1="Aug",SUMIFS(adv!$Q$3:$Q$52,adv!$M$3:$M$52,'S Sheet'!$A9,adv!$O$3:$O$52,'S Sheet'!$AO$1),IF($AO$1="Sep",SUMIFS(adv!$Q$3:$Q$52,adv!$M$3:$M$52,'S Sheet'!$A9,adv!$O$3:$O$52,'S Sheet'!$AO$1),IF($AO$1="Oct",SUMIFS(adv!$Q$3:$Q$52,adv!$M$3:$M$52,'S Sheet'!$A9,adv!$O$3:$O$52,'S Sheet'!$AO$1),IF($AO$1="Nov",SUMIFS(adv!$Q$3:$Q$52,adv!$M$3:$M$52,'S Sheet'!$A9,adv!$O$3:$O$52,'S Sheet'!$AO$1),IF($AO$1="Dec",SUMIFS(adv!$Q$3:$Q$52,adv!$M$3:$M$52,'S Sheet'!$A9,adv!$O$3:$O$52,'S Sheet'!$AO$1),""))))))))))))</f>
        <v>0</v>
      </c>
      <c r="S9" s="4">
        <f>IF($AO$1="Jan",SUMIFS(loan!$O$3:$O$32,loan!$J$3:$J$32,'S Sheet'!$A9,loan!$L$3:$L$32,'S Sheet'!$AO$1),IF($AO$1="Feb",SUMIFS(loan!$O$3:$O$32,loan!$J$3:$J$32,'S Sheet'!$A9,loan!$L$3:$L$32,'S Sheet'!$AO$1),IF($AO$1="Mar",SUMIFS(loan!$O$3:$O$32,loan!$J$3:$J$32,'S Sheet'!$A9,loan!$L$3:$L$32,'S Sheet'!$AO$1),IF($AO$1="Apr",SUMIFS(loan!$O$3:$O$32,loan!$J$3:$J$32,'S Sheet'!$A9,loan!$L$3:$L$32,'S Sheet'!$AO$1),IF($AO$1="May",SUMIFS(loan!$O$3:$O$32,loan!$J$3:$J$32,'S Sheet'!$A9,loan!$L$3:$L$32,'S Sheet'!$AO$1),IF($AO$1="Jun",SUMIFS(loan!$O$3:$O$32,loan!$J$3:$J$32,'S Sheet'!$A9,loan!$L$3:$L$32,'S Sheet'!$AO$1),IF($AO$1="Jul",SUMIFS(loan!$O$3:$O$32,loan!$J$3:$J$32,'S Sheet'!$A9,loan!$L$3:$L$32,'S Sheet'!$AO$1),IF($AO$1="Aug",SUMIFS(loan!$O$3:$O$32,loan!$J$3:$J$32,'S Sheet'!$A9,loan!$L$3:$L$32,'S Sheet'!$AO$1),IF($AO$1="Sep",SUMIFS(loan!$O$3:$O$32,loan!$J$3:$J$32,'S Sheet'!$A9,loan!$L$3:$L$32,'S Sheet'!$AO$1),IF($AO$1="Oct",SUMIFS(loan!$O$3:$O$32,loan!$J$3:$J$32,'S Sheet'!$A9,loan!$L$3:$L$32,'S Sheet'!$AO$1),IF($AO$1="Nov",SUMIFS(loan!$O$3:$O$32,loan!$J$3:$J$32,'S Sheet'!$A9,loan!$L$3:$L$32,'S Sheet'!$AO$1),IF($AO$1="Dec",SUMIFS(loan!$O$3:$O$32,loan!$J$3:$J$32,'S Sheet'!$A9,loan!$L$3:$L$32,'S Sheet'!$AO$1),""))))))))))))</f>
        <v>0</v>
      </c>
      <c r="T9" s="4">
        <f>IFERROR(VLOOKUP($A9,loan!$A$2:$H$22,3,0),0)</f>
        <v>50000</v>
      </c>
      <c r="U9" s="4">
        <f t="shared" si="5"/>
        <v>2000</v>
      </c>
      <c r="V9" s="28">
        <f>IFERROR(VLOOKUP($A9,loan!$A$2:$H$22,2,0),"")</f>
        <v>45865</v>
      </c>
      <c r="W9" s="4">
        <f>IFERROR(VLOOKUP($A9,loan!$A$2:$H$22,5,0),0)</f>
        <v>25</v>
      </c>
      <c r="X9" s="4">
        <f t="shared" si="6"/>
        <v>14</v>
      </c>
      <c r="Y9" s="4">
        <f t="shared" si="7"/>
        <v>11</v>
      </c>
      <c r="Z9" s="29">
        <f t="shared" si="13"/>
        <v>22000</v>
      </c>
      <c r="AA9" s="4">
        <f>IF('S Sheet'!$AO$1='S Sheet'!$AO$1,SUMIFS(adv!$E$3:$E$97,adv!$B$3:$B$97,'S Sheet'!$A9,adv!$D$3:$D$97,'S Sheet'!$AO$1),0)</f>
        <v>5000</v>
      </c>
      <c r="AB9" s="4">
        <f>IF($AO$1=$AO$1,SUMIFS(adv!$H$3:$H$97,adv!$B$3:$B$97,'S Sheet'!$A9,adv!$D$3:$D$97,'S Sheet'!$AO$1),0)</f>
        <v>1500</v>
      </c>
      <c r="AC9" s="29">
        <f t="shared" si="0"/>
        <v>3500</v>
      </c>
      <c r="AD9" s="4">
        <f t="shared" si="1"/>
        <v>11000</v>
      </c>
      <c r="AE9" s="34">
        <f t="shared" si="2"/>
        <v>11000</v>
      </c>
      <c r="AF9" s="4">
        <f>VLOOKUP($A9,Master!$A$2:$K$52,8,0)</f>
        <v>4400</v>
      </c>
      <c r="AG9" s="4">
        <f>VLOOKUP($A9,Master!$A$2:$K$52,9,0)</f>
        <v>1100</v>
      </c>
      <c r="AH9" s="4">
        <f>VLOOKUP($A9,Master!$A$2:$K$52,10,0)</f>
        <v>550</v>
      </c>
      <c r="AI9" s="4">
        <f t="shared" si="3"/>
        <v>158.66</v>
      </c>
      <c r="AJ9" s="4">
        <f>IF($AO$1=$AO$1,SUMIFS(adv!$Q$3:$Q$52,adv!$M$3:$M$52,'S Sheet'!$A9,adv!$O$3:$O$52,'S Sheet'!$AO$1),0)</f>
        <v>0</v>
      </c>
      <c r="AK9" s="34">
        <f t="shared" si="4"/>
        <v>17208.66</v>
      </c>
      <c r="AL9" s="4">
        <f t="shared" si="8"/>
        <v>1452</v>
      </c>
      <c r="AM9" s="34">
        <f t="shared" si="9"/>
        <v>129.06494999999998</v>
      </c>
      <c r="AN9" s="34">
        <f t="shared" si="10"/>
        <v>2000</v>
      </c>
      <c r="AO9" s="4">
        <f t="shared" si="11"/>
        <v>1500</v>
      </c>
      <c r="AP9" s="36">
        <f t="shared" si="12"/>
        <v>12127.59505</v>
      </c>
    </row>
    <row r="10" spans="1:42" ht="21" x14ac:dyDescent="0.25">
      <c r="A10" s="4" t="s">
        <v>23</v>
      </c>
      <c r="B10" s="4" t="str">
        <f>VLOOKUP($A10,Master!$A$2:$K$52,COLUMN(Master!B8),0)</f>
        <v>Employee7</v>
      </c>
      <c r="C10" s="4" t="str">
        <f>VLOOKUP($A10,Master!$A$2:$K$52,COLUMN(Master!C8),0)</f>
        <v>Male</v>
      </c>
      <c r="D10" s="26">
        <f>VLOOKUP($A10,Master!$A$2:$K$52,COLUMN(Master!D8),0)</f>
        <v>44386</v>
      </c>
      <c r="E10" s="4" t="str">
        <f>VLOOKUP($A10,Master!$A$2:$K$52,COLUMN(Master!E8),0)</f>
        <v>Production</v>
      </c>
      <c r="F10" s="4" t="str">
        <f>VLOOKUP($A10,Master!$A$2:$K$52,COLUMN(Master!F8),0)</f>
        <v>Senior Operator</v>
      </c>
      <c r="G10" s="4" t="s">
        <v>25</v>
      </c>
      <c r="H10" s="4">
        <v>85633147665</v>
      </c>
      <c r="I10" s="4" t="s">
        <v>388</v>
      </c>
      <c r="J10" s="4">
        <f>VLOOKUP($A10,Master!$A$2:$K$52,COLUMN(Master!G8),0)</f>
        <v>13000</v>
      </c>
      <c r="K10" s="4">
        <f>VLOOKUP($A10,Master!$A$2:$K$52,COLUMN(Master!H8),0)</f>
        <v>5200</v>
      </c>
      <c r="L10" s="4">
        <f>VLOOKUP($A10,Master!$A$2:$K$52,COLUMN(Master!I8),0)</f>
        <v>1300</v>
      </c>
      <c r="M10" s="4">
        <f>VLOOKUP($A10,Master!$A$2:$K$52,COLUMN(Master!J8),0)</f>
        <v>650</v>
      </c>
      <c r="N10" s="4">
        <f>IF($AO$1="Jan",VLOOKUP($A10,jan!$A$5:$AU$54,46,0),IF('S Sheet'!$AO$1="Feb",VLOOKUP('S Sheet'!$A10,feb!$A$5:$AR$54,43,0),IF($AO$1="Mar",VLOOKUP($A10,mar!$A$5:$AU$54,46,0),IF($AO$1="Apr",VLOOKUP($A10,apr!$A$5:$AU$54,45,0),IF($AO$1="May",VLOOKUP($A10,may!$A$5:$AU$54,46,0),IF($AO$1="Jun",VLOOKUP($A10,jun!$A$5:$AU$54,45,0),IF($AO$1="Jul",VLOOKUP($A10,jul!$A$5:$AV$54,46,0),IF($AO$1="Aug",VLOOKUP($A10,aug!$A$5:$AU$54,46,0),IF($AO$1="Sep",VLOOKUP($A10,sep!$A$5:$AT$54,45,0),IF($AO$1="Oct",VLOOKUP($A10,oct!$A$5:$AU$54,46,0),IF($AO$1="Nov",VLOOKUP($A10,nov!$A$5:$AU$54,45,0),IF($AO$1="Dec",VLOOKUP($A10,dec!$A$5:$AU$54,46,0),""))))))))))))</f>
        <v>31</v>
      </c>
      <c r="O10" s="4">
        <f>IF($AO$1="Jan",VLOOKUP($A10,jan!$A$5:$AU$54,47,0),IF('S Sheet'!$AO$1="Feb",VLOOKUP('S Sheet'!$A10,feb!$A$5:$AR$54,44,0),IF($AO$1="Mar",VLOOKUP($A10,mar!$A$5:$AU$54,47,0),IF($AO$1="Apr",VLOOKUP($A10,apr!$A$5:$AU$54,46,0),IF($AO$1="May",VLOOKUP($A10,may!$A$5:$AU$54,47,0),IF($AO$1="Jun",VLOOKUP($A10,jun!$A$5:$AU$54,46,0),IF($AO$1="Jul",VLOOKUP($A10,jul!$A$5:$AV$54,47,0),IF($AO$1="Aug",VLOOKUP($A10,aug!$A$5:$AU$54,47,0),IF($AO$1="Sep",VLOOKUP($A10,sep!$A$5:$AT$54,46,0),IF($AO$1="Oct",VLOOKUP($A10,oct!$A$5:$AU$54,47,0),IF($AO$1="Nov",VLOOKUP($A10,nov!$A$5:$AU$54,46,0),IF($AO$1="Dec",VLOOKUP($A10,dec!$A$5:$AU$54,47,0),""))))))))))))</f>
        <v>29</v>
      </c>
      <c r="P10" s="4">
        <f>IF($AO$1="Jan",SUMIFS(holly!$L$3:$L$122,holly!$I$3:$I$122,'S Sheet'!$A10,holly!$K$3:$K$122,'S Sheet'!$AO$1),IF($AO$1="Feb",SUMIFS(holly!$L$3:$L$122,holly!$I$3:$I$122,'S Sheet'!$A10,holly!$K$3:$K$122,'S Sheet'!$AO$1),IF($AO$1="Mar",SUMIFS(holly!$L$3:$L$122,holly!$I$3:$I$122,'S Sheet'!$A10,holly!$K$3:$K$122,'S Sheet'!$AO$1),IF($AO$1="Apr",SUMIFS(holly!$L$3:$L$122,holly!$I$3:$I$122,'S Sheet'!$A10,holly!$K$3:$K$122,'S Sheet'!$AO$1),IF($AO$1="May",SUMIFS(holly!$L$3:$L$122,holly!$I$3:$I$122,'S Sheet'!$A10,holly!$K$3:$K$122,'S Sheet'!$AO$1),IF($AO$1="Jun",SUMIFS(holly!$L$3:$L$122,holly!$I$3:$I$122,'S Sheet'!$A10,holly!$K$3:$K$122,'S Sheet'!$AO$1),IF($AO$1="Jul",SUMIFS(holly!$L$3:$L$122,holly!$I$3:$I$122,'S Sheet'!$A10,holly!$K$3:$K$122,'S Sheet'!$AO$1),IF($AO$1="Aug",SUMIFS(holly!$L$3:$L$122,holly!$I$3:$I$122,'S Sheet'!$A10,holly!$K$3:$K$122,'S Sheet'!$AO$1),IF($AO$1="Sep",SUMIFS(holly!$L$3:$L$122,holly!$I$3:$I$122,'S Sheet'!$A10,holly!$K$3:$K$122,'S Sheet'!$AO$1),IF($AO$1="Oct",SUMIFS(holly!$L$3:$L$122,holly!$I$3:$I$122,'S Sheet'!$A10,holly!$K$3:$K$122,'S Sheet'!$AO$1),IF($AO$1="Nov",SUMIFS(holly!$L$3:$L$122,holly!$I$3:$I$122,'S Sheet'!$A10,holly!$K$3:$K$122,'S Sheet'!$AO$1),IF($AO$1="Dec",SUMIFS(holly!$L$3:$L$122,holly!$I$3:$I$122,'S Sheet'!$A10,holly!$K$3:$K$122,'S Sheet'!$AO$1),""))))))))))))</f>
        <v>1</v>
      </c>
      <c r="Q10" s="4">
        <f>IFERROR(VLOOKUP($A10,holly!$I$2:$O$122,5,0),0)</f>
        <v>93.75</v>
      </c>
      <c r="R10" s="4">
        <f>IF($AO$1="Jan",SUMIFS(adv!$Q$3:$Q$52,adv!$M$3:$M$52,'S Sheet'!$A10,adv!$O$3:$O$52,'S Sheet'!$AO$1),IF($AO$1="Feb",SUMIFS(adv!$Q$3:$Q$52,adv!$M$3:$M$52,'S Sheet'!$A10,adv!$O$3:$O$52,'S Sheet'!$AO$1),IF($AO$1="Mar",SUMIFS(adv!$Q$3:$Q$52,adv!$M$3:$M$52,'S Sheet'!$A10,adv!$O$3:$O$52,'S Sheet'!$AO$1),IF($AO$1="Apr",SUMIFS(adv!$Q$3:$Q$52,adv!$M$3:$M$52,'S Sheet'!$A10,adv!$O$3:$O$52,'S Sheet'!$AO$1),IF($AO$1="May",SUMIFS(adv!$Q$3:$Q$52,adv!$M$3:$M$52,'S Sheet'!$A10,adv!$O$3:$O$52,'S Sheet'!$AO$1),IF($AO$1="Jun",SUMIFS(adv!$Q$3:$Q$52,adv!$M$3:$M$52,'S Sheet'!$A10,adv!$O$3:$O$52,'S Sheet'!$AO$1),IF($AO$1="Jul",SUMIFS(adv!$Q$3:$Q$52,adv!$M$3:$M$52,'S Sheet'!$A10,adv!$O$3:$O$52,'S Sheet'!$AO$1),IF($AO$1="Aug",SUMIFS(adv!$Q$3:$Q$52,adv!$M$3:$M$52,'S Sheet'!$A10,adv!$O$3:$O$52,'S Sheet'!$AO$1),IF($AO$1="Sep",SUMIFS(adv!$Q$3:$Q$52,adv!$M$3:$M$52,'S Sheet'!$A10,adv!$O$3:$O$52,'S Sheet'!$AO$1),IF($AO$1="Oct",SUMIFS(adv!$Q$3:$Q$52,adv!$M$3:$M$52,'S Sheet'!$A10,adv!$O$3:$O$52,'S Sheet'!$AO$1),IF($AO$1="Nov",SUMIFS(adv!$Q$3:$Q$52,adv!$M$3:$M$52,'S Sheet'!$A10,adv!$O$3:$O$52,'S Sheet'!$AO$1),IF($AO$1="Dec",SUMIFS(adv!$Q$3:$Q$52,adv!$M$3:$M$52,'S Sheet'!$A10,adv!$O$3:$O$52,'S Sheet'!$AO$1),""))))))))))))</f>
        <v>1500</v>
      </c>
      <c r="S10" s="4">
        <f>IF($AO$1="Jan",SUMIFS(loan!$O$3:$O$32,loan!$J$3:$J$32,'S Sheet'!$A10,loan!$L$3:$L$32,'S Sheet'!$AO$1),IF($AO$1="Feb",SUMIFS(loan!$O$3:$O$32,loan!$J$3:$J$32,'S Sheet'!$A10,loan!$L$3:$L$32,'S Sheet'!$AO$1),IF($AO$1="Mar",SUMIFS(loan!$O$3:$O$32,loan!$J$3:$J$32,'S Sheet'!$A10,loan!$L$3:$L$32,'S Sheet'!$AO$1),IF($AO$1="Apr",SUMIFS(loan!$O$3:$O$32,loan!$J$3:$J$32,'S Sheet'!$A10,loan!$L$3:$L$32,'S Sheet'!$AO$1),IF($AO$1="May",SUMIFS(loan!$O$3:$O$32,loan!$J$3:$J$32,'S Sheet'!$A10,loan!$L$3:$L$32,'S Sheet'!$AO$1),IF($AO$1="Jun",SUMIFS(loan!$O$3:$O$32,loan!$J$3:$J$32,'S Sheet'!$A10,loan!$L$3:$L$32,'S Sheet'!$AO$1),IF($AO$1="Jul",SUMIFS(loan!$O$3:$O$32,loan!$J$3:$J$32,'S Sheet'!$A10,loan!$L$3:$L$32,'S Sheet'!$AO$1),IF($AO$1="Aug",SUMIFS(loan!$O$3:$O$32,loan!$J$3:$J$32,'S Sheet'!$A10,loan!$L$3:$L$32,'S Sheet'!$AO$1),IF($AO$1="Sep",SUMIFS(loan!$O$3:$O$32,loan!$J$3:$J$32,'S Sheet'!$A10,loan!$L$3:$L$32,'S Sheet'!$AO$1),IF($AO$1="Oct",SUMIFS(loan!$O$3:$O$32,loan!$J$3:$J$32,'S Sheet'!$A10,loan!$L$3:$L$32,'S Sheet'!$AO$1),IF($AO$1="Nov",SUMIFS(loan!$O$3:$O$32,loan!$J$3:$J$32,'S Sheet'!$A10,loan!$L$3:$L$32,'S Sheet'!$AO$1),IF($AO$1="Dec",SUMIFS(loan!$O$3:$O$32,loan!$J$3:$J$32,'S Sheet'!$A10,loan!$L$3:$L$32,'S Sheet'!$AO$1),""))))))))))))</f>
        <v>0</v>
      </c>
      <c r="T10" s="4">
        <f>IFERROR(VLOOKUP($A10,loan!$A$2:$H$22,3,0),0)</f>
        <v>30000</v>
      </c>
      <c r="U10" s="4">
        <f t="shared" si="5"/>
        <v>1250</v>
      </c>
      <c r="V10" s="28">
        <f>IFERROR(VLOOKUP($A10,loan!$A$2:$H$22,2,0),"")</f>
        <v>45863</v>
      </c>
      <c r="W10" s="4">
        <f>IFERROR(VLOOKUP($A10,loan!$A$2:$H$22,5,0),0)</f>
        <v>24</v>
      </c>
      <c r="X10" s="4">
        <f t="shared" si="6"/>
        <v>14</v>
      </c>
      <c r="Y10" s="4">
        <f t="shared" si="7"/>
        <v>10</v>
      </c>
      <c r="Z10" s="29">
        <f t="shared" si="13"/>
        <v>12500</v>
      </c>
      <c r="AA10" s="4">
        <f>IF('S Sheet'!$AO$1='S Sheet'!$AO$1,SUMIFS(adv!$E$3:$E$97,adv!$B$3:$B$97,'S Sheet'!$A10,adv!$D$3:$D$97,'S Sheet'!$AO$1),0)</f>
        <v>0</v>
      </c>
      <c r="AB10" s="4">
        <f>IF($AO$1=$AO$1,SUMIFS(adv!$H$3:$H$97,adv!$B$3:$B$97,'S Sheet'!$A10,adv!$D$3:$D$97,'S Sheet'!$AO$1),0)</f>
        <v>0</v>
      </c>
      <c r="AC10" s="29">
        <f t="shared" si="0"/>
        <v>0</v>
      </c>
      <c r="AD10" s="4">
        <f t="shared" si="1"/>
        <v>13000</v>
      </c>
      <c r="AE10" s="34">
        <f t="shared" si="2"/>
        <v>12161.290322580646</v>
      </c>
      <c r="AF10" s="4">
        <f>VLOOKUP($A10,Master!$A$2:$K$52,8,0)</f>
        <v>5200</v>
      </c>
      <c r="AG10" s="4">
        <f>VLOOKUP($A10,Master!$A$2:$K$52,9,0)</f>
        <v>1300</v>
      </c>
      <c r="AH10" s="4">
        <f>VLOOKUP($A10,Master!$A$2:$K$52,10,0)</f>
        <v>650</v>
      </c>
      <c r="AI10" s="4">
        <f t="shared" si="3"/>
        <v>93.75</v>
      </c>
      <c r="AJ10" s="4">
        <f>IF($AO$1=$AO$1,SUMIFS(adv!$Q$3:$Q$52,adv!$M$3:$M$52,'S Sheet'!$A10,adv!$O$3:$O$52,'S Sheet'!$AO$1),0)</f>
        <v>1500</v>
      </c>
      <c r="AK10" s="34">
        <f t="shared" si="4"/>
        <v>20905.040322580644</v>
      </c>
      <c r="AL10" s="4">
        <f t="shared" si="8"/>
        <v>1716</v>
      </c>
      <c r="AM10" s="34">
        <f t="shared" si="9"/>
        <v>156.78780241935482</v>
      </c>
      <c r="AN10" s="34">
        <f t="shared" si="10"/>
        <v>1250</v>
      </c>
      <c r="AO10" s="4">
        <f t="shared" si="11"/>
        <v>0</v>
      </c>
      <c r="AP10" s="36">
        <f t="shared" si="12"/>
        <v>17782.252520161288</v>
      </c>
    </row>
    <row r="11" spans="1:42" ht="21" x14ac:dyDescent="0.25">
      <c r="A11" s="4" t="s">
        <v>24</v>
      </c>
      <c r="B11" s="4" t="str">
        <f>VLOOKUP($A11,Master!$A$2:$K$52,COLUMN(Master!B9),0)</f>
        <v>Employee8</v>
      </c>
      <c r="C11" s="4" t="str">
        <f>VLOOKUP($A11,Master!$A$2:$K$52,COLUMN(Master!C9),0)</f>
        <v>Male</v>
      </c>
      <c r="D11" s="26">
        <f>VLOOKUP($A11,Master!$A$2:$K$52,COLUMN(Master!D9),0)</f>
        <v>44285</v>
      </c>
      <c r="E11" s="4" t="str">
        <f>VLOOKUP($A11,Master!$A$2:$K$52,COLUMN(Master!E9),0)</f>
        <v>Production</v>
      </c>
      <c r="F11" s="4" t="str">
        <f>VLOOKUP($A11,Master!$A$2:$K$52,COLUMN(Master!F9),0)</f>
        <v>Supervisor</v>
      </c>
      <c r="G11" s="4" t="s">
        <v>386</v>
      </c>
      <c r="H11" s="4">
        <v>24068012276</v>
      </c>
      <c r="I11" s="4" t="s">
        <v>389</v>
      </c>
      <c r="J11" s="4">
        <f>VLOOKUP($A11,Master!$A$2:$K$52,COLUMN(Master!G9),0)</f>
        <v>13000</v>
      </c>
      <c r="K11" s="4">
        <f>VLOOKUP($A11,Master!$A$2:$K$52,COLUMN(Master!H9),0)</f>
        <v>5200</v>
      </c>
      <c r="L11" s="4">
        <f>VLOOKUP($A11,Master!$A$2:$K$52,COLUMN(Master!I9),0)</f>
        <v>1300</v>
      </c>
      <c r="M11" s="4">
        <f>VLOOKUP($A11,Master!$A$2:$K$52,COLUMN(Master!J9),0)</f>
        <v>650</v>
      </c>
      <c r="N11" s="4">
        <f>IF($AO$1="Jan",VLOOKUP($A11,jan!$A$5:$AU$54,46,0),IF('S Sheet'!$AO$1="Feb",VLOOKUP('S Sheet'!$A11,feb!$A$5:$AR$54,43,0),IF($AO$1="Mar",VLOOKUP($A11,mar!$A$5:$AU$54,46,0),IF($AO$1="Apr",VLOOKUP($A11,apr!$A$5:$AU$54,45,0),IF($AO$1="May",VLOOKUP($A11,may!$A$5:$AU$54,46,0),IF($AO$1="Jun",VLOOKUP($A11,jun!$A$5:$AU$54,45,0),IF($AO$1="Jul",VLOOKUP($A11,jul!$A$5:$AV$54,46,0),IF($AO$1="Aug",VLOOKUP($A11,aug!$A$5:$AU$54,46,0),IF($AO$1="Sep",VLOOKUP($A11,sep!$A$5:$AT$54,45,0),IF($AO$1="Oct",VLOOKUP($A11,oct!$A$5:$AU$54,46,0),IF($AO$1="Nov",VLOOKUP($A11,nov!$A$5:$AU$54,45,0),IF($AO$1="Dec",VLOOKUP($A11,dec!$A$5:$AU$54,46,0),""))))))))))))</f>
        <v>31</v>
      </c>
      <c r="O11" s="4">
        <f>IF($AO$1="Jan",VLOOKUP($A11,jan!$A$5:$AU$54,47,0),IF('S Sheet'!$AO$1="Feb",VLOOKUP('S Sheet'!$A11,feb!$A$5:$AR$54,44,0),IF($AO$1="Mar",VLOOKUP($A11,mar!$A$5:$AU$54,47,0),IF($AO$1="Apr",VLOOKUP($A11,apr!$A$5:$AU$54,46,0),IF($AO$1="May",VLOOKUP($A11,may!$A$5:$AU$54,47,0),IF($AO$1="Jun",VLOOKUP($A11,jun!$A$5:$AU$54,46,0),IF($AO$1="Jul",VLOOKUP($A11,jul!$A$5:$AV$54,47,0),IF($AO$1="Aug",VLOOKUP($A11,aug!$A$5:$AU$54,47,0),IF($AO$1="Sep",VLOOKUP($A11,sep!$A$5:$AT$54,46,0),IF($AO$1="Oct",VLOOKUP($A11,oct!$A$5:$AU$54,47,0),IF($AO$1="Nov",VLOOKUP($A11,nov!$A$5:$AU$54,46,0),IF($AO$1="Dec",VLOOKUP($A11,dec!$A$5:$AU$54,47,0),""))))))))))))</f>
        <v>30</v>
      </c>
      <c r="P11" s="4">
        <f>IF($AO$1="Jan",SUMIFS(holly!$L$3:$L$122,holly!$I$3:$I$122,'S Sheet'!$A11,holly!$K$3:$K$122,'S Sheet'!$AO$1),IF($AO$1="Feb",SUMIFS(holly!$L$3:$L$122,holly!$I$3:$I$122,'S Sheet'!$A11,holly!$K$3:$K$122,'S Sheet'!$AO$1),IF($AO$1="Mar",SUMIFS(holly!$L$3:$L$122,holly!$I$3:$I$122,'S Sheet'!$A11,holly!$K$3:$K$122,'S Sheet'!$AO$1),IF($AO$1="Apr",SUMIFS(holly!$L$3:$L$122,holly!$I$3:$I$122,'S Sheet'!$A11,holly!$K$3:$K$122,'S Sheet'!$AO$1),IF($AO$1="May",SUMIFS(holly!$L$3:$L$122,holly!$I$3:$I$122,'S Sheet'!$A11,holly!$K$3:$K$122,'S Sheet'!$AO$1),IF($AO$1="Jun",SUMIFS(holly!$L$3:$L$122,holly!$I$3:$I$122,'S Sheet'!$A11,holly!$K$3:$K$122,'S Sheet'!$AO$1),IF($AO$1="Jul",SUMIFS(holly!$L$3:$L$122,holly!$I$3:$I$122,'S Sheet'!$A11,holly!$K$3:$K$122,'S Sheet'!$AO$1),IF($AO$1="Aug",SUMIFS(holly!$L$3:$L$122,holly!$I$3:$I$122,'S Sheet'!$A11,holly!$K$3:$K$122,'S Sheet'!$AO$1),IF($AO$1="Sep",SUMIFS(holly!$L$3:$L$122,holly!$I$3:$I$122,'S Sheet'!$A11,holly!$K$3:$K$122,'S Sheet'!$AO$1),IF($AO$1="Oct",SUMIFS(holly!$L$3:$L$122,holly!$I$3:$I$122,'S Sheet'!$A11,holly!$K$3:$K$122,'S Sheet'!$AO$1),IF($AO$1="Nov",SUMIFS(holly!$L$3:$L$122,holly!$I$3:$I$122,'S Sheet'!$A11,holly!$K$3:$K$122,'S Sheet'!$AO$1),IF($AO$1="Dec",SUMIFS(holly!$L$3:$L$122,holly!$I$3:$I$122,'S Sheet'!$A11,holly!$K$3:$K$122,'S Sheet'!$AO$1),""))))))))))))</f>
        <v>0</v>
      </c>
      <c r="Q11" s="4">
        <f>IFERROR(VLOOKUP($A11,holly!$I$2:$O$122,5,0),0)</f>
        <v>93.75</v>
      </c>
      <c r="R11" s="4">
        <f>IF($AO$1="Jan",SUMIFS(adv!$Q$3:$Q$52,adv!$M$3:$M$52,'S Sheet'!$A11,adv!$O$3:$O$52,'S Sheet'!$AO$1),IF($AO$1="Feb",SUMIFS(adv!$Q$3:$Q$52,adv!$M$3:$M$52,'S Sheet'!$A11,adv!$O$3:$O$52,'S Sheet'!$AO$1),IF($AO$1="Mar",SUMIFS(adv!$Q$3:$Q$52,adv!$M$3:$M$52,'S Sheet'!$A11,adv!$O$3:$O$52,'S Sheet'!$AO$1),IF($AO$1="Apr",SUMIFS(adv!$Q$3:$Q$52,adv!$M$3:$M$52,'S Sheet'!$A11,adv!$O$3:$O$52,'S Sheet'!$AO$1),IF($AO$1="May",SUMIFS(adv!$Q$3:$Q$52,adv!$M$3:$M$52,'S Sheet'!$A11,adv!$O$3:$O$52,'S Sheet'!$AO$1),IF($AO$1="Jun",SUMIFS(adv!$Q$3:$Q$52,adv!$M$3:$M$52,'S Sheet'!$A11,adv!$O$3:$O$52,'S Sheet'!$AO$1),IF($AO$1="Jul",SUMIFS(adv!$Q$3:$Q$52,adv!$M$3:$M$52,'S Sheet'!$A11,adv!$O$3:$O$52,'S Sheet'!$AO$1),IF($AO$1="Aug",SUMIFS(adv!$Q$3:$Q$52,adv!$M$3:$M$52,'S Sheet'!$A11,adv!$O$3:$O$52,'S Sheet'!$AO$1),IF($AO$1="Sep",SUMIFS(adv!$Q$3:$Q$52,adv!$M$3:$M$52,'S Sheet'!$A11,adv!$O$3:$O$52,'S Sheet'!$AO$1),IF($AO$1="Oct",SUMIFS(adv!$Q$3:$Q$52,adv!$M$3:$M$52,'S Sheet'!$A11,adv!$O$3:$O$52,'S Sheet'!$AO$1),IF($AO$1="Nov",SUMIFS(adv!$Q$3:$Q$52,adv!$M$3:$M$52,'S Sheet'!$A11,adv!$O$3:$O$52,'S Sheet'!$AO$1),IF($AO$1="Dec",SUMIFS(adv!$Q$3:$Q$52,adv!$M$3:$M$52,'S Sheet'!$A11,adv!$O$3:$O$52,'S Sheet'!$AO$1),""))))))))))))</f>
        <v>0</v>
      </c>
      <c r="S11" s="4">
        <f>IF($AO$1="Jan",SUMIFS(loan!$O$3:$O$32,loan!$J$3:$J$32,'S Sheet'!$A11,loan!$L$3:$L$32,'S Sheet'!$AO$1),IF($AO$1="Feb",SUMIFS(loan!$O$3:$O$32,loan!$J$3:$J$32,'S Sheet'!$A11,loan!$L$3:$L$32,'S Sheet'!$AO$1),IF($AO$1="Mar",SUMIFS(loan!$O$3:$O$32,loan!$J$3:$J$32,'S Sheet'!$A11,loan!$L$3:$L$32,'S Sheet'!$AO$1),IF($AO$1="Apr",SUMIFS(loan!$O$3:$O$32,loan!$J$3:$J$32,'S Sheet'!$A11,loan!$L$3:$L$32,'S Sheet'!$AO$1),IF($AO$1="May",SUMIFS(loan!$O$3:$O$32,loan!$J$3:$J$32,'S Sheet'!$A11,loan!$L$3:$L$32,'S Sheet'!$AO$1),IF($AO$1="Jun",SUMIFS(loan!$O$3:$O$32,loan!$J$3:$J$32,'S Sheet'!$A11,loan!$L$3:$L$32,'S Sheet'!$AO$1),IF($AO$1="Jul",SUMIFS(loan!$O$3:$O$32,loan!$J$3:$J$32,'S Sheet'!$A11,loan!$L$3:$L$32,'S Sheet'!$AO$1),IF($AO$1="Aug",SUMIFS(loan!$O$3:$O$32,loan!$J$3:$J$32,'S Sheet'!$A11,loan!$L$3:$L$32,'S Sheet'!$AO$1),IF($AO$1="Sep",SUMIFS(loan!$O$3:$O$32,loan!$J$3:$J$32,'S Sheet'!$A11,loan!$L$3:$L$32,'S Sheet'!$AO$1),IF($AO$1="Oct",SUMIFS(loan!$O$3:$O$32,loan!$J$3:$J$32,'S Sheet'!$A11,loan!$L$3:$L$32,'S Sheet'!$AO$1),IF($AO$1="Nov",SUMIFS(loan!$O$3:$O$32,loan!$J$3:$J$32,'S Sheet'!$A11,loan!$L$3:$L$32,'S Sheet'!$AO$1),IF($AO$1="Dec",SUMIFS(loan!$O$3:$O$32,loan!$J$3:$J$32,'S Sheet'!$A11,loan!$L$3:$L$32,'S Sheet'!$AO$1),""))))))))))))</f>
        <v>0</v>
      </c>
      <c r="T11" s="4">
        <f>IFERROR(VLOOKUP($A11,loan!$A$2:$H$22,3,0),0)</f>
        <v>50000</v>
      </c>
      <c r="U11" s="4">
        <f t="shared" si="5"/>
        <v>2000</v>
      </c>
      <c r="V11" s="28">
        <f>IFERROR(VLOOKUP($A11,loan!$A$2:$H$22,2,0),"")</f>
        <v>45999</v>
      </c>
      <c r="W11" s="4">
        <f>IFERROR(VLOOKUP($A11,loan!$A$2:$H$22,5,0),0)</f>
        <v>25</v>
      </c>
      <c r="X11" s="4">
        <f t="shared" si="6"/>
        <v>9</v>
      </c>
      <c r="Y11" s="4">
        <f t="shared" si="7"/>
        <v>16</v>
      </c>
      <c r="Z11" s="29">
        <f t="shared" si="13"/>
        <v>32000</v>
      </c>
      <c r="AA11" s="4">
        <f>IF('S Sheet'!$AO$1='S Sheet'!$AO$1,SUMIFS(adv!$E$3:$E$97,adv!$B$3:$B$97,'S Sheet'!$A11,adv!$D$3:$D$97,'S Sheet'!$AO$1),0)</f>
        <v>0</v>
      </c>
      <c r="AB11" s="4">
        <f>IF($AO$1=$AO$1,SUMIFS(adv!$H$3:$H$97,adv!$B$3:$B$97,'S Sheet'!$A11,adv!$D$3:$D$97,'S Sheet'!$AO$1),0)</f>
        <v>0</v>
      </c>
      <c r="AC11" s="29">
        <f t="shared" si="0"/>
        <v>0</v>
      </c>
      <c r="AD11" s="4">
        <f t="shared" si="1"/>
        <v>13000</v>
      </c>
      <c r="AE11" s="34">
        <f t="shared" si="2"/>
        <v>12580.645161290324</v>
      </c>
      <c r="AF11" s="4">
        <f>VLOOKUP($A11,Master!$A$2:$K$52,8,0)</f>
        <v>5200</v>
      </c>
      <c r="AG11" s="4">
        <f>VLOOKUP($A11,Master!$A$2:$K$52,9,0)</f>
        <v>1300</v>
      </c>
      <c r="AH11" s="4">
        <f>VLOOKUP($A11,Master!$A$2:$K$52,10,0)</f>
        <v>650</v>
      </c>
      <c r="AI11" s="4">
        <f t="shared" si="3"/>
        <v>0</v>
      </c>
      <c r="AJ11" s="4">
        <f>IF($AO$1=$AO$1,SUMIFS(adv!$Q$3:$Q$52,adv!$M$3:$M$52,'S Sheet'!$A11,adv!$O$3:$O$52,'S Sheet'!$AO$1),0)</f>
        <v>0</v>
      </c>
      <c r="AK11" s="34">
        <f t="shared" si="4"/>
        <v>19730.645161290326</v>
      </c>
      <c r="AL11" s="4">
        <f t="shared" si="8"/>
        <v>1716</v>
      </c>
      <c r="AM11" s="34">
        <f t="shared" si="9"/>
        <v>147.97983870967744</v>
      </c>
      <c r="AN11" s="34">
        <f t="shared" si="10"/>
        <v>2000</v>
      </c>
      <c r="AO11" s="4">
        <f t="shared" si="11"/>
        <v>0</v>
      </c>
      <c r="AP11" s="36">
        <f t="shared" si="12"/>
        <v>15866.665322580648</v>
      </c>
    </row>
    <row r="12" spans="1:42" ht="21" x14ac:dyDescent="0.25">
      <c r="A12" s="4" t="s">
        <v>26</v>
      </c>
      <c r="B12" s="4" t="str">
        <f>VLOOKUP($A12,Master!$A$2:$K$52,COLUMN(Master!B10),0)</f>
        <v>Employee9</v>
      </c>
      <c r="C12" s="4" t="str">
        <f>VLOOKUP($A12,Master!$A$2:$K$52,COLUMN(Master!C10),0)</f>
        <v>Female</v>
      </c>
      <c r="D12" s="26">
        <f>VLOOKUP($A12,Master!$A$2:$K$52,COLUMN(Master!D10),0)</f>
        <v>44358</v>
      </c>
      <c r="E12" s="4" t="str">
        <f>VLOOKUP($A12,Master!$A$2:$K$52,COLUMN(Master!E10),0)</f>
        <v>Maintenance</v>
      </c>
      <c r="F12" s="4" t="str">
        <f>VLOOKUP($A12,Master!$A$2:$K$52,COLUMN(Master!F10),0)</f>
        <v>Technician</v>
      </c>
      <c r="G12" s="4" t="s">
        <v>29</v>
      </c>
      <c r="H12" s="4">
        <v>59938013204</v>
      </c>
      <c r="I12" s="4" t="s">
        <v>390</v>
      </c>
      <c r="J12" s="4">
        <f>VLOOKUP($A12,Master!$A$2:$K$52,COLUMN(Master!G10),0)</f>
        <v>10000</v>
      </c>
      <c r="K12" s="4">
        <f>VLOOKUP($A12,Master!$A$2:$K$52,COLUMN(Master!H10),0)</f>
        <v>4000</v>
      </c>
      <c r="L12" s="4">
        <f>VLOOKUP($A12,Master!$A$2:$K$52,COLUMN(Master!I10),0)</f>
        <v>1000</v>
      </c>
      <c r="M12" s="4">
        <f>VLOOKUP($A12,Master!$A$2:$K$52,COLUMN(Master!J10),0)</f>
        <v>500</v>
      </c>
      <c r="N12" s="4">
        <f>IF($AO$1="Jan",VLOOKUP($A12,jan!$A$5:$AU$54,46,0),IF('S Sheet'!$AO$1="Feb",VLOOKUP('S Sheet'!$A12,feb!$A$5:$AR$54,43,0),IF($AO$1="Mar",VLOOKUP($A12,mar!$A$5:$AU$54,46,0),IF($AO$1="Apr",VLOOKUP($A12,apr!$A$5:$AU$54,45,0),IF($AO$1="May",VLOOKUP($A12,may!$A$5:$AU$54,46,0),IF($AO$1="Jun",VLOOKUP($A12,jun!$A$5:$AU$54,45,0),IF($AO$1="Jul",VLOOKUP($A12,jul!$A$5:$AV$54,46,0),IF($AO$1="Aug",VLOOKUP($A12,aug!$A$5:$AU$54,46,0),IF($AO$1="Sep",VLOOKUP($A12,sep!$A$5:$AT$54,45,0),IF($AO$1="Oct",VLOOKUP($A12,oct!$A$5:$AU$54,46,0),IF($AO$1="Nov",VLOOKUP($A12,nov!$A$5:$AU$54,45,0),IF($AO$1="Dec",VLOOKUP($A12,dec!$A$5:$AU$54,46,0),""))))))))))))</f>
        <v>31</v>
      </c>
      <c r="O12" s="4">
        <f>IF($AO$1="Jan",VLOOKUP($A12,jan!$A$5:$AU$54,47,0),IF('S Sheet'!$AO$1="Feb",VLOOKUP('S Sheet'!$A12,feb!$A$5:$AR$54,44,0),IF($AO$1="Mar",VLOOKUP($A12,mar!$A$5:$AU$54,47,0),IF($AO$1="Apr",VLOOKUP($A12,apr!$A$5:$AU$54,46,0),IF($AO$1="May",VLOOKUP($A12,may!$A$5:$AU$54,47,0),IF($AO$1="Jun",VLOOKUP($A12,jun!$A$5:$AU$54,46,0),IF($AO$1="Jul",VLOOKUP($A12,jul!$A$5:$AV$54,47,0),IF($AO$1="Aug",VLOOKUP($A12,aug!$A$5:$AU$54,47,0),IF($AO$1="Sep",VLOOKUP($A12,sep!$A$5:$AT$54,46,0),IF($AO$1="Oct",VLOOKUP($A12,oct!$A$5:$AU$54,47,0),IF($AO$1="Nov",VLOOKUP($A12,nov!$A$5:$AU$54,46,0),IF($AO$1="Dec",VLOOKUP($A12,dec!$A$5:$AU$54,47,0),""))))))))))))</f>
        <v>29</v>
      </c>
      <c r="P12" s="4">
        <f>IF($AO$1="Jan",SUMIFS(holly!$L$3:$L$122,holly!$I$3:$I$122,'S Sheet'!$A12,holly!$K$3:$K$122,'S Sheet'!$AO$1),IF($AO$1="Feb",SUMIFS(holly!$L$3:$L$122,holly!$I$3:$I$122,'S Sheet'!$A12,holly!$K$3:$K$122,'S Sheet'!$AO$1),IF($AO$1="Mar",SUMIFS(holly!$L$3:$L$122,holly!$I$3:$I$122,'S Sheet'!$A12,holly!$K$3:$K$122,'S Sheet'!$AO$1),IF($AO$1="Apr",SUMIFS(holly!$L$3:$L$122,holly!$I$3:$I$122,'S Sheet'!$A12,holly!$K$3:$K$122,'S Sheet'!$AO$1),IF($AO$1="May",SUMIFS(holly!$L$3:$L$122,holly!$I$3:$I$122,'S Sheet'!$A12,holly!$K$3:$K$122,'S Sheet'!$AO$1),IF($AO$1="Jun",SUMIFS(holly!$L$3:$L$122,holly!$I$3:$I$122,'S Sheet'!$A12,holly!$K$3:$K$122,'S Sheet'!$AO$1),IF($AO$1="Jul",SUMIFS(holly!$L$3:$L$122,holly!$I$3:$I$122,'S Sheet'!$A12,holly!$K$3:$K$122,'S Sheet'!$AO$1),IF($AO$1="Aug",SUMIFS(holly!$L$3:$L$122,holly!$I$3:$I$122,'S Sheet'!$A12,holly!$K$3:$K$122,'S Sheet'!$AO$1),IF($AO$1="Sep",SUMIFS(holly!$L$3:$L$122,holly!$I$3:$I$122,'S Sheet'!$A12,holly!$K$3:$K$122,'S Sheet'!$AO$1),IF($AO$1="Oct",SUMIFS(holly!$L$3:$L$122,holly!$I$3:$I$122,'S Sheet'!$A12,holly!$K$3:$K$122,'S Sheet'!$AO$1),IF($AO$1="Nov",SUMIFS(holly!$L$3:$L$122,holly!$I$3:$I$122,'S Sheet'!$A12,holly!$K$3:$K$122,'S Sheet'!$AO$1),IF($AO$1="Dec",SUMIFS(holly!$L$3:$L$122,holly!$I$3:$I$122,'S Sheet'!$A12,holly!$K$3:$K$122,'S Sheet'!$AO$1),""))))))))))))</f>
        <v>0</v>
      </c>
      <c r="Q12" s="4">
        <f>IFERROR(VLOOKUP($A12,holly!$I$2:$O$122,5,0),0)</f>
        <v>0</v>
      </c>
      <c r="R12" s="4">
        <f>IF($AO$1="Jan",SUMIFS(adv!$Q$3:$Q$52,adv!$M$3:$M$52,'S Sheet'!$A12,adv!$O$3:$O$52,'S Sheet'!$AO$1),IF($AO$1="Feb",SUMIFS(adv!$Q$3:$Q$52,adv!$M$3:$M$52,'S Sheet'!$A12,adv!$O$3:$O$52,'S Sheet'!$AO$1),IF($AO$1="Mar",SUMIFS(adv!$Q$3:$Q$52,adv!$M$3:$M$52,'S Sheet'!$A12,adv!$O$3:$O$52,'S Sheet'!$AO$1),IF($AO$1="Apr",SUMIFS(adv!$Q$3:$Q$52,adv!$M$3:$M$52,'S Sheet'!$A12,adv!$O$3:$O$52,'S Sheet'!$AO$1),IF($AO$1="May",SUMIFS(adv!$Q$3:$Q$52,adv!$M$3:$M$52,'S Sheet'!$A12,adv!$O$3:$O$52,'S Sheet'!$AO$1),IF($AO$1="Jun",SUMIFS(adv!$Q$3:$Q$52,adv!$M$3:$M$52,'S Sheet'!$A12,adv!$O$3:$O$52,'S Sheet'!$AO$1),IF($AO$1="Jul",SUMIFS(adv!$Q$3:$Q$52,adv!$M$3:$M$52,'S Sheet'!$A12,adv!$O$3:$O$52,'S Sheet'!$AO$1),IF($AO$1="Aug",SUMIFS(adv!$Q$3:$Q$52,adv!$M$3:$M$52,'S Sheet'!$A12,adv!$O$3:$O$52,'S Sheet'!$AO$1),IF($AO$1="Sep",SUMIFS(adv!$Q$3:$Q$52,adv!$M$3:$M$52,'S Sheet'!$A12,adv!$O$3:$O$52,'S Sheet'!$AO$1),IF($AO$1="Oct",SUMIFS(adv!$Q$3:$Q$52,adv!$M$3:$M$52,'S Sheet'!$A12,adv!$O$3:$O$52,'S Sheet'!$AO$1),IF($AO$1="Nov",SUMIFS(adv!$Q$3:$Q$52,adv!$M$3:$M$52,'S Sheet'!$A12,adv!$O$3:$O$52,'S Sheet'!$AO$1),IF($AO$1="Dec",SUMIFS(adv!$Q$3:$Q$52,adv!$M$3:$M$52,'S Sheet'!$A12,adv!$O$3:$O$52,'S Sheet'!$AO$1),""))))))))))))</f>
        <v>0</v>
      </c>
      <c r="S12" s="4">
        <f>IF($AO$1="Jan",SUMIFS(loan!$O$3:$O$32,loan!$J$3:$J$32,'S Sheet'!$A12,loan!$L$3:$L$32,'S Sheet'!$AO$1),IF($AO$1="Feb",SUMIFS(loan!$O$3:$O$32,loan!$J$3:$J$32,'S Sheet'!$A12,loan!$L$3:$L$32,'S Sheet'!$AO$1),IF($AO$1="Mar",SUMIFS(loan!$O$3:$O$32,loan!$J$3:$J$32,'S Sheet'!$A12,loan!$L$3:$L$32,'S Sheet'!$AO$1),IF($AO$1="Apr",SUMIFS(loan!$O$3:$O$32,loan!$J$3:$J$32,'S Sheet'!$A12,loan!$L$3:$L$32,'S Sheet'!$AO$1),IF($AO$1="May",SUMIFS(loan!$O$3:$O$32,loan!$J$3:$J$32,'S Sheet'!$A12,loan!$L$3:$L$32,'S Sheet'!$AO$1),IF($AO$1="Jun",SUMIFS(loan!$O$3:$O$32,loan!$J$3:$J$32,'S Sheet'!$A12,loan!$L$3:$L$32,'S Sheet'!$AO$1),IF($AO$1="Jul",SUMIFS(loan!$O$3:$O$32,loan!$J$3:$J$32,'S Sheet'!$A12,loan!$L$3:$L$32,'S Sheet'!$AO$1),IF($AO$1="Aug",SUMIFS(loan!$O$3:$O$32,loan!$J$3:$J$32,'S Sheet'!$A12,loan!$L$3:$L$32,'S Sheet'!$AO$1),IF($AO$1="Sep",SUMIFS(loan!$O$3:$O$32,loan!$J$3:$J$32,'S Sheet'!$A12,loan!$L$3:$L$32,'S Sheet'!$AO$1),IF($AO$1="Oct",SUMIFS(loan!$O$3:$O$32,loan!$J$3:$J$32,'S Sheet'!$A12,loan!$L$3:$L$32,'S Sheet'!$AO$1),IF($AO$1="Nov",SUMIFS(loan!$O$3:$O$32,loan!$J$3:$J$32,'S Sheet'!$A12,loan!$L$3:$L$32,'S Sheet'!$AO$1),IF($AO$1="Dec",SUMIFS(loan!$O$3:$O$32,loan!$J$3:$J$32,'S Sheet'!$A12,loan!$L$3:$L$32,'S Sheet'!$AO$1),""))))))))))))</f>
        <v>0</v>
      </c>
      <c r="T12" s="4">
        <f>IFERROR(VLOOKUP($A12,loan!$A$2:$H$22,3,0),0)</f>
        <v>75000</v>
      </c>
      <c r="U12" s="4">
        <f t="shared" si="5"/>
        <v>6250</v>
      </c>
      <c r="V12" s="28">
        <f>IFERROR(VLOOKUP($A12,loan!$A$2:$H$22,2,0),"")</f>
        <v>45944</v>
      </c>
      <c r="W12" s="4">
        <f>IFERROR(VLOOKUP($A12,loan!$A$2:$H$22,5,0),0)</f>
        <v>12</v>
      </c>
      <c r="X12" s="4">
        <f t="shared" si="6"/>
        <v>11</v>
      </c>
      <c r="Y12" s="4">
        <f t="shared" si="7"/>
        <v>1</v>
      </c>
      <c r="Z12" s="29">
        <f t="shared" si="13"/>
        <v>6250</v>
      </c>
      <c r="AA12" s="4">
        <f>IF('S Sheet'!$AO$1='S Sheet'!$AO$1,SUMIFS(adv!$E$3:$E$97,adv!$B$3:$B$97,'S Sheet'!$A12,adv!$D$3:$D$97,'S Sheet'!$AO$1),0)</f>
        <v>5000</v>
      </c>
      <c r="AB12" s="4">
        <f>IF($AO$1=$AO$1,SUMIFS(adv!$H$3:$H$97,adv!$B$3:$B$97,'S Sheet'!$A12,adv!$D$3:$D$97,'S Sheet'!$AO$1),0)</f>
        <v>1500</v>
      </c>
      <c r="AC12" s="29">
        <f t="shared" si="0"/>
        <v>3500</v>
      </c>
      <c r="AD12" s="4">
        <f t="shared" si="1"/>
        <v>10000</v>
      </c>
      <c r="AE12" s="34">
        <f t="shared" si="2"/>
        <v>9354.8387096774186</v>
      </c>
      <c r="AF12" s="4">
        <f>VLOOKUP($A12,Master!$A$2:$K$52,8,0)</f>
        <v>4000</v>
      </c>
      <c r="AG12" s="4">
        <f>VLOOKUP($A12,Master!$A$2:$K$52,9,0)</f>
        <v>1000</v>
      </c>
      <c r="AH12" s="4">
        <f>VLOOKUP($A12,Master!$A$2:$K$52,10,0)</f>
        <v>500</v>
      </c>
      <c r="AI12" s="4">
        <f t="shared" si="3"/>
        <v>0</v>
      </c>
      <c r="AJ12" s="4">
        <f>IF($AO$1=$AO$1,SUMIFS(adv!$Q$3:$Q$52,adv!$M$3:$M$52,'S Sheet'!$A12,adv!$O$3:$O$52,'S Sheet'!$AO$1),0)</f>
        <v>0</v>
      </c>
      <c r="AK12" s="34">
        <f t="shared" si="4"/>
        <v>14854.838709677419</v>
      </c>
      <c r="AL12" s="4">
        <f t="shared" si="8"/>
        <v>1320</v>
      </c>
      <c r="AM12" s="34">
        <f t="shared" si="9"/>
        <v>111.41129032258064</v>
      </c>
      <c r="AN12" s="34">
        <f t="shared" si="10"/>
        <v>6250</v>
      </c>
      <c r="AO12" s="4">
        <f t="shared" si="11"/>
        <v>1500</v>
      </c>
      <c r="AP12" s="36">
        <f t="shared" si="12"/>
        <v>5673.4274193548372</v>
      </c>
    </row>
    <row r="13" spans="1:42" ht="21" x14ac:dyDescent="0.25">
      <c r="A13" s="4" t="s">
        <v>30</v>
      </c>
      <c r="B13" s="4" t="str">
        <f>VLOOKUP($A13,Master!$A$2:$K$52,COLUMN(Master!B11),0)</f>
        <v>Employee10</v>
      </c>
      <c r="C13" s="4" t="str">
        <f>VLOOKUP($A13,Master!$A$2:$K$52,COLUMN(Master!C11),0)</f>
        <v>Male</v>
      </c>
      <c r="D13" s="26">
        <f>VLOOKUP($A13,Master!$A$2:$K$52,COLUMN(Master!D11),0)</f>
        <v>45379</v>
      </c>
      <c r="E13" s="4" t="str">
        <f>VLOOKUP($A13,Master!$A$2:$K$52,COLUMN(Master!E11),0)</f>
        <v>Warehouse</v>
      </c>
      <c r="F13" s="4" t="str">
        <f>VLOOKUP($A13,Master!$A$2:$K$52,COLUMN(Master!F11),0)</f>
        <v>Store Assistant</v>
      </c>
      <c r="G13" s="4" t="s">
        <v>16</v>
      </c>
      <c r="H13" s="4">
        <v>61456063735</v>
      </c>
      <c r="I13" s="4" t="s">
        <v>391</v>
      </c>
      <c r="J13" s="4">
        <f>VLOOKUP($A13,Master!$A$2:$K$52,COLUMN(Master!G11),0)</f>
        <v>18000</v>
      </c>
      <c r="K13" s="4">
        <f>VLOOKUP($A13,Master!$A$2:$K$52,COLUMN(Master!H11),0)</f>
        <v>7200</v>
      </c>
      <c r="L13" s="4">
        <f>VLOOKUP($A13,Master!$A$2:$K$52,COLUMN(Master!I11),0)</f>
        <v>1800</v>
      </c>
      <c r="M13" s="4">
        <f>VLOOKUP($A13,Master!$A$2:$K$52,COLUMN(Master!J11),0)</f>
        <v>900</v>
      </c>
      <c r="N13" s="4">
        <f>IF($AO$1="Jan",VLOOKUP($A13,jan!$A$5:$AU$54,46,0),IF('S Sheet'!$AO$1="Feb",VLOOKUP('S Sheet'!$A13,feb!$A$5:$AR$54,43,0),IF($AO$1="Mar",VLOOKUP($A13,mar!$A$5:$AU$54,46,0),IF($AO$1="Apr",VLOOKUP($A13,apr!$A$5:$AU$54,45,0),IF($AO$1="May",VLOOKUP($A13,may!$A$5:$AU$54,46,0),IF($AO$1="Jun",VLOOKUP($A13,jun!$A$5:$AU$54,45,0),IF($AO$1="Jul",VLOOKUP($A13,jul!$A$5:$AV$54,46,0),IF($AO$1="Aug",VLOOKUP($A13,aug!$A$5:$AU$54,46,0),IF($AO$1="Sep",VLOOKUP($A13,sep!$A$5:$AT$54,45,0),IF($AO$1="Oct",VLOOKUP($A13,oct!$A$5:$AU$54,46,0),IF($AO$1="Nov",VLOOKUP($A13,nov!$A$5:$AU$54,45,0),IF($AO$1="Dec",VLOOKUP($A13,dec!$A$5:$AU$54,46,0),""))))))))))))</f>
        <v>31</v>
      </c>
      <c r="O13" s="4">
        <f>IF($AO$1="Jan",VLOOKUP($A13,jan!$A$5:$AU$54,47,0),IF('S Sheet'!$AO$1="Feb",VLOOKUP('S Sheet'!$A13,feb!$A$5:$AR$54,44,0),IF($AO$1="Mar",VLOOKUP($A13,mar!$A$5:$AU$54,47,0),IF($AO$1="Apr",VLOOKUP($A13,apr!$A$5:$AU$54,46,0),IF($AO$1="May",VLOOKUP($A13,may!$A$5:$AU$54,47,0),IF($AO$1="Jun",VLOOKUP($A13,jun!$A$5:$AU$54,46,0),IF($AO$1="Jul",VLOOKUP($A13,jul!$A$5:$AV$54,47,0),IF($AO$1="Aug",VLOOKUP($A13,aug!$A$5:$AU$54,47,0),IF($AO$1="Sep",VLOOKUP($A13,sep!$A$5:$AT$54,46,0),IF($AO$1="Oct",VLOOKUP($A13,oct!$A$5:$AU$54,47,0),IF($AO$1="Nov",VLOOKUP($A13,nov!$A$5:$AU$54,46,0),IF($AO$1="Dec",VLOOKUP($A13,dec!$A$5:$AU$54,47,0),""))))))))))))</f>
        <v>31</v>
      </c>
      <c r="P13" s="4">
        <f>IF($AO$1="Jan",SUMIFS(holly!$L$3:$L$122,holly!$I$3:$I$122,'S Sheet'!$A13,holly!$K$3:$K$122,'S Sheet'!$AO$1),IF($AO$1="Feb",SUMIFS(holly!$L$3:$L$122,holly!$I$3:$I$122,'S Sheet'!$A13,holly!$K$3:$K$122,'S Sheet'!$AO$1),IF($AO$1="Mar",SUMIFS(holly!$L$3:$L$122,holly!$I$3:$I$122,'S Sheet'!$A13,holly!$K$3:$K$122,'S Sheet'!$AO$1),IF($AO$1="Apr",SUMIFS(holly!$L$3:$L$122,holly!$I$3:$I$122,'S Sheet'!$A13,holly!$K$3:$K$122,'S Sheet'!$AO$1),IF($AO$1="May",SUMIFS(holly!$L$3:$L$122,holly!$I$3:$I$122,'S Sheet'!$A13,holly!$K$3:$K$122,'S Sheet'!$AO$1),IF($AO$1="Jun",SUMIFS(holly!$L$3:$L$122,holly!$I$3:$I$122,'S Sheet'!$A13,holly!$K$3:$K$122,'S Sheet'!$AO$1),IF($AO$1="Jul",SUMIFS(holly!$L$3:$L$122,holly!$I$3:$I$122,'S Sheet'!$A13,holly!$K$3:$K$122,'S Sheet'!$AO$1),IF($AO$1="Aug",SUMIFS(holly!$L$3:$L$122,holly!$I$3:$I$122,'S Sheet'!$A13,holly!$K$3:$K$122,'S Sheet'!$AO$1),IF($AO$1="Sep",SUMIFS(holly!$L$3:$L$122,holly!$I$3:$I$122,'S Sheet'!$A13,holly!$K$3:$K$122,'S Sheet'!$AO$1),IF($AO$1="Oct",SUMIFS(holly!$L$3:$L$122,holly!$I$3:$I$122,'S Sheet'!$A13,holly!$K$3:$K$122,'S Sheet'!$AO$1),IF($AO$1="Nov",SUMIFS(holly!$L$3:$L$122,holly!$I$3:$I$122,'S Sheet'!$A13,holly!$K$3:$K$122,'S Sheet'!$AO$1),IF($AO$1="Dec",SUMIFS(holly!$L$3:$L$122,holly!$I$3:$I$122,'S Sheet'!$A13,holly!$K$3:$K$122,'S Sheet'!$AO$1),""))))))))))))</f>
        <v>4</v>
      </c>
      <c r="Q13" s="4">
        <f>IFERROR(VLOOKUP($A13,holly!$I$2:$O$122,5,0),0)</f>
        <v>129.81</v>
      </c>
      <c r="R13" s="4">
        <f>IF($AO$1="Jan",SUMIFS(adv!$Q$3:$Q$52,adv!$M$3:$M$52,'S Sheet'!$A13,adv!$O$3:$O$52,'S Sheet'!$AO$1),IF($AO$1="Feb",SUMIFS(adv!$Q$3:$Q$52,adv!$M$3:$M$52,'S Sheet'!$A13,adv!$O$3:$O$52,'S Sheet'!$AO$1),IF($AO$1="Mar",SUMIFS(adv!$Q$3:$Q$52,adv!$M$3:$M$52,'S Sheet'!$A13,adv!$O$3:$O$52,'S Sheet'!$AO$1),IF($AO$1="Apr",SUMIFS(adv!$Q$3:$Q$52,adv!$M$3:$M$52,'S Sheet'!$A13,adv!$O$3:$O$52,'S Sheet'!$AO$1),IF($AO$1="May",SUMIFS(adv!$Q$3:$Q$52,adv!$M$3:$M$52,'S Sheet'!$A13,adv!$O$3:$O$52,'S Sheet'!$AO$1),IF($AO$1="Jun",SUMIFS(adv!$Q$3:$Q$52,adv!$M$3:$M$52,'S Sheet'!$A13,adv!$O$3:$O$52,'S Sheet'!$AO$1),IF($AO$1="Jul",SUMIFS(adv!$Q$3:$Q$52,adv!$M$3:$M$52,'S Sheet'!$A13,adv!$O$3:$O$52,'S Sheet'!$AO$1),IF($AO$1="Aug",SUMIFS(adv!$Q$3:$Q$52,adv!$M$3:$M$52,'S Sheet'!$A13,adv!$O$3:$O$52,'S Sheet'!$AO$1),IF($AO$1="Sep",SUMIFS(adv!$Q$3:$Q$52,adv!$M$3:$M$52,'S Sheet'!$A13,adv!$O$3:$O$52,'S Sheet'!$AO$1),IF($AO$1="Oct",SUMIFS(adv!$Q$3:$Q$52,adv!$M$3:$M$52,'S Sheet'!$A13,adv!$O$3:$O$52,'S Sheet'!$AO$1),IF($AO$1="Nov",SUMIFS(adv!$Q$3:$Q$52,adv!$M$3:$M$52,'S Sheet'!$A13,adv!$O$3:$O$52,'S Sheet'!$AO$1),IF($AO$1="Dec",SUMIFS(adv!$Q$3:$Q$52,adv!$M$3:$M$52,'S Sheet'!$A13,adv!$O$3:$O$52,'S Sheet'!$AO$1),""))))))))))))</f>
        <v>0</v>
      </c>
      <c r="S13" s="4">
        <f>IF($AO$1="Jan",SUMIFS(loan!$O$3:$O$32,loan!$J$3:$J$32,'S Sheet'!$A13,loan!$L$3:$L$32,'S Sheet'!$AO$1),IF($AO$1="Feb",SUMIFS(loan!$O$3:$O$32,loan!$J$3:$J$32,'S Sheet'!$A13,loan!$L$3:$L$32,'S Sheet'!$AO$1),IF($AO$1="Mar",SUMIFS(loan!$O$3:$O$32,loan!$J$3:$J$32,'S Sheet'!$A13,loan!$L$3:$L$32,'S Sheet'!$AO$1),IF($AO$1="Apr",SUMIFS(loan!$O$3:$O$32,loan!$J$3:$J$32,'S Sheet'!$A13,loan!$L$3:$L$32,'S Sheet'!$AO$1),IF($AO$1="May",SUMIFS(loan!$O$3:$O$32,loan!$J$3:$J$32,'S Sheet'!$A13,loan!$L$3:$L$32,'S Sheet'!$AO$1),IF($AO$1="Jun",SUMIFS(loan!$O$3:$O$32,loan!$J$3:$J$32,'S Sheet'!$A13,loan!$L$3:$L$32,'S Sheet'!$AO$1),IF($AO$1="Jul",SUMIFS(loan!$O$3:$O$32,loan!$J$3:$J$32,'S Sheet'!$A13,loan!$L$3:$L$32,'S Sheet'!$AO$1),IF($AO$1="Aug",SUMIFS(loan!$O$3:$O$32,loan!$J$3:$J$32,'S Sheet'!$A13,loan!$L$3:$L$32,'S Sheet'!$AO$1),IF($AO$1="Sep",SUMIFS(loan!$O$3:$O$32,loan!$J$3:$J$32,'S Sheet'!$A13,loan!$L$3:$L$32,'S Sheet'!$AO$1),IF($AO$1="Oct",SUMIFS(loan!$O$3:$O$32,loan!$J$3:$J$32,'S Sheet'!$A13,loan!$L$3:$L$32,'S Sheet'!$AO$1),IF($AO$1="Nov",SUMIFS(loan!$O$3:$O$32,loan!$J$3:$J$32,'S Sheet'!$A13,loan!$L$3:$L$32,'S Sheet'!$AO$1),IF($AO$1="Dec",SUMIFS(loan!$O$3:$O$32,loan!$J$3:$J$32,'S Sheet'!$A13,loan!$L$3:$L$32,'S Sheet'!$AO$1),""))))))))))))</f>
        <v>0</v>
      </c>
      <c r="T13" s="4">
        <f>IFERROR(VLOOKUP($A13,loan!$A$2:$H$22,3,0),0)</f>
        <v>0</v>
      </c>
      <c r="U13" s="4">
        <f t="shared" si="5"/>
        <v>0</v>
      </c>
      <c r="V13" s="28" t="str">
        <f>IFERROR(VLOOKUP($A13,loan!$A$2:$H$22,2,0),"")</f>
        <v/>
      </c>
      <c r="W13" s="4">
        <f>IFERROR(VLOOKUP($A13,loan!$A$2:$H$22,5,0),0)</f>
        <v>0</v>
      </c>
      <c r="X13" s="4">
        <f t="shared" si="6"/>
        <v>0</v>
      </c>
      <c r="Y13" s="4">
        <f t="shared" si="7"/>
        <v>0</v>
      </c>
      <c r="Z13" s="29">
        <f t="shared" si="13"/>
        <v>0</v>
      </c>
      <c r="AA13" s="4">
        <f>IF('S Sheet'!$AO$1='S Sheet'!$AO$1,SUMIFS(adv!$E$3:$E$97,adv!$B$3:$B$97,'S Sheet'!$A13,adv!$D$3:$D$97,'S Sheet'!$AO$1),0)</f>
        <v>0</v>
      </c>
      <c r="AB13" s="4">
        <f>IF($AO$1=$AO$1,SUMIFS(adv!$H$3:$H$97,adv!$B$3:$B$97,'S Sheet'!$A13,adv!$D$3:$D$97,'S Sheet'!$AO$1),0)</f>
        <v>0</v>
      </c>
      <c r="AC13" s="29">
        <f t="shared" si="0"/>
        <v>0</v>
      </c>
      <c r="AD13" s="4">
        <f t="shared" si="1"/>
        <v>18000</v>
      </c>
      <c r="AE13" s="34">
        <f t="shared" si="2"/>
        <v>18000</v>
      </c>
      <c r="AF13" s="4">
        <f>VLOOKUP($A13,Master!$A$2:$K$52,8,0)</f>
        <v>7200</v>
      </c>
      <c r="AG13" s="4">
        <f>VLOOKUP($A13,Master!$A$2:$K$52,9,0)</f>
        <v>1800</v>
      </c>
      <c r="AH13" s="4">
        <f>VLOOKUP($A13,Master!$A$2:$K$52,10,0)</f>
        <v>900</v>
      </c>
      <c r="AI13" s="4">
        <f t="shared" si="3"/>
        <v>519.24</v>
      </c>
      <c r="AJ13" s="4">
        <f>IF($AO$1=$AO$1,SUMIFS(adv!$Q$3:$Q$52,adv!$M$3:$M$52,'S Sheet'!$A13,adv!$O$3:$O$52,'S Sheet'!$AO$1),0)</f>
        <v>0</v>
      </c>
      <c r="AK13" s="34">
        <f t="shared" si="4"/>
        <v>28419.24</v>
      </c>
      <c r="AL13" s="4">
        <f t="shared" si="8"/>
        <v>2376</v>
      </c>
      <c r="AM13" s="34">
        <f t="shared" si="9"/>
        <v>0</v>
      </c>
      <c r="AN13" s="34">
        <f t="shared" si="10"/>
        <v>0</v>
      </c>
      <c r="AO13" s="4">
        <f t="shared" si="11"/>
        <v>0</v>
      </c>
      <c r="AP13" s="36">
        <f t="shared" si="12"/>
        <v>26043.24</v>
      </c>
    </row>
    <row r="14" spans="1:42" ht="21" x14ac:dyDescent="0.25">
      <c r="A14" s="4" t="s">
        <v>31</v>
      </c>
      <c r="B14" s="4" t="str">
        <f>VLOOKUP($A14,Master!$A$2:$K$52,COLUMN(Master!B12),0)</f>
        <v>Employee11</v>
      </c>
      <c r="C14" s="4" t="str">
        <f>VLOOKUP($A14,Master!$A$2:$K$52,COLUMN(Master!C12),0)</f>
        <v>Male</v>
      </c>
      <c r="D14" s="26">
        <f>VLOOKUP($A14,Master!$A$2:$K$52,COLUMN(Master!D12),0)</f>
        <v>44789</v>
      </c>
      <c r="E14" s="4" t="str">
        <f>VLOOKUP($A14,Master!$A$2:$K$52,COLUMN(Master!E12),0)</f>
        <v>Production</v>
      </c>
      <c r="F14" s="4" t="str">
        <f>VLOOKUP($A14,Master!$A$2:$K$52,COLUMN(Master!F12),0)</f>
        <v>Operator</v>
      </c>
      <c r="G14" s="4" t="s">
        <v>29</v>
      </c>
      <c r="H14" s="4">
        <v>84378327419</v>
      </c>
      <c r="I14" s="4" t="s">
        <v>392</v>
      </c>
      <c r="J14" s="4">
        <f>VLOOKUP($A14,Master!$A$2:$K$52,COLUMN(Master!G12),0)</f>
        <v>20000</v>
      </c>
      <c r="K14" s="4">
        <f>VLOOKUP($A14,Master!$A$2:$K$52,COLUMN(Master!H12),0)</f>
        <v>8000</v>
      </c>
      <c r="L14" s="4">
        <f>VLOOKUP($A14,Master!$A$2:$K$52,COLUMN(Master!I12),0)</f>
        <v>2000</v>
      </c>
      <c r="M14" s="4">
        <f>VLOOKUP($A14,Master!$A$2:$K$52,COLUMN(Master!J12),0)</f>
        <v>1000</v>
      </c>
      <c r="N14" s="4">
        <f>IF($AO$1="Jan",VLOOKUP($A14,jan!$A$5:$AU$54,46,0),IF('S Sheet'!$AO$1="Feb",VLOOKUP('S Sheet'!$A14,feb!$A$5:$AR$54,43,0),IF($AO$1="Mar",VLOOKUP($A14,mar!$A$5:$AU$54,46,0),IF($AO$1="Apr",VLOOKUP($A14,apr!$A$5:$AU$54,45,0),IF($AO$1="May",VLOOKUP($A14,may!$A$5:$AU$54,46,0),IF($AO$1="Jun",VLOOKUP($A14,jun!$A$5:$AU$54,45,0),IF($AO$1="Jul",VLOOKUP($A14,jul!$A$5:$AV$54,46,0),IF($AO$1="Aug",VLOOKUP($A14,aug!$A$5:$AU$54,46,0),IF($AO$1="Sep",VLOOKUP($A14,sep!$A$5:$AT$54,45,0),IF($AO$1="Oct",VLOOKUP($A14,oct!$A$5:$AU$54,46,0),IF($AO$1="Nov",VLOOKUP($A14,nov!$A$5:$AU$54,45,0),IF($AO$1="Dec",VLOOKUP($A14,dec!$A$5:$AU$54,46,0),""))))))))))))</f>
        <v>31</v>
      </c>
      <c r="O14" s="4">
        <f>IF($AO$1="Jan",VLOOKUP($A14,jan!$A$5:$AU$54,47,0),IF('S Sheet'!$AO$1="Feb",VLOOKUP('S Sheet'!$A14,feb!$A$5:$AR$54,44,0),IF($AO$1="Mar",VLOOKUP($A14,mar!$A$5:$AU$54,47,0),IF($AO$1="Apr",VLOOKUP($A14,apr!$A$5:$AU$54,46,0),IF($AO$1="May",VLOOKUP($A14,may!$A$5:$AU$54,47,0),IF($AO$1="Jun",VLOOKUP($A14,jun!$A$5:$AU$54,46,0),IF($AO$1="Jul",VLOOKUP($A14,jul!$A$5:$AV$54,47,0),IF($AO$1="Aug",VLOOKUP($A14,aug!$A$5:$AU$54,47,0),IF($AO$1="Sep",VLOOKUP($A14,sep!$A$5:$AT$54,46,0),IF($AO$1="Oct",VLOOKUP($A14,oct!$A$5:$AU$54,47,0),IF($AO$1="Nov",VLOOKUP($A14,nov!$A$5:$AU$54,46,0),IF($AO$1="Dec",VLOOKUP($A14,dec!$A$5:$AU$54,47,0),""))))))))))))</f>
        <v>29</v>
      </c>
      <c r="P14" s="4">
        <f>IF($AO$1="Jan",SUMIFS(holly!$L$3:$L$122,holly!$I$3:$I$122,'S Sheet'!$A14,holly!$K$3:$K$122,'S Sheet'!$AO$1),IF($AO$1="Feb",SUMIFS(holly!$L$3:$L$122,holly!$I$3:$I$122,'S Sheet'!$A14,holly!$K$3:$K$122,'S Sheet'!$AO$1),IF($AO$1="Mar",SUMIFS(holly!$L$3:$L$122,holly!$I$3:$I$122,'S Sheet'!$A14,holly!$K$3:$K$122,'S Sheet'!$AO$1),IF($AO$1="Apr",SUMIFS(holly!$L$3:$L$122,holly!$I$3:$I$122,'S Sheet'!$A14,holly!$K$3:$K$122,'S Sheet'!$AO$1),IF($AO$1="May",SUMIFS(holly!$L$3:$L$122,holly!$I$3:$I$122,'S Sheet'!$A14,holly!$K$3:$K$122,'S Sheet'!$AO$1),IF($AO$1="Jun",SUMIFS(holly!$L$3:$L$122,holly!$I$3:$I$122,'S Sheet'!$A14,holly!$K$3:$K$122,'S Sheet'!$AO$1),IF($AO$1="Jul",SUMIFS(holly!$L$3:$L$122,holly!$I$3:$I$122,'S Sheet'!$A14,holly!$K$3:$K$122,'S Sheet'!$AO$1),IF($AO$1="Aug",SUMIFS(holly!$L$3:$L$122,holly!$I$3:$I$122,'S Sheet'!$A14,holly!$K$3:$K$122,'S Sheet'!$AO$1),IF($AO$1="Sep",SUMIFS(holly!$L$3:$L$122,holly!$I$3:$I$122,'S Sheet'!$A14,holly!$K$3:$K$122,'S Sheet'!$AO$1),IF($AO$1="Oct",SUMIFS(holly!$L$3:$L$122,holly!$I$3:$I$122,'S Sheet'!$A14,holly!$K$3:$K$122,'S Sheet'!$AO$1),IF($AO$1="Nov",SUMIFS(holly!$L$3:$L$122,holly!$I$3:$I$122,'S Sheet'!$A14,holly!$K$3:$K$122,'S Sheet'!$AO$1),IF($AO$1="Dec",SUMIFS(holly!$L$3:$L$122,holly!$I$3:$I$122,'S Sheet'!$A14,holly!$K$3:$K$122,'S Sheet'!$AO$1),""))))))))))))</f>
        <v>0</v>
      </c>
      <c r="Q14" s="4">
        <f>IFERROR(VLOOKUP($A14,holly!$I$2:$O$122,5,0),0)</f>
        <v>144.22999999999999</v>
      </c>
      <c r="R14" s="4">
        <f>IF($AO$1="Jan",SUMIFS(adv!$Q$3:$Q$52,adv!$M$3:$M$52,'S Sheet'!$A14,adv!$O$3:$O$52,'S Sheet'!$AO$1),IF($AO$1="Feb",SUMIFS(adv!$Q$3:$Q$52,adv!$M$3:$M$52,'S Sheet'!$A14,adv!$O$3:$O$52,'S Sheet'!$AO$1),IF($AO$1="Mar",SUMIFS(adv!$Q$3:$Q$52,adv!$M$3:$M$52,'S Sheet'!$A14,adv!$O$3:$O$52,'S Sheet'!$AO$1),IF($AO$1="Apr",SUMIFS(adv!$Q$3:$Q$52,adv!$M$3:$M$52,'S Sheet'!$A14,adv!$O$3:$O$52,'S Sheet'!$AO$1),IF($AO$1="May",SUMIFS(adv!$Q$3:$Q$52,adv!$M$3:$M$52,'S Sheet'!$A14,adv!$O$3:$O$52,'S Sheet'!$AO$1),IF($AO$1="Jun",SUMIFS(adv!$Q$3:$Q$52,adv!$M$3:$M$52,'S Sheet'!$A14,adv!$O$3:$O$52,'S Sheet'!$AO$1),IF($AO$1="Jul",SUMIFS(adv!$Q$3:$Q$52,adv!$M$3:$M$52,'S Sheet'!$A14,adv!$O$3:$O$52,'S Sheet'!$AO$1),IF($AO$1="Aug",SUMIFS(adv!$Q$3:$Q$52,adv!$M$3:$M$52,'S Sheet'!$A14,adv!$O$3:$O$52,'S Sheet'!$AO$1),IF($AO$1="Sep",SUMIFS(adv!$Q$3:$Q$52,adv!$M$3:$M$52,'S Sheet'!$A14,adv!$O$3:$O$52,'S Sheet'!$AO$1),IF($AO$1="Oct",SUMIFS(adv!$Q$3:$Q$52,adv!$M$3:$M$52,'S Sheet'!$A14,adv!$O$3:$O$52,'S Sheet'!$AO$1),IF($AO$1="Nov",SUMIFS(adv!$Q$3:$Q$52,adv!$M$3:$M$52,'S Sheet'!$A14,adv!$O$3:$O$52,'S Sheet'!$AO$1),IF($AO$1="Dec",SUMIFS(adv!$Q$3:$Q$52,adv!$M$3:$M$52,'S Sheet'!$A14,adv!$O$3:$O$52,'S Sheet'!$AO$1),""))))))))))))</f>
        <v>0</v>
      </c>
      <c r="S14" s="4">
        <f>IF($AO$1="Jan",SUMIFS(loan!$O$3:$O$32,loan!$J$3:$J$32,'S Sheet'!$A14,loan!$L$3:$L$32,'S Sheet'!$AO$1),IF($AO$1="Feb",SUMIFS(loan!$O$3:$O$32,loan!$J$3:$J$32,'S Sheet'!$A14,loan!$L$3:$L$32,'S Sheet'!$AO$1),IF($AO$1="Mar",SUMIFS(loan!$O$3:$O$32,loan!$J$3:$J$32,'S Sheet'!$A14,loan!$L$3:$L$32,'S Sheet'!$AO$1),IF($AO$1="Apr",SUMIFS(loan!$O$3:$O$32,loan!$J$3:$J$32,'S Sheet'!$A14,loan!$L$3:$L$32,'S Sheet'!$AO$1),IF($AO$1="May",SUMIFS(loan!$O$3:$O$32,loan!$J$3:$J$32,'S Sheet'!$A14,loan!$L$3:$L$32,'S Sheet'!$AO$1),IF($AO$1="Jun",SUMIFS(loan!$O$3:$O$32,loan!$J$3:$J$32,'S Sheet'!$A14,loan!$L$3:$L$32,'S Sheet'!$AO$1),IF($AO$1="Jul",SUMIFS(loan!$O$3:$O$32,loan!$J$3:$J$32,'S Sheet'!$A14,loan!$L$3:$L$32,'S Sheet'!$AO$1),IF($AO$1="Aug",SUMIFS(loan!$O$3:$O$32,loan!$J$3:$J$32,'S Sheet'!$A14,loan!$L$3:$L$32,'S Sheet'!$AO$1),IF($AO$1="Sep",SUMIFS(loan!$O$3:$O$32,loan!$J$3:$J$32,'S Sheet'!$A14,loan!$L$3:$L$32,'S Sheet'!$AO$1),IF($AO$1="Oct",SUMIFS(loan!$O$3:$O$32,loan!$J$3:$J$32,'S Sheet'!$A14,loan!$L$3:$L$32,'S Sheet'!$AO$1),IF($AO$1="Nov",SUMIFS(loan!$O$3:$O$32,loan!$J$3:$J$32,'S Sheet'!$A14,loan!$L$3:$L$32,'S Sheet'!$AO$1),IF($AO$1="Dec",SUMIFS(loan!$O$3:$O$32,loan!$J$3:$J$32,'S Sheet'!$A14,loan!$L$3:$L$32,'S Sheet'!$AO$1),""))))))))))))</f>
        <v>0</v>
      </c>
      <c r="T14" s="4">
        <f>IFERROR(VLOOKUP($A14,loan!$A$2:$H$22,3,0),0)</f>
        <v>0</v>
      </c>
      <c r="U14" s="4">
        <f t="shared" si="5"/>
        <v>0</v>
      </c>
      <c r="V14" s="28" t="str">
        <f>IFERROR(VLOOKUP($A14,loan!$A$2:$H$22,2,0),"")</f>
        <v/>
      </c>
      <c r="W14" s="4">
        <f>IFERROR(VLOOKUP($A14,loan!$A$2:$H$22,5,0),0)</f>
        <v>0</v>
      </c>
      <c r="X14" s="4">
        <f t="shared" si="6"/>
        <v>0</v>
      </c>
      <c r="Y14" s="4">
        <f t="shared" si="7"/>
        <v>0</v>
      </c>
      <c r="Z14" s="29">
        <f t="shared" si="13"/>
        <v>0</v>
      </c>
      <c r="AA14" s="4">
        <f>IF('S Sheet'!$AO$1='S Sheet'!$AO$1,SUMIFS(adv!$E$3:$E$97,adv!$B$3:$B$97,'S Sheet'!$A14,adv!$D$3:$D$97,'S Sheet'!$AO$1),0)</f>
        <v>0</v>
      </c>
      <c r="AB14" s="4">
        <f>IF($AO$1=$AO$1,SUMIFS(adv!$H$3:$H$97,adv!$B$3:$B$97,'S Sheet'!$A14,adv!$D$3:$D$97,'S Sheet'!$AO$1),0)</f>
        <v>0</v>
      </c>
      <c r="AC14" s="29">
        <f t="shared" si="0"/>
        <v>0</v>
      </c>
      <c r="AD14" s="4">
        <f t="shared" si="1"/>
        <v>20000</v>
      </c>
      <c r="AE14" s="34">
        <f t="shared" si="2"/>
        <v>18709.677419354837</v>
      </c>
      <c r="AF14" s="4">
        <f>VLOOKUP($A14,Master!$A$2:$K$52,8,0)</f>
        <v>8000</v>
      </c>
      <c r="AG14" s="4">
        <f>VLOOKUP($A14,Master!$A$2:$K$52,9,0)</f>
        <v>2000</v>
      </c>
      <c r="AH14" s="4">
        <f>VLOOKUP($A14,Master!$A$2:$K$52,10,0)</f>
        <v>1000</v>
      </c>
      <c r="AI14" s="4">
        <f t="shared" si="3"/>
        <v>0</v>
      </c>
      <c r="AJ14" s="4">
        <f>IF($AO$1=$AO$1,SUMIFS(adv!$Q$3:$Q$52,adv!$M$3:$M$52,'S Sheet'!$A14,adv!$O$3:$O$52,'S Sheet'!$AO$1),0)</f>
        <v>0</v>
      </c>
      <c r="AK14" s="34">
        <f t="shared" si="4"/>
        <v>29709.677419354837</v>
      </c>
      <c r="AL14" s="4">
        <f t="shared" si="8"/>
        <v>2640</v>
      </c>
      <c r="AM14" s="34">
        <f t="shared" si="9"/>
        <v>0</v>
      </c>
      <c r="AN14" s="34">
        <f t="shared" si="10"/>
        <v>0</v>
      </c>
      <c r="AO14" s="4">
        <f t="shared" si="11"/>
        <v>0</v>
      </c>
      <c r="AP14" s="36">
        <f t="shared" si="12"/>
        <v>27069.677419354837</v>
      </c>
    </row>
    <row r="15" spans="1:42" ht="21" x14ac:dyDescent="0.25">
      <c r="A15" s="4" t="s">
        <v>32</v>
      </c>
      <c r="B15" s="4" t="str">
        <f>VLOOKUP($A15,Master!$A$2:$K$52,COLUMN(Master!B13),0)</f>
        <v>Employee12</v>
      </c>
      <c r="C15" s="4" t="str">
        <f>VLOOKUP($A15,Master!$A$2:$K$52,COLUMN(Master!C13),0)</f>
        <v>Male</v>
      </c>
      <c r="D15" s="26">
        <f>VLOOKUP($A15,Master!$A$2:$K$52,COLUMN(Master!D13),0)</f>
        <v>45125</v>
      </c>
      <c r="E15" s="4" t="str">
        <f>VLOOKUP($A15,Master!$A$2:$K$52,COLUMN(Master!E13),0)</f>
        <v>Production</v>
      </c>
      <c r="F15" s="4" t="str">
        <f>VLOOKUP($A15,Master!$A$2:$K$52,COLUMN(Master!F13),0)</f>
        <v>Supervisor</v>
      </c>
      <c r="G15" s="4" t="s">
        <v>29</v>
      </c>
      <c r="H15" s="4">
        <v>82107260087</v>
      </c>
      <c r="I15" s="4" t="s">
        <v>393</v>
      </c>
      <c r="J15" s="4">
        <f>VLOOKUP($A15,Master!$A$2:$K$52,COLUMN(Master!G13),0)</f>
        <v>14000</v>
      </c>
      <c r="K15" s="4">
        <f>VLOOKUP($A15,Master!$A$2:$K$52,COLUMN(Master!H13),0)</f>
        <v>5600</v>
      </c>
      <c r="L15" s="4">
        <f>VLOOKUP($A15,Master!$A$2:$K$52,COLUMN(Master!I13),0)</f>
        <v>1400</v>
      </c>
      <c r="M15" s="4">
        <f>VLOOKUP($A15,Master!$A$2:$K$52,COLUMN(Master!J13),0)</f>
        <v>700</v>
      </c>
      <c r="N15" s="4">
        <f>IF($AO$1="Jan",VLOOKUP($A15,jan!$A$5:$AU$54,46,0),IF('S Sheet'!$AO$1="Feb",VLOOKUP('S Sheet'!$A15,feb!$A$5:$AR$54,43,0),IF($AO$1="Mar",VLOOKUP($A15,mar!$A$5:$AU$54,46,0),IF($AO$1="Apr",VLOOKUP($A15,apr!$A$5:$AU$54,45,0),IF($AO$1="May",VLOOKUP($A15,may!$A$5:$AU$54,46,0),IF($AO$1="Jun",VLOOKUP($A15,jun!$A$5:$AU$54,45,0),IF($AO$1="Jul",VLOOKUP($A15,jul!$A$5:$AV$54,46,0),IF($AO$1="Aug",VLOOKUP($A15,aug!$A$5:$AU$54,46,0),IF($AO$1="Sep",VLOOKUP($A15,sep!$A$5:$AT$54,45,0),IF($AO$1="Oct",VLOOKUP($A15,oct!$A$5:$AU$54,46,0),IF($AO$1="Nov",VLOOKUP($A15,nov!$A$5:$AU$54,45,0),IF($AO$1="Dec",VLOOKUP($A15,dec!$A$5:$AU$54,46,0),""))))))))))))</f>
        <v>31</v>
      </c>
      <c r="O15" s="4">
        <f>IF($AO$1="Jan",VLOOKUP($A15,jan!$A$5:$AU$54,47,0),IF('S Sheet'!$AO$1="Feb",VLOOKUP('S Sheet'!$A15,feb!$A$5:$AR$54,44,0),IF($AO$1="Mar",VLOOKUP($A15,mar!$A$5:$AU$54,47,0),IF($AO$1="Apr",VLOOKUP($A15,apr!$A$5:$AU$54,46,0),IF($AO$1="May",VLOOKUP($A15,may!$A$5:$AU$54,47,0),IF($AO$1="Jun",VLOOKUP($A15,jun!$A$5:$AU$54,46,0),IF($AO$1="Jul",VLOOKUP($A15,jul!$A$5:$AV$54,47,0),IF($AO$1="Aug",VLOOKUP($A15,aug!$A$5:$AU$54,47,0),IF($AO$1="Sep",VLOOKUP($A15,sep!$A$5:$AT$54,46,0),IF($AO$1="Oct",VLOOKUP($A15,oct!$A$5:$AU$54,47,0),IF($AO$1="Nov",VLOOKUP($A15,nov!$A$5:$AU$54,46,0),IF($AO$1="Dec",VLOOKUP($A15,dec!$A$5:$AU$54,47,0),""))))))))))))</f>
        <v>31</v>
      </c>
      <c r="P15" s="4">
        <f>IF($AO$1="Jan",SUMIFS(holly!$L$3:$L$122,holly!$I$3:$I$122,'S Sheet'!$A15,holly!$K$3:$K$122,'S Sheet'!$AO$1),IF($AO$1="Feb",SUMIFS(holly!$L$3:$L$122,holly!$I$3:$I$122,'S Sheet'!$A15,holly!$K$3:$K$122,'S Sheet'!$AO$1),IF($AO$1="Mar",SUMIFS(holly!$L$3:$L$122,holly!$I$3:$I$122,'S Sheet'!$A15,holly!$K$3:$K$122,'S Sheet'!$AO$1),IF($AO$1="Apr",SUMIFS(holly!$L$3:$L$122,holly!$I$3:$I$122,'S Sheet'!$A15,holly!$K$3:$K$122,'S Sheet'!$AO$1),IF($AO$1="May",SUMIFS(holly!$L$3:$L$122,holly!$I$3:$I$122,'S Sheet'!$A15,holly!$K$3:$K$122,'S Sheet'!$AO$1),IF($AO$1="Jun",SUMIFS(holly!$L$3:$L$122,holly!$I$3:$I$122,'S Sheet'!$A15,holly!$K$3:$K$122,'S Sheet'!$AO$1),IF($AO$1="Jul",SUMIFS(holly!$L$3:$L$122,holly!$I$3:$I$122,'S Sheet'!$A15,holly!$K$3:$K$122,'S Sheet'!$AO$1),IF($AO$1="Aug",SUMIFS(holly!$L$3:$L$122,holly!$I$3:$I$122,'S Sheet'!$A15,holly!$K$3:$K$122,'S Sheet'!$AO$1),IF($AO$1="Sep",SUMIFS(holly!$L$3:$L$122,holly!$I$3:$I$122,'S Sheet'!$A15,holly!$K$3:$K$122,'S Sheet'!$AO$1),IF($AO$1="Oct",SUMIFS(holly!$L$3:$L$122,holly!$I$3:$I$122,'S Sheet'!$A15,holly!$K$3:$K$122,'S Sheet'!$AO$1),IF($AO$1="Nov",SUMIFS(holly!$L$3:$L$122,holly!$I$3:$I$122,'S Sheet'!$A15,holly!$K$3:$K$122,'S Sheet'!$AO$1),IF($AO$1="Dec",SUMIFS(holly!$L$3:$L$122,holly!$I$3:$I$122,'S Sheet'!$A15,holly!$K$3:$K$122,'S Sheet'!$AO$1),""))))))))))))</f>
        <v>0</v>
      </c>
      <c r="Q15" s="4">
        <f>IFERROR(VLOOKUP($A15,holly!$I$2:$O$122,5,0),0)</f>
        <v>0</v>
      </c>
      <c r="R15" s="4">
        <f>IF($AO$1="Jan",SUMIFS(adv!$Q$3:$Q$52,adv!$M$3:$M$52,'S Sheet'!$A15,adv!$O$3:$O$52,'S Sheet'!$AO$1),IF($AO$1="Feb",SUMIFS(adv!$Q$3:$Q$52,adv!$M$3:$M$52,'S Sheet'!$A15,adv!$O$3:$O$52,'S Sheet'!$AO$1),IF($AO$1="Mar",SUMIFS(adv!$Q$3:$Q$52,adv!$M$3:$M$52,'S Sheet'!$A15,adv!$O$3:$O$52,'S Sheet'!$AO$1),IF($AO$1="Apr",SUMIFS(adv!$Q$3:$Q$52,adv!$M$3:$M$52,'S Sheet'!$A15,adv!$O$3:$O$52,'S Sheet'!$AO$1),IF($AO$1="May",SUMIFS(adv!$Q$3:$Q$52,adv!$M$3:$M$52,'S Sheet'!$A15,adv!$O$3:$O$52,'S Sheet'!$AO$1),IF($AO$1="Jun",SUMIFS(adv!$Q$3:$Q$52,adv!$M$3:$M$52,'S Sheet'!$A15,adv!$O$3:$O$52,'S Sheet'!$AO$1),IF($AO$1="Jul",SUMIFS(adv!$Q$3:$Q$52,adv!$M$3:$M$52,'S Sheet'!$A15,adv!$O$3:$O$52,'S Sheet'!$AO$1),IF($AO$1="Aug",SUMIFS(adv!$Q$3:$Q$52,adv!$M$3:$M$52,'S Sheet'!$A15,adv!$O$3:$O$52,'S Sheet'!$AO$1),IF($AO$1="Sep",SUMIFS(adv!$Q$3:$Q$52,adv!$M$3:$M$52,'S Sheet'!$A15,adv!$O$3:$O$52,'S Sheet'!$AO$1),IF($AO$1="Oct",SUMIFS(adv!$Q$3:$Q$52,adv!$M$3:$M$52,'S Sheet'!$A15,adv!$O$3:$O$52,'S Sheet'!$AO$1),IF($AO$1="Nov",SUMIFS(adv!$Q$3:$Q$52,adv!$M$3:$M$52,'S Sheet'!$A15,adv!$O$3:$O$52,'S Sheet'!$AO$1),IF($AO$1="Dec",SUMIFS(adv!$Q$3:$Q$52,adv!$M$3:$M$52,'S Sheet'!$A15,adv!$O$3:$O$52,'S Sheet'!$AO$1),""))))))))))))</f>
        <v>0</v>
      </c>
      <c r="S15" s="4">
        <f>IF($AO$1="Jan",SUMIFS(loan!$O$3:$O$32,loan!$J$3:$J$32,'S Sheet'!$A15,loan!$L$3:$L$32,'S Sheet'!$AO$1),IF($AO$1="Feb",SUMIFS(loan!$O$3:$O$32,loan!$J$3:$J$32,'S Sheet'!$A15,loan!$L$3:$L$32,'S Sheet'!$AO$1),IF($AO$1="Mar",SUMIFS(loan!$O$3:$O$32,loan!$J$3:$J$32,'S Sheet'!$A15,loan!$L$3:$L$32,'S Sheet'!$AO$1),IF($AO$1="Apr",SUMIFS(loan!$O$3:$O$32,loan!$J$3:$J$32,'S Sheet'!$A15,loan!$L$3:$L$32,'S Sheet'!$AO$1),IF($AO$1="May",SUMIFS(loan!$O$3:$O$32,loan!$J$3:$J$32,'S Sheet'!$A15,loan!$L$3:$L$32,'S Sheet'!$AO$1),IF($AO$1="Jun",SUMIFS(loan!$O$3:$O$32,loan!$J$3:$J$32,'S Sheet'!$A15,loan!$L$3:$L$32,'S Sheet'!$AO$1),IF($AO$1="Jul",SUMIFS(loan!$O$3:$O$32,loan!$J$3:$J$32,'S Sheet'!$A15,loan!$L$3:$L$32,'S Sheet'!$AO$1),IF($AO$1="Aug",SUMIFS(loan!$O$3:$O$32,loan!$J$3:$J$32,'S Sheet'!$A15,loan!$L$3:$L$32,'S Sheet'!$AO$1),IF($AO$1="Sep",SUMIFS(loan!$O$3:$O$32,loan!$J$3:$J$32,'S Sheet'!$A15,loan!$L$3:$L$32,'S Sheet'!$AO$1),IF($AO$1="Oct",SUMIFS(loan!$O$3:$O$32,loan!$J$3:$J$32,'S Sheet'!$A15,loan!$L$3:$L$32,'S Sheet'!$AO$1),IF($AO$1="Nov",SUMIFS(loan!$O$3:$O$32,loan!$J$3:$J$32,'S Sheet'!$A15,loan!$L$3:$L$32,'S Sheet'!$AO$1),IF($AO$1="Dec",SUMIFS(loan!$O$3:$O$32,loan!$J$3:$J$32,'S Sheet'!$A15,loan!$L$3:$L$32,'S Sheet'!$AO$1),""))))))))))))</f>
        <v>0</v>
      </c>
      <c r="T15" s="4">
        <f>IFERROR(VLOOKUP($A15,loan!$A$2:$H$22,3,0),0)</f>
        <v>0</v>
      </c>
      <c r="U15" s="4">
        <f t="shared" si="5"/>
        <v>0</v>
      </c>
      <c r="V15" s="28" t="str">
        <f>IFERROR(VLOOKUP($A15,loan!$A$2:$H$22,2,0),"")</f>
        <v/>
      </c>
      <c r="W15" s="4">
        <f>IFERROR(VLOOKUP($A15,loan!$A$2:$H$22,5,0),0)</f>
        <v>0</v>
      </c>
      <c r="X15" s="4">
        <f t="shared" si="6"/>
        <v>0</v>
      </c>
      <c r="Y15" s="4">
        <f t="shared" si="7"/>
        <v>0</v>
      </c>
      <c r="Z15" s="29">
        <f t="shared" si="13"/>
        <v>0</v>
      </c>
      <c r="AA15" s="4">
        <f>IF('S Sheet'!$AO$1='S Sheet'!$AO$1,SUMIFS(adv!$E$3:$E$97,adv!$B$3:$B$97,'S Sheet'!$A15,adv!$D$3:$D$97,'S Sheet'!$AO$1),0)</f>
        <v>0</v>
      </c>
      <c r="AB15" s="4">
        <f>IF($AO$1=$AO$1,SUMIFS(adv!$H$3:$H$97,adv!$B$3:$B$97,'S Sheet'!$A15,adv!$D$3:$D$97,'S Sheet'!$AO$1),0)</f>
        <v>0</v>
      </c>
      <c r="AC15" s="29">
        <f t="shared" si="0"/>
        <v>0</v>
      </c>
      <c r="AD15" s="4">
        <f t="shared" si="1"/>
        <v>14000</v>
      </c>
      <c r="AE15" s="34">
        <f t="shared" si="2"/>
        <v>14000</v>
      </c>
      <c r="AF15" s="4">
        <f>VLOOKUP($A15,Master!$A$2:$K$52,8,0)</f>
        <v>5600</v>
      </c>
      <c r="AG15" s="4">
        <f>VLOOKUP($A15,Master!$A$2:$K$52,9,0)</f>
        <v>1400</v>
      </c>
      <c r="AH15" s="4">
        <f>VLOOKUP($A15,Master!$A$2:$K$52,10,0)</f>
        <v>700</v>
      </c>
      <c r="AI15" s="4">
        <f t="shared" si="3"/>
        <v>0</v>
      </c>
      <c r="AJ15" s="4">
        <f>IF($AO$1=$AO$1,SUMIFS(adv!$Q$3:$Q$52,adv!$M$3:$M$52,'S Sheet'!$A15,adv!$O$3:$O$52,'S Sheet'!$AO$1),0)</f>
        <v>0</v>
      </c>
      <c r="AK15" s="34">
        <f t="shared" si="4"/>
        <v>21700</v>
      </c>
      <c r="AL15" s="4">
        <f t="shared" si="8"/>
        <v>1848</v>
      </c>
      <c r="AM15" s="34">
        <f t="shared" si="9"/>
        <v>0</v>
      </c>
      <c r="AN15" s="34">
        <f t="shared" si="10"/>
        <v>0</v>
      </c>
      <c r="AO15" s="4">
        <f t="shared" si="11"/>
        <v>0</v>
      </c>
      <c r="AP15" s="36">
        <f t="shared" si="12"/>
        <v>19852</v>
      </c>
    </row>
    <row r="16" spans="1:42" ht="21" x14ac:dyDescent="0.25">
      <c r="A16" s="4" t="s">
        <v>33</v>
      </c>
      <c r="B16" s="4" t="str">
        <f>VLOOKUP($A16,Master!$A$2:$K$52,COLUMN(Master!B14),0)</f>
        <v>Employee13</v>
      </c>
      <c r="C16" s="4" t="str">
        <f>VLOOKUP($A16,Master!$A$2:$K$52,COLUMN(Master!C14),0)</f>
        <v>Male</v>
      </c>
      <c r="D16" s="26">
        <f>VLOOKUP($A16,Master!$A$2:$K$52,COLUMN(Master!D14),0)</f>
        <v>44626</v>
      </c>
      <c r="E16" s="4" t="str">
        <f>VLOOKUP($A16,Master!$A$2:$K$52,COLUMN(Master!E14),0)</f>
        <v>Production</v>
      </c>
      <c r="F16" s="4" t="str">
        <f>VLOOKUP($A16,Master!$A$2:$K$52,COLUMN(Master!F14),0)</f>
        <v>Supervisor</v>
      </c>
      <c r="G16" s="4" t="s">
        <v>16</v>
      </c>
      <c r="H16" s="4">
        <v>25230400965</v>
      </c>
      <c r="I16" s="4" t="s">
        <v>394</v>
      </c>
      <c r="J16" s="4">
        <f>VLOOKUP($A16,Master!$A$2:$K$52,COLUMN(Master!G14),0)</f>
        <v>13000</v>
      </c>
      <c r="K16" s="4">
        <f>VLOOKUP($A16,Master!$A$2:$K$52,COLUMN(Master!H14),0)</f>
        <v>5200</v>
      </c>
      <c r="L16" s="4">
        <f>VLOOKUP($A16,Master!$A$2:$K$52,COLUMN(Master!I14),0)</f>
        <v>1300</v>
      </c>
      <c r="M16" s="4">
        <f>VLOOKUP($A16,Master!$A$2:$K$52,COLUMN(Master!J14),0)</f>
        <v>650</v>
      </c>
      <c r="N16" s="4">
        <f>IF($AO$1="Jan",VLOOKUP($A16,jan!$A$5:$AU$54,46,0),IF('S Sheet'!$AO$1="Feb",VLOOKUP('S Sheet'!$A16,feb!$A$5:$AR$54,43,0),IF($AO$1="Mar",VLOOKUP($A16,mar!$A$5:$AU$54,46,0),IF($AO$1="Apr",VLOOKUP($A16,apr!$A$5:$AU$54,45,0),IF($AO$1="May",VLOOKUP($A16,may!$A$5:$AU$54,46,0),IF($AO$1="Jun",VLOOKUP($A16,jun!$A$5:$AU$54,45,0),IF($AO$1="Jul",VLOOKUP($A16,jul!$A$5:$AV$54,46,0),IF($AO$1="Aug",VLOOKUP($A16,aug!$A$5:$AU$54,46,0),IF($AO$1="Sep",VLOOKUP($A16,sep!$A$5:$AT$54,45,0),IF($AO$1="Oct",VLOOKUP($A16,oct!$A$5:$AU$54,46,0),IF($AO$1="Nov",VLOOKUP($A16,nov!$A$5:$AU$54,45,0),IF($AO$1="Dec",VLOOKUP($A16,dec!$A$5:$AU$54,46,0),""))))))))))))</f>
        <v>31</v>
      </c>
      <c r="O16" s="4">
        <f>IF($AO$1="Jan",VLOOKUP($A16,jan!$A$5:$AU$54,47,0),IF('S Sheet'!$AO$1="Feb",VLOOKUP('S Sheet'!$A16,feb!$A$5:$AR$54,44,0),IF($AO$1="Mar",VLOOKUP($A16,mar!$A$5:$AU$54,47,0),IF($AO$1="Apr",VLOOKUP($A16,apr!$A$5:$AU$54,46,0),IF($AO$1="May",VLOOKUP($A16,may!$A$5:$AU$54,47,0),IF($AO$1="Jun",VLOOKUP($A16,jun!$A$5:$AU$54,46,0),IF($AO$1="Jul",VLOOKUP($A16,jul!$A$5:$AV$54,47,0),IF($AO$1="Aug",VLOOKUP($A16,aug!$A$5:$AU$54,47,0),IF($AO$1="Sep",VLOOKUP($A16,sep!$A$5:$AT$54,46,0),IF($AO$1="Oct",VLOOKUP($A16,oct!$A$5:$AU$54,47,0),IF($AO$1="Nov",VLOOKUP($A16,nov!$A$5:$AU$54,46,0),IF($AO$1="Dec",VLOOKUP($A16,dec!$A$5:$AU$54,47,0),""))))))))))))</f>
        <v>30</v>
      </c>
      <c r="P16" s="4">
        <f>IF($AO$1="Jan",SUMIFS(holly!$L$3:$L$122,holly!$I$3:$I$122,'S Sheet'!$A16,holly!$K$3:$K$122,'S Sheet'!$AO$1),IF($AO$1="Feb",SUMIFS(holly!$L$3:$L$122,holly!$I$3:$I$122,'S Sheet'!$A16,holly!$K$3:$K$122,'S Sheet'!$AO$1),IF($AO$1="Mar",SUMIFS(holly!$L$3:$L$122,holly!$I$3:$I$122,'S Sheet'!$A16,holly!$K$3:$K$122,'S Sheet'!$AO$1),IF($AO$1="Apr",SUMIFS(holly!$L$3:$L$122,holly!$I$3:$I$122,'S Sheet'!$A16,holly!$K$3:$K$122,'S Sheet'!$AO$1),IF($AO$1="May",SUMIFS(holly!$L$3:$L$122,holly!$I$3:$I$122,'S Sheet'!$A16,holly!$K$3:$K$122,'S Sheet'!$AO$1),IF($AO$1="Jun",SUMIFS(holly!$L$3:$L$122,holly!$I$3:$I$122,'S Sheet'!$A16,holly!$K$3:$K$122,'S Sheet'!$AO$1),IF($AO$1="Jul",SUMIFS(holly!$L$3:$L$122,holly!$I$3:$I$122,'S Sheet'!$A16,holly!$K$3:$K$122,'S Sheet'!$AO$1),IF($AO$1="Aug",SUMIFS(holly!$L$3:$L$122,holly!$I$3:$I$122,'S Sheet'!$A16,holly!$K$3:$K$122,'S Sheet'!$AO$1),IF($AO$1="Sep",SUMIFS(holly!$L$3:$L$122,holly!$I$3:$I$122,'S Sheet'!$A16,holly!$K$3:$K$122,'S Sheet'!$AO$1),IF($AO$1="Oct",SUMIFS(holly!$L$3:$L$122,holly!$I$3:$I$122,'S Sheet'!$A16,holly!$K$3:$K$122,'S Sheet'!$AO$1),IF($AO$1="Nov",SUMIFS(holly!$L$3:$L$122,holly!$I$3:$I$122,'S Sheet'!$A16,holly!$K$3:$K$122,'S Sheet'!$AO$1),IF($AO$1="Dec",SUMIFS(holly!$L$3:$L$122,holly!$I$3:$I$122,'S Sheet'!$A16,holly!$K$3:$K$122,'S Sheet'!$AO$1),""))))))))))))</f>
        <v>0</v>
      </c>
      <c r="Q16" s="4">
        <f>IFERROR(VLOOKUP($A16,holly!$I$2:$O$122,5,0),0)</f>
        <v>93.75</v>
      </c>
      <c r="R16" s="4">
        <f>IF($AO$1="Jan",SUMIFS(adv!$Q$3:$Q$52,adv!$M$3:$M$52,'S Sheet'!$A16,adv!$O$3:$O$52,'S Sheet'!$AO$1),IF($AO$1="Feb",SUMIFS(adv!$Q$3:$Q$52,adv!$M$3:$M$52,'S Sheet'!$A16,adv!$O$3:$O$52,'S Sheet'!$AO$1),IF($AO$1="Mar",SUMIFS(adv!$Q$3:$Q$52,adv!$M$3:$M$52,'S Sheet'!$A16,adv!$O$3:$O$52,'S Sheet'!$AO$1),IF($AO$1="Apr",SUMIFS(adv!$Q$3:$Q$52,adv!$M$3:$M$52,'S Sheet'!$A16,adv!$O$3:$O$52,'S Sheet'!$AO$1),IF($AO$1="May",SUMIFS(adv!$Q$3:$Q$52,adv!$M$3:$M$52,'S Sheet'!$A16,adv!$O$3:$O$52,'S Sheet'!$AO$1),IF($AO$1="Jun",SUMIFS(adv!$Q$3:$Q$52,adv!$M$3:$M$52,'S Sheet'!$A16,adv!$O$3:$O$52,'S Sheet'!$AO$1),IF($AO$1="Jul",SUMIFS(adv!$Q$3:$Q$52,adv!$M$3:$M$52,'S Sheet'!$A16,adv!$O$3:$O$52,'S Sheet'!$AO$1),IF($AO$1="Aug",SUMIFS(adv!$Q$3:$Q$52,adv!$M$3:$M$52,'S Sheet'!$A16,adv!$O$3:$O$52,'S Sheet'!$AO$1),IF($AO$1="Sep",SUMIFS(adv!$Q$3:$Q$52,adv!$M$3:$M$52,'S Sheet'!$A16,adv!$O$3:$O$52,'S Sheet'!$AO$1),IF($AO$1="Oct",SUMIFS(adv!$Q$3:$Q$52,adv!$M$3:$M$52,'S Sheet'!$A16,adv!$O$3:$O$52,'S Sheet'!$AO$1),IF($AO$1="Nov",SUMIFS(adv!$Q$3:$Q$52,adv!$M$3:$M$52,'S Sheet'!$A16,adv!$O$3:$O$52,'S Sheet'!$AO$1),IF($AO$1="Dec",SUMIFS(adv!$Q$3:$Q$52,adv!$M$3:$M$52,'S Sheet'!$A16,adv!$O$3:$O$52,'S Sheet'!$AO$1),""))))))))))))</f>
        <v>0</v>
      </c>
      <c r="S16" s="4">
        <f>IF($AO$1="Jan",SUMIFS(loan!$O$3:$O$32,loan!$J$3:$J$32,'S Sheet'!$A16,loan!$L$3:$L$32,'S Sheet'!$AO$1),IF($AO$1="Feb",SUMIFS(loan!$O$3:$O$32,loan!$J$3:$J$32,'S Sheet'!$A16,loan!$L$3:$L$32,'S Sheet'!$AO$1),IF($AO$1="Mar",SUMIFS(loan!$O$3:$O$32,loan!$J$3:$J$32,'S Sheet'!$A16,loan!$L$3:$L$32,'S Sheet'!$AO$1),IF($AO$1="Apr",SUMIFS(loan!$O$3:$O$32,loan!$J$3:$J$32,'S Sheet'!$A16,loan!$L$3:$L$32,'S Sheet'!$AO$1),IF($AO$1="May",SUMIFS(loan!$O$3:$O$32,loan!$J$3:$J$32,'S Sheet'!$A16,loan!$L$3:$L$32,'S Sheet'!$AO$1),IF($AO$1="Jun",SUMIFS(loan!$O$3:$O$32,loan!$J$3:$J$32,'S Sheet'!$A16,loan!$L$3:$L$32,'S Sheet'!$AO$1),IF($AO$1="Jul",SUMIFS(loan!$O$3:$O$32,loan!$J$3:$J$32,'S Sheet'!$A16,loan!$L$3:$L$32,'S Sheet'!$AO$1),IF($AO$1="Aug",SUMIFS(loan!$O$3:$O$32,loan!$J$3:$J$32,'S Sheet'!$A16,loan!$L$3:$L$32,'S Sheet'!$AO$1),IF($AO$1="Sep",SUMIFS(loan!$O$3:$O$32,loan!$J$3:$J$32,'S Sheet'!$A16,loan!$L$3:$L$32,'S Sheet'!$AO$1),IF($AO$1="Oct",SUMIFS(loan!$O$3:$O$32,loan!$J$3:$J$32,'S Sheet'!$A16,loan!$L$3:$L$32,'S Sheet'!$AO$1),IF($AO$1="Nov",SUMIFS(loan!$O$3:$O$32,loan!$J$3:$J$32,'S Sheet'!$A16,loan!$L$3:$L$32,'S Sheet'!$AO$1),IF($AO$1="Dec",SUMIFS(loan!$O$3:$O$32,loan!$J$3:$J$32,'S Sheet'!$A16,loan!$L$3:$L$32,'S Sheet'!$AO$1),""))))))))))))</f>
        <v>0</v>
      </c>
      <c r="T16" s="4">
        <f>IFERROR(VLOOKUP($A16,loan!$A$2:$H$22,3,0),0)</f>
        <v>0</v>
      </c>
      <c r="U16" s="4">
        <f t="shared" si="5"/>
        <v>0</v>
      </c>
      <c r="V16" s="28" t="str">
        <f>IFERROR(VLOOKUP($A16,loan!$A$2:$H$22,2,0),"")</f>
        <v/>
      </c>
      <c r="W16" s="4">
        <f>IFERROR(VLOOKUP($A16,loan!$A$2:$H$22,5,0),0)</f>
        <v>0</v>
      </c>
      <c r="X16" s="4">
        <f t="shared" si="6"/>
        <v>0</v>
      </c>
      <c r="Y16" s="4">
        <f t="shared" si="7"/>
        <v>0</v>
      </c>
      <c r="Z16" s="29">
        <f t="shared" si="13"/>
        <v>0</v>
      </c>
      <c r="AA16" s="4">
        <f>IF('S Sheet'!$AO$1='S Sheet'!$AO$1,SUMIFS(adv!$E$3:$E$97,adv!$B$3:$B$97,'S Sheet'!$A16,adv!$D$3:$D$97,'S Sheet'!$AO$1),0)</f>
        <v>0</v>
      </c>
      <c r="AB16" s="4">
        <f>IF($AO$1=$AO$1,SUMIFS(adv!$H$3:$H$97,adv!$B$3:$B$97,'S Sheet'!$A16,adv!$D$3:$D$97,'S Sheet'!$AO$1),0)</f>
        <v>0</v>
      </c>
      <c r="AC16" s="29">
        <f t="shared" si="0"/>
        <v>0</v>
      </c>
      <c r="AD16" s="4">
        <f t="shared" si="1"/>
        <v>13000</v>
      </c>
      <c r="AE16" s="34">
        <f t="shared" si="2"/>
        <v>12580.645161290324</v>
      </c>
      <c r="AF16" s="4">
        <f>VLOOKUP($A16,Master!$A$2:$K$52,8,0)</f>
        <v>5200</v>
      </c>
      <c r="AG16" s="4">
        <f>VLOOKUP($A16,Master!$A$2:$K$52,9,0)</f>
        <v>1300</v>
      </c>
      <c r="AH16" s="4">
        <f>VLOOKUP($A16,Master!$A$2:$K$52,10,0)</f>
        <v>650</v>
      </c>
      <c r="AI16" s="4">
        <f t="shared" si="3"/>
        <v>0</v>
      </c>
      <c r="AJ16" s="4">
        <f>IF($AO$1=$AO$1,SUMIFS(adv!$Q$3:$Q$52,adv!$M$3:$M$52,'S Sheet'!$A16,adv!$O$3:$O$52,'S Sheet'!$AO$1),0)</f>
        <v>0</v>
      </c>
      <c r="AK16" s="34">
        <f t="shared" si="4"/>
        <v>19730.645161290326</v>
      </c>
      <c r="AL16" s="4">
        <f t="shared" si="8"/>
        <v>1716</v>
      </c>
      <c r="AM16" s="34">
        <f t="shared" si="9"/>
        <v>147.97983870967744</v>
      </c>
      <c r="AN16" s="34">
        <f t="shared" si="10"/>
        <v>0</v>
      </c>
      <c r="AO16" s="4">
        <f t="shared" si="11"/>
        <v>0</v>
      </c>
      <c r="AP16" s="36">
        <f t="shared" si="12"/>
        <v>17866.665322580648</v>
      </c>
    </row>
    <row r="17" spans="1:42" ht="21" x14ac:dyDescent="0.25">
      <c r="A17" s="4" t="s">
        <v>34</v>
      </c>
      <c r="B17" s="4" t="str">
        <f>VLOOKUP($A17,Master!$A$2:$K$52,COLUMN(Master!B15),0)</f>
        <v>Employee14</v>
      </c>
      <c r="C17" s="4" t="str">
        <f>VLOOKUP($A17,Master!$A$2:$K$52,COLUMN(Master!C15),0)</f>
        <v>Male</v>
      </c>
      <c r="D17" s="26">
        <f>VLOOKUP($A17,Master!$A$2:$K$52,COLUMN(Master!D15),0)</f>
        <v>45444</v>
      </c>
      <c r="E17" s="4" t="str">
        <f>VLOOKUP($A17,Master!$A$2:$K$52,COLUMN(Master!E15),0)</f>
        <v>Accounts</v>
      </c>
      <c r="F17" s="4" t="str">
        <f>VLOOKUP($A17,Master!$A$2:$K$52,COLUMN(Master!F15),0)</f>
        <v>Accounts Assistant</v>
      </c>
      <c r="G17" s="4" t="s">
        <v>29</v>
      </c>
      <c r="H17" s="4">
        <v>11601751631</v>
      </c>
      <c r="I17" s="4" t="s">
        <v>395</v>
      </c>
      <c r="J17" s="4">
        <f>VLOOKUP($A17,Master!$A$2:$K$52,COLUMN(Master!G15),0)</f>
        <v>20000</v>
      </c>
      <c r="K17" s="4">
        <f>VLOOKUP($A17,Master!$A$2:$K$52,COLUMN(Master!H15),0)</f>
        <v>8000</v>
      </c>
      <c r="L17" s="4">
        <f>VLOOKUP($A17,Master!$A$2:$K$52,COLUMN(Master!I15),0)</f>
        <v>2000</v>
      </c>
      <c r="M17" s="4">
        <f>VLOOKUP($A17,Master!$A$2:$K$52,COLUMN(Master!J15),0)</f>
        <v>1000</v>
      </c>
      <c r="N17" s="4">
        <f>IF($AO$1="Jan",VLOOKUP($A17,jan!$A$5:$AU$54,46,0),IF('S Sheet'!$AO$1="Feb",VLOOKUP('S Sheet'!$A17,feb!$A$5:$AR$54,43,0),IF($AO$1="Mar",VLOOKUP($A17,mar!$A$5:$AU$54,46,0),IF($AO$1="Apr",VLOOKUP($A17,apr!$A$5:$AU$54,45,0),IF($AO$1="May",VLOOKUP($A17,may!$A$5:$AU$54,46,0),IF($AO$1="Jun",VLOOKUP($A17,jun!$A$5:$AU$54,45,0),IF($AO$1="Jul",VLOOKUP($A17,jul!$A$5:$AV$54,46,0),IF($AO$1="Aug",VLOOKUP($A17,aug!$A$5:$AU$54,46,0),IF($AO$1="Sep",VLOOKUP($A17,sep!$A$5:$AT$54,45,0),IF($AO$1="Oct",VLOOKUP($A17,oct!$A$5:$AU$54,46,0),IF($AO$1="Nov",VLOOKUP($A17,nov!$A$5:$AU$54,45,0),IF($AO$1="Dec",VLOOKUP($A17,dec!$A$5:$AU$54,46,0),""))))))))))))</f>
        <v>31</v>
      </c>
      <c r="O17" s="4">
        <f>IF($AO$1="Jan",VLOOKUP($A17,jan!$A$5:$AU$54,47,0),IF('S Sheet'!$AO$1="Feb",VLOOKUP('S Sheet'!$A17,feb!$A$5:$AR$54,44,0),IF($AO$1="Mar",VLOOKUP($A17,mar!$A$5:$AU$54,47,0),IF($AO$1="Apr",VLOOKUP($A17,apr!$A$5:$AU$54,46,0),IF($AO$1="May",VLOOKUP($A17,may!$A$5:$AU$54,47,0),IF($AO$1="Jun",VLOOKUP($A17,jun!$A$5:$AU$54,46,0),IF($AO$1="Jul",VLOOKUP($A17,jul!$A$5:$AV$54,47,0),IF($AO$1="Aug",VLOOKUP($A17,aug!$A$5:$AU$54,47,0),IF($AO$1="Sep",VLOOKUP($A17,sep!$A$5:$AT$54,46,0),IF($AO$1="Oct",VLOOKUP($A17,oct!$A$5:$AU$54,47,0),IF($AO$1="Nov",VLOOKUP($A17,nov!$A$5:$AU$54,46,0),IF($AO$1="Dec",VLOOKUP($A17,dec!$A$5:$AU$54,47,0),""))))))))))))</f>
        <v>31</v>
      </c>
      <c r="P17" s="4">
        <f>IF($AO$1="Jan",SUMIFS(holly!$L$3:$L$122,holly!$I$3:$I$122,'S Sheet'!$A17,holly!$K$3:$K$122,'S Sheet'!$AO$1),IF($AO$1="Feb",SUMIFS(holly!$L$3:$L$122,holly!$I$3:$I$122,'S Sheet'!$A17,holly!$K$3:$K$122,'S Sheet'!$AO$1),IF($AO$1="Mar",SUMIFS(holly!$L$3:$L$122,holly!$I$3:$I$122,'S Sheet'!$A17,holly!$K$3:$K$122,'S Sheet'!$AO$1),IF($AO$1="Apr",SUMIFS(holly!$L$3:$L$122,holly!$I$3:$I$122,'S Sheet'!$A17,holly!$K$3:$K$122,'S Sheet'!$AO$1),IF($AO$1="May",SUMIFS(holly!$L$3:$L$122,holly!$I$3:$I$122,'S Sheet'!$A17,holly!$K$3:$K$122,'S Sheet'!$AO$1),IF($AO$1="Jun",SUMIFS(holly!$L$3:$L$122,holly!$I$3:$I$122,'S Sheet'!$A17,holly!$K$3:$K$122,'S Sheet'!$AO$1),IF($AO$1="Jul",SUMIFS(holly!$L$3:$L$122,holly!$I$3:$I$122,'S Sheet'!$A17,holly!$K$3:$K$122,'S Sheet'!$AO$1),IF($AO$1="Aug",SUMIFS(holly!$L$3:$L$122,holly!$I$3:$I$122,'S Sheet'!$A17,holly!$K$3:$K$122,'S Sheet'!$AO$1),IF($AO$1="Sep",SUMIFS(holly!$L$3:$L$122,holly!$I$3:$I$122,'S Sheet'!$A17,holly!$K$3:$K$122,'S Sheet'!$AO$1),IF($AO$1="Oct",SUMIFS(holly!$L$3:$L$122,holly!$I$3:$I$122,'S Sheet'!$A17,holly!$K$3:$K$122,'S Sheet'!$AO$1),IF($AO$1="Nov",SUMIFS(holly!$L$3:$L$122,holly!$I$3:$I$122,'S Sheet'!$A17,holly!$K$3:$K$122,'S Sheet'!$AO$1),IF($AO$1="Dec",SUMIFS(holly!$L$3:$L$122,holly!$I$3:$I$122,'S Sheet'!$A17,holly!$K$3:$K$122,'S Sheet'!$AO$1),""))))))))))))</f>
        <v>0</v>
      </c>
      <c r="Q17" s="4">
        <f>IFERROR(VLOOKUP($A17,holly!$I$2:$O$122,5,0),0)</f>
        <v>0</v>
      </c>
      <c r="R17" s="4">
        <f>IF($AO$1="Jan",SUMIFS(adv!$Q$3:$Q$52,adv!$M$3:$M$52,'S Sheet'!$A17,adv!$O$3:$O$52,'S Sheet'!$AO$1),IF($AO$1="Feb",SUMIFS(adv!$Q$3:$Q$52,adv!$M$3:$M$52,'S Sheet'!$A17,adv!$O$3:$O$52,'S Sheet'!$AO$1),IF($AO$1="Mar",SUMIFS(adv!$Q$3:$Q$52,adv!$M$3:$M$52,'S Sheet'!$A17,adv!$O$3:$O$52,'S Sheet'!$AO$1),IF($AO$1="Apr",SUMIFS(adv!$Q$3:$Q$52,adv!$M$3:$M$52,'S Sheet'!$A17,adv!$O$3:$O$52,'S Sheet'!$AO$1),IF($AO$1="May",SUMIFS(adv!$Q$3:$Q$52,adv!$M$3:$M$52,'S Sheet'!$A17,adv!$O$3:$O$52,'S Sheet'!$AO$1),IF($AO$1="Jun",SUMIFS(adv!$Q$3:$Q$52,adv!$M$3:$M$52,'S Sheet'!$A17,adv!$O$3:$O$52,'S Sheet'!$AO$1),IF($AO$1="Jul",SUMIFS(adv!$Q$3:$Q$52,adv!$M$3:$M$52,'S Sheet'!$A17,adv!$O$3:$O$52,'S Sheet'!$AO$1),IF($AO$1="Aug",SUMIFS(adv!$Q$3:$Q$52,adv!$M$3:$M$52,'S Sheet'!$A17,adv!$O$3:$O$52,'S Sheet'!$AO$1),IF($AO$1="Sep",SUMIFS(adv!$Q$3:$Q$52,adv!$M$3:$M$52,'S Sheet'!$A17,adv!$O$3:$O$52,'S Sheet'!$AO$1),IF($AO$1="Oct",SUMIFS(adv!$Q$3:$Q$52,adv!$M$3:$M$52,'S Sheet'!$A17,adv!$O$3:$O$52,'S Sheet'!$AO$1),IF($AO$1="Nov",SUMIFS(adv!$Q$3:$Q$52,adv!$M$3:$M$52,'S Sheet'!$A17,adv!$O$3:$O$52,'S Sheet'!$AO$1),IF($AO$1="Dec",SUMIFS(adv!$Q$3:$Q$52,adv!$M$3:$M$52,'S Sheet'!$A17,adv!$O$3:$O$52,'S Sheet'!$AO$1),""))))))))))))</f>
        <v>0</v>
      </c>
      <c r="S17" s="4">
        <f>IF($AO$1="Jan",SUMIFS(loan!$O$3:$O$32,loan!$J$3:$J$32,'S Sheet'!$A17,loan!$L$3:$L$32,'S Sheet'!$AO$1),IF($AO$1="Feb",SUMIFS(loan!$O$3:$O$32,loan!$J$3:$J$32,'S Sheet'!$A17,loan!$L$3:$L$32,'S Sheet'!$AO$1),IF($AO$1="Mar",SUMIFS(loan!$O$3:$O$32,loan!$J$3:$J$32,'S Sheet'!$A17,loan!$L$3:$L$32,'S Sheet'!$AO$1),IF($AO$1="Apr",SUMIFS(loan!$O$3:$O$32,loan!$J$3:$J$32,'S Sheet'!$A17,loan!$L$3:$L$32,'S Sheet'!$AO$1),IF($AO$1="May",SUMIFS(loan!$O$3:$O$32,loan!$J$3:$J$32,'S Sheet'!$A17,loan!$L$3:$L$32,'S Sheet'!$AO$1),IF($AO$1="Jun",SUMIFS(loan!$O$3:$O$32,loan!$J$3:$J$32,'S Sheet'!$A17,loan!$L$3:$L$32,'S Sheet'!$AO$1),IF($AO$1="Jul",SUMIFS(loan!$O$3:$O$32,loan!$J$3:$J$32,'S Sheet'!$A17,loan!$L$3:$L$32,'S Sheet'!$AO$1),IF($AO$1="Aug",SUMIFS(loan!$O$3:$O$32,loan!$J$3:$J$32,'S Sheet'!$A17,loan!$L$3:$L$32,'S Sheet'!$AO$1),IF($AO$1="Sep",SUMIFS(loan!$O$3:$O$32,loan!$J$3:$J$32,'S Sheet'!$A17,loan!$L$3:$L$32,'S Sheet'!$AO$1),IF($AO$1="Oct",SUMIFS(loan!$O$3:$O$32,loan!$J$3:$J$32,'S Sheet'!$A17,loan!$L$3:$L$32,'S Sheet'!$AO$1),IF($AO$1="Nov",SUMIFS(loan!$O$3:$O$32,loan!$J$3:$J$32,'S Sheet'!$A17,loan!$L$3:$L$32,'S Sheet'!$AO$1),IF($AO$1="Dec",SUMIFS(loan!$O$3:$O$32,loan!$J$3:$J$32,'S Sheet'!$A17,loan!$L$3:$L$32,'S Sheet'!$AO$1),""))))))))))))</f>
        <v>0</v>
      </c>
      <c r="T17" s="4">
        <f>IFERROR(VLOOKUP($A17,loan!$A$2:$H$22,3,0),0)</f>
        <v>30000</v>
      </c>
      <c r="U17" s="4">
        <f t="shared" si="5"/>
        <v>1666.6666666666667</v>
      </c>
      <c r="V17" s="28">
        <f>IFERROR(VLOOKUP($A17,loan!$A$2:$H$22,2,0),"")</f>
        <v>45825</v>
      </c>
      <c r="W17" s="4">
        <f>IFERROR(VLOOKUP($A17,loan!$A$2:$H$22,5,0),0)</f>
        <v>18</v>
      </c>
      <c r="X17" s="4">
        <f t="shared" si="6"/>
        <v>15</v>
      </c>
      <c r="Y17" s="4">
        <f t="shared" si="7"/>
        <v>3</v>
      </c>
      <c r="Z17" s="29">
        <f t="shared" si="13"/>
        <v>5000</v>
      </c>
      <c r="AA17" s="4">
        <f>IF('S Sheet'!$AO$1='S Sheet'!$AO$1,SUMIFS(adv!$E$3:$E$97,adv!$B$3:$B$97,'S Sheet'!$A17,adv!$D$3:$D$97,'S Sheet'!$AO$1),0)</f>
        <v>0</v>
      </c>
      <c r="AB17" s="4">
        <f>IF($AO$1=$AO$1,SUMIFS(adv!$H$3:$H$97,adv!$B$3:$B$97,'S Sheet'!$A17,adv!$D$3:$D$97,'S Sheet'!$AO$1),0)</f>
        <v>0</v>
      </c>
      <c r="AC17" s="29">
        <f t="shared" si="0"/>
        <v>0</v>
      </c>
      <c r="AD17" s="4">
        <f t="shared" si="1"/>
        <v>20000</v>
      </c>
      <c r="AE17" s="34">
        <f t="shared" si="2"/>
        <v>20000</v>
      </c>
      <c r="AF17" s="4">
        <f>VLOOKUP($A17,Master!$A$2:$K$52,8,0)</f>
        <v>8000</v>
      </c>
      <c r="AG17" s="4">
        <f>VLOOKUP($A17,Master!$A$2:$K$52,9,0)</f>
        <v>2000</v>
      </c>
      <c r="AH17" s="4">
        <f>VLOOKUP($A17,Master!$A$2:$K$52,10,0)</f>
        <v>1000</v>
      </c>
      <c r="AI17" s="4">
        <f t="shared" si="3"/>
        <v>0</v>
      </c>
      <c r="AJ17" s="4">
        <f>IF($AO$1=$AO$1,SUMIFS(adv!$Q$3:$Q$52,adv!$M$3:$M$52,'S Sheet'!$A17,adv!$O$3:$O$52,'S Sheet'!$AO$1),0)</f>
        <v>0</v>
      </c>
      <c r="AK17" s="34">
        <f t="shared" si="4"/>
        <v>31000</v>
      </c>
      <c r="AL17" s="4">
        <f t="shared" si="8"/>
        <v>2640</v>
      </c>
      <c r="AM17" s="34">
        <f t="shared" si="9"/>
        <v>0</v>
      </c>
      <c r="AN17" s="34">
        <f t="shared" si="10"/>
        <v>1666.6666666666667</v>
      </c>
      <c r="AO17" s="4">
        <f t="shared" si="11"/>
        <v>0</v>
      </c>
      <c r="AP17" s="36">
        <f t="shared" si="12"/>
        <v>26693.333333333332</v>
      </c>
    </row>
    <row r="18" spans="1:42" ht="21" x14ac:dyDescent="0.25">
      <c r="A18" s="4" t="s">
        <v>37</v>
      </c>
      <c r="B18" s="4" t="str">
        <f>VLOOKUP($A18,Master!$A$2:$K$52,COLUMN(Master!B16),0)</f>
        <v>Employee15</v>
      </c>
      <c r="C18" s="4" t="str">
        <f>VLOOKUP($A18,Master!$A$2:$K$52,COLUMN(Master!C16),0)</f>
        <v>Male</v>
      </c>
      <c r="D18" s="26">
        <f>VLOOKUP($A18,Master!$A$2:$K$52,COLUMN(Master!D16),0)</f>
        <v>45143</v>
      </c>
      <c r="E18" s="4" t="str">
        <f>VLOOKUP($A18,Master!$A$2:$K$52,COLUMN(Master!E16),0)</f>
        <v>HR</v>
      </c>
      <c r="F18" s="4" t="str">
        <f>VLOOKUP($A18,Master!$A$2:$K$52,COLUMN(Master!F16),0)</f>
        <v>HR Executive</v>
      </c>
      <c r="G18" s="4" t="s">
        <v>16</v>
      </c>
      <c r="H18" s="4">
        <v>58872214363</v>
      </c>
      <c r="I18" s="4" t="s">
        <v>396</v>
      </c>
      <c r="J18" s="4">
        <f>VLOOKUP($A18,Master!$A$2:$K$52,COLUMN(Master!G16),0)</f>
        <v>12000</v>
      </c>
      <c r="K18" s="4">
        <f>VLOOKUP($A18,Master!$A$2:$K$52,COLUMN(Master!H16),0)</f>
        <v>4800</v>
      </c>
      <c r="L18" s="4">
        <f>VLOOKUP($A18,Master!$A$2:$K$52,COLUMN(Master!I16),0)</f>
        <v>1200</v>
      </c>
      <c r="M18" s="4">
        <f>VLOOKUP($A18,Master!$A$2:$K$52,COLUMN(Master!J16),0)</f>
        <v>600</v>
      </c>
      <c r="N18" s="4">
        <f>IF($AO$1="Jan",VLOOKUP($A18,jan!$A$5:$AU$54,46,0),IF('S Sheet'!$AO$1="Feb",VLOOKUP('S Sheet'!$A18,feb!$A$5:$AR$54,43,0),IF($AO$1="Mar",VLOOKUP($A18,mar!$A$5:$AU$54,46,0),IF($AO$1="Apr",VLOOKUP($A18,apr!$A$5:$AU$54,45,0),IF($AO$1="May",VLOOKUP($A18,may!$A$5:$AU$54,46,0),IF($AO$1="Jun",VLOOKUP($A18,jun!$A$5:$AU$54,45,0),IF($AO$1="Jul",VLOOKUP($A18,jul!$A$5:$AV$54,46,0),IF($AO$1="Aug",VLOOKUP($A18,aug!$A$5:$AU$54,46,0),IF($AO$1="Sep",VLOOKUP($A18,sep!$A$5:$AT$54,45,0),IF($AO$1="Oct",VLOOKUP($A18,oct!$A$5:$AU$54,46,0),IF($AO$1="Nov",VLOOKUP($A18,nov!$A$5:$AU$54,45,0),IF($AO$1="Dec",VLOOKUP($A18,dec!$A$5:$AU$54,46,0),""))))))))))))</f>
        <v>31</v>
      </c>
      <c r="O18" s="4">
        <f>IF($AO$1="Jan",VLOOKUP($A18,jan!$A$5:$AU$54,47,0),IF('S Sheet'!$AO$1="Feb",VLOOKUP('S Sheet'!$A18,feb!$A$5:$AR$54,44,0),IF($AO$1="Mar",VLOOKUP($A18,mar!$A$5:$AU$54,47,0),IF($AO$1="Apr",VLOOKUP($A18,apr!$A$5:$AU$54,46,0),IF($AO$1="May",VLOOKUP($A18,may!$A$5:$AU$54,47,0),IF($AO$1="Jun",VLOOKUP($A18,jun!$A$5:$AU$54,46,0),IF($AO$1="Jul",VLOOKUP($A18,jul!$A$5:$AV$54,47,0),IF($AO$1="Aug",VLOOKUP($A18,aug!$A$5:$AU$54,47,0),IF($AO$1="Sep",VLOOKUP($A18,sep!$A$5:$AT$54,46,0),IF($AO$1="Oct",VLOOKUP($A18,oct!$A$5:$AU$54,47,0),IF($AO$1="Nov",VLOOKUP($A18,nov!$A$5:$AU$54,46,0),IF($AO$1="Dec",VLOOKUP($A18,dec!$A$5:$AU$54,47,0),""))))))))))))</f>
        <v>31</v>
      </c>
      <c r="P18" s="4">
        <f>IF($AO$1="Jan",SUMIFS(holly!$L$3:$L$122,holly!$I$3:$I$122,'S Sheet'!$A18,holly!$K$3:$K$122,'S Sheet'!$AO$1),IF($AO$1="Feb",SUMIFS(holly!$L$3:$L$122,holly!$I$3:$I$122,'S Sheet'!$A18,holly!$K$3:$K$122,'S Sheet'!$AO$1),IF($AO$1="Mar",SUMIFS(holly!$L$3:$L$122,holly!$I$3:$I$122,'S Sheet'!$A18,holly!$K$3:$K$122,'S Sheet'!$AO$1),IF($AO$1="Apr",SUMIFS(holly!$L$3:$L$122,holly!$I$3:$I$122,'S Sheet'!$A18,holly!$K$3:$K$122,'S Sheet'!$AO$1),IF($AO$1="May",SUMIFS(holly!$L$3:$L$122,holly!$I$3:$I$122,'S Sheet'!$A18,holly!$K$3:$K$122,'S Sheet'!$AO$1),IF($AO$1="Jun",SUMIFS(holly!$L$3:$L$122,holly!$I$3:$I$122,'S Sheet'!$A18,holly!$K$3:$K$122,'S Sheet'!$AO$1),IF($AO$1="Jul",SUMIFS(holly!$L$3:$L$122,holly!$I$3:$I$122,'S Sheet'!$A18,holly!$K$3:$K$122,'S Sheet'!$AO$1),IF($AO$1="Aug",SUMIFS(holly!$L$3:$L$122,holly!$I$3:$I$122,'S Sheet'!$A18,holly!$K$3:$K$122,'S Sheet'!$AO$1),IF($AO$1="Sep",SUMIFS(holly!$L$3:$L$122,holly!$I$3:$I$122,'S Sheet'!$A18,holly!$K$3:$K$122,'S Sheet'!$AO$1),IF($AO$1="Oct",SUMIFS(holly!$L$3:$L$122,holly!$I$3:$I$122,'S Sheet'!$A18,holly!$K$3:$K$122,'S Sheet'!$AO$1),IF($AO$1="Nov",SUMIFS(holly!$L$3:$L$122,holly!$I$3:$I$122,'S Sheet'!$A18,holly!$K$3:$K$122,'S Sheet'!$AO$1),IF($AO$1="Dec",SUMIFS(holly!$L$3:$L$122,holly!$I$3:$I$122,'S Sheet'!$A18,holly!$K$3:$K$122,'S Sheet'!$AO$1),""))))))))))))</f>
        <v>0</v>
      </c>
      <c r="Q18" s="4">
        <f>IFERROR(VLOOKUP($A18,holly!$I$2:$O$122,5,0),0)</f>
        <v>86.54</v>
      </c>
      <c r="R18" s="4">
        <f>IF($AO$1="Jan",SUMIFS(adv!$Q$3:$Q$52,adv!$M$3:$M$52,'S Sheet'!$A18,adv!$O$3:$O$52,'S Sheet'!$AO$1),IF($AO$1="Feb",SUMIFS(adv!$Q$3:$Q$52,adv!$M$3:$M$52,'S Sheet'!$A18,adv!$O$3:$O$52,'S Sheet'!$AO$1),IF($AO$1="Mar",SUMIFS(adv!$Q$3:$Q$52,adv!$M$3:$M$52,'S Sheet'!$A18,adv!$O$3:$O$52,'S Sheet'!$AO$1),IF($AO$1="Apr",SUMIFS(adv!$Q$3:$Q$52,adv!$M$3:$M$52,'S Sheet'!$A18,adv!$O$3:$O$52,'S Sheet'!$AO$1),IF($AO$1="May",SUMIFS(adv!$Q$3:$Q$52,adv!$M$3:$M$52,'S Sheet'!$A18,adv!$O$3:$O$52,'S Sheet'!$AO$1),IF($AO$1="Jun",SUMIFS(adv!$Q$3:$Q$52,adv!$M$3:$M$52,'S Sheet'!$A18,adv!$O$3:$O$52,'S Sheet'!$AO$1),IF($AO$1="Jul",SUMIFS(adv!$Q$3:$Q$52,adv!$M$3:$M$52,'S Sheet'!$A18,adv!$O$3:$O$52,'S Sheet'!$AO$1),IF($AO$1="Aug",SUMIFS(adv!$Q$3:$Q$52,adv!$M$3:$M$52,'S Sheet'!$A18,adv!$O$3:$O$52,'S Sheet'!$AO$1),IF($AO$1="Sep",SUMIFS(adv!$Q$3:$Q$52,adv!$M$3:$M$52,'S Sheet'!$A18,adv!$O$3:$O$52,'S Sheet'!$AO$1),IF($AO$1="Oct",SUMIFS(adv!$Q$3:$Q$52,adv!$M$3:$M$52,'S Sheet'!$A18,adv!$O$3:$O$52,'S Sheet'!$AO$1),IF($AO$1="Nov",SUMIFS(adv!$Q$3:$Q$52,adv!$M$3:$M$52,'S Sheet'!$A18,adv!$O$3:$O$52,'S Sheet'!$AO$1),IF($AO$1="Dec",SUMIFS(adv!$Q$3:$Q$52,adv!$M$3:$M$52,'S Sheet'!$A18,adv!$O$3:$O$52,'S Sheet'!$AO$1),""))))))))))))</f>
        <v>3000</v>
      </c>
      <c r="S18" s="4">
        <f>IF($AO$1="Jan",SUMIFS(loan!$O$3:$O$32,loan!$J$3:$J$32,'S Sheet'!$A18,loan!$L$3:$L$32,'S Sheet'!$AO$1),IF($AO$1="Feb",SUMIFS(loan!$O$3:$O$32,loan!$J$3:$J$32,'S Sheet'!$A18,loan!$L$3:$L$32,'S Sheet'!$AO$1),IF($AO$1="Mar",SUMIFS(loan!$O$3:$O$32,loan!$J$3:$J$32,'S Sheet'!$A18,loan!$L$3:$L$32,'S Sheet'!$AO$1),IF($AO$1="Apr",SUMIFS(loan!$O$3:$O$32,loan!$J$3:$J$32,'S Sheet'!$A18,loan!$L$3:$L$32,'S Sheet'!$AO$1),IF($AO$1="May",SUMIFS(loan!$O$3:$O$32,loan!$J$3:$J$32,'S Sheet'!$A18,loan!$L$3:$L$32,'S Sheet'!$AO$1),IF($AO$1="Jun",SUMIFS(loan!$O$3:$O$32,loan!$J$3:$J$32,'S Sheet'!$A18,loan!$L$3:$L$32,'S Sheet'!$AO$1),IF($AO$1="Jul",SUMIFS(loan!$O$3:$O$32,loan!$J$3:$J$32,'S Sheet'!$A18,loan!$L$3:$L$32,'S Sheet'!$AO$1),IF($AO$1="Aug",SUMIFS(loan!$O$3:$O$32,loan!$J$3:$J$32,'S Sheet'!$A18,loan!$L$3:$L$32,'S Sheet'!$AO$1),IF($AO$1="Sep",SUMIFS(loan!$O$3:$O$32,loan!$J$3:$J$32,'S Sheet'!$A18,loan!$L$3:$L$32,'S Sheet'!$AO$1),IF($AO$1="Oct",SUMIFS(loan!$O$3:$O$32,loan!$J$3:$J$32,'S Sheet'!$A18,loan!$L$3:$L$32,'S Sheet'!$AO$1),IF($AO$1="Nov",SUMIFS(loan!$O$3:$O$32,loan!$J$3:$J$32,'S Sheet'!$A18,loan!$L$3:$L$32,'S Sheet'!$AO$1),IF($AO$1="Dec",SUMIFS(loan!$O$3:$O$32,loan!$J$3:$J$32,'S Sheet'!$A18,loan!$L$3:$L$32,'S Sheet'!$AO$1),""))))))))))))</f>
        <v>0</v>
      </c>
      <c r="T18" s="4">
        <f>IFERROR(VLOOKUP($A18,loan!$A$2:$H$22,3,0),0)</f>
        <v>20000</v>
      </c>
      <c r="U18" s="4">
        <f t="shared" si="5"/>
        <v>800</v>
      </c>
      <c r="V18" s="28">
        <f>IFERROR(VLOOKUP($A18,loan!$A$2:$H$22,2,0),"")</f>
        <v>45747</v>
      </c>
      <c r="W18" s="4">
        <f>IFERROR(VLOOKUP($A18,loan!$A$2:$H$22,5,0),0)</f>
        <v>25</v>
      </c>
      <c r="X18" s="4">
        <f t="shared" si="6"/>
        <v>18</v>
      </c>
      <c r="Y18" s="4">
        <f t="shared" si="7"/>
        <v>7</v>
      </c>
      <c r="Z18" s="29">
        <f t="shared" si="13"/>
        <v>5600</v>
      </c>
      <c r="AA18" s="4">
        <f>IF('S Sheet'!$AO$1='S Sheet'!$AO$1,SUMIFS(adv!$E$3:$E$97,adv!$B$3:$B$97,'S Sheet'!$A18,adv!$D$3:$D$97,'S Sheet'!$AO$1),0)</f>
        <v>0</v>
      </c>
      <c r="AB18" s="4">
        <f>IF($AO$1=$AO$1,SUMIFS(adv!$H$3:$H$97,adv!$B$3:$B$97,'S Sheet'!$A18,adv!$D$3:$D$97,'S Sheet'!$AO$1),0)</f>
        <v>0</v>
      </c>
      <c r="AC18" s="29">
        <f t="shared" si="0"/>
        <v>0</v>
      </c>
      <c r="AD18" s="4">
        <f t="shared" si="1"/>
        <v>12000</v>
      </c>
      <c r="AE18" s="34">
        <f t="shared" si="2"/>
        <v>12000</v>
      </c>
      <c r="AF18" s="4">
        <f>VLOOKUP($A18,Master!$A$2:$K$52,8,0)</f>
        <v>4800</v>
      </c>
      <c r="AG18" s="4">
        <f>VLOOKUP($A18,Master!$A$2:$K$52,9,0)</f>
        <v>1200</v>
      </c>
      <c r="AH18" s="4">
        <f>VLOOKUP($A18,Master!$A$2:$K$52,10,0)</f>
        <v>600</v>
      </c>
      <c r="AI18" s="4">
        <f t="shared" si="3"/>
        <v>0</v>
      </c>
      <c r="AJ18" s="4">
        <f>IF($AO$1=$AO$1,SUMIFS(adv!$Q$3:$Q$52,adv!$M$3:$M$52,'S Sheet'!$A18,adv!$O$3:$O$52,'S Sheet'!$AO$1),0)</f>
        <v>3000</v>
      </c>
      <c r="AK18" s="34">
        <f t="shared" si="4"/>
        <v>21600</v>
      </c>
      <c r="AL18" s="4">
        <f t="shared" si="8"/>
        <v>1584</v>
      </c>
      <c r="AM18" s="34">
        <f t="shared" si="9"/>
        <v>0</v>
      </c>
      <c r="AN18" s="34">
        <f t="shared" si="10"/>
        <v>800</v>
      </c>
      <c r="AO18" s="4">
        <f t="shared" si="11"/>
        <v>0</v>
      </c>
      <c r="AP18" s="36">
        <f t="shared" si="12"/>
        <v>19216</v>
      </c>
    </row>
    <row r="19" spans="1:42" ht="21" x14ac:dyDescent="0.25">
      <c r="A19" s="4" t="s">
        <v>40</v>
      </c>
      <c r="B19" s="4" t="str">
        <f>VLOOKUP($A19,Master!$A$2:$K$52,COLUMN(Master!B17),0)</f>
        <v>Employee16</v>
      </c>
      <c r="C19" s="4" t="str">
        <f>VLOOKUP($A19,Master!$A$2:$K$52,COLUMN(Master!C17),0)</f>
        <v>Male</v>
      </c>
      <c r="D19" s="26">
        <f>VLOOKUP($A19,Master!$A$2:$K$52,COLUMN(Master!D17),0)</f>
        <v>45599</v>
      </c>
      <c r="E19" s="4" t="str">
        <f>VLOOKUP($A19,Master!$A$2:$K$52,COLUMN(Master!E17),0)</f>
        <v>Warehouse</v>
      </c>
      <c r="F19" s="4" t="str">
        <f>VLOOKUP($A19,Master!$A$2:$K$52,COLUMN(Master!F17),0)</f>
        <v>Warehouse Executive</v>
      </c>
      <c r="G19" s="4" t="s">
        <v>386</v>
      </c>
      <c r="H19" s="4">
        <v>81563563780</v>
      </c>
      <c r="I19" s="4" t="s">
        <v>397</v>
      </c>
      <c r="J19" s="4">
        <f>VLOOKUP($A19,Master!$A$2:$K$52,COLUMN(Master!G17),0)</f>
        <v>22000</v>
      </c>
      <c r="K19" s="4">
        <f>VLOOKUP($A19,Master!$A$2:$K$52,COLUMN(Master!H17),0)</f>
        <v>8800</v>
      </c>
      <c r="L19" s="4">
        <f>VLOOKUP($A19,Master!$A$2:$K$52,COLUMN(Master!I17),0)</f>
        <v>2200</v>
      </c>
      <c r="M19" s="4">
        <f>VLOOKUP($A19,Master!$A$2:$K$52,COLUMN(Master!J17),0)</f>
        <v>1100</v>
      </c>
      <c r="N19" s="4">
        <f>IF($AO$1="Jan",VLOOKUP($A19,jan!$A$5:$AU$54,46,0),IF('S Sheet'!$AO$1="Feb",VLOOKUP('S Sheet'!$A19,feb!$A$5:$AR$54,43,0),IF($AO$1="Mar",VLOOKUP($A19,mar!$A$5:$AU$54,46,0),IF($AO$1="Apr",VLOOKUP($A19,apr!$A$5:$AU$54,45,0),IF($AO$1="May",VLOOKUP($A19,may!$A$5:$AU$54,46,0),IF($AO$1="Jun",VLOOKUP($A19,jun!$A$5:$AU$54,45,0),IF($AO$1="Jul",VLOOKUP($A19,jul!$A$5:$AV$54,46,0),IF($AO$1="Aug",VLOOKUP($A19,aug!$A$5:$AU$54,46,0),IF($AO$1="Sep",VLOOKUP($A19,sep!$A$5:$AT$54,45,0),IF($AO$1="Oct",VLOOKUP($A19,oct!$A$5:$AU$54,46,0),IF($AO$1="Nov",VLOOKUP($A19,nov!$A$5:$AU$54,45,0),IF($AO$1="Dec",VLOOKUP($A19,dec!$A$5:$AU$54,46,0),""))))))))))))</f>
        <v>31</v>
      </c>
      <c r="O19" s="4">
        <f>IF($AO$1="Jan",VLOOKUP($A19,jan!$A$5:$AU$54,47,0),IF('S Sheet'!$AO$1="Feb",VLOOKUP('S Sheet'!$A19,feb!$A$5:$AR$54,44,0),IF($AO$1="Mar",VLOOKUP($A19,mar!$A$5:$AU$54,47,0),IF($AO$1="Apr",VLOOKUP($A19,apr!$A$5:$AU$54,46,0),IF($AO$1="May",VLOOKUP($A19,may!$A$5:$AU$54,47,0),IF($AO$1="Jun",VLOOKUP($A19,jun!$A$5:$AU$54,46,0),IF($AO$1="Jul",VLOOKUP($A19,jul!$A$5:$AV$54,47,0),IF($AO$1="Aug",VLOOKUP($A19,aug!$A$5:$AU$54,47,0),IF($AO$1="Sep",VLOOKUP($A19,sep!$A$5:$AT$54,46,0),IF($AO$1="Oct",VLOOKUP($A19,oct!$A$5:$AU$54,47,0),IF($AO$1="Nov",VLOOKUP($A19,nov!$A$5:$AU$54,46,0),IF($AO$1="Dec",VLOOKUP($A19,dec!$A$5:$AU$54,47,0),""))))))))))))</f>
        <v>30</v>
      </c>
      <c r="P19" s="4">
        <f>IF($AO$1="Jan",SUMIFS(holly!$L$3:$L$122,holly!$I$3:$I$122,'S Sheet'!$A19,holly!$K$3:$K$122,'S Sheet'!$AO$1),IF($AO$1="Feb",SUMIFS(holly!$L$3:$L$122,holly!$I$3:$I$122,'S Sheet'!$A19,holly!$K$3:$K$122,'S Sheet'!$AO$1),IF($AO$1="Mar",SUMIFS(holly!$L$3:$L$122,holly!$I$3:$I$122,'S Sheet'!$A19,holly!$K$3:$K$122,'S Sheet'!$AO$1),IF($AO$1="Apr",SUMIFS(holly!$L$3:$L$122,holly!$I$3:$I$122,'S Sheet'!$A19,holly!$K$3:$K$122,'S Sheet'!$AO$1),IF($AO$1="May",SUMIFS(holly!$L$3:$L$122,holly!$I$3:$I$122,'S Sheet'!$A19,holly!$K$3:$K$122,'S Sheet'!$AO$1),IF($AO$1="Jun",SUMIFS(holly!$L$3:$L$122,holly!$I$3:$I$122,'S Sheet'!$A19,holly!$K$3:$K$122,'S Sheet'!$AO$1),IF($AO$1="Jul",SUMIFS(holly!$L$3:$L$122,holly!$I$3:$I$122,'S Sheet'!$A19,holly!$K$3:$K$122,'S Sheet'!$AO$1),IF($AO$1="Aug",SUMIFS(holly!$L$3:$L$122,holly!$I$3:$I$122,'S Sheet'!$A19,holly!$K$3:$K$122,'S Sheet'!$AO$1),IF($AO$1="Sep",SUMIFS(holly!$L$3:$L$122,holly!$I$3:$I$122,'S Sheet'!$A19,holly!$K$3:$K$122,'S Sheet'!$AO$1),IF($AO$1="Oct",SUMIFS(holly!$L$3:$L$122,holly!$I$3:$I$122,'S Sheet'!$A19,holly!$K$3:$K$122,'S Sheet'!$AO$1),IF($AO$1="Nov",SUMIFS(holly!$L$3:$L$122,holly!$I$3:$I$122,'S Sheet'!$A19,holly!$K$3:$K$122,'S Sheet'!$AO$1),IF($AO$1="Dec",SUMIFS(holly!$L$3:$L$122,holly!$I$3:$I$122,'S Sheet'!$A19,holly!$K$3:$K$122,'S Sheet'!$AO$1),""))))))))))))</f>
        <v>0</v>
      </c>
      <c r="Q19" s="4">
        <f>IFERROR(VLOOKUP($A19,holly!$I$2:$O$122,5,0),0)</f>
        <v>158.65</v>
      </c>
      <c r="R19" s="4">
        <f>IF($AO$1="Jan",SUMIFS(adv!$Q$3:$Q$52,adv!$M$3:$M$52,'S Sheet'!$A19,adv!$O$3:$O$52,'S Sheet'!$AO$1),IF($AO$1="Feb",SUMIFS(adv!$Q$3:$Q$52,adv!$M$3:$M$52,'S Sheet'!$A19,adv!$O$3:$O$52,'S Sheet'!$AO$1),IF($AO$1="Mar",SUMIFS(adv!$Q$3:$Q$52,adv!$M$3:$M$52,'S Sheet'!$A19,adv!$O$3:$O$52,'S Sheet'!$AO$1),IF($AO$1="Apr",SUMIFS(adv!$Q$3:$Q$52,adv!$M$3:$M$52,'S Sheet'!$A19,adv!$O$3:$O$52,'S Sheet'!$AO$1),IF($AO$1="May",SUMIFS(adv!$Q$3:$Q$52,adv!$M$3:$M$52,'S Sheet'!$A19,adv!$O$3:$O$52,'S Sheet'!$AO$1),IF($AO$1="Jun",SUMIFS(adv!$Q$3:$Q$52,adv!$M$3:$M$52,'S Sheet'!$A19,adv!$O$3:$O$52,'S Sheet'!$AO$1),IF($AO$1="Jul",SUMIFS(adv!$Q$3:$Q$52,adv!$M$3:$M$52,'S Sheet'!$A19,adv!$O$3:$O$52,'S Sheet'!$AO$1),IF($AO$1="Aug",SUMIFS(adv!$Q$3:$Q$52,adv!$M$3:$M$52,'S Sheet'!$A19,adv!$O$3:$O$52,'S Sheet'!$AO$1),IF($AO$1="Sep",SUMIFS(adv!$Q$3:$Q$52,adv!$M$3:$M$52,'S Sheet'!$A19,adv!$O$3:$O$52,'S Sheet'!$AO$1),IF($AO$1="Oct",SUMIFS(adv!$Q$3:$Q$52,adv!$M$3:$M$52,'S Sheet'!$A19,adv!$O$3:$O$52,'S Sheet'!$AO$1),IF($AO$1="Nov",SUMIFS(adv!$Q$3:$Q$52,adv!$M$3:$M$52,'S Sheet'!$A19,adv!$O$3:$O$52,'S Sheet'!$AO$1),IF($AO$1="Dec",SUMIFS(adv!$Q$3:$Q$52,adv!$M$3:$M$52,'S Sheet'!$A19,adv!$O$3:$O$52,'S Sheet'!$AO$1),""))))))))))))</f>
        <v>0</v>
      </c>
      <c r="S19" s="4">
        <f>IF($AO$1="Jan",SUMIFS(loan!$O$3:$O$32,loan!$J$3:$J$32,'S Sheet'!$A19,loan!$L$3:$L$32,'S Sheet'!$AO$1),IF($AO$1="Feb",SUMIFS(loan!$O$3:$O$32,loan!$J$3:$J$32,'S Sheet'!$A19,loan!$L$3:$L$32,'S Sheet'!$AO$1),IF($AO$1="Mar",SUMIFS(loan!$O$3:$O$32,loan!$J$3:$J$32,'S Sheet'!$A19,loan!$L$3:$L$32,'S Sheet'!$AO$1),IF($AO$1="Apr",SUMIFS(loan!$O$3:$O$32,loan!$J$3:$J$32,'S Sheet'!$A19,loan!$L$3:$L$32,'S Sheet'!$AO$1),IF($AO$1="May",SUMIFS(loan!$O$3:$O$32,loan!$J$3:$J$32,'S Sheet'!$A19,loan!$L$3:$L$32,'S Sheet'!$AO$1),IF($AO$1="Jun",SUMIFS(loan!$O$3:$O$32,loan!$J$3:$J$32,'S Sheet'!$A19,loan!$L$3:$L$32,'S Sheet'!$AO$1),IF($AO$1="Jul",SUMIFS(loan!$O$3:$O$32,loan!$J$3:$J$32,'S Sheet'!$A19,loan!$L$3:$L$32,'S Sheet'!$AO$1),IF($AO$1="Aug",SUMIFS(loan!$O$3:$O$32,loan!$J$3:$J$32,'S Sheet'!$A19,loan!$L$3:$L$32,'S Sheet'!$AO$1),IF($AO$1="Sep",SUMIFS(loan!$O$3:$O$32,loan!$J$3:$J$32,'S Sheet'!$A19,loan!$L$3:$L$32,'S Sheet'!$AO$1),IF($AO$1="Oct",SUMIFS(loan!$O$3:$O$32,loan!$J$3:$J$32,'S Sheet'!$A19,loan!$L$3:$L$32,'S Sheet'!$AO$1),IF($AO$1="Nov",SUMIFS(loan!$O$3:$O$32,loan!$J$3:$J$32,'S Sheet'!$A19,loan!$L$3:$L$32,'S Sheet'!$AO$1),IF($AO$1="Dec",SUMIFS(loan!$O$3:$O$32,loan!$J$3:$J$32,'S Sheet'!$A19,loan!$L$3:$L$32,'S Sheet'!$AO$1),""))))))))))))</f>
        <v>0</v>
      </c>
      <c r="T19" s="4">
        <f>IFERROR(VLOOKUP($A19,loan!$A$2:$H$22,3,0),0)</f>
        <v>0</v>
      </c>
      <c r="U19" s="4">
        <f t="shared" si="5"/>
        <v>0</v>
      </c>
      <c r="V19" s="28" t="str">
        <f>IFERROR(VLOOKUP($A19,loan!$A$2:$H$22,2,0),"")</f>
        <v/>
      </c>
      <c r="W19" s="4">
        <f>IFERROR(VLOOKUP($A19,loan!$A$2:$H$22,5,0),0)</f>
        <v>0</v>
      </c>
      <c r="X19" s="4">
        <f t="shared" si="6"/>
        <v>0</v>
      </c>
      <c r="Y19" s="4">
        <f t="shared" si="7"/>
        <v>0</v>
      </c>
      <c r="Z19" s="29">
        <f t="shared" si="13"/>
        <v>0</v>
      </c>
      <c r="AA19" s="4">
        <f>IF('S Sheet'!$AO$1='S Sheet'!$AO$1,SUMIFS(adv!$E$3:$E$97,adv!$B$3:$B$97,'S Sheet'!$A19,adv!$D$3:$D$97,'S Sheet'!$AO$1),0)</f>
        <v>0</v>
      </c>
      <c r="AB19" s="4">
        <f>IF($AO$1=$AO$1,SUMIFS(adv!$H$3:$H$97,adv!$B$3:$B$97,'S Sheet'!$A19,adv!$D$3:$D$97,'S Sheet'!$AO$1),0)</f>
        <v>0</v>
      </c>
      <c r="AC19" s="29">
        <f t="shared" si="0"/>
        <v>0</v>
      </c>
      <c r="AD19" s="4">
        <f t="shared" si="1"/>
        <v>22000</v>
      </c>
      <c r="AE19" s="34">
        <f t="shared" si="2"/>
        <v>21290.322580645159</v>
      </c>
      <c r="AF19" s="4">
        <f>VLOOKUP($A19,Master!$A$2:$K$52,8,0)</f>
        <v>8800</v>
      </c>
      <c r="AG19" s="4">
        <f>VLOOKUP($A19,Master!$A$2:$K$52,9,0)</f>
        <v>2200</v>
      </c>
      <c r="AH19" s="4">
        <f>VLOOKUP($A19,Master!$A$2:$K$52,10,0)</f>
        <v>1100</v>
      </c>
      <c r="AI19" s="4">
        <f t="shared" si="3"/>
        <v>0</v>
      </c>
      <c r="AJ19" s="4">
        <f>IF($AO$1=$AO$1,SUMIFS(adv!$Q$3:$Q$52,adv!$M$3:$M$52,'S Sheet'!$A19,adv!$O$3:$O$52,'S Sheet'!$AO$1),0)</f>
        <v>0</v>
      </c>
      <c r="AK19" s="34">
        <f t="shared" si="4"/>
        <v>33390.322580645159</v>
      </c>
      <c r="AL19" s="4">
        <f t="shared" si="8"/>
        <v>2904</v>
      </c>
      <c r="AM19" s="34">
        <f t="shared" si="9"/>
        <v>0</v>
      </c>
      <c r="AN19" s="34">
        <f t="shared" si="10"/>
        <v>0</v>
      </c>
      <c r="AO19" s="4">
        <f t="shared" si="11"/>
        <v>0</v>
      </c>
      <c r="AP19" s="36">
        <f t="shared" si="12"/>
        <v>30486.322580645159</v>
      </c>
    </row>
    <row r="20" spans="1:42" ht="21" x14ac:dyDescent="0.25">
      <c r="A20" s="4" t="s">
        <v>42</v>
      </c>
      <c r="B20" s="4" t="str">
        <f>VLOOKUP($A20,Master!$A$2:$K$52,COLUMN(Master!B18),0)</f>
        <v>Employee17</v>
      </c>
      <c r="C20" s="4" t="str">
        <f>VLOOKUP($A20,Master!$A$2:$K$52,COLUMN(Master!C18),0)</f>
        <v>Male</v>
      </c>
      <c r="D20" s="26">
        <f>VLOOKUP($A20,Master!$A$2:$K$52,COLUMN(Master!D18),0)</f>
        <v>45018</v>
      </c>
      <c r="E20" s="4" t="str">
        <f>VLOOKUP($A20,Master!$A$2:$K$52,COLUMN(Master!E18),0)</f>
        <v>Production</v>
      </c>
      <c r="F20" s="4" t="str">
        <f>VLOOKUP($A20,Master!$A$2:$K$52,COLUMN(Master!F18),0)</f>
        <v>Senior Operator</v>
      </c>
      <c r="G20" s="4" t="s">
        <v>29</v>
      </c>
      <c r="H20" s="4">
        <v>68941956119</v>
      </c>
      <c r="I20" s="4" t="s">
        <v>398</v>
      </c>
      <c r="J20" s="4">
        <f>VLOOKUP($A20,Master!$A$2:$K$52,COLUMN(Master!G18),0)</f>
        <v>9000</v>
      </c>
      <c r="K20" s="4">
        <f>VLOOKUP($A20,Master!$A$2:$K$52,COLUMN(Master!H18),0)</f>
        <v>3600</v>
      </c>
      <c r="L20" s="4">
        <f>VLOOKUP($A20,Master!$A$2:$K$52,COLUMN(Master!I18),0)</f>
        <v>900</v>
      </c>
      <c r="M20" s="4">
        <f>VLOOKUP($A20,Master!$A$2:$K$52,COLUMN(Master!J18),0)</f>
        <v>450</v>
      </c>
      <c r="N20" s="4">
        <f>IF($AO$1="Jan",VLOOKUP($A20,jan!$A$5:$AU$54,46,0),IF('S Sheet'!$AO$1="Feb",VLOOKUP('S Sheet'!$A20,feb!$A$5:$AR$54,43,0),IF($AO$1="Mar",VLOOKUP($A20,mar!$A$5:$AU$54,46,0),IF($AO$1="Apr",VLOOKUP($A20,apr!$A$5:$AU$54,45,0),IF($AO$1="May",VLOOKUP($A20,may!$A$5:$AU$54,46,0),IF($AO$1="Jun",VLOOKUP($A20,jun!$A$5:$AU$54,45,0),IF($AO$1="Jul",VLOOKUP($A20,jul!$A$5:$AV$54,46,0),IF($AO$1="Aug",VLOOKUP($A20,aug!$A$5:$AU$54,46,0),IF($AO$1="Sep",VLOOKUP($A20,sep!$A$5:$AT$54,45,0),IF($AO$1="Oct",VLOOKUP($A20,oct!$A$5:$AU$54,46,0),IF($AO$1="Nov",VLOOKUP($A20,nov!$A$5:$AU$54,45,0),IF($AO$1="Dec",VLOOKUP($A20,dec!$A$5:$AU$54,46,0),""))))))))))))</f>
        <v>31</v>
      </c>
      <c r="O20" s="4">
        <f>IF($AO$1="Jan",VLOOKUP($A20,jan!$A$5:$AU$54,47,0),IF('S Sheet'!$AO$1="Feb",VLOOKUP('S Sheet'!$A20,feb!$A$5:$AR$54,44,0),IF($AO$1="Mar",VLOOKUP($A20,mar!$A$5:$AU$54,47,0),IF($AO$1="Apr",VLOOKUP($A20,apr!$A$5:$AU$54,46,0),IF($AO$1="May",VLOOKUP($A20,may!$A$5:$AU$54,47,0),IF($AO$1="Jun",VLOOKUP($A20,jun!$A$5:$AU$54,46,0),IF($AO$1="Jul",VLOOKUP($A20,jul!$A$5:$AV$54,47,0),IF($AO$1="Aug",VLOOKUP($A20,aug!$A$5:$AU$54,47,0),IF($AO$1="Sep",VLOOKUP($A20,sep!$A$5:$AT$54,46,0),IF($AO$1="Oct",VLOOKUP($A20,oct!$A$5:$AU$54,47,0),IF($AO$1="Nov",VLOOKUP($A20,nov!$A$5:$AU$54,46,0),IF($AO$1="Dec",VLOOKUP($A20,dec!$A$5:$AU$54,47,0),""))))))))))))</f>
        <v>31</v>
      </c>
      <c r="P20" s="4">
        <f>IF($AO$1="Jan",SUMIFS(holly!$L$3:$L$122,holly!$I$3:$I$122,'S Sheet'!$A20,holly!$K$3:$K$122,'S Sheet'!$AO$1),IF($AO$1="Feb",SUMIFS(holly!$L$3:$L$122,holly!$I$3:$I$122,'S Sheet'!$A20,holly!$K$3:$K$122,'S Sheet'!$AO$1),IF($AO$1="Mar",SUMIFS(holly!$L$3:$L$122,holly!$I$3:$I$122,'S Sheet'!$A20,holly!$K$3:$K$122,'S Sheet'!$AO$1),IF($AO$1="Apr",SUMIFS(holly!$L$3:$L$122,holly!$I$3:$I$122,'S Sheet'!$A20,holly!$K$3:$K$122,'S Sheet'!$AO$1),IF($AO$1="May",SUMIFS(holly!$L$3:$L$122,holly!$I$3:$I$122,'S Sheet'!$A20,holly!$K$3:$K$122,'S Sheet'!$AO$1),IF($AO$1="Jun",SUMIFS(holly!$L$3:$L$122,holly!$I$3:$I$122,'S Sheet'!$A20,holly!$K$3:$K$122,'S Sheet'!$AO$1),IF($AO$1="Jul",SUMIFS(holly!$L$3:$L$122,holly!$I$3:$I$122,'S Sheet'!$A20,holly!$K$3:$K$122,'S Sheet'!$AO$1),IF($AO$1="Aug",SUMIFS(holly!$L$3:$L$122,holly!$I$3:$I$122,'S Sheet'!$A20,holly!$K$3:$K$122,'S Sheet'!$AO$1),IF($AO$1="Sep",SUMIFS(holly!$L$3:$L$122,holly!$I$3:$I$122,'S Sheet'!$A20,holly!$K$3:$K$122,'S Sheet'!$AO$1),IF($AO$1="Oct",SUMIFS(holly!$L$3:$L$122,holly!$I$3:$I$122,'S Sheet'!$A20,holly!$K$3:$K$122,'S Sheet'!$AO$1),IF($AO$1="Nov",SUMIFS(holly!$L$3:$L$122,holly!$I$3:$I$122,'S Sheet'!$A20,holly!$K$3:$K$122,'S Sheet'!$AO$1),IF($AO$1="Dec",SUMIFS(holly!$L$3:$L$122,holly!$I$3:$I$122,'S Sheet'!$A20,holly!$K$3:$K$122,'S Sheet'!$AO$1),""))))))))))))</f>
        <v>0</v>
      </c>
      <c r="Q20" s="4">
        <f>IFERROR(VLOOKUP($A20,holly!$I$2:$O$122,5,0),0)</f>
        <v>64.900000000000006</v>
      </c>
      <c r="R20" s="4">
        <f>IF($AO$1="Jan",SUMIFS(adv!$Q$3:$Q$52,adv!$M$3:$M$52,'S Sheet'!$A20,adv!$O$3:$O$52,'S Sheet'!$AO$1),IF($AO$1="Feb",SUMIFS(adv!$Q$3:$Q$52,adv!$M$3:$M$52,'S Sheet'!$A20,adv!$O$3:$O$52,'S Sheet'!$AO$1),IF($AO$1="Mar",SUMIFS(adv!$Q$3:$Q$52,adv!$M$3:$M$52,'S Sheet'!$A20,adv!$O$3:$O$52,'S Sheet'!$AO$1),IF($AO$1="Apr",SUMIFS(adv!$Q$3:$Q$52,adv!$M$3:$M$52,'S Sheet'!$A20,adv!$O$3:$O$52,'S Sheet'!$AO$1),IF($AO$1="May",SUMIFS(adv!$Q$3:$Q$52,adv!$M$3:$M$52,'S Sheet'!$A20,adv!$O$3:$O$52,'S Sheet'!$AO$1),IF($AO$1="Jun",SUMIFS(adv!$Q$3:$Q$52,adv!$M$3:$M$52,'S Sheet'!$A20,adv!$O$3:$O$52,'S Sheet'!$AO$1),IF($AO$1="Jul",SUMIFS(adv!$Q$3:$Q$52,adv!$M$3:$M$52,'S Sheet'!$A20,adv!$O$3:$O$52,'S Sheet'!$AO$1),IF($AO$1="Aug",SUMIFS(adv!$Q$3:$Q$52,adv!$M$3:$M$52,'S Sheet'!$A20,adv!$O$3:$O$52,'S Sheet'!$AO$1),IF($AO$1="Sep",SUMIFS(adv!$Q$3:$Q$52,adv!$M$3:$M$52,'S Sheet'!$A20,adv!$O$3:$O$52,'S Sheet'!$AO$1),IF($AO$1="Oct",SUMIFS(adv!$Q$3:$Q$52,adv!$M$3:$M$52,'S Sheet'!$A20,adv!$O$3:$O$52,'S Sheet'!$AO$1),IF($AO$1="Nov",SUMIFS(adv!$Q$3:$Q$52,adv!$M$3:$M$52,'S Sheet'!$A20,adv!$O$3:$O$52,'S Sheet'!$AO$1),IF($AO$1="Dec",SUMIFS(adv!$Q$3:$Q$52,adv!$M$3:$M$52,'S Sheet'!$A20,adv!$O$3:$O$52,'S Sheet'!$AO$1),""))))))))))))</f>
        <v>0</v>
      </c>
      <c r="S20" s="4">
        <f>IF($AO$1="Jan",SUMIFS(loan!$O$3:$O$32,loan!$J$3:$J$32,'S Sheet'!$A20,loan!$L$3:$L$32,'S Sheet'!$AO$1),IF($AO$1="Feb",SUMIFS(loan!$O$3:$O$32,loan!$J$3:$J$32,'S Sheet'!$A20,loan!$L$3:$L$32,'S Sheet'!$AO$1),IF($AO$1="Mar",SUMIFS(loan!$O$3:$O$32,loan!$J$3:$J$32,'S Sheet'!$A20,loan!$L$3:$L$32,'S Sheet'!$AO$1),IF($AO$1="Apr",SUMIFS(loan!$O$3:$O$32,loan!$J$3:$J$32,'S Sheet'!$A20,loan!$L$3:$L$32,'S Sheet'!$AO$1),IF($AO$1="May",SUMIFS(loan!$O$3:$O$32,loan!$J$3:$J$32,'S Sheet'!$A20,loan!$L$3:$L$32,'S Sheet'!$AO$1),IF($AO$1="Jun",SUMIFS(loan!$O$3:$O$32,loan!$J$3:$J$32,'S Sheet'!$A20,loan!$L$3:$L$32,'S Sheet'!$AO$1),IF($AO$1="Jul",SUMIFS(loan!$O$3:$O$32,loan!$J$3:$J$32,'S Sheet'!$A20,loan!$L$3:$L$32,'S Sheet'!$AO$1),IF($AO$1="Aug",SUMIFS(loan!$O$3:$O$32,loan!$J$3:$J$32,'S Sheet'!$A20,loan!$L$3:$L$32,'S Sheet'!$AO$1),IF($AO$1="Sep",SUMIFS(loan!$O$3:$O$32,loan!$J$3:$J$32,'S Sheet'!$A20,loan!$L$3:$L$32,'S Sheet'!$AO$1),IF($AO$1="Oct",SUMIFS(loan!$O$3:$O$32,loan!$J$3:$J$32,'S Sheet'!$A20,loan!$L$3:$L$32,'S Sheet'!$AO$1),IF($AO$1="Nov",SUMIFS(loan!$O$3:$O$32,loan!$J$3:$J$32,'S Sheet'!$A20,loan!$L$3:$L$32,'S Sheet'!$AO$1),IF($AO$1="Dec",SUMIFS(loan!$O$3:$O$32,loan!$J$3:$J$32,'S Sheet'!$A20,loan!$L$3:$L$32,'S Sheet'!$AO$1),""))))))))))))</f>
        <v>0</v>
      </c>
      <c r="T20" s="4">
        <f>IFERROR(VLOOKUP($A20,loan!$A$2:$H$22,3,0),0)</f>
        <v>0</v>
      </c>
      <c r="U20" s="4">
        <f t="shared" si="5"/>
        <v>0</v>
      </c>
      <c r="V20" s="28" t="str">
        <f>IFERROR(VLOOKUP($A20,loan!$A$2:$H$22,2,0),"")</f>
        <v/>
      </c>
      <c r="W20" s="4">
        <f>IFERROR(VLOOKUP($A20,loan!$A$2:$H$22,5,0),0)</f>
        <v>0</v>
      </c>
      <c r="X20" s="4">
        <f t="shared" si="6"/>
        <v>0</v>
      </c>
      <c r="Y20" s="4">
        <f t="shared" si="7"/>
        <v>0</v>
      </c>
      <c r="Z20" s="29">
        <f t="shared" si="13"/>
        <v>0</v>
      </c>
      <c r="AA20" s="4">
        <f>IF('S Sheet'!$AO$1='S Sheet'!$AO$1,SUMIFS(adv!$E$3:$E$97,adv!$B$3:$B$97,'S Sheet'!$A20,adv!$D$3:$D$97,'S Sheet'!$AO$1),0)</f>
        <v>14000</v>
      </c>
      <c r="AB20" s="4">
        <f>IF($AO$1=$AO$1,SUMIFS(adv!$H$3:$H$97,adv!$B$3:$B$97,'S Sheet'!$A20,adv!$D$3:$D$97,'S Sheet'!$AO$1),0)</f>
        <v>2500</v>
      </c>
      <c r="AC20" s="29">
        <f t="shared" si="0"/>
        <v>11500</v>
      </c>
      <c r="AD20" s="4">
        <f t="shared" si="1"/>
        <v>9000</v>
      </c>
      <c r="AE20" s="34">
        <f t="shared" si="2"/>
        <v>9000</v>
      </c>
      <c r="AF20" s="4">
        <f>VLOOKUP($A20,Master!$A$2:$K$52,8,0)</f>
        <v>3600</v>
      </c>
      <c r="AG20" s="4">
        <f>VLOOKUP($A20,Master!$A$2:$K$52,9,0)</f>
        <v>900</v>
      </c>
      <c r="AH20" s="4">
        <f>VLOOKUP($A20,Master!$A$2:$K$52,10,0)</f>
        <v>450</v>
      </c>
      <c r="AI20" s="4">
        <f t="shared" si="3"/>
        <v>0</v>
      </c>
      <c r="AJ20" s="4">
        <f>IF($AO$1=$AO$1,SUMIFS(adv!$Q$3:$Q$52,adv!$M$3:$M$52,'S Sheet'!$A20,adv!$O$3:$O$52,'S Sheet'!$AO$1),0)</f>
        <v>0</v>
      </c>
      <c r="AK20" s="34">
        <f t="shared" si="4"/>
        <v>13950</v>
      </c>
      <c r="AL20" s="4">
        <f t="shared" si="8"/>
        <v>1188</v>
      </c>
      <c r="AM20" s="34">
        <f t="shared" si="9"/>
        <v>104.625</v>
      </c>
      <c r="AN20" s="34">
        <f t="shared" si="10"/>
        <v>0</v>
      </c>
      <c r="AO20" s="4">
        <f t="shared" si="11"/>
        <v>2500</v>
      </c>
      <c r="AP20" s="36">
        <f t="shared" si="12"/>
        <v>10157.375</v>
      </c>
    </row>
    <row r="21" spans="1:42" ht="21" x14ac:dyDescent="0.25">
      <c r="A21" s="4" t="s">
        <v>43</v>
      </c>
      <c r="B21" s="4" t="str">
        <f>VLOOKUP($A21,Master!$A$2:$K$52,COLUMN(Master!B19),0)</f>
        <v>Employee18</v>
      </c>
      <c r="C21" s="4" t="str">
        <f>VLOOKUP($A21,Master!$A$2:$K$52,COLUMN(Master!C19),0)</f>
        <v>Male</v>
      </c>
      <c r="D21" s="26">
        <f>VLOOKUP($A21,Master!$A$2:$K$52,COLUMN(Master!D19),0)</f>
        <v>44632</v>
      </c>
      <c r="E21" s="4" t="str">
        <f>VLOOKUP($A21,Master!$A$2:$K$52,COLUMN(Master!E19),0)</f>
        <v>Production</v>
      </c>
      <c r="F21" s="4" t="str">
        <f>VLOOKUP($A21,Master!$A$2:$K$52,COLUMN(Master!F19),0)</f>
        <v>Supervisor</v>
      </c>
      <c r="G21" s="4" t="s">
        <v>16</v>
      </c>
      <c r="H21" s="4">
        <v>90368266615</v>
      </c>
      <c r="I21" s="4" t="s">
        <v>399</v>
      </c>
      <c r="J21" s="4">
        <f>VLOOKUP($A21,Master!$A$2:$K$52,COLUMN(Master!G19),0)</f>
        <v>18000</v>
      </c>
      <c r="K21" s="4">
        <f>VLOOKUP($A21,Master!$A$2:$K$52,COLUMN(Master!H19),0)</f>
        <v>7200</v>
      </c>
      <c r="L21" s="4">
        <f>VLOOKUP($A21,Master!$A$2:$K$52,COLUMN(Master!I19),0)</f>
        <v>1800</v>
      </c>
      <c r="M21" s="4">
        <f>VLOOKUP($A21,Master!$A$2:$K$52,COLUMN(Master!J19),0)</f>
        <v>900</v>
      </c>
      <c r="N21" s="4">
        <f>IF($AO$1="Jan",VLOOKUP($A21,jan!$A$5:$AU$54,46,0),IF('S Sheet'!$AO$1="Feb",VLOOKUP('S Sheet'!$A21,feb!$A$5:$AR$54,43,0),IF($AO$1="Mar",VLOOKUP($A21,mar!$A$5:$AU$54,46,0),IF($AO$1="Apr",VLOOKUP($A21,apr!$A$5:$AU$54,45,0),IF($AO$1="May",VLOOKUP($A21,may!$A$5:$AU$54,46,0),IF($AO$1="Jun",VLOOKUP($A21,jun!$A$5:$AU$54,45,0),IF($AO$1="Jul",VLOOKUP($A21,jul!$A$5:$AV$54,46,0),IF($AO$1="Aug",VLOOKUP($A21,aug!$A$5:$AU$54,46,0),IF($AO$1="Sep",VLOOKUP($A21,sep!$A$5:$AT$54,45,0),IF($AO$1="Oct",VLOOKUP($A21,oct!$A$5:$AU$54,46,0),IF($AO$1="Nov",VLOOKUP($A21,nov!$A$5:$AU$54,45,0),IF($AO$1="Dec",VLOOKUP($A21,dec!$A$5:$AU$54,46,0),""))))))))))))</f>
        <v>31</v>
      </c>
      <c r="O21" s="4">
        <f>IF($AO$1="Jan",VLOOKUP($A21,jan!$A$5:$AU$54,47,0),IF('S Sheet'!$AO$1="Feb",VLOOKUP('S Sheet'!$A21,feb!$A$5:$AR$54,44,0),IF($AO$1="Mar",VLOOKUP($A21,mar!$A$5:$AU$54,47,0),IF($AO$1="Apr",VLOOKUP($A21,apr!$A$5:$AU$54,46,0),IF($AO$1="May",VLOOKUP($A21,may!$A$5:$AU$54,47,0),IF($AO$1="Jun",VLOOKUP($A21,jun!$A$5:$AU$54,46,0),IF($AO$1="Jul",VLOOKUP($A21,jul!$A$5:$AV$54,47,0),IF($AO$1="Aug",VLOOKUP($A21,aug!$A$5:$AU$54,47,0),IF($AO$1="Sep",VLOOKUP($A21,sep!$A$5:$AT$54,46,0),IF($AO$1="Oct",VLOOKUP($A21,oct!$A$5:$AU$54,47,0),IF($AO$1="Nov",VLOOKUP($A21,nov!$A$5:$AU$54,46,0),IF($AO$1="Dec",VLOOKUP($A21,dec!$A$5:$AU$54,47,0),""))))))))))))</f>
        <v>30</v>
      </c>
      <c r="P21" s="4">
        <f>IF($AO$1="Jan",SUMIFS(holly!$L$3:$L$122,holly!$I$3:$I$122,'S Sheet'!$A21,holly!$K$3:$K$122,'S Sheet'!$AO$1),IF($AO$1="Feb",SUMIFS(holly!$L$3:$L$122,holly!$I$3:$I$122,'S Sheet'!$A21,holly!$K$3:$K$122,'S Sheet'!$AO$1),IF($AO$1="Mar",SUMIFS(holly!$L$3:$L$122,holly!$I$3:$I$122,'S Sheet'!$A21,holly!$K$3:$K$122,'S Sheet'!$AO$1),IF($AO$1="Apr",SUMIFS(holly!$L$3:$L$122,holly!$I$3:$I$122,'S Sheet'!$A21,holly!$K$3:$K$122,'S Sheet'!$AO$1),IF($AO$1="May",SUMIFS(holly!$L$3:$L$122,holly!$I$3:$I$122,'S Sheet'!$A21,holly!$K$3:$K$122,'S Sheet'!$AO$1),IF($AO$1="Jun",SUMIFS(holly!$L$3:$L$122,holly!$I$3:$I$122,'S Sheet'!$A21,holly!$K$3:$K$122,'S Sheet'!$AO$1),IF($AO$1="Jul",SUMIFS(holly!$L$3:$L$122,holly!$I$3:$I$122,'S Sheet'!$A21,holly!$K$3:$K$122,'S Sheet'!$AO$1),IF($AO$1="Aug",SUMIFS(holly!$L$3:$L$122,holly!$I$3:$I$122,'S Sheet'!$A21,holly!$K$3:$K$122,'S Sheet'!$AO$1),IF($AO$1="Sep",SUMIFS(holly!$L$3:$L$122,holly!$I$3:$I$122,'S Sheet'!$A21,holly!$K$3:$K$122,'S Sheet'!$AO$1),IF($AO$1="Oct",SUMIFS(holly!$L$3:$L$122,holly!$I$3:$I$122,'S Sheet'!$A21,holly!$K$3:$K$122,'S Sheet'!$AO$1),IF($AO$1="Nov",SUMIFS(holly!$L$3:$L$122,holly!$I$3:$I$122,'S Sheet'!$A21,holly!$K$3:$K$122,'S Sheet'!$AO$1),IF($AO$1="Dec",SUMIFS(holly!$L$3:$L$122,holly!$I$3:$I$122,'S Sheet'!$A21,holly!$K$3:$K$122,'S Sheet'!$AO$1),""))))))))))))</f>
        <v>2</v>
      </c>
      <c r="Q21" s="4">
        <f>IFERROR(VLOOKUP($A21,holly!$I$2:$O$122,5,0),0)</f>
        <v>129.81</v>
      </c>
      <c r="R21" s="4">
        <f>IF($AO$1="Jan",SUMIFS(adv!$Q$3:$Q$52,adv!$M$3:$M$52,'S Sheet'!$A21,adv!$O$3:$O$52,'S Sheet'!$AO$1),IF($AO$1="Feb",SUMIFS(adv!$Q$3:$Q$52,adv!$M$3:$M$52,'S Sheet'!$A21,adv!$O$3:$O$52,'S Sheet'!$AO$1),IF($AO$1="Mar",SUMIFS(adv!$Q$3:$Q$52,adv!$M$3:$M$52,'S Sheet'!$A21,adv!$O$3:$O$52,'S Sheet'!$AO$1),IF($AO$1="Apr",SUMIFS(adv!$Q$3:$Q$52,adv!$M$3:$M$52,'S Sheet'!$A21,adv!$O$3:$O$52,'S Sheet'!$AO$1),IF($AO$1="May",SUMIFS(adv!$Q$3:$Q$52,adv!$M$3:$M$52,'S Sheet'!$A21,adv!$O$3:$O$52,'S Sheet'!$AO$1),IF($AO$1="Jun",SUMIFS(adv!$Q$3:$Q$52,adv!$M$3:$M$52,'S Sheet'!$A21,adv!$O$3:$O$52,'S Sheet'!$AO$1),IF($AO$1="Jul",SUMIFS(adv!$Q$3:$Q$52,adv!$M$3:$M$52,'S Sheet'!$A21,adv!$O$3:$O$52,'S Sheet'!$AO$1),IF($AO$1="Aug",SUMIFS(adv!$Q$3:$Q$52,adv!$M$3:$M$52,'S Sheet'!$A21,adv!$O$3:$O$52,'S Sheet'!$AO$1),IF($AO$1="Sep",SUMIFS(adv!$Q$3:$Q$52,adv!$M$3:$M$52,'S Sheet'!$A21,adv!$O$3:$O$52,'S Sheet'!$AO$1),IF($AO$1="Oct",SUMIFS(adv!$Q$3:$Q$52,adv!$M$3:$M$52,'S Sheet'!$A21,adv!$O$3:$O$52,'S Sheet'!$AO$1),IF($AO$1="Nov",SUMIFS(adv!$Q$3:$Q$52,adv!$M$3:$M$52,'S Sheet'!$A21,adv!$O$3:$O$52,'S Sheet'!$AO$1),IF($AO$1="Dec",SUMIFS(adv!$Q$3:$Q$52,adv!$M$3:$M$52,'S Sheet'!$A21,adv!$O$3:$O$52,'S Sheet'!$AO$1),""))))))))))))</f>
        <v>0</v>
      </c>
      <c r="S21" s="4">
        <f>IF($AO$1="Jan",SUMIFS(loan!$O$3:$O$32,loan!$J$3:$J$32,'S Sheet'!$A21,loan!$L$3:$L$32,'S Sheet'!$AO$1),IF($AO$1="Feb",SUMIFS(loan!$O$3:$O$32,loan!$J$3:$J$32,'S Sheet'!$A21,loan!$L$3:$L$32,'S Sheet'!$AO$1),IF($AO$1="Mar",SUMIFS(loan!$O$3:$O$32,loan!$J$3:$J$32,'S Sheet'!$A21,loan!$L$3:$L$32,'S Sheet'!$AO$1),IF($AO$1="Apr",SUMIFS(loan!$O$3:$O$32,loan!$J$3:$J$32,'S Sheet'!$A21,loan!$L$3:$L$32,'S Sheet'!$AO$1),IF($AO$1="May",SUMIFS(loan!$O$3:$O$32,loan!$J$3:$J$32,'S Sheet'!$A21,loan!$L$3:$L$32,'S Sheet'!$AO$1),IF($AO$1="Jun",SUMIFS(loan!$O$3:$O$32,loan!$J$3:$J$32,'S Sheet'!$A21,loan!$L$3:$L$32,'S Sheet'!$AO$1),IF($AO$1="Jul",SUMIFS(loan!$O$3:$O$32,loan!$J$3:$J$32,'S Sheet'!$A21,loan!$L$3:$L$32,'S Sheet'!$AO$1),IF($AO$1="Aug",SUMIFS(loan!$O$3:$O$32,loan!$J$3:$J$32,'S Sheet'!$A21,loan!$L$3:$L$32,'S Sheet'!$AO$1),IF($AO$1="Sep",SUMIFS(loan!$O$3:$O$32,loan!$J$3:$J$32,'S Sheet'!$A21,loan!$L$3:$L$32,'S Sheet'!$AO$1),IF($AO$1="Oct",SUMIFS(loan!$O$3:$O$32,loan!$J$3:$J$32,'S Sheet'!$A21,loan!$L$3:$L$32,'S Sheet'!$AO$1),IF($AO$1="Nov",SUMIFS(loan!$O$3:$O$32,loan!$J$3:$J$32,'S Sheet'!$A21,loan!$L$3:$L$32,'S Sheet'!$AO$1),IF($AO$1="Dec",SUMIFS(loan!$O$3:$O$32,loan!$J$3:$J$32,'S Sheet'!$A21,loan!$L$3:$L$32,'S Sheet'!$AO$1),""))))))))))))</f>
        <v>0</v>
      </c>
      <c r="T21" s="4">
        <f>IFERROR(VLOOKUP($A21,loan!$A$2:$H$22,3,0),0)</f>
        <v>0</v>
      </c>
      <c r="U21" s="4">
        <f t="shared" si="5"/>
        <v>0</v>
      </c>
      <c r="V21" s="28" t="str">
        <f>IFERROR(VLOOKUP($A21,loan!$A$2:$H$22,2,0),"")</f>
        <v/>
      </c>
      <c r="W21" s="4">
        <f>IFERROR(VLOOKUP($A21,loan!$A$2:$H$22,5,0),0)</f>
        <v>0</v>
      </c>
      <c r="X21" s="4">
        <f t="shared" si="6"/>
        <v>0</v>
      </c>
      <c r="Y21" s="4">
        <f t="shared" si="7"/>
        <v>0</v>
      </c>
      <c r="Z21" s="29">
        <f t="shared" si="13"/>
        <v>0</v>
      </c>
      <c r="AA21" s="4">
        <f>IF('S Sheet'!$AO$1='S Sheet'!$AO$1,SUMIFS(adv!$E$3:$E$97,adv!$B$3:$B$97,'S Sheet'!$A21,adv!$D$3:$D$97,'S Sheet'!$AO$1),0)</f>
        <v>0</v>
      </c>
      <c r="AB21" s="4">
        <f>IF($AO$1=$AO$1,SUMIFS(adv!$H$3:$H$97,adv!$B$3:$B$97,'S Sheet'!$A21,adv!$D$3:$D$97,'S Sheet'!$AO$1),0)</f>
        <v>0</v>
      </c>
      <c r="AC21" s="29">
        <f t="shared" si="0"/>
        <v>0</v>
      </c>
      <c r="AD21" s="4">
        <f t="shared" si="1"/>
        <v>18000</v>
      </c>
      <c r="AE21" s="34">
        <f t="shared" si="2"/>
        <v>17419.354838709678</v>
      </c>
      <c r="AF21" s="4">
        <f>VLOOKUP($A21,Master!$A$2:$K$52,8,0)</f>
        <v>7200</v>
      </c>
      <c r="AG21" s="4">
        <f>VLOOKUP($A21,Master!$A$2:$K$52,9,0)</f>
        <v>1800</v>
      </c>
      <c r="AH21" s="4">
        <f>VLOOKUP($A21,Master!$A$2:$K$52,10,0)</f>
        <v>900</v>
      </c>
      <c r="AI21" s="4">
        <f t="shared" si="3"/>
        <v>259.62</v>
      </c>
      <c r="AJ21" s="4">
        <f>IF($AO$1=$AO$1,SUMIFS(adv!$Q$3:$Q$52,adv!$M$3:$M$52,'S Sheet'!$A21,adv!$O$3:$O$52,'S Sheet'!$AO$1),0)</f>
        <v>0</v>
      </c>
      <c r="AK21" s="34">
        <f t="shared" si="4"/>
        <v>27578.974838709677</v>
      </c>
      <c r="AL21" s="4">
        <f t="shared" si="8"/>
        <v>2376</v>
      </c>
      <c r="AM21" s="34">
        <f t="shared" si="9"/>
        <v>0</v>
      </c>
      <c r="AN21" s="34">
        <f t="shared" si="10"/>
        <v>0</v>
      </c>
      <c r="AO21" s="4">
        <f t="shared" si="11"/>
        <v>0</v>
      </c>
      <c r="AP21" s="36">
        <f t="shared" si="12"/>
        <v>25202.974838709677</v>
      </c>
    </row>
    <row r="22" spans="1:42" ht="21" x14ac:dyDescent="0.25">
      <c r="A22" s="4" t="s">
        <v>44</v>
      </c>
      <c r="B22" s="4" t="str">
        <f>VLOOKUP($A22,Master!$A$2:$K$52,COLUMN(Master!B20),0)</f>
        <v>Employee19</v>
      </c>
      <c r="C22" s="4" t="str">
        <f>VLOOKUP($A22,Master!$A$2:$K$52,COLUMN(Master!C20),0)</f>
        <v>Female</v>
      </c>
      <c r="D22" s="26">
        <f>VLOOKUP($A22,Master!$A$2:$K$52,COLUMN(Master!D20),0)</f>
        <v>44489</v>
      </c>
      <c r="E22" s="4" t="str">
        <f>VLOOKUP($A22,Master!$A$2:$K$52,COLUMN(Master!E20),0)</f>
        <v>Production</v>
      </c>
      <c r="F22" s="4" t="str">
        <f>VLOOKUP($A22,Master!$A$2:$K$52,COLUMN(Master!F20),0)</f>
        <v>Senior Operator</v>
      </c>
      <c r="G22" s="4" t="s">
        <v>25</v>
      </c>
      <c r="H22" s="4">
        <v>15921514122</v>
      </c>
      <c r="I22" s="4" t="s">
        <v>400</v>
      </c>
      <c r="J22" s="4">
        <f>VLOOKUP($A22,Master!$A$2:$K$52,COLUMN(Master!G20),0)</f>
        <v>20000</v>
      </c>
      <c r="K22" s="4">
        <f>VLOOKUP($A22,Master!$A$2:$K$52,COLUMN(Master!H20),0)</f>
        <v>8000</v>
      </c>
      <c r="L22" s="4">
        <f>VLOOKUP($A22,Master!$A$2:$K$52,COLUMN(Master!I20),0)</f>
        <v>2000</v>
      </c>
      <c r="M22" s="4">
        <f>VLOOKUP($A22,Master!$A$2:$K$52,COLUMN(Master!J20),0)</f>
        <v>1000</v>
      </c>
      <c r="N22" s="4">
        <f>IF($AO$1="Jan",VLOOKUP($A22,jan!$A$5:$AU$54,46,0),IF('S Sheet'!$AO$1="Feb",VLOOKUP('S Sheet'!$A22,feb!$A$5:$AR$54,43,0),IF($AO$1="Mar",VLOOKUP($A22,mar!$A$5:$AU$54,46,0),IF($AO$1="Apr",VLOOKUP($A22,apr!$A$5:$AU$54,45,0),IF($AO$1="May",VLOOKUP($A22,may!$A$5:$AU$54,46,0),IF($AO$1="Jun",VLOOKUP($A22,jun!$A$5:$AU$54,45,0),IF($AO$1="Jul",VLOOKUP($A22,jul!$A$5:$AV$54,46,0),IF($AO$1="Aug",VLOOKUP($A22,aug!$A$5:$AU$54,46,0),IF($AO$1="Sep",VLOOKUP($A22,sep!$A$5:$AT$54,45,0),IF($AO$1="Oct",VLOOKUP($A22,oct!$A$5:$AU$54,46,0),IF($AO$1="Nov",VLOOKUP($A22,nov!$A$5:$AU$54,45,0),IF($AO$1="Dec",VLOOKUP($A22,dec!$A$5:$AU$54,46,0),""))))))))))))</f>
        <v>31</v>
      </c>
      <c r="O22" s="4">
        <f>IF($AO$1="Jan",VLOOKUP($A22,jan!$A$5:$AU$54,47,0),IF('S Sheet'!$AO$1="Feb",VLOOKUP('S Sheet'!$A22,feb!$A$5:$AR$54,44,0),IF($AO$1="Mar",VLOOKUP($A22,mar!$A$5:$AU$54,47,0),IF($AO$1="Apr",VLOOKUP($A22,apr!$A$5:$AU$54,46,0),IF($AO$1="May",VLOOKUP($A22,may!$A$5:$AU$54,47,0),IF($AO$1="Jun",VLOOKUP($A22,jun!$A$5:$AU$54,46,0),IF($AO$1="Jul",VLOOKUP($A22,jul!$A$5:$AV$54,47,0),IF($AO$1="Aug",VLOOKUP($A22,aug!$A$5:$AU$54,47,0),IF($AO$1="Sep",VLOOKUP($A22,sep!$A$5:$AT$54,46,0),IF($AO$1="Oct",VLOOKUP($A22,oct!$A$5:$AU$54,47,0),IF($AO$1="Nov",VLOOKUP($A22,nov!$A$5:$AU$54,46,0),IF($AO$1="Dec",VLOOKUP($A22,dec!$A$5:$AU$54,47,0),""))))))))))))</f>
        <v>29</v>
      </c>
      <c r="P22" s="4">
        <f>IF($AO$1="Jan",SUMIFS(holly!$L$3:$L$122,holly!$I$3:$I$122,'S Sheet'!$A22,holly!$K$3:$K$122,'S Sheet'!$AO$1),IF($AO$1="Feb",SUMIFS(holly!$L$3:$L$122,holly!$I$3:$I$122,'S Sheet'!$A22,holly!$K$3:$K$122,'S Sheet'!$AO$1),IF($AO$1="Mar",SUMIFS(holly!$L$3:$L$122,holly!$I$3:$I$122,'S Sheet'!$A22,holly!$K$3:$K$122,'S Sheet'!$AO$1),IF($AO$1="Apr",SUMIFS(holly!$L$3:$L$122,holly!$I$3:$I$122,'S Sheet'!$A22,holly!$K$3:$K$122,'S Sheet'!$AO$1),IF($AO$1="May",SUMIFS(holly!$L$3:$L$122,holly!$I$3:$I$122,'S Sheet'!$A22,holly!$K$3:$K$122,'S Sheet'!$AO$1),IF($AO$1="Jun",SUMIFS(holly!$L$3:$L$122,holly!$I$3:$I$122,'S Sheet'!$A22,holly!$K$3:$K$122,'S Sheet'!$AO$1),IF($AO$1="Jul",SUMIFS(holly!$L$3:$L$122,holly!$I$3:$I$122,'S Sheet'!$A22,holly!$K$3:$K$122,'S Sheet'!$AO$1),IF($AO$1="Aug",SUMIFS(holly!$L$3:$L$122,holly!$I$3:$I$122,'S Sheet'!$A22,holly!$K$3:$K$122,'S Sheet'!$AO$1),IF($AO$1="Sep",SUMIFS(holly!$L$3:$L$122,holly!$I$3:$I$122,'S Sheet'!$A22,holly!$K$3:$K$122,'S Sheet'!$AO$1),IF($AO$1="Oct",SUMIFS(holly!$L$3:$L$122,holly!$I$3:$I$122,'S Sheet'!$A22,holly!$K$3:$K$122,'S Sheet'!$AO$1),IF($AO$1="Nov",SUMIFS(holly!$L$3:$L$122,holly!$I$3:$I$122,'S Sheet'!$A22,holly!$K$3:$K$122,'S Sheet'!$AO$1),IF($AO$1="Dec",SUMIFS(holly!$L$3:$L$122,holly!$I$3:$I$122,'S Sheet'!$A22,holly!$K$3:$K$122,'S Sheet'!$AO$1),""))))))))))))</f>
        <v>3</v>
      </c>
      <c r="Q22" s="4">
        <f>IFERROR(VLOOKUP($A22,holly!$I$2:$O$122,5,0),0)</f>
        <v>144.22999999999999</v>
      </c>
      <c r="R22" s="4">
        <f>IF($AO$1="Jan",SUMIFS(adv!$Q$3:$Q$52,adv!$M$3:$M$52,'S Sheet'!$A22,adv!$O$3:$O$52,'S Sheet'!$AO$1),IF($AO$1="Feb",SUMIFS(adv!$Q$3:$Q$52,adv!$M$3:$M$52,'S Sheet'!$A22,adv!$O$3:$O$52,'S Sheet'!$AO$1),IF($AO$1="Mar",SUMIFS(adv!$Q$3:$Q$52,adv!$M$3:$M$52,'S Sheet'!$A22,adv!$O$3:$O$52,'S Sheet'!$AO$1),IF($AO$1="Apr",SUMIFS(adv!$Q$3:$Q$52,adv!$M$3:$M$52,'S Sheet'!$A22,adv!$O$3:$O$52,'S Sheet'!$AO$1),IF($AO$1="May",SUMIFS(adv!$Q$3:$Q$52,adv!$M$3:$M$52,'S Sheet'!$A22,adv!$O$3:$O$52,'S Sheet'!$AO$1),IF($AO$1="Jun",SUMIFS(adv!$Q$3:$Q$52,adv!$M$3:$M$52,'S Sheet'!$A22,adv!$O$3:$O$52,'S Sheet'!$AO$1),IF($AO$1="Jul",SUMIFS(adv!$Q$3:$Q$52,adv!$M$3:$M$52,'S Sheet'!$A22,adv!$O$3:$O$52,'S Sheet'!$AO$1),IF($AO$1="Aug",SUMIFS(adv!$Q$3:$Q$52,adv!$M$3:$M$52,'S Sheet'!$A22,adv!$O$3:$O$52,'S Sheet'!$AO$1),IF($AO$1="Sep",SUMIFS(adv!$Q$3:$Q$52,adv!$M$3:$M$52,'S Sheet'!$A22,adv!$O$3:$O$52,'S Sheet'!$AO$1),IF($AO$1="Oct",SUMIFS(adv!$Q$3:$Q$52,adv!$M$3:$M$52,'S Sheet'!$A22,adv!$O$3:$O$52,'S Sheet'!$AO$1),IF($AO$1="Nov",SUMIFS(adv!$Q$3:$Q$52,adv!$M$3:$M$52,'S Sheet'!$A22,adv!$O$3:$O$52,'S Sheet'!$AO$1),IF($AO$1="Dec",SUMIFS(adv!$Q$3:$Q$52,adv!$M$3:$M$52,'S Sheet'!$A22,adv!$O$3:$O$52,'S Sheet'!$AO$1),""))))))))))))</f>
        <v>0</v>
      </c>
      <c r="S22" s="4">
        <f>IF($AO$1="Jan",SUMIFS(loan!$O$3:$O$32,loan!$J$3:$J$32,'S Sheet'!$A22,loan!$L$3:$L$32,'S Sheet'!$AO$1),IF($AO$1="Feb",SUMIFS(loan!$O$3:$O$32,loan!$J$3:$J$32,'S Sheet'!$A22,loan!$L$3:$L$32,'S Sheet'!$AO$1),IF($AO$1="Mar",SUMIFS(loan!$O$3:$O$32,loan!$J$3:$J$32,'S Sheet'!$A22,loan!$L$3:$L$32,'S Sheet'!$AO$1),IF($AO$1="Apr",SUMIFS(loan!$O$3:$O$32,loan!$J$3:$J$32,'S Sheet'!$A22,loan!$L$3:$L$32,'S Sheet'!$AO$1),IF($AO$1="May",SUMIFS(loan!$O$3:$O$32,loan!$J$3:$J$32,'S Sheet'!$A22,loan!$L$3:$L$32,'S Sheet'!$AO$1),IF($AO$1="Jun",SUMIFS(loan!$O$3:$O$32,loan!$J$3:$J$32,'S Sheet'!$A22,loan!$L$3:$L$32,'S Sheet'!$AO$1),IF($AO$1="Jul",SUMIFS(loan!$O$3:$O$32,loan!$J$3:$J$32,'S Sheet'!$A22,loan!$L$3:$L$32,'S Sheet'!$AO$1),IF($AO$1="Aug",SUMIFS(loan!$O$3:$O$32,loan!$J$3:$J$32,'S Sheet'!$A22,loan!$L$3:$L$32,'S Sheet'!$AO$1),IF($AO$1="Sep",SUMIFS(loan!$O$3:$O$32,loan!$J$3:$J$32,'S Sheet'!$A22,loan!$L$3:$L$32,'S Sheet'!$AO$1),IF($AO$1="Oct",SUMIFS(loan!$O$3:$O$32,loan!$J$3:$J$32,'S Sheet'!$A22,loan!$L$3:$L$32,'S Sheet'!$AO$1),IF($AO$1="Nov",SUMIFS(loan!$O$3:$O$32,loan!$J$3:$J$32,'S Sheet'!$A22,loan!$L$3:$L$32,'S Sheet'!$AO$1),IF($AO$1="Dec",SUMIFS(loan!$O$3:$O$32,loan!$J$3:$J$32,'S Sheet'!$A22,loan!$L$3:$L$32,'S Sheet'!$AO$1),""))))))))))))</f>
        <v>0</v>
      </c>
      <c r="T22" s="4">
        <f>IFERROR(VLOOKUP($A22,loan!$A$2:$H$22,3,0),0)</f>
        <v>0</v>
      </c>
      <c r="U22" s="4">
        <f t="shared" si="5"/>
        <v>0</v>
      </c>
      <c r="V22" s="28" t="str">
        <f>IFERROR(VLOOKUP($A22,loan!$A$2:$H$22,2,0),"")</f>
        <v/>
      </c>
      <c r="W22" s="4">
        <f>IFERROR(VLOOKUP($A22,loan!$A$2:$H$22,5,0),0)</f>
        <v>0</v>
      </c>
      <c r="X22" s="4">
        <f t="shared" si="6"/>
        <v>0</v>
      </c>
      <c r="Y22" s="4">
        <f t="shared" si="7"/>
        <v>0</v>
      </c>
      <c r="Z22" s="29">
        <f t="shared" si="13"/>
        <v>0</v>
      </c>
      <c r="AA22" s="4">
        <f>IF('S Sheet'!$AO$1='S Sheet'!$AO$1,SUMIFS(adv!$E$3:$E$97,adv!$B$3:$B$97,'S Sheet'!$A22,adv!$D$3:$D$97,'S Sheet'!$AO$1),0)</f>
        <v>0</v>
      </c>
      <c r="AB22" s="4">
        <f>IF($AO$1=$AO$1,SUMIFS(adv!$H$3:$H$97,adv!$B$3:$B$97,'S Sheet'!$A22,adv!$D$3:$D$97,'S Sheet'!$AO$1),0)</f>
        <v>0</v>
      </c>
      <c r="AC22" s="29">
        <f t="shared" si="0"/>
        <v>0</v>
      </c>
      <c r="AD22" s="4">
        <f t="shared" si="1"/>
        <v>20000</v>
      </c>
      <c r="AE22" s="34">
        <f t="shared" si="2"/>
        <v>18709.677419354837</v>
      </c>
      <c r="AF22" s="4">
        <f>VLOOKUP($A22,Master!$A$2:$K$52,8,0)</f>
        <v>8000</v>
      </c>
      <c r="AG22" s="4">
        <f>VLOOKUP($A22,Master!$A$2:$K$52,9,0)</f>
        <v>2000</v>
      </c>
      <c r="AH22" s="4">
        <f>VLOOKUP($A22,Master!$A$2:$K$52,10,0)</f>
        <v>1000</v>
      </c>
      <c r="AI22" s="4">
        <f t="shared" si="3"/>
        <v>432.68999999999994</v>
      </c>
      <c r="AJ22" s="4">
        <f>IF($AO$1=$AO$1,SUMIFS(adv!$Q$3:$Q$52,adv!$M$3:$M$52,'S Sheet'!$A22,adv!$O$3:$O$52,'S Sheet'!$AO$1),0)</f>
        <v>0</v>
      </c>
      <c r="AK22" s="34">
        <f t="shared" si="4"/>
        <v>30142.367419354836</v>
      </c>
      <c r="AL22" s="4">
        <f t="shared" si="8"/>
        <v>2640</v>
      </c>
      <c r="AM22" s="34">
        <f t="shared" si="9"/>
        <v>0</v>
      </c>
      <c r="AN22" s="34">
        <f t="shared" si="10"/>
        <v>0</v>
      </c>
      <c r="AO22" s="4">
        <f t="shared" si="11"/>
        <v>0</v>
      </c>
      <c r="AP22" s="36">
        <f t="shared" si="12"/>
        <v>27502.367419354836</v>
      </c>
    </row>
    <row r="23" spans="1:42" ht="21" x14ac:dyDescent="0.25">
      <c r="A23" s="4" t="s">
        <v>45</v>
      </c>
      <c r="B23" s="4" t="str">
        <f>VLOOKUP($A23,Master!$A$2:$K$52,COLUMN(Master!B21),0)</f>
        <v>Employee20</v>
      </c>
      <c r="C23" s="4" t="str">
        <f>VLOOKUP($A23,Master!$A$2:$K$52,COLUMN(Master!C21),0)</f>
        <v>Male</v>
      </c>
      <c r="D23" s="26">
        <f>VLOOKUP($A23,Master!$A$2:$K$52,COLUMN(Master!D21),0)</f>
        <v>45394</v>
      </c>
      <c r="E23" s="4" t="str">
        <f>VLOOKUP($A23,Master!$A$2:$K$52,COLUMN(Master!E21),0)</f>
        <v>Production</v>
      </c>
      <c r="F23" s="4" t="str">
        <f>VLOOKUP($A23,Master!$A$2:$K$52,COLUMN(Master!F21),0)</f>
        <v>Senior Operator</v>
      </c>
      <c r="G23" s="4" t="s">
        <v>29</v>
      </c>
      <c r="H23" s="4">
        <v>55922067139</v>
      </c>
      <c r="I23" s="4" t="s">
        <v>401</v>
      </c>
      <c r="J23" s="4">
        <f>VLOOKUP($A23,Master!$A$2:$K$52,COLUMN(Master!G21),0)</f>
        <v>22000</v>
      </c>
      <c r="K23" s="4">
        <f>VLOOKUP($A23,Master!$A$2:$K$52,COLUMN(Master!H21),0)</f>
        <v>8800</v>
      </c>
      <c r="L23" s="4">
        <f>VLOOKUP($A23,Master!$A$2:$K$52,COLUMN(Master!I21),0)</f>
        <v>2200</v>
      </c>
      <c r="M23" s="4">
        <f>VLOOKUP($A23,Master!$A$2:$K$52,COLUMN(Master!J21),0)</f>
        <v>1100</v>
      </c>
      <c r="N23" s="4">
        <f>IF($AO$1="Jan",VLOOKUP($A23,jan!$A$5:$AU$54,46,0),IF('S Sheet'!$AO$1="Feb",VLOOKUP('S Sheet'!$A23,feb!$A$5:$AR$54,43,0),IF($AO$1="Mar",VLOOKUP($A23,mar!$A$5:$AU$54,46,0),IF($AO$1="Apr",VLOOKUP($A23,apr!$A$5:$AU$54,45,0),IF($AO$1="May",VLOOKUP($A23,may!$A$5:$AU$54,46,0),IF($AO$1="Jun",VLOOKUP($A23,jun!$A$5:$AU$54,45,0),IF($AO$1="Jul",VLOOKUP($A23,jul!$A$5:$AV$54,46,0),IF($AO$1="Aug",VLOOKUP($A23,aug!$A$5:$AU$54,46,0),IF($AO$1="Sep",VLOOKUP($A23,sep!$A$5:$AT$54,45,0),IF($AO$1="Oct",VLOOKUP($A23,oct!$A$5:$AU$54,46,0),IF($AO$1="Nov",VLOOKUP($A23,nov!$A$5:$AU$54,45,0),IF($AO$1="Dec",VLOOKUP($A23,dec!$A$5:$AU$54,46,0),""))))))))))))</f>
        <v>31</v>
      </c>
      <c r="O23" s="4">
        <f>IF($AO$1="Jan",VLOOKUP($A23,jan!$A$5:$AU$54,47,0),IF('S Sheet'!$AO$1="Feb",VLOOKUP('S Sheet'!$A23,feb!$A$5:$AR$54,44,0),IF($AO$1="Mar",VLOOKUP($A23,mar!$A$5:$AU$54,47,0),IF($AO$1="Apr",VLOOKUP($A23,apr!$A$5:$AU$54,46,0),IF($AO$1="May",VLOOKUP($A23,may!$A$5:$AU$54,47,0),IF($AO$1="Jun",VLOOKUP($A23,jun!$A$5:$AU$54,46,0),IF($AO$1="Jul",VLOOKUP($A23,jul!$A$5:$AV$54,47,0),IF($AO$1="Aug",VLOOKUP($A23,aug!$A$5:$AU$54,47,0),IF($AO$1="Sep",VLOOKUP($A23,sep!$A$5:$AT$54,46,0),IF($AO$1="Oct",VLOOKUP($A23,oct!$A$5:$AU$54,47,0),IF($AO$1="Nov",VLOOKUP($A23,nov!$A$5:$AU$54,46,0),IF($AO$1="Dec",VLOOKUP($A23,dec!$A$5:$AU$54,47,0),""))))))))))))</f>
        <v>31</v>
      </c>
      <c r="P23" s="4">
        <f>IF($AO$1="Jan",SUMIFS(holly!$L$3:$L$122,holly!$I$3:$I$122,'S Sheet'!$A23,holly!$K$3:$K$122,'S Sheet'!$AO$1),IF($AO$1="Feb",SUMIFS(holly!$L$3:$L$122,holly!$I$3:$I$122,'S Sheet'!$A23,holly!$K$3:$K$122,'S Sheet'!$AO$1),IF($AO$1="Mar",SUMIFS(holly!$L$3:$L$122,holly!$I$3:$I$122,'S Sheet'!$A23,holly!$K$3:$K$122,'S Sheet'!$AO$1),IF($AO$1="Apr",SUMIFS(holly!$L$3:$L$122,holly!$I$3:$I$122,'S Sheet'!$A23,holly!$K$3:$K$122,'S Sheet'!$AO$1),IF($AO$1="May",SUMIFS(holly!$L$3:$L$122,holly!$I$3:$I$122,'S Sheet'!$A23,holly!$K$3:$K$122,'S Sheet'!$AO$1),IF($AO$1="Jun",SUMIFS(holly!$L$3:$L$122,holly!$I$3:$I$122,'S Sheet'!$A23,holly!$K$3:$K$122,'S Sheet'!$AO$1),IF($AO$1="Jul",SUMIFS(holly!$L$3:$L$122,holly!$I$3:$I$122,'S Sheet'!$A23,holly!$K$3:$K$122,'S Sheet'!$AO$1),IF($AO$1="Aug",SUMIFS(holly!$L$3:$L$122,holly!$I$3:$I$122,'S Sheet'!$A23,holly!$K$3:$K$122,'S Sheet'!$AO$1),IF($AO$1="Sep",SUMIFS(holly!$L$3:$L$122,holly!$I$3:$I$122,'S Sheet'!$A23,holly!$K$3:$K$122,'S Sheet'!$AO$1),IF($AO$1="Oct",SUMIFS(holly!$L$3:$L$122,holly!$I$3:$I$122,'S Sheet'!$A23,holly!$K$3:$K$122,'S Sheet'!$AO$1),IF($AO$1="Nov",SUMIFS(holly!$L$3:$L$122,holly!$I$3:$I$122,'S Sheet'!$A23,holly!$K$3:$K$122,'S Sheet'!$AO$1),IF($AO$1="Dec",SUMIFS(holly!$L$3:$L$122,holly!$I$3:$I$122,'S Sheet'!$A23,holly!$K$3:$K$122,'S Sheet'!$AO$1),""))))))))))))</f>
        <v>0</v>
      </c>
      <c r="Q23" s="4">
        <f>IFERROR(VLOOKUP($A23,holly!$I$2:$O$122,5,0),0)</f>
        <v>158.65</v>
      </c>
      <c r="R23" s="4">
        <f>IF($AO$1="Jan",SUMIFS(adv!$Q$3:$Q$52,adv!$M$3:$M$52,'S Sheet'!$A23,adv!$O$3:$O$52,'S Sheet'!$AO$1),IF($AO$1="Feb",SUMIFS(adv!$Q$3:$Q$52,adv!$M$3:$M$52,'S Sheet'!$A23,adv!$O$3:$O$52,'S Sheet'!$AO$1),IF($AO$1="Mar",SUMIFS(adv!$Q$3:$Q$52,adv!$M$3:$M$52,'S Sheet'!$A23,adv!$O$3:$O$52,'S Sheet'!$AO$1),IF($AO$1="Apr",SUMIFS(adv!$Q$3:$Q$52,adv!$M$3:$M$52,'S Sheet'!$A23,adv!$O$3:$O$52,'S Sheet'!$AO$1),IF($AO$1="May",SUMIFS(adv!$Q$3:$Q$52,adv!$M$3:$M$52,'S Sheet'!$A23,adv!$O$3:$O$52,'S Sheet'!$AO$1),IF($AO$1="Jun",SUMIFS(adv!$Q$3:$Q$52,adv!$M$3:$M$52,'S Sheet'!$A23,adv!$O$3:$O$52,'S Sheet'!$AO$1),IF($AO$1="Jul",SUMIFS(adv!$Q$3:$Q$52,adv!$M$3:$M$52,'S Sheet'!$A23,adv!$O$3:$O$52,'S Sheet'!$AO$1),IF($AO$1="Aug",SUMIFS(adv!$Q$3:$Q$52,adv!$M$3:$M$52,'S Sheet'!$A23,adv!$O$3:$O$52,'S Sheet'!$AO$1),IF($AO$1="Sep",SUMIFS(adv!$Q$3:$Q$52,adv!$M$3:$M$52,'S Sheet'!$A23,adv!$O$3:$O$52,'S Sheet'!$AO$1),IF($AO$1="Oct",SUMIFS(adv!$Q$3:$Q$52,adv!$M$3:$M$52,'S Sheet'!$A23,adv!$O$3:$O$52,'S Sheet'!$AO$1),IF($AO$1="Nov",SUMIFS(adv!$Q$3:$Q$52,adv!$M$3:$M$52,'S Sheet'!$A23,adv!$O$3:$O$52,'S Sheet'!$AO$1),IF($AO$1="Dec",SUMIFS(adv!$Q$3:$Q$52,adv!$M$3:$M$52,'S Sheet'!$A23,adv!$O$3:$O$52,'S Sheet'!$AO$1),""))))))))))))</f>
        <v>0</v>
      </c>
      <c r="S23" s="4">
        <f>IF($AO$1="Jan",SUMIFS(loan!$O$3:$O$32,loan!$J$3:$J$32,'S Sheet'!$A23,loan!$L$3:$L$32,'S Sheet'!$AO$1),IF($AO$1="Feb",SUMIFS(loan!$O$3:$O$32,loan!$J$3:$J$32,'S Sheet'!$A23,loan!$L$3:$L$32,'S Sheet'!$AO$1),IF($AO$1="Mar",SUMIFS(loan!$O$3:$O$32,loan!$J$3:$J$32,'S Sheet'!$A23,loan!$L$3:$L$32,'S Sheet'!$AO$1),IF($AO$1="Apr",SUMIFS(loan!$O$3:$O$32,loan!$J$3:$J$32,'S Sheet'!$A23,loan!$L$3:$L$32,'S Sheet'!$AO$1),IF($AO$1="May",SUMIFS(loan!$O$3:$O$32,loan!$J$3:$J$32,'S Sheet'!$A23,loan!$L$3:$L$32,'S Sheet'!$AO$1),IF($AO$1="Jun",SUMIFS(loan!$O$3:$O$32,loan!$J$3:$J$32,'S Sheet'!$A23,loan!$L$3:$L$32,'S Sheet'!$AO$1),IF($AO$1="Jul",SUMIFS(loan!$O$3:$O$32,loan!$J$3:$J$32,'S Sheet'!$A23,loan!$L$3:$L$32,'S Sheet'!$AO$1),IF($AO$1="Aug",SUMIFS(loan!$O$3:$O$32,loan!$J$3:$J$32,'S Sheet'!$A23,loan!$L$3:$L$32,'S Sheet'!$AO$1),IF($AO$1="Sep",SUMIFS(loan!$O$3:$O$32,loan!$J$3:$J$32,'S Sheet'!$A23,loan!$L$3:$L$32,'S Sheet'!$AO$1),IF($AO$1="Oct",SUMIFS(loan!$O$3:$O$32,loan!$J$3:$J$32,'S Sheet'!$A23,loan!$L$3:$L$32,'S Sheet'!$AO$1),IF($AO$1="Nov",SUMIFS(loan!$O$3:$O$32,loan!$J$3:$J$32,'S Sheet'!$A23,loan!$L$3:$L$32,'S Sheet'!$AO$1),IF($AO$1="Dec",SUMIFS(loan!$O$3:$O$32,loan!$J$3:$J$32,'S Sheet'!$A23,loan!$L$3:$L$32,'S Sheet'!$AO$1),""))))))))))))</f>
        <v>0</v>
      </c>
      <c r="T23" s="4">
        <f>IFERROR(VLOOKUP($A23,loan!$A$2:$H$22,3,0),0)</f>
        <v>20000</v>
      </c>
      <c r="U23" s="4">
        <f t="shared" si="5"/>
        <v>1666.6666666666667</v>
      </c>
      <c r="V23" s="28">
        <f>IFERROR(VLOOKUP($A23,loan!$A$2:$H$22,2,0),"")</f>
        <v>45964</v>
      </c>
      <c r="W23" s="4">
        <f>IFERROR(VLOOKUP($A23,loan!$A$2:$H$22,5,0),0)</f>
        <v>12</v>
      </c>
      <c r="X23" s="4">
        <f t="shared" si="6"/>
        <v>10</v>
      </c>
      <c r="Y23" s="4">
        <f t="shared" si="7"/>
        <v>2</v>
      </c>
      <c r="Z23" s="29">
        <f t="shared" si="13"/>
        <v>3333.3333333333335</v>
      </c>
      <c r="AA23" s="4">
        <f>IF('S Sheet'!$AO$1='S Sheet'!$AO$1,SUMIFS(adv!$E$3:$E$97,adv!$B$3:$B$97,'S Sheet'!$A23,adv!$D$3:$D$97,'S Sheet'!$AO$1),0)</f>
        <v>0</v>
      </c>
      <c r="AB23" s="4">
        <f>IF($AO$1=$AO$1,SUMIFS(adv!$H$3:$H$97,adv!$B$3:$B$97,'S Sheet'!$A23,adv!$D$3:$D$97,'S Sheet'!$AO$1),0)</f>
        <v>0</v>
      </c>
      <c r="AC23" s="29">
        <f t="shared" si="0"/>
        <v>0</v>
      </c>
      <c r="AD23" s="4">
        <f t="shared" si="1"/>
        <v>22000</v>
      </c>
      <c r="AE23" s="34">
        <f t="shared" si="2"/>
        <v>22000</v>
      </c>
      <c r="AF23" s="4">
        <f>VLOOKUP($A23,Master!$A$2:$K$52,8,0)</f>
        <v>8800</v>
      </c>
      <c r="AG23" s="4">
        <f>VLOOKUP($A23,Master!$A$2:$K$52,9,0)</f>
        <v>2200</v>
      </c>
      <c r="AH23" s="4">
        <f>VLOOKUP($A23,Master!$A$2:$K$52,10,0)</f>
        <v>1100</v>
      </c>
      <c r="AI23" s="4">
        <f t="shared" si="3"/>
        <v>0</v>
      </c>
      <c r="AJ23" s="4">
        <f>IF($AO$1=$AO$1,SUMIFS(adv!$Q$3:$Q$52,adv!$M$3:$M$52,'S Sheet'!$A23,adv!$O$3:$O$52,'S Sheet'!$AO$1),0)</f>
        <v>0</v>
      </c>
      <c r="AK23" s="34">
        <f t="shared" si="4"/>
        <v>34100</v>
      </c>
      <c r="AL23" s="4">
        <f t="shared" si="8"/>
        <v>2904</v>
      </c>
      <c r="AM23" s="34">
        <f t="shared" si="9"/>
        <v>0</v>
      </c>
      <c r="AN23" s="34">
        <f t="shared" si="10"/>
        <v>1666.6666666666667</v>
      </c>
      <c r="AO23" s="4">
        <f t="shared" si="11"/>
        <v>0</v>
      </c>
      <c r="AP23" s="36">
        <f t="shared" si="12"/>
        <v>29529.333333333332</v>
      </c>
    </row>
    <row r="24" spans="1:42" ht="21" x14ac:dyDescent="0.25">
      <c r="A24" s="4" t="s">
        <v>46</v>
      </c>
      <c r="B24" s="4" t="str">
        <f>VLOOKUP($A24,Master!$A$2:$K$52,COLUMN(Master!B22),0)</f>
        <v>Employee21</v>
      </c>
      <c r="C24" s="4" t="str">
        <f>VLOOKUP($A24,Master!$A$2:$K$52,COLUMN(Master!C22),0)</f>
        <v>Male</v>
      </c>
      <c r="D24" s="26">
        <f>VLOOKUP($A24,Master!$A$2:$K$52,COLUMN(Master!D22),0)</f>
        <v>44480</v>
      </c>
      <c r="E24" s="4" t="str">
        <f>VLOOKUP($A24,Master!$A$2:$K$52,COLUMN(Master!E22),0)</f>
        <v>Production</v>
      </c>
      <c r="F24" s="4" t="str">
        <f>VLOOKUP($A24,Master!$A$2:$K$52,COLUMN(Master!F22),0)</f>
        <v>Supervisor</v>
      </c>
      <c r="G24" s="4" t="s">
        <v>386</v>
      </c>
      <c r="H24" s="4">
        <v>67035249824</v>
      </c>
      <c r="I24" s="4" t="s">
        <v>402</v>
      </c>
      <c r="J24" s="4">
        <f>VLOOKUP($A24,Master!$A$2:$K$52,COLUMN(Master!G22),0)</f>
        <v>13000</v>
      </c>
      <c r="K24" s="4">
        <f>VLOOKUP($A24,Master!$A$2:$K$52,COLUMN(Master!H22),0)</f>
        <v>5200</v>
      </c>
      <c r="L24" s="4">
        <f>VLOOKUP($A24,Master!$A$2:$K$52,COLUMN(Master!I22),0)</f>
        <v>1300</v>
      </c>
      <c r="M24" s="4">
        <f>VLOOKUP($A24,Master!$A$2:$K$52,COLUMN(Master!J22),0)</f>
        <v>650</v>
      </c>
      <c r="N24" s="4">
        <f>IF($AO$1="Jan",VLOOKUP($A24,jan!$A$5:$AU$54,46,0),IF('S Sheet'!$AO$1="Feb",VLOOKUP('S Sheet'!$A24,feb!$A$5:$AR$54,43,0),IF($AO$1="Mar",VLOOKUP($A24,mar!$A$5:$AU$54,46,0),IF($AO$1="Apr",VLOOKUP($A24,apr!$A$5:$AU$54,45,0),IF($AO$1="May",VLOOKUP($A24,may!$A$5:$AU$54,46,0),IF($AO$1="Jun",VLOOKUP($A24,jun!$A$5:$AU$54,45,0),IF($AO$1="Jul",VLOOKUP($A24,jul!$A$5:$AV$54,46,0),IF($AO$1="Aug",VLOOKUP($A24,aug!$A$5:$AU$54,46,0),IF($AO$1="Sep",VLOOKUP($A24,sep!$A$5:$AT$54,45,0),IF($AO$1="Oct",VLOOKUP($A24,oct!$A$5:$AU$54,46,0),IF($AO$1="Nov",VLOOKUP($A24,nov!$A$5:$AU$54,45,0),IF($AO$1="Dec",VLOOKUP($A24,dec!$A$5:$AU$54,46,0),""))))))))))))</f>
        <v>31</v>
      </c>
      <c r="O24" s="4">
        <f>IF($AO$1="Jan",VLOOKUP($A24,jan!$A$5:$AU$54,47,0),IF('S Sheet'!$AO$1="Feb",VLOOKUP('S Sheet'!$A24,feb!$A$5:$AR$54,44,0),IF($AO$1="Mar",VLOOKUP($A24,mar!$A$5:$AU$54,47,0),IF($AO$1="Apr",VLOOKUP($A24,apr!$A$5:$AU$54,46,0),IF($AO$1="May",VLOOKUP($A24,may!$A$5:$AU$54,47,0),IF($AO$1="Jun",VLOOKUP($A24,jun!$A$5:$AU$54,46,0),IF($AO$1="Jul",VLOOKUP($A24,jul!$A$5:$AV$54,47,0),IF($AO$1="Aug",VLOOKUP($A24,aug!$A$5:$AU$54,47,0),IF($AO$1="Sep",VLOOKUP($A24,sep!$A$5:$AT$54,46,0),IF($AO$1="Oct",VLOOKUP($A24,oct!$A$5:$AU$54,47,0),IF($AO$1="Nov",VLOOKUP($A24,nov!$A$5:$AU$54,46,0),IF($AO$1="Dec",VLOOKUP($A24,dec!$A$5:$AU$54,47,0),""))))))))))))</f>
        <v>31</v>
      </c>
      <c r="P24" s="4">
        <f>IF($AO$1="Jan",SUMIFS(holly!$L$3:$L$122,holly!$I$3:$I$122,'S Sheet'!$A24,holly!$K$3:$K$122,'S Sheet'!$AO$1),IF($AO$1="Feb",SUMIFS(holly!$L$3:$L$122,holly!$I$3:$I$122,'S Sheet'!$A24,holly!$K$3:$K$122,'S Sheet'!$AO$1),IF($AO$1="Mar",SUMIFS(holly!$L$3:$L$122,holly!$I$3:$I$122,'S Sheet'!$A24,holly!$K$3:$K$122,'S Sheet'!$AO$1),IF($AO$1="Apr",SUMIFS(holly!$L$3:$L$122,holly!$I$3:$I$122,'S Sheet'!$A24,holly!$K$3:$K$122,'S Sheet'!$AO$1),IF($AO$1="May",SUMIFS(holly!$L$3:$L$122,holly!$I$3:$I$122,'S Sheet'!$A24,holly!$K$3:$K$122,'S Sheet'!$AO$1),IF($AO$1="Jun",SUMIFS(holly!$L$3:$L$122,holly!$I$3:$I$122,'S Sheet'!$A24,holly!$K$3:$K$122,'S Sheet'!$AO$1),IF($AO$1="Jul",SUMIFS(holly!$L$3:$L$122,holly!$I$3:$I$122,'S Sheet'!$A24,holly!$K$3:$K$122,'S Sheet'!$AO$1),IF($AO$1="Aug",SUMIFS(holly!$L$3:$L$122,holly!$I$3:$I$122,'S Sheet'!$A24,holly!$K$3:$K$122,'S Sheet'!$AO$1),IF($AO$1="Sep",SUMIFS(holly!$L$3:$L$122,holly!$I$3:$I$122,'S Sheet'!$A24,holly!$K$3:$K$122,'S Sheet'!$AO$1),IF($AO$1="Oct",SUMIFS(holly!$L$3:$L$122,holly!$I$3:$I$122,'S Sheet'!$A24,holly!$K$3:$K$122,'S Sheet'!$AO$1),IF($AO$1="Nov",SUMIFS(holly!$L$3:$L$122,holly!$I$3:$I$122,'S Sheet'!$A24,holly!$K$3:$K$122,'S Sheet'!$AO$1),IF($AO$1="Dec",SUMIFS(holly!$L$3:$L$122,holly!$I$3:$I$122,'S Sheet'!$A24,holly!$K$3:$K$122,'S Sheet'!$AO$1),""))))))))))))</f>
        <v>0</v>
      </c>
      <c r="Q24" s="4">
        <f>IFERROR(VLOOKUP($A24,holly!$I$2:$O$122,5,0),0)</f>
        <v>93.75</v>
      </c>
      <c r="R24" s="4">
        <f>IF($AO$1="Jan",SUMIFS(adv!$Q$3:$Q$52,adv!$M$3:$M$52,'S Sheet'!$A24,adv!$O$3:$O$52,'S Sheet'!$AO$1),IF($AO$1="Feb",SUMIFS(adv!$Q$3:$Q$52,adv!$M$3:$M$52,'S Sheet'!$A24,adv!$O$3:$O$52,'S Sheet'!$AO$1),IF($AO$1="Mar",SUMIFS(adv!$Q$3:$Q$52,adv!$M$3:$M$52,'S Sheet'!$A24,adv!$O$3:$O$52,'S Sheet'!$AO$1),IF($AO$1="Apr",SUMIFS(adv!$Q$3:$Q$52,adv!$M$3:$M$52,'S Sheet'!$A24,adv!$O$3:$O$52,'S Sheet'!$AO$1),IF($AO$1="May",SUMIFS(adv!$Q$3:$Q$52,adv!$M$3:$M$52,'S Sheet'!$A24,adv!$O$3:$O$52,'S Sheet'!$AO$1),IF($AO$1="Jun",SUMIFS(adv!$Q$3:$Q$52,adv!$M$3:$M$52,'S Sheet'!$A24,adv!$O$3:$O$52,'S Sheet'!$AO$1),IF($AO$1="Jul",SUMIFS(adv!$Q$3:$Q$52,adv!$M$3:$M$52,'S Sheet'!$A24,adv!$O$3:$O$52,'S Sheet'!$AO$1),IF($AO$1="Aug",SUMIFS(adv!$Q$3:$Q$52,adv!$M$3:$M$52,'S Sheet'!$A24,adv!$O$3:$O$52,'S Sheet'!$AO$1),IF($AO$1="Sep",SUMIFS(adv!$Q$3:$Q$52,adv!$M$3:$M$52,'S Sheet'!$A24,adv!$O$3:$O$52,'S Sheet'!$AO$1),IF($AO$1="Oct",SUMIFS(adv!$Q$3:$Q$52,adv!$M$3:$M$52,'S Sheet'!$A24,adv!$O$3:$O$52,'S Sheet'!$AO$1),IF($AO$1="Nov",SUMIFS(adv!$Q$3:$Q$52,adv!$M$3:$M$52,'S Sheet'!$A24,adv!$O$3:$O$52,'S Sheet'!$AO$1),IF($AO$1="Dec",SUMIFS(adv!$Q$3:$Q$52,adv!$M$3:$M$52,'S Sheet'!$A24,adv!$O$3:$O$52,'S Sheet'!$AO$1),""))))))))))))</f>
        <v>0</v>
      </c>
      <c r="S24" s="4">
        <f>IF($AO$1="Jan",SUMIFS(loan!$O$3:$O$32,loan!$J$3:$J$32,'S Sheet'!$A24,loan!$L$3:$L$32,'S Sheet'!$AO$1),IF($AO$1="Feb",SUMIFS(loan!$O$3:$O$32,loan!$J$3:$J$32,'S Sheet'!$A24,loan!$L$3:$L$32,'S Sheet'!$AO$1),IF($AO$1="Mar",SUMIFS(loan!$O$3:$O$32,loan!$J$3:$J$32,'S Sheet'!$A24,loan!$L$3:$L$32,'S Sheet'!$AO$1),IF($AO$1="Apr",SUMIFS(loan!$O$3:$O$32,loan!$J$3:$J$32,'S Sheet'!$A24,loan!$L$3:$L$32,'S Sheet'!$AO$1),IF($AO$1="May",SUMIFS(loan!$O$3:$O$32,loan!$J$3:$J$32,'S Sheet'!$A24,loan!$L$3:$L$32,'S Sheet'!$AO$1),IF($AO$1="Jun",SUMIFS(loan!$O$3:$O$32,loan!$J$3:$J$32,'S Sheet'!$A24,loan!$L$3:$L$32,'S Sheet'!$AO$1),IF($AO$1="Jul",SUMIFS(loan!$O$3:$O$32,loan!$J$3:$J$32,'S Sheet'!$A24,loan!$L$3:$L$32,'S Sheet'!$AO$1),IF($AO$1="Aug",SUMIFS(loan!$O$3:$O$32,loan!$J$3:$J$32,'S Sheet'!$A24,loan!$L$3:$L$32,'S Sheet'!$AO$1),IF($AO$1="Sep",SUMIFS(loan!$O$3:$O$32,loan!$J$3:$J$32,'S Sheet'!$A24,loan!$L$3:$L$32,'S Sheet'!$AO$1),IF($AO$1="Oct",SUMIFS(loan!$O$3:$O$32,loan!$J$3:$J$32,'S Sheet'!$A24,loan!$L$3:$L$32,'S Sheet'!$AO$1),IF($AO$1="Nov",SUMIFS(loan!$O$3:$O$32,loan!$J$3:$J$32,'S Sheet'!$A24,loan!$L$3:$L$32,'S Sheet'!$AO$1),IF($AO$1="Dec",SUMIFS(loan!$O$3:$O$32,loan!$J$3:$J$32,'S Sheet'!$A24,loan!$L$3:$L$32,'S Sheet'!$AO$1),""))))))))))))</f>
        <v>0</v>
      </c>
      <c r="T24" s="4">
        <f>IFERROR(VLOOKUP($A24,loan!$A$2:$H$22,3,0),0)</f>
        <v>20000</v>
      </c>
      <c r="U24" s="4">
        <f t="shared" si="5"/>
        <v>1666.6666666666667</v>
      </c>
      <c r="V24" s="28">
        <f>IFERROR(VLOOKUP($A24,loan!$A$2:$H$22,2,0),"")</f>
        <v>45930</v>
      </c>
      <c r="W24" s="4">
        <f>IFERROR(VLOOKUP($A24,loan!$A$2:$H$22,5,0),0)</f>
        <v>12</v>
      </c>
      <c r="X24" s="4">
        <f t="shared" si="6"/>
        <v>12</v>
      </c>
      <c r="Y24" s="4">
        <f t="shared" si="7"/>
        <v>0</v>
      </c>
      <c r="Z24" s="29">
        <f t="shared" si="13"/>
        <v>0</v>
      </c>
      <c r="AA24" s="4">
        <f>IF('S Sheet'!$AO$1='S Sheet'!$AO$1,SUMIFS(adv!$E$3:$E$97,adv!$B$3:$B$97,'S Sheet'!$A24,adv!$D$3:$D$97,'S Sheet'!$AO$1),0)</f>
        <v>0</v>
      </c>
      <c r="AB24" s="4">
        <f>IF($AO$1=$AO$1,SUMIFS(adv!$H$3:$H$97,adv!$B$3:$B$97,'S Sheet'!$A24,adv!$D$3:$D$97,'S Sheet'!$AO$1),0)</f>
        <v>0</v>
      </c>
      <c r="AC24" s="29">
        <f t="shared" si="0"/>
        <v>0</v>
      </c>
      <c r="AD24" s="4">
        <f t="shared" si="1"/>
        <v>13000</v>
      </c>
      <c r="AE24" s="34">
        <f t="shared" si="2"/>
        <v>13000</v>
      </c>
      <c r="AF24" s="4">
        <f>VLOOKUP($A24,Master!$A$2:$K$52,8,0)</f>
        <v>5200</v>
      </c>
      <c r="AG24" s="4">
        <f>VLOOKUP($A24,Master!$A$2:$K$52,9,0)</f>
        <v>1300</v>
      </c>
      <c r="AH24" s="4">
        <f>VLOOKUP($A24,Master!$A$2:$K$52,10,0)</f>
        <v>650</v>
      </c>
      <c r="AI24" s="4">
        <f t="shared" si="3"/>
        <v>0</v>
      </c>
      <c r="AJ24" s="4">
        <f>IF($AO$1=$AO$1,SUMIFS(adv!$Q$3:$Q$52,adv!$M$3:$M$52,'S Sheet'!$A24,adv!$O$3:$O$52,'S Sheet'!$AO$1),0)</f>
        <v>0</v>
      </c>
      <c r="AK24" s="34">
        <f t="shared" si="4"/>
        <v>20150</v>
      </c>
      <c r="AL24" s="4">
        <f t="shared" si="8"/>
        <v>1716</v>
      </c>
      <c r="AM24" s="34">
        <f t="shared" si="9"/>
        <v>151.125</v>
      </c>
      <c r="AN24" s="34">
        <f t="shared" si="10"/>
        <v>0</v>
      </c>
      <c r="AO24" s="4">
        <f t="shared" si="11"/>
        <v>0</v>
      </c>
      <c r="AP24" s="36">
        <f t="shared" si="12"/>
        <v>18282.875</v>
      </c>
    </row>
    <row r="25" spans="1:42" ht="21" x14ac:dyDescent="0.25">
      <c r="A25" s="4" t="s">
        <v>47</v>
      </c>
      <c r="B25" s="4" t="str">
        <f>VLOOKUP($A25,Master!$A$2:$K$52,COLUMN(Master!B23),0)</f>
        <v>Employee22</v>
      </c>
      <c r="C25" s="4" t="str">
        <f>VLOOKUP($A25,Master!$A$2:$K$52,COLUMN(Master!C23),0)</f>
        <v>Male</v>
      </c>
      <c r="D25" s="26">
        <f>VLOOKUP($A25,Master!$A$2:$K$52,COLUMN(Master!D23),0)</f>
        <v>44510</v>
      </c>
      <c r="E25" s="4" t="str">
        <f>VLOOKUP($A25,Master!$A$2:$K$52,COLUMN(Master!E23),0)</f>
        <v>Production</v>
      </c>
      <c r="F25" s="4" t="str">
        <f>VLOOKUP($A25,Master!$A$2:$K$52,COLUMN(Master!F23),0)</f>
        <v>Supervisor</v>
      </c>
      <c r="G25" s="4" t="s">
        <v>16</v>
      </c>
      <c r="H25" s="4">
        <v>75372238475</v>
      </c>
      <c r="I25" s="4" t="s">
        <v>403</v>
      </c>
      <c r="J25" s="4">
        <f>VLOOKUP($A25,Master!$A$2:$K$52,COLUMN(Master!G23),0)</f>
        <v>9000</v>
      </c>
      <c r="K25" s="4">
        <f>VLOOKUP($A25,Master!$A$2:$K$52,COLUMN(Master!H23),0)</f>
        <v>3600</v>
      </c>
      <c r="L25" s="4">
        <f>VLOOKUP($A25,Master!$A$2:$K$52,COLUMN(Master!I23),0)</f>
        <v>900</v>
      </c>
      <c r="M25" s="4">
        <f>VLOOKUP($A25,Master!$A$2:$K$52,COLUMN(Master!J23),0)</f>
        <v>450</v>
      </c>
      <c r="N25" s="4">
        <f>IF($AO$1="Jan",VLOOKUP($A25,jan!$A$5:$AU$54,46,0),IF('S Sheet'!$AO$1="Feb",VLOOKUP('S Sheet'!$A25,feb!$A$5:$AR$54,43,0),IF($AO$1="Mar",VLOOKUP($A25,mar!$A$5:$AU$54,46,0),IF($AO$1="Apr",VLOOKUP($A25,apr!$A$5:$AU$54,45,0),IF($AO$1="May",VLOOKUP($A25,may!$A$5:$AU$54,46,0),IF($AO$1="Jun",VLOOKUP($A25,jun!$A$5:$AU$54,45,0),IF($AO$1="Jul",VLOOKUP($A25,jul!$A$5:$AV$54,46,0),IF($AO$1="Aug",VLOOKUP($A25,aug!$A$5:$AU$54,46,0),IF($AO$1="Sep",VLOOKUP($A25,sep!$A$5:$AT$54,45,0),IF($AO$1="Oct",VLOOKUP($A25,oct!$A$5:$AU$54,46,0),IF($AO$1="Nov",VLOOKUP($A25,nov!$A$5:$AU$54,45,0),IF($AO$1="Dec",VLOOKUP($A25,dec!$A$5:$AU$54,46,0),""))))))))))))</f>
        <v>31</v>
      </c>
      <c r="O25" s="4">
        <f>IF($AO$1="Jan",VLOOKUP($A25,jan!$A$5:$AU$54,47,0),IF('S Sheet'!$AO$1="Feb",VLOOKUP('S Sheet'!$A25,feb!$A$5:$AR$54,44,0),IF($AO$1="Mar",VLOOKUP($A25,mar!$A$5:$AU$54,47,0),IF($AO$1="Apr",VLOOKUP($A25,apr!$A$5:$AU$54,46,0),IF($AO$1="May",VLOOKUP($A25,may!$A$5:$AU$54,47,0),IF($AO$1="Jun",VLOOKUP($A25,jun!$A$5:$AU$54,46,0),IF($AO$1="Jul",VLOOKUP($A25,jul!$A$5:$AV$54,47,0),IF($AO$1="Aug",VLOOKUP($A25,aug!$A$5:$AU$54,47,0),IF($AO$1="Sep",VLOOKUP($A25,sep!$A$5:$AT$54,46,0),IF($AO$1="Oct",VLOOKUP($A25,oct!$A$5:$AU$54,47,0),IF($AO$1="Nov",VLOOKUP($A25,nov!$A$5:$AU$54,46,0),IF($AO$1="Dec",VLOOKUP($A25,dec!$A$5:$AU$54,47,0),""))))))))))))</f>
        <v>29</v>
      </c>
      <c r="P25" s="4">
        <f>IF($AO$1="Jan",SUMIFS(holly!$L$3:$L$122,holly!$I$3:$I$122,'S Sheet'!$A25,holly!$K$3:$K$122,'S Sheet'!$AO$1),IF($AO$1="Feb",SUMIFS(holly!$L$3:$L$122,holly!$I$3:$I$122,'S Sheet'!$A25,holly!$K$3:$K$122,'S Sheet'!$AO$1),IF($AO$1="Mar",SUMIFS(holly!$L$3:$L$122,holly!$I$3:$I$122,'S Sheet'!$A25,holly!$K$3:$K$122,'S Sheet'!$AO$1),IF($AO$1="Apr",SUMIFS(holly!$L$3:$L$122,holly!$I$3:$I$122,'S Sheet'!$A25,holly!$K$3:$K$122,'S Sheet'!$AO$1),IF($AO$1="May",SUMIFS(holly!$L$3:$L$122,holly!$I$3:$I$122,'S Sheet'!$A25,holly!$K$3:$K$122,'S Sheet'!$AO$1),IF($AO$1="Jun",SUMIFS(holly!$L$3:$L$122,holly!$I$3:$I$122,'S Sheet'!$A25,holly!$K$3:$K$122,'S Sheet'!$AO$1),IF($AO$1="Jul",SUMIFS(holly!$L$3:$L$122,holly!$I$3:$I$122,'S Sheet'!$A25,holly!$K$3:$K$122,'S Sheet'!$AO$1),IF($AO$1="Aug",SUMIFS(holly!$L$3:$L$122,holly!$I$3:$I$122,'S Sheet'!$A25,holly!$K$3:$K$122,'S Sheet'!$AO$1),IF($AO$1="Sep",SUMIFS(holly!$L$3:$L$122,holly!$I$3:$I$122,'S Sheet'!$A25,holly!$K$3:$K$122,'S Sheet'!$AO$1),IF($AO$1="Oct",SUMIFS(holly!$L$3:$L$122,holly!$I$3:$I$122,'S Sheet'!$A25,holly!$K$3:$K$122,'S Sheet'!$AO$1),IF($AO$1="Nov",SUMIFS(holly!$L$3:$L$122,holly!$I$3:$I$122,'S Sheet'!$A25,holly!$K$3:$K$122,'S Sheet'!$AO$1),IF($AO$1="Dec",SUMIFS(holly!$L$3:$L$122,holly!$I$3:$I$122,'S Sheet'!$A25,holly!$K$3:$K$122,'S Sheet'!$AO$1),""))))))))))))</f>
        <v>0</v>
      </c>
      <c r="Q25" s="4">
        <f>IFERROR(VLOOKUP($A25,holly!$I$2:$O$122,5,0),0)</f>
        <v>64.900000000000006</v>
      </c>
      <c r="R25" s="4">
        <f>IF($AO$1="Jan",SUMIFS(adv!$Q$3:$Q$52,adv!$M$3:$M$52,'S Sheet'!$A25,adv!$O$3:$O$52,'S Sheet'!$AO$1),IF($AO$1="Feb",SUMIFS(adv!$Q$3:$Q$52,adv!$M$3:$M$52,'S Sheet'!$A25,adv!$O$3:$O$52,'S Sheet'!$AO$1),IF($AO$1="Mar",SUMIFS(adv!$Q$3:$Q$52,adv!$M$3:$M$52,'S Sheet'!$A25,adv!$O$3:$O$52,'S Sheet'!$AO$1),IF($AO$1="Apr",SUMIFS(adv!$Q$3:$Q$52,adv!$M$3:$M$52,'S Sheet'!$A25,adv!$O$3:$O$52,'S Sheet'!$AO$1),IF($AO$1="May",SUMIFS(adv!$Q$3:$Q$52,adv!$M$3:$M$52,'S Sheet'!$A25,adv!$O$3:$O$52,'S Sheet'!$AO$1),IF($AO$1="Jun",SUMIFS(adv!$Q$3:$Q$52,adv!$M$3:$M$52,'S Sheet'!$A25,adv!$O$3:$O$52,'S Sheet'!$AO$1),IF($AO$1="Jul",SUMIFS(adv!$Q$3:$Q$52,adv!$M$3:$M$52,'S Sheet'!$A25,adv!$O$3:$O$52,'S Sheet'!$AO$1),IF($AO$1="Aug",SUMIFS(adv!$Q$3:$Q$52,adv!$M$3:$M$52,'S Sheet'!$A25,adv!$O$3:$O$52,'S Sheet'!$AO$1),IF($AO$1="Sep",SUMIFS(adv!$Q$3:$Q$52,adv!$M$3:$M$52,'S Sheet'!$A25,adv!$O$3:$O$52,'S Sheet'!$AO$1),IF($AO$1="Oct",SUMIFS(adv!$Q$3:$Q$52,adv!$M$3:$M$52,'S Sheet'!$A25,adv!$O$3:$O$52,'S Sheet'!$AO$1),IF($AO$1="Nov",SUMIFS(adv!$Q$3:$Q$52,adv!$M$3:$M$52,'S Sheet'!$A25,adv!$O$3:$O$52,'S Sheet'!$AO$1),IF($AO$1="Dec",SUMIFS(adv!$Q$3:$Q$52,adv!$M$3:$M$52,'S Sheet'!$A25,adv!$O$3:$O$52,'S Sheet'!$AO$1),""))))))))))))</f>
        <v>2500</v>
      </c>
      <c r="S25" s="4">
        <f>IF($AO$1="Jan",SUMIFS(loan!$O$3:$O$32,loan!$J$3:$J$32,'S Sheet'!$A25,loan!$L$3:$L$32,'S Sheet'!$AO$1),IF($AO$1="Feb",SUMIFS(loan!$O$3:$O$32,loan!$J$3:$J$32,'S Sheet'!$A25,loan!$L$3:$L$32,'S Sheet'!$AO$1),IF($AO$1="Mar",SUMIFS(loan!$O$3:$O$32,loan!$J$3:$J$32,'S Sheet'!$A25,loan!$L$3:$L$32,'S Sheet'!$AO$1),IF($AO$1="Apr",SUMIFS(loan!$O$3:$O$32,loan!$J$3:$J$32,'S Sheet'!$A25,loan!$L$3:$L$32,'S Sheet'!$AO$1),IF($AO$1="May",SUMIFS(loan!$O$3:$O$32,loan!$J$3:$J$32,'S Sheet'!$A25,loan!$L$3:$L$32,'S Sheet'!$AO$1),IF($AO$1="Jun",SUMIFS(loan!$O$3:$O$32,loan!$J$3:$J$32,'S Sheet'!$A25,loan!$L$3:$L$32,'S Sheet'!$AO$1),IF($AO$1="Jul",SUMIFS(loan!$O$3:$O$32,loan!$J$3:$J$32,'S Sheet'!$A25,loan!$L$3:$L$32,'S Sheet'!$AO$1),IF($AO$1="Aug",SUMIFS(loan!$O$3:$O$32,loan!$J$3:$J$32,'S Sheet'!$A25,loan!$L$3:$L$32,'S Sheet'!$AO$1),IF($AO$1="Sep",SUMIFS(loan!$O$3:$O$32,loan!$J$3:$J$32,'S Sheet'!$A25,loan!$L$3:$L$32,'S Sheet'!$AO$1),IF($AO$1="Oct",SUMIFS(loan!$O$3:$O$32,loan!$J$3:$J$32,'S Sheet'!$A25,loan!$L$3:$L$32,'S Sheet'!$AO$1),IF($AO$1="Nov",SUMIFS(loan!$O$3:$O$32,loan!$J$3:$J$32,'S Sheet'!$A25,loan!$L$3:$L$32,'S Sheet'!$AO$1),IF($AO$1="Dec",SUMIFS(loan!$O$3:$O$32,loan!$J$3:$J$32,'S Sheet'!$A25,loan!$L$3:$L$32,'S Sheet'!$AO$1),""))))))))))))</f>
        <v>0</v>
      </c>
      <c r="T25" s="4">
        <f>IFERROR(VLOOKUP($A25,loan!$A$2:$H$22,3,0),0)</f>
        <v>30000</v>
      </c>
      <c r="U25" s="4">
        <f t="shared" si="5"/>
        <v>1666.6666666666667</v>
      </c>
      <c r="V25" s="28">
        <f>IFERROR(VLOOKUP($A25,loan!$A$2:$H$22,2,0),"")</f>
        <v>45697</v>
      </c>
      <c r="W25" s="4">
        <f>IFERROR(VLOOKUP($A25,loan!$A$2:$H$22,5,0),0)</f>
        <v>18</v>
      </c>
      <c r="X25" s="4" t="str">
        <f t="shared" si="6"/>
        <v>Paid</v>
      </c>
      <c r="Y25" s="4">
        <f t="shared" si="7"/>
        <v>0</v>
      </c>
      <c r="Z25" s="29">
        <f t="shared" si="13"/>
        <v>0</v>
      </c>
      <c r="AA25" s="4">
        <f>IF('S Sheet'!$AO$1='S Sheet'!$AO$1,SUMIFS(adv!$E$3:$E$97,adv!$B$3:$B$97,'S Sheet'!$A25,adv!$D$3:$D$97,'S Sheet'!$AO$1),0)</f>
        <v>0</v>
      </c>
      <c r="AB25" s="4">
        <f>IF($AO$1=$AO$1,SUMIFS(adv!$H$3:$H$97,adv!$B$3:$B$97,'S Sheet'!$A25,adv!$D$3:$D$97,'S Sheet'!$AO$1),0)</f>
        <v>0</v>
      </c>
      <c r="AC25" s="29">
        <f t="shared" si="0"/>
        <v>0</v>
      </c>
      <c r="AD25" s="4">
        <f t="shared" si="1"/>
        <v>9000</v>
      </c>
      <c r="AE25" s="34">
        <f t="shared" si="2"/>
        <v>8419.354838709678</v>
      </c>
      <c r="AF25" s="4">
        <f>VLOOKUP($A25,Master!$A$2:$K$52,8,0)</f>
        <v>3600</v>
      </c>
      <c r="AG25" s="4">
        <f>VLOOKUP($A25,Master!$A$2:$K$52,9,0)</f>
        <v>900</v>
      </c>
      <c r="AH25" s="4">
        <f>VLOOKUP($A25,Master!$A$2:$K$52,10,0)</f>
        <v>450</v>
      </c>
      <c r="AI25" s="4">
        <f t="shared" si="3"/>
        <v>0</v>
      </c>
      <c r="AJ25" s="4">
        <f>IF($AO$1=$AO$1,SUMIFS(adv!$Q$3:$Q$52,adv!$M$3:$M$52,'S Sheet'!$A25,adv!$O$3:$O$52,'S Sheet'!$AO$1),0)</f>
        <v>2500</v>
      </c>
      <c r="AK25" s="34">
        <f t="shared" si="4"/>
        <v>15869.354838709678</v>
      </c>
      <c r="AL25" s="4">
        <f t="shared" si="8"/>
        <v>1188</v>
      </c>
      <c r="AM25" s="34">
        <f t="shared" si="9"/>
        <v>119.02016129032258</v>
      </c>
      <c r="AN25" s="34">
        <f t="shared" si="10"/>
        <v>0</v>
      </c>
      <c r="AO25" s="4">
        <f t="shared" si="11"/>
        <v>0</v>
      </c>
      <c r="AP25" s="36">
        <f t="shared" si="12"/>
        <v>14562.334677419356</v>
      </c>
    </row>
    <row r="26" spans="1:42" ht="21" x14ac:dyDescent="0.25">
      <c r="A26" s="4" t="s">
        <v>48</v>
      </c>
      <c r="B26" s="4" t="str">
        <f>VLOOKUP($A26,Master!$A$2:$K$52,COLUMN(Master!B24),0)</f>
        <v>Employee23</v>
      </c>
      <c r="C26" s="4" t="str">
        <f>VLOOKUP($A26,Master!$A$2:$K$52,COLUMN(Master!C24),0)</f>
        <v>Male</v>
      </c>
      <c r="D26" s="26">
        <f>VLOOKUP($A26,Master!$A$2:$K$52,COLUMN(Master!D24),0)</f>
        <v>44985</v>
      </c>
      <c r="E26" s="4" t="str">
        <f>VLOOKUP($A26,Master!$A$2:$K$52,COLUMN(Master!E24),0)</f>
        <v>Accounts</v>
      </c>
      <c r="F26" s="4" t="str">
        <f>VLOOKUP($A26,Master!$A$2:$K$52,COLUMN(Master!F24),0)</f>
        <v>Accountant</v>
      </c>
      <c r="G26" s="4" t="s">
        <v>29</v>
      </c>
      <c r="H26" s="4">
        <v>27873503702</v>
      </c>
      <c r="I26" s="4" t="s">
        <v>404</v>
      </c>
      <c r="J26" s="4">
        <f>VLOOKUP($A26,Master!$A$2:$K$52,COLUMN(Master!G24),0)</f>
        <v>14000</v>
      </c>
      <c r="K26" s="4">
        <f>VLOOKUP($A26,Master!$A$2:$K$52,COLUMN(Master!H24),0)</f>
        <v>5600</v>
      </c>
      <c r="L26" s="4">
        <f>VLOOKUP($A26,Master!$A$2:$K$52,COLUMN(Master!I24),0)</f>
        <v>1400</v>
      </c>
      <c r="M26" s="4">
        <f>VLOOKUP($A26,Master!$A$2:$K$52,COLUMN(Master!J24),0)</f>
        <v>700</v>
      </c>
      <c r="N26" s="4">
        <f>IF($AO$1="Jan",VLOOKUP($A26,jan!$A$5:$AU$54,46,0),IF('S Sheet'!$AO$1="Feb",VLOOKUP('S Sheet'!$A26,feb!$A$5:$AR$54,43,0),IF($AO$1="Mar",VLOOKUP($A26,mar!$A$5:$AU$54,46,0),IF($AO$1="Apr",VLOOKUP($A26,apr!$A$5:$AU$54,45,0),IF($AO$1="May",VLOOKUP($A26,may!$A$5:$AU$54,46,0),IF($AO$1="Jun",VLOOKUP($A26,jun!$A$5:$AU$54,45,0),IF($AO$1="Jul",VLOOKUP($A26,jul!$A$5:$AV$54,46,0),IF($AO$1="Aug",VLOOKUP($A26,aug!$A$5:$AU$54,46,0),IF($AO$1="Sep",VLOOKUP($A26,sep!$A$5:$AT$54,45,0),IF($AO$1="Oct",VLOOKUP($A26,oct!$A$5:$AU$54,46,0),IF($AO$1="Nov",VLOOKUP($A26,nov!$A$5:$AU$54,45,0),IF($AO$1="Dec",VLOOKUP($A26,dec!$A$5:$AU$54,46,0),""))))))))))))</f>
        <v>31</v>
      </c>
      <c r="O26" s="4">
        <f>IF($AO$1="Jan",VLOOKUP($A26,jan!$A$5:$AU$54,47,0),IF('S Sheet'!$AO$1="Feb",VLOOKUP('S Sheet'!$A26,feb!$A$5:$AR$54,44,0),IF($AO$1="Mar",VLOOKUP($A26,mar!$A$5:$AU$54,47,0),IF($AO$1="Apr",VLOOKUP($A26,apr!$A$5:$AU$54,46,0),IF($AO$1="May",VLOOKUP($A26,may!$A$5:$AU$54,47,0),IF($AO$1="Jun",VLOOKUP($A26,jun!$A$5:$AU$54,46,0),IF($AO$1="Jul",VLOOKUP($A26,jul!$A$5:$AV$54,47,0),IF($AO$1="Aug",VLOOKUP($A26,aug!$A$5:$AU$54,47,0),IF($AO$1="Sep",VLOOKUP($A26,sep!$A$5:$AT$54,46,0),IF($AO$1="Oct",VLOOKUP($A26,oct!$A$5:$AU$54,47,0),IF($AO$1="Nov",VLOOKUP($A26,nov!$A$5:$AU$54,46,0),IF($AO$1="Dec",VLOOKUP($A26,dec!$A$5:$AU$54,47,0),""))))))))))))</f>
        <v>31</v>
      </c>
      <c r="P26" s="4">
        <f>IF($AO$1="Jan",SUMIFS(holly!$L$3:$L$122,holly!$I$3:$I$122,'S Sheet'!$A26,holly!$K$3:$K$122,'S Sheet'!$AO$1),IF($AO$1="Feb",SUMIFS(holly!$L$3:$L$122,holly!$I$3:$I$122,'S Sheet'!$A26,holly!$K$3:$K$122,'S Sheet'!$AO$1),IF($AO$1="Mar",SUMIFS(holly!$L$3:$L$122,holly!$I$3:$I$122,'S Sheet'!$A26,holly!$K$3:$K$122,'S Sheet'!$AO$1),IF($AO$1="Apr",SUMIFS(holly!$L$3:$L$122,holly!$I$3:$I$122,'S Sheet'!$A26,holly!$K$3:$K$122,'S Sheet'!$AO$1),IF($AO$1="May",SUMIFS(holly!$L$3:$L$122,holly!$I$3:$I$122,'S Sheet'!$A26,holly!$K$3:$K$122,'S Sheet'!$AO$1),IF($AO$1="Jun",SUMIFS(holly!$L$3:$L$122,holly!$I$3:$I$122,'S Sheet'!$A26,holly!$K$3:$K$122,'S Sheet'!$AO$1),IF($AO$1="Jul",SUMIFS(holly!$L$3:$L$122,holly!$I$3:$I$122,'S Sheet'!$A26,holly!$K$3:$K$122,'S Sheet'!$AO$1),IF($AO$1="Aug",SUMIFS(holly!$L$3:$L$122,holly!$I$3:$I$122,'S Sheet'!$A26,holly!$K$3:$K$122,'S Sheet'!$AO$1),IF($AO$1="Sep",SUMIFS(holly!$L$3:$L$122,holly!$I$3:$I$122,'S Sheet'!$A26,holly!$K$3:$K$122,'S Sheet'!$AO$1),IF($AO$1="Oct",SUMIFS(holly!$L$3:$L$122,holly!$I$3:$I$122,'S Sheet'!$A26,holly!$K$3:$K$122,'S Sheet'!$AO$1),IF($AO$1="Nov",SUMIFS(holly!$L$3:$L$122,holly!$I$3:$I$122,'S Sheet'!$A26,holly!$K$3:$K$122,'S Sheet'!$AO$1),IF($AO$1="Dec",SUMIFS(holly!$L$3:$L$122,holly!$I$3:$I$122,'S Sheet'!$A26,holly!$K$3:$K$122,'S Sheet'!$AO$1),""))))))))))))</f>
        <v>0</v>
      </c>
      <c r="Q26" s="4">
        <f>IFERROR(VLOOKUP($A26,holly!$I$2:$O$122,5,0),0)</f>
        <v>100.96</v>
      </c>
      <c r="R26" s="4">
        <f>IF($AO$1="Jan",SUMIFS(adv!$Q$3:$Q$52,adv!$M$3:$M$52,'S Sheet'!$A26,adv!$O$3:$O$52,'S Sheet'!$AO$1),IF($AO$1="Feb",SUMIFS(adv!$Q$3:$Q$52,adv!$M$3:$M$52,'S Sheet'!$A26,adv!$O$3:$O$52,'S Sheet'!$AO$1),IF($AO$1="Mar",SUMIFS(adv!$Q$3:$Q$52,adv!$M$3:$M$52,'S Sheet'!$A26,adv!$O$3:$O$52,'S Sheet'!$AO$1),IF($AO$1="Apr",SUMIFS(adv!$Q$3:$Q$52,adv!$M$3:$M$52,'S Sheet'!$A26,adv!$O$3:$O$52,'S Sheet'!$AO$1),IF($AO$1="May",SUMIFS(adv!$Q$3:$Q$52,adv!$M$3:$M$52,'S Sheet'!$A26,adv!$O$3:$O$52,'S Sheet'!$AO$1),IF($AO$1="Jun",SUMIFS(adv!$Q$3:$Q$52,adv!$M$3:$M$52,'S Sheet'!$A26,adv!$O$3:$O$52,'S Sheet'!$AO$1),IF($AO$1="Jul",SUMIFS(adv!$Q$3:$Q$52,adv!$M$3:$M$52,'S Sheet'!$A26,adv!$O$3:$O$52,'S Sheet'!$AO$1),IF($AO$1="Aug",SUMIFS(adv!$Q$3:$Q$52,adv!$M$3:$M$52,'S Sheet'!$A26,adv!$O$3:$O$52,'S Sheet'!$AO$1),IF($AO$1="Sep",SUMIFS(adv!$Q$3:$Q$52,adv!$M$3:$M$52,'S Sheet'!$A26,adv!$O$3:$O$52,'S Sheet'!$AO$1),IF($AO$1="Oct",SUMIFS(adv!$Q$3:$Q$52,adv!$M$3:$M$52,'S Sheet'!$A26,adv!$O$3:$O$52,'S Sheet'!$AO$1),IF($AO$1="Nov",SUMIFS(adv!$Q$3:$Q$52,adv!$M$3:$M$52,'S Sheet'!$A26,adv!$O$3:$O$52,'S Sheet'!$AO$1),IF($AO$1="Dec",SUMIFS(adv!$Q$3:$Q$52,adv!$M$3:$M$52,'S Sheet'!$A26,adv!$O$3:$O$52,'S Sheet'!$AO$1),""))))))))))))</f>
        <v>0</v>
      </c>
      <c r="S26" s="4">
        <f>IF($AO$1="Jan",SUMIFS(loan!$O$3:$O$32,loan!$J$3:$J$32,'S Sheet'!$A26,loan!$L$3:$L$32,'S Sheet'!$AO$1),IF($AO$1="Feb",SUMIFS(loan!$O$3:$O$32,loan!$J$3:$J$32,'S Sheet'!$A26,loan!$L$3:$L$32,'S Sheet'!$AO$1),IF($AO$1="Mar",SUMIFS(loan!$O$3:$O$32,loan!$J$3:$J$32,'S Sheet'!$A26,loan!$L$3:$L$32,'S Sheet'!$AO$1),IF($AO$1="Apr",SUMIFS(loan!$O$3:$O$32,loan!$J$3:$J$32,'S Sheet'!$A26,loan!$L$3:$L$32,'S Sheet'!$AO$1),IF($AO$1="May",SUMIFS(loan!$O$3:$O$32,loan!$J$3:$J$32,'S Sheet'!$A26,loan!$L$3:$L$32,'S Sheet'!$AO$1),IF($AO$1="Jun",SUMIFS(loan!$O$3:$O$32,loan!$J$3:$J$32,'S Sheet'!$A26,loan!$L$3:$L$32,'S Sheet'!$AO$1),IF($AO$1="Jul",SUMIFS(loan!$O$3:$O$32,loan!$J$3:$J$32,'S Sheet'!$A26,loan!$L$3:$L$32,'S Sheet'!$AO$1),IF($AO$1="Aug",SUMIFS(loan!$O$3:$O$32,loan!$J$3:$J$32,'S Sheet'!$A26,loan!$L$3:$L$32,'S Sheet'!$AO$1),IF($AO$1="Sep",SUMIFS(loan!$O$3:$O$32,loan!$J$3:$J$32,'S Sheet'!$A26,loan!$L$3:$L$32,'S Sheet'!$AO$1),IF($AO$1="Oct",SUMIFS(loan!$O$3:$O$32,loan!$J$3:$J$32,'S Sheet'!$A26,loan!$L$3:$L$32,'S Sheet'!$AO$1),IF($AO$1="Nov",SUMIFS(loan!$O$3:$O$32,loan!$J$3:$J$32,'S Sheet'!$A26,loan!$L$3:$L$32,'S Sheet'!$AO$1),IF($AO$1="Dec",SUMIFS(loan!$O$3:$O$32,loan!$J$3:$J$32,'S Sheet'!$A26,loan!$L$3:$L$32,'S Sheet'!$AO$1),""))))))))))))</f>
        <v>0</v>
      </c>
      <c r="T26" s="4">
        <f>IFERROR(VLOOKUP($A26,loan!$A$2:$H$22,3,0),0)</f>
        <v>0</v>
      </c>
      <c r="U26" s="4">
        <f t="shared" si="5"/>
        <v>0</v>
      </c>
      <c r="V26" s="28" t="str">
        <f>IFERROR(VLOOKUP($A26,loan!$A$2:$H$22,2,0),"")</f>
        <v/>
      </c>
      <c r="W26" s="4">
        <f>IFERROR(VLOOKUP($A26,loan!$A$2:$H$22,5,0),0)</f>
        <v>0</v>
      </c>
      <c r="X26" s="4">
        <f t="shared" si="6"/>
        <v>0</v>
      </c>
      <c r="Y26" s="4">
        <f t="shared" si="7"/>
        <v>0</v>
      </c>
      <c r="Z26" s="29">
        <f t="shared" si="13"/>
        <v>0</v>
      </c>
      <c r="AA26" s="4">
        <f>IF('S Sheet'!$AO$1='S Sheet'!$AO$1,SUMIFS(adv!$E$3:$E$97,adv!$B$3:$B$97,'S Sheet'!$A26,adv!$D$3:$D$97,'S Sheet'!$AO$1),0)</f>
        <v>0</v>
      </c>
      <c r="AB26" s="4">
        <f>IF($AO$1=$AO$1,SUMIFS(adv!$H$3:$H$97,adv!$B$3:$B$97,'S Sheet'!$A26,adv!$D$3:$D$97,'S Sheet'!$AO$1),0)</f>
        <v>0</v>
      </c>
      <c r="AC26" s="29">
        <f t="shared" si="0"/>
        <v>0</v>
      </c>
      <c r="AD26" s="4">
        <f t="shared" si="1"/>
        <v>14000</v>
      </c>
      <c r="AE26" s="34">
        <f t="shared" si="2"/>
        <v>14000</v>
      </c>
      <c r="AF26" s="4">
        <f>VLOOKUP($A26,Master!$A$2:$K$52,8,0)</f>
        <v>5600</v>
      </c>
      <c r="AG26" s="4">
        <f>VLOOKUP($A26,Master!$A$2:$K$52,9,0)</f>
        <v>1400</v>
      </c>
      <c r="AH26" s="4">
        <f>VLOOKUP($A26,Master!$A$2:$K$52,10,0)</f>
        <v>700</v>
      </c>
      <c r="AI26" s="4">
        <f t="shared" si="3"/>
        <v>0</v>
      </c>
      <c r="AJ26" s="4">
        <f>IF($AO$1=$AO$1,SUMIFS(adv!$Q$3:$Q$52,adv!$M$3:$M$52,'S Sheet'!$A26,adv!$O$3:$O$52,'S Sheet'!$AO$1),0)</f>
        <v>0</v>
      </c>
      <c r="AK26" s="34">
        <f t="shared" si="4"/>
        <v>21700</v>
      </c>
      <c r="AL26" s="4">
        <f t="shared" si="8"/>
        <v>1848</v>
      </c>
      <c r="AM26" s="34">
        <f t="shared" si="9"/>
        <v>0</v>
      </c>
      <c r="AN26" s="34">
        <f t="shared" si="10"/>
        <v>0</v>
      </c>
      <c r="AO26" s="4">
        <f t="shared" si="11"/>
        <v>0</v>
      </c>
      <c r="AP26" s="36">
        <f t="shared" si="12"/>
        <v>19852</v>
      </c>
    </row>
    <row r="27" spans="1:42" ht="21" x14ac:dyDescent="0.25">
      <c r="A27" s="4" t="s">
        <v>50</v>
      </c>
      <c r="B27" s="4" t="str">
        <f>VLOOKUP($A27,Master!$A$2:$K$52,COLUMN(Master!B25),0)</f>
        <v>Employee24</v>
      </c>
      <c r="C27" s="4" t="str">
        <f>VLOOKUP($A27,Master!$A$2:$K$52,COLUMN(Master!C25),0)</f>
        <v>Male</v>
      </c>
      <c r="D27" s="26">
        <f>VLOOKUP($A27,Master!$A$2:$K$52,COLUMN(Master!D25),0)</f>
        <v>45330</v>
      </c>
      <c r="E27" s="4" t="str">
        <f>VLOOKUP($A27,Master!$A$2:$K$52,COLUMN(Master!E25),0)</f>
        <v>Production</v>
      </c>
      <c r="F27" s="4" t="str">
        <f>VLOOKUP($A27,Master!$A$2:$K$52,COLUMN(Master!F25),0)</f>
        <v>Operator</v>
      </c>
      <c r="G27" s="4" t="s">
        <v>29</v>
      </c>
      <c r="H27" s="4">
        <v>8183139562</v>
      </c>
      <c r="I27" s="4" t="s">
        <v>405</v>
      </c>
      <c r="J27" s="4">
        <f>VLOOKUP($A27,Master!$A$2:$K$52,COLUMN(Master!G25),0)</f>
        <v>16000</v>
      </c>
      <c r="K27" s="4">
        <f>VLOOKUP($A27,Master!$A$2:$K$52,COLUMN(Master!H25),0)</f>
        <v>6400</v>
      </c>
      <c r="L27" s="4">
        <f>VLOOKUP($A27,Master!$A$2:$K$52,COLUMN(Master!I25),0)</f>
        <v>1600</v>
      </c>
      <c r="M27" s="4">
        <f>VLOOKUP($A27,Master!$A$2:$K$52,COLUMN(Master!J25),0)</f>
        <v>800</v>
      </c>
      <c r="N27" s="4">
        <f>IF($AO$1="Jan",VLOOKUP($A27,jan!$A$5:$AU$54,46,0),IF('S Sheet'!$AO$1="Feb",VLOOKUP('S Sheet'!$A27,feb!$A$5:$AR$54,43,0),IF($AO$1="Mar",VLOOKUP($A27,mar!$A$5:$AU$54,46,0),IF($AO$1="Apr",VLOOKUP($A27,apr!$A$5:$AU$54,45,0),IF($AO$1="May",VLOOKUP($A27,may!$A$5:$AU$54,46,0),IF($AO$1="Jun",VLOOKUP($A27,jun!$A$5:$AU$54,45,0),IF($AO$1="Jul",VLOOKUP($A27,jul!$A$5:$AV$54,46,0),IF($AO$1="Aug",VLOOKUP($A27,aug!$A$5:$AU$54,46,0),IF($AO$1="Sep",VLOOKUP($A27,sep!$A$5:$AT$54,45,0),IF($AO$1="Oct",VLOOKUP($A27,oct!$A$5:$AU$54,46,0),IF($AO$1="Nov",VLOOKUP($A27,nov!$A$5:$AU$54,45,0),IF($AO$1="Dec",VLOOKUP($A27,dec!$A$5:$AU$54,46,0),""))))))))))))</f>
        <v>31</v>
      </c>
      <c r="O27" s="4">
        <f>IF($AO$1="Jan",VLOOKUP($A27,jan!$A$5:$AU$54,47,0),IF('S Sheet'!$AO$1="Feb",VLOOKUP('S Sheet'!$A27,feb!$A$5:$AR$54,44,0),IF($AO$1="Mar",VLOOKUP($A27,mar!$A$5:$AU$54,47,0),IF($AO$1="Apr",VLOOKUP($A27,apr!$A$5:$AU$54,46,0),IF($AO$1="May",VLOOKUP($A27,may!$A$5:$AU$54,47,0),IF($AO$1="Jun",VLOOKUP($A27,jun!$A$5:$AU$54,46,0),IF($AO$1="Jul",VLOOKUP($A27,jul!$A$5:$AV$54,47,0),IF($AO$1="Aug",VLOOKUP($A27,aug!$A$5:$AU$54,47,0),IF($AO$1="Sep",VLOOKUP($A27,sep!$A$5:$AT$54,46,0),IF($AO$1="Oct",VLOOKUP($A27,oct!$A$5:$AU$54,47,0),IF($AO$1="Nov",VLOOKUP($A27,nov!$A$5:$AU$54,46,0),IF($AO$1="Dec",VLOOKUP($A27,dec!$A$5:$AU$54,47,0),""))))))))))))</f>
        <v>30</v>
      </c>
      <c r="P27" s="4">
        <f>IF($AO$1="Jan",SUMIFS(holly!$L$3:$L$122,holly!$I$3:$I$122,'S Sheet'!$A27,holly!$K$3:$K$122,'S Sheet'!$AO$1),IF($AO$1="Feb",SUMIFS(holly!$L$3:$L$122,holly!$I$3:$I$122,'S Sheet'!$A27,holly!$K$3:$K$122,'S Sheet'!$AO$1),IF($AO$1="Mar",SUMIFS(holly!$L$3:$L$122,holly!$I$3:$I$122,'S Sheet'!$A27,holly!$K$3:$K$122,'S Sheet'!$AO$1),IF($AO$1="Apr",SUMIFS(holly!$L$3:$L$122,holly!$I$3:$I$122,'S Sheet'!$A27,holly!$K$3:$K$122,'S Sheet'!$AO$1),IF($AO$1="May",SUMIFS(holly!$L$3:$L$122,holly!$I$3:$I$122,'S Sheet'!$A27,holly!$K$3:$K$122,'S Sheet'!$AO$1),IF($AO$1="Jun",SUMIFS(holly!$L$3:$L$122,holly!$I$3:$I$122,'S Sheet'!$A27,holly!$K$3:$K$122,'S Sheet'!$AO$1),IF($AO$1="Jul",SUMIFS(holly!$L$3:$L$122,holly!$I$3:$I$122,'S Sheet'!$A27,holly!$K$3:$K$122,'S Sheet'!$AO$1),IF($AO$1="Aug",SUMIFS(holly!$L$3:$L$122,holly!$I$3:$I$122,'S Sheet'!$A27,holly!$K$3:$K$122,'S Sheet'!$AO$1),IF($AO$1="Sep",SUMIFS(holly!$L$3:$L$122,holly!$I$3:$I$122,'S Sheet'!$A27,holly!$K$3:$K$122,'S Sheet'!$AO$1),IF($AO$1="Oct",SUMIFS(holly!$L$3:$L$122,holly!$I$3:$I$122,'S Sheet'!$A27,holly!$K$3:$K$122,'S Sheet'!$AO$1),IF($AO$1="Nov",SUMIFS(holly!$L$3:$L$122,holly!$I$3:$I$122,'S Sheet'!$A27,holly!$K$3:$K$122,'S Sheet'!$AO$1),IF($AO$1="Dec",SUMIFS(holly!$L$3:$L$122,holly!$I$3:$I$122,'S Sheet'!$A27,holly!$K$3:$K$122,'S Sheet'!$AO$1),""))))))))))))</f>
        <v>2</v>
      </c>
      <c r="Q27" s="4">
        <f>IFERROR(VLOOKUP($A27,holly!$I$2:$O$122,5,0),0)</f>
        <v>115.38</v>
      </c>
      <c r="R27" s="4">
        <f>IF($AO$1="Jan",SUMIFS(adv!$Q$3:$Q$52,adv!$M$3:$M$52,'S Sheet'!$A27,adv!$O$3:$O$52,'S Sheet'!$AO$1),IF($AO$1="Feb",SUMIFS(adv!$Q$3:$Q$52,adv!$M$3:$M$52,'S Sheet'!$A27,adv!$O$3:$O$52,'S Sheet'!$AO$1),IF($AO$1="Mar",SUMIFS(adv!$Q$3:$Q$52,adv!$M$3:$M$52,'S Sheet'!$A27,adv!$O$3:$O$52,'S Sheet'!$AO$1),IF($AO$1="Apr",SUMIFS(adv!$Q$3:$Q$52,adv!$M$3:$M$52,'S Sheet'!$A27,adv!$O$3:$O$52,'S Sheet'!$AO$1),IF($AO$1="May",SUMIFS(adv!$Q$3:$Q$52,adv!$M$3:$M$52,'S Sheet'!$A27,adv!$O$3:$O$52,'S Sheet'!$AO$1),IF($AO$1="Jun",SUMIFS(adv!$Q$3:$Q$52,adv!$M$3:$M$52,'S Sheet'!$A27,adv!$O$3:$O$52,'S Sheet'!$AO$1),IF($AO$1="Jul",SUMIFS(adv!$Q$3:$Q$52,adv!$M$3:$M$52,'S Sheet'!$A27,adv!$O$3:$O$52,'S Sheet'!$AO$1),IF($AO$1="Aug",SUMIFS(adv!$Q$3:$Q$52,adv!$M$3:$M$52,'S Sheet'!$A27,adv!$O$3:$O$52,'S Sheet'!$AO$1),IF($AO$1="Sep",SUMIFS(adv!$Q$3:$Q$52,adv!$M$3:$M$52,'S Sheet'!$A27,adv!$O$3:$O$52,'S Sheet'!$AO$1),IF($AO$1="Oct",SUMIFS(adv!$Q$3:$Q$52,adv!$M$3:$M$52,'S Sheet'!$A27,adv!$O$3:$O$52,'S Sheet'!$AO$1),IF($AO$1="Nov",SUMIFS(adv!$Q$3:$Q$52,adv!$M$3:$M$52,'S Sheet'!$A27,adv!$O$3:$O$52,'S Sheet'!$AO$1),IF($AO$1="Dec",SUMIFS(adv!$Q$3:$Q$52,adv!$M$3:$M$52,'S Sheet'!$A27,adv!$O$3:$O$52,'S Sheet'!$AO$1),""))))))))))))</f>
        <v>0</v>
      </c>
      <c r="S27" s="4">
        <f>IF($AO$1="Jan",SUMIFS(loan!$O$3:$O$32,loan!$J$3:$J$32,'S Sheet'!$A27,loan!$L$3:$L$32,'S Sheet'!$AO$1),IF($AO$1="Feb",SUMIFS(loan!$O$3:$O$32,loan!$J$3:$J$32,'S Sheet'!$A27,loan!$L$3:$L$32,'S Sheet'!$AO$1),IF($AO$1="Mar",SUMIFS(loan!$O$3:$O$32,loan!$J$3:$J$32,'S Sheet'!$A27,loan!$L$3:$L$32,'S Sheet'!$AO$1),IF($AO$1="Apr",SUMIFS(loan!$O$3:$O$32,loan!$J$3:$J$32,'S Sheet'!$A27,loan!$L$3:$L$32,'S Sheet'!$AO$1),IF($AO$1="May",SUMIFS(loan!$O$3:$O$32,loan!$J$3:$J$32,'S Sheet'!$A27,loan!$L$3:$L$32,'S Sheet'!$AO$1),IF($AO$1="Jun",SUMIFS(loan!$O$3:$O$32,loan!$J$3:$J$32,'S Sheet'!$A27,loan!$L$3:$L$32,'S Sheet'!$AO$1),IF($AO$1="Jul",SUMIFS(loan!$O$3:$O$32,loan!$J$3:$J$32,'S Sheet'!$A27,loan!$L$3:$L$32,'S Sheet'!$AO$1),IF($AO$1="Aug",SUMIFS(loan!$O$3:$O$32,loan!$J$3:$J$32,'S Sheet'!$A27,loan!$L$3:$L$32,'S Sheet'!$AO$1),IF($AO$1="Sep",SUMIFS(loan!$O$3:$O$32,loan!$J$3:$J$32,'S Sheet'!$A27,loan!$L$3:$L$32,'S Sheet'!$AO$1),IF($AO$1="Oct",SUMIFS(loan!$O$3:$O$32,loan!$J$3:$J$32,'S Sheet'!$A27,loan!$L$3:$L$32,'S Sheet'!$AO$1),IF($AO$1="Nov",SUMIFS(loan!$O$3:$O$32,loan!$J$3:$J$32,'S Sheet'!$A27,loan!$L$3:$L$32,'S Sheet'!$AO$1),IF($AO$1="Dec",SUMIFS(loan!$O$3:$O$32,loan!$J$3:$J$32,'S Sheet'!$A27,loan!$L$3:$L$32,'S Sheet'!$AO$1),""))))))))))))</f>
        <v>0</v>
      </c>
      <c r="T27" s="4">
        <f>IFERROR(VLOOKUP($A27,loan!$A$2:$H$22,3,0),0)</f>
        <v>0</v>
      </c>
      <c r="U27" s="4">
        <f t="shared" si="5"/>
        <v>0</v>
      </c>
      <c r="V27" s="28" t="str">
        <f>IFERROR(VLOOKUP($A27,loan!$A$2:$H$22,2,0),"")</f>
        <v/>
      </c>
      <c r="W27" s="4">
        <f>IFERROR(VLOOKUP($A27,loan!$A$2:$H$22,5,0),0)</f>
        <v>0</v>
      </c>
      <c r="X27" s="4">
        <f t="shared" si="6"/>
        <v>0</v>
      </c>
      <c r="Y27" s="4">
        <f t="shared" si="7"/>
        <v>0</v>
      </c>
      <c r="Z27" s="29">
        <f t="shared" si="13"/>
        <v>0</v>
      </c>
      <c r="AA27" s="4">
        <f>IF('S Sheet'!$AO$1='S Sheet'!$AO$1,SUMIFS(adv!$E$3:$E$97,adv!$B$3:$B$97,'S Sheet'!$A27,adv!$D$3:$D$97,'S Sheet'!$AO$1),0)</f>
        <v>3000</v>
      </c>
      <c r="AB27" s="4">
        <f>IF($AO$1=$AO$1,SUMIFS(adv!$H$3:$H$97,adv!$B$3:$B$97,'S Sheet'!$A27,adv!$D$3:$D$97,'S Sheet'!$AO$1),0)</f>
        <v>1500</v>
      </c>
      <c r="AC27" s="29">
        <f t="shared" si="0"/>
        <v>1500</v>
      </c>
      <c r="AD27" s="4">
        <f t="shared" si="1"/>
        <v>16000</v>
      </c>
      <c r="AE27" s="34">
        <f t="shared" si="2"/>
        <v>15483.870967741936</v>
      </c>
      <c r="AF27" s="4">
        <f>VLOOKUP($A27,Master!$A$2:$K$52,8,0)</f>
        <v>6400</v>
      </c>
      <c r="AG27" s="4">
        <f>VLOOKUP($A27,Master!$A$2:$K$52,9,0)</f>
        <v>1600</v>
      </c>
      <c r="AH27" s="4">
        <f>VLOOKUP($A27,Master!$A$2:$K$52,10,0)</f>
        <v>800</v>
      </c>
      <c r="AI27" s="4">
        <f t="shared" si="3"/>
        <v>230.76</v>
      </c>
      <c r="AJ27" s="4">
        <f>IF($AO$1=$AO$1,SUMIFS(adv!$Q$3:$Q$52,adv!$M$3:$M$52,'S Sheet'!$A27,adv!$O$3:$O$52,'S Sheet'!$AO$1),0)</f>
        <v>0</v>
      </c>
      <c r="AK27" s="34">
        <f t="shared" si="4"/>
        <v>24514.630967741934</v>
      </c>
      <c r="AL27" s="4">
        <f t="shared" si="8"/>
        <v>2112</v>
      </c>
      <c r="AM27" s="34">
        <f t="shared" si="9"/>
        <v>0</v>
      </c>
      <c r="AN27" s="34">
        <f t="shared" si="10"/>
        <v>0</v>
      </c>
      <c r="AO27" s="4">
        <f t="shared" si="11"/>
        <v>1500</v>
      </c>
      <c r="AP27" s="36">
        <f t="shared" si="12"/>
        <v>20902.630967741934</v>
      </c>
    </row>
    <row r="28" spans="1:42" ht="21" x14ac:dyDescent="0.25">
      <c r="A28" s="4" t="s">
        <v>51</v>
      </c>
      <c r="B28" s="4" t="str">
        <f>VLOOKUP($A28,Master!$A$2:$K$52,COLUMN(Master!B26),0)</f>
        <v>Employee25</v>
      </c>
      <c r="C28" s="4" t="str">
        <f>VLOOKUP($A28,Master!$A$2:$K$52,COLUMN(Master!C26),0)</f>
        <v>Male</v>
      </c>
      <c r="D28" s="26">
        <f>VLOOKUP($A28,Master!$A$2:$K$52,COLUMN(Master!D26),0)</f>
        <v>45509</v>
      </c>
      <c r="E28" s="4" t="str">
        <f>VLOOKUP($A28,Master!$A$2:$K$52,COLUMN(Master!E26),0)</f>
        <v>Accounts</v>
      </c>
      <c r="F28" s="4" t="str">
        <f>VLOOKUP($A28,Master!$A$2:$K$52,COLUMN(Master!F26),0)</f>
        <v>Accountant</v>
      </c>
      <c r="G28" s="4" t="s">
        <v>29</v>
      </c>
      <c r="H28" s="4">
        <v>29743668847</v>
      </c>
      <c r="I28" s="4" t="s">
        <v>406</v>
      </c>
      <c r="J28" s="4">
        <f>VLOOKUP($A28,Master!$A$2:$K$52,COLUMN(Master!G26),0)</f>
        <v>16000</v>
      </c>
      <c r="K28" s="4">
        <f>VLOOKUP($A28,Master!$A$2:$K$52,COLUMN(Master!H26),0)</f>
        <v>6400</v>
      </c>
      <c r="L28" s="4">
        <f>VLOOKUP($A28,Master!$A$2:$K$52,COLUMN(Master!I26),0)</f>
        <v>1600</v>
      </c>
      <c r="M28" s="4">
        <f>VLOOKUP($A28,Master!$A$2:$K$52,COLUMN(Master!J26),0)</f>
        <v>800</v>
      </c>
      <c r="N28" s="4">
        <f>IF($AO$1="Jan",VLOOKUP($A28,jan!$A$5:$AU$54,46,0),IF('S Sheet'!$AO$1="Feb",VLOOKUP('S Sheet'!$A28,feb!$A$5:$AR$54,43,0),IF($AO$1="Mar",VLOOKUP($A28,mar!$A$5:$AU$54,46,0),IF($AO$1="Apr",VLOOKUP($A28,apr!$A$5:$AU$54,45,0),IF($AO$1="May",VLOOKUP($A28,may!$A$5:$AU$54,46,0),IF($AO$1="Jun",VLOOKUP($A28,jun!$A$5:$AU$54,45,0),IF($AO$1="Jul",VLOOKUP($A28,jul!$A$5:$AV$54,46,0),IF($AO$1="Aug",VLOOKUP($A28,aug!$A$5:$AU$54,46,0),IF($AO$1="Sep",VLOOKUP($A28,sep!$A$5:$AT$54,45,0),IF($AO$1="Oct",VLOOKUP($A28,oct!$A$5:$AU$54,46,0),IF($AO$1="Nov",VLOOKUP($A28,nov!$A$5:$AU$54,45,0),IF($AO$1="Dec",VLOOKUP($A28,dec!$A$5:$AU$54,46,0),""))))))))))))</f>
        <v>31</v>
      </c>
      <c r="O28" s="4">
        <f>IF($AO$1="Jan",VLOOKUP($A28,jan!$A$5:$AU$54,47,0),IF('S Sheet'!$AO$1="Feb",VLOOKUP('S Sheet'!$A28,feb!$A$5:$AR$54,44,0),IF($AO$1="Mar",VLOOKUP($A28,mar!$A$5:$AU$54,47,0),IF($AO$1="Apr",VLOOKUP($A28,apr!$A$5:$AU$54,46,0),IF($AO$1="May",VLOOKUP($A28,may!$A$5:$AU$54,47,0),IF($AO$1="Jun",VLOOKUP($A28,jun!$A$5:$AU$54,46,0),IF($AO$1="Jul",VLOOKUP($A28,jul!$A$5:$AV$54,47,0),IF($AO$1="Aug",VLOOKUP($A28,aug!$A$5:$AU$54,47,0),IF($AO$1="Sep",VLOOKUP($A28,sep!$A$5:$AT$54,46,0),IF($AO$1="Oct",VLOOKUP($A28,oct!$A$5:$AU$54,47,0),IF($AO$1="Nov",VLOOKUP($A28,nov!$A$5:$AU$54,46,0),IF($AO$1="Dec",VLOOKUP($A28,dec!$A$5:$AU$54,47,0),""))))))))))))</f>
        <v>31</v>
      </c>
      <c r="P28" s="4">
        <f>IF($AO$1="Jan",SUMIFS(holly!$L$3:$L$122,holly!$I$3:$I$122,'S Sheet'!$A28,holly!$K$3:$K$122,'S Sheet'!$AO$1),IF($AO$1="Feb",SUMIFS(holly!$L$3:$L$122,holly!$I$3:$I$122,'S Sheet'!$A28,holly!$K$3:$K$122,'S Sheet'!$AO$1),IF($AO$1="Mar",SUMIFS(holly!$L$3:$L$122,holly!$I$3:$I$122,'S Sheet'!$A28,holly!$K$3:$K$122,'S Sheet'!$AO$1),IF($AO$1="Apr",SUMIFS(holly!$L$3:$L$122,holly!$I$3:$I$122,'S Sheet'!$A28,holly!$K$3:$K$122,'S Sheet'!$AO$1),IF($AO$1="May",SUMIFS(holly!$L$3:$L$122,holly!$I$3:$I$122,'S Sheet'!$A28,holly!$K$3:$K$122,'S Sheet'!$AO$1),IF($AO$1="Jun",SUMIFS(holly!$L$3:$L$122,holly!$I$3:$I$122,'S Sheet'!$A28,holly!$K$3:$K$122,'S Sheet'!$AO$1),IF($AO$1="Jul",SUMIFS(holly!$L$3:$L$122,holly!$I$3:$I$122,'S Sheet'!$A28,holly!$K$3:$K$122,'S Sheet'!$AO$1),IF($AO$1="Aug",SUMIFS(holly!$L$3:$L$122,holly!$I$3:$I$122,'S Sheet'!$A28,holly!$K$3:$K$122,'S Sheet'!$AO$1),IF($AO$1="Sep",SUMIFS(holly!$L$3:$L$122,holly!$I$3:$I$122,'S Sheet'!$A28,holly!$K$3:$K$122,'S Sheet'!$AO$1),IF($AO$1="Oct",SUMIFS(holly!$L$3:$L$122,holly!$I$3:$I$122,'S Sheet'!$A28,holly!$K$3:$K$122,'S Sheet'!$AO$1),IF($AO$1="Nov",SUMIFS(holly!$L$3:$L$122,holly!$I$3:$I$122,'S Sheet'!$A28,holly!$K$3:$K$122,'S Sheet'!$AO$1),IF($AO$1="Dec",SUMIFS(holly!$L$3:$L$122,holly!$I$3:$I$122,'S Sheet'!$A28,holly!$K$3:$K$122,'S Sheet'!$AO$1),""))))))))))))</f>
        <v>0</v>
      </c>
      <c r="Q28" s="4">
        <f>IFERROR(VLOOKUP($A28,holly!$I$2:$O$122,5,0),0)</f>
        <v>115.38</v>
      </c>
      <c r="R28" s="4">
        <f>IF($AO$1="Jan",SUMIFS(adv!$Q$3:$Q$52,adv!$M$3:$M$52,'S Sheet'!$A28,adv!$O$3:$O$52,'S Sheet'!$AO$1),IF($AO$1="Feb",SUMIFS(adv!$Q$3:$Q$52,adv!$M$3:$M$52,'S Sheet'!$A28,adv!$O$3:$O$52,'S Sheet'!$AO$1),IF($AO$1="Mar",SUMIFS(adv!$Q$3:$Q$52,adv!$M$3:$M$52,'S Sheet'!$A28,adv!$O$3:$O$52,'S Sheet'!$AO$1),IF($AO$1="Apr",SUMIFS(adv!$Q$3:$Q$52,adv!$M$3:$M$52,'S Sheet'!$A28,adv!$O$3:$O$52,'S Sheet'!$AO$1),IF($AO$1="May",SUMIFS(adv!$Q$3:$Q$52,adv!$M$3:$M$52,'S Sheet'!$A28,adv!$O$3:$O$52,'S Sheet'!$AO$1),IF($AO$1="Jun",SUMIFS(adv!$Q$3:$Q$52,adv!$M$3:$M$52,'S Sheet'!$A28,adv!$O$3:$O$52,'S Sheet'!$AO$1),IF($AO$1="Jul",SUMIFS(adv!$Q$3:$Q$52,adv!$M$3:$M$52,'S Sheet'!$A28,adv!$O$3:$O$52,'S Sheet'!$AO$1),IF($AO$1="Aug",SUMIFS(adv!$Q$3:$Q$52,adv!$M$3:$M$52,'S Sheet'!$A28,adv!$O$3:$O$52,'S Sheet'!$AO$1),IF($AO$1="Sep",SUMIFS(adv!$Q$3:$Q$52,adv!$M$3:$M$52,'S Sheet'!$A28,adv!$O$3:$O$52,'S Sheet'!$AO$1),IF($AO$1="Oct",SUMIFS(adv!$Q$3:$Q$52,adv!$M$3:$M$52,'S Sheet'!$A28,adv!$O$3:$O$52,'S Sheet'!$AO$1),IF($AO$1="Nov",SUMIFS(adv!$Q$3:$Q$52,adv!$M$3:$M$52,'S Sheet'!$A28,adv!$O$3:$O$52,'S Sheet'!$AO$1),IF($AO$1="Dec",SUMIFS(adv!$Q$3:$Q$52,adv!$M$3:$M$52,'S Sheet'!$A28,adv!$O$3:$O$52,'S Sheet'!$AO$1),""))))))))))))</f>
        <v>0</v>
      </c>
      <c r="S28" s="4">
        <f>IF($AO$1="Jan",SUMIFS(loan!$O$3:$O$32,loan!$J$3:$J$32,'S Sheet'!$A28,loan!$L$3:$L$32,'S Sheet'!$AO$1),IF($AO$1="Feb",SUMIFS(loan!$O$3:$O$32,loan!$J$3:$J$32,'S Sheet'!$A28,loan!$L$3:$L$32,'S Sheet'!$AO$1),IF($AO$1="Mar",SUMIFS(loan!$O$3:$O$32,loan!$J$3:$J$32,'S Sheet'!$A28,loan!$L$3:$L$32,'S Sheet'!$AO$1),IF($AO$1="Apr",SUMIFS(loan!$O$3:$O$32,loan!$J$3:$J$32,'S Sheet'!$A28,loan!$L$3:$L$32,'S Sheet'!$AO$1),IF($AO$1="May",SUMIFS(loan!$O$3:$O$32,loan!$J$3:$J$32,'S Sheet'!$A28,loan!$L$3:$L$32,'S Sheet'!$AO$1),IF($AO$1="Jun",SUMIFS(loan!$O$3:$O$32,loan!$J$3:$J$32,'S Sheet'!$A28,loan!$L$3:$L$32,'S Sheet'!$AO$1),IF($AO$1="Jul",SUMIFS(loan!$O$3:$O$32,loan!$J$3:$J$32,'S Sheet'!$A28,loan!$L$3:$L$32,'S Sheet'!$AO$1),IF($AO$1="Aug",SUMIFS(loan!$O$3:$O$32,loan!$J$3:$J$32,'S Sheet'!$A28,loan!$L$3:$L$32,'S Sheet'!$AO$1),IF($AO$1="Sep",SUMIFS(loan!$O$3:$O$32,loan!$J$3:$J$32,'S Sheet'!$A28,loan!$L$3:$L$32,'S Sheet'!$AO$1),IF($AO$1="Oct",SUMIFS(loan!$O$3:$O$32,loan!$J$3:$J$32,'S Sheet'!$A28,loan!$L$3:$L$32,'S Sheet'!$AO$1),IF($AO$1="Nov",SUMIFS(loan!$O$3:$O$32,loan!$J$3:$J$32,'S Sheet'!$A28,loan!$L$3:$L$32,'S Sheet'!$AO$1),IF($AO$1="Dec",SUMIFS(loan!$O$3:$O$32,loan!$J$3:$J$32,'S Sheet'!$A28,loan!$L$3:$L$32,'S Sheet'!$AO$1),""))))))))))))</f>
        <v>0</v>
      </c>
      <c r="T28" s="4">
        <f>IFERROR(VLOOKUP($A28,loan!$A$2:$H$22,3,0),0)</f>
        <v>0</v>
      </c>
      <c r="U28" s="4">
        <f t="shared" si="5"/>
        <v>0</v>
      </c>
      <c r="V28" s="28" t="str">
        <f>IFERROR(VLOOKUP($A28,loan!$A$2:$H$22,2,0),"")</f>
        <v/>
      </c>
      <c r="W28" s="4">
        <f>IFERROR(VLOOKUP($A28,loan!$A$2:$H$22,5,0),0)</f>
        <v>0</v>
      </c>
      <c r="X28" s="4">
        <f t="shared" si="6"/>
        <v>0</v>
      </c>
      <c r="Y28" s="4">
        <f t="shared" si="7"/>
        <v>0</v>
      </c>
      <c r="Z28" s="29">
        <f t="shared" si="13"/>
        <v>0</v>
      </c>
      <c r="AA28" s="4">
        <f>IF('S Sheet'!$AO$1='S Sheet'!$AO$1,SUMIFS(adv!$E$3:$E$97,adv!$B$3:$B$97,'S Sheet'!$A28,adv!$D$3:$D$97,'S Sheet'!$AO$1),0)</f>
        <v>0</v>
      </c>
      <c r="AB28" s="4">
        <f>IF($AO$1=$AO$1,SUMIFS(adv!$H$3:$H$97,adv!$B$3:$B$97,'S Sheet'!$A28,adv!$D$3:$D$97,'S Sheet'!$AO$1),0)</f>
        <v>0</v>
      </c>
      <c r="AC28" s="29">
        <f t="shared" si="0"/>
        <v>0</v>
      </c>
      <c r="AD28" s="4">
        <f t="shared" si="1"/>
        <v>16000</v>
      </c>
      <c r="AE28" s="34">
        <f t="shared" si="2"/>
        <v>16000</v>
      </c>
      <c r="AF28" s="4">
        <f>VLOOKUP($A28,Master!$A$2:$K$52,8,0)</f>
        <v>6400</v>
      </c>
      <c r="AG28" s="4">
        <f>VLOOKUP($A28,Master!$A$2:$K$52,9,0)</f>
        <v>1600</v>
      </c>
      <c r="AH28" s="4">
        <f>VLOOKUP($A28,Master!$A$2:$K$52,10,0)</f>
        <v>800</v>
      </c>
      <c r="AI28" s="4">
        <f t="shared" si="3"/>
        <v>0</v>
      </c>
      <c r="AJ28" s="4">
        <f>IF($AO$1=$AO$1,SUMIFS(adv!$Q$3:$Q$52,adv!$M$3:$M$52,'S Sheet'!$A28,adv!$O$3:$O$52,'S Sheet'!$AO$1),0)</f>
        <v>0</v>
      </c>
      <c r="AK28" s="34">
        <f t="shared" si="4"/>
        <v>24800</v>
      </c>
      <c r="AL28" s="4">
        <f t="shared" si="8"/>
        <v>2112</v>
      </c>
      <c r="AM28" s="34">
        <f t="shared" si="9"/>
        <v>0</v>
      </c>
      <c r="AN28" s="34">
        <f t="shared" si="10"/>
        <v>0</v>
      </c>
      <c r="AO28" s="4">
        <f t="shared" si="11"/>
        <v>0</v>
      </c>
      <c r="AP28" s="36">
        <f t="shared" si="12"/>
        <v>22688</v>
      </c>
    </row>
    <row r="29" spans="1:42" ht="21" x14ac:dyDescent="0.25">
      <c r="A29" s="4" t="s">
        <v>52</v>
      </c>
      <c r="B29" s="4" t="str">
        <f>VLOOKUP($A29,Master!$A$2:$K$52,COLUMN(Master!B27),0)</f>
        <v>Employee26</v>
      </c>
      <c r="C29" s="4" t="str">
        <f>VLOOKUP($A29,Master!$A$2:$K$52,COLUMN(Master!C27),0)</f>
        <v>Female</v>
      </c>
      <c r="D29" s="26">
        <f>VLOOKUP($A29,Master!$A$2:$K$52,COLUMN(Master!D27),0)</f>
        <v>45126</v>
      </c>
      <c r="E29" s="4" t="str">
        <f>VLOOKUP($A29,Master!$A$2:$K$52,COLUMN(Master!E27),0)</f>
        <v>Production</v>
      </c>
      <c r="F29" s="4" t="str">
        <f>VLOOKUP($A29,Master!$A$2:$K$52,COLUMN(Master!F27),0)</f>
        <v>Operator</v>
      </c>
      <c r="G29" s="4" t="s">
        <v>386</v>
      </c>
      <c r="H29" s="4">
        <v>90875227496</v>
      </c>
      <c r="I29" s="4" t="s">
        <v>407</v>
      </c>
      <c r="J29" s="4">
        <f>VLOOKUP($A29,Master!$A$2:$K$52,COLUMN(Master!G27),0)</f>
        <v>14000</v>
      </c>
      <c r="K29" s="4">
        <f>VLOOKUP($A29,Master!$A$2:$K$52,COLUMN(Master!H27),0)</f>
        <v>5600</v>
      </c>
      <c r="L29" s="4">
        <f>VLOOKUP($A29,Master!$A$2:$K$52,COLUMN(Master!I27),0)</f>
        <v>1400</v>
      </c>
      <c r="M29" s="4">
        <f>VLOOKUP($A29,Master!$A$2:$K$52,COLUMN(Master!J27),0)</f>
        <v>700</v>
      </c>
      <c r="N29" s="4">
        <f>IF($AO$1="Jan",VLOOKUP($A29,jan!$A$5:$AU$54,46,0),IF('S Sheet'!$AO$1="Feb",VLOOKUP('S Sheet'!$A29,feb!$A$5:$AR$54,43,0),IF($AO$1="Mar",VLOOKUP($A29,mar!$A$5:$AU$54,46,0),IF($AO$1="Apr",VLOOKUP($A29,apr!$A$5:$AU$54,45,0),IF($AO$1="May",VLOOKUP($A29,may!$A$5:$AU$54,46,0),IF($AO$1="Jun",VLOOKUP($A29,jun!$A$5:$AU$54,45,0),IF($AO$1="Jul",VLOOKUP($A29,jul!$A$5:$AV$54,46,0),IF($AO$1="Aug",VLOOKUP($A29,aug!$A$5:$AU$54,46,0),IF($AO$1="Sep",VLOOKUP($A29,sep!$A$5:$AT$54,45,0),IF($AO$1="Oct",VLOOKUP($A29,oct!$A$5:$AU$54,46,0),IF($AO$1="Nov",VLOOKUP($A29,nov!$A$5:$AU$54,45,0),IF($AO$1="Dec",VLOOKUP($A29,dec!$A$5:$AU$54,46,0),""))))))))))))</f>
        <v>31</v>
      </c>
      <c r="O29" s="4">
        <f>IF($AO$1="Jan",VLOOKUP($A29,jan!$A$5:$AU$54,47,0),IF('S Sheet'!$AO$1="Feb",VLOOKUP('S Sheet'!$A29,feb!$A$5:$AR$54,44,0),IF($AO$1="Mar",VLOOKUP($A29,mar!$A$5:$AU$54,47,0),IF($AO$1="Apr",VLOOKUP($A29,apr!$A$5:$AU$54,46,0),IF($AO$1="May",VLOOKUP($A29,may!$A$5:$AU$54,47,0),IF($AO$1="Jun",VLOOKUP($A29,jun!$A$5:$AU$54,46,0),IF($AO$1="Jul",VLOOKUP($A29,jul!$A$5:$AV$54,47,0),IF($AO$1="Aug",VLOOKUP($A29,aug!$A$5:$AU$54,47,0),IF($AO$1="Sep",VLOOKUP($A29,sep!$A$5:$AT$54,46,0),IF($AO$1="Oct",VLOOKUP($A29,oct!$A$5:$AU$54,47,0),IF($AO$1="Nov",VLOOKUP($A29,nov!$A$5:$AU$54,46,0),IF($AO$1="Dec",VLOOKUP($A29,dec!$A$5:$AU$54,47,0),""))))))))))))</f>
        <v>30</v>
      </c>
      <c r="P29" s="4">
        <f>IF($AO$1="Jan",SUMIFS(holly!$L$3:$L$122,holly!$I$3:$I$122,'S Sheet'!$A29,holly!$K$3:$K$122,'S Sheet'!$AO$1),IF($AO$1="Feb",SUMIFS(holly!$L$3:$L$122,holly!$I$3:$I$122,'S Sheet'!$A29,holly!$K$3:$K$122,'S Sheet'!$AO$1),IF($AO$1="Mar",SUMIFS(holly!$L$3:$L$122,holly!$I$3:$I$122,'S Sheet'!$A29,holly!$K$3:$K$122,'S Sheet'!$AO$1),IF($AO$1="Apr",SUMIFS(holly!$L$3:$L$122,holly!$I$3:$I$122,'S Sheet'!$A29,holly!$K$3:$K$122,'S Sheet'!$AO$1),IF($AO$1="May",SUMIFS(holly!$L$3:$L$122,holly!$I$3:$I$122,'S Sheet'!$A29,holly!$K$3:$K$122,'S Sheet'!$AO$1),IF($AO$1="Jun",SUMIFS(holly!$L$3:$L$122,holly!$I$3:$I$122,'S Sheet'!$A29,holly!$K$3:$K$122,'S Sheet'!$AO$1),IF($AO$1="Jul",SUMIFS(holly!$L$3:$L$122,holly!$I$3:$I$122,'S Sheet'!$A29,holly!$K$3:$K$122,'S Sheet'!$AO$1),IF($AO$1="Aug",SUMIFS(holly!$L$3:$L$122,holly!$I$3:$I$122,'S Sheet'!$A29,holly!$K$3:$K$122,'S Sheet'!$AO$1),IF($AO$1="Sep",SUMIFS(holly!$L$3:$L$122,holly!$I$3:$I$122,'S Sheet'!$A29,holly!$K$3:$K$122,'S Sheet'!$AO$1),IF($AO$1="Oct",SUMIFS(holly!$L$3:$L$122,holly!$I$3:$I$122,'S Sheet'!$A29,holly!$K$3:$K$122,'S Sheet'!$AO$1),IF($AO$1="Nov",SUMIFS(holly!$L$3:$L$122,holly!$I$3:$I$122,'S Sheet'!$A29,holly!$K$3:$K$122,'S Sheet'!$AO$1),IF($AO$1="Dec",SUMIFS(holly!$L$3:$L$122,holly!$I$3:$I$122,'S Sheet'!$A29,holly!$K$3:$K$122,'S Sheet'!$AO$1),""))))))))))))</f>
        <v>0</v>
      </c>
      <c r="Q29" s="4">
        <f>IFERROR(VLOOKUP($A29,holly!$I$2:$O$122,5,0),0)</f>
        <v>100.96</v>
      </c>
      <c r="R29" s="4">
        <f>IF($AO$1="Jan",SUMIFS(adv!$Q$3:$Q$52,adv!$M$3:$M$52,'S Sheet'!$A29,adv!$O$3:$O$52,'S Sheet'!$AO$1),IF($AO$1="Feb",SUMIFS(adv!$Q$3:$Q$52,adv!$M$3:$M$52,'S Sheet'!$A29,adv!$O$3:$O$52,'S Sheet'!$AO$1),IF($AO$1="Mar",SUMIFS(adv!$Q$3:$Q$52,adv!$M$3:$M$52,'S Sheet'!$A29,adv!$O$3:$O$52,'S Sheet'!$AO$1),IF($AO$1="Apr",SUMIFS(adv!$Q$3:$Q$52,adv!$M$3:$M$52,'S Sheet'!$A29,adv!$O$3:$O$52,'S Sheet'!$AO$1),IF($AO$1="May",SUMIFS(adv!$Q$3:$Q$52,adv!$M$3:$M$52,'S Sheet'!$A29,adv!$O$3:$O$52,'S Sheet'!$AO$1),IF($AO$1="Jun",SUMIFS(adv!$Q$3:$Q$52,adv!$M$3:$M$52,'S Sheet'!$A29,adv!$O$3:$O$52,'S Sheet'!$AO$1),IF($AO$1="Jul",SUMIFS(adv!$Q$3:$Q$52,adv!$M$3:$M$52,'S Sheet'!$A29,adv!$O$3:$O$52,'S Sheet'!$AO$1),IF($AO$1="Aug",SUMIFS(adv!$Q$3:$Q$52,adv!$M$3:$M$52,'S Sheet'!$A29,adv!$O$3:$O$52,'S Sheet'!$AO$1),IF($AO$1="Sep",SUMIFS(adv!$Q$3:$Q$52,adv!$M$3:$M$52,'S Sheet'!$A29,adv!$O$3:$O$52,'S Sheet'!$AO$1),IF($AO$1="Oct",SUMIFS(adv!$Q$3:$Q$52,adv!$M$3:$M$52,'S Sheet'!$A29,adv!$O$3:$O$52,'S Sheet'!$AO$1),IF($AO$1="Nov",SUMIFS(adv!$Q$3:$Q$52,adv!$M$3:$M$52,'S Sheet'!$A29,adv!$O$3:$O$52,'S Sheet'!$AO$1),IF($AO$1="Dec",SUMIFS(adv!$Q$3:$Q$52,adv!$M$3:$M$52,'S Sheet'!$A29,adv!$O$3:$O$52,'S Sheet'!$AO$1),""))))))))))))</f>
        <v>0</v>
      </c>
      <c r="S29" s="4">
        <f>IF($AO$1="Jan",SUMIFS(loan!$O$3:$O$32,loan!$J$3:$J$32,'S Sheet'!$A29,loan!$L$3:$L$32,'S Sheet'!$AO$1),IF($AO$1="Feb",SUMIFS(loan!$O$3:$O$32,loan!$J$3:$J$32,'S Sheet'!$A29,loan!$L$3:$L$32,'S Sheet'!$AO$1),IF($AO$1="Mar",SUMIFS(loan!$O$3:$O$32,loan!$J$3:$J$32,'S Sheet'!$A29,loan!$L$3:$L$32,'S Sheet'!$AO$1),IF($AO$1="Apr",SUMIFS(loan!$O$3:$O$32,loan!$J$3:$J$32,'S Sheet'!$A29,loan!$L$3:$L$32,'S Sheet'!$AO$1),IF($AO$1="May",SUMIFS(loan!$O$3:$O$32,loan!$J$3:$J$32,'S Sheet'!$A29,loan!$L$3:$L$32,'S Sheet'!$AO$1),IF($AO$1="Jun",SUMIFS(loan!$O$3:$O$32,loan!$J$3:$J$32,'S Sheet'!$A29,loan!$L$3:$L$32,'S Sheet'!$AO$1),IF($AO$1="Jul",SUMIFS(loan!$O$3:$O$32,loan!$J$3:$J$32,'S Sheet'!$A29,loan!$L$3:$L$32,'S Sheet'!$AO$1),IF($AO$1="Aug",SUMIFS(loan!$O$3:$O$32,loan!$J$3:$J$32,'S Sheet'!$A29,loan!$L$3:$L$32,'S Sheet'!$AO$1),IF($AO$1="Sep",SUMIFS(loan!$O$3:$O$32,loan!$J$3:$J$32,'S Sheet'!$A29,loan!$L$3:$L$32,'S Sheet'!$AO$1),IF($AO$1="Oct",SUMIFS(loan!$O$3:$O$32,loan!$J$3:$J$32,'S Sheet'!$A29,loan!$L$3:$L$32,'S Sheet'!$AO$1),IF($AO$1="Nov",SUMIFS(loan!$O$3:$O$32,loan!$J$3:$J$32,'S Sheet'!$A29,loan!$L$3:$L$32,'S Sheet'!$AO$1),IF($AO$1="Dec",SUMIFS(loan!$O$3:$O$32,loan!$J$3:$J$32,'S Sheet'!$A29,loan!$L$3:$L$32,'S Sheet'!$AO$1),""))))))))))))</f>
        <v>0</v>
      </c>
      <c r="T29" s="4">
        <f>IFERROR(VLOOKUP($A29,loan!$A$2:$H$22,3,0),0)</f>
        <v>0</v>
      </c>
      <c r="U29" s="4">
        <f t="shared" si="5"/>
        <v>0</v>
      </c>
      <c r="V29" s="28" t="str">
        <f>IFERROR(VLOOKUP($A29,loan!$A$2:$H$22,2,0),"")</f>
        <v/>
      </c>
      <c r="W29" s="4">
        <f>IFERROR(VLOOKUP($A29,loan!$A$2:$H$22,5,0),0)</f>
        <v>0</v>
      </c>
      <c r="X29" s="4">
        <f t="shared" si="6"/>
        <v>0</v>
      </c>
      <c r="Y29" s="4">
        <f t="shared" si="7"/>
        <v>0</v>
      </c>
      <c r="Z29" s="29">
        <f t="shared" si="13"/>
        <v>0</v>
      </c>
      <c r="AA29" s="4">
        <f>IF('S Sheet'!$AO$1='S Sheet'!$AO$1,SUMIFS(adv!$E$3:$E$97,adv!$B$3:$B$97,'S Sheet'!$A29,adv!$D$3:$D$97,'S Sheet'!$AO$1),0)</f>
        <v>0</v>
      </c>
      <c r="AB29" s="4">
        <f>IF($AO$1=$AO$1,SUMIFS(adv!$H$3:$H$97,adv!$B$3:$B$97,'S Sheet'!$A29,adv!$D$3:$D$97,'S Sheet'!$AO$1),0)</f>
        <v>0</v>
      </c>
      <c r="AC29" s="29">
        <f t="shared" si="0"/>
        <v>0</v>
      </c>
      <c r="AD29" s="4">
        <f t="shared" si="1"/>
        <v>14000</v>
      </c>
      <c r="AE29" s="34">
        <f t="shared" si="2"/>
        <v>13548.387096774193</v>
      </c>
      <c r="AF29" s="4">
        <f>VLOOKUP($A29,Master!$A$2:$K$52,8,0)</f>
        <v>5600</v>
      </c>
      <c r="AG29" s="4">
        <f>VLOOKUP($A29,Master!$A$2:$K$52,9,0)</f>
        <v>1400</v>
      </c>
      <c r="AH29" s="4">
        <f>VLOOKUP($A29,Master!$A$2:$K$52,10,0)</f>
        <v>700</v>
      </c>
      <c r="AI29" s="4">
        <f t="shared" si="3"/>
        <v>0</v>
      </c>
      <c r="AJ29" s="4">
        <f>IF($AO$1=$AO$1,SUMIFS(adv!$Q$3:$Q$52,adv!$M$3:$M$52,'S Sheet'!$A29,adv!$O$3:$O$52,'S Sheet'!$AO$1),0)</f>
        <v>0</v>
      </c>
      <c r="AK29" s="34">
        <f t="shared" si="4"/>
        <v>21248.387096774193</v>
      </c>
      <c r="AL29" s="4">
        <f t="shared" si="8"/>
        <v>1848</v>
      </c>
      <c r="AM29" s="34">
        <f t="shared" si="9"/>
        <v>0</v>
      </c>
      <c r="AN29" s="34">
        <f t="shared" si="10"/>
        <v>0</v>
      </c>
      <c r="AO29" s="4">
        <f t="shared" si="11"/>
        <v>0</v>
      </c>
      <c r="AP29" s="36">
        <f t="shared" si="12"/>
        <v>19400.387096774193</v>
      </c>
    </row>
    <row r="30" spans="1:42" ht="21" x14ac:dyDescent="0.25">
      <c r="A30" s="4" t="s">
        <v>53</v>
      </c>
      <c r="B30" s="4" t="str">
        <f>VLOOKUP($A30,Master!$A$2:$K$52,COLUMN(Master!B28),0)</f>
        <v>Employee27</v>
      </c>
      <c r="C30" s="4" t="str">
        <f>VLOOKUP($A30,Master!$A$2:$K$52,COLUMN(Master!C28),0)</f>
        <v>Male</v>
      </c>
      <c r="D30" s="26">
        <f>VLOOKUP($A30,Master!$A$2:$K$52,COLUMN(Master!D28),0)</f>
        <v>45477</v>
      </c>
      <c r="E30" s="4" t="str">
        <f>VLOOKUP($A30,Master!$A$2:$K$52,COLUMN(Master!E28),0)</f>
        <v>Maintenance</v>
      </c>
      <c r="F30" s="4" t="str">
        <f>VLOOKUP($A30,Master!$A$2:$K$52,COLUMN(Master!F28),0)</f>
        <v>Fitter</v>
      </c>
      <c r="G30" s="4" t="s">
        <v>16</v>
      </c>
      <c r="H30" s="4">
        <v>47993127615</v>
      </c>
      <c r="I30" s="4" t="s">
        <v>408</v>
      </c>
      <c r="J30" s="4">
        <f>VLOOKUP($A30,Master!$A$2:$K$52,COLUMN(Master!G28),0)</f>
        <v>11000</v>
      </c>
      <c r="K30" s="4">
        <f>VLOOKUP($A30,Master!$A$2:$K$52,COLUMN(Master!H28),0)</f>
        <v>4400</v>
      </c>
      <c r="L30" s="4">
        <f>VLOOKUP($A30,Master!$A$2:$K$52,COLUMN(Master!I28),0)</f>
        <v>1100</v>
      </c>
      <c r="M30" s="4">
        <f>VLOOKUP($A30,Master!$A$2:$K$52,COLUMN(Master!J28),0)</f>
        <v>550</v>
      </c>
      <c r="N30" s="4">
        <f>IF($AO$1="Jan",VLOOKUP($A30,jan!$A$5:$AU$54,46,0),IF('S Sheet'!$AO$1="Feb",VLOOKUP('S Sheet'!$A30,feb!$A$5:$AR$54,43,0),IF($AO$1="Mar",VLOOKUP($A30,mar!$A$5:$AU$54,46,0),IF($AO$1="Apr",VLOOKUP($A30,apr!$A$5:$AU$54,45,0),IF($AO$1="May",VLOOKUP($A30,may!$A$5:$AU$54,46,0),IF($AO$1="Jun",VLOOKUP($A30,jun!$A$5:$AU$54,45,0),IF($AO$1="Jul",VLOOKUP($A30,jul!$A$5:$AV$54,46,0),IF($AO$1="Aug",VLOOKUP($A30,aug!$A$5:$AU$54,46,0),IF($AO$1="Sep",VLOOKUP($A30,sep!$A$5:$AT$54,45,0),IF($AO$1="Oct",VLOOKUP($A30,oct!$A$5:$AU$54,46,0),IF($AO$1="Nov",VLOOKUP($A30,nov!$A$5:$AU$54,45,0),IF($AO$1="Dec",VLOOKUP($A30,dec!$A$5:$AU$54,46,0),""))))))))))))</f>
        <v>31</v>
      </c>
      <c r="O30" s="4">
        <f>IF($AO$1="Jan",VLOOKUP($A30,jan!$A$5:$AU$54,47,0),IF('S Sheet'!$AO$1="Feb",VLOOKUP('S Sheet'!$A30,feb!$A$5:$AR$54,44,0),IF($AO$1="Mar",VLOOKUP($A30,mar!$A$5:$AU$54,47,0),IF($AO$1="Apr",VLOOKUP($A30,apr!$A$5:$AU$54,46,0),IF($AO$1="May",VLOOKUP($A30,may!$A$5:$AU$54,47,0),IF($AO$1="Jun",VLOOKUP($A30,jun!$A$5:$AU$54,46,0),IF($AO$1="Jul",VLOOKUP($A30,jul!$A$5:$AV$54,47,0),IF($AO$1="Aug",VLOOKUP($A30,aug!$A$5:$AU$54,47,0),IF($AO$1="Sep",VLOOKUP($A30,sep!$A$5:$AT$54,46,0),IF($AO$1="Oct",VLOOKUP($A30,oct!$A$5:$AU$54,47,0),IF($AO$1="Nov",VLOOKUP($A30,nov!$A$5:$AU$54,46,0),IF($AO$1="Dec",VLOOKUP($A30,dec!$A$5:$AU$54,47,0),""))))))))))))</f>
        <v>29</v>
      </c>
      <c r="P30" s="4">
        <f>IF($AO$1="Jan",SUMIFS(holly!$L$3:$L$122,holly!$I$3:$I$122,'S Sheet'!$A30,holly!$K$3:$K$122,'S Sheet'!$AO$1),IF($AO$1="Feb",SUMIFS(holly!$L$3:$L$122,holly!$I$3:$I$122,'S Sheet'!$A30,holly!$K$3:$K$122,'S Sheet'!$AO$1),IF($AO$1="Mar",SUMIFS(holly!$L$3:$L$122,holly!$I$3:$I$122,'S Sheet'!$A30,holly!$K$3:$K$122,'S Sheet'!$AO$1),IF($AO$1="Apr",SUMIFS(holly!$L$3:$L$122,holly!$I$3:$I$122,'S Sheet'!$A30,holly!$K$3:$K$122,'S Sheet'!$AO$1),IF($AO$1="May",SUMIFS(holly!$L$3:$L$122,holly!$I$3:$I$122,'S Sheet'!$A30,holly!$K$3:$K$122,'S Sheet'!$AO$1),IF($AO$1="Jun",SUMIFS(holly!$L$3:$L$122,holly!$I$3:$I$122,'S Sheet'!$A30,holly!$K$3:$K$122,'S Sheet'!$AO$1),IF($AO$1="Jul",SUMIFS(holly!$L$3:$L$122,holly!$I$3:$I$122,'S Sheet'!$A30,holly!$K$3:$K$122,'S Sheet'!$AO$1),IF($AO$1="Aug",SUMIFS(holly!$L$3:$L$122,holly!$I$3:$I$122,'S Sheet'!$A30,holly!$K$3:$K$122,'S Sheet'!$AO$1),IF($AO$1="Sep",SUMIFS(holly!$L$3:$L$122,holly!$I$3:$I$122,'S Sheet'!$A30,holly!$K$3:$K$122,'S Sheet'!$AO$1),IF($AO$1="Oct",SUMIFS(holly!$L$3:$L$122,holly!$I$3:$I$122,'S Sheet'!$A30,holly!$K$3:$K$122,'S Sheet'!$AO$1),IF($AO$1="Nov",SUMIFS(holly!$L$3:$L$122,holly!$I$3:$I$122,'S Sheet'!$A30,holly!$K$3:$K$122,'S Sheet'!$AO$1),IF($AO$1="Dec",SUMIFS(holly!$L$3:$L$122,holly!$I$3:$I$122,'S Sheet'!$A30,holly!$K$3:$K$122,'S Sheet'!$AO$1),""))))))))))))</f>
        <v>4</v>
      </c>
      <c r="Q30" s="4">
        <f>IFERROR(VLOOKUP($A30,holly!$I$2:$O$122,5,0),0)</f>
        <v>79.33</v>
      </c>
      <c r="R30" s="4">
        <f>IF($AO$1="Jan",SUMIFS(adv!$Q$3:$Q$52,adv!$M$3:$M$52,'S Sheet'!$A30,adv!$O$3:$O$52,'S Sheet'!$AO$1),IF($AO$1="Feb",SUMIFS(adv!$Q$3:$Q$52,adv!$M$3:$M$52,'S Sheet'!$A30,adv!$O$3:$O$52,'S Sheet'!$AO$1),IF($AO$1="Mar",SUMIFS(adv!$Q$3:$Q$52,adv!$M$3:$M$52,'S Sheet'!$A30,adv!$O$3:$O$52,'S Sheet'!$AO$1),IF($AO$1="Apr",SUMIFS(adv!$Q$3:$Q$52,adv!$M$3:$M$52,'S Sheet'!$A30,adv!$O$3:$O$52,'S Sheet'!$AO$1),IF($AO$1="May",SUMIFS(adv!$Q$3:$Q$52,adv!$M$3:$M$52,'S Sheet'!$A30,adv!$O$3:$O$52,'S Sheet'!$AO$1),IF($AO$1="Jun",SUMIFS(adv!$Q$3:$Q$52,adv!$M$3:$M$52,'S Sheet'!$A30,adv!$O$3:$O$52,'S Sheet'!$AO$1),IF($AO$1="Jul",SUMIFS(adv!$Q$3:$Q$52,adv!$M$3:$M$52,'S Sheet'!$A30,adv!$O$3:$O$52,'S Sheet'!$AO$1),IF($AO$1="Aug",SUMIFS(adv!$Q$3:$Q$52,adv!$M$3:$M$52,'S Sheet'!$A30,adv!$O$3:$O$52,'S Sheet'!$AO$1),IF($AO$1="Sep",SUMIFS(adv!$Q$3:$Q$52,adv!$M$3:$M$52,'S Sheet'!$A30,adv!$O$3:$O$52,'S Sheet'!$AO$1),IF($AO$1="Oct",SUMIFS(adv!$Q$3:$Q$52,adv!$M$3:$M$52,'S Sheet'!$A30,adv!$O$3:$O$52,'S Sheet'!$AO$1),IF($AO$1="Nov",SUMIFS(adv!$Q$3:$Q$52,adv!$M$3:$M$52,'S Sheet'!$A30,adv!$O$3:$O$52,'S Sheet'!$AO$1),IF($AO$1="Dec",SUMIFS(adv!$Q$3:$Q$52,adv!$M$3:$M$52,'S Sheet'!$A30,adv!$O$3:$O$52,'S Sheet'!$AO$1),""))))))))))))</f>
        <v>1500</v>
      </c>
      <c r="S30" s="4">
        <f>IF($AO$1="Jan",SUMIFS(loan!$O$3:$O$32,loan!$J$3:$J$32,'S Sheet'!$A30,loan!$L$3:$L$32,'S Sheet'!$AO$1),IF($AO$1="Feb",SUMIFS(loan!$O$3:$O$32,loan!$J$3:$J$32,'S Sheet'!$A30,loan!$L$3:$L$32,'S Sheet'!$AO$1),IF($AO$1="Mar",SUMIFS(loan!$O$3:$O$32,loan!$J$3:$J$32,'S Sheet'!$A30,loan!$L$3:$L$32,'S Sheet'!$AO$1),IF($AO$1="Apr",SUMIFS(loan!$O$3:$O$32,loan!$J$3:$J$32,'S Sheet'!$A30,loan!$L$3:$L$32,'S Sheet'!$AO$1),IF($AO$1="May",SUMIFS(loan!$O$3:$O$32,loan!$J$3:$J$32,'S Sheet'!$A30,loan!$L$3:$L$32,'S Sheet'!$AO$1),IF($AO$1="Jun",SUMIFS(loan!$O$3:$O$32,loan!$J$3:$J$32,'S Sheet'!$A30,loan!$L$3:$L$32,'S Sheet'!$AO$1),IF($AO$1="Jul",SUMIFS(loan!$O$3:$O$32,loan!$J$3:$J$32,'S Sheet'!$A30,loan!$L$3:$L$32,'S Sheet'!$AO$1),IF($AO$1="Aug",SUMIFS(loan!$O$3:$O$32,loan!$J$3:$J$32,'S Sheet'!$A30,loan!$L$3:$L$32,'S Sheet'!$AO$1),IF($AO$1="Sep",SUMIFS(loan!$O$3:$O$32,loan!$J$3:$J$32,'S Sheet'!$A30,loan!$L$3:$L$32,'S Sheet'!$AO$1),IF($AO$1="Oct",SUMIFS(loan!$O$3:$O$32,loan!$J$3:$J$32,'S Sheet'!$A30,loan!$L$3:$L$32,'S Sheet'!$AO$1),IF($AO$1="Nov",SUMIFS(loan!$O$3:$O$32,loan!$J$3:$J$32,'S Sheet'!$A30,loan!$L$3:$L$32,'S Sheet'!$AO$1),IF($AO$1="Dec",SUMIFS(loan!$O$3:$O$32,loan!$J$3:$J$32,'S Sheet'!$A30,loan!$L$3:$L$32,'S Sheet'!$AO$1),""))))))))))))</f>
        <v>0</v>
      </c>
      <c r="T30" s="4">
        <f>IFERROR(VLOOKUP($A30,loan!$A$2:$H$22,3,0),0)</f>
        <v>0</v>
      </c>
      <c r="U30" s="4">
        <f t="shared" si="5"/>
        <v>0</v>
      </c>
      <c r="V30" s="28" t="str">
        <f>IFERROR(VLOOKUP($A30,loan!$A$2:$H$22,2,0),"")</f>
        <v/>
      </c>
      <c r="W30" s="4">
        <f>IFERROR(VLOOKUP($A30,loan!$A$2:$H$22,5,0),0)</f>
        <v>0</v>
      </c>
      <c r="X30" s="4">
        <f t="shared" si="6"/>
        <v>0</v>
      </c>
      <c r="Y30" s="4">
        <f t="shared" si="7"/>
        <v>0</v>
      </c>
      <c r="Z30" s="29">
        <f t="shared" si="13"/>
        <v>0</v>
      </c>
      <c r="AA30" s="4">
        <f>IF('S Sheet'!$AO$1='S Sheet'!$AO$1,SUMIFS(adv!$E$3:$E$97,adv!$B$3:$B$97,'S Sheet'!$A30,adv!$D$3:$D$97,'S Sheet'!$AO$1),0)</f>
        <v>0</v>
      </c>
      <c r="AB30" s="4">
        <f>IF($AO$1=$AO$1,SUMIFS(adv!$H$3:$H$97,adv!$B$3:$B$97,'S Sheet'!$A30,adv!$D$3:$D$97,'S Sheet'!$AO$1),0)</f>
        <v>0</v>
      </c>
      <c r="AC30" s="29">
        <f t="shared" si="0"/>
        <v>0</v>
      </c>
      <c r="AD30" s="4">
        <f t="shared" si="1"/>
        <v>11000</v>
      </c>
      <c r="AE30" s="34">
        <f t="shared" si="2"/>
        <v>10290.322580645161</v>
      </c>
      <c r="AF30" s="4">
        <f>VLOOKUP($A30,Master!$A$2:$K$52,8,0)</f>
        <v>4400</v>
      </c>
      <c r="AG30" s="4">
        <f>VLOOKUP($A30,Master!$A$2:$K$52,9,0)</f>
        <v>1100</v>
      </c>
      <c r="AH30" s="4">
        <f>VLOOKUP($A30,Master!$A$2:$K$52,10,0)</f>
        <v>550</v>
      </c>
      <c r="AI30" s="4">
        <f t="shared" si="3"/>
        <v>317.32</v>
      </c>
      <c r="AJ30" s="4">
        <f>IF($AO$1=$AO$1,SUMIFS(adv!$Q$3:$Q$52,adv!$M$3:$M$52,'S Sheet'!$A30,adv!$O$3:$O$52,'S Sheet'!$AO$1),0)</f>
        <v>1500</v>
      </c>
      <c r="AK30" s="34">
        <f t="shared" si="4"/>
        <v>18157.642580645163</v>
      </c>
      <c r="AL30" s="4">
        <f t="shared" si="8"/>
        <v>1452</v>
      </c>
      <c r="AM30" s="34">
        <f t="shared" si="9"/>
        <v>136.18231935483871</v>
      </c>
      <c r="AN30" s="34">
        <f t="shared" si="10"/>
        <v>0</v>
      </c>
      <c r="AO30" s="4">
        <f t="shared" si="11"/>
        <v>0</v>
      </c>
      <c r="AP30" s="36">
        <f t="shared" si="12"/>
        <v>16569.460261290325</v>
      </c>
    </row>
    <row r="31" spans="1:42" ht="21" x14ac:dyDescent="0.25">
      <c r="A31" s="4" t="s">
        <v>55</v>
      </c>
      <c r="B31" s="4" t="str">
        <f>VLOOKUP($A31,Master!$A$2:$K$52,COLUMN(Master!B29),0)</f>
        <v>Employee28</v>
      </c>
      <c r="C31" s="4" t="str">
        <f>VLOOKUP($A31,Master!$A$2:$K$52,COLUMN(Master!C29),0)</f>
        <v>Male</v>
      </c>
      <c r="D31" s="26">
        <f>VLOOKUP($A31,Master!$A$2:$K$52,COLUMN(Master!D29),0)</f>
        <v>44962</v>
      </c>
      <c r="E31" s="4" t="str">
        <f>VLOOKUP($A31,Master!$A$2:$K$52,COLUMN(Master!E29),0)</f>
        <v>Warehouse</v>
      </c>
      <c r="F31" s="4" t="str">
        <f>VLOOKUP($A31,Master!$A$2:$K$52,COLUMN(Master!F29),0)</f>
        <v>Store Assistant</v>
      </c>
      <c r="G31" s="4" t="s">
        <v>25</v>
      </c>
      <c r="H31" s="4">
        <v>83811866056</v>
      </c>
      <c r="I31" s="4" t="s">
        <v>409</v>
      </c>
      <c r="J31" s="4">
        <f>VLOOKUP($A31,Master!$A$2:$K$52,COLUMN(Master!G29),0)</f>
        <v>12000</v>
      </c>
      <c r="K31" s="4">
        <f>VLOOKUP($A31,Master!$A$2:$K$52,COLUMN(Master!H29),0)</f>
        <v>4800</v>
      </c>
      <c r="L31" s="4">
        <f>VLOOKUP($A31,Master!$A$2:$K$52,COLUMN(Master!I29),0)</f>
        <v>1200</v>
      </c>
      <c r="M31" s="4">
        <f>VLOOKUP($A31,Master!$A$2:$K$52,COLUMN(Master!J29),0)</f>
        <v>600</v>
      </c>
      <c r="N31" s="4">
        <f>IF($AO$1="Jan",VLOOKUP($A31,jan!$A$5:$AU$54,46,0),IF('S Sheet'!$AO$1="Feb",VLOOKUP('S Sheet'!$A31,feb!$A$5:$AR$54,43,0),IF($AO$1="Mar",VLOOKUP($A31,mar!$A$5:$AU$54,46,0),IF($AO$1="Apr",VLOOKUP($A31,apr!$A$5:$AU$54,45,0),IF($AO$1="May",VLOOKUP($A31,may!$A$5:$AU$54,46,0),IF($AO$1="Jun",VLOOKUP($A31,jun!$A$5:$AU$54,45,0),IF($AO$1="Jul",VLOOKUP($A31,jul!$A$5:$AV$54,46,0),IF($AO$1="Aug",VLOOKUP($A31,aug!$A$5:$AU$54,46,0),IF($AO$1="Sep",VLOOKUP($A31,sep!$A$5:$AT$54,45,0),IF($AO$1="Oct",VLOOKUP($A31,oct!$A$5:$AU$54,46,0),IF($AO$1="Nov",VLOOKUP($A31,nov!$A$5:$AU$54,45,0),IF($AO$1="Dec",VLOOKUP($A31,dec!$A$5:$AU$54,46,0),""))))))))))))</f>
        <v>31</v>
      </c>
      <c r="O31" s="4">
        <f>IF($AO$1="Jan",VLOOKUP($A31,jan!$A$5:$AU$54,47,0),IF('S Sheet'!$AO$1="Feb",VLOOKUP('S Sheet'!$A31,feb!$A$5:$AR$54,44,0),IF($AO$1="Mar",VLOOKUP($A31,mar!$A$5:$AU$54,47,0),IF($AO$1="Apr",VLOOKUP($A31,apr!$A$5:$AU$54,46,0),IF($AO$1="May",VLOOKUP($A31,may!$A$5:$AU$54,47,0),IF($AO$1="Jun",VLOOKUP($A31,jun!$A$5:$AU$54,46,0),IF($AO$1="Jul",VLOOKUP($A31,jul!$A$5:$AV$54,47,0),IF($AO$1="Aug",VLOOKUP($A31,aug!$A$5:$AU$54,47,0),IF($AO$1="Sep",VLOOKUP($A31,sep!$A$5:$AT$54,46,0),IF($AO$1="Oct",VLOOKUP($A31,oct!$A$5:$AU$54,47,0),IF($AO$1="Nov",VLOOKUP($A31,nov!$A$5:$AU$54,46,0),IF($AO$1="Dec",VLOOKUP($A31,dec!$A$5:$AU$54,47,0),""))))))))))))</f>
        <v>31</v>
      </c>
      <c r="P31" s="4">
        <f>IF($AO$1="Jan",SUMIFS(holly!$L$3:$L$122,holly!$I$3:$I$122,'S Sheet'!$A31,holly!$K$3:$K$122,'S Sheet'!$AO$1),IF($AO$1="Feb",SUMIFS(holly!$L$3:$L$122,holly!$I$3:$I$122,'S Sheet'!$A31,holly!$K$3:$K$122,'S Sheet'!$AO$1),IF($AO$1="Mar",SUMIFS(holly!$L$3:$L$122,holly!$I$3:$I$122,'S Sheet'!$A31,holly!$K$3:$K$122,'S Sheet'!$AO$1),IF($AO$1="Apr",SUMIFS(holly!$L$3:$L$122,holly!$I$3:$I$122,'S Sheet'!$A31,holly!$K$3:$K$122,'S Sheet'!$AO$1),IF($AO$1="May",SUMIFS(holly!$L$3:$L$122,holly!$I$3:$I$122,'S Sheet'!$A31,holly!$K$3:$K$122,'S Sheet'!$AO$1),IF($AO$1="Jun",SUMIFS(holly!$L$3:$L$122,holly!$I$3:$I$122,'S Sheet'!$A31,holly!$K$3:$K$122,'S Sheet'!$AO$1),IF($AO$1="Jul",SUMIFS(holly!$L$3:$L$122,holly!$I$3:$I$122,'S Sheet'!$A31,holly!$K$3:$K$122,'S Sheet'!$AO$1),IF($AO$1="Aug",SUMIFS(holly!$L$3:$L$122,holly!$I$3:$I$122,'S Sheet'!$A31,holly!$K$3:$K$122,'S Sheet'!$AO$1),IF($AO$1="Sep",SUMIFS(holly!$L$3:$L$122,holly!$I$3:$I$122,'S Sheet'!$A31,holly!$K$3:$K$122,'S Sheet'!$AO$1),IF($AO$1="Oct",SUMIFS(holly!$L$3:$L$122,holly!$I$3:$I$122,'S Sheet'!$A31,holly!$K$3:$K$122,'S Sheet'!$AO$1),IF($AO$1="Nov",SUMIFS(holly!$L$3:$L$122,holly!$I$3:$I$122,'S Sheet'!$A31,holly!$K$3:$K$122,'S Sheet'!$AO$1),IF($AO$1="Dec",SUMIFS(holly!$L$3:$L$122,holly!$I$3:$I$122,'S Sheet'!$A31,holly!$K$3:$K$122,'S Sheet'!$AO$1),""))))))))))))</f>
        <v>0</v>
      </c>
      <c r="Q31" s="4">
        <f>IFERROR(VLOOKUP($A31,holly!$I$2:$O$122,5,0),0)</f>
        <v>86.54</v>
      </c>
      <c r="R31" s="4">
        <f>IF($AO$1="Jan",SUMIFS(adv!$Q$3:$Q$52,adv!$M$3:$M$52,'S Sheet'!$A31,adv!$O$3:$O$52,'S Sheet'!$AO$1),IF($AO$1="Feb",SUMIFS(adv!$Q$3:$Q$52,adv!$M$3:$M$52,'S Sheet'!$A31,adv!$O$3:$O$52,'S Sheet'!$AO$1),IF($AO$1="Mar",SUMIFS(adv!$Q$3:$Q$52,adv!$M$3:$M$52,'S Sheet'!$A31,adv!$O$3:$O$52,'S Sheet'!$AO$1),IF($AO$1="Apr",SUMIFS(adv!$Q$3:$Q$52,adv!$M$3:$M$52,'S Sheet'!$A31,adv!$O$3:$O$52,'S Sheet'!$AO$1),IF($AO$1="May",SUMIFS(adv!$Q$3:$Q$52,adv!$M$3:$M$52,'S Sheet'!$A31,adv!$O$3:$O$52,'S Sheet'!$AO$1),IF($AO$1="Jun",SUMIFS(adv!$Q$3:$Q$52,adv!$M$3:$M$52,'S Sheet'!$A31,adv!$O$3:$O$52,'S Sheet'!$AO$1),IF($AO$1="Jul",SUMIFS(adv!$Q$3:$Q$52,adv!$M$3:$M$52,'S Sheet'!$A31,adv!$O$3:$O$52,'S Sheet'!$AO$1),IF($AO$1="Aug",SUMIFS(adv!$Q$3:$Q$52,adv!$M$3:$M$52,'S Sheet'!$A31,adv!$O$3:$O$52,'S Sheet'!$AO$1),IF($AO$1="Sep",SUMIFS(adv!$Q$3:$Q$52,adv!$M$3:$M$52,'S Sheet'!$A31,adv!$O$3:$O$52,'S Sheet'!$AO$1),IF($AO$1="Oct",SUMIFS(adv!$Q$3:$Q$52,adv!$M$3:$M$52,'S Sheet'!$A31,adv!$O$3:$O$52,'S Sheet'!$AO$1),IF($AO$1="Nov",SUMIFS(adv!$Q$3:$Q$52,adv!$M$3:$M$52,'S Sheet'!$A31,adv!$O$3:$O$52,'S Sheet'!$AO$1),IF($AO$1="Dec",SUMIFS(adv!$Q$3:$Q$52,adv!$M$3:$M$52,'S Sheet'!$A31,adv!$O$3:$O$52,'S Sheet'!$AO$1),""))))))))))))</f>
        <v>2500</v>
      </c>
      <c r="S31" s="4">
        <f>IF($AO$1="Jan",SUMIFS(loan!$O$3:$O$32,loan!$J$3:$J$32,'S Sheet'!$A31,loan!$L$3:$L$32,'S Sheet'!$AO$1),IF($AO$1="Feb",SUMIFS(loan!$O$3:$O$32,loan!$J$3:$J$32,'S Sheet'!$A31,loan!$L$3:$L$32,'S Sheet'!$AO$1),IF($AO$1="Mar",SUMIFS(loan!$O$3:$O$32,loan!$J$3:$J$32,'S Sheet'!$A31,loan!$L$3:$L$32,'S Sheet'!$AO$1),IF($AO$1="Apr",SUMIFS(loan!$O$3:$O$32,loan!$J$3:$J$32,'S Sheet'!$A31,loan!$L$3:$L$32,'S Sheet'!$AO$1),IF($AO$1="May",SUMIFS(loan!$O$3:$O$32,loan!$J$3:$J$32,'S Sheet'!$A31,loan!$L$3:$L$32,'S Sheet'!$AO$1),IF($AO$1="Jun",SUMIFS(loan!$O$3:$O$32,loan!$J$3:$J$32,'S Sheet'!$A31,loan!$L$3:$L$32,'S Sheet'!$AO$1),IF($AO$1="Jul",SUMIFS(loan!$O$3:$O$32,loan!$J$3:$J$32,'S Sheet'!$A31,loan!$L$3:$L$32,'S Sheet'!$AO$1),IF($AO$1="Aug",SUMIFS(loan!$O$3:$O$32,loan!$J$3:$J$32,'S Sheet'!$A31,loan!$L$3:$L$32,'S Sheet'!$AO$1),IF($AO$1="Sep",SUMIFS(loan!$O$3:$O$32,loan!$J$3:$J$32,'S Sheet'!$A31,loan!$L$3:$L$32,'S Sheet'!$AO$1),IF($AO$1="Oct",SUMIFS(loan!$O$3:$O$32,loan!$J$3:$J$32,'S Sheet'!$A31,loan!$L$3:$L$32,'S Sheet'!$AO$1),IF($AO$1="Nov",SUMIFS(loan!$O$3:$O$32,loan!$J$3:$J$32,'S Sheet'!$A31,loan!$L$3:$L$32,'S Sheet'!$AO$1),IF($AO$1="Dec",SUMIFS(loan!$O$3:$O$32,loan!$J$3:$J$32,'S Sheet'!$A31,loan!$L$3:$L$32,'S Sheet'!$AO$1),""))))))))))))</f>
        <v>0</v>
      </c>
      <c r="T31" s="4">
        <f>IFERROR(VLOOKUP($A31,loan!$A$2:$H$22,3,0),0)</f>
        <v>75000</v>
      </c>
      <c r="U31" s="4">
        <f t="shared" si="5"/>
        <v>3125</v>
      </c>
      <c r="V31" s="28">
        <f>IFERROR(VLOOKUP($A31,loan!$A$2:$H$22,2,0),"")</f>
        <v>45797</v>
      </c>
      <c r="W31" s="4">
        <f>IFERROR(VLOOKUP($A31,loan!$A$2:$H$22,5,0),0)</f>
        <v>24</v>
      </c>
      <c r="X31" s="4">
        <f t="shared" si="6"/>
        <v>16</v>
      </c>
      <c r="Y31" s="4">
        <f t="shared" si="7"/>
        <v>8</v>
      </c>
      <c r="Z31" s="29">
        <f t="shared" si="13"/>
        <v>25000</v>
      </c>
      <c r="AA31" s="4">
        <f>IF('S Sheet'!$AO$1='S Sheet'!$AO$1,SUMIFS(adv!$E$3:$E$97,adv!$B$3:$B$97,'S Sheet'!$A31,adv!$D$3:$D$97,'S Sheet'!$AO$1),0)</f>
        <v>0</v>
      </c>
      <c r="AB31" s="4">
        <f>IF($AO$1=$AO$1,SUMIFS(adv!$H$3:$H$97,adv!$B$3:$B$97,'S Sheet'!$A31,adv!$D$3:$D$97,'S Sheet'!$AO$1),0)</f>
        <v>0</v>
      </c>
      <c r="AC31" s="29">
        <f t="shared" si="0"/>
        <v>0</v>
      </c>
      <c r="AD31" s="4">
        <f t="shared" si="1"/>
        <v>12000</v>
      </c>
      <c r="AE31" s="34">
        <f t="shared" si="2"/>
        <v>12000</v>
      </c>
      <c r="AF31" s="4">
        <f>VLOOKUP($A31,Master!$A$2:$K$52,8,0)</f>
        <v>4800</v>
      </c>
      <c r="AG31" s="4">
        <f>VLOOKUP($A31,Master!$A$2:$K$52,9,0)</f>
        <v>1200</v>
      </c>
      <c r="AH31" s="4">
        <f>VLOOKUP($A31,Master!$A$2:$K$52,10,0)</f>
        <v>600</v>
      </c>
      <c r="AI31" s="4">
        <f t="shared" si="3"/>
        <v>0</v>
      </c>
      <c r="AJ31" s="4">
        <f>IF($AO$1=$AO$1,SUMIFS(adv!$Q$3:$Q$52,adv!$M$3:$M$52,'S Sheet'!$A31,adv!$O$3:$O$52,'S Sheet'!$AO$1),0)</f>
        <v>2500</v>
      </c>
      <c r="AK31" s="34">
        <f t="shared" si="4"/>
        <v>21100</v>
      </c>
      <c r="AL31" s="4">
        <f t="shared" si="8"/>
        <v>1584</v>
      </c>
      <c r="AM31" s="34">
        <f t="shared" si="9"/>
        <v>0</v>
      </c>
      <c r="AN31" s="34">
        <f t="shared" si="10"/>
        <v>3125</v>
      </c>
      <c r="AO31" s="4">
        <f t="shared" si="11"/>
        <v>0</v>
      </c>
      <c r="AP31" s="36">
        <f t="shared" si="12"/>
        <v>16391</v>
      </c>
    </row>
    <row r="32" spans="1:42" ht="21" x14ac:dyDescent="0.25">
      <c r="A32" s="4" t="s">
        <v>56</v>
      </c>
      <c r="B32" s="4" t="str">
        <f>VLOOKUP($A32,Master!$A$2:$K$52,COLUMN(Master!B30),0)</f>
        <v>Employee29</v>
      </c>
      <c r="C32" s="4" t="str">
        <f>VLOOKUP($A32,Master!$A$2:$K$52,COLUMN(Master!C30),0)</f>
        <v>Male</v>
      </c>
      <c r="D32" s="26">
        <f>VLOOKUP($A32,Master!$A$2:$K$52,COLUMN(Master!D30),0)</f>
        <v>45423</v>
      </c>
      <c r="E32" s="4" t="str">
        <f>VLOOKUP($A32,Master!$A$2:$K$52,COLUMN(Master!E30),0)</f>
        <v>IT</v>
      </c>
      <c r="F32" s="4" t="str">
        <f>VLOOKUP($A32,Master!$A$2:$K$52,COLUMN(Master!F30),0)</f>
        <v>IT Support Executive</v>
      </c>
      <c r="G32" s="4" t="s">
        <v>25</v>
      </c>
      <c r="H32" s="4">
        <v>55153807403</v>
      </c>
      <c r="I32" s="4" t="s">
        <v>410</v>
      </c>
      <c r="J32" s="4">
        <f>VLOOKUP($A32,Master!$A$2:$K$52,COLUMN(Master!G30),0)</f>
        <v>16000</v>
      </c>
      <c r="K32" s="4">
        <f>VLOOKUP($A32,Master!$A$2:$K$52,COLUMN(Master!H30),0)</f>
        <v>6400</v>
      </c>
      <c r="L32" s="4">
        <f>VLOOKUP($A32,Master!$A$2:$K$52,COLUMN(Master!I30),0)</f>
        <v>1600</v>
      </c>
      <c r="M32" s="4">
        <f>VLOOKUP($A32,Master!$A$2:$K$52,COLUMN(Master!J30),0)</f>
        <v>800</v>
      </c>
      <c r="N32" s="4">
        <f>IF($AO$1="Jan",VLOOKUP($A32,jan!$A$5:$AU$54,46,0),IF('S Sheet'!$AO$1="Feb",VLOOKUP('S Sheet'!$A32,feb!$A$5:$AR$54,43,0),IF($AO$1="Mar",VLOOKUP($A32,mar!$A$5:$AU$54,46,0),IF($AO$1="Apr",VLOOKUP($A32,apr!$A$5:$AU$54,45,0),IF($AO$1="May",VLOOKUP($A32,may!$A$5:$AU$54,46,0),IF($AO$1="Jun",VLOOKUP($A32,jun!$A$5:$AU$54,45,0),IF($AO$1="Jul",VLOOKUP($A32,jul!$A$5:$AV$54,46,0),IF($AO$1="Aug",VLOOKUP($A32,aug!$A$5:$AU$54,46,0),IF($AO$1="Sep",VLOOKUP($A32,sep!$A$5:$AT$54,45,0),IF($AO$1="Oct",VLOOKUP($A32,oct!$A$5:$AU$54,46,0),IF($AO$1="Nov",VLOOKUP($A32,nov!$A$5:$AU$54,45,0),IF($AO$1="Dec",VLOOKUP($A32,dec!$A$5:$AU$54,46,0),""))))))))))))</f>
        <v>31</v>
      </c>
      <c r="O32" s="4">
        <f>IF($AO$1="Jan",VLOOKUP($A32,jan!$A$5:$AU$54,47,0),IF('S Sheet'!$AO$1="Feb",VLOOKUP('S Sheet'!$A32,feb!$A$5:$AR$54,44,0),IF($AO$1="Mar",VLOOKUP($A32,mar!$A$5:$AU$54,47,0),IF($AO$1="Apr",VLOOKUP($A32,apr!$A$5:$AU$54,46,0),IF($AO$1="May",VLOOKUP($A32,may!$A$5:$AU$54,47,0),IF($AO$1="Jun",VLOOKUP($A32,jun!$A$5:$AU$54,46,0),IF($AO$1="Jul",VLOOKUP($A32,jul!$A$5:$AV$54,47,0),IF($AO$1="Aug",VLOOKUP($A32,aug!$A$5:$AU$54,47,0),IF($AO$1="Sep",VLOOKUP($A32,sep!$A$5:$AT$54,46,0),IF($AO$1="Oct",VLOOKUP($A32,oct!$A$5:$AU$54,47,0),IF($AO$1="Nov",VLOOKUP($A32,nov!$A$5:$AU$54,46,0),IF($AO$1="Dec",VLOOKUP($A32,dec!$A$5:$AU$54,47,0),""))))))))))))</f>
        <v>31</v>
      </c>
      <c r="P32" s="4">
        <f>IF($AO$1="Jan",SUMIFS(holly!$L$3:$L$122,holly!$I$3:$I$122,'S Sheet'!$A32,holly!$K$3:$K$122,'S Sheet'!$AO$1),IF($AO$1="Feb",SUMIFS(holly!$L$3:$L$122,holly!$I$3:$I$122,'S Sheet'!$A32,holly!$K$3:$K$122,'S Sheet'!$AO$1),IF($AO$1="Mar",SUMIFS(holly!$L$3:$L$122,holly!$I$3:$I$122,'S Sheet'!$A32,holly!$K$3:$K$122,'S Sheet'!$AO$1),IF($AO$1="Apr",SUMIFS(holly!$L$3:$L$122,holly!$I$3:$I$122,'S Sheet'!$A32,holly!$K$3:$K$122,'S Sheet'!$AO$1),IF($AO$1="May",SUMIFS(holly!$L$3:$L$122,holly!$I$3:$I$122,'S Sheet'!$A32,holly!$K$3:$K$122,'S Sheet'!$AO$1),IF($AO$1="Jun",SUMIFS(holly!$L$3:$L$122,holly!$I$3:$I$122,'S Sheet'!$A32,holly!$K$3:$K$122,'S Sheet'!$AO$1),IF($AO$1="Jul",SUMIFS(holly!$L$3:$L$122,holly!$I$3:$I$122,'S Sheet'!$A32,holly!$K$3:$K$122,'S Sheet'!$AO$1),IF($AO$1="Aug",SUMIFS(holly!$L$3:$L$122,holly!$I$3:$I$122,'S Sheet'!$A32,holly!$K$3:$K$122,'S Sheet'!$AO$1),IF($AO$1="Sep",SUMIFS(holly!$L$3:$L$122,holly!$I$3:$I$122,'S Sheet'!$A32,holly!$K$3:$K$122,'S Sheet'!$AO$1),IF($AO$1="Oct",SUMIFS(holly!$L$3:$L$122,holly!$I$3:$I$122,'S Sheet'!$A32,holly!$K$3:$K$122,'S Sheet'!$AO$1),IF($AO$1="Nov",SUMIFS(holly!$L$3:$L$122,holly!$I$3:$I$122,'S Sheet'!$A32,holly!$K$3:$K$122,'S Sheet'!$AO$1),IF($AO$1="Dec",SUMIFS(holly!$L$3:$L$122,holly!$I$3:$I$122,'S Sheet'!$A32,holly!$K$3:$K$122,'S Sheet'!$AO$1),""))))))))))))</f>
        <v>2</v>
      </c>
      <c r="Q32" s="4">
        <f>IFERROR(VLOOKUP($A32,holly!$I$2:$O$122,5,0),0)</f>
        <v>115.38</v>
      </c>
      <c r="R32" s="4">
        <f>IF($AO$1="Jan",SUMIFS(adv!$Q$3:$Q$52,adv!$M$3:$M$52,'S Sheet'!$A32,adv!$O$3:$O$52,'S Sheet'!$AO$1),IF($AO$1="Feb",SUMIFS(adv!$Q$3:$Q$52,adv!$M$3:$M$52,'S Sheet'!$A32,adv!$O$3:$O$52,'S Sheet'!$AO$1),IF($AO$1="Mar",SUMIFS(adv!$Q$3:$Q$52,adv!$M$3:$M$52,'S Sheet'!$A32,adv!$O$3:$O$52,'S Sheet'!$AO$1),IF($AO$1="Apr",SUMIFS(adv!$Q$3:$Q$52,adv!$M$3:$M$52,'S Sheet'!$A32,adv!$O$3:$O$52,'S Sheet'!$AO$1),IF($AO$1="May",SUMIFS(adv!$Q$3:$Q$52,adv!$M$3:$M$52,'S Sheet'!$A32,adv!$O$3:$O$52,'S Sheet'!$AO$1),IF($AO$1="Jun",SUMIFS(adv!$Q$3:$Q$52,adv!$M$3:$M$52,'S Sheet'!$A32,adv!$O$3:$O$52,'S Sheet'!$AO$1),IF($AO$1="Jul",SUMIFS(adv!$Q$3:$Q$52,adv!$M$3:$M$52,'S Sheet'!$A32,adv!$O$3:$O$52,'S Sheet'!$AO$1),IF($AO$1="Aug",SUMIFS(adv!$Q$3:$Q$52,adv!$M$3:$M$52,'S Sheet'!$A32,adv!$O$3:$O$52,'S Sheet'!$AO$1),IF($AO$1="Sep",SUMIFS(adv!$Q$3:$Q$52,adv!$M$3:$M$52,'S Sheet'!$A32,adv!$O$3:$O$52,'S Sheet'!$AO$1),IF($AO$1="Oct",SUMIFS(adv!$Q$3:$Q$52,adv!$M$3:$M$52,'S Sheet'!$A32,adv!$O$3:$O$52,'S Sheet'!$AO$1),IF($AO$1="Nov",SUMIFS(adv!$Q$3:$Q$52,adv!$M$3:$M$52,'S Sheet'!$A32,adv!$O$3:$O$52,'S Sheet'!$AO$1),IF($AO$1="Dec",SUMIFS(adv!$Q$3:$Q$52,adv!$M$3:$M$52,'S Sheet'!$A32,adv!$O$3:$O$52,'S Sheet'!$AO$1),""))))))))))))</f>
        <v>0</v>
      </c>
      <c r="S32" s="4">
        <f>IF($AO$1="Jan",SUMIFS(loan!$O$3:$O$32,loan!$J$3:$J$32,'S Sheet'!$A32,loan!$L$3:$L$32,'S Sheet'!$AO$1),IF($AO$1="Feb",SUMIFS(loan!$O$3:$O$32,loan!$J$3:$J$32,'S Sheet'!$A32,loan!$L$3:$L$32,'S Sheet'!$AO$1),IF($AO$1="Mar",SUMIFS(loan!$O$3:$O$32,loan!$J$3:$J$32,'S Sheet'!$A32,loan!$L$3:$L$32,'S Sheet'!$AO$1),IF($AO$1="Apr",SUMIFS(loan!$O$3:$O$32,loan!$J$3:$J$32,'S Sheet'!$A32,loan!$L$3:$L$32,'S Sheet'!$AO$1),IF($AO$1="May",SUMIFS(loan!$O$3:$O$32,loan!$J$3:$J$32,'S Sheet'!$A32,loan!$L$3:$L$32,'S Sheet'!$AO$1),IF($AO$1="Jun",SUMIFS(loan!$O$3:$O$32,loan!$J$3:$J$32,'S Sheet'!$A32,loan!$L$3:$L$32,'S Sheet'!$AO$1),IF($AO$1="Jul",SUMIFS(loan!$O$3:$O$32,loan!$J$3:$J$32,'S Sheet'!$A32,loan!$L$3:$L$32,'S Sheet'!$AO$1),IF($AO$1="Aug",SUMIFS(loan!$O$3:$O$32,loan!$J$3:$J$32,'S Sheet'!$A32,loan!$L$3:$L$32,'S Sheet'!$AO$1),IF($AO$1="Sep",SUMIFS(loan!$O$3:$O$32,loan!$J$3:$J$32,'S Sheet'!$A32,loan!$L$3:$L$32,'S Sheet'!$AO$1),IF($AO$1="Oct",SUMIFS(loan!$O$3:$O$32,loan!$J$3:$J$32,'S Sheet'!$A32,loan!$L$3:$L$32,'S Sheet'!$AO$1),IF($AO$1="Nov",SUMIFS(loan!$O$3:$O$32,loan!$J$3:$J$32,'S Sheet'!$A32,loan!$L$3:$L$32,'S Sheet'!$AO$1),IF($AO$1="Dec",SUMIFS(loan!$O$3:$O$32,loan!$J$3:$J$32,'S Sheet'!$A32,loan!$L$3:$L$32,'S Sheet'!$AO$1),""))))))))))))</f>
        <v>0</v>
      </c>
      <c r="T32" s="4">
        <f>IFERROR(VLOOKUP($A32,loan!$A$2:$H$22,3,0),0)</f>
        <v>100000</v>
      </c>
      <c r="U32" s="4">
        <f t="shared" si="5"/>
        <v>10000</v>
      </c>
      <c r="V32" s="28">
        <f>IFERROR(VLOOKUP($A32,loan!$A$2:$H$22,2,0),"")</f>
        <v>45878</v>
      </c>
      <c r="W32" s="4">
        <f>IFERROR(VLOOKUP($A32,loan!$A$2:$H$22,5,0),0)</f>
        <v>10</v>
      </c>
      <c r="X32" s="4" t="str">
        <f t="shared" si="6"/>
        <v>Paid</v>
      </c>
      <c r="Y32" s="4">
        <f t="shared" si="7"/>
        <v>0</v>
      </c>
      <c r="Z32" s="29">
        <f t="shared" si="13"/>
        <v>0</v>
      </c>
      <c r="AA32" s="4">
        <f>IF('S Sheet'!$AO$1='S Sheet'!$AO$1,SUMIFS(adv!$E$3:$E$97,adv!$B$3:$B$97,'S Sheet'!$A32,adv!$D$3:$D$97,'S Sheet'!$AO$1),0)</f>
        <v>0</v>
      </c>
      <c r="AB32" s="4">
        <f>IF($AO$1=$AO$1,SUMIFS(adv!$H$3:$H$97,adv!$B$3:$B$97,'S Sheet'!$A32,adv!$D$3:$D$97,'S Sheet'!$AO$1),0)</f>
        <v>0</v>
      </c>
      <c r="AC32" s="29">
        <f t="shared" si="0"/>
        <v>0</v>
      </c>
      <c r="AD32" s="4">
        <f t="shared" si="1"/>
        <v>16000</v>
      </c>
      <c r="AE32" s="34">
        <f t="shared" si="2"/>
        <v>16000</v>
      </c>
      <c r="AF32" s="4">
        <f>VLOOKUP($A32,Master!$A$2:$K$52,8,0)</f>
        <v>6400</v>
      </c>
      <c r="AG32" s="4">
        <f>VLOOKUP($A32,Master!$A$2:$K$52,9,0)</f>
        <v>1600</v>
      </c>
      <c r="AH32" s="4">
        <f>VLOOKUP($A32,Master!$A$2:$K$52,10,0)</f>
        <v>800</v>
      </c>
      <c r="AI32" s="4">
        <f t="shared" si="3"/>
        <v>230.76</v>
      </c>
      <c r="AJ32" s="4">
        <f>IF($AO$1=$AO$1,SUMIFS(adv!$Q$3:$Q$52,adv!$M$3:$M$52,'S Sheet'!$A32,adv!$O$3:$O$52,'S Sheet'!$AO$1),0)</f>
        <v>0</v>
      </c>
      <c r="AK32" s="34">
        <f t="shared" si="4"/>
        <v>25030.76</v>
      </c>
      <c r="AL32" s="4">
        <f t="shared" si="8"/>
        <v>2112</v>
      </c>
      <c r="AM32" s="34">
        <f t="shared" si="9"/>
        <v>0</v>
      </c>
      <c r="AN32" s="34">
        <f t="shared" si="10"/>
        <v>0</v>
      </c>
      <c r="AO32" s="4">
        <f t="shared" si="11"/>
        <v>0</v>
      </c>
      <c r="AP32" s="36">
        <f t="shared" si="12"/>
        <v>22918.76</v>
      </c>
    </row>
    <row r="33" spans="1:42" ht="21" x14ac:dyDescent="0.25">
      <c r="A33" s="4" t="s">
        <v>59</v>
      </c>
      <c r="B33" s="4" t="str">
        <f>VLOOKUP($A33,Master!$A$2:$K$52,COLUMN(Master!B31),0)</f>
        <v>Employee30</v>
      </c>
      <c r="C33" s="4" t="str">
        <f>VLOOKUP($A33,Master!$A$2:$K$52,COLUMN(Master!C31),0)</f>
        <v>Male</v>
      </c>
      <c r="D33" s="26">
        <f>VLOOKUP($A33,Master!$A$2:$K$52,COLUMN(Master!D31),0)</f>
        <v>44826</v>
      </c>
      <c r="E33" s="4" t="str">
        <f>VLOOKUP($A33,Master!$A$2:$K$52,COLUMN(Master!E31),0)</f>
        <v>Production</v>
      </c>
      <c r="F33" s="4" t="str">
        <f>VLOOKUP($A33,Master!$A$2:$K$52,COLUMN(Master!F31),0)</f>
        <v>Operator</v>
      </c>
      <c r="G33" s="4" t="s">
        <v>25</v>
      </c>
      <c r="H33" s="4">
        <v>5146155442</v>
      </c>
      <c r="I33" s="4" t="s">
        <v>411</v>
      </c>
      <c r="J33" s="4">
        <f>VLOOKUP($A33,Master!$A$2:$K$52,COLUMN(Master!G31),0)</f>
        <v>10000</v>
      </c>
      <c r="K33" s="4">
        <f>VLOOKUP($A33,Master!$A$2:$K$52,COLUMN(Master!H31),0)</f>
        <v>4000</v>
      </c>
      <c r="L33" s="4">
        <f>VLOOKUP($A33,Master!$A$2:$K$52,COLUMN(Master!I31),0)</f>
        <v>1000</v>
      </c>
      <c r="M33" s="4">
        <f>VLOOKUP($A33,Master!$A$2:$K$52,COLUMN(Master!J31),0)</f>
        <v>500</v>
      </c>
      <c r="N33" s="4">
        <f>IF($AO$1="Jan",VLOOKUP($A33,jan!$A$5:$AU$54,46,0),IF('S Sheet'!$AO$1="Feb",VLOOKUP('S Sheet'!$A33,feb!$A$5:$AR$54,43,0),IF($AO$1="Mar",VLOOKUP($A33,mar!$A$5:$AU$54,46,0),IF($AO$1="Apr",VLOOKUP($A33,apr!$A$5:$AU$54,45,0),IF($AO$1="May",VLOOKUP($A33,may!$A$5:$AU$54,46,0),IF($AO$1="Jun",VLOOKUP($A33,jun!$A$5:$AU$54,45,0),IF($AO$1="Jul",VLOOKUP($A33,jul!$A$5:$AV$54,46,0),IF($AO$1="Aug",VLOOKUP($A33,aug!$A$5:$AU$54,46,0),IF($AO$1="Sep",VLOOKUP($A33,sep!$A$5:$AT$54,45,0),IF($AO$1="Oct",VLOOKUP($A33,oct!$A$5:$AU$54,46,0),IF($AO$1="Nov",VLOOKUP($A33,nov!$A$5:$AU$54,45,0),IF($AO$1="Dec",VLOOKUP($A33,dec!$A$5:$AU$54,46,0),""))))))))))))</f>
        <v>31</v>
      </c>
      <c r="O33" s="4">
        <f>IF($AO$1="Jan",VLOOKUP($A33,jan!$A$5:$AU$54,47,0),IF('S Sheet'!$AO$1="Feb",VLOOKUP('S Sheet'!$A33,feb!$A$5:$AR$54,44,0),IF($AO$1="Mar",VLOOKUP($A33,mar!$A$5:$AU$54,47,0),IF($AO$1="Apr",VLOOKUP($A33,apr!$A$5:$AU$54,46,0),IF($AO$1="May",VLOOKUP($A33,may!$A$5:$AU$54,47,0),IF($AO$1="Jun",VLOOKUP($A33,jun!$A$5:$AU$54,46,0),IF($AO$1="Jul",VLOOKUP($A33,jul!$A$5:$AV$54,47,0),IF($AO$1="Aug",VLOOKUP($A33,aug!$A$5:$AU$54,47,0),IF($AO$1="Sep",VLOOKUP($A33,sep!$A$5:$AT$54,46,0),IF($AO$1="Oct",VLOOKUP($A33,oct!$A$5:$AU$54,47,0),IF($AO$1="Nov",VLOOKUP($A33,nov!$A$5:$AU$54,46,0),IF($AO$1="Dec",VLOOKUP($A33,dec!$A$5:$AU$54,47,0),""))))))))))))</f>
        <v>30</v>
      </c>
      <c r="P33" s="4">
        <f>IF($AO$1="Jan",SUMIFS(holly!$L$3:$L$122,holly!$I$3:$I$122,'S Sheet'!$A33,holly!$K$3:$K$122,'S Sheet'!$AO$1),IF($AO$1="Feb",SUMIFS(holly!$L$3:$L$122,holly!$I$3:$I$122,'S Sheet'!$A33,holly!$K$3:$K$122,'S Sheet'!$AO$1),IF($AO$1="Mar",SUMIFS(holly!$L$3:$L$122,holly!$I$3:$I$122,'S Sheet'!$A33,holly!$K$3:$K$122,'S Sheet'!$AO$1),IF($AO$1="Apr",SUMIFS(holly!$L$3:$L$122,holly!$I$3:$I$122,'S Sheet'!$A33,holly!$K$3:$K$122,'S Sheet'!$AO$1),IF($AO$1="May",SUMIFS(holly!$L$3:$L$122,holly!$I$3:$I$122,'S Sheet'!$A33,holly!$K$3:$K$122,'S Sheet'!$AO$1),IF($AO$1="Jun",SUMIFS(holly!$L$3:$L$122,holly!$I$3:$I$122,'S Sheet'!$A33,holly!$K$3:$K$122,'S Sheet'!$AO$1),IF($AO$1="Jul",SUMIFS(holly!$L$3:$L$122,holly!$I$3:$I$122,'S Sheet'!$A33,holly!$K$3:$K$122,'S Sheet'!$AO$1),IF($AO$1="Aug",SUMIFS(holly!$L$3:$L$122,holly!$I$3:$I$122,'S Sheet'!$A33,holly!$K$3:$K$122,'S Sheet'!$AO$1),IF($AO$1="Sep",SUMIFS(holly!$L$3:$L$122,holly!$I$3:$I$122,'S Sheet'!$A33,holly!$K$3:$K$122,'S Sheet'!$AO$1),IF($AO$1="Oct",SUMIFS(holly!$L$3:$L$122,holly!$I$3:$I$122,'S Sheet'!$A33,holly!$K$3:$K$122,'S Sheet'!$AO$1),IF($AO$1="Nov",SUMIFS(holly!$L$3:$L$122,holly!$I$3:$I$122,'S Sheet'!$A33,holly!$K$3:$K$122,'S Sheet'!$AO$1),IF($AO$1="Dec",SUMIFS(holly!$L$3:$L$122,holly!$I$3:$I$122,'S Sheet'!$A33,holly!$K$3:$K$122,'S Sheet'!$AO$1),""))))))))))))</f>
        <v>0</v>
      </c>
      <c r="Q33" s="4">
        <f>IFERROR(VLOOKUP($A33,holly!$I$2:$O$122,5,0),0)</f>
        <v>72.12</v>
      </c>
      <c r="R33" s="4">
        <f>IF($AO$1="Jan",SUMIFS(adv!$Q$3:$Q$52,adv!$M$3:$M$52,'S Sheet'!$A33,adv!$O$3:$O$52,'S Sheet'!$AO$1),IF($AO$1="Feb",SUMIFS(adv!$Q$3:$Q$52,adv!$M$3:$M$52,'S Sheet'!$A33,adv!$O$3:$O$52,'S Sheet'!$AO$1),IF($AO$1="Mar",SUMIFS(adv!$Q$3:$Q$52,adv!$M$3:$M$52,'S Sheet'!$A33,adv!$O$3:$O$52,'S Sheet'!$AO$1),IF($AO$1="Apr",SUMIFS(adv!$Q$3:$Q$52,adv!$M$3:$M$52,'S Sheet'!$A33,adv!$O$3:$O$52,'S Sheet'!$AO$1),IF($AO$1="May",SUMIFS(adv!$Q$3:$Q$52,adv!$M$3:$M$52,'S Sheet'!$A33,adv!$O$3:$O$52,'S Sheet'!$AO$1),IF($AO$1="Jun",SUMIFS(adv!$Q$3:$Q$52,adv!$M$3:$M$52,'S Sheet'!$A33,adv!$O$3:$O$52,'S Sheet'!$AO$1),IF($AO$1="Jul",SUMIFS(adv!$Q$3:$Q$52,adv!$M$3:$M$52,'S Sheet'!$A33,adv!$O$3:$O$52,'S Sheet'!$AO$1),IF($AO$1="Aug",SUMIFS(adv!$Q$3:$Q$52,adv!$M$3:$M$52,'S Sheet'!$A33,adv!$O$3:$O$52,'S Sheet'!$AO$1),IF($AO$1="Sep",SUMIFS(adv!$Q$3:$Q$52,adv!$M$3:$M$52,'S Sheet'!$A33,adv!$O$3:$O$52,'S Sheet'!$AO$1),IF($AO$1="Oct",SUMIFS(adv!$Q$3:$Q$52,adv!$M$3:$M$52,'S Sheet'!$A33,adv!$O$3:$O$52,'S Sheet'!$AO$1),IF($AO$1="Nov",SUMIFS(adv!$Q$3:$Q$52,adv!$M$3:$M$52,'S Sheet'!$A33,adv!$O$3:$O$52,'S Sheet'!$AO$1),IF($AO$1="Dec",SUMIFS(adv!$Q$3:$Q$52,adv!$M$3:$M$52,'S Sheet'!$A33,adv!$O$3:$O$52,'S Sheet'!$AO$1),""))))))))))))</f>
        <v>0</v>
      </c>
      <c r="S33" s="4">
        <f>IF($AO$1="Jan",SUMIFS(loan!$O$3:$O$32,loan!$J$3:$J$32,'S Sheet'!$A33,loan!$L$3:$L$32,'S Sheet'!$AO$1),IF($AO$1="Feb",SUMIFS(loan!$O$3:$O$32,loan!$J$3:$J$32,'S Sheet'!$A33,loan!$L$3:$L$32,'S Sheet'!$AO$1),IF($AO$1="Mar",SUMIFS(loan!$O$3:$O$32,loan!$J$3:$J$32,'S Sheet'!$A33,loan!$L$3:$L$32,'S Sheet'!$AO$1),IF($AO$1="Apr",SUMIFS(loan!$O$3:$O$32,loan!$J$3:$J$32,'S Sheet'!$A33,loan!$L$3:$L$32,'S Sheet'!$AO$1),IF($AO$1="May",SUMIFS(loan!$O$3:$O$32,loan!$J$3:$J$32,'S Sheet'!$A33,loan!$L$3:$L$32,'S Sheet'!$AO$1),IF($AO$1="Jun",SUMIFS(loan!$O$3:$O$32,loan!$J$3:$J$32,'S Sheet'!$A33,loan!$L$3:$L$32,'S Sheet'!$AO$1),IF($AO$1="Jul",SUMIFS(loan!$O$3:$O$32,loan!$J$3:$J$32,'S Sheet'!$A33,loan!$L$3:$L$32,'S Sheet'!$AO$1),IF($AO$1="Aug",SUMIFS(loan!$O$3:$O$32,loan!$J$3:$J$32,'S Sheet'!$A33,loan!$L$3:$L$32,'S Sheet'!$AO$1),IF($AO$1="Sep",SUMIFS(loan!$O$3:$O$32,loan!$J$3:$J$32,'S Sheet'!$A33,loan!$L$3:$L$32,'S Sheet'!$AO$1),IF($AO$1="Oct",SUMIFS(loan!$O$3:$O$32,loan!$J$3:$J$32,'S Sheet'!$A33,loan!$L$3:$L$32,'S Sheet'!$AO$1),IF($AO$1="Nov",SUMIFS(loan!$O$3:$O$32,loan!$J$3:$J$32,'S Sheet'!$A33,loan!$L$3:$L$32,'S Sheet'!$AO$1),IF($AO$1="Dec",SUMIFS(loan!$O$3:$O$32,loan!$J$3:$J$32,'S Sheet'!$A33,loan!$L$3:$L$32,'S Sheet'!$AO$1),""))))))))))))</f>
        <v>0</v>
      </c>
      <c r="T33" s="4">
        <f>IFERROR(VLOOKUP($A33,loan!$A$2:$H$22,3,0),0)</f>
        <v>0</v>
      </c>
      <c r="U33" s="4">
        <f t="shared" si="5"/>
        <v>0</v>
      </c>
      <c r="V33" s="28" t="str">
        <f>IFERROR(VLOOKUP($A33,loan!$A$2:$H$22,2,0),"")</f>
        <v/>
      </c>
      <c r="W33" s="4">
        <f>IFERROR(VLOOKUP($A33,loan!$A$2:$H$22,5,0),0)</f>
        <v>0</v>
      </c>
      <c r="X33" s="4">
        <f t="shared" si="6"/>
        <v>0</v>
      </c>
      <c r="Y33" s="4">
        <f t="shared" si="7"/>
        <v>0</v>
      </c>
      <c r="Z33" s="29">
        <f t="shared" si="13"/>
        <v>0</v>
      </c>
      <c r="AA33" s="4">
        <f>IF('S Sheet'!$AO$1='S Sheet'!$AO$1,SUMIFS(adv!$E$3:$E$97,adv!$B$3:$B$97,'S Sheet'!$A33,adv!$D$3:$D$97,'S Sheet'!$AO$1),0)</f>
        <v>0</v>
      </c>
      <c r="AB33" s="4">
        <f>IF($AO$1=$AO$1,SUMIFS(adv!$H$3:$H$97,adv!$B$3:$B$97,'S Sheet'!$A33,adv!$D$3:$D$97,'S Sheet'!$AO$1),0)</f>
        <v>0</v>
      </c>
      <c r="AC33" s="29">
        <f t="shared" si="0"/>
        <v>0</v>
      </c>
      <c r="AD33" s="4">
        <f t="shared" si="1"/>
        <v>10000</v>
      </c>
      <c r="AE33" s="34">
        <f t="shared" si="2"/>
        <v>9677.4193548387084</v>
      </c>
      <c r="AF33" s="4">
        <f>VLOOKUP($A33,Master!$A$2:$K$52,8,0)</f>
        <v>4000</v>
      </c>
      <c r="AG33" s="4">
        <f>VLOOKUP($A33,Master!$A$2:$K$52,9,0)</f>
        <v>1000</v>
      </c>
      <c r="AH33" s="4">
        <f>VLOOKUP($A33,Master!$A$2:$K$52,10,0)</f>
        <v>500</v>
      </c>
      <c r="AI33" s="4">
        <f t="shared" si="3"/>
        <v>0</v>
      </c>
      <c r="AJ33" s="4">
        <f>IF($AO$1=$AO$1,SUMIFS(adv!$Q$3:$Q$52,adv!$M$3:$M$52,'S Sheet'!$A33,adv!$O$3:$O$52,'S Sheet'!$AO$1),0)</f>
        <v>0</v>
      </c>
      <c r="AK33" s="34">
        <f t="shared" si="4"/>
        <v>15177.419354838708</v>
      </c>
      <c r="AL33" s="4">
        <f t="shared" si="8"/>
        <v>1320</v>
      </c>
      <c r="AM33" s="34">
        <f t="shared" si="9"/>
        <v>113.83064516129031</v>
      </c>
      <c r="AN33" s="34">
        <f t="shared" si="10"/>
        <v>0</v>
      </c>
      <c r="AO33" s="4">
        <f t="shared" si="11"/>
        <v>0</v>
      </c>
      <c r="AP33" s="36">
        <f t="shared" si="12"/>
        <v>13743.588709677419</v>
      </c>
    </row>
    <row r="34" spans="1:42" ht="21" x14ac:dyDescent="0.25">
      <c r="A34" s="4" t="s">
        <v>60</v>
      </c>
      <c r="B34" s="4" t="str">
        <f>VLOOKUP($A34,Master!$A$2:$K$52,COLUMN(Master!B32),0)</f>
        <v>Employee31</v>
      </c>
      <c r="C34" s="4" t="str">
        <f>VLOOKUP($A34,Master!$A$2:$K$52,COLUMN(Master!C32),0)</f>
        <v>Male</v>
      </c>
      <c r="D34" s="26">
        <f>VLOOKUP($A34,Master!$A$2:$K$52,COLUMN(Master!D32),0)</f>
        <v>44372</v>
      </c>
      <c r="E34" s="4" t="str">
        <f>VLOOKUP($A34,Master!$A$2:$K$52,COLUMN(Master!E32),0)</f>
        <v>Production</v>
      </c>
      <c r="F34" s="4" t="str">
        <f>VLOOKUP($A34,Master!$A$2:$K$52,COLUMN(Master!F32),0)</f>
        <v>Supervisor</v>
      </c>
      <c r="G34" s="4" t="s">
        <v>16</v>
      </c>
      <c r="H34" s="4">
        <v>99160552118</v>
      </c>
      <c r="I34" s="4" t="s">
        <v>412</v>
      </c>
      <c r="J34" s="4">
        <f>VLOOKUP($A34,Master!$A$2:$K$52,COLUMN(Master!G32),0)</f>
        <v>18000</v>
      </c>
      <c r="K34" s="4">
        <f>VLOOKUP($A34,Master!$A$2:$K$52,COLUMN(Master!H32),0)</f>
        <v>7200</v>
      </c>
      <c r="L34" s="4">
        <f>VLOOKUP($A34,Master!$A$2:$K$52,COLUMN(Master!I32),0)</f>
        <v>1800</v>
      </c>
      <c r="M34" s="4">
        <f>VLOOKUP($A34,Master!$A$2:$K$52,COLUMN(Master!J32),0)</f>
        <v>900</v>
      </c>
      <c r="N34" s="4">
        <f>IF($AO$1="Jan",VLOOKUP($A34,jan!$A$5:$AU$54,46,0),IF('S Sheet'!$AO$1="Feb",VLOOKUP('S Sheet'!$A34,feb!$A$5:$AR$54,43,0),IF($AO$1="Mar",VLOOKUP($A34,mar!$A$5:$AU$54,46,0),IF($AO$1="Apr",VLOOKUP($A34,apr!$A$5:$AU$54,45,0),IF($AO$1="May",VLOOKUP($A34,may!$A$5:$AU$54,46,0),IF($AO$1="Jun",VLOOKUP($A34,jun!$A$5:$AU$54,45,0),IF($AO$1="Jul",VLOOKUP($A34,jul!$A$5:$AV$54,46,0),IF($AO$1="Aug",VLOOKUP($A34,aug!$A$5:$AU$54,46,0),IF($AO$1="Sep",VLOOKUP($A34,sep!$A$5:$AT$54,45,0),IF($AO$1="Oct",VLOOKUP($A34,oct!$A$5:$AU$54,46,0),IF($AO$1="Nov",VLOOKUP($A34,nov!$A$5:$AU$54,45,0),IF($AO$1="Dec",VLOOKUP($A34,dec!$A$5:$AU$54,46,0),""))))))))))))</f>
        <v>31</v>
      </c>
      <c r="O34" s="4">
        <f>IF($AO$1="Jan",VLOOKUP($A34,jan!$A$5:$AU$54,47,0),IF('S Sheet'!$AO$1="Feb",VLOOKUP('S Sheet'!$A34,feb!$A$5:$AR$54,44,0),IF($AO$1="Mar",VLOOKUP($A34,mar!$A$5:$AU$54,47,0),IF($AO$1="Apr",VLOOKUP($A34,apr!$A$5:$AU$54,46,0),IF($AO$1="May",VLOOKUP($A34,may!$A$5:$AU$54,47,0),IF($AO$1="Jun",VLOOKUP($A34,jun!$A$5:$AU$54,46,0),IF($AO$1="Jul",VLOOKUP($A34,jul!$A$5:$AV$54,47,0),IF($AO$1="Aug",VLOOKUP($A34,aug!$A$5:$AU$54,47,0),IF($AO$1="Sep",VLOOKUP($A34,sep!$A$5:$AT$54,46,0),IF($AO$1="Oct",VLOOKUP($A34,oct!$A$5:$AU$54,47,0),IF($AO$1="Nov",VLOOKUP($A34,nov!$A$5:$AU$54,46,0),IF($AO$1="Dec",VLOOKUP($A34,dec!$A$5:$AU$54,47,0),""))))))))))))</f>
        <v>30</v>
      </c>
      <c r="P34" s="4">
        <f>IF($AO$1="Jan",SUMIFS(holly!$L$3:$L$122,holly!$I$3:$I$122,'S Sheet'!$A34,holly!$K$3:$K$122,'S Sheet'!$AO$1),IF($AO$1="Feb",SUMIFS(holly!$L$3:$L$122,holly!$I$3:$I$122,'S Sheet'!$A34,holly!$K$3:$K$122,'S Sheet'!$AO$1),IF($AO$1="Mar",SUMIFS(holly!$L$3:$L$122,holly!$I$3:$I$122,'S Sheet'!$A34,holly!$K$3:$K$122,'S Sheet'!$AO$1),IF($AO$1="Apr",SUMIFS(holly!$L$3:$L$122,holly!$I$3:$I$122,'S Sheet'!$A34,holly!$K$3:$K$122,'S Sheet'!$AO$1),IF($AO$1="May",SUMIFS(holly!$L$3:$L$122,holly!$I$3:$I$122,'S Sheet'!$A34,holly!$K$3:$K$122,'S Sheet'!$AO$1),IF($AO$1="Jun",SUMIFS(holly!$L$3:$L$122,holly!$I$3:$I$122,'S Sheet'!$A34,holly!$K$3:$K$122,'S Sheet'!$AO$1),IF($AO$1="Jul",SUMIFS(holly!$L$3:$L$122,holly!$I$3:$I$122,'S Sheet'!$A34,holly!$K$3:$K$122,'S Sheet'!$AO$1),IF($AO$1="Aug",SUMIFS(holly!$L$3:$L$122,holly!$I$3:$I$122,'S Sheet'!$A34,holly!$K$3:$K$122,'S Sheet'!$AO$1),IF($AO$1="Sep",SUMIFS(holly!$L$3:$L$122,holly!$I$3:$I$122,'S Sheet'!$A34,holly!$K$3:$K$122,'S Sheet'!$AO$1),IF($AO$1="Oct",SUMIFS(holly!$L$3:$L$122,holly!$I$3:$I$122,'S Sheet'!$A34,holly!$K$3:$K$122,'S Sheet'!$AO$1),IF($AO$1="Nov",SUMIFS(holly!$L$3:$L$122,holly!$I$3:$I$122,'S Sheet'!$A34,holly!$K$3:$K$122,'S Sheet'!$AO$1),IF($AO$1="Dec",SUMIFS(holly!$L$3:$L$122,holly!$I$3:$I$122,'S Sheet'!$A34,holly!$K$3:$K$122,'S Sheet'!$AO$1),""))))))))))))</f>
        <v>2</v>
      </c>
      <c r="Q34" s="4">
        <f>IFERROR(VLOOKUP($A34,holly!$I$2:$O$122,5,0),0)</f>
        <v>129.81</v>
      </c>
      <c r="R34" s="4">
        <f>IF($AO$1="Jan",SUMIFS(adv!$Q$3:$Q$52,adv!$M$3:$M$52,'S Sheet'!$A34,adv!$O$3:$O$52,'S Sheet'!$AO$1),IF($AO$1="Feb",SUMIFS(adv!$Q$3:$Q$52,adv!$M$3:$M$52,'S Sheet'!$A34,adv!$O$3:$O$52,'S Sheet'!$AO$1),IF($AO$1="Mar",SUMIFS(adv!$Q$3:$Q$52,adv!$M$3:$M$52,'S Sheet'!$A34,adv!$O$3:$O$52,'S Sheet'!$AO$1),IF($AO$1="Apr",SUMIFS(adv!$Q$3:$Q$52,adv!$M$3:$M$52,'S Sheet'!$A34,adv!$O$3:$O$52,'S Sheet'!$AO$1),IF($AO$1="May",SUMIFS(adv!$Q$3:$Q$52,adv!$M$3:$M$52,'S Sheet'!$A34,adv!$O$3:$O$52,'S Sheet'!$AO$1),IF($AO$1="Jun",SUMIFS(adv!$Q$3:$Q$52,adv!$M$3:$M$52,'S Sheet'!$A34,adv!$O$3:$O$52,'S Sheet'!$AO$1),IF($AO$1="Jul",SUMIFS(adv!$Q$3:$Q$52,adv!$M$3:$M$52,'S Sheet'!$A34,adv!$O$3:$O$52,'S Sheet'!$AO$1),IF($AO$1="Aug",SUMIFS(adv!$Q$3:$Q$52,adv!$M$3:$M$52,'S Sheet'!$A34,adv!$O$3:$O$52,'S Sheet'!$AO$1),IF($AO$1="Sep",SUMIFS(adv!$Q$3:$Q$52,adv!$M$3:$M$52,'S Sheet'!$A34,adv!$O$3:$O$52,'S Sheet'!$AO$1),IF($AO$1="Oct",SUMIFS(adv!$Q$3:$Q$52,adv!$M$3:$M$52,'S Sheet'!$A34,adv!$O$3:$O$52,'S Sheet'!$AO$1),IF($AO$1="Nov",SUMIFS(adv!$Q$3:$Q$52,adv!$M$3:$M$52,'S Sheet'!$A34,adv!$O$3:$O$52,'S Sheet'!$AO$1),IF($AO$1="Dec",SUMIFS(adv!$Q$3:$Q$52,adv!$M$3:$M$52,'S Sheet'!$A34,adv!$O$3:$O$52,'S Sheet'!$AO$1),""))))))))))))</f>
        <v>0</v>
      </c>
      <c r="S34" s="4">
        <f>IF($AO$1="Jan",SUMIFS(loan!$O$3:$O$32,loan!$J$3:$J$32,'S Sheet'!$A34,loan!$L$3:$L$32,'S Sheet'!$AO$1),IF($AO$1="Feb",SUMIFS(loan!$O$3:$O$32,loan!$J$3:$J$32,'S Sheet'!$A34,loan!$L$3:$L$32,'S Sheet'!$AO$1),IF($AO$1="Mar",SUMIFS(loan!$O$3:$O$32,loan!$J$3:$J$32,'S Sheet'!$A34,loan!$L$3:$L$32,'S Sheet'!$AO$1),IF($AO$1="Apr",SUMIFS(loan!$O$3:$O$32,loan!$J$3:$J$32,'S Sheet'!$A34,loan!$L$3:$L$32,'S Sheet'!$AO$1),IF($AO$1="May",SUMIFS(loan!$O$3:$O$32,loan!$J$3:$J$32,'S Sheet'!$A34,loan!$L$3:$L$32,'S Sheet'!$AO$1),IF($AO$1="Jun",SUMIFS(loan!$O$3:$O$32,loan!$J$3:$J$32,'S Sheet'!$A34,loan!$L$3:$L$32,'S Sheet'!$AO$1),IF($AO$1="Jul",SUMIFS(loan!$O$3:$O$32,loan!$J$3:$J$32,'S Sheet'!$A34,loan!$L$3:$L$32,'S Sheet'!$AO$1),IF($AO$1="Aug",SUMIFS(loan!$O$3:$O$32,loan!$J$3:$J$32,'S Sheet'!$A34,loan!$L$3:$L$32,'S Sheet'!$AO$1),IF($AO$1="Sep",SUMIFS(loan!$O$3:$O$32,loan!$J$3:$J$32,'S Sheet'!$A34,loan!$L$3:$L$32,'S Sheet'!$AO$1),IF($AO$1="Oct",SUMIFS(loan!$O$3:$O$32,loan!$J$3:$J$32,'S Sheet'!$A34,loan!$L$3:$L$32,'S Sheet'!$AO$1),IF($AO$1="Nov",SUMIFS(loan!$O$3:$O$32,loan!$J$3:$J$32,'S Sheet'!$A34,loan!$L$3:$L$32,'S Sheet'!$AO$1),IF($AO$1="Dec",SUMIFS(loan!$O$3:$O$32,loan!$J$3:$J$32,'S Sheet'!$A34,loan!$L$3:$L$32,'S Sheet'!$AO$1),""))))))))))))</f>
        <v>0</v>
      </c>
      <c r="T34" s="4">
        <f>IFERROR(VLOOKUP($A34,loan!$A$2:$H$22,3,0),0)</f>
        <v>0</v>
      </c>
      <c r="U34" s="4">
        <f t="shared" si="5"/>
        <v>0</v>
      </c>
      <c r="V34" s="28" t="str">
        <f>IFERROR(VLOOKUP($A34,loan!$A$2:$H$22,2,0),"")</f>
        <v/>
      </c>
      <c r="W34" s="4">
        <f>IFERROR(VLOOKUP($A34,loan!$A$2:$H$22,5,0),0)</f>
        <v>0</v>
      </c>
      <c r="X34" s="4">
        <f t="shared" si="6"/>
        <v>0</v>
      </c>
      <c r="Y34" s="4">
        <f t="shared" si="7"/>
        <v>0</v>
      </c>
      <c r="Z34" s="29">
        <f t="shared" si="13"/>
        <v>0</v>
      </c>
      <c r="AA34" s="4">
        <f>IF('S Sheet'!$AO$1='S Sheet'!$AO$1,SUMIFS(adv!$E$3:$E$97,adv!$B$3:$B$97,'S Sheet'!$A34,adv!$D$3:$D$97,'S Sheet'!$AO$1),0)</f>
        <v>0</v>
      </c>
      <c r="AB34" s="4">
        <f>IF($AO$1=$AO$1,SUMIFS(adv!$H$3:$H$97,adv!$B$3:$B$97,'S Sheet'!$A34,adv!$D$3:$D$97,'S Sheet'!$AO$1),0)</f>
        <v>0</v>
      </c>
      <c r="AC34" s="29">
        <f t="shared" si="0"/>
        <v>0</v>
      </c>
      <c r="AD34" s="4">
        <f t="shared" si="1"/>
        <v>18000</v>
      </c>
      <c r="AE34" s="34">
        <f t="shared" si="2"/>
        <v>17419.354838709678</v>
      </c>
      <c r="AF34" s="4">
        <f>VLOOKUP($A34,Master!$A$2:$K$52,8,0)</f>
        <v>7200</v>
      </c>
      <c r="AG34" s="4">
        <f>VLOOKUP($A34,Master!$A$2:$K$52,9,0)</f>
        <v>1800</v>
      </c>
      <c r="AH34" s="4">
        <f>VLOOKUP($A34,Master!$A$2:$K$52,10,0)</f>
        <v>900</v>
      </c>
      <c r="AI34" s="4">
        <f t="shared" si="3"/>
        <v>259.62</v>
      </c>
      <c r="AJ34" s="4">
        <f>IF($AO$1=$AO$1,SUMIFS(adv!$Q$3:$Q$52,adv!$M$3:$M$52,'S Sheet'!$A34,adv!$O$3:$O$52,'S Sheet'!$AO$1),0)</f>
        <v>0</v>
      </c>
      <c r="AK34" s="34">
        <f t="shared" si="4"/>
        <v>27578.974838709677</v>
      </c>
      <c r="AL34" s="4">
        <f t="shared" si="8"/>
        <v>2376</v>
      </c>
      <c r="AM34" s="34">
        <f t="shared" si="9"/>
        <v>0</v>
      </c>
      <c r="AN34" s="34">
        <f t="shared" si="10"/>
        <v>0</v>
      </c>
      <c r="AO34" s="4">
        <f t="shared" si="11"/>
        <v>0</v>
      </c>
      <c r="AP34" s="36">
        <f t="shared" si="12"/>
        <v>25202.974838709677</v>
      </c>
    </row>
    <row r="35" spans="1:42" ht="21" x14ac:dyDescent="0.25">
      <c r="A35" s="4" t="s">
        <v>61</v>
      </c>
      <c r="B35" s="4" t="str">
        <f>VLOOKUP($A35,Master!$A$2:$K$52,COLUMN(Master!B33),0)</f>
        <v>Employee32</v>
      </c>
      <c r="C35" s="4" t="str">
        <f>VLOOKUP($A35,Master!$A$2:$K$52,COLUMN(Master!C33),0)</f>
        <v>Male</v>
      </c>
      <c r="D35" s="26">
        <f>VLOOKUP($A35,Master!$A$2:$K$52,COLUMN(Master!D33),0)</f>
        <v>44459</v>
      </c>
      <c r="E35" s="4" t="str">
        <f>VLOOKUP($A35,Master!$A$2:$K$52,COLUMN(Master!E33),0)</f>
        <v>Production</v>
      </c>
      <c r="F35" s="4" t="str">
        <f>VLOOKUP($A35,Master!$A$2:$K$52,COLUMN(Master!F33),0)</f>
        <v>Supervisor</v>
      </c>
      <c r="G35" s="4" t="s">
        <v>25</v>
      </c>
      <c r="H35" s="4">
        <v>46463799694</v>
      </c>
      <c r="I35" s="4" t="s">
        <v>413</v>
      </c>
      <c r="J35" s="4">
        <f>VLOOKUP($A35,Master!$A$2:$K$52,COLUMN(Master!G33),0)</f>
        <v>16000</v>
      </c>
      <c r="K35" s="4">
        <f>VLOOKUP($A35,Master!$A$2:$K$52,COLUMN(Master!H33),0)</f>
        <v>6400</v>
      </c>
      <c r="L35" s="4">
        <f>VLOOKUP($A35,Master!$A$2:$K$52,COLUMN(Master!I33),0)</f>
        <v>1600</v>
      </c>
      <c r="M35" s="4">
        <f>VLOOKUP($A35,Master!$A$2:$K$52,COLUMN(Master!J33),0)</f>
        <v>800</v>
      </c>
      <c r="N35" s="4">
        <f>IF($AO$1="Jan",VLOOKUP($A35,jan!$A$5:$AU$54,46,0),IF('S Sheet'!$AO$1="Feb",VLOOKUP('S Sheet'!$A35,feb!$A$5:$AR$54,43,0),IF($AO$1="Mar",VLOOKUP($A35,mar!$A$5:$AU$54,46,0),IF($AO$1="Apr",VLOOKUP($A35,apr!$A$5:$AU$54,45,0),IF($AO$1="May",VLOOKUP($A35,may!$A$5:$AU$54,46,0),IF($AO$1="Jun",VLOOKUP($A35,jun!$A$5:$AU$54,45,0),IF($AO$1="Jul",VLOOKUP($A35,jul!$A$5:$AV$54,46,0),IF($AO$1="Aug",VLOOKUP($A35,aug!$A$5:$AU$54,46,0),IF($AO$1="Sep",VLOOKUP($A35,sep!$A$5:$AT$54,45,0),IF($AO$1="Oct",VLOOKUP($A35,oct!$A$5:$AU$54,46,0),IF($AO$1="Nov",VLOOKUP($A35,nov!$A$5:$AU$54,45,0),IF($AO$1="Dec",VLOOKUP($A35,dec!$A$5:$AU$54,46,0),""))))))))))))</f>
        <v>31</v>
      </c>
      <c r="O35" s="4">
        <f>IF($AO$1="Jan",VLOOKUP($A35,jan!$A$5:$AU$54,47,0),IF('S Sheet'!$AO$1="Feb",VLOOKUP('S Sheet'!$A35,feb!$A$5:$AR$54,44,0),IF($AO$1="Mar",VLOOKUP($A35,mar!$A$5:$AU$54,47,0),IF($AO$1="Apr",VLOOKUP($A35,apr!$A$5:$AU$54,46,0),IF($AO$1="May",VLOOKUP($A35,may!$A$5:$AU$54,47,0),IF($AO$1="Jun",VLOOKUP($A35,jun!$A$5:$AU$54,46,0),IF($AO$1="Jul",VLOOKUP($A35,jul!$A$5:$AV$54,47,0),IF($AO$1="Aug",VLOOKUP($A35,aug!$A$5:$AU$54,47,0),IF($AO$1="Sep",VLOOKUP($A35,sep!$A$5:$AT$54,46,0),IF($AO$1="Oct",VLOOKUP($A35,oct!$A$5:$AU$54,47,0),IF($AO$1="Nov",VLOOKUP($A35,nov!$A$5:$AU$54,46,0),IF($AO$1="Dec",VLOOKUP($A35,dec!$A$5:$AU$54,47,0),""))))))))))))</f>
        <v>30</v>
      </c>
      <c r="P35" s="4">
        <f>IF($AO$1="Jan",SUMIFS(holly!$L$3:$L$122,holly!$I$3:$I$122,'S Sheet'!$A35,holly!$K$3:$K$122,'S Sheet'!$AO$1),IF($AO$1="Feb",SUMIFS(holly!$L$3:$L$122,holly!$I$3:$I$122,'S Sheet'!$A35,holly!$K$3:$K$122,'S Sheet'!$AO$1),IF($AO$1="Mar",SUMIFS(holly!$L$3:$L$122,holly!$I$3:$I$122,'S Sheet'!$A35,holly!$K$3:$K$122,'S Sheet'!$AO$1),IF($AO$1="Apr",SUMIFS(holly!$L$3:$L$122,holly!$I$3:$I$122,'S Sheet'!$A35,holly!$K$3:$K$122,'S Sheet'!$AO$1),IF($AO$1="May",SUMIFS(holly!$L$3:$L$122,holly!$I$3:$I$122,'S Sheet'!$A35,holly!$K$3:$K$122,'S Sheet'!$AO$1),IF($AO$1="Jun",SUMIFS(holly!$L$3:$L$122,holly!$I$3:$I$122,'S Sheet'!$A35,holly!$K$3:$K$122,'S Sheet'!$AO$1),IF($AO$1="Jul",SUMIFS(holly!$L$3:$L$122,holly!$I$3:$I$122,'S Sheet'!$A35,holly!$K$3:$K$122,'S Sheet'!$AO$1),IF($AO$1="Aug",SUMIFS(holly!$L$3:$L$122,holly!$I$3:$I$122,'S Sheet'!$A35,holly!$K$3:$K$122,'S Sheet'!$AO$1),IF($AO$1="Sep",SUMIFS(holly!$L$3:$L$122,holly!$I$3:$I$122,'S Sheet'!$A35,holly!$K$3:$K$122,'S Sheet'!$AO$1),IF($AO$1="Oct",SUMIFS(holly!$L$3:$L$122,holly!$I$3:$I$122,'S Sheet'!$A35,holly!$K$3:$K$122,'S Sheet'!$AO$1),IF($AO$1="Nov",SUMIFS(holly!$L$3:$L$122,holly!$I$3:$I$122,'S Sheet'!$A35,holly!$K$3:$K$122,'S Sheet'!$AO$1),IF($AO$1="Dec",SUMIFS(holly!$L$3:$L$122,holly!$I$3:$I$122,'S Sheet'!$A35,holly!$K$3:$K$122,'S Sheet'!$AO$1),""))))))))))))</f>
        <v>1</v>
      </c>
      <c r="Q35" s="4">
        <f>IFERROR(VLOOKUP($A35,holly!$I$2:$O$122,5,0),0)</f>
        <v>115.38</v>
      </c>
      <c r="R35" s="4">
        <f>IF($AO$1="Jan",SUMIFS(adv!$Q$3:$Q$52,adv!$M$3:$M$52,'S Sheet'!$A35,adv!$O$3:$O$52,'S Sheet'!$AO$1),IF($AO$1="Feb",SUMIFS(adv!$Q$3:$Q$52,adv!$M$3:$M$52,'S Sheet'!$A35,adv!$O$3:$O$52,'S Sheet'!$AO$1),IF($AO$1="Mar",SUMIFS(adv!$Q$3:$Q$52,adv!$M$3:$M$52,'S Sheet'!$A35,adv!$O$3:$O$52,'S Sheet'!$AO$1),IF($AO$1="Apr",SUMIFS(adv!$Q$3:$Q$52,adv!$M$3:$M$52,'S Sheet'!$A35,adv!$O$3:$O$52,'S Sheet'!$AO$1),IF($AO$1="May",SUMIFS(adv!$Q$3:$Q$52,adv!$M$3:$M$52,'S Sheet'!$A35,adv!$O$3:$O$52,'S Sheet'!$AO$1),IF($AO$1="Jun",SUMIFS(adv!$Q$3:$Q$52,adv!$M$3:$M$52,'S Sheet'!$A35,adv!$O$3:$O$52,'S Sheet'!$AO$1),IF($AO$1="Jul",SUMIFS(adv!$Q$3:$Q$52,adv!$M$3:$M$52,'S Sheet'!$A35,adv!$O$3:$O$52,'S Sheet'!$AO$1),IF($AO$1="Aug",SUMIFS(adv!$Q$3:$Q$52,adv!$M$3:$M$52,'S Sheet'!$A35,adv!$O$3:$O$52,'S Sheet'!$AO$1),IF($AO$1="Sep",SUMIFS(adv!$Q$3:$Q$52,adv!$M$3:$M$52,'S Sheet'!$A35,adv!$O$3:$O$52,'S Sheet'!$AO$1),IF($AO$1="Oct",SUMIFS(adv!$Q$3:$Q$52,adv!$M$3:$M$52,'S Sheet'!$A35,adv!$O$3:$O$52,'S Sheet'!$AO$1),IF($AO$1="Nov",SUMIFS(adv!$Q$3:$Q$52,adv!$M$3:$M$52,'S Sheet'!$A35,adv!$O$3:$O$52,'S Sheet'!$AO$1),IF($AO$1="Dec",SUMIFS(adv!$Q$3:$Q$52,adv!$M$3:$M$52,'S Sheet'!$A35,adv!$O$3:$O$52,'S Sheet'!$AO$1),""))))))))))))</f>
        <v>0</v>
      </c>
      <c r="S35" s="4">
        <f>IF($AO$1="Jan",SUMIFS(loan!$O$3:$O$32,loan!$J$3:$J$32,'S Sheet'!$A35,loan!$L$3:$L$32,'S Sheet'!$AO$1),IF($AO$1="Feb",SUMIFS(loan!$O$3:$O$32,loan!$J$3:$J$32,'S Sheet'!$A35,loan!$L$3:$L$32,'S Sheet'!$AO$1),IF($AO$1="Mar",SUMIFS(loan!$O$3:$O$32,loan!$J$3:$J$32,'S Sheet'!$A35,loan!$L$3:$L$32,'S Sheet'!$AO$1),IF($AO$1="Apr",SUMIFS(loan!$O$3:$O$32,loan!$J$3:$J$32,'S Sheet'!$A35,loan!$L$3:$L$32,'S Sheet'!$AO$1),IF($AO$1="May",SUMIFS(loan!$O$3:$O$32,loan!$J$3:$J$32,'S Sheet'!$A35,loan!$L$3:$L$32,'S Sheet'!$AO$1),IF($AO$1="Jun",SUMIFS(loan!$O$3:$O$32,loan!$J$3:$J$32,'S Sheet'!$A35,loan!$L$3:$L$32,'S Sheet'!$AO$1),IF($AO$1="Jul",SUMIFS(loan!$O$3:$O$32,loan!$J$3:$J$32,'S Sheet'!$A35,loan!$L$3:$L$32,'S Sheet'!$AO$1),IF($AO$1="Aug",SUMIFS(loan!$O$3:$O$32,loan!$J$3:$J$32,'S Sheet'!$A35,loan!$L$3:$L$32,'S Sheet'!$AO$1),IF($AO$1="Sep",SUMIFS(loan!$O$3:$O$32,loan!$J$3:$J$32,'S Sheet'!$A35,loan!$L$3:$L$32,'S Sheet'!$AO$1),IF($AO$1="Oct",SUMIFS(loan!$O$3:$O$32,loan!$J$3:$J$32,'S Sheet'!$A35,loan!$L$3:$L$32,'S Sheet'!$AO$1),IF($AO$1="Nov",SUMIFS(loan!$O$3:$O$32,loan!$J$3:$J$32,'S Sheet'!$A35,loan!$L$3:$L$32,'S Sheet'!$AO$1),IF($AO$1="Dec",SUMIFS(loan!$O$3:$O$32,loan!$J$3:$J$32,'S Sheet'!$A35,loan!$L$3:$L$32,'S Sheet'!$AO$1),""))))))))))))</f>
        <v>0</v>
      </c>
      <c r="T35" s="4">
        <f>IFERROR(VLOOKUP($A35,loan!$A$2:$H$22,3,0),0)</f>
        <v>0</v>
      </c>
      <c r="U35" s="4">
        <f t="shared" si="5"/>
        <v>0</v>
      </c>
      <c r="V35" s="28" t="str">
        <f>IFERROR(VLOOKUP($A35,loan!$A$2:$H$22,2,0),"")</f>
        <v/>
      </c>
      <c r="W35" s="4">
        <f>IFERROR(VLOOKUP($A35,loan!$A$2:$H$22,5,0),0)</f>
        <v>0</v>
      </c>
      <c r="X35" s="4">
        <f t="shared" si="6"/>
        <v>0</v>
      </c>
      <c r="Y35" s="4">
        <f t="shared" si="7"/>
        <v>0</v>
      </c>
      <c r="Z35" s="29">
        <f t="shared" si="13"/>
        <v>0</v>
      </c>
      <c r="AA35" s="4">
        <f>IF('S Sheet'!$AO$1='S Sheet'!$AO$1,SUMIFS(adv!$E$3:$E$97,adv!$B$3:$B$97,'S Sheet'!$A35,adv!$D$3:$D$97,'S Sheet'!$AO$1),0)</f>
        <v>3000</v>
      </c>
      <c r="AB35" s="4">
        <f>IF($AO$1=$AO$1,SUMIFS(adv!$H$3:$H$97,adv!$B$3:$B$97,'S Sheet'!$A35,adv!$D$3:$D$97,'S Sheet'!$AO$1),0)</f>
        <v>3000</v>
      </c>
      <c r="AC35" s="29">
        <f t="shared" si="0"/>
        <v>0</v>
      </c>
      <c r="AD35" s="4">
        <f t="shared" si="1"/>
        <v>16000</v>
      </c>
      <c r="AE35" s="34">
        <f t="shared" si="2"/>
        <v>15483.870967741936</v>
      </c>
      <c r="AF35" s="4">
        <f>VLOOKUP($A35,Master!$A$2:$K$52,8,0)</f>
        <v>6400</v>
      </c>
      <c r="AG35" s="4">
        <f>VLOOKUP($A35,Master!$A$2:$K$52,9,0)</f>
        <v>1600</v>
      </c>
      <c r="AH35" s="4">
        <f>VLOOKUP($A35,Master!$A$2:$K$52,10,0)</f>
        <v>800</v>
      </c>
      <c r="AI35" s="4">
        <f t="shared" si="3"/>
        <v>115.38</v>
      </c>
      <c r="AJ35" s="4">
        <f>IF($AO$1=$AO$1,SUMIFS(adv!$Q$3:$Q$52,adv!$M$3:$M$52,'S Sheet'!$A35,adv!$O$3:$O$52,'S Sheet'!$AO$1),0)</f>
        <v>0</v>
      </c>
      <c r="AK35" s="34">
        <f t="shared" si="4"/>
        <v>24399.250967741937</v>
      </c>
      <c r="AL35" s="4">
        <f t="shared" si="8"/>
        <v>2112</v>
      </c>
      <c r="AM35" s="34">
        <f t="shared" si="9"/>
        <v>0</v>
      </c>
      <c r="AN35" s="34">
        <f t="shared" si="10"/>
        <v>0</v>
      </c>
      <c r="AO35" s="4">
        <f t="shared" si="11"/>
        <v>3000</v>
      </c>
      <c r="AP35" s="36">
        <f t="shared" si="12"/>
        <v>19287.250967741937</v>
      </c>
    </row>
    <row r="36" spans="1:42" ht="21" x14ac:dyDescent="0.25">
      <c r="A36" s="4" t="s">
        <v>62</v>
      </c>
      <c r="B36" s="4" t="str">
        <f>VLOOKUP($A36,Master!$A$2:$K$52,COLUMN(Master!B34),0)</f>
        <v>Employee33</v>
      </c>
      <c r="C36" s="4" t="str">
        <f>VLOOKUP($A36,Master!$A$2:$K$52,COLUMN(Master!C34),0)</f>
        <v>Male</v>
      </c>
      <c r="D36" s="26">
        <f>VLOOKUP($A36,Master!$A$2:$K$52,COLUMN(Master!D34),0)</f>
        <v>45277</v>
      </c>
      <c r="E36" s="4" t="str">
        <f>VLOOKUP($A36,Master!$A$2:$K$52,COLUMN(Master!E34),0)</f>
        <v>Maintenance</v>
      </c>
      <c r="F36" s="4" t="str">
        <f>VLOOKUP($A36,Master!$A$2:$K$52,COLUMN(Master!F34),0)</f>
        <v>Technician</v>
      </c>
      <c r="G36" s="4" t="s">
        <v>386</v>
      </c>
      <c r="H36" s="4">
        <v>54614928592</v>
      </c>
      <c r="I36" s="4" t="s">
        <v>414</v>
      </c>
      <c r="J36" s="4">
        <f>VLOOKUP($A36,Master!$A$2:$K$52,COLUMN(Master!G34),0)</f>
        <v>11000</v>
      </c>
      <c r="K36" s="4">
        <f>VLOOKUP($A36,Master!$A$2:$K$52,COLUMN(Master!H34),0)</f>
        <v>4400</v>
      </c>
      <c r="L36" s="4">
        <f>VLOOKUP($A36,Master!$A$2:$K$52,COLUMN(Master!I34),0)</f>
        <v>1100</v>
      </c>
      <c r="M36" s="4">
        <f>VLOOKUP($A36,Master!$A$2:$K$52,COLUMN(Master!J34),0)</f>
        <v>550</v>
      </c>
      <c r="N36" s="4">
        <f>IF($AO$1="Jan",VLOOKUP($A36,jan!$A$5:$AU$54,46,0),IF('S Sheet'!$AO$1="Feb",VLOOKUP('S Sheet'!$A36,feb!$A$5:$AR$54,43,0),IF($AO$1="Mar",VLOOKUP($A36,mar!$A$5:$AU$54,46,0),IF($AO$1="Apr",VLOOKUP($A36,apr!$A$5:$AU$54,45,0),IF($AO$1="May",VLOOKUP($A36,may!$A$5:$AU$54,46,0),IF($AO$1="Jun",VLOOKUP($A36,jun!$A$5:$AU$54,45,0),IF($AO$1="Jul",VLOOKUP($A36,jul!$A$5:$AV$54,46,0),IF($AO$1="Aug",VLOOKUP($A36,aug!$A$5:$AU$54,46,0),IF($AO$1="Sep",VLOOKUP($A36,sep!$A$5:$AT$54,45,0),IF($AO$1="Oct",VLOOKUP($A36,oct!$A$5:$AU$54,46,0),IF($AO$1="Nov",VLOOKUP($A36,nov!$A$5:$AU$54,45,0),IF($AO$1="Dec",VLOOKUP($A36,dec!$A$5:$AU$54,46,0),""))))))))))))</f>
        <v>31</v>
      </c>
      <c r="O36" s="4">
        <f>IF($AO$1="Jan",VLOOKUP($A36,jan!$A$5:$AU$54,47,0),IF('S Sheet'!$AO$1="Feb",VLOOKUP('S Sheet'!$A36,feb!$A$5:$AR$54,44,0),IF($AO$1="Mar",VLOOKUP($A36,mar!$A$5:$AU$54,47,0),IF($AO$1="Apr",VLOOKUP($A36,apr!$A$5:$AU$54,46,0),IF($AO$1="May",VLOOKUP($A36,may!$A$5:$AU$54,47,0),IF($AO$1="Jun",VLOOKUP($A36,jun!$A$5:$AU$54,46,0),IF($AO$1="Jul",VLOOKUP($A36,jul!$A$5:$AV$54,47,0),IF($AO$1="Aug",VLOOKUP($A36,aug!$A$5:$AU$54,47,0),IF($AO$1="Sep",VLOOKUP($A36,sep!$A$5:$AT$54,46,0),IF($AO$1="Oct",VLOOKUP($A36,oct!$A$5:$AU$54,47,0),IF($AO$1="Nov",VLOOKUP($A36,nov!$A$5:$AU$54,46,0),IF($AO$1="Dec",VLOOKUP($A36,dec!$A$5:$AU$54,47,0),""))))))))))))</f>
        <v>30</v>
      </c>
      <c r="P36" s="4">
        <f>IF($AO$1="Jan",SUMIFS(holly!$L$3:$L$122,holly!$I$3:$I$122,'S Sheet'!$A36,holly!$K$3:$K$122,'S Sheet'!$AO$1),IF($AO$1="Feb",SUMIFS(holly!$L$3:$L$122,holly!$I$3:$I$122,'S Sheet'!$A36,holly!$K$3:$K$122,'S Sheet'!$AO$1),IF($AO$1="Mar",SUMIFS(holly!$L$3:$L$122,holly!$I$3:$I$122,'S Sheet'!$A36,holly!$K$3:$K$122,'S Sheet'!$AO$1),IF($AO$1="Apr",SUMIFS(holly!$L$3:$L$122,holly!$I$3:$I$122,'S Sheet'!$A36,holly!$K$3:$K$122,'S Sheet'!$AO$1),IF($AO$1="May",SUMIFS(holly!$L$3:$L$122,holly!$I$3:$I$122,'S Sheet'!$A36,holly!$K$3:$K$122,'S Sheet'!$AO$1),IF($AO$1="Jun",SUMIFS(holly!$L$3:$L$122,holly!$I$3:$I$122,'S Sheet'!$A36,holly!$K$3:$K$122,'S Sheet'!$AO$1),IF($AO$1="Jul",SUMIFS(holly!$L$3:$L$122,holly!$I$3:$I$122,'S Sheet'!$A36,holly!$K$3:$K$122,'S Sheet'!$AO$1),IF($AO$1="Aug",SUMIFS(holly!$L$3:$L$122,holly!$I$3:$I$122,'S Sheet'!$A36,holly!$K$3:$K$122,'S Sheet'!$AO$1),IF($AO$1="Sep",SUMIFS(holly!$L$3:$L$122,holly!$I$3:$I$122,'S Sheet'!$A36,holly!$K$3:$K$122,'S Sheet'!$AO$1),IF($AO$1="Oct",SUMIFS(holly!$L$3:$L$122,holly!$I$3:$I$122,'S Sheet'!$A36,holly!$K$3:$K$122,'S Sheet'!$AO$1),IF($AO$1="Nov",SUMIFS(holly!$L$3:$L$122,holly!$I$3:$I$122,'S Sheet'!$A36,holly!$K$3:$K$122,'S Sheet'!$AO$1),IF($AO$1="Dec",SUMIFS(holly!$L$3:$L$122,holly!$I$3:$I$122,'S Sheet'!$A36,holly!$K$3:$K$122,'S Sheet'!$AO$1),""))))))))))))</f>
        <v>0</v>
      </c>
      <c r="Q36" s="4">
        <f>IFERROR(VLOOKUP($A36,holly!$I$2:$O$122,5,0),0)</f>
        <v>79.33</v>
      </c>
      <c r="R36" s="4">
        <f>IF($AO$1="Jan",SUMIFS(adv!$Q$3:$Q$52,adv!$M$3:$M$52,'S Sheet'!$A36,adv!$O$3:$O$52,'S Sheet'!$AO$1),IF($AO$1="Feb",SUMIFS(adv!$Q$3:$Q$52,adv!$M$3:$M$52,'S Sheet'!$A36,adv!$O$3:$O$52,'S Sheet'!$AO$1),IF($AO$1="Mar",SUMIFS(adv!$Q$3:$Q$52,adv!$M$3:$M$52,'S Sheet'!$A36,adv!$O$3:$O$52,'S Sheet'!$AO$1),IF($AO$1="Apr",SUMIFS(adv!$Q$3:$Q$52,adv!$M$3:$M$52,'S Sheet'!$A36,adv!$O$3:$O$52,'S Sheet'!$AO$1),IF($AO$1="May",SUMIFS(adv!$Q$3:$Q$52,adv!$M$3:$M$52,'S Sheet'!$A36,adv!$O$3:$O$52,'S Sheet'!$AO$1),IF($AO$1="Jun",SUMIFS(adv!$Q$3:$Q$52,adv!$M$3:$M$52,'S Sheet'!$A36,adv!$O$3:$O$52,'S Sheet'!$AO$1),IF($AO$1="Jul",SUMIFS(adv!$Q$3:$Q$52,adv!$M$3:$M$52,'S Sheet'!$A36,adv!$O$3:$O$52,'S Sheet'!$AO$1),IF($AO$1="Aug",SUMIFS(adv!$Q$3:$Q$52,adv!$M$3:$M$52,'S Sheet'!$A36,adv!$O$3:$O$52,'S Sheet'!$AO$1),IF($AO$1="Sep",SUMIFS(adv!$Q$3:$Q$52,adv!$M$3:$M$52,'S Sheet'!$A36,adv!$O$3:$O$52,'S Sheet'!$AO$1),IF($AO$1="Oct",SUMIFS(adv!$Q$3:$Q$52,adv!$M$3:$M$52,'S Sheet'!$A36,adv!$O$3:$O$52,'S Sheet'!$AO$1),IF($AO$1="Nov",SUMIFS(adv!$Q$3:$Q$52,adv!$M$3:$M$52,'S Sheet'!$A36,adv!$O$3:$O$52,'S Sheet'!$AO$1),IF($AO$1="Dec",SUMIFS(adv!$Q$3:$Q$52,adv!$M$3:$M$52,'S Sheet'!$A36,adv!$O$3:$O$52,'S Sheet'!$AO$1),""))))))))))))</f>
        <v>0</v>
      </c>
      <c r="S36" s="4">
        <f>IF($AO$1="Jan",SUMIFS(loan!$O$3:$O$32,loan!$J$3:$J$32,'S Sheet'!$A36,loan!$L$3:$L$32,'S Sheet'!$AO$1),IF($AO$1="Feb",SUMIFS(loan!$O$3:$O$32,loan!$J$3:$J$32,'S Sheet'!$A36,loan!$L$3:$L$32,'S Sheet'!$AO$1),IF($AO$1="Mar",SUMIFS(loan!$O$3:$O$32,loan!$J$3:$J$32,'S Sheet'!$A36,loan!$L$3:$L$32,'S Sheet'!$AO$1),IF($AO$1="Apr",SUMIFS(loan!$O$3:$O$32,loan!$J$3:$J$32,'S Sheet'!$A36,loan!$L$3:$L$32,'S Sheet'!$AO$1),IF($AO$1="May",SUMIFS(loan!$O$3:$O$32,loan!$J$3:$J$32,'S Sheet'!$A36,loan!$L$3:$L$32,'S Sheet'!$AO$1),IF($AO$1="Jun",SUMIFS(loan!$O$3:$O$32,loan!$J$3:$J$32,'S Sheet'!$A36,loan!$L$3:$L$32,'S Sheet'!$AO$1),IF($AO$1="Jul",SUMIFS(loan!$O$3:$O$32,loan!$J$3:$J$32,'S Sheet'!$A36,loan!$L$3:$L$32,'S Sheet'!$AO$1),IF($AO$1="Aug",SUMIFS(loan!$O$3:$O$32,loan!$J$3:$J$32,'S Sheet'!$A36,loan!$L$3:$L$32,'S Sheet'!$AO$1),IF($AO$1="Sep",SUMIFS(loan!$O$3:$O$32,loan!$J$3:$J$32,'S Sheet'!$A36,loan!$L$3:$L$32,'S Sheet'!$AO$1),IF($AO$1="Oct",SUMIFS(loan!$O$3:$O$32,loan!$J$3:$J$32,'S Sheet'!$A36,loan!$L$3:$L$32,'S Sheet'!$AO$1),IF($AO$1="Nov",SUMIFS(loan!$O$3:$O$32,loan!$J$3:$J$32,'S Sheet'!$A36,loan!$L$3:$L$32,'S Sheet'!$AO$1),IF($AO$1="Dec",SUMIFS(loan!$O$3:$O$32,loan!$J$3:$J$32,'S Sheet'!$A36,loan!$L$3:$L$32,'S Sheet'!$AO$1),""))))))))))))</f>
        <v>0</v>
      </c>
      <c r="T36" s="4">
        <f>IFERROR(VLOOKUP($A36,loan!$A$2:$H$22,3,0),0)</f>
        <v>20000</v>
      </c>
      <c r="U36" s="4">
        <f t="shared" si="5"/>
        <v>1666.6666666666667</v>
      </c>
      <c r="V36" s="28">
        <f>IFERROR(VLOOKUP($A36,loan!$A$2:$H$22,2,0),"")</f>
        <v>45837</v>
      </c>
      <c r="W36" s="4">
        <f>IFERROR(VLOOKUP($A36,loan!$A$2:$H$22,5,0),0)</f>
        <v>12</v>
      </c>
      <c r="X36" s="4" t="str">
        <f t="shared" ref="X36:X53" si="14">IFERROR(IF(((2026-YEAR(V36))*12+MONTH(DATEVALUE("1-"&amp;$AO$1&amp;"-2026"))-MONTH(V36)+1)&gt;W36,"Paid",(2026-YEAR(V36))*12+MONTH(DATEVALUE("1-"&amp;$AO$1&amp;"-2026"))-MONTH(V36)+1),0)</f>
        <v>Paid</v>
      </c>
      <c r="Y36" s="4">
        <f t="shared" si="7"/>
        <v>0</v>
      </c>
      <c r="Z36" s="29">
        <f t="shared" si="13"/>
        <v>0</v>
      </c>
      <c r="AA36" s="4">
        <f>IF('S Sheet'!$AO$1='S Sheet'!$AO$1,SUMIFS(adv!$E$3:$E$97,adv!$B$3:$B$97,'S Sheet'!$A36,adv!$D$3:$D$97,'S Sheet'!$AO$1),0)</f>
        <v>0</v>
      </c>
      <c r="AB36" s="4">
        <f>IF($AO$1=$AO$1,SUMIFS(adv!$H$3:$H$97,adv!$B$3:$B$97,'S Sheet'!$A36,adv!$D$3:$D$97,'S Sheet'!$AO$1),0)</f>
        <v>0</v>
      </c>
      <c r="AC36" s="29">
        <f t="shared" si="0"/>
        <v>0</v>
      </c>
      <c r="AD36" s="4">
        <f t="shared" ref="AD36:AD53" si="15">J36+S36</f>
        <v>11000</v>
      </c>
      <c r="AE36" s="34">
        <f t="shared" ref="AE36:AE53" si="16">(AD36/N36)*O36</f>
        <v>10645.16129032258</v>
      </c>
      <c r="AF36" s="4">
        <f>VLOOKUP($A36,Master!$A$2:$K$52,8,0)</f>
        <v>4400</v>
      </c>
      <c r="AG36" s="4">
        <f>VLOOKUP($A36,Master!$A$2:$K$52,9,0)</f>
        <v>1100</v>
      </c>
      <c r="AH36" s="4">
        <f>VLOOKUP($A36,Master!$A$2:$K$52,10,0)</f>
        <v>550</v>
      </c>
      <c r="AI36" s="4">
        <f t="shared" ref="AI36:AI53" si="17">Q36*P36</f>
        <v>0</v>
      </c>
      <c r="AJ36" s="4">
        <f>IF($AO$1=$AO$1,SUMIFS(adv!$Q$3:$Q$52,adv!$M$3:$M$52,'S Sheet'!$A36,adv!$O$3:$O$52,'S Sheet'!$AO$1),0)</f>
        <v>0</v>
      </c>
      <c r="AK36" s="34">
        <f t="shared" ref="AK36:AK53" si="18">AE36+AF36+AG36+AH36+AI36+AJ36</f>
        <v>16695.16129032258</v>
      </c>
      <c r="AL36" s="4">
        <f t="shared" si="8"/>
        <v>1452</v>
      </c>
      <c r="AM36" s="34">
        <f t="shared" si="9"/>
        <v>125.21370967741935</v>
      </c>
      <c r="AN36" s="34">
        <f t="shared" si="10"/>
        <v>0</v>
      </c>
      <c r="AO36" s="4">
        <f t="shared" si="11"/>
        <v>0</v>
      </c>
      <c r="AP36" s="36">
        <f t="shared" si="12"/>
        <v>15117.947580645161</v>
      </c>
    </row>
    <row r="37" spans="1:42" ht="21" x14ac:dyDescent="0.25">
      <c r="A37" s="4" t="s">
        <v>63</v>
      </c>
      <c r="B37" s="4" t="str">
        <f>VLOOKUP($A37,Master!$A$2:$K$52,COLUMN(Master!B35),0)</f>
        <v>Employee34</v>
      </c>
      <c r="C37" s="4" t="str">
        <f>VLOOKUP($A37,Master!$A$2:$K$52,COLUMN(Master!C35),0)</f>
        <v>Male</v>
      </c>
      <c r="D37" s="26">
        <f>VLOOKUP($A37,Master!$A$2:$K$52,COLUMN(Master!D35),0)</f>
        <v>45657</v>
      </c>
      <c r="E37" s="4" t="str">
        <f>VLOOKUP($A37,Master!$A$2:$K$52,COLUMN(Master!E35),0)</f>
        <v>Production</v>
      </c>
      <c r="F37" s="4" t="str">
        <f>VLOOKUP($A37,Master!$A$2:$K$52,COLUMN(Master!F35),0)</f>
        <v>Senior Operator</v>
      </c>
      <c r="G37" s="4" t="s">
        <v>16</v>
      </c>
      <c r="H37" s="4">
        <v>63273059046</v>
      </c>
      <c r="I37" s="4" t="s">
        <v>415</v>
      </c>
      <c r="J37" s="4">
        <f>VLOOKUP($A37,Master!$A$2:$K$52,COLUMN(Master!G35),0)</f>
        <v>16000</v>
      </c>
      <c r="K37" s="4">
        <f>VLOOKUP($A37,Master!$A$2:$K$52,COLUMN(Master!H35),0)</f>
        <v>6400</v>
      </c>
      <c r="L37" s="4">
        <f>VLOOKUP($A37,Master!$A$2:$K$52,COLUMN(Master!I35),0)</f>
        <v>1600</v>
      </c>
      <c r="M37" s="4">
        <f>VLOOKUP($A37,Master!$A$2:$K$52,COLUMN(Master!J35),0)</f>
        <v>800</v>
      </c>
      <c r="N37" s="4">
        <f>IF($AO$1="Jan",VLOOKUP($A37,jan!$A$5:$AU$54,46,0),IF('S Sheet'!$AO$1="Feb",VLOOKUP('S Sheet'!$A37,feb!$A$5:$AR$54,43,0),IF($AO$1="Mar",VLOOKUP($A37,mar!$A$5:$AU$54,46,0),IF($AO$1="Apr",VLOOKUP($A37,apr!$A$5:$AU$54,45,0),IF($AO$1="May",VLOOKUP($A37,may!$A$5:$AU$54,46,0),IF($AO$1="Jun",VLOOKUP($A37,jun!$A$5:$AU$54,45,0),IF($AO$1="Jul",VLOOKUP($A37,jul!$A$5:$AV$54,46,0),IF($AO$1="Aug",VLOOKUP($A37,aug!$A$5:$AU$54,46,0),IF($AO$1="Sep",VLOOKUP($A37,sep!$A$5:$AT$54,45,0),IF($AO$1="Oct",VLOOKUP($A37,oct!$A$5:$AU$54,46,0),IF($AO$1="Nov",VLOOKUP($A37,nov!$A$5:$AU$54,45,0),IF($AO$1="Dec",VLOOKUP($A37,dec!$A$5:$AU$54,46,0),""))))))))))))</f>
        <v>31</v>
      </c>
      <c r="O37" s="4">
        <f>IF($AO$1="Jan",VLOOKUP($A37,jan!$A$5:$AU$54,47,0),IF('S Sheet'!$AO$1="Feb",VLOOKUP('S Sheet'!$A37,feb!$A$5:$AR$54,44,0),IF($AO$1="Mar",VLOOKUP($A37,mar!$A$5:$AU$54,47,0),IF($AO$1="Apr",VLOOKUP($A37,apr!$A$5:$AU$54,46,0),IF($AO$1="May",VLOOKUP($A37,may!$A$5:$AU$54,47,0),IF($AO$1="Jun",VLOOKUP($A37,jun!$A$5:$AU$54,46,0),IF($AO$1="Jul",VLOOKUP($A37,jul!$A$5:$AV$54,47,0),IF($AO$1="Aug",VLOOKUP($A37,aug!$A$5:$AU$54,47,0),IF($AO$1="Sep",VLOOKUP($A37,sep!$A$5:$AT$54,46,0),IF($AO$1="Oct",VLOOKUP($A37,oct!$A$5:$AU$54,47,0),IF($AO$1="Nov",VLOOKUP($A37,nov!$A$5:$AU$54,46,0),IF($AO$1="Dec",VLOOKUP($A37,dec!$A$5:$AU$54,47,0),""))))))))))))</f>
        <v>30</v>
      </c>
      <c r="P37" s="4">
        <f>IF($AO$1="Jan",SUMIFS(holly!$L$3:$L$122,holly!$I$3:$I$122,'S Sheet'!$A37,holly!$K$3:$K$122,'S Sheet'!$AO$1),IF($AO$1="Feb",SUMIFS(holly!$L$3:$L$122,holly!$I$3:$I$122,'S Sheet'!$A37,holly!$K$3:$K$122,'S Sheet'!$AO$1),IF($AO$1="Mar",SUMIFS(holly!$L$3:$L$122,holly!$I$3:$I$122,'S Sheet'!$A37,holly!$K$3:$K$122,'S Sheet'!$AO$1),IF($AO$1="Apr",SUMIFS(holly!$L$3:$L$122,holly!$I$3:$I$122,'S Sheet'!$A37,holly!$K$3:$K$122,'S Sheet'!$AO$1),IF($AO$1="May",SUMIFS(holly!$L$3:$L$122,holly!$I$3:$I$122,'S Sheet'!$A37,holly!$K$3:$K$122,'S Sheet'!$AO$1),IF($AO$1="Jun",SUMIFS(holly!$L$3:$L$122,holly!$I$3:$I$122,'S Sheet'!$A37,holly!$K$3:$K$122,'S Sheet'!$AO$1),IF($AO$1="Jul",SUMIFS(holly!$L$3:$L$122,holly!$I$3:$I$122,'S Sheet'!$A37,holly!$K$3:$K$122,'S Sheet'!$AO$1),IF($AO$1="Aug",SUMIFS(holly!$L$3:$L$122,holly!$I$3:$I$122,'S Sheet'!$A37,holly!$K$3:$K$122,'S Sheet'!$AO$1),IF($AO$1="Sep",SUMIFS(holly!$L$3:$L$122,holly!$I$3:$I$122,'S Sheet'!$A37,holly!$K$3:$K$122,'S Sheet'!$AO$1),IF($AO$1="Oct",SUMIFS(holly!$L$3:$L$122,holly!$I$3:$I$122,'S Sheet'!$A37,holly!$K$3:$K$122,'S Sheet'!$AO$1),IF($AO$1="Nov",SUMIFS(holly!$L$3:$L$122,holly!$I$3:$I$122,'S Sheet'!$A37,holly!$K$3:$K$122,'S Sheet'!$AO$1),IF($AO$1="Dec",SUMIFS(holly!$L$3:$L$122,holly!$I$3:$I$122,'S Sheet'!$A37,holly!$K$3:$K$122,'S Sheet'!$AO$1),""))))))))))))</f>
        <v>1</v>
      </c>
      <c r="Q37" s="4">
        <f>IFERROR(VLOOKUP($A37,holly!$I$2:$O$122,5,0),0)</f>
        <v>115.38</v>
      </c>
      <c r="R37" s="4">
        <f>IF($AO$1="Jan",SUMIFS(adv!$Q$3:$Q$52,adv!$M$3:$M$52,'S Sheet'!$A37,adv!$O$3:$O$52,'S Sheet'!$AO$1),IF($AO$1="Feb",SUMIFS(adv!$Q$3:$Q$52,adv!$M$3:$M$52,'S Sheet'!$A37,adv!$O$3:$O$52,'S Sheet'!$AO$1),IF($AO$1="Mar",SUMIFS(adv!$Q$3:$Q$52,adv!$M$3:$M$52,'S Sheet'!$A37,adv!$O$3:$O$52,'S Sheet'!$AO$1),IF($AO$1="Apr",SUMIFS(adv!$Q$3:$Q$52,adv!$M$3:$M$52,'S Sheet'!$A37,adv!$O$3:$O$52,'S Sheet'!$AO$1),IF($AO$1="May",SUMIFS(adv!$Q$3:$Q$52,adv!$M$3:$M$52,'S Sheet'!$A37,adv!$O$3:$O$52,'S Sheet'!$AO$1),IF($AO$1="Jun",SUMIFS(adv!$Q$3:$Q$52,adv!$M$3:$M$52,'S Sheet'!$A37,adv!$O$3:$O$52,'S Sheet'!$AO$1),IF($AO$1="Jul",SUMIFS(adv!$Q$3:$Q$52,adv!$M$3:$M$52,'S Sheet'!$A37,adv!$O$3:$O$52,'S Sheet'!$AO$1),IF($AO$1="Aug",SUMIFS(adv!$Q$3:$Q$52,adv!$M$3:$M$52,'S Sheet'!$A37,adv!$O$3:$O$52,'S Sheet'!$AO$1),IF($AO$1="Sep",SUMIFS(adv!$Q$3:$Q$52,adv!$M$3:$M$52,'S Sheet'!$A37,adv!$O$3:$O$52,'S Sheet'!$AO$1),IF($AO$1="Oct",SUMIFS(adv!$Q$3:$Q$52,adv!$M$3:$M$52,'S Sheet'!$A37,adv!$O$3:$O$52,'S Sheet'!$AO$1),IF($AO$1="Nov",SUMIFS(adv!$Q$3:$Q$52,adv!$M$3:$M$52,'S Sheet'!$A37,adv!$O$3:$O$52,'S Sheet'!$AO$1),IF($AO$1="Dec",SUMIFS(adv!$Q$3:$Q$52,adv!$M$3:$M$52,'S Sheet'!$A37,adv!$O$3:$O$52,'S Sheet'!$AO$1),""))))))))))))</f>
        <v>0</v>
      </c>
      <c r="S37" s="4">
        <f>IF($AO$1="Jan",SUMIFS(loan!$O$3:$O$32,loan!$J$3:$J$32,'S Sheet'!$A37,loan!$L$3:$L$32,'S Sheet'!$AO$1),IF($AO$1="Feb",SUMIFS(loan!$O$3:$O$32,loan!$J$3:$J$32,'S Sheet'!$A37,loan!$L$3:$L$32,'S Sheet'!$AO$1),IF($AO$1="Mar",SUMIFS(loan!$O$3:$O$32,loan!$J$3:$J$32,'S Sheet'!$A37,loan!$L$3:$L$32,'S Sheet'!$AO$1),IF($AO$1="Apr",SUMIFS(loan!$O$3:$O$32,loan!$J$3:$J$32,'S Sheet'!$A37,loan!$L$3:$L$32,'S Sheet'!$AO$1),IF($AO$1="May",SUMIFS(loan!$O$3:$O$32,loan!$J$3:$J$32,'S Sheet'!$A37,loan!$L$3:$L$32,'S Sheet'!$AO$1),IF($AO$1="Jun",SUMIFS(loan!$O$3:$O$32,loan!$J$3:$J$32,'S Sheet'!$A37,loan!$L$3:$L$32,'S Sheet'!$AO$1),IF($AO$1="Jul",SUMIFS(loan!$O$3:$O$32,loan!$J$3:$J$32,'S Sheet'!$A37,loan!$L$3:$L$32,'S Sheet'!$AO$1),IF($AO$1="Aug",SUMIFS(loan!$O$3:$O$32,loan!$J$3:$J$32,'S Sheet'!$A37,loan!$L$3:$L$32,'S Sheet'!$AO$1),IF($AO$1="Sep",SUMIFS(loan!$O$3:$O$32,loan!$J$3:$J$32,'S Sheet'!$A37,loan!$L$3:$L$32,'S Sheet'!$AO$1),IF($AO$1="Oct",SUMIFS(loan!$O$3:$O$32,loan!$J$3:$J$32,'S Sheet'!$A37,loan!$L$3:$L$32,'S Sheet'!$AO$1),IF($AO$1="Nov",SUMIFS(loan!$O$3:$O$32,loan!$J$3:$J$32,'S Sheet'!$A37,loan!$L$3:$L$32,'S Sheet'!$AO$1),IF($AO$1="Dec",SUMIFS(loan!$O$3:$O$32,loan!$J$3:$J$32,'S Sheet'!$A37,loan!$L$3:$L$32,'S Sheet'!$AO$1),""))))))))))))</f>
        <v>0</v>
      </c>
      <c r="T37" s="4">
        <f>IFERROR(VLOOKUP($A37,loan!$A$2:$H$22,3,0),0)</f>
        <v>20000</v>
      </c>
      <c r="U37" s="4">
        <f t="shared" si="5"/>
        <v>800</v>
      </c>
      <c r="V37" s="28">
        <f>IFERROR(VLOOKUP($A37,loan!$A$2:$H$22,2,0),"")</f>
        <v>45886</v>
      </c>
      <c r="W37" s="4">
        <f>IFERROR(VLOOKUP($A37,loan!$A$2:$H$22,5,0),0)</f>
        <v>25</v>
      </c>
      <c r="X37" s="4">
        <f t="shared" si="14"/>
        <v>13</v>
      </c>
      <c r="Y37" s="4">
        <f t="shared" si="7"/>
        <v>12</v>
      </c>
      <c r="Z37" s="29">
        <f t="shared" si="13"/>
        <v>9600</v>
      </c>
      <c r="AA37" s="4">
        <f>IF('S Sheet'!$AO$1='S Sheet'!$AO$1,SUMIFS(adv!$E$3:$E$97,adv!$B$3:$B$97,'S Sheet'!$A37,adv!$D$3:$D$97,'S Sheet'!$AO$1),0)</f>
        <v>0</v>
      </c>
      <c r="AB37" s="4">
        <f>IF($AO$1=$AO$1,SUMIFS(adv!$H$3:$H$97,adv!$B$3:$B$97,'S Sheet'!$A37,adv!$D$3:$D$97,'S Sheet'!$AO$1),0)</f>
        <v>0</v>
      </c>
      <c r="AC37" s="29">
        <f t="shared" si="0"/>
        <v>0</v>
      </c>
      <c r="AD37" s="4">
        <f t="shared" si="15"/>
        <v>16000</v>
      </c>
      <c r="AE37" s="34">
        <f t="shared" si="16"/>
        <v>15483.870967741936</v>
      </c>
      <c r="AF37" s="4">
        <f>VLOOKUP($A37,Master!$A$2:$K$52,8,0)</f>
        <v>6400</v>
      </c>
      <c r="AG37" s="4">
        <f>VLOOKUP($A37,Master!$A$2:$K$52,9,0)</f>
        <v>1600</v>
      </c>
      <c r="AH37" s="4">
        <f>VLOOKUP($A37,Master!$A$2:$K$52,10,0)</f>
        <v>800</v>
      </c>
      <c r="AI37" s="4">
        <f t="shared" si="17"/>
        <v>115.38</v>
      </c>
      <c r="AJ37" s="4">
        <f>IF($AO$1=$AO$1,SUMIFS(adv!$Q$3:$Q$52,adv!$M$3:$M$52,'S Sheet'!$A37,adv!$O$3:$O$52,'S Sheet'!$AO$1),0)</f>
        <v>0</v>
      </c>
      <c r="AK37" s="34">
        <f t="shared" si="18"/>
        <v>24399.250967741937</v>
      </c>
      <c r="AL37" s="4">
        <f t="shared" si="8"/>
        <v>2112</v>
      </c>
      <c r="AM37" s="34">
        <f t="shared" si="9"/>
        <v>0</v>
      </c>
      <c r="AN37" s="34">
        <f t="shared" si="10"/>
        <v>800</v>
      </c>
      <c r="AO37" s="4">
        <f t="shared" si="11"/>
        <v>0</v>
      </c>
      <c r="AP37" s="36">
        <f t="shared" si="12"/>
        <v>21487.250967741937</v>
      </c>
    </row>
    <row r="38" spans="1:42" ht="21" x14ac:dyDescent="0.25">
      <c r="A38" s="4" t="s">
        <v>64</v>
      </c>
      <c r="B38" s="4" t="str">
        <f>VLOOKUP($A38,Master!$A$2:$K$52,COLUMN(Master!B36),0)</f>
        <v>Employee35</v>
      </c>
      <c r="C38" s="4" t="str">
        <f>VLOOKUP($A38,Master!$A$2:$K$52,COLUMN(Master!C36),0)</f>
        <v>Male</v>
      </c>
      <c r="D38" s="26">
        <f>VLOOKUP($A38,Master!$A$2:$K$52,COLUMN(Master!D36),0)</f>
        <v>45094</v>
      </c>
      <c r="E38" s="4" t="str">
        <f>VLOOKUP($A38,Master!$A$2:$K$52,COLUMN(Master!E36),0)</f>
        <v>Accounts</v>
      </c>
      <c r="F38" s="4" t="str">
        <f>VLOOKUP($A38,Master!$A$2:$K$52,COLUMN(Master!F36),0)</f>
        <v>Accountant</v>
      </c>
      <c r="G38" s="4" t="s">
        <v>29</v>
      </c>
      <c r="H38" s="4">
        <v>51310226085</v>
      </c>
      <c r="I38" s="4" t="s">
        <v>416</v>
      </c>
      <c r="J38" s="4">
        <f>VLOOKUP($A38,Master!$A$2:$K$52,COLUMN(Master!G36),0)</f>
        <v>20000</v>
      </c>
      <c r="K38" s="4">
        <f>VLOOKUP($A38,Master!$A$2:$K$52,COLUMN(Master!H36),0)</f>
        <v>8000</v>
      </c>
      <c r="L38" s="4">
        <f>VLOOKUP($A38,Master!$A$2:$K$52,COLUMN(Master!I36),0)</f>
        <v>2000</v>
      </c>
      <c r="M38" s="4">
        <f>VLOOKUP($A38,Master!$A$2:$K$52,COLUMN(Master!J36),0)</f>
        <v>1000</v>
      </c>
      <c r="N38" s="4">
        <f>IF($AO$1="Jan",VLOOKUP($A38,jan!$A$5:$AU$54,46,0),IF('S Sheet'!$AO$1="Feb",VLOOKUP('S Sheet'!$A38,feb!$A$5:$AR$54,43,0),IF($AO$1="Mar",VLOOKUP($A38,mar!$A$5:$AU$54,46,0),IF($AO$1="Apr",VLOOKUP($A38,apr!$A$5:$AU$54,45,0),IF($AO$1="May",VLOOKUP($A38,may!$A$5:$AU$54,46,0),IF($AO$1="Jun",VLOOKUP($A38,jun!$A$5:$AU$54,45,0),IF($AO$1="Jul",VLOOKUP($A38,jul!$A$5:$AV$54,46,0),IF($AO$1="Aug",VLOOKUP($A38,aug!$A$5:$AU$54,46,0),IF($AO$1="Sep",VLOOKUP($A38,sep!$A$5:$AT$54,45,0),IF($AO$1="Oct",VLOOKUP($A38,oct!$A$5:$AU$54,46,0),IF($AO$1="Nov",VLOOKUP($A38,nov!$A$5:$AU$54,45,0),IF($AO$1="Dec",VLOOKUP($A38,dec!$A$5:$AU$54,46,0),""))))))))))))</f>
        <v>31</v>
      </c>
      <c r="O38" s="4">
        <f>IF($AO$1="Jan",VLOOKUP($A38,jan!$A$5:$AU$54,47,0),IF('S Sheet'!$AO$1="Feb",VLOOKUP('S Sheet'!$A38,feb!$A$5:$AR$54,44,0),IF($AO$1="Mar",VLOOKUP($A38,mar!$A$5:$AU$54,47,0),IF($AO$1="Apr",VLOOKUP($A38,apr!$A$5:$AU$54,46,0),IF($AO$1="May",VLOOKUP($A38,may!$A$5:$AU$54,47,0),IF($AO$1="Jun",VLOOKUP($A38,jun!$A$5:$AU$54,46,0),IF($AO$1="Jul",VLOOKUP($A38,jul!$A$5:$AV$54,47,0),IF($AO$1="Aug",VLOOKUP($A38,aug!$A$5:$AU$54,47,0),IF($AO$1="Sep",VLOOKUP($A38,sep!$A$5:$AT$54,46,0),IF($AO$1="Oct",VLOOKUP($A38,oct!$A$5:$AU$54,47,0),IF($AO$1="Nov",VLOOKUP($A38,nov!$A$5:$AU$54,46,0),IF($AO$1="Dec",VLOOKUP($A38,dec!$A$5:$AU$54,47,0),""))))))))))))</f>
        <v>31</v>
      </c>
      <c r="P38" s="4">
        <f>IF($AO$1="Jan",SUMIFS(holly!$L$3:$L$122,holly!$I$3:$I$122,'S Sheet'!$A38,holly!$K$3:$K$122,'S Sheet'!$AO$1),IF($AO$1="Feb",SUMIFS(holly!$L$3:$L$122,holly!$I$3:$I$122,'S Sheet'!$A38,holly!$K$3:$K$122,'S Sheet'!$AO$1),IF($AO$1="Mar",SUMIFS(holly!$L$3:$L$122,holly!$I$3:$I$122,'S Sheet'!$A38,holly!$K$3:$K$122,'S Sheet'!$AO$1),IF($AO$1="Apr",SUMIFS(holly!$L$3:$L$122,holly!$I$3:$I$122,'S Sheet'!$A38,holly!$K$3:$K$122,'S Sheet'!$AO$1),IF($AO$1="May",SUMIFS(holly!$L$3:$L$122,holly!$I$3:$I$122,'S Sheet'!$A38,holly!$K$3:$K$122,'S Sheet'!$AO$1),IF($AO$1="Jun",SUMIFS(holly!$L$3:$L$122,holly!$I$3:$I$122,'S Sheet'!$A38,holly!$K$3:$K$122,'S Sheet'!$AO$1),IF($AO$1="Jul",SUMIFS(holly!$L$3:$L$122,holly!$I$3:$I$122,'S Sheet'!$A38,holly!$K$3:$K$122,'S Sheet'!$AO$1),IF($AO$1="Aug",SUMIFS(holly!$L$3:$L$122,holly!$I$3:$I$122,'S Sheet'!$A38,holly!$K$3:$K$122,'S Sheet'!$AO$1),IF($AO$1="Sep",SUMIFS(holly!$L$3:$L$122,holly!$I$3:$I$122,'S Sheet'!$A38,holly!$K$3:$K$122,'S Sheet'!$AO$1),IF($AO$1="Oct",SUMIFS(holly!$L$3:$L$122,holly!$I$3:$I$122,'S Sheet'!$A38,holly!$K$3:$K$122,'S Sheet'!$AO$1),IF($AO$1="Nov",SUMIFS(holly!$L$3:$L$122,holly!$I$3:$I$122,'S Sheet'!$A38,holly!$K$3:$K$122,'S Sheet'!$AO$1),IF($AO$1="Dec",SUMIFS(holly!$L$3:$L$122,holly!$I$3:$I$122,'S Sheet'!$A38,holly!$K$3:$K$122,'S Sheet'!$AO$1),""))))))))))))</f>
        <v>0</v>
      </c>
      <c r="Q38" s="4">
        <f>IFERROR(VLOOKUP($A38,holly!$I$2:$O$122,5,0),0)</f>
        <v>144.22999999999999</v>
      </c>
      <c r="R38" s="4">
        <f>IF($AO$1="Jan",SUMIFS(adv!$Q$3:$Q$52,adv!$M$3:$M$52,'S Sheet'!$A38,adv!$O$3:$O$52,'S Sheet'!$AO$1),IF($AO$1="Feb",SUMIFS(adv!$Q$3:$Q$52,adv!$M$3:$M$52,'S Sheet'!$A38,adv!$O$3:$O$52,'S Sheet'!$AO$1),IF($AO$1="Mar",SUMIFS(adv!$Q$3:$Q$52,adv!$M$3:$M$52,'S Sheet'!$A38,adv!$O$3:$O$52,'S Sheet'!$AO$1),IF($AO$1="Apr",SUMIFS(adv!$Q$3:$Q$52,adv!$M$3:$M$52,'S Sheet'!$A38,adv!$O$3:$O$52,'S Sheet'!$AO$1),IF($AO$1="May",SUMIFS(adv!$Q$3:$Q$52,adv!$M$3:$M$52,'S Sheet'!$A38,adv!$O$3:$O$52,'S Sheet'!$AO$1),IF($AO$1="Jun",SUMIFS(adv!$Q$3:$Q$52,adv!$M$3:$M$52,'S Sheet'!$A38,adv!$O$3:$O$52,'S Sheet'!$AO$1),IF($AO$1="Jul",SUMIFS(adv!$Q$3:$Q$52,adv!$M$3:$M$52,'S Sheet'!$A38,adv!$O$3:$O$52,'S Sheet'!$AO$1),IF($AO$1="Aug",SUMIFS(adv!$Q$3:$Q$52,adv!$M$3:$M$52,'S Sheet'!$A38,adv!$O$3:$O$52,'S Sheet'!$AO$1),IF($AO$1="Sep",SUMIFS(adv!$Q$3:$Q$52,adv!$M$3:$M$52,'S Sheet'!$A38,adv!$O$3:$O$52,'S Sheet'!$AO$1),IF($AO$1="Oct",SUMIFS(adv!$Q$3:$Q$52,adv!$M$3:$M$52,'S Sheet'!$A38,adv!$O$3:$O$52,'S Sheet'!$AO$1),IF($AO$1="Nov",SUMIFS(adv!$Q$3:$Q$52,adv!$M$3:$M$52,'S Sheet'!$A38,adv!$O$3:$O$52,'S Sheet'!$AO$1),IF($AO$1="Dec",SUMIFS(adv!$Q$3:$Q$52,adv!$M$3:$M$52,'S Sheet'!$A38,adv!$O$3:$O$52,'S Sheet'!$AO$1),""))))))))))))</f>
        <v>0</v>
      </c>
      <c r="S38" s="4">
        <f>IF($AO$1="Jan",SUMIFS(loan!$O$3:$O$32,loan!$J$3:$J$32,'S Sheet'!$A38,loan!$L$3:$L$32,'S Sheet'!$AO$1),IF($AO$1="Feb",SUMIFS(loan!$O$3:$O$32,loan!$J$3:$J$32,'S Sheet'!$A38,loan!$L$3:$L$32,'S Sheet'!$AO$1),IF($AO$1="Mar",SUMIFS(loan!$O$3:$O$32,loan!$J$3:$J$32,'S Sheet'!$A38,loan!$L$3:$L$32,'S Sheet'!$AO$1),IF($AO$1="Apr",SUMIFS(loan!$O$3:$O$32,loan!$J$3:$J$32,'S Sheet'!$A38,loan!$L$3:$L$32,'S Sheet'!$AO$1),IF($AO$1="May",SUMIFS(loan!$O$3:$O$32,loan!$J$3:$J$32,'S Sheet'!$A38,loan!$L$3:$L$32,'S Sheet'!$AO$1),IF($AO$1="Jun",SUMIFS(loan!$O$3:$O$32,loan!$J$3:$J$32,'S Sheet'!$A38,loan!$L$3:$L$32,'S Sheet'!$AO$1),IF($AO$1="Jul",SUMIFS(loan!$O$3:$O$32,loan!$J$3:$J$32,'S Sheet'!$A38,loan!$L$3:$L$32,'S Sheet'!$AO$1),IF($AO$1="Aug",SUMIFS(loan!$O$3:$O$32,loan!$J$3:$J$32,'S Sheet'!$A38,loan!$L$3:$L$32,'S Sheet'!$AO$1),IF($AO$1="Sep",SUMIFS(loan!$O$3:$O$32,loan!$J$3:$J$32,'S Sheet'!$A38,loan!$L$3:$L$32,'S Sheet'!$AO$1),IF($AO$1="Oct",SUMIFS(loan!$O$3:$O$32,loan!$J$3:$J$32,'S Sheet'!$A38,loan!$L$3:$L$32,'S Sheet'!$AO$1),IF($AO$1="Nov",SUMIFS(loan!$O$3:$O$32,loan!$J$3:$J$32,'S Sheet'!$A38,loan!$L$3:$L$32,'S Sheet'!$AO$1),IF($AO$1="Dec",SUMIFS(loan!$O$3:$O$32,loan!$J$3:$J$32,'S Sheet'!$A38,loan!$L$3:$L$32,'S Sheet'!$AO$1),""))))))))))))</f>
        <v>0</v>
      </c>
      <c r="T38" s="4">
        <f>IFERROR(VLOOKUP($A38,loan!$A$2:$H$22,3,0),0)</f>
        <v>0</v>
      </c>
      <c r="U38" s="4">
        <f t="shared" si="5"/>
        <v>0</v>
      </c>
      <c r="V38" s="28" t="str">
        <f>IFERROR(VLOOKUP($A38,loan!$A$2:$H$22,2,0),"")</f>
        <v/>
      </c>
      <c r="W38" s="4">
        <f>IFERROR(VLOOKUP($A38,loan!$A$2:$H$22,5,0),0)</f>
        <v>0</v>
      </c>
      <c r="X38" s="4">
        <f t="shared" si="14"/>
        <v>0</v>
      </c>
      <c r="Y38" s="4">
        <f t="shared" si="7"/>
        <v>0</v>
      </c>
      <c r="Z38" s="29">
        <f t="shared" si="13"/>
        <v>0</v>
      </c>
      <c r="AA38" s="4">
        <f>IF('S Sheet'!$AO$1='S Sheet'!$AO$1,SUMIFS(adv!$E$3:$E$97,adv!$B$3:$B$97,'S Sheet'!$A38,adv!$D$3:$D$97,'S Sheet'!$AO$1),0)</f>
        <v>0</v>
      </c>
      <c r="AB38" s="4">
        <f>IF($AO$1=$AO$1,SUMIFS(adv!$H$3:$H$97,adv!$B$3:$B$97,'S Sheet'!$A38,adv!$D$3:$D$97,'S Sheet'!$AO$1),0)</f>
        <v>0</v>
      </c>
      <c r="AC38" s="29">
        <f t="shared" si="0"/>
        <v>0</v>
      </c>
      <c r="AD38" s="4">
        <f t="shared" si="15"/>
        <v>20000</v>
      </c>
      <c r="AE38" s="34">
        <f t="shared" si="16"/>
        <v>20000</v>
      </c>
      <c r="AF38" s="4">
        <f>VLOOKUP($A38,Master!$A$2:$K$52,8,0)</f>
        <v>8000</v>
      </c>
      <c r="AG38" s="4">
        <f>VLOOKUP($A38,Master!$A$2:$K$52,9,0)</f>
        <v>2000</v>
      </c>
      <c r="AH38" s="4">
        <f>VLOOKUP($A38,Master!$A$2:$K$52,10,0)</f>
        <v>1000</v>
      </c>
      <c r="AI38" s="4">
        <f t="shared" si="17"/>
        <v>0</v>
      </c>
      <c r="AJ38" s="4">
        <f>IF($AO$1=$AO$1,SUMIFS(adv!$Q$3:$Q$52,adv!$M$3:$M$52,'S Sheet'!$A38,adv!$O$3:$O$52,'S Sheet'!$AO$1),0)</f>
        <v>0</v>
      </c>
      <c r="AK38" s="34">
        <f t="shared" si="18"/>
        <v>31000</v>
      </c>
      <c r="AL38" s="4">
        <f t="shared" si="8"/>
        <v>2640</v>
      </c>
      <c r="AM38" s="34">
        <f t="shared" si="9"/>
        <v>0</v>
      </c>
      <c r="AN38" s="34">
        <f t="shared" si="10"/>
        <v>0</v>
      </c>
      <c r="AO38" s="4">
        <f t="shared" si="11"/>
        <v>0</v>
      </c>
      <c r="AP38" s="36">
        <f t="shared" si="12"/>
        <v>28360</v>
      </c>
    </row>
    <row r="39" spans="1:42" ht="21" x14ac:dyDescent="0.25">
      <c r="A39" s="4" t="s">
        <v>65</v>
      </c>
      <c r="B39" s="4" t="str">
        <f>VLOOKUP($A39,Master!$A$2:$K$52,COLUMN(Master!B37),0)</f>
        <v>Employee36</v>
      </c>
      <c r="C39" s="4" t="str">
        <f>VLOOKUP($A39,Master!$A$2:$K$52,COLUMN(Master!C37),0)</f>
        <v>Male</v>
      </c>
      <c r="D39" s="26">
        <f>VLOOKUP($A39,Master!$A$2:$K$52,COLUMN(Master!D37),0)</f>
        <v>44889</v>
      </c>
      <c r="E39" s="4" t="str">
        <f>VLOOKUP($A39,Master!$A$2:$K$52,COLUMN(Master!E37),0)</f>
        <v>Production</v>
      </c>
      <c r="F39" s="4" t="str">
        <f>VLOOKUP($A39,Master!$A$2:$K$52,COLUMN(Master!F37),0)</f>
        <v>Operator</v>
      </c>
      <c r="G39" s="4" t="s">
        <v>386</v>
      </c>
      <c r="H39" s="4">
        <v>32211948115</v>
      </c>
      <c r="I39" s="4" t="s">
        <v>417</v>
      </c>
      <c r="J39" s="4">
        <f>VLOOKUP($A39,Master!$A$2:$K$52,COLUMN(Master!G37),0)</f>
        <v>12000</v>
      </c>
      <c r="K39" s="4">
        <f>VLOOKUP($A39,Master!$A$2:$K$52,COLUMN(Master!H37),0)</f>
        <v>4800</v>
      </c>
      <c r="L39" s="4">
        <f>VLOOKUP($A39,Master!$A$2:$K$52,COLUMN(Master!I37),0)</f>
        <v>1200</v>
      </c>
      <c r="M39" s="4">
        <f>VLOOKUP($A39,Master!$A$2:$K$52,COLUMN(Master!J37),0)</f>
        <v>600</v>
      </c>
      <c r="N39" s="4">
        <f>IF($AO$1="Jan",VLOOKUP($A39,jan!$A$5:$AU$54,46,0),IF('S Sheet'!$AO$1="Feb",VLOOKUP('S Sheet'!$A39,feb!$A$5:$AR$54,43,0),IF($AO$1="Mar",VLOOKUP($A39,mar!$A$5:$AU$54,46,0),IF($AO$1="Apr",VLOOKUP($A39,apr!$A$5:$AU$54,45,0),IF($AO$1="May",VLOOKUP($A39,may!$A$5:$AU$54,46,0),IF($AO$1="Jun",VLOOKUP($A39,jun!$A$5:$AU$54,45,0),IF($AO$1="Jul",VLOOKUP($A39,jul!$A$5:$AV$54,46,0),IF($AO$1="Aug",VLOOKUP($A39,aug!$A$5:$AU$54,46,0),IF($AO$1="Sep",VLOOKUP($A39,sep!$A$5:$AT$54,45,0),IF($AO$1="Oct",VLOOKUP($A39,oct!$A$5:$AU$54,46,0),IF($AO$1="Nov",VLOOKUP($A39,nov!$A$5:$AU$54,45,0),IF($AO$1="Dec",VLOOKUP($A39,dec!$A$5:$AU$54,46,0),""))))))))))))</f>
        <v>31</v>
      </c>
      <c r="O39" s="4">
        <f>IF($AO$1="Jan",VLOOKUP($A39,jan!$A$5:$AU$54,47,0),IF('S Sheet'!$AO$1="Feb",VLOOKUP('S Sheet'!$A39,feb!$A$5:$AR$54,44,0),IF($AO$1="Mar",VLOOKUP($A39,mar!$A$5:$AU$54,47,0),IF($AO$1="Apr",VLOOKUP($A39,apr!$A$5:$AU$54,46,0),IF($AO$1="May",VLOOKUP($A39,may!$A$5:$AU$54,47,0),IF($AO$1="Jun",VLOOKUP($A39,jun!$A$5:$AU$54,46,0),IF($AO$1="Jul",VLOOKUP($A39,jul!$A$5:$AV$54,47,0),IF($AO$1="Aug",VLOOKUP($A39,aug!$A$5:$AU$54,47,0),IF($AO$1="Sep",VLOOKUP($A39,sep!$A$5:$AT$54,46,0),IF($AO$1="Oct",VLOOKUP($A39,oct!$A$5:$AU$54,47,0),IF($AO$1="Nov",VLOOKUP($A39,nov!$A$5:$AU$54,46,0),IF($AO$1="Dec",VLOOKUP($A39,dec!$A$5:$AU$54,47,0),""))))))))))))</f>
        <v>31</v>
      </c>
      <c r="P39" s="4">
        <f>IF($AO$1="Jan",SUMIFS(holly!$L$3:$L$122,holly!$I$3:$I$122,'S Sheet'!$A39,holly!$K$3:$K$122,'S Sheet'!$AO$1),IF($AO$1="Feb",SUMIFS(holly!$L$3:$L$122,holly!$I$3:$I$122,'S Sheet'!$A39,holly!$K$3:$K$122,'S Sheet'!$AO$1),IF($AO$1="Mar",SUMIFS(holly!$L$3:$L$122,holly!$I$3:$I$122,'S Sheet'!$A39,holly!$K$3:$K$122,'S Sheet'!$AO$1),IF($AO$1="Apr",SUMIFS(holly!$L$3:$L$122,holly!$I$3:$I$122,'S Sheet'!$A39,holly!$K$3:$K$122,'S Sheet'!$AO$1),IF($AO$1="May",SUMIFS(holly!$L$3:$L$122,holly!$I$3:$I$122,'S Sheet'!$A39,holly!$K$3:$K$122,'S Sheet'!$AO$1),IF($AO$1="Jun",SUMIFS(holly!$L$3:$L$122,holly!$I$3:$I$122,'S Sheet'!$A39,holly!$K$3:$K$122,'S Sheet'!$AO$1),IF($AO$1="Jul",SUMIFS(holly!$L$3:$L$122,holly!$I$3:$I$122,'S Sheet'!$A39,holly!$K$3:$K$122,'S Sheet'!$AO$1),IF($AO$1="Aug",SUMIFS(holly!$L$3:$L$122,holly!$I$3:$I$122,'S Sheet'!$A39,holly!$K$3:$K$122,'S Sheet'!$AO$1),IF($AO$1="Sep",SUMIFS(holly!$L$3:$L$122,holly!$I$3:$I$122,'S Sheet'!$A39,holly!$K$3:$K$122,'S Sheet'!$AO$1),IF($AO$1="Oct",SUMIFS(holly!$L$3:$L$122,holly!$I$3:$I$122,'S Sheet'!$A39,holly!$K$3:$K$122,'S Sheet'!$AO$1),IF($AO$1="Nov",SUMIFS(holly!$L$3:$L$122,holly!$I$3:$I$122,'S Sheet'!$A39,holly!$K$3:$K$122,'S Sheet'!$AO$1),IF($AO$1="Dec",SUMIFS(holly!$L$3:$L$122,holly!$I$3:$I$122,'S Sheet'!$A39,holly!$K$3:$K$122,'S Sheet'!$AO$1),""))))))))))))</f>
        <v>0</v>
      </c>
      <c r="Q39" s="4">
        <f>IFERROR(VLOOKUP($A39,holly!$I$2:$O$122,5,0),0)</f>
        <v>86.54</v>
      </c>
      <c r="R39" s="4">
        <f>IF($AO$1="Jan",SUMIFS(adv!$Q$3:$Q$52,adv!$M$3:$M$52,'S Sheet'!$A39,adv!$O$3:$O$52,'S Sheet'!$AO$1),IF($AO$1="Feb",SUMIFS(adv!$Q$3:$Q$52,adv!$M$3:$M$52,'S Sheet'!$A39,adv!$O$3:$O$52,'S Sheet'!$AO$1),IF($AO$1="Mar",SUMIFS(adv!$Q$3:$Q$52,adv!$M$3:$M$52,'S Sheet'!$A39,adv!$O$3:$O$52,'S Sheet'!$AO$1),IF($AO$1="Apr",SUMIFS(adv!$Q$3:$Q$52,adv!$M$3:$M$52,'S Sheet'!$A39,adv!$O$3:$O$52,'S Sheet'!$AO$1),IF($AO$1="May",SUMIFS(adv!$Q$3:$Q$52,adv!$M$3:$M$52,'S Sheet'!$A39,adv!$O$3:$O$52,'S Sheet'!$AO$1),IF($AO$1="Jun",SUMIFS(adv!$Q$3:$Q$52,adv!$M$3:$M$52,'S Sheet'!$A39,adv!$O$3:$O$52,'S Sheet'!$AO$1),IF($AO$1="Jul",SUMIFS(adv!$Q$3:$Q$52,adv!$M$3:$M$52,'S Sheet'!$A39,adv!$O$3:$O$52,'S Sheet'!$AO$1),IF($AO$1="Aug",SUMIFS(adv!$Q$3:$Q$52,adv!$M$3:$M$52,'S Sheet'!$A39,adv!$O$3:$O$52,'S Sheet'!$AO$1),IF($AO$1="Sep",SUMIFS(adv!$Q$3:$Q$52,adv!$M$3:$M$52,'S Sheet'!$A39,adv!$O$3:$O$52,'S Sheet'!$AO$1),IF($AO$1="Oct",SUMIFS(adv!$Q$3:$Q$52,adv!$M$3:$M$52,'S Sheet'!$A39,adv!$O$3:$O$52,'S Sheet'!$AO$1),IF($AO$1="Nov",SUMIFS(adv!$Q$3:$Q$52,adv!$M$3:$M$52,'S Sheet'!$A39,adv!$O$3:$O$52,'S Sheet'!$AO$1),IF($AO$1="Dec",SUMIFS(adv!$Q$3:$Q$52,adv!$M$3:$M$52,'S Sheet'!$A39,adv!$O$3:$O$52,'S Sheet'!$AO$1),""))))))))))))</f>
        <v>0</v>
      </c>
      <c r="S39" s="4">
        <f>IF($AO$1="Jan",SUMIFS(loan!$O$3:$O$32,loan!$J$3:$J$32,'S Sheet'!$A39,loan!$L$3:$L$32,'S Sheet'!$AO$1),IF($AO$1="Feb",SUMIFS(loan!$O$3:$O$32,loan!$J$3:$J$32,'S Sheet'!$A39,loan!$L$3:$L$32,'S Sheet'!$AO$1),IF($AO$1="Mar",SUMIFS(loan!$O$3:$O$32,loan!$J$3:$J$32,'S Sheet'!$A39,loan!$L$3:$L$32,'S Sheet'!$AO$1),IF($AO$1="Apr",SUMIFS(loan!$O$3:$O$32,loan!$J$3:$J$32,'S Sheet'!$A39,loan!$L$3:$L$32,'S Sheet'!$AO$1),IF($AO$1="May",SUMIFS(loan!$O$3:$O$32,loan!$J$3:$J$32,'S Sheet'!$A39,loan!$L$3:$L$32,'S Sheet'!$AO$1),IF($AO$1="Jun",SUMIFS(loan!$O$3:$O$32,loan!$J$3:$J$32,'S Sheet'!$A39,loan!$L$3:$L$32,'S Sheet'!$AO$1),IF($AO$1="Jul",SUMIFS(loan!$O$3:$O$32,loan!$J$3:$J$32,'S Sheet'!$A39,loan!$L$3:$L$32,'S Sheet'!$AO$1),IF($AO$1="Aug",SUMIFS(loan!$O$3:$O$32,loan!$J$3:$J$32,'S Sheet'!$A39,loan!$L$3:$L$32,'S Sheet'!$AO$1),IF($AO$1="Sep",SUMIFS(loan!$O$3:$O$32,loan!$J$3:$J$32,'S Sheet'!$A39,loan!$L$3:$L$32,'S Sheet'!$AO$1),IF($AO$1="Oct",SUMIFS(loan!$O$3:$O$32,loan!$J$3:$J$32,'S Sheet'!$A39,loan!$L$3:$L$32,'S Sheet'!$AO$1),IF($AO$1="Nov",SUMIFS(loan!$O$3:$O$32,loan!$J$3:$J$32,'S Sheet'!$A39,loan!$L$3:$L$32,'S Sheet'!$AO$1),IF($AO$1="Dec",SUMIFS(loan!$O$3:$O$32,loan!$J$3:$J$32,'S Sheet'!$A39,loan!$L$3:$L$32,'S Sheet'!$AO$1),""))))))))))))</f>
        <v>0</v>
      </c>
      <c r="T39" s="4">
        <f>IFERROR(VLOOKUP($A39,loan!$A$2:$H$22,3,0),0)</f>
        <v>0</v>
      </c>
      <c r="U39" s="4">
        <f t="shared" si="5"/>
        <v>0</v>
      </c>
      <c r="V39" s="28" t="str">
        <f>IFERROR(VLOOKUP($A39,loan!$A$2:$H$22,2,0),"")</f>
        <v/>
      </c>
      <c r="W39" s="4">
        <f>IFERROR(VLOOKUP($A39,loan!$A$2:$H$22,5,0),0)</f>
        <v>0</v>
      </c>
      <c r="X39" s="4">
        <f t="shared" si="14"/>
        <v>0</v>
      </c>
      <c r="Y39" s="4">
        <f t="shared" si="7"/>
        <v>0</v>
      </c>
      <c r="Z39" s="29">
        <f t="shared" si="13"/>
        <v>0</v>
      </c>
      <c r="AA39" s="4">
        <f>IF('S Sheet'!$AO$1='S Sheet'!$AO$1,SUMIFS(adv!$E$3:$E$97,adv!$B$3:$B$97,'S Sheet'!$A39,adv!$D$3:$D$97,'S Sheet'!$AO$1),0)</f>
        <v>0</v>
      </c>
      <c r="AB39" s="4">
        <f>IF($AO$1=$AO$1,SUMIFS(adv!$H$3:$H$97,adv!$B$3:$B$97,'S Sheet'!$A39,adv!$D$3:$D$97,'S Sheet'!$AO$1),0)</f>
        <v>0</v>
      </c>
      <c r="AC39" s="29">
        <f t="shared" si="0"/>
        <v>0</v>
      </c>
      <c r="AD39" s="4">
        <f t="shared" si="15"/>
        <v>12000</v>
      </c>
      <c r="AE39" s="34">
        <f t="shared" si="16"/>
        <v>12000</v>
      </c>
      <c r="AF39" s="4">
        <f>VLOOKUP($A39,Master!$A$2:$K$52,8,0)</f>
        <v>4800</v>
      </c>
      <c r="AG39" s="4">
        <f>VLOOKUP($A39,Master!$A$2:$K$52,9,0)</f>
        <v>1200</v>
      </c>
      <c r="AH39" s="4">
        <f>VLOOKUP($A39,Master!$A$2:$K$52,10,0)</f>
        <v>600</v>
      </c>
      <c r="AI39" s="4">
        <f t="shared" si="17"/>
        <v>0</v>
      </c>
      <c r="AJ39" s="4">
        <f>IF($AO$1=$AO$1,SUMIFS(adv!$Q$3:$Q$52,adv!$M$3:$M$52,'S Sheet'!$A39,adv!$O$3:$O$52,'S Sheet'!$AO$1),0)</f>
        <v>0</v>
      </c>
      <c r="AK39" s="34">
        <f t="shared" si="18"/>
        <v>18600</v>
      </c>
      <c r="AL39" s="4">
        <f t="shared" si="8"/>
        <v>1584</v>
      </c>
      <c r="AM39" s="34">
        <f t="shared" si="9"/>
        <v>139.5</v>
      </c>
      <c r="AN39" s="34">
        <f t="shared" si="10"/>
        <v>0</v>
      </c>
      <c r="AO39" s="4">
        <f t="shared" si="11"/>
        <v>0</v>
      </c>
      <c r="AP39" s="36">
        <f t="shared" si="12"/>
        <v>16876.5</v>
      </c>
    </row>
    <row r="40" spans="1:42" ht="21" x14ac:dyDescent="0.25">
      <c r="A40" s="4" t="s">
        <v>66</v>
      </c>
      <c r="B40" s="4" t="str">
        <f>VLOOKUP($A40,Master!$A$2:$K$52,COLUMN(Master!B38),0)</f>
        <v>Employee37</v>
      </c>
      <c r="C40" s="4" t="str">
        <f>VLOOKUP($A40,Master!$A$2:$K$52,COLUMN(Master!C38),0)</f>
        <v>Male</v>
      </c>
      <c r="D40" s="26">
        <f>VLOOKUP($A40,Master!$A$2:$K$52,COLUMN(Master!D38),0)</f>
        <v>44211</v>
      </c>
      <c r="E40" s="4" t="str">
        <f>VLOOKUP($A40,Master!$A$2:$K$52,COLUMN(Master!E38),0)</f>
        <v>Maintenance</v>
      </c>
      <c r="F40" s="4" t="str">
        <f>VLOOKUP($A40,Master!$A$2:$K$52,COLUMN(Master!F38),0)</f>
        <v>Electrician</v>
      </c>
      <c r="G40" s="4" t="s">
        <v>29</v>
      </c>
      <c r="H40" s="4">
        <v>91354050294</v>
      </c>
      <c r="I40" s="4" t="s">
        <v>418</v>
      </c>
      <c r="J40" s="4">
        <f>VLOOKUP($A40,Master!$A$2:$K$52,COLUMN(Master!G38),0)</f>
        <v>12000</v>
      </c>
      <c r="K40" s="4">
        <f>VLOOKUP($A40,Master!$A$2:$K$52,COLUMN(Master!H38),0)</f>
        <v>4800</v>
      </c>
      <c r="L40" s="4">
        <f>VLOOKUP($A40,Master!$A$2:$K$52,COLUMN(Master!I38),0)</f>
        <v>1200</v>
      </c>
      <c r="M40" s="4">
        <f>VLOOKUP($A40,Master!$A$2:$K$52,COLUMN(Master!J38),0)</f>
        <v>600</v>
      </c>
      <c r="N40" s="4">
        <f>IF($AO$1="Jan",VLOOKUP($A40,jan!$A$5:$AU$54,46,0),IF('S Sheet'!$AO$1="Feb",VLOOKUP('S Sheet'!$A40,feb!$A$5:$AR$54,43,0),IF($AO$1="Mar",VLOOKUP($A40,mar!$A$5:$AU$54,46,0),IF($AO$1="Apr",VLOOKUP($A40,apr!$A$5:$AU$54,45,0),IF($AO$1="May",VLOOKUP($A40,may!$A$5:$AU$54,46,0),IF($AO$1="Jun",VLOOKUP($A40,jun!$A$5:$AU$54,45,0),IF($AO$1="Jul",VLOOKUP($A40,jul!$A$5:$AV$54,46,0),IF($AO$1="Aug",VLOOKUP($A40,aug!$A$5:$AU$54,46,0),IF($AO$1="Sep",VLOOKUP($A40,sep!$A$5:$AT$54,45,0),IF($AO$1="Oct",VLOOKUP($A40,oct!$A$5:$AU$54,46,0),IF($AO$1="Nov",VLOOKUP($A40,nov!$A$5:$AU$54,45,0),IF($AO$1="Dec",VLOOKUP($A40,dec!$A$5:$AU$54,46,0),""))))))))))))</f>
        <v>31</v>
      </c>
      <c r="O40" s="4">
        <f>IF($AO$1="Jan",VLOOKUP($A40,jan!$A$5:$AU$54,47,0),IF('S Sheet'!$AO$1="Feb",VLOOKUP('S Sheet'!$A40,feb!$A$5:$AR$54,44,0),IF($AO$1="Mar",VLOOKUP($A40,mar!$A$5:$AU$54,47,0),IF($AO$1="Apr",VLOOKUP($A40,apr!$A$5:$AU$54,46,0),IF($AO$1="May",VLOOKUP($A40,may!$A$5:$AU$54,47,0),IF($AO$1="Jun",VLOOKUP($A40,jun!$A$5:$AU$54,46,0),IF($AO$1="Jul",VLOOKUP($A40,jul!$A$5:$AV$54,47,0),IF($AO$1="Aug",VLOOKUP($A40,aug!$A$5:$AU$54,47,0),IF($AO$1="Sep",VLOOKUP($A40,sep!$A$5:$AT$54,46,0),IF($AO$1="Oct",VLOOKUP($A40,oct!$A$5:$AU$54,47,0),IF($AO$1="Nov",VLOOKUP($A40,nov!$A$5:$AU$54,46,0),IF($AO$1="Dec",VLOOKUP($A40,dec!$A$5:$AU$54,47,0),""))))))))))))</f>
        <v>31</v>
      </c>
      <c r="P40" s="4">
        <f>IF($AO$1="Jan",SUMIFS(holly!$L$3:$L$122,holly!$I$3:$I$122,'S Sheet'!$A40,holly!$K$3:$K$122,'S Sheet'!$AO$1),IF($AO$1="Feb",SUMIFS(holly!$L$3:$L$122,holly!$I$3:$I$122,'S Sheet'!$A40,holly!$K$3:$K$122,'S Sheet'!$AO$1),IF($AO$1="Mar",SUMIFS(holly!$L$3:$L$122,holly!$I$3:$I$122,'S Sheet'!$A40,holly!$K$3:$K$122,'S Sheet'!$AO$1),IF($AO$1="Apr",SUMIFS(holly!$L$3:$L$122,holly!$I$3:$I$122,'S Sheet'!$A40,holly!$K$3:$K$122,'S Sheet'!$AO$1),IF($AO$1="May",SUMIFS(holly!$L$3:$L$122,holly!$I$3:$I$122,'S Sheet'!$A40,holly!$K$3:$K$122,'S Sheet'!$AO$1),IF($AO$1="Jun",SUMIFS(holly!$L$3:$L$122,holly!$I$3:$I$122,'S Sheet'!$A40,holly!$K$3:$K$122,'S Sheet'!$AO$1),IF($AO$1="Jul",SUMIFS(holly!$L$3:$L$122,holly!$I$3:$I$122,'S Sheet'!$A40,holly!$K$3:$K$122,'S Sheet'!$AO$1),IF($AO$1="Aug",SUMIFS(holly!$L$3:$L$122,holly!$I$3:$I$122,'S Sheet'!$A40,holly!$K$3:$K$122,'S Sheet'!$AO$1),IF($AO$1="Sep",SUMIFS(holly!$L$3:$L$122,holly!$I$3:$I$122,'S Sheet'!$A40,holly!$K$3:$K$122,'S Sheet'!$AO$1),IF($AO$1="Oct",SUMIFS(holly!$L$3:$L$122,holly!$I$3:$I$122,'S Sheet'!$A40,holly!$K$3:$K$122,'S Sheet'!$AO$1),IF($AO$1="Nov",SUMIFS(holly!$L$3:$L$122,holly!$I$3:$I$122,'S Sheet'!$A40,holly!$K$3:$K$122,'S Sheet'!$AO$1),IF($AO$1="Dec",SUMIFS(holly!$L$3:$L$122,holly!$I$3:$I$122,'S Sheet'!$A40,holly!$K$3:$K$122,'S Sheet'!$AO$1),""))))))))))))</f>
        <v>0</v>
      </c>
      <c r="Q40" s="4">
        <f>IFERROR(VLOOKUP($A40,holly!$I$2:$O$122,5,0),0)</f>
        <v>86.54</v>
      </c>
      <c r="R40" s="4">
        <f>IF($AO$1="Jan",SUMIFS(adv!$Q$3:$Q$52,adv!$M$3:$M$52,'S Sheet'!$A40,adv!$O$3:$O$52,'S Sheet'!$AO$1),IF($AO$1="Feb",SUMIFS(adv!$Q$3:$Q$52,adv!$M$3:$M$52,'S Sheet'!$A40,adv!$O$3:$O$52,'S Sheet'!$AO$1),IF($AO$1="Mar",SUMIFS(adv!$Q$3:$Q$52,adv!$M$3:$M$52,'S Sheet'!$A40,adv!$O$3:$O$52,'S Sheet'!$AO$1),IF($AO$1="Apr",SUMIFS(adv!$Q$3:$Q$52,adv!$M$3:$M$52,'S Sheet'!$A40,adv!$O$3:$O$52,'S Sheet'!$AO$1),IF($AO$1="May",SUMIFS(adv!$Q$3:$Q$52,adv!$M$3:$M$52,'S Sheet'!$A40,adv!$O$3:$O$52,'S Sheet'!$AO$1),IF($AO$1="Jun",SUMIFS(adv!$Q$3:$Q$52,adv!$M$3:$M$52,'S Sheet'!$A40,adv!$O$3:$O$52,'S Sheet'!$AO$1),IF($AO$1="Jul",SUMIFS(adv!$Q$3:$Q$52,adv!$M$3:$M$52,'S Sheet'!$A40,adv!$O$3:$O$52,'S Sheet'!$AO$1),IF($AO$1="Aug",SUMIFS(adv!$Q$3:$Q$52,adv!$M$3:$M$52,'S Sheet'!$A40,adv!$O$3:$O$52,'S Sheet'!$AO$1),IF($AO$1="Sep",SUMIFS(adv!$Q$3:$Q$52,adv!$M$3:$M$52,'S Sheet'!$A40,adv!$O$3:$O$52,'S Sheet'!$AO$1),IF($AO$1="Oct",SUMIFS(adv!$Q$3:$Q$52,adv!$M$3:$M$52,'S Sheet'!$A40,adv!$O$3:$O$52,'S Sheet'!$AO$1),IF($AO$1="Nov",SUMIFS(adv!$Q$3:$Q$52,adv!$M$3:$M$52,'S Sheet'!$A40,adv!$O$3:$O$52,'S Sheet'!$AO$1),IF($AO$1="Dec",SUMIFS(adv!$Q$3:$Q$52,adv!$M$3:$M$52,'S Sheet'!$A40,adv!$O$3:$O$52,'S Sheet'!$AO$1),""))))))))))))</f>
        <v>0</v>
      </c>
      <c r="S40" s="4">
        <f>IF($AO$1="Jan",SUMIFS(loan!$O$3:$O$32,loan!$J$3:$J$32,'S Sheet'!$A40,loan!$L$3:$L$32,'S Sheet'!$AO$1),IF($AO$1="Feb",SUMIFS(loan!$O$3:$O$32,loan!$J$3:$J$32,'S Sheet'!$A40,loan!$L$3:$L$32,'S Sheet'!$AO$1),IF($AO$1="Mar",SUMIFS(loan!$O$3:$O$32,loan!$J$3:$J$32,'S Sheet'!$A40,loan!$L$3:$L$32,'S Sheet'!$AO$1),IF($AO$1="Apr",SUMIFS(loan!$O$3:$O$32,loan!$J$3:$J$32,'S Sheet'!$A40,loan!$L$3:$L$32,'S Sheet'!$AO$1),IF($AO$1="May",SUMIFS(loan!$O$3:$O$32,loan!$J$3:$J$32,'S Sheet'!$A40,loan!$L$3:$L$32,'S Sheet'!$AO$1),IF($AO$1="Jun",SUMIFS(loan!$O$3:$O$32,loan!$J$3:$J$32,'S Sheet'!$A40,loan!$L$3:$L$32,'S Sheet'!$AO$1),IF($AO$1="Jul",SUMIFS(loan!$O$3:$O$32,loan!$J$3:$J$32,'S Sheet'!$A40,loan!$L$3:$L$32,'S Sheet'!$AO$1),IF($AO$1="Aug",SUMIFS(loan!$O$3:$O$32,loan!$J$3:$J$32,'S Sheet'!$A40,loan!$L$3:$L$32,'S Sheet'!$AO$1),IF($AO$1="Sep",SUMIFS(loan!$O$3:$O$32,loan!$J$3:$J$32,'S Sheet'!$A40,loan!$L$3:$L$32,'S Sheet'!$AO$1),IF($AO$1="Oct",SUMIFS(loan!$O$3:$O$32,loan!$J$3:$J$32,'S Sheet'!$A40,loan!$L$3:$L$32,'S Sheet'!$AO$1),IF($AO$1="Nov",SUMIFS(loan!$O$3:$O$32,loan!$J$3:$J$32,'S Sheet'!$A40,loan!$L$3:$L$32,'S Sheet'!$AO$1),IF($AO$1="Dec",SUMIFS(loan!$O$3:$O$32,loan!$J$3:$J$32,'S Sheet'!$A40,loan!$L$3:$L$32,'S Sheet'!$AO$1),""))))))))))))</f>
        <v>0</v>
      </c>
      <c r="T40" s="4">
        <f>IFERROR(VLOOKUP($A40,loan!$A$2:$H$22,3,0),0)</f>
        <v>0</v>
      </c>
      <c r="U40" s="4">
        <f t="shared" si="5"/>
        <v>0</v>
      </c>
      <c r="V40" s="28" t="str">
        <f>IFERROR(VLOOKUP($A40,loan!$A$2:$H$22,2,0),"")</f>
        <v/>
      </c>
      <c r="W40" s="4">
        <f>IFERROR(VLOOKUP($A40,loan!$A$2:$H$22,5,0),0)</f>
        <v>0</v>
      </c>
      <c r="X40" s="4">
        <f t="shared" si="14"/>
        <v>0</v>
      </c>
      <c r="Y40" s="4">
        <f t="shared" si="7"/>
        <v>0</v>
      </c>
      <c r="Z40" s="29">
        <f t="shared" si="13"/>
        <v>0</v>
      </c>
      <c r="AA40" s="4">
        <f>IF('S Sheet'!$AO$1='S Sheet'!$AO$1,SUMIFS(adv!$E$3:$E$97,adv!$B$3:$B$97,'S Sheet'!$A40,adv!$D$3:$D$97,'S Sheet'!$AO$1),0)</f>
        <v>0</v>
      </c>
      <c r="AB40" s="4">
        <f>IF($AO$1=$AO$1,SUMIFS(adv!$H$3:$H$97,adv!$B$3:$B$97,'S Sheet'!$A40,adv!$D$3:$D$97,'S Sheet'!$AO$1),0)</f>
        <v>0</v>
      </c>
      <c r="AC40" s="29">
        <f t="shared" si="0"/>
        <v>0</v>
      </c>
      <c r="AD40" s="4">
        <f t="shared" si="15"/>
        <v>12000</v>
      </c>
      <c r="AE40" s="34">
        <f t="shared" si="16"/>
        <v>12000</v>
      </c>
      <c r="AF40" s="4">
        <f>VLOOKUP($A40,Master!$A$2:$K$52,8,0)</f>
        <v>4800</v>
      </c>
      <c r="AG40" s="4">
        <f>VLOOKUP($A40,Master!$A$2:$K$52,9,0)</f>
        <v>1200</v>
      </c>
      <c r="AH40" s="4">
        <f>VLOOKUP($A40,Master!$A$2:$K$52,10,0)</f>
        <v>600</v>
      </c>
      <c r="AI40" s="4">
        <f t="shared" si="17"/>
        <v>0</v>
      </c>
      <c r="AJ40" s="4">
        <f>IF($AO$1=$AO$1,SUMIFS(adv!$Q$3:$Q$52,adv!$M$3:$M$52,'S Sheet'!$A40,adv!$O$3:$O$52,'S Sheet'!$AO$1),0)</f>
        <v>0</v>
      </c>
      <c r="AK40" s="34">
        <f t="shared" si="18"/>
        <v>18600</v>
      </c>
      <c r="AL40" s="4">
        <f t="shared" si="8"/>
        <v>1584</v>
      </c>
      <c r="AM40" s="34">
        <f t="shared" si="9"/>
        <v>139.5</v>
      </c>
      <c r="AN40" s="34">
        <f t="shared" si="10"/>
        <v>0</v>
      </c>
      <c r="AO40" s="4">
        <f t="shared" si="11"/>
        <v>0</v>
      </c>
      <c r="AP40" s="36">
        <f t="shared" si="12"/>
        <v>16876.5</v>
      </c>
    </row>
    <row r="41" spans="1:42" ht="21" x14ac:dyDescent="0.25">
      <c r="A41" s="4" t="s">
        <v>68</v>
      </c>
      <c r="B41" s="4" t="str">
        <f>VLOOKUP($A41,Master!$A$2:$K$52,COLUMN(Master!B39),0)</f>
        <v>Employee38</v>
      </c>
      <c r="C41" s="4" t="str">
        <f>VLOOKUP($A41,Master!$A$2:$K$52,COLUMN(Master!C39),0)</f>
        <v>Male</v>
      </c>
      <c r="D41" s="26">
        <f>VLOOKUP($A41,Master!$A$2:$K$52,COLUMN(Master!D39),0)</f>
        <v>44873</v>
      </c>
      <c r="E41" s="4" t="str">
        <f>VLOOKUP($A41,Master!$A$2:$K$52,COLUMN(Master!E39),0)</f>
        <v>Production</v>
      </c>
      <c r="F41" s="4" t="str">
        <f>VLOOKUP($A41,Master!$A$2:$K$52,COLUMN(Master!F39),0)</f>
        <v>Operator</v>
      </c>
      <c r="G41" s="4" t="s">
        <v>25</v>
      </c>
      <c r="H41" s="4">
        <v>94959740423</v>
      </c>
      <c r="I41" s="4" t="s">
        <v>419</v>
      </c>
      <c r="J41" s="4">
        <f>VLOOKUP($A41,Master!$A$2:$K$52,COLUMN(Master!G39),0)</f>
        <v>10000</v>
      </c>
      <c r="K41" s="4">
        <f>VLOOKUP($A41,Master!$A$2:$K$52,COLUMN(Master!H39),0)</f>
        <v>4000</v>
      </c>
      <c r="L41" s="4">
        <f>VLOOKUP($A41,Master!$A$2:$K$52,COLUMN(Master!I39),0)</f>
        <v>1000</v>
      </c>
      <c r="M41" s="4">
        <f>VLOOKUP($A41,Master!$A$2:$K$52,COLUMN(Master!J39),0)</f>
        <v>500</v>
      </c>
      <c r="N41" s="4">
        <f>IF($AO$1="Jan",VLOOKUP($A41,jan!$A$5:$AU$54,46,0),IF('S Sheet'!$AO$1="Feb",VLOOKUP('S Sheet'!$A41,feb!$A$5:$AR$54,43,0),IF($AO$1="Mar",VLOOKUP($A41,mar!$A$5:$AU$54,46,0),IF($AO$1="Apr",VLOOKUP($A41,apr!$A$5:$AU$54,45,0),IF($AO$1="May",VLOOKUP($A41,may!$A$5:$AU$54,46,0),IF($AO$1="Jun",VLOOKUP($A41,jun!$A$5:$AU$54,45,0),IF($AO$1="Jul",VLOOKUP($A41,jul!$A$5:$AV$54,46,0),IF($AO$1="Aug",VLOOKUP($A41,aug!$A$5:$AU$54,46,0),IF($AO$1="Sep",VLOOKUP($A41,sep!$A$5:$AT$54,45,0),IF($AO$1="Oct",VLOOKUP($A41,oct!$A$5:$AU$54,46,0),IF($AO$1="Nov",VLOOKUP($A41,nov!$A$5:$AU$54,45,0),IF($AO$1="Dec",VLOOKUP($A41,dec!$A$5:$AU$54,46,0),""))))))))))))</f>
        <v>31</v>
      </c>
      <c r="O41" s="4">
        <f>IF($AO$1="Jan",VLOOKUP($A41,jan!$A$5:$AU$54,47,0),IF('S Sheet'!$AO$1="Feb",VLOOKUP('S Sheet'!$A41,feb!$A$5:$AR$54,44,0),IF($AO$1="Mar",VLOOKUP($A41,mar!$A$5:$AU$54,47,0),IF($AO$1="Apr",VLOOKUP($A41,apr!$A$5:$AU$54,46,0),IF($AO$1="May",VLOOKUP($A41,may!$A$5:$AU$54,47,0),IF($AO$1="Jun",VLOOKUP($A41,jun!$A$5:$AU$54,46,0),IF($AO$1="Jul",VLOOKUP($A41,jul!$A$5:$AV$54,47,0),IF($AO$1="Aug",VLOOKUP($A41,aug!$A$5:$AU$54,47,0),IF($AO$1="Sep",VLOOKUP($A41,sep!$A$5:$AT$54,46,0),IF($AO$1="Oct",VLOOKUP($A41,oct!$A$5:$AU$54,47,0),IF($AO$1="Nov",VLOOKUP($A41,nov!$A$5:$AU$54,46,0),IF($AO$1="Dec",VLOOKUP($A41,dec!$A$5:$AU$54,47,0),""))))))))))))</f>
        <v>31</v>
      </c>
      <c r="P41" s="4">
        <f>IF($AO$1="Jan",SUMIFS(holly!$L$3:$L$122,holly!$I$3:$I$122,'S Sheet'!$A41,holly!$K$3:$K$122,'S Sheet'!$AO$1),IF($AO$1="Feb",SUMIFS(holly!$L$3:$L$122,holly!$I$3:$I$122,'S Sheet'!$A41,holly!$K$3:$K$122,'S Sheet'!$AO$1),IF($AO$1="Mar",SUMIFS(holly!$L$3:$L$122,holly!$I$3:$I$122,'S Sheet'!$A41,holly!$K$3:$K$122,'S Sheet'!$AO$1),IF($AO$1="Apr",SUMIFS(holly!$L$3:$L$122,holly!$I$3:$I$122,'S Sheet'!$A41,holly!$K$3:$K$122,'S Sheet'!$AO$1),IF($AO$1="May",SUMIFS(holly!$L$3:$L$122,holly!$I$3:$I$122,'S Sheet'!$A41,holly!$K$3:$K$122,'S Sheet'!$AO$1),IF($AO$1="Jun",SUMIFS(holly!$L$3:$L$122,holly!$I$3:$I$122,'S Sheet'!$A41,holly!$K$3:$K$122,'S Sheet'!$AO$1),IF($AO$1="Jul",SUMIFS(holly!$L$3:$L$122,holly!$I$3:$I$122,'S Sheet'!$A41,holly!$K$3:$K$122,'S Sheet'!$AO$1),IF($AO$1="Aug",SUMIFS(holly!$L$3:$L$122,holly!$I$3:$I$122,'S Sheet'!$A41,holly!$K$3:$K$122,'S Sheet'!$AO$1),IF($AO$1="Sep",SUMIFS(holly!$L$3:$L$122,holly!$I$3:$I$122,'S Sheet'!$A41,holly!$K$3:$K$122,'S Sheet'!$AO$1),IF($AO$1="Oct",SUMIFS(holly!$L$3:$L$122,holly!$I$3:$I$122,'S Sheet'!$A41,holly!$K$3:$K$122,'S Sheet'!$AO$1),IF($AO$1="Nov",SUMIFS(holly!$L$3:$L$122,holly!$I$3:$I$122,'S Sheet'!$A41,holly!$K$3:$K$122,'S Sheet'!$AO$1),IF($AO$1="Dec",SUMIFS(holly!$L$3:$L$122,holly!$I$3:$I$122,'S Sheet'!$A41,holly!$K$3:$K$122,'S Sheet'!$AO$1),""))))))))))))</f>
        <v>2</v>
      </c>
      <c r="Q41" s="4">
        <f>IFERROR(VLOOKUP($A41,holly!$I$2:$O$122,5,0),0)</f>
        <v>72.12</v>
      </c>
      <c r="R41" s="4">
        <f>IF($AO$1="Jan",SUMIFS(adv!$Q$3:$Q$52,adv!$M$3:$M$52,'S Sheet'!$A41,adv!$O$3:$O$52,'S Sheet'!$AO$1),IF($AO$1="Feb",SUMIFS(adv!$Q$3:$Q$52,adv!$M$3:$M$52,'S Sheet'!$A41,adv!$O$3:$O$52,'S Sheet'!$AO$1),IF($AO$1="Mar",SUMIFS(adv!$Q$3:$Q$52,adv!$M$3:$M$52,'S Sheet'!$A41,adv!$O$3:$O$52,'S Sheet'!$AO$1),IF($AO$1="Apr",SUMIFS(adv!$Q$3:$Q$52,adv!$M$3:$M$52,'S Sheet'!$A41,adv!$O$3:$O$52,'S Sheet'!$AO$1),IF($AO$1="May",SUMIFS(adv!$Q$3:$Q$52,adv!$M$3:$M$52,'S Sheet'!$A41,adv!$O$3:$O$52,'S Sheet'!$AO$1),IF($AO$1="Jun",SUMIFS(adv!$Q$3:$Q$52,adv!$M$3:$M$52,'S Sheet'!$A41,adv!$O$3:$O$52,'S Sheet'!$AO$1),IF($AO$1="Jul",SUMIFS(adv!$Q$3:$Q$52,adv!$M$3:$M$52,'S Sheet'!$A41,adv!$O$3:$O$52,'S Sheet'!$AO$1),IF($AO$1="Aug",SUMIFS(adv!$Q$3:$Q$52,adv!$M$3:$M$52,'S Sheet'!$A41,adv!$O$3:$O$52,'S Sheet'!$AO$1),IF($AO$1="Sep",SUMIFS(adv!$Q$3:$Q$52,adv!$M$3:$M$52,'S Sheet'!$A41,adv!$O$3:$O$52,'S Sheet'!$AO$1),IF($AO$1="Oct",SUMIFS(adv!$Q$3:$Q$52,adv!$M$3:$M$52,'S Sheet'!$A41,adv!$O$3:$O$52,'S Sheet'!$AO$1),IF($AO$1="Nov",SUMIFS(adv!$Q$3:$Q$52,adv!$M$3:$M$52,'S Sheet'!$A41,adv!$O$3:$O$52,'S Sheet'!$AO$1),IF($AO$1="Dec",SUMIFS(adv!$Q$3:$Q$52,adv!$M$3:$M$52,'S Sheet'!$A41,adv!$O$3:$O$52,'S Sheet'!$AO$1),""))))))))))))</f>
        <v>0</v>
      </c>
      <c r="S41" s="4">
        <f>IF($AO$1="Jan",SUMIFS(loan!$O$3:$O$32,loan!$J$3:$J$32,'S Sheet'!$A41,loan!$L$3:$L$32,'S Sheet'!$AO$1),IF($AO$1="Feb",SUMIFS(loan!$O$3:$O$32,loan!$J$3:$J$32,'S Sheet'!$A41,loan!$L$3:$L$32,'S Sheet'!$AO$1),IF($AO$1="Mar",SUMIFS(loan!$O$3:$O$32,loan!$J$3:$J$32,'S Sheet'!$A41,loan!$L$3:$L$32,'S Sheet'!$AO$1),IF($AO$1="Apr",SUMIFS(loan!$O$3:$O$32,loan!$J$3:$J$32,'S Sheet'!$A41,loan!$L$3:$L$32,'S Sheet'!$AO$1),IF($AO$1="May",SUMIFS(loan!$O$3:$O$32,loan!$J$3:$J$32,'S Sheet'!$A41,loan!$L$3:$L$32,'S Sheet'!$AO$1),IF($AO$1="Jun",SUMIFS(loan!$O$3:$O$32,loan!$J$3:$J$32,'S Sheet'!$A41,loan!$L$3:$L$32,'S Sheet'!$AO$1),IF($AO$1="Jul",SUMIFS(loan!$O$3:$O$32,loan!$J$3:$J$32,'S Sheet'!$A41,loan!$L$3:$L$32,'S Sheet'!$AO$1),IF($AO$1="Aug",SUMIFS(loan!$O$3:$O$32,loan!$J$3:$J$32,'S Sheet'!$A41,loan!$L$3:$L$32,'S Sheet'!$AO$1),IF($AO$1="Sep",SUMIFS(loan!$O$3:$O$32,loan!$J$3:$J$32,'S Sheet'!$A41,loan!$L$3:$L$32,'S Sheet'!$AO$1),IF($AO$1="Oct",SUMIFS(loan!$O$3:$O$32,loan!$J$3:$J$32,'S Sheet'!$A41,loan!$L$3:$L$32,'S Sheet'!$AO$1),IF($AO$1="Nov",SUMIFS(loan!$O$3:$O$32,loan!$J$3:$J$32,'S Sheet'!$A41,loan!$L$3:$L$32,'S Sheet'!$AO$1),IF($AO$1="Dec",SUMIFS(loan!$O$3:$O$32,loan!$J$3:$J$32,'S Sheet'!$A41,loan!$L$3:$L$32,'S Sheet'!$AO$1),""))))))))))))</f>
        <v>0</v>
      </c>
      <c r="T41" s="4">
        <f>IFERROR(VLOOKUP($A41,loan!$A$2:$H$22,3,0),0)</f>
        <v>0</v>
      </c>
      <c r="U41" s="4">
        <f t="shared" si="5"/>
        <v>0</v>
      </c>
      <c r="V41" s="28" t="str">
        <f>IFERROR(VLOOKUP($A41,loan!$A$2:$H$22,2,0),"")</f>
        <v/>
      </c>
      <c r="W41" s="4">
        <f>IFERROR(VLOOKUP($A41,loan!$A$2:$H$22,5,0),0)</f>
        <v>0</v>
      </c>
      <c r="X41" s="4">
        <f t="shared" si="14"/>
        <v>0</v>
      </c>
      <c r="Y41" s="4">
        <f t="shared" si="7"/>
        <v>0</v>
      </c>
      <c r="Z41" s="29">
        <f t="shared" si="13"/>
        <v>0</v>
      </c>
      <c r="AA41" s="4">
        <f>IF('S Sheet'!$AO$1='S Sheet'!$AO$1,SUMIFS(adv!$E$3:$E$97,adv!$B$3:$B$97,'S Sheet'!$A41,adv!$D$3:$D$97,'S Sheet'!$AO$1),0)</f>
        <v>0</v>
      </c>
      <c r="AB41" s="4">
        <f>IF($AO$1=$AO$1,SUMIFS(adv!$H$3:$H$97,adv!$B$3:$B$97,'S Sheet'!$A41,adv!$D$3:$D$97,'S Sheet'!$AO$1),0)</f>
        <v>0</v>
      </c>
      <c r="AC41" s="29">
        <f t="shared" si="0"/>
        <v>0</v>
      </c>
      <c r="AD41" s="4">
        <f t="shared" si="15"/>
        <v>10000</v>
      </c>
      <c r="AE41" s="34">
        <f t="shared" si="16"/>
        <v>10000</v>
      </c>
      <c r="AF41" s="4">
        <f>VLOOKUP($A41,Master!$A$2:$K$52,8,0)</f>
        <v>4000</v>
      </c>
      <c r="AG41" s="4">
        <f>VLOOKUP($A41,Master!$A$2:$K$52,9,0)</f>
        <v>1000</v>
      </c>
      <c r="AH41" s="4">
        <f>VLOOKUP($A41,Master!$A$2:$K$52,10,0)</f>
        <v>500</v>
      </c>
      <c r="AI41" s="4">
        <f t="shared" si="17"/>
        <v>144.24</v>
      </c>
      <c r="AJ41" s="4">
        <f>IF($AO$1=$AO$1,SUMIFS(adv!$Q$3:$Q$52,adv!$M$3:$M$52,'S Sheet'!$A41,adv!$O$3:$O$52,'S Sheet'!$AO$1),0)</f>
        <v>0</v>
      </c>
      <c r="AK41" s="34">
        <f t="shared" si="18"/>
        <v>15644.24</v>
      </c>
      <c r="AL41" s="4">
        <f t="shared" si="8"/>
        <v>1320</v>
      </c>
      <c r="AM41" s="34">
        <f t="shared" si="9"/>
        <v>117.33179999999999</v>
      </c>
      <c r="AN41" s="34">
        <f t="shared" si="10"/>
        <v>0</v>
      </c>
      <c r="AO41" s="4">
        <f t="shared" si="11"/>
        <v>0</v>
      </c>
      <c r="AP41" s="36">
        <f t="shared" si="12"/>
        <v>14206.9082</v>
      </c>
    </row>
    <row r="42" spans="1:42" ht="21" x14ac:dyDescent="0.25">
      <c r="A42" s="4" t="s">
        <v>69</v>
      </c>
      <c r="B42" s="4" t="str">
        <f>VLOOKUP($A42,Master!$A$2:$K$52,COLUMN(Master!B40),0)</f>
        <v>Employee39</v>
      </c>
      <c r="C42" s="4" t="str">
        <f>VLOOKUP($A42,Master!$A$2:$K$52,COLUMN(Master!C40),0)</f>
        <v>Male</v>
      </c>
      <c r="D42" s="26">
        <f>VLOOKUP($A42,Master!$A$2:$K$52,COLUMN(Master!D40),0)</f>
        <v>44635</v>
      </c>
      <c r="E42" s="4" t="str">
        <f>VLOOKUP($A42,Master!$A$2:$K$52,COLUMN(Master!E40),0)</f>
        <v>Production</v>
      </c>
      <c r="F42" s="4" t="str">
        <f>VLOOKUP($A42,Master!$A$2:$K$52,COLUMN(Master!F40),0)</f>
        <v>Supervisor</v>
      </c>
      <c r="G42" s="4" t="s">
        <v>386</v>
      </c>
      <c r="H42" s="4">
        <v>76415599587</v>
      </c>
      <c r="I42" s="4" t="s">
        <v>420</v>
      </c>
      <c r="J42" s="4">
        <f>VLOOKUP($A42,Master!$A$2:$K$52,COLUMN(Master!G40),0)</f>
        <v>12500</v>
      </c>
      <c r="K42" s="4">
        <f>VLOOKUP($A42,Master!$A$2:$K$52,COLUMN(Master!H40),0)</f>
        <v>5000</v>
      </c>
      <c r="L42" s="4">
        <f>VLOOKUP($A42,Master!$A$2:$K$52,COLUMN(Master!I40),0)</f>
        <v>1250</v>
      </c>
      <c r="M42" s="4">
        <f>VLOOKUP($A42,Master!$A$2:$K$52,COLUMN(Master!J40),0)</f>
        <v>625</v>
      </c>
      <c r="N42" s="4">
        <f>IF($AO$1="Jan",VLOOKUP($A42,jan!$A$5:$AU$54,46,0),IF('S Sheet'!$AO$1="Feb",VLOOKUP('S Sheet'!$A42,feb!$A$5:$AR$54,43,0),IF($AO$1="Mar",VLOOKUP($A42,mar!$A$5:$AU$54,46,0),IF($AO$1="Apr",VLOOKUP($A42,apr!$A$5:$AU$54,45,0),IF($AO$1="May",VLOOKUP($A42,may!$A$5:$AU$54,46,0),IF($AO$1="Jun",VLOOKUP($A42,jun!$A$5:$AU$54,45,0),IF($AO$1="Jul",VLOOKUP($A42,jul!$A$5:$AV$54,46,0),IF($AO$1="Aug",VLOOKUP($A42,aug!$A$5:$AU$54,46,0),IF($AO$1="Sep",VLOOKUP($A42,sep!$A$5:$AT$54,45,0),IF($AO$1="Oct",VLOOKUP($A42,oct!$A$5:$AU$54,46,0),IF($AO$1="Nov",VLOOKUP($A42,nov!$A$5:$AU$54,45,0),IF($AO$1="Dec",VLOOKUP($A42,dec!$A$5:$AU$54,46,0),""))))))))))))</f>
        <v>31</v>
      </c>
      <c r="O42" s="4">
        <f>IF($AO$1="Jan",VLOOKUP($A42,jan!$A$5:$AU$54,47,0),IF('S Sheet'!$AO$1="Feb",VLOOKUP('S Sheet'!$A42,feb!$A$5:$AR$54,44,0),IF($AO$1="Mar",VLOOKUP($A42,mar!$A$5:$AU$54,47,0),IF($AO$1="Apr",VLOOKUP($A42,apr!$A$5:$AU$54,46,0),IF($AO$1="May",VLOOKUP($A42,may!$A$5:$AU$54,47,0),IF($AO$1="Jun",VLOOKUP($A42,jun!$A$5:$AU$54,46,0),IF($AO$1="Jul",VLOOKUP($A42,jul!$A$5:$AV$54,47,0),IF($AO$1="Aug",VLOOKUP($A42,aug!$A$5:$AU$54,47,0),IF($AO$1="Sep",VLOOKUP($A42,sep!$A$5:$AT$54,46,0),IF($AO$1="Oct",VLOOKUP($A42,oct!$A$5:$AU$54,47,0),IF($AO$1="Nov",VLOOKUP($A42,nov!$A$5:$AU$54,46,0),IF($AO$1="Dec",VLOOKUP($A42,dec!$A$5:$AU$54,47,0),""))))))))))))</f>
        <v>31</v>
      </c>
      <c r="P42" s="4">
        <f>IF($AO$1="Jan",SUMIFS(holly!$L$3:$L$122,holly!$I$3:$I$122,'S Sheet'!$A42,holly!$K$3:$K$122,'S Sheet'!$AO$1),IF($AO$1="Feb",SUMIFS(holly!$L$3:$L$122,holly!$I$3:$I$122,'S Sheet'!$A42,holly!$K$3:$K$122,'S Sheet'!$AO$1),IF($AO$1="Mar",SUMIFS(holly!$L$3:$L$122,holly!$I$3:$I$122,'S Sheet'!$A42,holly!$K$3:$K$122,'S Sheet'!$AO$1),IF($AO$1="Apr",SUMIFS(holly!$L$3:$L$122,holly!$I$3:$I$122,'S Sheet'!$A42,holly!$K$3:$K$122,'S Sheet'!$AO$1),IF($AO$1="May",SUMIFS(holly!$L$3:$L$122,holly!$I$3:$I$122,'S Sheet'!$A42,holly!$K$3:$K$122,'S Sheet'!$AO$1),IF($AO$1="Jun",SUMIFS(holly!$L$3:$L$122,holly!$I$3:$I$122,'S Sheet'!$A42,holly!$K$3:$K$122,'S Sheet'!$AO$1),IF($AO$1="Jul",SUMIFS(holly!$L$3:$L$122,holly!$I$3:$I$122,'S Sheet'!$A42,holly!$K$3:$K$122,'S Sheet'!$AO$1),IF($AO$1="Aug",SUMIFS(holly!$L$3:$L$122,holly!$I$3:$I$122,'S Sheet'!$A42,holly!$K$3:$K$122,'S Sheet'!$AO$1),IF($AO$1="Sep",SUMIFS(holly!$L$3:$L$122,holly!$I$3:$I$122,'S Sheet'!$A42,holly!$K$3:$K$122,'S Sheet'!$AO$1),IF($AO$1="Oct",SUMIFS(holly!$L$3:$L$122,holly!$I$3:$I$122,'S Sheet'!$A42,holly!$K$3:$K$122,'S Sheet'!$AO$1),IF($AO$1="Nov",SUMIFS(holly!$L$3:$L$122,holly!$I$3:$I$122,'S Sheet'!$A42,holly!$K$3:$K$122,'S Sheet'!$AO$1),IF($AO$1="Dec",SUMIFS(holly!$L$3:$L$122,holly!$I$3:$I$122,'S Sheet'!$A42,holly!$K$3:$K$122,'S Sheet'!$AO$1),""))))))))))))</f>
        <v>0</v>
      </c>
      <c r="Q42" s="4">
        <f>IFERROR(VLOOKUP($A42,holly!$I$2:$O$122,5,0),0)</f>
        <v>90.14</v>
      </c>
      <c r="R42" s="4">
        <f>IF($AO$1="Jan",SUMIFS(adv!$Q$3:$Q$52,adv!$M$3:$M$52,'S Sheet'!$A42,adv!$O$3:$O$52,'S Sheet'!$AO$1),IF($AO$1="Feb",SUMIFS(adv!$Q$3:$Q$52,adv!$M$3:$M$52,'S Sheet'!$A42,adv!$O$3:$O$52,'S Sheet'!$AO$1),IF($AO$1="Mar",SUMIFS(adv!$Q$3:$Q$52,adv!$M$3:$M$52,'S Sheet'!$A42,adv!$O$3:$O$52,'S Sheet'!$AO$1),IF($AO$1="Apr",SUMIFS(adv!$Q$3:$Q$52,adv!$M$3:$M$52,'S Sheet'!$A42,adv!$O$3:$O$52,'S Sheet'!$AO$1),IF($AO$1="May",SUMIFS(adv!$Q$3:$Q$52,adv!$M$3:$M$52,'S Sheet'!$A42,adv!$O$3:$O$52,'S Sheet'!$AO$1),IF($AO$1="Jun",SUMIFS(adv!$Q$3:$Q$52,adv!$M$3:$M$52,'S Sheet'!$A42,adv!$O$3:$O$52,'S Sheet'!$AO$1),IF($AO$1="Jul",SUMIFS(adv!$Q$3:$Q$52,adv!$M$3:$M$52,'S Sheet'!$A42,adv!$O$3:$O$52,'S Sheet'!$AO$1),IF($AO$1="Aug",SUMIFS(adv!$Q$3:$Q$52,adv!$M$3:$M$52,'S Sheet'!$A42,adv!$O$3:$O$52,'S Sheet'!$AO$1),IF($AO$1="Sep",SUMIFS(adv!$Q$3:$Q$52,adv!$M$3:$M$52,'S Sheet'!$A42,adv!$O$3:$O$52,'S Sheet'!$AO$1),IF($AO$1="Oct",SUMIFS(adv!$Q$3:$Q$52,adv!$M$3:$M$52,'S Sheet'!$A42,adv!$O$3:$O$52,'S Sheet'!$AO$1),IF($AO$1="Nov",SUMIFS(adv!$Q$3:$Q$52,adv!$M$3:$M$52,'S Sheet'!$A42,adv!$O$3:$O$52,'S Sheet'!$AO$1),IF($AO$1="Dec",SUMIFS(adv!$Q$3:$Q$52,adv!$M$3:$M$52,'S Sheet'!$A42,adv!$O$3:$O$52,'S Sheet'!$AO$1),""))))))))))))</f>
        <v>0</v>
      </c>
      <c r="S42" s="4">
        <f>IF($AO$1="Jan",SUMIFS(loan!$O$3:$O$32,loan!$J$3:$J$32,'S Sheet'!$A42,loan!$L$3:$L$32,'S Sheet'!$AO$1),IF($AO$1="Feb",SUMIFS(loan!$O$3:$O$32,loan!$J$3:$J$32,'S Sheet'!$A42,loan!$L$3:$L$32,'S Sheet'!$AO$1),IF($AO$1="Mar",SUMIFS(loan!$O$3:$O$32,loan!$J$3:$J$32,'S Sheet'!$A42,loan!$L$3:$L$32,'S Sheet'!$AO$1),IF($AO$1="Apr",SUMIFS(loan!$O$3:$O$32,loan!$J$3:$J$32,'S Sheet'!$A42,loan!$L$3:$L$32,'S Sheet'!$AO$1),IF($AO$1="May",SUMIFS(loan!$O$3:$O$32,loan!$J$3:$J$32,'S Sheet'!$A42,loan!$L$3:$L$32,'S Sheet'!$AO$1),IF($AO$1="Jun",SUMIFS(loan!$O$3:$O$32,loan!$J$3:$J$32,'S Sheet'!$A42,loan!$L$3:$L$32,'S Sheet'!$AO$1),IF($AO$1="Jul",SUMIFS(loan!$O$3:$O$32,loan!$J$3:$J$32,'S Sheet'!$A42,loan!$L$3:$L$32,'S Sheet'!$AO$1),IF($AO$1="Aug",SUMIFS(loan!$O$3:$O$32,loan!$J$3:$J$32,'S Sheet'!$A42,loan!$L$3:$L$32,'S Sheet'!$AO$1),IF($AO$1="Sep",SUMIFS(loan!$O$3:$O$32,loan!$J$3:$J$32,'S Sheet'!$A42,loan!$L$3:$L$32,'S Sheet'!$AO$1),IF($AO$1="Oct",SUMIFS(loan!$O$3:$O$32,loan!$J$3:$J$32,'S Sheet'!$A42,loan!$L$3:$L$32,'S Sheet'!$AO$1),IF($AO$1="Nov",SUMIFS(loan!$O$3:$O$32,loan!$J$3:$J$32,'S Sheet'!$A42,loan!$L$3:$L$32,'S Sheet'!$AO$1),IF($AO$1="Dec",SUMIFS(loan!$O$3:$O$32,loan!$J$3:$J$32,'S Sheet'!$A42,loan!$L$3:$L$32,'S Sheet'!$AO$1),""))))))))))))</f>
        <v>0</v>
      </c>
      <c r="T42" s="4">
        <f>IFERROR(VLOOKUP($A42,loan!$A$2:$H$22,3,0),0)</f>
        <v>0</v>
      </c>
      <c r="U42" s="4">
        <f t="shared" si="5"/>
        <v>0</v>
      </c>
      <c r="V42" s="28" t="str">
        <f>IFERROR(VLOOKUP($A42,loan!$A$2:$H$22,2,0),"")</f>
        <v/>
      </c>
      <c r="W42" s="4">
        <f>IFERROR(VLOOKUP($A42,loan!$A$2:$H$22,5,0),0)</f>
        <v>0</v>
      </c>
      <c r="X42" s="4">
        <f t="shared" si="14"/>
        <v>0</v>
      </c>
      <c r="Y42" s="4">
        <f t="shared" si="7"/>
        <v>0</v>
      </c>
      <c r="Z42" s="29">
        <f t="shared" si="13"/>
        <v>0</v>
      </c>
      <c r="AA42" s="4">
        <f>IF('S Sheet'!$AO$1='S Sheet'!$AO$1,SUMIFS(adv!$E$3:$E$97,adv!$B$3:$B$97,'S Sheet'!$A42,adv!$D$3:$D$97,'S Sheet'!$AO$1),0)</f>
        <v>0</v>
      </c>
      <c r="AB42" s="4">
        <f>IF($AO$1=$AO$1,SUMIFS(adv!$H$3:$H$97,adv!$B$3:$B$97,'S Sheet'!$A42,adv!$D$3:$D$97,'S Sheet'!$AO$1),0)</f>
        <v>0</v>
      </c>
      <c r="AC42" s="29">
        <f t="shared" si="0"/>
        <v>0</v>
      </c>
      <c r="AD42" s="4">
        <f t="shared" si="15"/>
        <v>12500</v>
      </c>
      <c r="AE42" s="34">
        <f t="shared" si="16"/>
        <v>12500</v>
      </c>
      <c r="AF42" s="4">
        <f>VLOOKUP($A42,Master!$A$2:$K$52,8,0)</f>
        <v>5000</v>
      </c>
      <c r="AG42" s="4">
        <f>VLOOKUP($A42,Master!$A$2:$K$52,9,0)</f>
        <v>1250</v>
      </c>
      <c r="AH42" s="4">
        <f>VLOOKUP($A42,Master!$A$2:$K$52,10,0)</f>
        <v>625</v>
      </c>
      <c r="AI42" s="4">
        <f t="shared" si="17"/>
        <v>0</v>
      </c>
      <c r="AJ42" s="4">
        <f>IF($AO$1=$AO$1,SUMIFS(adv!$Q$3:$Q$52,adv!$M$3:$M$52,'S Sheet'!$A42,adv!$O$3:$O$52,'S Sheet'!$AO$1),0)</f>
        <v>0</v>
      </c>
      <c r="AK42" s="34">
        <f t="shared" si="18"/>
        <v>19375</v>
      </c>
      <c r="AL42" s="4">
        <f t="shared" si="8"/>
        <v>1650</v>
      </c>
      <c r="AM42" s="34">
        <f t="shared" si="9"/>
        <v>145.3125</v>
      </c>
      <c r="AN42" s="34">
        <f t="shared" si="10"/>
        <v>0</v>
      </c>
      <c r="AO42" s="4">
        <f t="shared" si="11"/>
        <v>0</v>
      </c>
      <c r="AP42" s="36">
        <f t="shared" si="12"/>
        <v>17579.6875</v>
      </c>
    </row>
    <row r="43" spans="1:42" ht="21" x14ac:dyDescent="0.25">
      <c r="A43" s="4" t="s">
        <v>70</v>
      </c>
      <c r="B43" s="4" t="str">
        <f>VLOOKUP($A43,Master!$A$2:$K$52,COLUMN(Master!B41),0)</f>
        <v>Employee40</v>
      </c>
      <c r="C43" s="4" t="str">
        <f>VLOOKUP($A43,Master!$A$2:$K$52,COLUMN(Master!C41),0)</f>
        <v>Female</v>
      </c>
      <c r="D43" s="26">
        <f>VLOOKUP($A43,Master!$A$2:$K$52,COLUMN(Master!D41),0)</f>
        <v>44694</v>
      </c>
      <c r="E43" s="4" t="str">
        <f>VLOOKUP($A43,Master!$A$2:$K$52,COLUMN(Master!E41),0)</f>
        <v>HR</v>
      </c>
      <c r="F43" s="4" t="str">
        <f>VLOOKUP($A43,Master!$A$2:$K$52,COLUMN(Master!F41),0)</f>
        <v>HR Executive</v>
      </c>
      <c r="G43" s="4" t="s">
        <v>16</v>
      </c>
      <c r="H43" s="4">
        <v>70465472547</v>
      </c>
      <c r="I43" s="4" t="s">
        <v>421</v>
      </c>
      <c r="J43" s="4">
        <f>VLOOKUP($A43,Master!$A$2:$K$52,COLUMN(Master!G41),0)</f>
        <v>18000</v>
      </c>
      <c r="K43" s="4">
        <f>VLOOKUP($A43,Master!$A$2:$K$52,COLUMN(Master!H41),0)</f>
        <v>7200</v>
      </c>
      <c r="L43" s="4">
        <f>VLOOKUP($A43,Master!$A$2:$K$52,COLUMN(Master!I41),0)</f>
        <v>1800</v>
      </c>
      <c r="M43" s="4">
        <f>VLOOKUP($A43,Master!$A$2:$K$52,COLUMN(Master!J41),0)</f>
        <v>900</v>
      </c>
      <c r="N43" s="4">
        <f>IF($AO$1="Jan",VLOOKUP($A43,jan!$A$5:$AU$54,46,0),IF('S Sheet'!$AO$1="Feb",VLOOKUP('S Sheet'!$A43,feb!$A$5:$AR$54,43,0),IF($AO$1="Mar",VLOOKUP($A43,mar!$A$5:$AU$54,46,0),IF($AO$1="Apr",VLOOKUP($A43,apr!$A$5:$AU$54,45,0),IF($AO$1="May",VLOOKUP($A43,may!$A$5:$AU$54,46,0),IF($AO$1="Jun",VLOOKUP($A43,jun!$A$5:$AU$54,45,0),IF($AO$1="Jul",VLOOKUP($A43,jul!$A$5:$AV$54,46,0),IF($AO$1="Aug",VLOOKUP($A43,aug!$A$5:$AU$54,46,0),IF($AO$1="Sep",VLOOKUP($A43,sep!$A$5:$AT$54,45,0),IF($AO$1="Oct",VLOOKUP($A43,oct!$A$5:$AU$54,46,0),IF($AO$1="Nov",VLOOKUP($A43,nov!$A$5:$AU$54,45,0),IF($AO$1="Dec",VLOOKUP($A43,dec!$A$5:$AU$54,46,0),""))))))))))))</f>
        <v>31</v>
      </c>
      <c r="O43" s="4">
        <f>IF($AO$1="Jan",VLOOKUP($A43,jan!$A$5:$AU$54,47,0),IF('S Sheet'!$AO$1="Feb",VLOOKUP('S Sheet'!$A43,feb!$A$5:$AR$54,44,0),IF($AO$1="Mar",VLOOKUP($A43,mar!$A$5:$AU$54,47,0),IF($AO$1="Apr",VLOOKUP($A43,apr!$A$5:$AU$54,46,0),IF($AO$1="May",VLOOKUP($A43,may!$A$5:$AU$54,47,0),IF($AO$1="Jun",VLOOKUP($A43,jun!$A$5:$AU$54,46,0),IF($AO$1="Jul",VLOOKUP($A43,jul!$A$5:$AV$54,47,0),IF($AO$1="Aug",VLOOKUP($A43,aug!$A$5:$AU$54,47,0),IF($AO$1="Sep",VLOOKUP($A43,sep!$A$5:$AT$54,46,0),IF($AO$1="Oct",VLOOKUP($A43,oct!$A$5:$AU$54,47,0),IF($AO$1="Nov",VLOOKUP($A43,nov!$A$5:$AU$54,46,0),IF($AO$1="Dec",VLOOKUP($A43,dec!$A$5:$AU$54,47,0),""))))))))))))</f>
        <v>31</v>
      </c>
      <c r="P43" s="4">
        <f>IF($AO$1="Jan",SUMIFS(holly!$L$3:$L$122,holly!$I$3:$I$122,'S Sheet'!$A43,holly!$K$3:$K$122,'S Sheet'!$AO$1),IF($AO$1="Feb",SUMIFS(holly!$L$3:$L$122,holly!$I$3:$I$122,'S Sheet'!$A43,holly!$K$3:$K$122,'S Sheet'!$AO$1),IF($AO$1="Mar",SUMIFS(holly!$L$3:$L$122,holly!$I$3:$I$122,'S Sheet'!$A43,holly!$K$3:$K$122,'S Sheet'!$AO$1),IF($AO$1="Apr",SUMIFS(holly!$L$3:$L$122,holly!$I$3:$I$122,'S Sheet'!$A43,holly!$K$3:$K$122,'S Sheet'!$AO$1),IF($AO$1="May",SUMIFS(holly!$L$3:$L$122,holly!$I$3:$I$122,'S Sheet'!$A43,holly!$K$3:$K$122,'S Sheet'!$AO$1),IF($AO$1="Jun",SUMIFS(holly!$L$3:$L$122,holly!$I$3:$I$122,'S Sheet'!$A43,holly!$K$3:$K$122,'S Sheet'!$AO$1),IF($AO$1="Jul",SUMIFS(holly!$L$3:$L$122,holly!$I$3:$I$122,'S Sheet'!$A43,holly!$K$3:$K$122,'S Sheet'!$AO$1),IF($AO$1="Aug",SUMIFS(holly!$L$3:$L$122,holly!$I$3:$I$122,'S Sheet'!$A43,holly!$K$3:$K$122,'S Sheet'!$AO$1),IF($AO$1="Sep",SUMIFS(holly!$L$3:$L$122,holly!$I$3:$I$122,'S Sheet'!$A43,holly!$K$3:$K$122,'S Sheet'!$AO$1),IF($AO$1="Oct",SUMIFS(holly!$L$3:$L$122,holly!$I$3:$I$122,'S Sheet'!$A43,holly!$K$3:$K$122,'S Sheet'!$AO$1),IF($AO$1="Nov",SUMIFS(holly!$L$3:$L$122,holly!$I$3:$I$122,'S Sheet'!$A43,holly!$K$3:$K$122,'S Sheet'!$AO$1),IF($AO$1="Dec",SUMIFS(holly!$L$3:$L$122,holly!$I$3:$I$122,'S Sheet'!$A43,holly!$K$3:$K$122,'S Sheet'!$AO$1),""))))))))))))</f>
        <v>0</v>
      </c>
      <c r="Q43" s="4">
        <f>IFERROR(VLOOKUP($A43,holly!$I$2:$O$122,5,0),0)</f>
        <v>129.81</v>
      </c>
      <c r="R43" s="4">
        <f>IF($AO$1="Jan",SUMIFS(adv!$Q$3:$Q$52,adv!$M$3:$M$52,'S Sheet'!$A43,adv!$O$3:$O$52,'S Sheet'!$AO$1),IF($AO$1="Feb",SUMIFS(adv!$Q$3:$Q$52,adv!$M$3:$M$52,'S Sheet'!$A43,adv!$O$3:$O$52,'S Sheet'!$AO$1),IF($AO$1="Mar",SUMIFS(adv!$Q$3:$Q$52,adv!$M$3:$M$52,'S Sheet'!$A43,adv!$O$3:$O$52,'S Sheet'!$AO$1),IF($AO$1="Apr",SUMIFS(adv!$Q$3:$Q$52,adv!$M$3:$M$52,'S Sheet'!$A43,adv!$O$3:$O$52,'S Sheet'!$AO$1),IF($AO$1="May",SUMIFS(adv!$Q$3:$Q$52,adv!$M$3:$M$52,'S Sheet'!$A43,adv!$O$3:$O$52,'S Sheet'!$AO$1),IF($AO$1="Jun",SUMIFS(adv!$Q$3:$Q$52,adv!$M$3:$M$52,'S Sheet'!$A43,adv!$O$3:$O$52,'S Sheet'!$AO$1),IF($AO$1="Jul",SUMIFS(adv!$Q$3:$Q$52,adv!$M$3:$M$52,'S Sheet'!$A43,adv!$O$3:$O$52,'S Sheet'!$AO$1),IF($AO$1="Aug",SUMIFS(adv!$Q$3:$Q$52,adv!$M$3:$M$52,'S Sheet'!$A43,adv!$O$3:$O$52,'S Sheet'!$AO$1),IF($AO$1="Sep",SUMIFS(adv!$Q$3:$Q$52,adv!$M$3:$M$52,'S Sheet'!$A43,adv!$O$3:$O$52,'S Sheet'!$AO$1),IF($AO$1="Oct",SUMIFS(adv!$Q$3:$Q$52,adv!$M$3:$M$52,'S Sheet'!$A43,adv!$O$3:$O$52,'S Sheet'!$AO$1),IF($AO$1="Nov",SUMIFS(adv!$Q$3:$Q$52,adv!$M$3:$M$52,'S Sheet'!$A43,adv!$O$3:$O$52,'S Sheet'!$AO$1),IF($AO$1="Dec",SUMIFS(adv!$Q$3:$Q$52,adv!$M$3:$M$52,'S Sheet'!$A43,adv!$O$3:$O$52,'S Sheet'!$AO$1),""))))))))))))</f>
        <v>0</v>
      </c>
      <c r="S43" s="4">
        <f>IF($AO$1="Jan",SUMIFS(loan!$O$3:$O$32,loan!$J$3:$J$32,'S Sheet'!$A43,loan!$L$3:$L$32,'S Sheet'!$AO$1),IF($AO$1="Feb",SUMIFS(loan!$O$3:$O$32,loan!$J$3:$J$32,'S Sheet'!$A43,loan!$L$3:$L$32,'S Sheet'!$AO$1),IF($AO$1="Mar",SUMIFS(loan!$O$3:$O$32,loan!$J$3:$J$32,'S Sheet'!$A43,loan!$L$3:$L$32,'S Sheet'!$AO$1),IF($AO$1="Apr",SUMIFS(loan!$O$3:$O$32,loan!$J$3:$J$32,'S Sheet'!$A43,loan!$L$3:$L$32,'S Sheet'!$AO$1),IF($AO$1="May",SUMIFS(loan!$O$3:$O$32,loan!$J$3:$J$32,'S Sheet'!$A43,loan!$L$3:$L$32,'S Sheet'!$AO$1),IF($AO$1="Jun",SUMIFS(loan!$O$3:$O$32,loan!$J$3:$J$32,'S Sheet'!$A43,loan!$L$3:$L$32,'S Sheet'!$AO$1),IF($AO$1="Jul",SUMIFS(loan!$O$3:$O$32,loan!$J$3:$J$32,'S Sheet'!$A43,loan!$L$3:$L$32,'S Sheet'!$AO$1),IF($AO$1="Aug",SUMIFS(loan!$O$3:$O$32,loan!$J$3:$J$32,'S Sheet'!$A43,loan!$L$3:$L$32,'S Sheet'!$AO$1),IF($AO$1="Sep",SUMIFS(loan!$O$3:$O$32,loan!$J$3:$J$32,'S Sheet'!$A43,loan!$L$3:$L$32,'S Sheet'!$AO$1),IF($AO$1="Oct",SUMIFS(loan!$O$3:$O$32,loan!$J$3:$J$32,'S Sheet'!$A43,loan!$L$3:$L$32,'S Sheet'!$AO$1),IF($AO$1="Nov",SUMIFS(loan!$O$3:$O$32,loan!$J$3:$J$32,'S Sheet'!$A43,loan!$L$3:$L$32,'S Sheet'!$AO$1),IF($AO$1="Dec",SUMIFS(loan!$O$3:$O$32,loan!$J$3:$J$32,'S Sheet'!$A43,loan!$L$3:$L$32,'S Sheet'!$AO$1),""))))))))))))</f>
        <v>0</v>
      </c>
      <c r="T43" s="4">
        <f>IFERROR(VLOOKUP($A43,loan!$A$2:$H$22,3,0),0)</f>
        <v>0</v>
      </c>
      <c r="U43" s="4">
        <f t="shared" si="5"/>
        <v>0</v>
      </c>
      <c r="V43" s="28" t="str">
        <f>IFERROR(VLOOKUP($A43,loan!$A$2:$H$22,2,0),"")</f>
        <v/>
      </c>
      <c r="W43" s="4">
        <f>IFERROR(VLOOKUP($A43,loan!$A$2:$H$22,5,0),0)</f>
        <v>0</v>
      </c>
      <c r="X43" s="4">
        <f t="shared" si="14"/>
        <v>0</v>
      </c>
      <c r="Y43" s="4">
        <f t="shared" si="7"/>
        <v>0</v>
      </c>
      <c r="Z43" s="29">
        <f t="shared" si="13"/>
        <v>0</v>
      </c>
      <c r="AA43" s="4">
        <f>IF('S Sheet'!$AO$1='S Sheet'!$AO$1,SUMIFS(adv!$E$3:$E$97,adv!$B$3:$B$97,'S Sheet'!$A43,adv!$D$3:$D$97,'S Sheet'!$AO$1),0)</f>
        <v>2500</v>
      </c>
      <c r="AB43" s="4">
        <f>IF($AO$1=$AO$1,SUMIFS(adv!$H$3:$H$97,adv!$B$3:$B$97,'S Sheet'!$A43,adv!$D$3:$D$97,'S Sheet'!$AO$1),0)</f>
        <v>2000</v>
      </c>
      <c r="AC43" s="29">
        <f t="shared" si="0"/>
        <v>500</v>
      </c>
      <c r="AD43" s="4">
        <f t="shared" si="15"/>
        <v>18000</v>
      </c>
      <c r="AE43" s="34">
        <f t="shared" si="16"/>
        <v>18000</v>
      </c>
      <c r="AF43" s="4">
        <f>VLOOKUP($A43,Master!$A$2:$K$52,8,0)</f>
        <v>7200</v>
      </c>
      <c r="AG43" s="4">
        <f>VLOOKUP($A43,Master!$A$2:$K$52,9,0)</f>
        <v>1800</v>
      </c>
      <c r="AH43" s="4">
        <f>VLOOKUP($A43,Master!$A$2:$K$52,10,0)</f>
        <v>900</v>
      </c>
      <c r="AI43" s="4">
        <f t="shared" si="17"/>
        <v>0</v>
      </c>
      <c r="AJ43" s="4">
        <f>IF($AO$1=$AO$1,SUMIFS(adv!$Q$3:$Q$52,adv!$M$3:$M$52,'S Sheet'!$A43,adv!$O$3:$O$52,'S Sheet'!$AO$1),0)</f>
        <v>0</v>
      </c>
      <c r="AK43" s="34">
        <f t="shared" si="18"/>
        <v>27900</v>
      </c>
      <c r="AL43" s="4">
        <f t="shared" si="8"/>
        <v>2376</v>
      </c>
      <c r="AM43" s="34">
        <f t="shared" si="9"/>
        <v>0</v>
      </c>
      <c r="AN43" s="34">
        <f t="shared" si="10"/>
        <v>0</v>
      </c>
      <c r="AO43" s="4">
        <f t="shared" si="11"/>
        <v>2000</v>
      </c>
      <c r="AP43" s="36">
        <f t="shared" si="12"/>
        <v>23524</v>
      </c>
    </row>
    <row r="44" spans="1:42" ht="21" x14ac:dyDescent="0.25">
      <c r="A44" s="4" t="s">
        <v>71</v>
      </c>
      <c r="B44" s="4" t="str">
        <f>VLOOKUP($A44,Master!$A$2:$K$52,COLUMN(Master!B42),0)</f>
        <v>Employee41</v>
      </c>
      <c r="C44" s="4" t="str">
        <f>VLOOKUP($A44,Master!$A$2:$K$52,COLUMN(Master!C42),0)</f>
        <v>Male</v>
      </c>
      <c r="D44" s="26">
        <f>VLOOKUP($A44,Master!$A$2:$K$52,COLUMN(Master!D42),0)</f>
        <v>45546</v>
      </c>
      <c r="E44" s="4" t="str">
        <f>VLOOKUP($A44,Master!$A$2:$K$52,COLUMN(Master!E42),0)</f>
        <v>Production</v>
      </c>
      <c r="F44" s="4" t="str">
        <f>VLOOKUP($A44,Master!$A$2:$K$52,COLUMN(Master!F42),0)</f>
        <v>Senior Operator</v>
      </c>
      <c r="G44" s="4" t="s">
        <v>386</v>
      </c>
      <c r="H44" s="4">
        <v>37918899533</v>
      </c>
      <c r="I44" s="4" t="s">
        <v>422</v>
      </c>
      <c r="J44" s="4">
        <f>VLOOKUP($A44,Master!$A$2:$K$52,COLUMN(Master!G42),0)</f>
        <v>10000</v>
      </c>
      <c r="K44" s="4">
        <f>VLOOKUP($A44,Master!$A$2:$K$52,COLUMN(Master!H42),0)</f>
        <v>4000</v>
      </c>
      <c r="L44" s="4">
        <f>VLOOKUP($A44,Master!$A$2:$K$52,COLUMN(Master!I42),0)</f>
        <v>1000</v>
      </c>
      <c r="M44" s="4">
        <f>VLOOKUP($A44,Master!$A$2:$K$52,COLUMN(Master!J42),0)</f>
        <v>500</v>
      </c>
      <c r="N44" s="4">
        <f>IF($AO$1="Jan",VLOOKUP($A44,jan!$A$5:$AU$54,46,0),IF('S Sheet'!$AO$1="Feb",VLOOKUP('S Sheet'!$A44,feb!$A$5:$AR$54,43,0),IF($AO$1="Mar",VLOOKUP($A44,mar!$A$5:$AU$54,46,0),IF($AO$1="Apr",VLOOKUP($A44,apr!$A$5:$AU$54,45,0),IF($AO$1="May",VLOOKUP($A44,may!$A$5:$AU$54,46,0),IF($AO$1="Jun",VLOOKUP($A44,jun!$A$5:$AU$54,45,0),IF($AO$1="Jul",VLOOKUP($A44,jul!$A$5:$AV$54,46,0),IF($AO$1="Aug",VLOOKUP($A44,aug!$A$5:$AU$54,46,0),IF($AO$1="Sep",VLOOKUP($A44,sep!$A$5:$AT$54,45,0),IF($AO$1="Oct",VLOOKUP($A44,oct!$A$5:$AU$54,46,0),IF($AO$1="Nov",VLOOKUP($A44,nov!$A$5:$AU$54,45,0),IF($AO$1="Dec",VLOOKUP($A44,dec!$A$5:$AU$54,46,0),""))))))))))))</f>
        <v>31</v>
      </c>
      <c r="O44" s="4">
        <f>IF($AO$1="Jan",VLOOKUP($A44,jan!$A$5:$AU$54,47,0),IF('S Sheet'!$AO$1="Feb",VLOOKUP('S Sheet'!$A44,feb!$A$5:$AR$54,44,0),IF($AO$1="Mar",VLOOKUP($A44,mar!$A$5:$AU$54,47,0),IF($AO$1="Apr",VLOOKUP($A44,apr!$A$5:$AU$54,46,0),IF($AO$1="May",VLOOKUP($A44,may!$A$5:$AU$54,47,0),IF($AO$1="Jun",VLOOKUP($A44,jun!$A$5:$AU$54,46,0),IF($AO$1="Jul",VLOOKUP($A44,jul!$A$5:$AV$54,47,0),IF($AO$1="Aug",VLOOKUP($A44,aug!$A$5:$AU$54,47,0),IF($AO$1="Sep",VLOOKUP($A44,sep!$A$5:$AT$54,46,0),IF($AO$1="Oct",VLOOKUP($A44,oct!$A$5:$AU$54,47,0),IF($AO$1="Nov",VLOOKUP($A44,nov!$A$5:$AU$54,46,0),IF($AO$1="Dec",VLOOKUP($A44,dec!$A$5:$AU$54,47,0),""))))))))))))</f>
        <v>30</v>
      </c>
      <c r="P44" s="4">
        <f>IF($AO$1="Jan",SUMIFS(holly!$L$3:$L$122,holly!$I$3:$I$122,'S Sheet'!$A44,holly!$K$3:$K$122,'S Sheet'!$AO$1),IF($AO$1="Feb",SUMIFS(holly!$L$3:$L$122,holly!$I$3:$I$122,'S Sheet'!$A44,holly!$K$3:$K$122,'S Sheet'!$AO$1),IF($AO$1="Mar",SUMIFS(holly!$L$3:$L$122,holly!$I$3:$I$122,'S Sheet'!$A44,holly!$K$3:$K$122,'S Sheet'!$AO$1),IF($AO$1="Apr",SUMIFS(holly!$L$3:$L$122,holly!$I$3:$I$122,'S Sheet'!$A44,holly!$K$3:$K$122,'S Sheet'!$AO$1),IF($AO$1="May",SUMIFS(holly!$L$3:$L$122,holly!$I$3:$I$122,'S Sheet'!$A44,holly!$K$3:$K$122,'S Sheet'!$AO$1),IF($AO$1="Jun",SUMIFS(holly!$L$3:$L$122,holly!$I$3:$I$122,'S Sheet'!$A44,holly!$K$3:$K$122,'S Sheet'!$AO$1),IF($AO$1="Jul",SUMIFS(holly!$L$3:$L$122,holly!$I$3:$I$122,'S Sheet'!$A44,holly!$K$3:$K$122,'S Sheet'!$AO$1),IF($AO$1="Aug",SUMIFS(holly!$L$3:$L$122,holly!$I$3:$I$122,'S Sheet'!$A44,holly!$K$3:$K$122,'S Sheet'!$AO$1),IF($AO$1="Sep",SUMIFS(holly!$L$3:$L$122,holly!$I$3:$I$122,'S Sheet'!$A44,holly!$K$3:$K$122,'S Sheet'!$AO$1),IF($AO$1="Oct",SUMIFS(holly!$L$3:$L$122,holly!$I$3:$I$122,'S Sheet'!$A44,holly!$K$3:$K$122,'S Sheet'!$AO$1),IF($AO$1="Nov",SUMIFS(holly!$L$3:$L$122,holly!$I$3:$I$122,'S Sheet'!$A44,holly!$K$3:$K$122,'S Sheet'!$AO$1),IF($AO$1="Dec",SUMIFS(holly!$L$3:$L$122,holly!$I$3:$I$122,'S Sheet'!$A44,holly!$K$3:$K$122,'S Sheet'!$AO$1),""))))))))))))</f>
        <v>2</v>
      </c>
      <c r="Q44" s="4">
        <f>IFERROR(VLOOKUP($A44,holly!$I$2:$O$122,5,0),0)</f>
        <v>72.12</v>
      </c>
      <c r="R44" s="4">
        <f>IF($AO$1="Jan",SUMIFS(adv!$Q$3:$Q$52,adv!$M$3:$M$52,'S Sheet'!$A44,adv!$O$3:$O$52,'S Sheet'!$AO$1),IF($AO$1="Feb",SUMIFS(adv!$Q$3:$Q$52,adv!$M$3:$M$52,'S Sheet'!$A44,adv!$O$3:$O$52,'S Sheet'!$AO$1),IF($AO$1="Mar",SUMIFS(adv!$Q$3:$Q$52,adv!$M$3:$M$52,'S Sheet'!$A44,adv!$O$3:$O$52,'S Sheet'!$AO$1),IF($AO$1="Apr",SUMIFS(adv!$Q$3:$Q$52,adv!$M$3:$M$52,'S Sheet'!$A44,adv!$O$3:$O$52,'S Sheet'!$AO$1),IF($AO$1="May",SUMIFS(adv!$Q$3:$Q$52,adv!$M$3:$M$52,'S Sheet'!$A44,adv!$O$3:$O$52,'S Sheet'!$AO$1),IF($AO$1="Jun",SUMIFS(adv!$Q$3:$Q$52,adv!$M$3:$M$52,'S Sheet'!$A44,adv!$O$3:$O$52,'S Sheet'!$AO$1),IF($AO$1="Jul",SUMIFS(adv!$Q$3:$Q$52,adv!$M$3:$M$52,'S Sheet'!$A44,adv!$O$3:$O$52,'S Sheet'!$AO$1),IF($AO$1="Aug",SUMIFS(adv!$Q$3:$Q$52,adv!$M$3:$M$52,'S Sheet'!$A44,adv!$O$3:$O$52,'S Sheet'!$AO$1),IF($AO$1="Sep",SUMIFS(adv!$Q$3:$Q$52,adv!$M$3:$M$52,'S Sheet'!$A44,adv!$O$3:$O$52,'S Sheet'!$AO$1),IF($AO$1="Oct",SUMIFS(adv!$Q$3:$Q$52,adv!$M$3:$M$52,'S Sheet'!$A44,adv!$O$3:$O$52,'S Sheet'!$AO$1),IF($AO$1="Nov",SUMIFS(adv!$Q$3:$Q$52,adv!$M$3:$M$52,'S Sheet'!$A44,adv!$O$3:$O$52,'S Sheet'!$AO$1),IF($AO$1="Dec",SUMIFS(adv!$Q$3:$Q$52,adv!$M$3:$M$52,'S Sheet'!$A44,adv!$O$3:$O$52,'S Sheet'!$AO$1),""))))))))))))</f>
        <v>0</v>
      </c>
      <c r="S44" s="4">
        <f>IF($AO$1="Jan",SUMIFS(loan!$O$3:$O$32,loan!$J$3:$J$32,'S Sheet'!$A44,loan!$L$3:$L$32,'S Sheet'!$AO$1),IF($AO$1="Feb",SUMIFS(loan!$O$3:$O$32,loan!$J$3:$J$32,'S Sheet'!$A44,loan!$L$3:$L$32,'S Sheet'!$AO$1),IF($AO$1="Mar",SUMIFS(loan!$O$3:$O$32,loan!$J$3:$J$32,'S Sheet'!$A44,loan!$L$3:$L$32,'S Sheet'!$AO$1),IF($AO$1="Apr",SUMIFS(loan!$O$3:$O$32,loan!$J$3:$J$32,'S Sheet'!$A44,loan!$L$3:$L$32,'S Sheet'!$AO$1),IF($AO$1="May",SUMIFS(loan!$O$3:$O$32,loan!$J$3:$J$32,'S Sheet'!$A44,loan!$L$3:$L$32,'S Sheet'!$AO$1),IF($AO$1="Jun",SUMIFS(loan!$O$3:$O$32,loan!$J$3:$J$32,'S Sheet'!$A44,loan!$L$3:$L$32,'S Sheet'!$AO$1),IF($AO$1="Jul",SUMIFS(loan!$O$3:$O$32,loan!$J$3:$J$32,'S Sheet'!$A44,loan!$L$3:$L$32,'S Sheet'!$AO$1),IF($AO$1="Aug",SUMIFS(loan!$O$3:$O$32,loan!$J$3:$J$32,'S Sheet'!$A44,loan!$L$3:$L$32,'S Sheet'!$AO$1),IF($AO$1="Sep",SUMIFS(loan!$O$3:$O$32,loan!$J$3:$J$32,'S Sheet'!$A44,loan!$L$3:$L$32,'S Sheet'!$AO$1),IF($AO$1="Oct",SUMIFS(loan!$O$3:$O$32,loan!$J$3:$J$32,'S Sheet'!$A44,loan!$L$3:$L$32,'S Sheet'!$AO$1),IF($AO$1="Nov",SUMIFS(loan!$O$3:$O$32,loan!$J$3:$J$32,'S Sheet'!$A44,loan!$L$3:$L$32,'S Sheet'!$AO$1),IF($AO$1="Dec",SUMIFS(loan!$O$3:$O$32,loan!$J$3:$J$32,'S Sheet'!$A44,loan!$L$3:$L$32,'S Sheet'!$AO$1),""))))))))))))</f>
        <v>0</v>
      </c>
      <c r="T44" s="4">
        <f>IFERROR(VLOOKUP($A44,loan!$A$2:$H$22,3,0),0)</f>
        <v>0</v>
      </c>
      <c r="U44" s="4">
        <f t="shared" si="5"/>
        <v>0</v>
      </c>
      <c r="V44" s="28" t="str">
        <f>IFERROR(VLOOKUP($A44,loan!$A$2:$H$22,2,0),"")</f>
        <v/>
      </c>
      <c r="W44" s="4">
        <f>IFERROR(VLOOKUP($A44,loan!$A$2:$H$22,5,0),0)</f>
        <v>0</v>
      </c>
      <c r="X44" s="4">
        <f t="shared" si="14"/>
        <v>0</v>
      </c>
      <c r="Y44" s="4">
        <f t="shared" si="7"/>
        <v>0</v>
      </c>
      <c r="Z44" s="29">
        <f t="shared" si="13"/>
        <v>0</v>
      </c>
      <c r="AA44" s="4">
        <f>IF('S Sheet'!$AO$1='S Sheet'!$AO$1,SUMIFS(adv!$E$3:$E$97,adv!$B$3:$B$97,'S Sheet'!$A44,adv!$D$3:$D$97,'S Sheet'!$AO$1),0)</f>
        <v>0</v>
      </c>
      <c r="AB44" s="4">
        <f>IF($AO$1=$AO$1,SUMIFS(adv!$H$3:$H$97,adv!$B$3:$B$97,'S Sheet'!$A44,adv!$D$3:$D$97,'S Sheet'!$AO$1),0)</f>
        <v>0</v>
      </c>
      <c r="AC44" s="29">
        <f t="shared" si="0"/>
        <v>0</v>
      </c>
      <c r="AD44" s="4">
        <f t="shared" si="15"/>
        <v>10000</v>
      </c>
      <c r="AE44" s="34">
        <f t="shared" si="16"/>
        <v>9677.4193548387084</v>
      </c>
      <c r="AF44" s="4">
        <f>VLOOKUP($A44,Master!$A$2:$K$52,8,0)</f>
        <v>4000</v>
      </c>
      <c r="AG44" s="4">
        <f>VLOOKUP($A44,Master!$A$2:$K$52,9,0)</f>
        <v>1000</v>
      </c>
      <c r="AH44" s="4">
        <f>VLOOKUP($A44,Master!$A$2:$K$52,10,0)</f>
        <v>500</v>
      </c>
      <c r="AI44" s="4">
        <f t="shared" si="17"/>
        <v>144.24</v>
      </c>
      <c r="AJ44" s="4">
        <f>IF($AO$1=$AO$1,SUMIFS(adv!$Q$3:$Q$52,adv!$M$3:$M$52,'S Sheet'!$A44,adv!$O$3:$O$52,'S Sheet'!$AO$1),0)</f>
        <v>0</v>
      </c>
      <c r="AK44" s="34">
        <f t="shared" si="18"/>
        <v>15321.659354838708</v>
      </c>
      <c r="AL44" s="4">
        <f t="shared" si="8"/>
        <v>1320</v>
      </c>
      <c r="AM44" s="34">
        <f t="shared" si="9"/>
        <v>114.91244516129031</v>
      </c>
      <c r="AN44" s="34">
        <f t="shared" si="10"/>
        <v>0</v>
      </c>
      <c r="AO44" s="4">
        <f t="shared" si="11"/>
        <v>0</v>
      </c>
      <c r="AP44" s="36">
        <f t="shared" si="12"/>
        <v>13886.746909677418</v>
      </c>
    </row>
    <row r="45" spans="1:42" ht="21" x14ac:dyDescent="0.25">
      <c r="A45" s="4" t="s">
        <v>72</v>
      </c>
      <c r="B45" s="4" t="str">
        <f>VLOOKUP($A45,Master!$A$2:$K$52,COLUMN(Master!B43),0)</f>
        <v>Employee42</v>
      </c>
      <c r="C45" s="4" t="str">
        <f>VLOOKUP($A45,Master!$A$2:$K$52,COLUMN(Master!C43),0)</f>
        <v>Female</v>
      </c>
      <c r="D45" s="26">
        <f>VLOOKUP($A45,Master!$A$2:$K$52,COLUMN(Master!D43),0)</f>
        <v>45690</v>
      </c>
      <c r="E45" s="4" t="str">
        <f>VLOOKUP($A45,Master!$A$2:$K$52,COLUMN(Master!E43),0)</f>
        <v>Production</v>
      </c>
      <c r="F45" s="4" t="str">
        <f>VLOOKUP($A45,Master!$A$2:$K$52,COLUMN(Master!F43),0)</f>
        <v>Operator</v>
      </c>
      <c r="G45" s="4" t="s">
        <v>29</v>
      </c>
      <c r="H45" s="4">
        <v>54566875540</v>
      </c>
      <c r="I45" s="4" t="s">
        <v>423</v>
      </c>
      <c r="J45" s="4">
        <f>VLOOKUP($A45,Master!$A$2:$K$52,COLUMN(Master!G43),0)</f>
        <v>14000</v>
      </c>
      <c r="K45" s="4">
        <f>VLOOKUP($A45,Master!$A$2:$K$52,COLUMN(Master!H43),0)</f>
        <v>5600</v>
      </c>
      <c r="L45" s="4">
        <f>VLOOKUP($A45,Master!$A$2:$K$52,COLUMN(Master!I43),0)</f>
        <v>1400</v>
      </c>
      <c r="M45" s="4">
        <f>VLOOKUP($A45,Master!$A$2:$K$52,COLUMN(Master!J43),0)</f>
        <v>700</v>
      </c>
      <c r="N45" s="4">
        <f>IF($AO$1="Jan",VLOOKUP($A45,jan!$A$5:$AU$54,46,0),IF('S Sheet'!$AO$1="Feb",VLOOKUP('S Sheet'!$A45,feb!$A$5:$AR$54,43,0),IF($AO$1="Mar",VLOOKUP($A45,mar!$A$5:$AU$54,46,0),IF($AO$1="Apr",VLOOKUP($A45,apr!$A$5:$AU$54,45,0),IF($AO$1="May",VLOOKUP($A45,may!$A$5:$AU$54,46,0),IF($AO$1="Jun",VLOOKUP($A45,jun!$A$5:$AU$54,45,0),IF($AO$1="Jul",VLOOKUP($A45,jul!$A$5:$AV$54,46,0),IF($AO$1="Aug",VLOOKUP($A45,aug!$A$5:$AU$54,46,0),IF($AO$1="Sep",VLOOKUP($A45,sep!$A$5:$AT$54,45,0),IF($AO$1="Oct",VLOOKUP($A45,oct!$A$5:$AU$54,46,0),IF($AO$1="Nov",VLOOKUP($A45,nov!$A$5:$AU$54,45,0),IF($AO$1="Dec",VLOOKUP($A45,dec!$A$5:$AU$54,46,0),""))))))))))))</f>
        <v>31</v>
      </c>
      <c r="O45" s="4">
        <f>IF($AO$1="Jan",VLOOKUP($A45,jan!$A$5:$AU$54,47,0),IF('S Sheet'!$AO$1="Feb",VLOOKUP('S Sheet'!$A45,feb!$A$5:$AR$54,44,0),IF($AO$1="Mar",VLOOKUP($A45,mar!$A$5:$AU$54,47,0),IF($AO$1="Apr",VLOOKUP($A45,apr!$A$5:$AU$54,46,0),IF($AO$1="May",VLOOKUP($A45,may!$A$5:$AU$54,47,0),IF($AO$1="Jun",VLOOKUP($A45,jun!$A$5:$AU$54,46,0),IF($AO$1="Jul",VLOOKUP($A45,jul!$A$5:$AV$54,47,0),IF($AO$1="Aug",VLOOKUP($A45,aug!$A$5:$AU$54,47,0),IF($AO$1="Sep",VLOOKUP($A45,sep!$A$5:$AT$54,46,0),IF($AO$1="Oct",VLOOKUP($A45,oct!$A$5:$AU$54,47,0),IF($AO$1="Nov",VLOOKUP($A45,nov!$A$5:$AU$54,46,0),IF($AO$1="Dec",VLOOKUP($A45,dec!$A$5:$AU$54,47,0),""))))))))))))</f>
        <v>30</v>
      </c>
      <c r="P45" s="4">
        <f>IF($AO$1="Jan",SUMIFS(holly!$L$3:$L$122,holly!$I$3:$I$122,'S Sheet'!$A45,holly!$K$3:$K$122,'S Sheet'!$AO$1),IF($AO$1="Feb",SUMIFS(holly!$L$3:$L$122,holly!$I$3:$I$122,'S Sheet'!$A45,holly!$K$3:$K$122,'S Sheet'!$AO$1),IF($AO$1="Mar",SUMIFS(holly!$L$3:$L$122,holly!$I$3:$I$122,'S Sheet'!$A45,holly!$K$3:$K$122,'S Sheet'!$AO$1),IF($AO$1="Apr",SUMIFS(holly!$L$3:$L$122,holly!$I$3:$I$122,'S Sheet'!$A45,holly!$K$3:$K$122,'S Sheet'!$AO$1),IF($AO$1="May",SUMIFS(holly!$L$3:$L$122,holly!$I$3:$I$122,'S Sheet'!$A45,holly!$K$3:$K$122,'S Sheet'!$AO$1),IF($AO$1="Jun",SUMIFS(holly!$L$3:$L$122,holly!$I$3:$I$122,'S Sheet'!$A45,holly!$K$3:$K$122,'S Sheet'!$AO$1),IF($AO$1="Jul",SUMIFS(holly!$L$3:$L$122,holly!$I$3:$I$122,'S Sheet'!$A45,holly!$K$3:$K$122,'S Sheet'!$AO$1),IF($AO$1="Aug",SUMIFS(holly!$L$3:$L$122,holly!$I$3:$I$122,'S Sheet'!$A45,holly!$K$3:$K$122,'S Sheet'!$AO$1),IF($AO$1="Sep",SUMIFS(holly!$L$3:$L$122,holly!$I$3:$I$122,'S Sheet'!$A45,holly!$K$3:$K$122,'S Sheet'!$AO$1),IF($AO$1="Oct",SUMIFS(holly!$L$3:$L$122,holly!$I$3:$I$122,'S Sheet'!$A45,holly!$K$3:$K$122,'S Sheet'!$AO$1),IF($AO$1="Nov",SUMIFS(holly!$L$3:$L$122,holly!$I$3:$I$122,'S Sheet'!$A45,holly!$K$3:$K$122,'S Sheet'!$AO$1),IF($AO$1="Dec",SUMIFS(holly!$L$3:$L$122,holly!$I$3:$I$122,'S Sheet'!$A45,holly!$K$3:$K$122,'S Sheet'!$AO$1),""))))))))))))</f>
        <v>0</v>
      </c>
      <c r="Q45" s="4">
        <f>IFERROR(VLOOKUP($A45,holly!$I$2:$O$122,5,0),0)</f>
        <v>100.96</v>
      </c>
      <c r="R45" s="4">
        <f>IF($AO$1="Jan",SUMIFS(adv!$Q$3:$Q$52,adv!$M$3:$M$52,'S Sheet'!$A45,adv!$O$3:$O$52,'S Sheet'!$AO$1),IF($AO$1="Feb",SUMIFS(adv!$Q$3:$Q$52,adv!$M$3:$M$52,'S Sheet'!$A45,adv!$O$3:$O$52,'S Sheet'!$AO$1),IF($AO$1="Mar",SUMIFS(adv!$Q$3:$Q$52,adv!$M$3:$M$52,'S Sheet'!$A45,adv!$O$3:$O$52,'S Sheet'!$AO$1),IF($AO$1="Apr",SUMIFS(adv!$Q$3:$Q$52,adv!$M$3:$M$52,'S Sheet'!$A45,adv!$O$3:$O$52,'S Sheet'!$AO$1),IF($AO$1="May",SUMIFS(adv!$Q$3:$Q$52,adv!$M$3:$M$52,'S Sheet'!$A45,adv!$O$3:$O$52,'S Sheet'!$AO$1),IF($AO$1="Jun",SUMIFS(adv!$Q$3:$Q$52,adv!$M$3:$M$52,'S Sheet'!$A45,adv!$O$3:$O$52,'S Sheet'!$AO$1),IF($AO$1="Jul",SUMIFS(adv!$Q$3:$Q$52,adv!$M$3:$M$52,'S Sheet'!$A45,adv!$O$3:$O$52,'S Sheet'!$AO$1),IF($AO$1="Aug",SUMIFS(adv!$Q$3:$Q$52,adv!$M$3:$M$52,'S Sheet'!$A45,adv!$O$3:$O$52,'S Sheet'!$AO$1),IF($AO$1="Sep",SUMIFS(adv!$Q$3:$Q$52,adv!$M$3:$M$52,'S Sheet'!$A45,adv!$O$3:$O$52,'S Sheet'!$AO$1),IF($AO$1="Oct",SUMIFS(adv!$Q$3:$Q$52,adv!$M$3:$M$52,'S Sheet'!$A45,adv!$O$3:$O$52,'S Sheet'!$AO$1),IF($AO$1="Nov",SUMIFS(adv!$Q$3:$Q$52,adv!$M$3:$M$52,'S Sheet'!$A45,adv!$O$3:$O$52,'S Sheet'!$AO$1),IF($AO$1="Dec",SUMIFS(adv!$Q$3:$Q$52,adv!$M$3:$M$52,'S Sheet'!$A45,adv!$O$3:$O$52,'S Sheet'!$AO$1),""))))))))))))</f>
        <v>0</v>
      </c>
      <c r="S45" s="4">
        <f>IF($AO$1="Jan",SUMIFS(loan!$O$3:$O$32,loan!$J$3:$J$32,'S Sheet'!$A45,loan!$L$3:$L$32,'S Sheet'!$AO$1),IF($AO$1="Feb",SUMIFS(loan!$O$3:$O$32,loan!$J$3:$J$32,'S Sheet'!$A45,loan!$L$3:$L$32,'S Sheet'!$AO$1),IF($AO$1="Mar",SUMIFS(loan!$O$3:$O$32,loan!$J$3:$J$32,'S Sheet'!$A45,loan!$L$3:$L$32,'S Sheet'!$AO$1),IF($AO$1="Apr",SUMIFS(loan!$O$3:$O$32,loan!$J$3:$J$32,'S Sheet'!$A45,loan!$L$3:$L$32,'S Sheet'!$AO$1),IF($AO$1="May",SUMIFS(loan!$O$3:$O$32,loan!$J$3:$J$32,'S Sheet'!$A45,loan!$L$3:$L$32,'S Sheet'!$AO$1),IF($AO$1="Jun",SUMIFS(loan!$O$3:$O$32,loan!$J$3:$J$32,'S Sheet'!$A45,loan!$L$3:$L$32,'S Sheet'!$AO$1),IF($AO$1="Jul",SUMIFS(loan!$O$3:$O$32,loan!$J$3:$J$32,'S Sheet'!$A45,loan!$L$3:$L$32,'S Sheet'!$AO$1),IF($AO$1="Aug",SUMIFS(loan!$O$3:$O$32,loan!$J$3:$J$32,'S Sheet'!$A45,loan!$L$3:$L$32,'S Sheet'!$AO$1),IF($AO$1="Sep",SUMIFS(loan!$O$3:$O$32,loan!$J$3:$J$32,'S Sheet'!$A45,loan!$L$3:$L$32,'S Sheet'!$AO$1),IF($AO$1="Oct",SUMIFS(loan!$O$3:$O$32,loan!$J$3:$J$32,'S Sheet'!$A45,loan!$L$3:$L$32,'S Sheet'!$AO$1),IF($AO$1="Nov",SUMIFS(loan!$O$3:$O$32,loan!$J$3:$J$32,'S Sheet'!$A45,loan!$L$3:$L$32,'S Sheet'!$AO$1),IF($AO$1="Dec",SUMIFS(loan!$O$3:$O$32,loan!$J$3:$J$32,'S Sheet'!$A45,loan!$L$3:$L$32,'S Sheet'!$AO$1),""))))))))))))</f>
        <v>0</v>
      </c>
      <c r="T45" s="4">
        <f>IFERROR(VLOOKUP($A45,loan!$A$2:$H$22,3,0),0)</f>
        <v>0</v>
      </c>
      <c r="U45" s="4">
        <f t="shared" si="5"/>
        <v>0</v>
      </c>
      <c r="V45" s="28" t="str">
        <f>IFERROR(VLOOKUP($A45,loan!$A$2:$H$22,2,0),"")</f>
        <v/>
      </c>
      <c r="W45" s="4">
        <f>IFERROR(VLOOKUP($A45,loan!$A$2:$H$22,5,0),0)</f>
        <v>0</v>
      </c>
      <c r="X45" s="4">
        <f t="shared" si="14"/>
        <v>0</v>
      </c>
      <c r="Y45" s="4">
        <f t="shared" si="7"/>
        <v>0</v>
      </c>
      <c r="Z45" s="29">
        <f t="shared" si="13"/>
        <v>0</v>
      </c>
      <c r="AA45" s="4">
        <f>IF('S Sheet'!$AO$1='S Sheet'!$AO$1,SUMIFS(adv!$E$3:$E$97,adv!$B$3:$B$97,'S Sheet'!$A45,adv!$D$3:$D$97,'S Sheet'!$AO$1),0)</f>
        <v>0</v>
      </c>
      <c r="AB45" s="4">
        <f>IF($AO$1=$AO$1,SUMIFS(adv!$H$3:$H$97,adv!$B$3:$B$97,'S Sheet'!$A45,adv!$D$3:$D$97,'S Sheet'!$AO$1),0)</f>
        <v>0</v>
      </c>
      <c r="AC45" s="29">
        <f t="shared" si="0"/>
        <v>0</v>
      </c>
      <c r="AD45" s="4">
        <f t="shared" si="15"/>
        <v>14000</v>
      </c>
      <c r="AE45" s="34">
        <f t="shared" si="16"/>
        <v>13548.387096774193</v>
      </c>
      <c r="AF45" s="4">
        <f>VLOOKUP($A45,Master!$A$2:$K$52,8,0)</f>
        <v>5600</v>
      </c>
      <c r="AG45" s="4">
        <f>VLOOKUP($A45,Master!$A$2:$K$52,9,0)</f>
        <v>1400</v>
      </c>
      <c r="AH45" s="4">
        <f>VLOOKUP($A45,Master!$A$2:$K$52,10,0)</f>
        <v>700</v>
      </c>
      <c r="AI45" s="4">
        <f t="shared" si="17"/>
        <v>0</v>
      </c>
      <c r="AJ45" s="4">
        <f>IF($AO$1=$AO$1,SUMIFS(adv!$Q$3:$Q$52,adv!$M$3:$M$52,'S Sheet'!$A45,adv!$O$3:$O$52,'S Sheet'!$AO$1),0)</f>
        <v>0</v>
      </c>
      <c r="AK45" s="34">
        <f t="shared" si="18"/>
        <v>21248.387096774193</v>
      </c>
      <c r="AL45" s="4">
        <f t="shared" si="8"/>
        <v>1848</v>
      </c>
      <c r="AM45" s="34">
        <f t="shared" si="9"/>
        <v>0</v>
      </c>
      <c r="AN45" s="34">
        <f t="shared" si="10"/>
        <v>0</v>
      </c>
      <c r="AO45" s="4">
        <f t="shared" si="11"/>
        <v>0</v>
      </c>
      <c r="AP45" s="36">
        <f t="shared" si="12"/>
        <v>19400.387096774193</v>
      </c>
    </row>
    <row r="46" spans="1:42" ht="21" x14ac:dyDescent="0.25">
      <c r="A46" s="4" t="s">
        <v>73</v>
      </c>
      <c r="B46" s="4" t="str">
        <f>VLOOKUP($A46,Master!$A$2:$K$52,COLUMN(Master!B44),0)</f>
        <v>Employee43</v>
      </c>
      <c r="C46" s="4" t="str">
        <f>VLOOKUP($A46,Master!$A$2:$K$52,COLUMN(Master!C44),0)</f>
        <v>Female</v>
      </c>
      <c r="D46" s="26">
        <f>VLOOKUP($A46,Master!$A$2:$K$52,COLUMN(Master!D44),0)</f>
        <v>44420</v>
      </c>
      <c r="E46" s="4" t="str">
        <f>VLOOKUP($A46,Master!$A$2:$K$52,COLUMN(Master!E44),0)</f>
        <v>Production</v>
      </c>
      <c r="F46" s="4" t="str">
        <f>VLOOKUP($A46,Master!$A$2:$K$52,COLUMN(Master!F44),0)</f>
        <v>Operator</v>
      </c>
      <c r="G46" s="4" t="s">
        <v>16</v>
      </c>
      <c r="H46" s="4">
        <v>88879207649</v>
      </c>
      <c r="I46" s="4" t="s">
        <v>424</v>
      </c>
      <c r="J46" s="4">
        <f>VLOOKUP($A46,Master!$A$2:$K$52,COLUMN(Master!G44),0)</f>
        <v>14000</v>
      </c>
      <c r="K46" s="4">
        <f>VLOOKUP($A46,Master!$A$2:$K$52,COLUMN(Master!H44),0)</f>
        <v>5600</v>
      </c>
      <c r="L46" s="4">
        <f>VLOOKUP($A46,Master!$A$2:$K$52,COLUMN(Master!I44),0)</f>
        <v>1400</v>
      </c>
      <c r="M46" s="4">
        <f>VLOOKUP($A46,Master!$A$2:$K$52,COLUMN(Master!J44),0)</f>
        <v>700</v>
      </c>
      <c r="N46" s="4">
        <f>IF($AO$1="Jan",VLOOKUP($A46,jan!$A$5:$AU$54,46,0),IF('S Sheet'!$AO$1="Feb",VLOOKUP('S Sheet'!$A46,feb!$A$5:$AR$54,43,0),IF($AO$1="Mar",VLOOKUP($A46,mar!$A$5:$AU$54,46,0),IF($AO$1="Apr",VLOOKUP($A46,apr!$A$5:$AU$54,45,0),IF($AO$1="May",VLOOKUP($A46,may!$A$5:$AU$54,46,0),IF($AO$1="Jun",VLOOKUP($A46,jun!$A$5:$AU$54,45,0),IF($AO$1="Jul",VLOOKUP($A46,jul!$A$5:$AV$54,46,0),IF($AO$1="Aug",VLOOKUP($A46,aug!$A$5:$AU$54,46,0),IF($AO$1="Sep",VLOOKUP($A46,sep!$A$5:$AT$54,45,0),IF($AO$1="Oct",VLOOKUP($A46,oct!$A$5:$AU$54,46,0),IF($AO$1="Nov",VLOOKUP($A46,nov!$A$5:$AU$54,45,0),IF($AO$1="Dec",VLOOKUP($A46,dec!$A$5:$AU$54,46,0),""))))))))))))</f>
        <v>31</v>
      </c>
      <c r="O46" s="4">
        <f>IF($AO$1="Jan",VLOOKUP($A46,jan!$A$5:$AU$54,47,0),IF('S Sheet'!$AO$1="Feb",VLOOKUP('S Sheet'!$A46,feb!$A$5:$AR$54,44,0),IF($AO$1="Mar",VLOOKUP($A46,mar!$A$5:$AU$54,47,0),IF($AO$1="Apr",VLOOKUP($A46,apr!$A$5:$AU$54,46,0),IF($AO$1="May",VLOOKUP($A46,may!$A$5:$AU$54,47,0),IF($AO$1="Jun",VLOOKUP($A46,jun!$A$5:$AU$54,46,0),IF($AO$1="Jul",VLOOKUP($A46,jul!$A$5:$AV$54,47,0),IF($AO$1="Aug",VLOOKUP($A46,aug!$A$5:$AU$54,47,0),IF($AO$1="Sep",VLOOKUP($A46,sep!$A$5:$AT$54,46,0),IF($AO$1="Oct",VLOOKUP($A46,oct!$A$5:$AU$54,47,0),IF($AO$1="Nov",VLOOKUP($A46,nov!$A$5:$AU$54,46,0),IF($AO$1="Dec",VLOOKUP($A46,dec!$A$5:$AU$54,47,0),""))))))))))))</f>
        <v>31</v>
      </c>
      <c r="P46" s="4">
        <f>IF($AO$1="Jan",SUMIFS(holly!$L$3:$L$122,holly!$I$3:$I$122,'S Sheet'!$A46,holly!$K$3:$K$122,'S Sheet'!$AO$1),IF($AO$1="Feb",SUMIFS(holly!$L$3:$L$122,holly!$I$3:$I$122,'S Sheet'!$A46,holly!$K$3:$K$122,'S Sheet'!$AO$1),IF($AO$1="Mar",SUMIFS(holly!$L$3:$L$122,holly!$I$3:$I$122,'S Sheet'!$A46,holly!$K$3:$K$122,'S Sheet'!$AO$1),IF($AO$1="Apr",SUMIFS(holly!$L$3:$L$122,holly!$I$3:$I$122,'S Sheet'!$A46,holly!$K$3:$K$122,'S Sheet'!$AO$1),IF($AO$1="May",SUMIFS(holly!$L$3:$L$122,holly!$I$3:$I$122,'S Sheet'!$A46,holly!$K$3:$K$122,'S Sheet'!$AO$1),IF($AO$1="Jun",SUMIFS(holly!$L$3:$L$122,holly!$I$3:$I$122,'S Sheet'!$A46,holly!$K$3:$K$122,'S Sheet'!$AO$1),IF($AO$1="Jul",SUMIFS(holly!$L$3:$L$122,holly!$I$3:$I$122,'S Sheet'!$A46,holly!$K$3:$K$122,'S Sheet'!$AO$1),IF($AO$1="Aug",SUMIFS(holly!$L$3:$L$122,holly!$I$3:$I$122,'S Sheet'!$A46,holly!$K$3:$K$122,'S Sheet'!$AO$1),IF($AO$1="Sep",SUMIFS(holly!$L$3:$L$122,holly!$I$3:$I$122,'S Sheet'!$A46,holly!$K$3:$K$122,'S Sheet'!$AO$1),IF($AO$1="Oct",SUMIFS(holly!$L$3:$L$122,holly!$I$3:$I$122,'S Sheet'!$A46,holly!$K$3:$K$122,'S Sheet'!$AO$1),IF($AO$1="Nov",SUMIFS(holly!$L$3:$L$122,holly!$I$3:$I$122,'S Sheet'!$A46,holly!$K$3:$K$122,'S Sheet'!$AO$1),IF($AO$1="Dec",SUMIFS(holly!$L$3:$L$122,holly!$I$3:$I$122,'S Sheet'!$A46,holly!$K$3:$K$122,'S Sheet'!$AO$1),""))))))))))))</f>
        <v>0</v>
      </c>
      <c r="Q46" s="4">
        <f>IFERROR(VLOOKUP($A46,holly!$I$2:$O$122,5,0),0)</f>
        <v>100.96</v>
      </c>
      <c r="R46" s="4">
        <f>IF($AO$1="Jan",SUMIFS(adv!$Q$3:$Q$52,adv!$M$3:$M$52,'S Sheet'!$A46,adv!$O$3:$O$52,'S Sheet'!$AO$1),IF($AO$1="Feb",SUMIFS(adv!$Q$3:$Q$52,adv!$M$3:$M$52,'S Sheet'!$A46,adv!$O$3:$O$52,'S Sheet'!$AO$1),IF($AO$1="Mar",SUMIFS(adv!$Q$3:$Q$52,adv!$M$3:$M$52,'S Sheet'!$A46,adv!$O$3:$O$52,'S Sheet'!$AO$1),IF($AO$1="Apr",SUMIFS(adv!$Q$3:$Q$52,adv!$M$3:$M$52,'S Sheet'!$A46,adv!$O$3:$O$52,'S Sheet'!$AO$1),IF($AO$1="May",SUMIFS(adv!$Q$3:$Q$52,adv!$M$3:$M$52,'S Sheet'!$A46,adv!$O$3:$O$52,'S Sheet'!$AO$1),IF($AO$1="Jun",SUMIFS(adv!$Q$3:$Q$52,adv!$M$3:$M$52,'S Sheet'!$A46,adv!$O$3:$O$52,'S Sheet'!$AO$1),IF($AO$1="Jul",SUMIFS(adv!$Q$3:$Q$52,adv!$M$3:$M$52,'S Sheet'!$A46,adv!$O$3:$O$52,'S Sheet'!$AO$1),IF($AO$1="Aug",SUMIFS(adv!$Q$3:$Q$52,adv!$M$3:$M$52,'S Sheet'!$A46,adv!$O$3:$O$52,'S Sheet'!$AO$1),IF($AO$1="Sep",SUMIFS(adv!$Q$3:$Q$52,adv!$M$3:$M$52,'S Sheet'!$A46,adv!$O$3:$O$52,'S Sheet'!$AO$1),IF($AO$1="Oct",SUMIFS(adv!$Q$3:$Q$52,adv!$M$3:$M$52,'S Sheet'!$A46,adv!$O$3:$O$52,'S Sheet'!$AO$1),IF($AO$1="Nov",SUMIFS(adv!$Q$3:$Q$52,adv!$M$3:$M$52,'S Sheet'!$A46,adv!$O$3:$O$52,'S Sheet'!$AO$1),IF($AO$1="Dec",SUMIFS(adv!$Q$3:$Q$52,adv!$M$3:$M$52,'S Sheet'!$A46,adv!$O$3:$O$52,'S Sheet'!$AO$1),""))))))))))))</f>
        <v>0</v>
      </c>
      <c r="S46" s="4">
        <f>IF($AO$1="Jan",SUMIFS(loan!$O$3:$O$32,loan!$J$3:$J$32,'S Sheet'!$A46,loan!$L$3:$L$32,'S Sheet'!$AO$1),IF($AO$1="Feb",SUMIFS(loan!$O$3:$O$32,loan!$J$3:$J$32,'S Sheet'!$A46,loan!$L$3:$L$32,'S Sheet'!$AO$1),IF($AO$1="Mar",SUMIFS(loan!$O$3:$O$32,loan!$J$3:$J$32,'S Sheet'!$A46,loan!$L$3:$L$32,'S Sheet'!$AO$1),IF($AO$1="Apr",SUMIFS(loan!$O$3:$O$32,loan!$J$3:$J$32,'S Sheet'!$A46,loan!$L$3:$L$32,'S Sheet'!$AO$1),IF($AO$1="May",SUMIFS(loan!$O$3:$O$32,loan!$J$3:$J$32,'S Sheet'!$A46,loan!$L$3:$L$32,'S Sheet'!$AO$1),IF($AO$1="Jun",SUMIFS(loan!$O$3:$O$32,loan!$J$3:$J$32,'S Sheet'!$A46,loan!$L$3:$L$32,'S Sheet'!$AO$1),IF($AO$1="Jul",SUMIFS(loan!$O$3:$O$32,loan!$J$3:$J$32,'S Sheet'!$A46,loan!$L$3:$L$32,'S Sheet'!$AO$1),IF($AO$1="Aug",SUMIFS(loan!$O$3:$O$32,loan!$J$3:$J$32,'S Sheet'!$A46,loan!$L$3:$L$32,'S Sheet'!$AO$1),IF($AO$1="Sep",SUMIFS(loan!$O$3:$O$32,loan!$J$3:$J$32,'S Sheet'!$A46,loan!$L$3:$L$32,'S Sheet'!$AO$1),IF($AO$1="Oct",SUMIFS(loan!$O$3:$O$32,loan!$J$3:$J$32,'S Sheet'!$A46,loan!$L$3:$L$32,'S Sheet'!$AO$1),IF($AO$1="Nov",SUMIFS(loan!$O$3:$O$32,loan!$J$3:$J$32,'S Sheet'!$A46,loan!$L$3:$L$32,'S Sheet'!$AO$1),IF($AO$1="Dec",SUMIFS(loan!$O$3:$O$32,loan!$J$3:$J$32,'S Sheet'!$A46,loan!$L$3:$L$32,'S Sheet'!$AO$1),""))))))))))))</f>
        <v>0</v>
      </c>
      <c r="T46" s="4">
        <f>IFERROR(VLOOKUP($A46,loan!$A$2:$H$22,3,0),0)</f>
        <v>50000</v>
      </c>
      <c r="U46" s="4">
        <f t="shared" si="5"/>
        <v>5000</v>
      </c>
      <c r="V46" s="28">
        <f>IFERROR(VLOOKUP($A46,loan!$A$2:$H$22,2,0),"")</f>
        <v>45734</v>
      </c>
      <c r="W46" s="4">
        <f>IFERROR(VLOOKUP($A46,loan!$A$2:$H$22,5,0),0)</f>
        <v>10</v>
      </c>
      <c r="X46" s="4" t="str">
        <f t="shared" si="14"/>
        <v>Paid</v>
      </c>
      <c r="Y46" s="4">
        <f t="shared" si="7"/>
        <v>0</v>
      </c>
      <c r="Z46" s="29">
        <f t="shared" si="13"/>
        <v>0</v>
      </c>
      <c r="AA46" s="4">
        <f>IF('S Sheet'!$AO$1='S Sheet'!$AO$1,SUMIFS(adv!$E$3:$E$97,adv!$B$3:$B$97,'S Sheet'!$A46,adv!$D$3:$D$97,'S Sheet'!$AO$1),0)</f>
        <v>0</v>
      </c>
      <c r="AB46" s="4">
        <f>IF($AO$1=$AO$1,SUMIFS(adv!$H$3:$H$97,adv!$B$3:$B$97,'S Sheet'!$A46,adv!$D$3:$D$97,'S Sheet'!$AO$1),0)</f>
        <v>0</v>
      </c>
      <c r="AC46" s="29">
        <f t="shared" si="0"/>
        <v>0</v>
      </c>
      <c r="AD46" s="4">
        <f t="shared" si="15"/>
        <v>14000</v>
      </c>
      <c r="AE46" s="34">
        <f t="shared" si="16"/>
        <v>14000</v>
      </c>
      <c r="AF46" s="4">
        <f>VLOOKUP($A46,Master!$A$2:$K$52,8,0)</f>
        <v>5600</v>
      </c>
      <c r="AG46" s="4">
        <f>VLOOKUP($A46,Master!$A$2:$K$52,9,0)</f>
        <v>1400</v>
      </c>
      <c r="AH46" s="4">
        <f>VLOOKUP($A46,Master!$A$2:$K$52,10,0)</f>
        <v>700</v>
      </c>
      <c r="AI46" s="4">
        <f t="shared" si="17"/>
        <v>0</v>
      </c>
      <c r="AJ46" s="4">
        <f>IF($AO$1=$AO$1,SUMIFS(adv!$Q$3:$Q$52,adv!$M$3:$M$52,'S Sheet'!$A46,adv!$O$3:$O$52,'S Sheet'!$AO$1),0)</f>
        <v>0</v>
      </c>
      <c r="AK46" s="34">
        <f t="shared" si="18"/>
        <v>21700</v>
      </c>
      <c r="AL46" s="4">
        <f t="shared" si="8"/>
        <v>1848</v>
      </c>
      <c r="AM46" s="34">
        <f t="shared" si="9"/>
        <v>0</v>
      </c>
      <c r="AN46" s="34">
        <f t="shared" si="10"/>
        <v>0</v>
      </c>
      <c r="AO46" s="4">
        <f t="shared" si="11"/>
        <v>0</v>
      </c>
      <c r="AP46" s="36">
        <f t="shared" si="12"/>
        <v>19852</v>
      </c>
    </row>
    <row r="47" spans="1:42" ht="21" x14ac:dyDescent="0.25">
      <c r="A47" s="4" t="s">
        <v>74</v>
      </c>
      <c r="B47" s="4" t="str">
        <f>VLOOKUP($A47,Master!$A$2:$K$52,COLUMN(Master!B45),0)</f>
        <v>Employee44</v>
      </c>
      <c r="C47" s="4" t="str">
        <f>VLOOKUP($A47,Master!$A$2:$K$52,COLUMN(Master!C45),0)</f>
        <v>Female</v>
      </c>
      <c r="D47" s="26">
        <f>VLOOKUP($A47,Master!$A$2:$K$52,COLUMN(Master!D45),0)</f>
        <v>44484</v>
      </c>
      <c r="E47" s="4" t="str">
        <f>VLOOKUP($A47,Master!$A$2:$K$52,COLUMN(Master!E45),0)</f>
        <v>Production</v>
      </c>
      <c r="F47" s="4" t="str">
        <f>VLOOKUP($A47,Master!$A$2:$K$52,COLUMN(Master!F45),0)</f>
        <v>Senior Operator</v>
      </c>
      <c r="G47" s="4" t="s">
        <v>386</v>
      </c>
      <c r="H47" s="4">
        <v>69389188406</v>
      </c>
      <c r="I47" s="4" t="s">
        <v>425</v>
      </c>
      <c r="J47" s="4">
        <f>VLOOKUP($A47,Master!$A$2:$K$52,COLUMN(Master!G45),0)</f>
        <v>16000</v>
      </c>
      <c r="K47" s="4">
        <f>VLOOKUP($A47,Master!$A$2:$K$52,COLUMN(Master!H45),0)</f>
        <v>6400</v>
      </c>
      <c r="L47" s="4">
        <f>VLOOKUP($A47,Master!$A$2:$K$52,COLUMN(Master!I45),0)</f>
        <v>1600</v>
      </c>
      <c r="M47" s="4">
        <f>VLOOKUP($A47,Master!$A$2:$K$52,COLUMN(Master!J45),0)</f>
        <v>800</v>
      </c>
      <c r="N47" s="4">
        <f>IF($AO$1="Jan",VLOOKUP($A47,jan!$A$5:$AU$54,46,0),IF('S Sheet'!$AO$1="Feb",VLOOKUP('S Sheet'!$A47,feb!$A$5:$AR$54,43,0),IF($AO$1="Mar",VLOOKUP($A47,mar!$A$5:$AU$54,46,0),IF($AO$1="Apr",VLOOKUP($A47,apr!$A$5:$AU$54,45,0),IF($AO$1="May",VLOOKUP($A47,may!$A$5:$AU$54,46,0),IF($AO$1="Jun",VLOOKUP($A47,jun!$A$5:$AU$54,45,0),IF($AO$1="Jul",VLOOKUP($A47,jul!$A$5:$AV$54,46,0),IF($AO$1="Aug",VLOOKUP($A47,aug!$A$5:$AU$54,46,0),IF($AO$1="Sep",VLOOKUP($A47,sep!$A$5:$AT$54,45,0),IF($AO$1="Oct",VLOOKUP($A47,oct!$A$5:$AU$54,46,0),IF($AO$1="Nov",VLOOKUP($A47,nov!$A$5:$AU$54,45,0),IF($AO$1="Dec",VLOOKUP($A47,dec!$A$5:$AU$54,46,0),""))))))))))))</f>
        <v>31</v>
      </c>
      <c r="O47" s="4">
        <f>IF($AO$1="Jan",VLOOKUP($A47,jan!$A$5:$AU$54,47,0),IF('S Sheet'!$AO$1="Feb",VLOOKUP('S Sheet'!$A47,feb!$A$5:$AR$54,44,0),IF($AO$1="Mar",VLOOKUP($A47,mar!$A$5:$AU$54,47,0),IF($AO$1="Apr",VLOOKUP($A47,apr!$A$5:$AU$54,46,0),IF($AO$1="May",VLOOKUP($A47,may!$A$5:$AU$54,47,0),IF($AO$1="Jun",VLOOKUP($A47,jun!$A$5:$AU$54,46,0),IF($AO$1="Jul",VLOOKUP($A47,jul!$A$5:$AV$54,47,0),IF($AO$1="Aug",VLOOKUP($A47,aug!$A$5:$AU$54,47,0),IF($AO$1="Sep",VLOOKUP($A47,sep!$A$5:$AT$54,46,0),IF($AO$1="Oct",VLOOKUP($A47,oct!$A$5:$AU$54,47,0),IF($AO$1="Nov",VLOOKUP($A47,nov!$A$5:$AU$54,46,0),IF($AO$1="Dec",VLOOKUP($A47,dec!$A$5:$AU$54,47,0),""))))))))))))</f>
        <v>30</v>
      </c>
      <c r="P47" s="4">
        <f>IF($AO$1="Jan",SUMIFS(holly!$L$3:$L$122,holly!$I$3:$I$122,'S Sheet'!$A47,holly!$K$3:$K$122,'S Sheet'!$AO$1),IF($AO$1="Feb",SUMIFS(holly!$L$3:$L$122,holly!$I$3:$I$122,'S Sheet'!$A47,holly!$K$3:$K$122,'S Sheet'!$AO$1),IF($AO$1="Mar",SUMIFS(holly!$L$3:$L$122,holly!$I$3:$I$122,'S Sheet'!$A47,holly!$K$3:$K$122,'S Sheet'!$AO$1),IF($AO$1="Apr",SUMIFS(holly!$L$3:$L$122,holly!$I$3:$I$122,'S Sheet'!$A47,holly!$K$3:$K$122,'S Sheet'!$AO$1),IF($AO$1="May",SUMIFS(holly!$L$3:$L$122,holly!$I$3:$I$122,'S Sheet'!$A47,holly!$K$3:$K$122,'S Sheet'!$AO$1),IF($AO$1="Jun",SUMIFS(holly!$L$3:$L$122,holly!$I$3:$I$122,'S Sheet'!$A47,holly!$K$3:$K$122,'S Sheet'!$AO$1),IF($AO$1="Jul",SUMIFS(holly!$L$3:$L$122,holly!$I$3:$I$122,'S Sheet'!$A47,holly!$K$3:$K$122,'S Sheet'!$AO$1),IF($AO$1="Aug",SUMIFS(holly!$L$3:$L$122,holly!$I$3:$I$122,'S Sheet'!$A47,holly!$K$3:$K$122,'S Sheet'!$AO$1),IF($AO$1="Sep",SUMIFS(holly!$L$3:$L$122,holly!$I$3:$I$122,'S Sheet'!$A47,holly!$K$3:$K$122,'S Sheet'!$AO$1),IF($AO$1="Oct",SUMIFS(holly!$L$3:$L$122,holly!$I$3:$I$122,'S Sheet'!$A47,holly!$K$3:$K$122,'S Sheet'!$AO$1),IF($AO$1="Nov",SUMIFS(holly!$L$3:$L$122,holly!$I$3:$I$122,'S Sheet'!$A47,holly!$K$3:$K$122,'S Sheet'!$AO$1),IF($AO$1="Dec",SUMIFS(holly!$L$3:$L$122,holly!$I$3:$I$122,'S Sheet'!$A47,holly!$K$3:$K$122,'S Sheet'!$AO$1),""))))))))))))</f>
        <v>0</v>
      </c>
      <c r="Q47" s="4">
        <f>IFERROR(VLOOKUP($A47,holly!$I$2:$O$122,5,0),0)</f>
        <v>115.38</v>
      </c>
      <c r="R47" s="4">
        <f>IF($AO$1="Jan",SUMIFS(adv!$Q$3:$Q$52,adv!$M$3:$M$52,'S Sheet'!$A47,adv!$O$3:$O$52,'S Sheet'!$AO$1),IF($AO$1="Feb",SUMIFS(adv!$Q$3:$Q$52,adv!$M$3:$M$52,'S Sheet'!$A47,adv!$O$3:$O$52,'S Sheet'!$AO$1),IF($AO$1="Mar",SUMIFS(adv!$Q$3:$Q$52,adv!$M$3:$M$52,'S Sheet'!$A47,adv!$O$3:$O$52,'S Sheet'!$AO$1),IF($AO$1="Apr",SUMIFS(adv!$Q$3:$Q$52,adv!$M$3:$M$52,'S Sheet'!$A47,adv!$O$3:$O$52,'S Sheet'!$AO$1),IF($AO$1="May",SUMIFS(adv!$Q$3:$Q$52,adv!$M$3:$M$52,'S Sheet'!$A47,adv!$O$3:$O$52,'S Sheet'!$AO$1),IF($AO$1="Jun",SUMIFS(adv!$Q$3:$Q$52,adv!$M$3:$M$52,'S Sheet'!$A47,adv!$O$3:$O$52,'S Sheet'!$AO$1),IF($AO$1="Jul",SUMIFS(adv!$Q$3:$Q$52,adv!$M$3:$M$52,'S Sheet'!$A47,adv!$O$3:$O$52,'S Sheet'!$AO$1),IF($AO$1="Aug",SUMIFS(adv!$Q$3:$Q$52,adv!$M$3:$M$52,'S Sheet'!$A47,adv!$O$3:$O$52,'S Sheet'!$AO$1),IF($AO$1="Sep",SUMIFS(adv!$Q$3:$Q$52,adv!$M$3:$M$52,'S Sheet'!$A47,adv!$O$3:$O$52,'S Sheet'!$AO$1),IF($AO$1="Oct",SUMIFS(adv!$Q$3:$Q$52,adv!$M$3:$M$52,'S Sheet'!$A47,adv!$O$3:$O$52,'S Sheet'!$AO$1),IF($AO$1="Nov",SUMIFS(adv!$Q$3:$Q$52,adv!$M$3:$M$52,'S Sheet'!$A47,adv!$O$3:$O$52,'S Sheet'!$AO$1),IF($AO$1="Dec",SUMIFS(adv!$Q$3:$Q$52,adv!$M$3:$M$52,'S Sheet'!$A47,adv!$O$3:$O$52,'S Sheet'!$AO$1),""))))))))))))</f>
        <v>0</v>
      </c>
      <c r="S47" s="4">
        <f>IF($AO$1="Jan",SUMIFS(loan!$O$3:$O$32,loan!$J$3:$J$32,'S Sheet'!$A47,loan!$L$3:$L$32,'S Sheet'!$AO$1),IF($AO$1="Feb",SUMIFS(loan!$O$3:$O$32,loan!$J$3:$J$32,'S Sheet'!$A47,loan!$L$3:$L$32,'S Sheet'!$AO$1),IF($AO$1="Mar",SUMIFS(loan!$O$3:$O$32,loan!$J$3:$J$32,'S Sheet'!$A47,loan!$L$3:$L$32,'S Sheet'!$AO$1),IF($AO$1="Apr",SUMIFS(loan!$O$3:$O$32,loan!$J$3:$J$32,'S Sheet'!$A47,loan!$L$3:$L$32,'S Sheet'!$AO$1),IF($AO$1="May",SUMIFS(loan!$O$3:$O$32,loan!$J$3:$J$32,'S Sheet'!$A47,loan!$L$3:$L$32,'S Sheet'!$AO$1),IF($AO$1="Jun",SUMIFS(loan!$O$3:$O$32,loan!$J$3:$J$32,'S Sheet'!$A47,loan!$L$3:$L$32,'S Sheet'!$AO$1),IF($AO$1="Jul",SUMIFS(loan!$O$3:$O$32,loan!$J$3:$J$32,'S Sheet'!$A47,loan!$L$3:$L$32,'S Sheet'!$AO$1),IF($AO$1="Aug",SUMIFS(loan!$O$3:$O$32,loan!$J$3:$J$32,'S Sheet'!$A47,loan!$L$3:$L$32,'S Sheet'!$AO$1),IF($AO$1="Sep",SUMIFS(loan!$O$3:$O$32,loan!$J$3:$J$32,'S Sheet'!$A47,loan!$L$3:$L$32,'S Sheet'!$AO$1),IF($AO$1="Oct",SUMIFS(loan!$O$3:$O$32,loan!$J$3:$J$32,'S Sheet'!$A47,loan!$L$3:$L$32,'S Sheet'!$AO$1),IF($AO$1="Nov",SUMIFS(loan!$O$3:$O$32,loan!$J$3:$J$32,'S Sheet'!$A47,loan!$L$3:$L$32,'S Sheet'!$AO$1),IF($AO$1="Dec",SUMIFS(loan!$O$3:$O$32,loan!$J$3:$J$32,'S Sheet'!$A47,loan!$L$3:$L$32,'S Sheet'!$AO$1),""))))))))))))</f>
        <v>0</v>
      </c>
      <c r="T47" s="4">
        <f>IFERROR(VLOOKUP($A47,loan!$A$2:$H$22,3,0),0)</f>
        <v>20000</v>
      </c>
      <c r="U47" s="4">
        <f t="shared" si="5"/>
        <v>1052.6315789473683</v>
      </c>
      <c r="V47" s="28">
        <f>IFERROR(VLOOKUP($A47,loan!$A$2:$H$22,2,0),"")</f>
        <v>45996</v>
      </c>
      <c r="W47" s="4">
        <f>IFERROR(VLOOKUP($A47,loan!$A$2:$H$22,5,0),0)</f>
        <v>19</v>
      </c>
      <c r="X47" s="4">
        <f t="shared" si="14"/>
        <v>9</v>
      </c>
      <c r="Y47" s="4">
        <f t="shared" si="7"/>
        <v>10</v>
      </c>
      <c r="Z47" s="29">
        <f t="shared" si="13"/>
        <v>10526.315789473683</v>
      </c>
      <c r="AA47" s="4">
        <f>IF('S Sheet'!$AO$1='S Sheet'!$AO$1,SUMIFS(adv!$E$3:$E$97,adv!$B$3:$B$97,'S Sheet'!$A47,adv!$D$3:$D$97,'S Sheet'!$AO$1),0)</f>
        <v>0</v>
      </c>
      <c r="AB47" s="4">
        <f>IF($AO$1=$AO$1,SUMIFS(adv!$H$3:$H$97,adv!$B$3:$B$97,'S Sheet'!$A47,adv!$D$3:$D$97,'S Sheet'!$AO$1),0)</f>
        <v>0</v>
      </c>
      <c r="AC47" s="29">
        <f t="shared" si="0"/>
        <v>0</v>
      </c>
      <c r="AD47" s="4">
        <f t="shared" si="15"/>
        <v>16000</v>
      </c>
      <c r="AE47" s="34">
        <f t="shared" si="16"/>
        <v>15483.870967741936</v>
      </c>
      <c r="AF47" s="4">
        <f>VLOOKUP($A47,Master!$A$2:$K$52,8,0)</f>
        <v>6400</v>
      </c>
      <c r="AG47" s="4">
        <f>VLOOKUP($A47,Master!$A$2:$K$52,9,0)</f>
        <v>1600</v>
      </c>
      <c r="AH47" s="4">
        <f>VLOOKUP($A47,Master!$A$2:$K$52,10,0)</f>
        <v>800</v>
      </c>
      <c r="AI47" s="4">
        <f t="shared" si="17"/>
        <v>0</v>
      </c>
      <c r="AJ47" s="4">
        <f>IF($AO$1=$AO$1,SUMIFS(adv!$Q$3:$Q$52,adv!$M$3:$M$52,'S Sheet'!$A47,adv!$O$3:$O$52,'S Sheet'!$AO$1),0)</f>
        <v>0</v>
      </c>
      <c r="AK47" s="34">
        <f t="shared" si="18"/>
        <v>24283.870967741936</v>
      </c>
      <c r="AL47" s="4">
        <f t="shared" si="8"/>
        <v>2112</v>
      </c>
      <c r="AM47" s="34">
        <f t="shared" si="9"/>
        <v>0</v>
      </c>
      <c r="AN47" s="34">
        <f t="shared" si="10"/>
        <v>1052.6315789473683</v>
      </c>
      <c r="AO47" s="4">
        <f t="shared" si="11"/>
        <v>0</v>
      </c>
      <c r="AP47" s="36">
        <f t="shared" si="12"/>
        <v>21119.239388794565</v>
      </c>
    </row>
    <row r="48" spans="1:42" ht="21" x14ac:dyDescent="0.25">
      <c r="A48" s="4" t="s">
        <v>75</v>
      </c>
      <c r="B48" s="4" t="str">
        <f>VLOOKUP($A48,Master!$A$2:$K$52,COLUMN(Master!B46),0)</f>
        <v>Employee45</v>
      </c>
      <c r="C48" s="4" t="str">
        <f>VLOOKUP($A48,Master!$A$2:$K$52,COLUMN(Master!C46),0)</f>
        <v>Female</v>
      </c>
      <c r="D48" s="26">
        <f>VLOOKUP($A48,Master!$A$2:$K$52,COLUMN(Master!D46),0)</f>
        <v>44351</v>
      </c>
      <c r="E48" s="4" t="str">
        <f>VLOOKUP($A48,Master!$A$2:$K$52,COLUMN(Master!E46),0)</f>
        <v>Production</v>
      </c>
      <c r="F48" s="4" t="str">
        <f>VLOOKUP($A48,Master!$A$2:$K$52,COLUMN(Master!F46),0)</f>
        <v>Senior Operator</v>
      </c>
      <c r="G48" s="4" t="s">
        <v>386</v>
      </c>
      <c r="H48" s="4">
        <v>99385259541</v>
      </c>
      <c r="I48" s="4" t="s">
        <v>426</v>
      </c>
      <c r="J48" s="4">
        <f>VLOOKUP($A48,Master!$A$2:$K$52,COLUMN(Master!G46),0)</f>
        <v>15000</v>
      </c>
      <c r="K48" s="4">
        <f>VLOOKUP($A48,Master!$A$2:$K$52,COLUMN(Master!H46),0)</f>
        <v>6000</v>
      </c>
      <c r="L48" s="4">
        <f>VLOOKUP($A48,Master!$A$2:$K$52,COLUMN(Master!I46),0)</f>
        <v>1500</v>
      </c>
      <c r="M48" s="4">
        <f>VLOOKUP($A48,Master!$A$2:$K$52,COLUMN(Master!J46),0)</f>
        <v>750</v>
      </c>
      <c r="N48" s="4">
        <f>IF($AO$1="Jan",VLOOKUP($A48,jan!$A$5:$AU$54,46,0),IF('S Sheet'!$AO$1="Feb",VLOOKUP('S Sheet'!$A48,feb!$A$5:$AR$54,43,0),IF($AO$1="Mar",VLOOKUP($A48,mar!$A$5:$AU$54,46,0),IF($AO$1="Apr",VLOOKUP($A48,apr!$A$5:$AU$54,45,0),IF($AO$1="May",VLOOKUP($A48,may!$A$5:$AU$54,46,0),IF($AO$1="Jun",VLOOKUP($A48,jun!$A$5:$AU$54,45,0),IF($AO$1="Jul",VLOOKUP($A48,jul!$A$5:$AV$54,46,0),IF($AO$1="Aug",VLOOKUP($A48,aug!$A$5:$AU$54,46,0),IF($AO$1="Sep",VLOOKUP($A48,sep!$A$5:$AT$54,45,0),IF($AO$1="Oct",VLOOKUP($A48,oct!$A$5:$AU$54,46,0),IF($AO$1="Nov",VLOOKUP($A48,nov!$A$5:$AU$54,45,0),IF($AO$1="Dec",VLOOKUP($A48,dec!$A$5:$AU$54,46,0),""))))))))))))</f>
        <v>31</v>
      </c>
      <c r="O48" s="4">
        <f>IF($AO$1="Jan",VLOOKUP($A48,jan!$A$5:$AU$54,47,0),IF('S Sheet'!$AO$1="Feb",VLOOKUP('S Sheet'!$A48,feb!$A$5:$AR$54,44,0),IF($AO$1="Mar",VLOOKUP($A48,mar!$A$5:$AU$54,47,0),IF($AO$1="Apr",VLOOKUP($A48,apr!$A$5:$AU$54,46,0),IF($AO$1="May",VLOOKUP($A48,may!$A$5:$AU$54,47,0),IF($AO$1="Jun",VLOOKUP($A48,jun!$A$5:$AU$54,46,0),IF($AO$1="Jul",VLOOKUP($A48,jul!$A$5:$AV$54,47,0),IF($AO$1="Aug",VLOOKUP($A48,aug!$A$5:$AU$54,47,0),IF($AO$1="Sep",VLOOKUP($A48,sep!$A$5:$AT$54,46,0),IF($AO$1="Oct",VLOOKUP($A48,oct!$A$5:$AU$54,47,0),IF($AO$1="Nov",VLOOKUP($A48,nov!$A$5:$AU$54,46,0),IF($AO$1="Dec",VLOOKUP($A48,dec!$A$5:$AU$54,47,0),""))))))))))))</f>
        <v>30</v>
      </c>
      <c r="P48" s="4">
        <f>IF($AO$1="Jan",SUMIFS(holly!$L$3:$L$122,holly!$I$3:$I$122,'S Sheet'!$A48,holly!$K$3:$K$122,'S Sheet'!$AO$1),IF($AO$1="Feb",SUMIFS(holly!$L$3:$L$122,holly!$I$3:$I$122,'S Sheet'!$A48,holly!$K$3:$K$122,'S Sheet'!$AO$1),IF($AO$1="Mar",SUMIFS(holly!$L$3:$L$122,holly!$I$3:$I$122,'S Sheet'!$A48,holly!$K$3:$K$122,'S Sheet'!$AO$1),IF($AO$1="Apr",SUMIFS(holly!$L$3:$L$122,holly!$I$3:$I$122,'S Sheet'!$A48,holly!$K$3:$K$122,'S Sheet'!$AO$1),IF($AO$1="May",SUMIFS(holly!$L$3:$L$122,holly!$I$3:$I$122,'S Sheet'!$A48,holly!$K$3:$K$122,'S Sheet'!$AO$1),IF($AO$1="Jun",SUMIFS(holly!$L$3:$L$122,holly!$I$3:$I$122,'S Sheet'!$A48,holly!$K$3:$K$122,'S Sheet'!$AO$1),IF($AO$1="Jul",SUMIFS(holly!$L$3:$L$122,holly!$I$3:$I$122,'S Sheet'!$A48,holly!$K$3:$K$122,'S Sheet'!$AO$1),IF($AO$1="Aug",SUMIFS(holly!$L$3:$L$122,holly!$I$3:$I$122,'S Sheet'!$A48,holly!$K$3:$K$122,'S Sheet'!$AO$1),IF($AO$1="Sep",SUMIFS(holly!$L$3:$L$122,holly!$I$3:$I$122,'S Sheet'!$A48,holly!$K$3:$K$122,'S Sheet'!$AO$1),IF($AO$1="Oct",SUMIFS(holly!$L$3:$L$122,holly!$I$3:$I$122,'S Sheet'!$A48,holly!$K$3:$K$122,'S Sheet'!$AO$1),IF($AO$1="Nov",SUMIFS(holly!$L$3:$L$122,holly!$I$3:$I$122,'S Sheet'!$A48,holly!$K$3:$K$122,'S Sheet'!$AO$1),IF($AO$1="Dec",SUMIFS(holly!$L$3:$L$122,holly!$I$3:$I$122,'S Sheet'!$A48,holly!$K$3:$K$122,'S Sheet'!$AO$1),""))))))))))))</f>
        <v>1</v>
      </c>
      <c r="Q48" s="4">
        <f>IFERROR(VLOOKUP($A48,holly!$I$2:$O$122,5,0),0)</f>
        <v>108.17</v>
      </c>
      <c r="R48" s="4">
        <f>IF($AO$1="Jan",SUMIFS(adv!$Q$3:$Q$52,adv!$M$3:$M$52,'S Sheet'!$A48,adv!$O$3:$O$52,'S Sheet'!$AO$1),IF($AO$1="Feb",SUMIFS(adv!$Q$3:$Q$52,adv!$M$3:$M$52,'S Sheet'!$A48,adv!$O$3:$O$52,'S Sheet'!$AO$1),IF($AO$1="Mar",SUMIFS(adv!$Q$3:$Q$52,adv!$M$3:$M$52,'S Sheet'!$A48,adv!$O$3:$O$52,'S Sheet'!$AO$1),IF($AO$1="Apr",SUMIFS(adv!$Q$3:$Q$52,adv!$M$3:$M$52,'S Sheet'!$A48,adv!$O$3:$O$52,'S Sheet'!$AO$1),IF($AO$1="May",SUMIFS(adv!$Q$3:$Q$52,adv!$M$3:$M$52,'S Sheet'!$A48,adv!$O$3:$O$52,'S Sheet'!$AO$1),IF($AO$1="Jun",SUMIFS(adv!$Q$3:$Q$52,adv!$M$3:$M$52,'S Sheet'!$A48,adv!$O$3:$O$52,'S Sheet'!$AO$1),IF($AO$1="Jul",SUMIFS(adv!$Q$3:$Q$52,adv!$M$3:$M$52,'S Sheet'!$A48,adv!$O$3:$O$52,'S Sheet'!$AO$1),IF($AO$1="Aug",SUMIFS(adv!$Q$3:$Q$52,adv!$M$3:$M$52,'S Sheet'!$A48,adv!$O$3:$O$52,'S Sheet'!$AO$1),IF($AO$1="Sep",SUMIFS(adv!$Q$3:$Q$52,adv!$M$3:$M$52,'S Sheet'!$A48,adv!$O$3:$O$52,'S Sheet'!$AO$1),IF($AO$1="Oct",SUMIFS(adv!$Q$3:$Q$52,adv!$M$3:$M$52,'S Sheet'!$A48,adv!$O$3:$O$52,'S Sheet'!$AO$1),IF($AO$1="Nov",SUMIFS(adv!$Q$3:$Q$52,adv!$M$3:$M$52,'S Sheet'!$A48,adv!$O$3:$O$52,'S Sheet'!$AO$1),IF($AO$1="Dec",SUMIFS(adv!$Q$3:$Q$52,adv!$M$3:$M$52,'S Sheet'!$A48,adv!$O$3:$O$52,'S Sheet'!$AO$1),""))))))))))))</f>
        <v>0</v>
      </c>
      <c r="S48" s="4">
        <f>IF($AO$1="Jan",SUMIFS(loan!$O$3:$O$32,loan!$J$3:$J$32,'S Sheet'!$A48,loan!$L$3:$L$32,'S Sheet'!$AO$1),IF($AO$1="Feb",SUMIFS(loan!$O$3:$O$32,loan!$J$3:$J$32,'S Sheet'!$A48,loan!$L$3:$L$32,'S Sheet'!$AO$1),IF($AO$1="Mar",SUMIFS(loan!$O$3:$O$32,loan!$J$3:$J$32,'S Sheet'!$A48,loan!$L$3:$L$32,'S Sheet'!$AO$1),IF($AO$1="Apr",SUMIFS(loan!$O$3:$O$32,loan!$J$3:$J$32,'S Sheet'!$A48,loan!$L$3:$L$32,'S Sheet'!$AO$1),IF($AO$1="May",SUMIFS(loan!$O$3:$O$32,loan!$J$3:$J$32,'S Sheet'!$A48,loan!$L$3:$L$32,'S Sheet'!$AO$1),IF($AO$1="Jun",SUMIFS(loan!$O$3:$O$32,loan!$J$3:$J$32,'S Sheet'!$A48,loan!$L$3:$L$32,'S Sheet'!$AO$1),IF($AO$1="Jul",SUMIFS(loan!$O$3:$O$32,loan!$J$3:$J$32,'S Sheet'!$A48,loan!$L$3:$L$32,'S Sheet'!$AO$1),IF($AO$1="Aug",SUMIFS(loan!$O$3:$O$32,loan!$J$3:$J$32,'S Sheet'!$A48,loan!$L$3:$L$32,'S Sheet'!$AO$1),IF($AO$1="Sep",SUMIFS(loan!$O$3:$O$32,loan!$J$3:$J$32,'S Sheet'!$A48,loan!$L$3:$L$32,'S Sheet'!$AO$1),IF($AO$1="Oct",SUMIFS(loan!$O$3:$O$32,loan!$J$3:$J$32,'S Sheet'!$A48,loan!$L$3:$L$32,'S Sheet'!$AO$1),IF($AO$1="Nov",SUMIFS(loan!$O$3:$O$32,loan!$J$3:$J$32,'S Sheet'!$A48,loan!$L$3:$L$32,'S Sheet'!$AO$1),IF($AO$1="Dec",SUMIFS(loan!$O$3:$O$32,loan!$J$3:$J$32,'S Sheet'!$A48,loan!$L$3:$L$32,'S Sheet'!$AO$1),""))))))))))))</f>
        <v>0</v>
      </c>
      <c r="T48" s="4">
        <f>IFERROR(VLOOKUP($A48,loan!$A$2:$H$22,3,0),0)</f>
        <v>50000</v>
      </c>
      <c r="U48" s="4">
        <f t="shared" si="5"/>
        <v>5000</v>
      </c>
      <c r="V48" s="28">
        <f>IFERROR(VLOOKUP($A48,loan!$A$2:$H$22,2,0),"")</f>
        <v>45817</v>
      </c>
      <c r="W48" s="4">
        <f>IFERROR(VLOOKUP($A48,loan!$A$2:$H$22,5,0),0)</f>
        <v>10</v>
      </c>
      <c r="X48" s="4" t="str">
        <f t="shared" si="14"/>
        <v>Paid</v>
      </c>
      <c r="Y48" s="4">
        <f t="shared" si="7"/>
        <v>0</v>
      </c>
      <c r="Z48" s="29">
        <f t="shared" si="13"/>
        <v>0</v>
      </c>
      <c r="AA48" s="4">
        <f>IF('S Sheet'!$AO$1='S Sheet'!$AO$1,SUMIFS(adv!$E$3:$E$97,adv!$B$3:$B$97,'S Sheet'!$A48,adv!$D$3:$D$97,'S Sheet'!$AO$1),0)</f>
        <v>0</v>
      </c>
      <c r="AB48" s="4">
        <f>IF($AO$1=$AO$1,SUMIFS(adv!$H$3:$H$97,adv!$B$3:$B$97,'S Sheet'!$A48,adv!$D$3:$D$97,'S Sheet'!$AO$1),0)</f>
        <v>0</v>
      </c>
      <c r="AC48" s="29">
        <f t="shared" si="0"/>
        <v>0</v>
      </c>
      <c r="AD48" s="4">
        <f t="shared" si="15"/>
        <v>15000</v>
      </c>
      <c r="AE48" s="34">
        <f t="shared" si="16"/>
        <v>14516.129032258064</v>
      </c>
      <c r="AF48" s="4">
        <f>VLOOKUP($A48,Master!$A$2:$K$52,8,0)</f>
        <v>6000</v>
      </c>
      <c r="AG48" s="4">
        <f>VLOOKUP($A48,Master!$A$2:$K$52,9,0)</f>
        <v>1500</v>
      </c>
      <c r="AH48" s="4">
        <f>VLOOKUP($A48,Master!$A$2:$K$52,10,0)</f>
        <v>750</v>
      </c>
      <c r="AI48" s="4">
        <f t="shared" si="17"/>
        <v>108.17</v>
      </c>
      <c r="AJ48" s="4">
        <f>IF($AO$1=$AO$1,SUMIFS(adv!$Q$3:$Q$52,adv!$M$3:$M$52,'S Sheet'!$A48,adv!$O$3:$O$52,'S Sheet'!$AO$1),0)</f>
        <v>0</v>
      </c>
      <c r="AK48" s="34">
        <f t="shared" si="18"/>
        <v>22874.299032258063</v>
      </c>
      <c r="AL48" s="4">
        <f t="shared" si="8"/>
        <v>1980</v>
      </c>
      <c r="AM48" s="34">
        <f t="shared" si="9"/>
        <v>0</v>
      </c>
      <c r="AN48" s="34">
        <f t="shared" si="10"/>
        <v>0</v>
      </c>
      <c r="AO48" s="4">
        <f t="shared" si="11"/>
        <v>0</v>
      </c>
      <c r="AP48" s="36">
        <f t="shared" si="12"/>
        <v>20894.299032258063</v>
      </c>
    </row>
    <row r="49" spans="1:42" ht="21" x14ac:dyDescent="0.25">
      <c r="A49" s="4" t="s">
        <v>76</v>
      </c>
      <c r="B49" s="4" t="str">
        <f>VLOOKUP($A49,Master!$A$2:$K$52,COLUMN(Master!B47),0)</f>
        <v>Employee46</v>
      </c>
      <c r="C49" s="4" t="str">
        <f>VLOOKUP($A49,Master!$A$2:$K$52,COLUMN(Master!C47),0)</f>
        <v>Female</v>
      </c>
      <c r="D49" s="26">
        <f>VLOOKUP($A49,Master!$A$2:$K$52,COLUMN(Master!D47),0)</f>
        <v>44388</v>
      </c>
      <c r="E49" s="4" t="str">
        <f>VLOOKUP($A49,Master!$A$2:$K$52,COLUMN(Master!E47),0)</f>
        <v>Production</v>
      </c>
      <c r="F49" s="4" t="str">
        <f>VLOOKUP($A49,Master!$A$2:$K$52,COLUMN(Master!F47),0)</f>
        <v>Operator</v>
      </c>
      <c r="G49" s="4" t="s">
        <v>386</v>
      </c>
      <c r="H49" s="4">
        <v>99161543673</v>
      </c>
      <c r="I49" s="4" t="s">
        <v>427</v>
      </c>
      <c r="J49" s="4">
        <f>VLOOKUP($A49,Master!$A$2:$K$52,COLUMN(Master!G47),0)</f>
        <v>9000</v>
      </c>
      <c r="K49" s="4">
        <f>VLOOKUP($A49,Master!$A$2:$K$52,COLUMN(Master!H47),0)</f>
        <v>3600</v>
      </c>
      <c r="L49" s="4">
        <f>VLOOKUP($A49,Master!$A$2:$K$52,COLUMN(Master!I47),0)</f>
        <v>900</v>
      </c>
      <c r="M49" s="4">
        <f>VLOOKUP($A49,Master!$A$2:$K$52,COLUMN(Master!J47),0)</f>
        <v>450</v>
      </c>
      <c r="N49" s="4">
        <f>IF($AO$1="Jan",VLOOKUP($A49,jan!$A$5:$AU$54,46,0),IF('S Sheet'!$AO$1="Feb",VLOOKUP('S Sheet'!$A49,feb!$A$5:$AR$54,43,0),IF($AO$1="Mar",VLOOKUP($A49,mar!$A$5:$AU$54,46,0),IF($AO$1="Apr",VLOOKUP($A49,apr!$A$5:$AU$54,45,0),IF($AO$1="May",VLOOKUP($A49,may!$A$5:$AU$54,46,0),IF($AO$1="Jun",VLOOKUP($A49,jun!$A$5:$AU$54,45,0),IF($AO$1="Jul",VLOOKUP($A49,jul!$A$5:$AV$54,46,0),IF($AO$1="Aug",VLOOKUP($A49,aug!$A$5:$AU$54,46,0),IF($AO$1="Sep",VLOOKUP($A49,sep!$A$5:$AT$54,45,0),IF($AO$1="Oct",VLOOKUP($A49,oct!$A$5:$AU$54,46,0),IF($AO$1="Nov",VLOOKUP($A49,nov!$A$5:$AU$54,45,0),IF($AO$1="Dec",VLOOKUP($A49,dec!$A$5:$AU$54,46,0),""))))))))))))</f>
        <v>31</v>
      </c>
      <c r="O49" s="4">
        <f>IF($AO$1="Jan",VLOOKUP($A49,jan!$A$5:$AU$54,47,0),IF('S Sheet'!$AO$1="Feb",VLOOKUP('S Sheet'!$A49,feb!$A$5:$AR$54,44,0),IF($AO$1="Mar",VLOOKUP($A49,mar!$A$5:$AU$54,47,0),IF($AO$1="Apr",VLOOKUP($A49,apr!$A$5:$AU$54,46,0),IF($AO$1="May",VLOOKUP($A49,may!$A$5:$AU$54,47,0),IF($AO$1="Jun",VLOOKUP($A49,jun!$A$5:$AU$54,46,0),IF($AO$1="Jul",VLOOKUP($A49,jul!$A$5:$AV$54,47,0),IF($AO$1="Aug",VLOOKUP($A49,aug!$A$5:$AU$54,47,0),IF($AO$1="Sep",VLOOKUP($A49,sep!$A$5:$AT$54,46,0),IF($AO$1="Oct",VLOOKUP($A49,oct!$A$5:$AU$54,47,0),IF($AO$1="Nov",VLOOKUP($A49,nov!$A$5:$AU$54,46,0),IF($AO$1="Dec",VLOOKUP($A49,dec!$A$5:$AU$54,47,0),""))))))))))))</f>
        <v>31</v>
      </c>
      <c r="P49" s="4">
        <f>IF($AO$1="Jan",SUMIFS(holly!$L$3:$L$122,holly!$I$3:$I$122,'S Sheet'!$A49,holly!$K$3:$K$122,'S Sheet'!$AO$1),IF($AO$1="Feb",SUMIFS(holly!$L$3:$L$122,holly!$I$3:$I$122,'S Sheet'!$A49,holly!$K$3:$K$122,'S Sheet'!$AO$1),IF($AO$1="Mar",SUMIFS(holly!$L$3:$L$122,holly!$I$3:$I$122,'S Sheet'!$A49,holly!$K$3:$K$122,'S Sheet'!$AO$1),IF($AO$1="Apr",SUMIFS(holly!$L$3:$L$122,holly!$I$3:$I$122,'S Sheet'!$A49,holly!$K$3:$K$122,'S Sheet'!$AO$1),IF($AO$1="May",SUMIFS(holly!$L$3:$L$122,holly!$I$3:$I$122,'S Sheet'!$A49,holly!$K$3:$K$122,'S Sheet'!$AO$1),IF($AO$1="Jun",SUMIFS(holly!$L$3:$L$122,holly!$I$3:$I$122,'S Sheet'!$A49,holly!$K$3:$K$122,'S Sheet'!$AO$1),IF($AO$1="Jul",SUMIFS(holly!$L$3:$L$122,holly!$I$3:$I$122,'S Sheet'!$A49,holly!$K$3:$K$122,'S Sheet'!$AO$1),IF($AO$1="Aug",SUMIFS(holly!$L$3:$L$122,holly!$I$3:$I$122,'S Sheet'!$A49,holly!$K$3:$K$122,'S Sheet'!$AO$1),IF($AO$1="Sep",SUMIFS(holly!$L$3:$L$122,holly!$I$3:$I$122,'S Sheet'!$A49,holly!$K$3:$K$122,'S Sheet'!$AO$1),IF($AO$1="Oct",SUMIFS(holly!$L$3:$L$122,holly!$I$3:$I$122,'S Sheet'!$A49,holly!$K$3:$K$122,'S Sheet'!$AO$1),IF($AO$1="Nov",SUMIFS(holly!$L$3:$L$122,holly!$I$3:$I$122,'S Sheet'!$A49,holly!$K$3:$K$122,'S Sheet'!$AO$1),IF($AO$1="Dec",SUMIFS(holly!$L$3:$L$122,holly!$I$3:$I$122,'S Sheet'!$A49,holly!$K$3:$K$122,'S Sheet'!$AO$1),""))))))))))))</f>
        <v>0</v>
      </c>
      <c r="Q49" s="4">
        <f>IFERROR(VLOOKUP($A49,holly!$I$2:$O$122,5,0),0)</f>
        <v>64.900000000000006</v>
      </c>
      <c r="R49" s="4">
        <f>IF($AO$1="Jan",SUMIFS(adv!$Q$3:$Q$52,adv!$M$3:$M$52,'S Sheet'!$A49,adv!$O$3:$O$52,'S Sheet'!$AO$1),IF($AO$1="Feb",SUMIFS(adv!$Q$3:$Q$52,adv!$M$3:$M$52,'S Sheet'!$A49,adv!$O$3:$O$52,'S Sheet'!$AO$1),IF($AO$1="Mar",SUMIFS(adv!$Q$3:$Q$52,adv!$M$3:$M$52,'S Sheet'!$A49,adv!$O$3:$O$52,'S Sheet'!$AO$1),IF($AO$1="Apr",SUMIFS(adv!$Q$3:$Q$52,adv!$M$3:$M$52,'S Sheet'!$A49,adv!$O$3:$O$52,'S Sheet'!$AO$1),IF($AO$1="May",SUMIFS(adv!$Q$3:$Q$52,adv!$M$3:$M$52,'S Sheet'!$A49,adv!$O$3:$O$52,'S Sheet'!$AO$1),IF($AO$1="Jun",SUMIFS(adv!$Q$3:$Q$52,adv!$M$3:$M$52,'S Sheet'!$A49,adv!$O$3:$O$52,'S Sheet'!$AO$1),IF($AO$1="Jul",SUMIFS(adv!$Q$3:$Q$52,adv!$M$3:$M$52,'S Sheet'!$A49,adv!$O$3:$O$52,'S Sheet'!$AO$1),IF($AO$1="Aug",SUMIFS(adv!$Q$3:$Q$52,adv!$M$3:$M$52,'S Sheet'!$A49,adv!$O$3:$O$52,'S Sheet'!$AO$1),IF($AO$1="Sep",SUMIFS(adv!$Q$3:$Q$52,adv!$M$3:$M$52,'S Sheet'!$A49,adv!$O$3:$O$52,'S Sheet'!$AO$1),IF($AO$1="Oct",SUMIFS(adv!$Q$3:$Q$52,adv!$M$3:$M$52,'S Sheet'!$A49,adv!$O$3:$O$52,'S Sheet'!$AO$1),IF($AO$1="Nov",SUMIFS(adv!$Q$3:$Q$52,adv!$M$3:$M$52,'S Sheet'!$A49,adv!$O$3:$O$52,'S Sheet'!$AO$1),IF($AO$1="Dec",SUMIFS(adv!$Q$3:$Q$52,adv!$M$3:$M$52,'S Sheet'!$A49,adv!$O$3:$O$52,'S Sheet'!$AO$1),""))))))))))))</f>
        <v>1000</v>
      </c>
      <c r="S49" s="4">
        <f>IF($AO$1="Jan",SUMIFS(loan!$O$3:$O$32,loan!$J$3:$J$32,'S Sheet'!$A49,loan!$L$3:$L$32,'S Sheet'!$AO$1),IF($AO$1="Feb",SUMIFS(loan!$O$3:$O$32,loan!$J$3:$J$32,'S Sheet'!$A49,loan!$L$3:$L$32,'S Sheet'!$AO$1),IF($AO$1="Mar",SUMIFS(loan!$O$3:$O$32,loan!$J$3:$J$32,'S Sheet'!$A49,loan!$L$3:$L$32,'S Sheet'!$AO$1),IF($AO$1="Apr",SUMIFS(loan!$O$3:$O$32,loan!$J$3:$J$32,'S Sheet'!$A49,loan!$L$3:$L$32,'S Sheet'!$AO$1),IF($AO$1="May",SUMIFS(loan!$O$3:$O$32,loan!$J$3:$J$32,'S Sheet'!$A49,loan!$L$3:$L$32,'S Sheet'!$AO$1),IF($AO$1="Jun",SUMIFS(loan!$O$3:$O$32,loan!$J$3:$J$32,'S Sheet'!$A49,loan!$L$3:$L$32,'S Sheet'!$AO$1),IF($AO$1="Jul",SUMIFS(loan!$O$3:$O$32,loan!$J$3:$J$32,'S Sheet'!$A49,loan!$L$3:$L$32,'S Sheet'!$AO$1),IF($AO$1="Aug",SUMIFS(loan!$O$3:$O$32,loan!$J$3:$J$32,'S Sheet'!$A49,loan!$L$3:$L$32,'S Sheet'!$AO$1),IF($AO$1="Sep",SUMIFS(loan!$O$3:$O$32,loan!$J$3:$J$32,'S Sheet'!$A49,loan!$L$3:$L$32,'S Sheet'!$AO$1),IF($AO$1="Oct",SUMIFS(loan!$O$3:$O$32,loan!$J$3:$J$32,'S Sheet'!$A49,loan!$L$3:$L$32,'S Sheet'!$AO$1),IF($AO$1="Nov",SUMIFS(loan!$O$3:$O$32,loan!$J$3:$J$32,'S Sheet'!$A49,loan!$L$3:$L$32,'S Sheet'!$AO$1),IF($AO$1="Dec",SUMIFS(loan!$O$3:$O$32,loan!$J$3:$J$32,'S Sheet'!$A49,loan!$L$3:$L$32,'S Sheet'!$AO$1),""))))))))))))</f>
        <v>0</v>
      </c>
      <c r="T49" s="4">
        <f>IFERROR(VLOOKUP($A49,loan!$A$2:$H$22,3,0),0)</f>
        <v>75000</v>
      </c>
      <c r="U49" s="4">
        <f t="shared" si="5"/>
        <v>4166.666666666667</v>
      </c>
      <c r="V49" s="28">
        <f>IFERROR(VLOOKUP($A49,loan!$A$2:$H$22,2,0),"")</f>
        <v>45865</v>
      </c>
      <c r="W49" s="4">
        <f>IFERROR(VLOOKUP($A49,loan!$A$2:$H$22,5,0),0)</f>
        <v>18</v>
      </c>
      <c r="X49" s="4">
        <f t="shared" si="14"/>
        <v>14</v>
      </c>
      <c r="Y49" s="4">
        <f t="shared" si="7"/>
        <v>4</v>
      </c>
      <c r="Z49" s="29">
        <f t="shared" si="13"/>
        <v>16666.666666666668</v>
      </c>
      <c r="AA49" s="4">
        <f>IF('S Sheet'!$AO$1='S Sheet'!$AO$1,SUMIFS(adv!$E$3:$E$97,adv!$B$3:$B$97,'S Sheet'!$A49,adv!$D$3:$D$97,'S Sheet'!$AO$1),0)</f>
        <v>0</v>
      </c>
      <c r="AB49" s="4">
        <f>IF($AO$1=$AO$1,SUMIFS(adv!$H$3:$H$97,adv!$B$3:$B$97,'S Sheet'!$A49,adv!$D$3:$D$97,'S Sheet'!$AO$1),0)</f>
        <v>0</v>
      </c>
      <c r="AC49" s="29">
        <f t="shared" si="0"/>
        <v>0</v>
      </c>
      <c r="AD49" s="4">
        <f t="shared" si="15"/>
        <v>9000</v>
      </c>
      <c r="AE49" s="34">
        <f t="shared" si="16"/>
        <v>9000</v>
      </c>
      <c r="AF49" s="4">
        <f>VLOOKUP($A49,Master!$A$2:$K$52,8,0)</f>
        <v>3600</v>
      </c>
      <c r="AG49" s="4">
        <f>VLOOKUP($A49,Master!$A$2:$K$52,9,0)</f>
        <v>900</v>
      </c>
      <c r="AH49" s="4">
        <f>VLOOKUP($A49,Master!$A$2:$K$52,10,0)</f>
        <v>450</v>
      </c>
      <c r="AI49" s="4">
        <f t="shared" si="17"/>
        <v>0</v>
      </c>
      <c r="AJ49" s="4">
        <f>IF($AO$1=$AO$1,SUMIFS(adv!$Q$3:$Q$52,adv!$M$3:$M$52,'S Sheet'!$A49,adv!$O$3:$O$52,'S Sheet'!$AO$1),0)</f>
        <v>1000</v>
      </c>
      <c r="AK49" s="34">
        <f t="shared" si="18"/>
        <v>14950</v>
      </c>
      <c r="AL49" s="4">
        <f t="shared" si="8"/>
        <v>1188</v>
      </c>
      <c r="AM49" s="34">
        <f t="shared" si="9"/>
        <v>112.125</v>
      </c>
      <c r="AN49" s="34">
        <f t="shared" si="10"/>
        <v>4166.666666666667</v>
      </c>
      <c r="AO49" s="4">
        <f t="shared" si="11"/>
        <v>0</v>
      </c>
      <c r="AP49" s="36">
        <f t="shared" si="12"/>
        <v>9483.2083333333321</v>
      </c>
    </row>
    <row r="50" spans="1:42" ht="21" x14ac:dyDescent="0.25">
      <c r="A50" s="4" t="s">
        <v>77</v>
      </c>
      <c r="B50" s="4" t="str">
        <f>VLOOKUP($A50,Master!$A$2:$K$52,COLUMN(Master!B48),0)</f>
        <v>Employee47</v>
      </c>
      <c r="C50" s="4" t="str">
        <f>VLOOKUP($A50,Master!$A$2:$K$52,COLUMN(Master!C48),0)</f>
        <v>Male</v>
      </c>
      <c r="D50" s="26">
        <f>VLOOKUP($A50,Master!$A$2:$K$52,COLUMN(Master!D48),0)</f>
        <v>44634</v>
      </c>
      <c r="E50" s="4" t="str">
        <f>VLOOKUP($A50,Master!$A$2:$K$52,COLUMN(Master!E48),0)</f>
        <v>Production</v>
      </c>
      <c r="F50" s="4" t="str">
        <f>VLOOKUP($A50,Master!$A$2:$K$52,COLUMN(Master!F48),0)</f>
        <v>Senior Operator</v>
      </c>
      <c r="G50" s="4" t="s">
        <v>386</v>
      </c>
      <c r="H50" s="4">
        <v>4382675</v>
      </c>
      <c r="I50" s="4" t="s">
        <v>428</v>
      </c>
      <c r="J50" s="4">
        <f>VLOOKUP($A50,Master!$A$2:$K$52,COLUMN(Master!G48),0)</f>
        <v>15000</v>
      </c>
      <c r="K50" s="4">
        <f>VLOOKUP($A50,Master!$A$2:$K$52,COLUMN(Master!H48),0)</f>
        <v>6000</v>
      </c>
      <c r="L50" s="4">
        <f>VLOOKUP($A50,Master!$A$2:$K$52,COLUMN(Master!I48),0)</f>
        <v>1500</v>
      </c>
      <c r="M50" s="4">
        <f>VLOOKUP($A50,Master!$A$2:$K$52,COLUMN(Master!J48),0)</f>
        <v>750</v>
      </c>
      <c r="N50" s="4">
        <f>IF($AO$1="Jan",VLOOKUP($A50,jan!$A$5:$AU$54,46,0),IF('S Sheet'!$AO$1="Feb",VLOOKUP('S Sheet'!$A50,feb!$A$5:$AR$54,43,0),IF($AO$1="Mar",VLOOKUP($A50,mar!$A$5:$AU$54,46,0),IF($AO$1="Apr",VLOOKUP($A50,apr!$A$5:$AU$54,45,0),IF($AO$1="May",VLOOKUP($A50,may!$A$5:$AU$54,46,0),IF($AO$1="Jun",VLOOKUP($A50,jun!$A$5:$AU$54,45,0),IF($AO$1="Jul",VLOOKUP($A50,jul!$A$5:$AV$54,46,0),IF($AO$1="Aug",VLOOKUP($A50,aug!$A$5:$AU$54,46,0),IF($AO$1="Sep",VLOOKUP($A50,sep!$A$5:$AT$54,45,0),IF($AO$1="Oct",VLOOKUP($A50,oct!$A$5:$AU$54,46,0),IF($AO$1="Nov",VLOOKUP($A50,nov!$A$5:$AU$54,45,0),IF($AO$1="Dec",VLOOKUP($A50,dec!$A$5:$AU$54,46,0),""))))))))))))</f>
        <v>31</v>
      </c>
      <c r="O50" s="4">
        <f>IF($AO$1="Jan",VLOOKUP($A50,jan!$A$5:$AU$54,47,0),IF('S Sheet'!$AO$1="Feb",VLOOKUP('S Sheet'!$A50,feb!$A$5:$AR$54,44,0),IF($AO$1="Mar",VLOOKUP($A50,mar!$A$5:$AU$54,47,0),IF($AO$1="Apr",VLOOKUP($A50,apr!$A$5:$AU$54,46,0),IF($AO$1="May",VLOOKUP($A50,may!$A$5:$AU$54,47,0),IF($AO$1="Jun",VLOOKUP($A50,jun!$A$5:$AU$54,46,0),IF($AO$1="Jul",VLOOKUP($A50,jul!$A$5:$AV$54,47,0),IF($AO$1="Aug",VLOOKUP($A50,aug!$A$5:$AU$54,47,0),IF($AO$1="Sep",VLOOKUP($A50,sep!$A$5:$AT$54,46,0),IF($AO$1="Oct",VLOOKUP($A50,oct!$A$5:$AU$54,47,0),IF($AO$1="Nov",VLOOKUP($A50,nov!$A$5:$AU$54,46,0),IF($AO$1="Dec",VLOOKUP($A50,dec!$A$5:$AU$54,47,0),""))))))))))))</f>
        <v>31</v>
      </c>
      <c r="P50" s="4">
        <f>IF($AO$1="Jan",SUMIFS(holly!$L$3:$L$122,holly!$I$3:$I$122,'S Sheet'!$A50,holly!$K$3:$K$122,'S Sheet'!$AO$1),IF($AO$1="Feb",SUMIFS(holly!$L$3:$L$122,holly!$I$3:$I$122,'S Sheet'!$A50,holly!$K$3:$K$122,'S Sheet'!$AO$1),IF($AO$1="Mar",SUMIFS(holly!$L$3:$L$122,holly!$I$3:$I$122,'S Sheet'!$A50,holly!$K$3:$K$122,'S Sheet'!$AO$1),IF($AO$1="Apr",SUMIFS(holly!$L$3:$L$122,holly!$I$3:$I$122,'S Sheet'!$A50,holly!$K$3:$K$122,'S Sheet'!$AO$1),IF($AO$1="May",SUMIFS(holly!$L$3:$L$122,holly!$I$3:$I$122,'S Sheet'!$A50,holly!$K$3:$K$122,'S Sheet'!$AO$1),IF($AO$1="Jun",SUMIFS(holly!$L$3:$L$122,holly!$I$3:$I$122,'S Sheet'!$A50,holly!$K$3:$K$122,'S Sheet'!$AO$1),IF($AO$1="Jul",SUMIFS(holly!$L$3:$L$122,holly!$I$3:$I$122,'S Sheet'!$A50,holly!$K$3:$K$122,'S Sheet'!$AO$1),IF($AO$1="Aug",SUMIFS(holly!$L$3:$L$122,holly!$I$3:$I$122,'S Sheet'!$A50,holly!$K$3:$K$122,'S Sheet'!$AO$1),IF($AO$1="Sep",SUMIFS(holly!$L$3:$L$122,holly!$I$3:$I$122,'S Sheet'!$A50,holly!$K$3:$K$122,'S Sheet'!$AO$1),IF($AO$1="Oct",SUMIFS(holly!$L$3:$L$122,holly!$I$3:$I$122,'S Sheet'!$A50,holly!$K$3:$K$122,'S Sheet'!$AO$1),IF($AO$1="Nov",SUMIFS(holly!$L$3:$L$122,holly!$I$3:$I$122,'S Sheet'!$A50,holly!$K$3:$K$122,'S Sheet'!$AO$1),IF($AO$1="Dec",SUMIFS(holly!$L$3:$L$122,holly!$I$3:$I$122,'S Sheet'!$A50,holly!$K$3:$K$122,'S Sheet'!$AO$1),""))))))))))))</f>
        <v>0</v>
      </c>
      <c r="Q50" s="4">
        <f>IFERROR(VLOOKUP($A50,holly!$I$2:$O$122,5,0),0)</f>
        <v>108.17</v>
      </c>
      <c r="R50" s="4">
        <f>IF($AO$1="Jan",SUMIFS(adv!$Q$3:$Q$52,adv!$M$3:$M$52,'S Sheet'!$A50,adv!$O$3:$O$52,'S Sheet'!$AO$1),IF($AO$1="Feb",SUMIFS(adv!$Q$3:$Q$52,adv!$M$3:$M$52,'S Sheet'!$A50,adv!$O$3:$O$52,'S Sheet'!$AO$1),IF($AO$1="Mar",SUMIFS(adv!$Q$3:$Q$52,adv!$M$3:$M$52,'S Sheet'!$A50,adv!$O$3:$O$52,'S Sheet'!$AO$1),IF($AO$1="Apr",SUMIFS(adv!$Q$3:$Q$52,adv!$M$3:$M$52,'S Sheet'!$A50,adv!$O$3:$O$52,'S Sheet'!$AO$1),IF($AO$1="May",SUMIFS(adv!$Q$3:$Q$52,adv!$M$3:$M$52,'S Sheet'!$A50,adv!$O$3:$O$52,'S Sheet'!$AO$1),IF($AO$1="Jun",SUMIFS(adv!$Q$3:$Q$52,adv!$M$3:$M$52,'S Sheet'!$A50,adv!$O$3:$O$52,'S Sheet'!$AO$1),IF($AO$1="Jul",SUMIFS(adv!$Q$3:$Q$52,adv!$M$3:$M$52,'S Sheet'!$A50,adv!$O$3:$O$52,'S Sheet'!$AO$1),IF($AO$1="Aug",SUMIFS(adv!$Q$3:$Q$52,adv!$M$3:$M$52,'S Sheet'!$A50,adv!$O$3:$O$52,'S Sheet'!$AO$1),IF($AO$1="Sep",SUMIFS(adv!$Q$3:$Q$52,adv!$M$3:$M$52,'S Sheet'!$A50,adv!$O$3:$O$52,'S Sheet'!$AO$1),IF($AO$1="Oct",SUMIFS(adv!$Q$3:$Q$52,adv!$M$3:$M$52,'S Sheet'!$A50,adv!$O$3:$O$52,'S Sheet'!$AO$1),IF($AO$1="Nov",SUMIFS(adv!$Q$3:$Q$52,adv!$M$3:$M$52,'S Sheet'!$A50,adv!$O$3:$O$52,'S Sheet'!$AO$1),IF($AO$1="Dec",SUMIFS(adv!$Q$3:$Q$52,adv!$M$3:$M$52,'S Sheet'!$A50,adv!$O$3:$O$52,'S Sheet'!$AO$1),""))))))))))))</f>
        <v>0</v>
      </c>
      <c r="S50" s="4">
        <f>IF($AO$1="Jan",SUMIFS(loan!$O$3:$O$32,loan!$J$3:$J$32,'S Sheet'!$A50,loan!$L$3:$L$32,'S Sheet'!$AO$1),IF($AO$1="Feb",SUMIFS(loan!$O$3:$O$32,loan!$J$3:$J$32,'S Sheet'!$A50,loan!$L$3:$L$32,'S Sheet'!$AO$1),IF($AO$1="Mar",SUMIFS(loan!$O$3:$O$32,loan!$J$3:$J$32,'S Sheet'!$A50,loan!$L$3:$L$32,'S Sheet'!$AO$1),IF($AO$1="Apr",SUMIFS(loan!$O$3:$O$32,loan!$J$3:$J$32,'S Sheet'!$A50,loan!$L$3:$L$32,'S Sheet'!$AO$1),IF($AO$1="May",SUMIFS(loan!$O$3:$O$32,loan!$J$3:$J$32,'S Sheet'!$A50,loan!$L$3:$L$32,'S Sheet'!$AO$1),IF($AO$1="Jun",SUMIFS(loan!$O$3:$O$32,loan!$J$3:$J$32,'S Sheet'!$A50,loan!$L$3:$L$32,'S Sheet'!$AO$1),IF($AO$1="Jul",SUMIFS(loan!$O$3:$O$32,loan!$J$3:$J$32,'S Sheet'!$A50,loan!$L$3:$L$32,'S Sheet'!$AO$1),IF($AO$1="Aug",SUMIFS(loan!$O$3:$O$32,loan!$J$3:$J$32,'S Sheet'!$A50,loan!$L$3:$L$32,'S Sheet'!$AO$1),IF($AO$1="Sep",SUMIFS(loan!$O$3:$O$32,loan!$J$3:$J$32,'S Sheet'!$A50,loan!$L$3:$L$32,'S Sheet'!$AO$1),IF($AO$1="Oct",SUMIFS(loan!$O$3:$O$32,loan!$J$3:$J$32,'S Sheet'!$A50,loan!$L$3:$L$32,'S Sheet'!$AO$1),IF($AO$1="Nov",SUMIFS(loan!$O$3:$O$32,loan!$J$3:$J$32,'S Sheet'!$A50,loan!$L$3:$L$32,'S Sheet'!$AO$1),IF($AO$1="Dec",SUMIFS(loan!$O$3:$O$32,loan!$J$3:$J$32,'S Sheet'!$A50,loan!$L$3:$L$32,'S Sheet'!$AO$1),""))))))))))))</f>
        <v>0</v>
      </c>
      <c r="T50" s="4">
        <f>IFERROR(VLOOKUP($A50,loan!$A$2:$H$22,3,0),0)</f>
        <v>0</v>
      </c>
      <c r="U50" s="4">
        <f t="shared" si="5"/>
        <v>0</v>
      </c>
      <c r="V50" s="28" t="str">
        <f>IFERROR(VLOOKUP($A50,loan!$A$2:$H$22,2,0),"")</f>
        <v/>
      </c>
      <c r="W50" s="4">
        <f>IFERROR(VLOOKUP($A50,loan!$A$2:$H$22,5,0),0)</f>
        <v>0</v>
      </c>
      <c r="X50" s="4">
        <f t="shared" si="14"/>
        <v>0</v>
      </c>
      <c r="Y50" s="4">
        <f t="shared" si="7"/>
        <v>0</v>
      </c>
      <c r="Z50" s="29">
        <f t="shared" si="13"/>
        <v>0</v>
      </c>
      <c r="AA50" s="4">
        <f>IF('S Sheet'!$AO$1='S Sheet'!$AO$1,SUMIFS(adv!$E$3:$E$97,adv!$B$3:$B$97,'S Sheet'!$A50,adv!$D$3:$D$97,'S Sheet'!$AO$1),0)</f>
        <v>0</v>
      </c>
      <c r="AB50" s="4">
        <f>IF($AO$1=$AO$1,SUMIFS(adv!$H$3:$H$97,adv!$B$3:$B$97,'S Sheet'!$A50,adv!$D$3:$D$97,'S Sheet'!$AO$1),0)</f>
        <v>0</v>
      </c>
      <c r="AC50" s="29">
        <f t="shared" si="0"/>
        <v>0</v>
      </c>
      <c r="AD50" s="4">
        <f t="shared" si="15"/>
        <v>15000</v>
      </c>
      <c r="AE50" s="34">
        <f t="shared" si="16"/>
        <v>15000</v>
      </c>
      <c r="AF50" s="4">
        <f>VLOOKUP($A50,Master!$A$2:$K$52,8,0)</f>
        <v>6000</v>
      </c>
      <c r="AG50" s="4">
        <f>VLOOKUP($A50,Master!$A$2:$K$52,9,0)</f>
        <v>1500</v>
      </c>
      <c r="AH50" s="4">
        <f>VLOOKUP($A50,Master!$A$2:$K$52,10,0)</f>
        <v>750</v>
      </c>
      <c r="AI50" s="4">
        <f t="shared" si="17"/>
        <v>0</v>
      </c>
      <c r="AJ50" s="4">
        <f>IF($AO$1=$AO$1,SUMIFS(adv!$Q$3:$Q$52,adv!$M$3:$M$52,'S Sheet'!$A50,adv!$O$3:$O$52,'S Sheet'!$AO$1),0)</f>
        <v>0</v>
      </c>
      <c r="AK50" s="34">
        <f t="shared" si="18"/>
        <v>23250</v>
      </c>
      <c r="AL50" s="4">
        <f t="shared" si="8"/>
        <v>1980</v>
      </c>
      <c r="AM50" s="34">
        <f t="shared" si="9"/>
        <v>0</v>
      </c>
      <c r="AN50" s="34">
        <f t="shared" si="10"/>
        <v>0</v>
      </c>
      <c r="AO50" s="4">
        <f t="shared" si="11"/>
        <v>0</v>
      </c>
      <c r="AP50" s="36">
        <f t="shared" si="12"/>
        <v>21270</v>
      </c>
    </row>
    <row r="51" spans="1:42" ht="21" x14ac:dyDescent="0.25">
      <c r="A51" s="4" t="s">
        <v>78</v>
      </c>
      <c r="B51" s="4" t="str">
        <f>VLOOKUP($A51,Master!$A$2:$K$52,COLUMN(Master!B49),0)</f>
        <v>Employee48</v>
      </c>
      <c r="C51" s="4" t="str">
        <f>VLOOKUP($A51,Master!$A$2:$K$52,COLUMN(Master!C49),0)</f>
        <v>Female</v>
      </c>
      <c r="D51" s="26">
        <f>VLOOKUP($A51,Master!$A$2:$K$52,COLUMN(Master!D49),0)</f>
        <v>44996</v>
      </c>
      <c r="E51" s="4" t="str">
        <f>VLOOKUP($A51,Master!$A$2:$K$52,COLUMN(Master!E49),0)</f>
        <v>Production</v>
      </c>
      <c r="F51" s="4" t="str">
        <f>VLOOKUP($A51,Master!$A$2:$K$52,COLUMN(Master!F49),0)</f>
        <v>Senior Operator</v>
      </c>
      <c r="G51" s="4" t="s">
        <v>16</v>
      </c>
      <c r="H51" s="4">
        <v>90792737025</v>
      </c>
      <c r="I51" s="4" t="s">
        <v>429</v>
      </c>
      <c r="J51" s="4">
        <f>VLOOKUP($A51,Master!$A$2:$K$52,COLUMN(Master!G49),0)</f>
        <v>14000</v>
      </c>
      <c r="K51" s="4">
        <f>VLOOKUP($A51,Master!$A$2:$K$52,COLUMN(Master!H49),0)</f>
        <v>5600</v>
      </c>
      <c r="L51" s="4">
        <f>VLOOKUP($A51,Master!$A$2:$K$52,COLUMN(Master!I49),0)</f>
        <v>1400</v>
      </c>
      <c r="M51" s="4">
        <f>VLOOKUP($A51,Master!$A$2:$K$52,COLUMN(Master!J49),0)</f>
        <v>700</v>
      </c>
      <c r="N51" s="4">
        <f>IF($AO$1="Jan",VLOOKUP($A51,jan!$A$5:$AU$54,46,0),IF('S Sheet'!$AO$1="Feb",VLOOKUP('S Sheet'!$A51,feb!$A$5:$AR$54,43,0),IF($AO$1="Mar",VLOOKUP($A51,mar!$A$5:$AU$54,46,0),IF($AO$1="Apr",VLOOKUP($A51,apr!$A$5:$AU$54,45,0),IF($AO$1="May",VLOOKUP($A51,may!$A$5:$AU$54,46,0),IF($AO$1="Jun",VLOOKUP($A51,jun!$A$5:$AU$54,45,0),IF($AO$1="Jul",VLOOKUP($A51,jul!$A$5:$AV$54,46,0),IF($AO$1="Aug",VLOOKUP($A51,aug!$A$5:$AU$54,46,0),IF($AO$1="Sep",VLOOKUP($A51,sep!$A$5:$AT$54,45,0),IF($AO$1="Oct",VLOOKUP($A51,oct!$A$5:$AU$54,46,0),IF($AO$1="Nov",VLOOKUP($A51,nov!$A$5:$AU$54,45,0),IF($AO$1="Dec",VLOOKUP($A51,dec!$A$5:$AU$54,46,0),""))))))))))))</f>
        <v>31</v>
      </c>
      <c r="O51" s="4">
        <f>IF($AO$1="Jan",VLOOKUP($A51,jan!$A$5:$AU$54,47,0),IF('S Sheet'!$AO$1="Feb",VLOOKUP('S Sheet'!$A51,feb!$A$5:$AR$54,44,0),IF($AO$1="Mar",VLOOKUP($A51,mar!$A$5:$AU$54,47,0),IF($AO$1="Apr",VLOOKUP($A51,apr!$A$5:$AU$54,46,0),IF($AO$1="May",VLOOKUP($A51,may!$A$5:$AU$54,47,0),IF($AO$1="Jun",VLOOKUP($A51,jun!$A$5:$AU$54,46,0),IF($AO$1="Jul",VLOOKUP($A51,jul!$A$5:$AV$54,47,0),IF($AO$1="Aug",VLOOKUP($A51,aug!$A$5:$AU$54,47,0),IF($AO$1="Sep",VLOOKUP($A51,sep!$A$5:$AT$54,46,0),IF($AO$1="Oct",VLOOKUP($A51,oct!$A$5:$AU$54,47,0),IF($AO$1="Nov",VLOOKUP($A51,nov!$A$5:$AU$54,46,0),IF($AO$1="Dec",VLOOKUP($A51,dec!$A$5:$AU$54,47,0),""))))))))))))</f>
        <v>31</v>
      </c>
      <c r="P51" s="4">
        <f>IF($AO$1="Jan",SUMIFS(holly!$L$3:$L$122,holly!$I$3:$I$122,'S Sheet'!$A51,holly!$K$3:$K$122,'S Sheet'!$AO$1),IF($AO$1="Feb",SUMIFS(holly!$L$3:$L$122,holly!$I$3:$I$122,'S Sheet'!$A51,holly!$K$3:$K$122,'S Sheet'!$AO$1),IF($AO$1="Mar",SUMIFS(holly!$L$3:$L$122,holly!$I$3:$I$122,'S Sheet'!$A51,holly!$K$3:$K$122,'S Sheet'!$AO$1),IF($AO$1="Apr",SUMIFS(holly!$L$3:$L$122,holly!$I$3:$I$122,'S Sheet'!$A51,holly!$K$3:$K$122,'S Sheet'!$AO$1),IF($AO$1="May",SUMIFS(holly!$L$3:$L$122,holly!$I$3:$I$122,'S Sheet'!$A51,holly!$K$3:$K$122,'S Sheet'!$AO$1),IF($AO$1="Jun",SUMIFS(holly!$L$3:$L$122,holly!$I$3:$I$122,'S Sheet'!$A51,holly!$K$3:$K$122,'S Sheet'!$AO$1),IF($AO$1="Jul",SUMIFS(holly!$L$3:$L$122,holly!$I$3:$I$122,'S Sheet'!$A51,holly!$K$3:$K$122,'S Sheet'!$AO$1),IF($AO$1="Aug",SUMIFS(holly!$L$3:$L$122,holly!$I$3:$I$122,'S Sheet'!$A51,holly!$K$3:$K$122,'S Sheet'!$AO$1),IF($AO$1="Sep",SUMIFS(holly!$L$3:$L$122,holly!$I$3:$I$122,'S Sheet'!$A51,holly!$K$3:$K$122,'S Sheet'!$AO$1),IF($AO$1="Oct",SUMIFS(holly!$L$3:$L$122,holly!$I$3:$I$122,'S Sheet'!$A51,holly!$K$3:$K$122,'S Sheet'!$AO$1),IF($AO$1="Nov",SUMIFS(holly!$L$3:$L$122,holly!$I$3:$I$122,'S Sheet'!$A51,holly!$K$3:$K$122,'S Sheet'!$AO$1),IF($AO$1="Dec",SUMIFS(holly!$L$3:$L$122,holly!$I$3:$I$122,'S Sheet'!$A51,holly!$K$3:$K$122,'S Sheet'!$AO$1),""))))))))))))</f>
        <v>0</v>
      </c>
      <c r="Q51" s="4">
        <f>IFERROR(VLOOKUP($A51,holly!$I$2:$O$122,5,0),0)</f>
        <v>100.96</v>
      </c>
      <c r="R51" s="4">
        <f>IF($AO$1="Jan",SUMIFS(adv!$Q$3:$Q$52,adv!$M$3:$M$52,'S Sheet'!$A51,adv!$O$3:$O$52,'S Sheet'!$AO$1),IF($AO$1="Feb",SUMIFS(adv!$Q$3:$Q$52,adv!$M$3:$M$52,'S Sheet'!$A51,adv!$O$3:$O$52,'S Sheet'!$AO$1),IF($AO$1="Mar",SUMIFS(adv!$Q$3:$Q$52,adv!$M$3:$M$52,'S Sheet'!$A51,adv!$O$3:$O$52,'S Sheet'!$AO$1),IF($AO$1="Apr",SUMIFS(adv!$Q$3:$Q$52,adv!$M$3:$M$52,'S Sheet'!$A51,adv!$O$3:$O$52,'S Sheet'!$AO$1),IF($AO$1="May",SUMIFS(adv!$Q$3:$Q$52,adv!$M$3:$M$52,'S Sheet'!$A51,adv!$O$3:$O$52,'S Sheet'!$AO$1),IF($AO$1="Jun",SUMIFS(adv!$Q$3:$Q$52,adv!$M$3:$M$52,'S Sheet'!$A51,adv!$O$3:$O$52,'S Sheet'!$AO$1),IF($AO$1="Jul",SUMIFS(adv!$Q$3:$Q$52,adv!$M$3:$M$52,'S Sheet'!$A51,adv!$O$3:$O$52,'S Sheet'!$AO$1),IF($AO$1="Aug",SUMIFS(adv!$Q$3:$Q$52,adv!$M$3:$M$52,'S Sheet'!$A51,adv!$O$3:$O$52,'S Sheet'!$AO$1),IF($AO$1="Sep",SUMIFS(adv!$Q$3:$Q$52,adv!$M$3:$M$52,'S Sheet'!$A51,adv!$O$3:$O$52,'S Sheet'!$AO$1),IF($AO$1="Oct",SUMIFS(adv!$Q$3:$Q$52,adv!$M$3:$M$52,'S Sheet'!$A51,adv!$O$3:$O$52,'S Sheet'!$AO$1),IF($AO$1="Nov",SUMIFS(adv!$Q$3:$Q$52,adv!$M$3:$M$52,'S Sheet'!$A51,adv!$O$3:$O$52,'S Sheet'!$AO$1),IF($AO$1="Dec",SUMIFS(adv!$Q$3:$Q$52,adv!$M$3:$M$52,'S Sheet'!$A51,adv!$O$3:$O$52,'S Sheet'!$AO$1),""))))))))))))</f>
        <v>1000</v>
      </c>
      <c r="S51" s="4">
        <f>IF($AO$1="Jan",SUMIFS(loan!$O$3:$O$32,loan!$J$3:$J$32,'S Sheet'!$A51,loan!$L$3:$L$32,'S Sheet'!$AO$1),IF($AO$1="Feb",SUMIFS(loan!$O$3:$O$32,loan!$J$3:$J$32,'S Sheet'!$A51,loan!$L$3:$L$32,'S Sheet'!$AO$1),IF($AO$1="Mar",SUMIFS(loan!$O$3:$O$32,loan!$J$3:$J$32,'S Sheet'!$A51,loan!$L$3:$L$32,'S Sheet'!$AO$1),IF($AO$1="Apr",SUMIFS(loan!$O$3:$O$32,loan!$J$3:$J$32,'S Sheet'!$A51,loan!$L$3:$L$32,'S Sheet'!$AO$1),IF($AO$1="May",SUMIFS(loan!$O$3:$O$32,loan!$J$3:$J$32,'S Sheet'!$A51,loan!$L$3:$L$32,'S Sheet'!$AO$1),IF($AO$1="Jun",SUMIFS(loan!$O$3:$O$32,loan!$J$3:$J$32,'S Sheet'!$A51,loan!$L$3:$L$32,'S Sheet'!$AO$1),IF($AO$1="Jul",SUMIFS(loan!$O$3:$O$32,loan!$J$3:$J$32,'S Sheet'!$A51,loan!$L$3:$L$32,'S Sheet'!$AO$1),IF($AO$1="Aug",SUMIFS(loan!$O$3:$O$32,loan!$J$3:$J$32,'S Sheet'!$A51,loan!$L$3:$L$32,'S Sheet'!$AO$1),IF($AO$1="Sep",SUMIFS(loan!$O$3:$O$32,loan!$J$3:$J$32,'S Sheet'!$A51,loan!$L$3:$L$32,'S Sheet'!$AO$1),IF($AO$1="Oct",SUMIFS(loan!$O$3:$O$32,loan!$J$3:$J$32,'S Sheet'!$A51,loan!$L$3:$L$32,'S Sheet'!$AO$1),IF($AO$1="Nov",SUMIFS(loan!$O$3:$O$32,loan!$J$3:$J$32,'S Sheet'!$A51,loan!$L$3:$L$32,'S Sheet'!$AO$1),IF($AO$1="Dec",SUMIFS(loan!$O$3:$O$32,loan!$J$3:$J$32,'S Sheet'!$A51,loan!$L$3:$L$32,'S Sheet'!$AO$1),""))))))))))))</f>
        <v>0</v>
      </c>
      <c r="T51" s="4">
        <f>IFERROR(VLOOKUP($A51,loan!$A$2:$H$22,3,0),0)</f>
        <v>20000</v>
      </c>
      <c r="U51" s="4">
        <f t="shared" si="5"/>
        <v>800</v>
      </c>
      <c r="V51" s="28">
        <f>IFERROR(VLOOKUP($A51,loan!$A$2:$H$22,2,0),"")</f>
        <v>45893</v>
      </c>
      <c r="W51" s="4">
        <f>IFERROR(VLOOKUP($A51,loan!$A$2:$H$22,5,0),0)</f>
        <v>25</v>
      </c>
      <c r="X51" s="4">
        <f t="shared" si="14"/>
        <v>13</v>
      </c>
      <c r="Y51" s="4">
        <f t="shared" si="7"/>
        <v>12</v>
      </c>
      <c r="Z51" s="29">
        <f t="shared" si="13"/>
        <v>9600</v>
      </c>
      <c r="AA51" s="4">
        <f>IF('S Sheet'!$AO$1='S Sheet'!$AO$1,SUMIFS(adv!$E$3:$E$97,adv!$B$3:$B$97,'S Sheet'!$A51,adv!$D$3:$D$97,'S Sheet'!$AO$1),0)</f>
        <v>0</v>
      </c>
      <c r="AB51" s="4">
        <f>IF($AO$1=$AO$1,SUMIFS(adv!$H$3:$H$97,adv!$B$3:$B$97,'S Sheet'!$A51,adv!$D$3:$D$97,'S Sheet'!$AO$1),0)</f>
        <v>0</v>
      </c>
      <c r="AC51" s="29">
        <f t="shared" si="0"/>
        <v>0</v>
      </c>
      <c r="AD51" s="4">
        <f t="shared" si="15"/>
        <v>14000</v>
      </c>
      <c r="AE51" s="34">
        <f t="shared" si="16"/>
        <v>14000</v>
      </c>
      <c r="AF51" s="4">
        <f>VLOOKUP($A51,Master!$A$2:$K$52,8,0)</f>
        <v>5600</v>
      </c>
      <c r="AG51" s="4">
        <f>VLOOKUP($A51,Master!$A$2:$K$52,9,0)</f>
        <v>1400</v>
      </c>
      <c r="AH51" s="4">
        <f>VLOOKUP($A51,Master!$A$2:$K$52,10,0)</f>
        <v>700</v>
      </c>
      <c r="AI51" s="4">
        <f t="shared" si="17"/>
        <v>0</v>
      </c>
      <c r="AJ51" s="4">
        <f>IF($AO$1=$AO$1,SUMIFS(adv!$Q$3:$Q$52,adv!$M$3:$M$52,'S Sheet'!$A51,adv!$O$3:$O$52,'S Sheet'!$AO$1),0)</f>
        <v>1000</v>
      </c>
      <c r="AK51" s="34">
        <f t="shared" si="18"/>
        <v>22700</v>
      </c>
      <c r="AL51" s="4">
        <f t="shared" si="8"/>
        <v>1848</v>
      </c>
      <c r="AM51" s="34">
        <f t="shared" si="9"/>
        <v>0</v>
      </c>
      <c r="AN51" s="34">
        <f t="shared" si="10"/>
        <v>800</v>
      </c>
      <c r="AO51" s="4">
        <f t="shared" si="11"/>
        <v>0</v>
      </c>
      <c r="AP51" s="36">
        <f t="shared" si="12"/>
        <v>20052</v>
      </c>
    </row>
    <row r="52" spans="1:42" ht="21" x14ac:dyDescent="0.25">
      <c r="A52" s="4" t="s">
        <v>79</v>
      </c>
      <c r="B52" s="4" t="str">
        <f>VLOOKUP($A52,Master!$A$2:$K$52,COLUMN(Master!B50),0)</f>
        <v>Employee49</v>
      </c>
      <c r="C52" s="4" t="str">
        <f>VLOOKUP($A52,Master!$A$2:$K$52,COLUMN(Master!C50),0)</f>
        <v>Female</v>
      </c>
      <c r="D52" s="26">
        <f>VLOOKUP($A52,Master!$A$2:$K$52,COLUMN(Master!D50),0)</f>
        <v>44514</v>
      </c>
      <c r="E52" s="4" t="str">
        <f>VLOOKUP($A52,Master!$A$2:$K$52,COLUMN(Master!E50),0)</f>
        <v>Production</v>
      </c>
      <c r="F52" s="4" t="str">
        <f>VLOOKUP($A52,Master!$A$2:$K$52,COLUMN(Master!F50),0)</f>
        <v>Operator</v>
      </c>
      <c r="G52" s="4" t="s">
        <v>29</v>
      </c>
      <c r="H52" s="4">
        <v>81092342911</v>
      </c>
      <c r="I52" s="4" t="s">
        <v>430</v>
      </c>
      <c r="J52" s="4">
        <f>VLOOKUP($A52,Master!$A$2:$K$52,COLUMN(Master!G50),0)</f>
        <v>14000</v>
      </c>
      <c r="K52" s="4">
        <f>VLOOKUP($A52,Master!$A$2:$K$52,COLUMN(Master!H50),0)</f>
        <v>5600</v>
      </c>
      <c r="L52" s="4">
        <f>VLOOKUP($A52,Master!$A$2:$K$52,COLUMN(Master!I50),0)</f>
        <v>1400</v>
      </c>
      <c r="M52" s="4">
        <f>VLOOKUP($A52,Master!$A$2:$K$52,COLUMN(Master!J50),0)</f>
        <v>700</v>
      </c>
      <c r="N52" s="4">
        <f>IF($AO$1="Jan",VLOOKUP($A52,jan!$A$5:$AU$54,46,0),IF('S Sheet'!$AO$1="Feb",VLOOKUP('S Sheet'!$A52,feb!$A$5:$AR$54,43,0),IF($AO$1="Mar",VLOOKUP($A52,mar!$A$5:$AU$54,46,0),IF($AO$1="Apr",VLOOKUP($A52,apr!$A$5:$AU$54,45,0),IF($AO$1="May",VLOOKUP($A52,may!$A$5:$AU$54,46,0),IF($AO$1="Jun",VLOOKUP($A52,jun!$A$5:$AU$54,45,0),IF($AO$1="Jul",VLOOKUP($A52,jul!$A$5:$AV$54,46,0),IF($AO$1="Aug",VLOOKUP($A52,aug!$A$5:$AU$54,46,0),IF($AO$1="Sep",VLOOKUP($A52,sep!$A$5:$AT$54,45,0),IF($AO$1="Oct",VLOOKUP($A52,oct!$A$5:$AU$54,46,0),IF($AO$1="Nov",VLOOKUP($A52,nov!$A$5:$AU$54,45,0),IF($AO$1="Dec",VLOOKUP($A52,dec!$A$5:$AU$54,46,0),""))))))))))))</f>
        <v>31</v>
      </c>
      <c r="O52" s="4">
        <f>IF($AO$1="Jan",VLOOKUP($A52,jan!$A$5:$AU$54,47,0),IF('S Sheet'!$AO$1="Feb",VLOOKUP('S Sheet'!$A52,feb!$A$5:$AR$54,44,0),IF($AO$1="Mar",VLOOKUP($A52,mar!$A$5:$AU$54,47,0),IF($AO$1="Apr",VLOOKUP($A52,apr!$A$5:$AU$54,46,0),IF($AO$1="May",VLOOKUP($A52,may!$A$5:$AU$54,47,0),IF($AO$1="Jun",VLOOKUP($A52,jun!$A$5:$AU$54,46,0),IF($AO$1="Jul",VLOOKUP($A52,jul!$A$5:$AV$54,47,0),IF($AO$1="Aug",VLOOKUP($A52,aug!$A$5:$AU$54,47,0),IF($AO$1="Sep",VLOOKUP($A52,sep!$A$5:$AT$54,46,0),IF($AO$1="Oct",VLOOKUP($A52,oct!$A$5:$AU$54,47,0),IF($AO$1="Nov",VLOOKUP($A52,nov!$A$5:$AU$54,46,0),IF($AO$1="Dec",VLOOKUP($A52,dec!$A$5:$AU$54,47,0),""))))))))))))</f>
        <v>31</v>
      </c>
      <c r="P52" s="4">
        <f>IF($AO$1="Jan",SUMIFS(holly!$L$3:$L$122,holly!$I$3:$I$122,'S Sheet'!$A52,holly!$K$3:$K$122,'S Sheet'!$AO$1),IF($AO$1="Feb",SUMIFS(holly!$L$3:$L$122,holly!$I$3:$I$122,'S Sheet'!$A52,holly!$K$3:$K$122,'S Sheet'!$AO$1),IF($AO$1="Mar",SUMIFS(holly!$L$3:$L$122,holly!$I$3:$I$122,'S Sheet'!$A52,holly!$K$3:$K$122,'S Sheet'!$AO$1),IF($AO$1="Apr",SUMIFS(holly!$L$3:$L$122,holly!$I$3:$I$122,'S Sheet'!$A52,holly!$K$3:$K$122,'S Sheet'!$AO$1),IF($AO$1="May",SUMIFS(holly!$L$3:$L$122,holly!$I$3:$I$122,'S Sheet'!$A52,holly!$K$3:$K$122,'S Sheet'!$AO$1),IF($AO$1="Jun",SUMIFS(holly!$L$3:$L$122,holly!$I$3:$I$122,'S Sheet'!$A52,holly!$K$3:$K$122,'S Sheet'!$AO$1),IF($AO$1="Jul",SUMIFS(holly!$L$3:$L$122,holly!$I$3:$I$122,'S Sheet'!$A52,holly!$K$3:$K$122,'S Sheet'!$AO$1),IF($AO$1="Aug",SUMIFS(holly!$L$3:$L$122,holly!$I$3:$I$122,'S Sheet'!$A52,holly!$K$3:$K$122,'S Sheet'!$AO$1),IF($AO$1="Sep",SUMIFS(holly!$L$3:$L$122,holly!$I$3:$I$122,'S Sheet'!$A52,holly!$K$3:$K$122,'S Sheet'!$AO$1),IF($AO$1="Oct",SUMIFS(holly!$L$3:$L$122,holly!$I$3:$I$122,'S Sheet'!$A52,holly!$K$3:$K$122,'S Sheet'!$AO$1),IF($AO$1="Nov",SUMIFS(holly!$L$3:$L$122,holly!$I$3:$I$122,'S Sheet'!$A52,holly!$K$3:$K$122,'S Sheet'!$AO$1),IF($AO$1="Dec",SUMIFS(holly!$L$3:$L$122,holly!$I$3:$I$122,'S Sheet'!$A52,holly!$K$3:$K$122,'S Sheet'!$AO$1),""))))))))))))</f>
        <v>0</v>
      </c>
      <c r="Q52" s="4">
        <f>IFERROR(VLOOKUP($A52,holly!$I$2:$O$122,5,0),0)</f>
        <v>100.96</v>
      </c>
      <c r="R52" s="4">
        <f>IF($AO$1="Jan",SUMIFS(adv!$Q$3:$Q$52,adv!$M$3:$M$52,'S Sheet'!$A52,adv!$O$3:$O$52,'S Sheet'!$AO$1),IF($AO$1="Feb",SUMIFS(adv!$Q$3:$Q$52,adv!$M$3:$M$52,'S Sheet'!$A52,adv!$O$3:$O$52,'S Sheet'!$AO$1),IF($AO$1="Mar",SUMIFS(adv!$Q$3:$Q$52,adv!$M$3:$M$52,'S Sheet'!$A52,adv!$O$3:$O$52,'S Sheet'!$AO$1),IF($AO$1="Apr",SUMIFS(adv!$Q$3:$Q$52,adv!$M$3:$M$52,'S Sheet'!$A52,adv!$O$3:$O$52,'S Sheet'!$AO$1),IF($AO$1="May",SUMIFS(adv!$Q$3:$Q$52,adv!$M$3:$M$52,'S Sheet'!$A52,adv!$O$3:$O$52,'S Sheet'!$AO$1),IF($AO$1="Jun",SUMIFS(adv!$Q$3:$Q$52,adv!$M$3:$M$52,'S Sheet'!$A52,adv!$O$3:$O$52,'S Sheet'!$AO$1),IF($AO$1="Jul",SUMIFS(adv!$Q$3:$Q$52,adv!$M$3:$M$52,'S Sheet'!$A52,adv!$O$3:$O$52,'S Sheet'!$AO$1),IF($AO$1="Aug",SUMIFS(adv!$Q$3:$Q$52,adv!$M$3:$M$52,'S Sheet'!$A52,adv!$O$3:$O$52,'S Sheet'!$AO$1),IF($AO$1="Sep",SUMIFS(adv!$Q$3:$Q$52,adv!$M$3:$M$52,'S Sheet'!$A52,adv!$O$3:$O$52,'S Sheet'!$AO$1),IF($AO$1="Oct",SUMIFS(adv!$Q$3:$Q$52,adv!$M$3:$M$52,'S Sheet'!$A52,adv!$O$3:$O$52,'S Sheet'!$AO$1),IF($AO$1="Nov",SUMIFS(adv!$Q$3:$Q$52,adv!$M$3:$M$52,'S Sheet'!$A52,adv!$O$3:$O$52,'S Sheet'!$AO$1),IF($AO$1="Dec",SUMIFS(adv!$Q$3:$Q$52,adv!$M$3:$M$52,'S Sheet'!$A52,adv!$O$3:$O$52,'S Sheet'!$AO$1),""))))))))))))</f>
        <v>0</v>
      </c>
      <c r="S52" s="4">
        <f>IF($AO$1="Jan",SUMIFS(loan!$O$3:$O$32,loan!$J$3:$J$32,'S Sheet'!$A52,loan!$L$3:$L$32,'S Sheet'!$AO$1),IF($AO$1="Feb",SUMIFS(loan!$O$3:$O$32,loan!$J$3:$J$32,'S Sheet'!$A52,loan!$L$3:$L$32,'S Sheet'!$AO$1),IF($AO$1="Mar",SUMIFS(loan!$O$3:$O$32,loan!$J$3:$J$32,'S Sheet'!$A52,loan!$L$3:$L$32,'S Sheet'!$AO$1),IF($AO$1="Apr",SUMIFS(loan!$O$3:$O$32,loan!$J$3:$J$32,'S Sheet'!$A52,loan!$L$3:$L$32,'S Sheet'!$AO$1),IF($AO$1="May",SUMIFS(loan!$O$3:$O$32,loan!$J$3:$J$32,'S Sheet'!$A52,loan!$L$3:$L$32,'S Sheet'!$AO$1),IF($AO$1="Jun",SUMIFS(loan!$O$3:$O$32,loan!$J$3:$J$32,'S Sheet'!$A52,loan!$L$3:$L$32,'S Sheet'!$AO$1),IF($AO$1="Jul",SUMIFS(loan!$O$3:$O$32,loan!$J$3:$J$32,'S Sheet'!$A52,loan!$L$3:$L$32,'S Sheet'!$AO$1),IF($AO$1="Aug",SUMIFS(loan!$O$3:$O$32,loan!$J$3:$J$32,'S Sheet'!$A52,loan!$L$3:$L$32,'S Sheet'!$AO$1),IF($AO$1="Sep",SUMIFS(loan!$O$3:$O$32,loan!$J$3:$J$32,'S Sheet'!$A52,loan!$L$3:$L$32,'S Sheet'!$AO$1),IF($AO$1="Oct",SUMIFS(loan!$O$3:$O$32,loan!$J$3:$J$32,'S Sheet'!$A52,loan!$L$3:$L$32,'S Sheet'!$AO$1),IF($AO$1="Nov",SUMIFS(loan!$O$3:$O$32,loan!$J$3:$J$32,'S Sheet'!$A52,loan!$L$3:$L$32,'S Sheet'!$AO$1),IF($AO$1="Dec",SUMIFS(loan!$O$3:$O$32,loan!$J$3:$J$32,'S Sheet'!$A52,loan!$L$3:$L$32,'S Sheet'!$AO$1),""))))))))))))</f>
        <v>0</v>
      </c>
      <c r="T52" s="4">
        <f>IFERROR(VLOOKUP($A52,loan!$A$2:$H$22,3,0),0)</f>
        <v>0</v>
      </c>
      <c r="U52" s="4">
        <f t="shared" si="5"/>
        <v>0</v>
      </c>
      <c r="V52" s="28" t="str">
        <f>IFERROR(VLOOKUP($A52,loan!$A$2:$H$22,2,0),"")</f>
        <v/>
      </c>
      <c r="W52" s="4">
        <f>IFERROR(VLOOKUP($A52,loan!$A$2:$H$22,5,0),0)</f>
        <v>0</v>
      </c>
      <c r="X52" s="4">
        <f t="shared" si="14"/>
        <v>0</v>
      </c>
      <c r="Y52" s="4">
        <f t="shared" si="7"/>
        <v>0</v>
      </c>
      <c r="Z52" s="29">
        <f t="shared" si="13"/>
        <v>0</v>
      </c>
      <c r="AA52" s="4">
        <f>IF('S Sheet'!$AO$1='S Sheet'!$AO$1,SUMIFS(adv!$E$3:$E$97,adv!$B$3:$B$97,'S Sheet'!$A52,adv!$D$3:$D$97,'S Sheet'!$AO$1),0)</f>
        <v>0</v>
      </c>
      <c r="AB52" s="4">
        <f>IF($AO$1=$AO$1,SUMIFS(adv!$H$3:$H$97,adv!$B$3:$B$97,'S Sheet'!$A52,adv!$D$3:$D$97,'S Sheet'!$AO$1),0)</f>
        <v>0</v>
      </c>
      <c r="AC52" s="29">
        <f t="shared" si="0"/>
        <v>0</v>
      </c>
      <c r="AD52" s="4">
        <f t="shared" si="15"/>
        <v>14000</v>
      </c>
      <c r="AE52" s="34">
        <f t="shared" si="16"/>
        <v>14000</v>
      </c>
      <c r="AF52" s="4">
        <f>VLOOKUP($A52,Master!$A$2:$K$52,8,0)</f>
        <v>5600</v>
      </c>
      <c r="AG52" s="4">
        <f>VLOOKUP($A52,Master!$A$2:$K$52,9,0)</f>
        <v>1400</v>
      </c>
      <c r="AH52" s="4">
        <f>VLOOKUP($A52,Master!$A$2:$K$52,10,0)</f>
        <v>700</v>
      </c>
      <c r="AI52" s="4">
        <f t="shared" si="17"/>
        <v>0</v>
      </c>
      <c r="AJ52" s="4">
        <f>IF($AO$1=$AO$1,SUMIFS(adv!$Q$3:$Q$52,adv!$M$3:$M$52,'S Sheet'!$A52,adv!$O$3:$O$52,'S Sheet'!$AO$1),0)</f>
        <v>0</v>
      </c>
      <c r="AK52" s="34">
        <f t="shared" si="18"/>
        <v>21700</v>
      </c>
      <c r="AL52" s="4">
        <f t="shared" si="8"/>
        <v>1848</v>
      </c>
      <c r="AM52" s="34">
        <f t="shared" si="9"/>
        <v>0</v>
      </c>
      <c r="AN52" s="34">
        <f t="shared" si="10"/>
        <v>0</v>
      </c>
      <c r="AO52" s="4">
        <f t="shared" si="11"/>
        <v>0</v>
      </c>
      <c r="AP52" s="36">
        <f t="shared" si="12"/>
        <v>19852</v>
      </c>
    </row>
    <row r="53" spans="1:42" ht="21" x14ac:dyDescent="0.25">
      <c r="A53" s="4" t="s">
        <v>80</v>
      </c>
      <c r="B53" s="4" t="str">
        <f>VLOOKUP($A53,Master!$A$2:$K$52,COLUMN(Master!B51),0)</f>
        <v>Employee50</v>
      </c>
      <c r="C53" s="4" t="str">
        <f>VLOOKUP($A53,Master!$A$2:$K$52,COLUMN(Master!C51),0)</f>
        <v>Female</v>
      </c>
      <c r="D53" s="26">
        <f>VLOOKUP($A53,Master!$A$2:$K$52,COLUMN(Master!D51),0)</f>
        <v>44839</v>
      </c>
      <c r="E53" s="4" t="str">
        <f>VLOOKUP($A53,Master!$A$2:$K$52,COLUMN(Master!E51),0)</f>
        <v>Production</v>
      </c>
      <c r="F53" s="4" t="str">
        <f>VLOOKUP($A53,Master!$A$2:$K$52,COLUMN(Master!F51),0)</f>
        <v>Operator</v>
      </c>
      <c r="G53" s="4" t="s">
        <v>386</v>
      </c>
      <c r="H53" s="4">
        <v>68916662609</v>
      </c>
      <c r="I53" s="4" t="s">
        <v>431</v>
      </c>
      <c r="J53" s="4">
        <f>VLOOKUP($A53,Master!$A$2:$K$52,COLUMN(Master!G51),0)</f>
        <v>9000</v>
      </c>
      <c r="K53" s="4">
        <f>VLOOKUP($A53,Master!$A$2:$K$52,COLUMN(Master!H51),0)</f>
        <v>3600</v>
      </c>
      <c r="L53" s="4">
        <f>VLOOKUP($A53,Master!$A$2:$K$52,COLUMN(Master!I51),0)</f>
        <v>900</v>
      </c>
      <c r="M53" s="4">
        <f>VLOOKUP($A53,Master!$A$2:$K$52,COLUMN(Master!J51),0)</f>
        <v>450</v>
      </c>
      <c r="N53" s="4">
        <f>IF($AO$1="Jan",VLOOKUP($A53,jan!$A$5:$AU$54,46,0),IF('S Sheet'!$AO$1="Feb",VLOOKUP('S Sheet'!$A53,feb!$A$5:$AR$54,43,0),IF($AO$1="Mar",VLOOKUP($A53,mar!$A$5:$AU$54,46,0),IF($AO$1="Apr",VLOOKUP($A53,apr!$A$5:$AU$54,45,0),IF($AO$1="May",VLOOKUP($A53,may!$A$5:$AU$54,46,0),IF($AO$1="Jun",VLOOKUP($A53,jun!$A$5:$AU$54,45,0),IF($AO$1="Jul",VLOOKUP($A53,jul!$A$5:$AV$54,46,0),IF($AO$1="Aug",VLOOKUP($A53,aug!$A$5:$AU$54,46,0),IF($AO$1="Sep",VLOOKUP($A53,sep!$A$5:$AT$54,45,0),IF($AO$1="Oct",VLOOKUP($A53,oct!$A$5:$AU$54,46,0),IF($AO$1="Nov",VLOOKUP($A53,nov!$A$5:$AU$54,45,0),IF($AO$1="Dec",VLOOKUP($A53,dec!$A$5:$AU$54,46,0),""))))))))))))</f>
        <v>31</v>
      </c>
      <c r="O53" s="4">
        <f>IF($AO$1="Jan",VLOOKUP($A53,jan!$A$5:$AU$54,47,0),IF('S Sheet'!$AO$1="Feb",VLOOKUP('S Sheet'!$A53,feb!$A$5:$AR$54,44,0),IF($AO$1="Mar",VLOOKUP($A53,mar!$A$5:$AU$54,47,0),IF($AO$1="Apr",VLOOKUP($A53,apr!$A$5:$AU$54,46,0),IF($AO$1="May",VLOOKUP($A53,may!$A$5:$AU$54,47,0),IF($AO$1="Jun",VLOOKUP($A53,jun!$A$5:$AU$54,46,0),IF($AO$1="Jul",VLOOKUP($A53,jul!$A$5:$AV$54,47,0),IF($AO$1="Aug",VLOOKUP($A53,aug!$A$5:$AU$54,47,0),IF($AO$1="Sep",VLOOKUP($A53,sep!$A$5:$AT$54,46,0),IF($AO$1="Oct",VLOOKUP($A53,oct!$A$5:$AU$54,47,0),IF($AO$1="Nov",VLOOKUP($A53,nov!$A$5:$AU$54,46,0),IF($AO$1="Dec",VLOOKUP($A53,dec!$A$5:$AU$54,47,0),""))))))))))))</f>
        <v>31</v>
      </c>
      <c r="P53" s="4">
        <f>IF($AO$1="Jan",SUMIFS(holly!$L$3:$L$122,holly!$I$3:$I$122,'S Sheet'!$A53,holly!$K$3:$K$122,'S Sheet'!$AO$1),IF($AO$1="Feb",SUMIFS(holly!$L$3:$L$122,holly!$I$3:$I$122,'S Sheet'!$A53,holly!$K$3:$K$122,'S Sheet'!$AO$1),IF($AO$1="Mar",SUMIFS(holly!$L$3:$L$122,holly!$I$3:$I$122,'S Sheet'!$A53,holly!$K$3:$K$122,'S Sheet'!$AO$1),IF($AO$1="Apr",SUMIFS(holly!$L$3:$L$122,holly!$I$3:$I$122,'S Sheet'!$A53,holly!$K$3:$K$122,'S Sheet'!$AO$1),IF($AO$1="May",SUMIFS(holly!$L$3:$L$122,holly!$I$3:$I$122,'S Sheet'!$A53,holly!$K$3:$K$122,'S Sheet'!$AO$1),IF($AO$1="Jun",SUMIFS(holly!$L$3:$L$122,holly!$I$3:$I$122,'S Sheet'!$A53,holly!$K$3:$K$122,'S Sheet'!$AO$1),IF($AO$1="Jul",SUMIFS(holly!$L$3:$L$122,holly!$I$3:$I$122,'S Sheet'!$A53,holly!$K$3:$K$122,'S Sheet'!$AO$1),IF($AO$1="Aug",SUMIFS(holly!$L$3:$L$122,holly!$I$3:$I$122,'S Sheet'!$A53,holly!$K$3:$K$122,'S Sheet'!$AO$1),IF($AO$1="Sep",SUMIFS(holly!$L$3:$L$122,holly!$I$3:$I$122,'S Sheet'!$A53,holly!$K$3:$K$122,'S Sheet'!$AO$1),IF($AO$1="Oct",SUMIFS(holly!$L$3:$L$122,holly!$I$3:$I$122,'S Sheet'!$A53,holly!$K$3:$K$122,'S Sheet'!$AO$1),IF($AO$1="Nov",SUMIFS(holly!$L$3:$L$122,holly!$I$3:$I$122,'S Sheet'!$A53,holly!$K$3:$K$122,'S Sheet'!$AO$1),IF($AO$1="Dec",SUMIFS(holly!$L$3:$L$122,holly!$I$3:$I$122,'S Sheet'!$A53,holly!$K$3:$K$122,'S Sheet'!$AO$1),""))))))))))))</f>
        <v>0</v>
      </c>
      <c r="Q53" s="4">
        <f>IFERROR(VLOOKUP($A53,holly!$I$2:$O$122,5,0),0)</f>
        <v>64.900000000000006</v>
      </c>
      <c r="R53" s="4">
        <f>IF($AO$1="Jan",SUMIFS(adv!$Q$3:$Q$52,adv!$M$3:$M$52,'S Sheet'!$A53,adv!$O$3:$O$52,'S Sheet'!$AO$1),IF($AO$1="Feb",SUMIFS(adv!$Q$3:$Q$52,adv!$M$3:$M$52,'S Sheet'!$A53,adv!$O$3:$O$52,'S Sheet'!$AO$1),IF($AO$1="Mar",SUMIFS(adv!$Q$3:$Q$52,adv!$M$3:$M$52,'S Sheet'!$A53,adv!$O$3:$O$52,'S Sheet'!$AO$1),IF($AO$1="Apr",SUMIFS(adv!$Q$3:$Q$52,adv!$M$3:$M$52,'S Sheet'!$A53,adv!$O$3:$O$52,'S Sheet'!$AO$1),IF($AO$1="May",SUMIFS(adv!$Q$3:$Q$52,adv!$M$3:$M$52,'S Sheet'!$A53,adv!$O$3:$O$52,'S Sheet'!$AO$1),IF($AO$1="Jun",SUMIFS(adv!$Q$3:$Q$52,adv!$M$3:$M$52,'S Sheet'!$A53,adv!$O$3:$O$52,'S Sheet'!$AO$1),IF($AO$1="Jul",SUMIFS(adv!$Q$3:$Q$52,adv!$M$3:$M$52,'S Sheet'!$A53,adv!$O$3:$O$52,'S Sheet'!$AO$1),IF($AO$1="Aug",SUMIFS(adv!$Q$3:$Q$52,adv!$M$3:$M$52,'S Sheet'!$A53,adv!$O$3:$O$52,'S Sheet'!$AO$1),IF($AO$1="Sep",SUMIFS(adv!$Q$3:$Q$52,adv!$M$3:$M$52,'S Sheet'!$A53,adv!$O$3:$O$52,'S Sheet'!$AO$1),IF($AO$1="Oct",SUMIFS(adv!$Q$3:$Q$52,adv!$M$3:$M$52,'S Sheet'!$A53,adv!$O$3:$O$52,'S Sheet'!$AO$1),IF($AO$1="Nov",SUMIFS(adv!$Q$3:$Q$52,adv!$M$3:$M$52,'S Sheet'!$A53,adv!$O$3:$O$52,'S Sheet'!$AO$1),IF($AO$1="Dec",SUMIFS(adv!$Q$3:$Q$52,adv!$M$3:$M$52,'S Sheet'!$A53,adv!$O$3:$O$52,'S Sheet'!$AO$1),""))))))))))))</f>
        <v>0</v>
      </c>
      <c r="S53" s="4">
        <f>IF($AO$1="Jan",SUMIFS(loan!$O$3:$O$32,loan!$J$3:$J$32,'S Sheet'!$A53,loan!$L$3:$L$32,'S Sheet'!$AO$1),IF($AO$1="Feb",SUMIFS(loan!$O$3:$O$32,loan!$J$3:$J$32,'S Sheet'!$A53,loan!$L$3:$L$32,'S Sheet'!$AO$1),IF($AO$1="Mar",SUMIFS(loan!$O$3:$O$32,loan!$J$3:$J$32,'S Sheet'!$A53,loan!$L$3:$L$32,'S Sheet'!$AO$1),IF($AO$1="Apr",SUMIFS(loan!$O$3:$O$32,loan!$J$3:$J$32,'S Sheet'!$A53,loan!$L$3:$L$32,'S Sheet'!$AO$1),IF($AO$1="May",SUMIFS(loan!$O$3:$O$32,loan!$J$3:$J$32,'S Sheet'!$A53,loan!$L$3:$L$32,'S Sheet'!$AO$1),IF($AO$1="Jun",SUMIFS(loan!$O$3:$O$32,loan!$J$3:$J$32,'S Sheet'!$A53,loan!$L$3:$L$32,'S Sheet'!$AO$1),IF($AO$1="Jul",SUMIFS(loan!$O$3:$O$32,loan!$J$3:$J$32,'S Sheet'!$A53,loan!$L$3:$L$32,'S Sheet'!$AO$1),IF($AO$1="Aug",SUMIFS(loan!$O$3:$O$32,loan!$J$3:$J$32,'S Sheet'!$A53,loan!$L$3:$L$32,'S Sheet'!$AO$1),IF($AO$1="Sep",SUMIFS(loan!$O$3:$O$32,loan!$J$3:$J$32,'S Sheet'!$A53,loan!$L$3:$L$32,'S Sheet'!$AO$1),IF($AO$1="Oct",SUMIFS(loan!$O$3:$O$32,loan!$J$3:$J$32,'S Sheet'!$A53,loan!$L$3:$L$32,'S Sheet'!$AO$1),IF($AO$1="Nov",SUMIFS(loan!$O$3:$O$32,loan!$J$3:$J$32,'S Sheet'!$A53,loan!$L$3:$L$32,'S Sheet'!$AO$1),IF($AO$1="Dec",SUMIFS(loan!$O$3:$O$32,loan!$J$3:$J$32,'S Sheet'!$A53,loan!$L$3:$L$32,'S Sheet'!$AO$1),""))))))))))))</f>
        <v>0</v>
      </c>
      <c r="T53" s="4">
        <f>IFERROR(VLOOKUP($A53,loan!$A$2:$H$22,3,0),0)</f>
        <v>0</v>
      </c>
      <c r="U53" s="4">
        <f t="shared" si="5"/>
        <v>0</v>
      </c>
      <c r="V53" s="28" t="str">
        <f>IFERROR(VLOOKUP($A53,loan!$A$2:$H$22,2,0),"")</f>
        <v/>
      </c>
      <c r="W53" s="4">
        <f>IFERROR(VLOOKUP($A53,loan!$A$2:$H$22,5,0),0)</f>
        <v>0</v>
      </c>
      <c r="X53" s="4">
        <f t="shared" si="14"/>
        <v>0</v>
      </c>
      <c r="Y53" s="4">
        <f t="shared" si="7"/>
        <v>0</v>
      </c>
      <c r="Z53" s="29">
        <f t="shared" si="13"/>
        <v>0</v>
      </c>
      <c r="AA53" s="4">
        <f>IF('S Sheet'!$AO$1='S Sheet'!$AO$1,SUMIFS(adv!$E$3:$E$97,adv!$B$3:$B$97,'S Sheet'!$A53,adv!$D$3:$D$97,'S Sheet'!$AO$1),0)</f>
        <v>0</v>
      </c>
      <c r="AB53" s="4">
        <f>IF($AO$1=$AO$1,SUMIFS(adv!$H$3:$H$97,adv!$B$3:$B$97,'S Sheet'!$A53,adv!$D$3:$D$97,'S Sheet'!$AO$1),0)</f>
        <v>0</v>
      </c>
      <c r="AC53" s="29">
        <f t="shared" si="0"/>
        <v>0</v>
      </c>
      <c r="AD53" s="4">
        <f t="shared" si="15"/>
        <v>9000</v>
      </c>
      <c r="AE53" s="34">
        <f t="shared" si="16"/>
        <v>9000</v>
      </c>
      <c r="AF53" s="4">
        <f>VLOOKUP($A53,Master!$A$2:$K$52,8,0)</f>
        <v>3600</v>
      </c>
      <c r="AG53" s="4">
        <f>VLOOKUP($A53,Master!$A$2:$K$52,9,0)</f>
        <v>900</v>
      </c>
      <c r="AH53" s="4">
        <f>VLOOKUP($A53,Master!$A$2:$K$52,10,0)</f>
        <v>450</v>
      </c>
      <c r="AI53" s="4">
        <f t="shared" si="17"/>
        <v>0</v>
      </c>
      <c r="AJ53" s="4">
        <f>IF($AO$1=$AO$1,SUMIFS(adv!$Q$3:$Q$52,adv!$M$3:$M$52,'S Sheet'!$A53,adv!$O$3:$O$52,'S Sheet'!$AO$1),0)</f>
        <v>0</v>
      </c>
      <c r="AK53" s="34">
        <f t="shared" si="18"/>
        <v>13950</v>
      </c>
      <c r="AL53" s="4">
        <f t="shared" si="8"/>
        <v>1188</v>
      </c>
      <c r="AM53" s="34">
        <f t="shared" si="9"/>
        <v>104.625</v>
      </c>
      <c r="AN53" s="34">
        <f t="shared" si="10"/>
        <v>0</v>
      </c>
      <c r="AO53" s="4">
        <f t="shared" si="11"/>
        <v>0</v>
      </c>
      <c r="AP53" s="36">
        <f t="shared" si="12"/>
        <v>12657.375</v>
      </c>
    </row>
    <row r="54" spans="1:42" ht="15.75" x14ac:dyDescent="0.25">
      <c r="A54" s="4"/>
      <c r="B54" s="4"/>
      <c r="C54" s="4"/>
      <c r="D54" s="26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</row>
    <row r="55" spans="1:42" ht="15.75" x14ac:dyDescent="0.25">
      <c r="A55" s="4"/>
      <c r="B55" s="4"/>
      <c r="C55" s="4"/>
      <c r="D55" s="26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</row>
    <row r="56" spans="1:42" ht="15.75" x14ac:dyDescent="0.25">
      <c r="A56" s="4"/>
      <c r="B56" s="4"/>
      <c r="C56" s="4"/>
      <c r="D56" s="26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</row>
    <row r="57" spans="1:42" ht="15.75" x14ac:dyDescent="0.25">
      <c r="A57" s="4"/>
      <c r="B57" s="4"/>
      <c r="C57" s="4"/>
      <c r="D57" s="26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</row>
    <row r="58" spans="1:42" ht="15.75" x14ac:dyDescent="0.25">
      <c r="A58" s="4"/>
      <c r="B58" s="4"/>
      <c r="C58" s="4"/>
      <c r="D58" s="26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</row>
    <row r="59" spans="1:42" ht="15.75" x14ac:dyDescent="0.25">
      <c r="A59" s="4"/>
      <c r="B59" s="4"/>
      <c r="C59" s="4"/>
      <c r="D59" s="26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</row>
    <row r="60" spans="1:42" ht="15.75" x14ac:dyDescent="0.25">
      <c r="A60" s="4"/>
      <c r="B60" s="4"/>
      <c r="C60" s="4"/>
      <c r="D60" s="26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</row>
    <row r="61" spans="1:42" ht="15.75" x14ac:dyDescent="0.25">
      <c r="A61" s="4"/>
      <c r="B61" s="4"/>
      <c r="C61" s="4"/>
      <c r="D61" s="26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</row>
    <row r="62" spans="1:42" ht="15.75" x14ac:dyDescent="0.25">
      <c r="A62" s="4"/>
      <c r="B62" s="4"/>
      <c r="C62" s="4"/>
      <c r="D62" s="26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</row>
    <row r="63" spans="1:42" ht="15.75" x14ac:dyDescent="0.25">
      <c r="A63" s="4"/>
      <c r="B63" s="4"/>
      <c r="C63" s="4"/>
      <c r="D63" s="26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</row>
    <row r="64" spans="1:42" ht="15.75" x14ac:dyDescent="0.25">
      <c r="A64" s="4"/>
      <c r="B64" s="4"/>
      <c r="C64" s="4"/>
      <c r="D64" s="26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</row>
    <row r="65" spans="1:42" ht="15.75" x14ac:dyDescent="0.25">
      <c r="A65" s="4"/>
      <c r="B65" s="4"/>
      <c r="C65" s="4"/>
      <c r="D65" s="26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</row>
    <row r="66" spans="1:42" ht="15.75" x14ac:dyDescent="0.25">
      <c r="A66" s="4"/>
      <c r="B66" s="4"/>
      <c r="C66" s="4"/>
      <c r="D66" s="26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</row>
    <row r="67" spans="1:42" ht="15.75" x14ac:dyDescent="0.25">
      <c r="A67" s="4"/>
      <c r="B67" s="4"/>
      <c r="C67" s="4"/>
      <c r="D67" s="26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</row>
    <row r="68" spans="1:42" ht="15.75" x14ac:dyDescent="0.25">
      <c r="A68" s="4"/>
      <c r="B68" s="4"/>
      <c r="C68" s="4"/>
      <c r="D68" s="26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</row>
    <row r="69" spans="1:42" ht="15.75" x14ac:dyDescent="0.25">
      <c r="A69" s="4"/>
      <c r="B69" s="4"/>
      <c r="C69" s="4"/>
      <c r="D69" s="26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</row>
    <row r="70" spans="1:42" ht="15.75" x14ac:dyDescent="0.25">
      <c r="A70" s="4"/>
      <c r="B70" s="4"/>
      <c r="C70" s="4"/>
      <c r="D70" s="26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</row>
    <row r="71" spans="1:42" ht="15.75" x14ac:dyDescent="0.25">
      <c r="A71" s="4"/>
      <c r="B71" s="4"/>
      <c r="C71" s="4"/>
      <c r="D71" s="26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</row>
    <row r="72" spans="1:42" ht="15.75" x14ac:dyDescent="0.25">
      <c r="A72" s="4"/>
      <c r="B72" s="4"/>
      <c r="C72" s="4"/>
      <c r="D72" s="26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</row>
    <row r="73" spans="1:42" ht="15.75" x14ac:dyDescent="0.25">
      <c r="A73" s="4"/>
      <c r="B73" s="4"/>
      <c r="C73" s="4"/>
      <c r="D73" s="26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</row>
    <row r="74" spans="1:42" ht="15.75" x14ac:dyDescent="0.25">
      <c r="A74" s="4"/>
      <c r="B74" s="4"/>
      <c r="C74" s="4"/>
      <c r="D74" s="26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</row>
    <row r="75" spans="1:42" ht="15.75" x14ac:dyDescent="0.25">
      <c r="A75" s="4"/>
      <c r="B75" s="4"/>
      <c r="C75" s="4"/>
      <c r="D75" s="26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</row>
    <row r="76" spans="1:42" ht="15.75" x14ac:dyDescent="0.25">
      <c r="A76" s="4"/>
      <c r="B76" s="4"/>
      <c r="C76" s="4"/>
      <c r="D76" s="26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</row>
    <row r="77" spans="1:42" ht="15.75" x14ac:dyDescent="0.25">
      <c r="A77" s="4"/>
      <c r="B77" s="4"/>
      <c r="C77" s="4"/>
      <c r="D77" s="26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</row>
    <row r="78" spans="1:42" ht="15.75" x14ac:dyDescent="0.25">
      <c r="A78" s="4"/>
      <c r="B78" s="4"/>
      <c r="C78" s="4"/>
      <c r="D78" s="26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</row>
    <row r="79" spans="1:42" ht="15.75" x14ac:dyDescent="0.25">
      <c r="A79" s="4"/>
      <c r="B79" s="4"/>
      <c r="C79" s="4"/>
      <c r="D79" s="26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</row>
    <row r="80" spans="1:42" ht="15.75" x14ac:dyDescent="0.25">
      <c r="A80" s="4"/>
      <c r="B80" s="4"/>
      <c r="C80" s="4"/>
      <c r="D80" s="26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</row>
    <row r="81" spans="1:42" ht="15.75" x14ac:dyDescent="0.25">
      <c r="A81" s="4"/>
      <c r="B81" s="4"/>
      <c r="C81" s="4"/>
      <c r="D81" s="26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</row>
    <row r="82" spans="1:42" ht="15.75" x14ac:dyDescent="0.25">
      <c r="A82" s="4"/>
      <c r="B82" s="4"/>
      <c r="C82" s="4"/>
      <c r="D82" s="26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</row>
    <row r="83" spans="1:42" ht="15.75" x14ac:dyDescent="0.25">
      <c r="A83" s="4"/>
      <c r="B83" s="4"/>
      <c r="C83" s="4"/>
      <c r="D83" s="26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</row>
    <row r="84" spans="1:42" ht="15.75" x14ac:dyDescent="0.25">
      <c r="A84" s="4"/>
      <c r="B84" s="4"/>
      <c r="C84" s="4"/>
      <c r="D84" s="26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</row>
    <row r="85" spans="1:42" ht="15.75" x14ac:dyDescent="0.25">
      <c r="A85" s="4"/>
      <c r="B85" s="4"/>
      <c r="C85" s="4"/>
      <c r="D85" s="26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</row>
    <row r="86" spans="1:42" ht="15.75" x14ac:dyDescent="0.25">
      <c r="A86" s="4"/>
      <c r="B86" s="4"/>
      <c r="C86" s="4"/>
      <c r="D86" s="26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</row>
    <row r="87" spans="1:42" ht="15.75" x14ac:dyDescent="0.25">
      <c r="A87" s="4"/>
      <c r="B87" s="4"/>
      <c r="C87" s="4"/>
      <c r="D87" s="26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</row>
    <row r="88" spans="1:42" ht="15.75" x14ac:dyDescent="0.25">
      <c r="A88" s="4"/>
      <c r="B88" s="4"/>
      <c r="C88" s="4"/>
      <c r="D88" s="26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</row>
    <row r="89" spans="1:42" ht="15.75" x14ac:dyDescent="0.25">
      <c r="A89" s="4"/>
      <c r="B89" s="4"/>
      <c r="C89" s="4"/>
      <c r="D89" s="2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</row>
    <row r="90" spans="1:42" ht="15.75" x14ac:dyDescent="0.25">
      <c r="A90" s="4"/>
      <c r="B90" s="4"/>
      <c r="C90" s="4"/>
      <c r="D90" s="26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</row>
    <row r="91" spans="1:42" ht="15.75" x14ac:dyDescent="0.25">
      <c r="A91" s="4"/>
      <c r="B91" s="4"/>
      <c r="C91" s="4"/>
      <c r="D91" s="26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</row>
    <row r="92" spans="1:42" ht="15.75" x14ac:dyDescent="0.25">
      <c r="A92" s="4"/>
      <c r="B92" s="4"/>
      <c r="C92" s="4"/>
      <c r="D92" s="26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</row>
    <row r="93" spans="1:42" ht="15.75" x14ac:dyDescent="0.25">
      <c r="A93" s="4"/>
      <c r="B93" s="4"/>
      <c r="C93" s="4"/>
      <c r="D93" s="26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</row>
    <row r="94" spans="1:42" ht="15.75" x14ac:dyDescent="0.25">
      <c r="A94" s="4"/>
      <c r="B94" s="4"/>
      <c r="C94" s="4"/>
      <c r="D94" s="26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</row>
    <row r="95" spans="1:42" ht="15.75" x14ac:dyDescent="0.25">
      <c r="A95" s="4"/>
      <c r="B95" s="4"/>
      <c r="C95" s="4"/>
      <c r="D95" s="26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</row>
    <row r="96" spans="1:42" ht="15.75" x14ac:dyDescent="0.25">
      <c r="A96" s="4"/>
      <c r="B96" s="4"/>
      <c r="C96" s="4"/>
      <c r="D96" s="26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</row>
    <row r="97" spans="1:42" ht="15.75" x14ac:dyDescent="0.25">
      <c r="A97" s="4"/>
      <c r="B97" s="4"/>
      <c r="C97" s="4"/>
      <c r="D97" s="26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</row>
    <row r="98" spans="1:42" ht="15.75" x14ac:dyDescent="0.25">
      <c r="A98" s="4"/>
      <c r="B98" s="4"/>
      <c r="C98" s="4"/>
      <c r="D98" s="26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</row>
    <row r="99" spans="1:42" ht="15.75" x14ac:dyDescent="0.25">
      <c r="A99" s="4"/>
      <c r="B99" s="4"/>
      <c r="C99" s="4"/>
      <c r="D99" s="2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</row>
    <row r="100" spans="1:42" ht="15.75" x14ac:dyDescent="0.25">
      <c r="A100" s="4"/>
      <c r="B100" s="4"/>
      <c r="C100" s="4"/>
      <c r="D100" s="26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</row>
    <row r="101" spans="1:42" ht="15.75" x14ac:dyDescent="0.25">
      <c r="A101" s="4"/>
      <c r="B101" s="4"/>
      <c r="C101" s="4"/>
      <c r="D101" s="26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</row>
    <row r="102" spans="1:42" ht="15.75" x14ac:dyDescent="0.25">
      <c r="A102" s="4"/>
      <c r="B102" s="4"/>
      <c r="C102" s="4"/>
      <c r="D102" s="26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</row>
    <row r="103" spans="1:42" ht="15.75" x14ac:dyDescent="0.25">
      <c r="A103" s="4"/>
      <c r="B103" s="4"/>
      <c r="C103" s="4"/>
      <c r="D103" s="26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</row>
    <row r="104" spans="1:42" ht="15.75" x14ac:dyDescent="0.25">
      <c r="A104" s="4"/>
      <c r="B104" s="4"/>
      <c r="C104" s="4"/>
      <c r="D104" s="26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</row>
    <row r="105" spans="1:42" ht="15.75" x14ac:dyDescent="0.25">
      <c r="A105" s="4"/>
      <c r="B105" s="4"/>
      <c r="C105" s="4"/>
      <c r="D105" s="26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</row>
    <row r="106" spans="1:42" ht="15.75" x14ac:dyDescent="0.25">
      <c r="A106" s="4"/>
      <c r="B106" s="4"/>
      <c r="C106" s="4"/>
      <c r="D106" s="2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</row>
    <row r="107" spans="1:42" ht="15.75" x14ac:dyDescent="0.25">
      <c r="A107" s="4"/>
      <c r="B107" s="4"/>
      <c r="C107" s="4"/>
      <c r="D107" s="26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</row>
    <row r="108" spans="1:42" ht="15.75" x14ac:dyDescent="0.25">
      <c r="A108" s="4"/>
      <c r="B108" s="4"/>
      <c r="C108" s="4"/>
      <c r="D108" s="26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</row>
    <row r="109" spans="1:42" ht="15.75" x14ac:dyDescent="0.25">
      <c r="A109" s="4"/>
      <c r="B109" s="4"/>
      <c r="C109" s="4"/>
      <c r="D109" s="26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</row>
    <row r="110" spans="1:42" ht="15.75" x14ac:dyDescent="0.25">
      <c r="A110" s="4"/>
      <c r="B110" s="4"/>
      <c r="C110" s="4"/>
      <c r="D110" s="26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</row>
    <row r="111" spans="1:42" ht="15.75" x14ac:dyDescent="0.25">
      <c r="A111" s="4"/>
      <c r="B111" s="4"/>
      <c r="C111" s="4"/>
      <c r="D111" s="26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</row>
    <row r="112" spans="1:42" ht="15.75" x14ac:dyDescent="0.25">
      <c r="A112" s="4"/>
      <c r="B112" s="4"/>
      <c r="C112" s="4"/>
      <c r="D112" s="26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</row>
    <row r="113" spans="1:42" ht="15.75" x14ac:dyDescent="0.25">
      <c r="A113" s="4"/>
      <c r="B113" s="4"/>
      <c r="C113" s="4"/>
      <c r="D113" s="26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</row>
    <row r="114" spans="1:42" ht="15.75" x14ac:dyDescent="0.25">
      <c r="A114" s="4"/>
      <c r="B114" s="4"/>
      <c r="C114" s="4"/>
      <c r="D114" s="26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</row>
    <row r="115" spans="1:42" ht="15.75" x14ac:dyDescent="0.25">
      <c r="A115" s="4"/>
      <c r="B115" s="4"/>
      <c r="C115" s="4"/>
      <c r="D115" s="26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</row>
    <row r="116" spans="1:42" ht="15.75" x14ac:dyDescent="0.25">
      <c r="A116" s="4"/>
      <c r="B116" s="4"/>
      <c r="C116" s="4"/>
      <c r="D116" s="26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</row>
    <row r="117" spans="1:42" ht="15.75" x14ac:dyDescent="0.25">
      <c r="A117" s="4"/>
      <c r="B117" s="4"/>
      <c r="C117" s="4"/>
      <c r="D117" s="26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</row>
    <row r="118" spans="1:42" ht="15.75" x14ac:dyDescent="0.25">
      <c r="A118" s="4"/>
      <c r="B118" s="4"/>
      <c r="C118" s="4"/>
      <c r="D118" s="2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</row>
    <row r="119" spans="1:42" ht="15.75" x14ac:dyDescent="0.25">
      <c r="A119" s="4"/>
      <c r="B119" s="4"/>
      <c r="C119" s="4"/>
      <c r="D119" s="26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</row>
    <row r="120" spans="1:42" ht="15.75" x14ac:dyDescent="0.25">
      <c r="A120" s="4"/>
      <c r="B120" s="4"/>
      <c r="C120" s="4"/>
      <c r="D120" s="26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</row>
    <row r="121" spans="1:42" ht="15.75" x14ac:dyDescent="0.25">
      <c r="A121" s="4"/>
      <c r="B121" s="4"/>
      <c r="C121" s="4"/>
      <c r="D121" s="26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</row>
    <row r="122" spans="1:42" ht="15.75" x14ac:dyDescent="0.25">
      <c r="A122" s="4"/>
      <c r="B122" s="4"/>
      <c r="C122" s="4"/>
      <c r="D122" s="26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</row>
    <row r="123" spans="1:42" ht="15.75" x14ac:dyDescent="0.25">
      <c r="A123" s="4"/>
      <c r="B123" s="4"/>
      <c r="C123" s="4"/>
      <c r="D123" s="26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</row>
    <row r="124" spans="1:42" ht="15.75" x14ac:dyDescent="0.25">
      <c r="A124" s="4"/>
      <c r="B124" s="4"/>
      <c r="C124" s="4"/>
      <c r="D124" s="26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</row>
    <row r="125" spans="1:42" ht="15.75" x14ac:dyDescent="0.25">
      <c r="A125" s="4"/>
      <c r="B125" s="4"/>
      <c r="C125" s="4"/>
      <c r="D125" s="26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</row>
    <row r="126" spans="1:42" ht="15.75" x14ac:dyDescent="0.25">
      <c r="A126" s="4"/>
      <c r="B126" s="4"/>
      <c r="C126" s="4"/>
      <c r="D126" s="2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</row>
    <row r="127" spans="1:42" ht="15.75" x14ac:dyDescent="0.25">
      <c r="A127" s="4"/>
      <c r="B127" s="4"/>
      <c r="C127" s="4"/>
      <c r="D127" s="2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</row>
    <row r="128" spans="1:42" ht="15.75" x14ac:dyDescent="0.25">
      <c r="A128" s="4"/>
      <c r="B128" s="4"/>
      <c r="C128" s="4"/>
      <c r="D128" s="2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</row>
    <row r="129" spans="1:42" ht="15.75" x14ac:dyDescent="0.25">
      <c r="A129" s="4"/>
      <c r="B129" s="4"/>
      <c r="C129" s="4"/>
      <c r="D129" s="26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</row>
    <row r="130" spans="1:42" ht="15.75" x14ac:dyDescent="0.25">
      <c r="A130" s="4"/>
      <c r="B130" s="4"/>
      <c r="C130" s="4"/>
      <c r="D130" s="26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</row>
    <row r="131" spans="1:42" ht="15.75" x14ac:dyDescent="0.25">
      <c r="A131" s="4"/>
      <c r="B131" s="4"/>
      <c r="C131" s="4"/>
      <c r="D131" s="26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</row>
    <row r="132" spans="1:42" ht="15.75" x14ac:dyDescent="0.25">
      <c r="A132" s="4"/>
      <c r="B132" s="4"/>
      <c r="C132" s="4"/>
      <c r="D132" s="26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</row>
    <row r="133" spans="1:42" ht="15.75" x14ac:dyDescent="0.25">
      <c r="A133" s="4"/>
      <c r="B133" s="4"/>
      <c r="C133" s="4"/>
      <c r="D133" s="26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</row>
    <row r="134" spans="1:42" ht="15.75" x14ac:dyDescent="0.25">
      <c r="A134" s="4"/>
      <c r="B134" s="4"/>
      <c r="C134" s="4"/>
      <c r="D134" s="26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</row>
    <row r="135" spans="1:42" ht="15.75" x14ac:dyDescent="0.25">
      <c r="A135" s="4"/>
      <c r="B135" s="4"/>
      <c r="C135" s="4"/>
      <c r="D135" s="26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</row>
    <row r="136" spans="1:42" ht="15.75" x14ac:dyDescent="0.25">
      <c r="A136" s="4"/>
      <c r="B136" s="4"/>
      <c r="C136" s="4"/>
      <c r="D136" s="26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</row>
    <row r="137" spans="1:42" ht="15.75" x14ac:dyDescent="0.25">
      <c r="A137" s="4"/>
      <c r="B137" s="4"/>
      <c r="C137" s="4"/>
      <c r="D137" s="26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</row>
    <row r="138" spans="1:42" ht="15.75" x14ac:dyDescent="0.25">
      <c r="A138" s="4"/>
      <c r="B138" s="4"/>
      <c r="C138" s="4"/>
      <c r="D138" s="26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</row>
    <row r="139" spans="1:42" ht="15.75" x14ac:dyDescent="0.25">
      <c r="A139" s="4"/>
      <c r="B139" s="4"/>
      <c r="C139" s="4"/>
      <c r="D139" s="26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</row>
    <row r="140" spans="1:42" ht="15.75" x14ac:dyDescent="0.25">
      <c r="A140" s="4"/>
      <c r="B140" s="4"/>
      <c r="C140" s="4"/>
      <c r="D140" s="26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</row>
    <row r="141" spans="1:42" ht="15.75" x14ac:dyDescent="0.25">
      <c r="A141" s="4"/>
      <c r="B141" s="4"/>
      <c r="C141" s="4"/>
      <c r="D141" s="26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</row>
    <row r="142" spans="1:42" ht="15.75" x14ac:dyDescent="0.25">
      <c r="A142" s="4"/>
      <c r="B142" s="4"/>
      <c r="C142" s="4"/>
      <c r="D142" s="26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</row>
    <row r="143" spans="1:42" ht="15.75" x14ac:dyDescent="0.25">
      <c r="A143" s="4"/>
      <c r="B143" s="4"/>
      <c r="C143" s="4"/>
      <c r="D143" s="26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</row>
    <row r="144" spans="1:42" ht="15.75" x14ac:dyDescent="0.25">
      <c r="A144" s="4"/>
      <c r="B144" s="4"/>
      <c r="C144" s="4"/>
      <c r="D144" s="26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</row>
    <row r="145" spans="1:42" ht="15.75" x14ac:dyDescent="0.25">
      <c r="A145" s="4"/>
      <c r="B145" s="4"/>
      <c r="C145" s="4"/>
      <c r="D145" s="26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</row>
    <row r="146" spans="1:42" ht="15.75" x14ac:dyDescent="0.25">
      <c r="A146" s="4"/>
      <c r="B146" s="4"/>
      <c r="C146" s="4"/>
      <c r="D146" s="26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</row>
    <row r="147" spans="1:42" ht="15.75" x14ac:dyDescent="0.25">
      <c r="A147" s="4"/>
      <c r="B147" s="4"/>
      <c r="C147" s="4"/>
      <c r="D147" s="26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</row>
    <row r="148" spans="1:42" ht="15.75" x14ac:dyDescent="0.25">
      <c r="A148" s="4"/>
      <c r="B148" s="4"/>
      <c r="C148" s="4"/>
      <c r="D148" s="26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</row>
    <row r="149" spans="1:42" ht="15.75" x14ac:dyDescent="0.25">
      <c r="A149" s="4"/>
      <c r="B149" s="4"/>
      <c r="C149" s="4"/>
      <c r="D149" s="26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</row>
    <row r="150" spans="1:42" ht="15.75" x14ac:dyDescent="0.25">
      <c r="A150" s="4"/>
      <c r="B150" s="4"/>
      <c r="C150" s="4"/>
      <c r="D150" s="26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</row>
    <row r="151" spans="1:42" ht="15.75" x14ac:dyDescent="0.25">
      <c r="A151" s="4"/>
      <c r="B151" s="4"/>
      <c r="C151" s="4"/>
      <c r="D151" s="26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</row>
    <row r="152" spans="1:42" ht="15.75" x14ac:dyDescent="0.25">
      <c r="A152" s="4"/>
      <c r="B152" s="4"/>
      <c r="C152" s="4"/>
      <c r="D152" s="26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</row>
    <row r="153" spans="1:42" ht="15.75" x14ac:dyDescent="0.25">
      <c r="A153" s="4"/>
      <c r="B153" s="4"/>
      <c r="C153" s="4"/>
      <c r="D153" s="26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</row>
    <row r="154" spans="1:42" ht="15.75" x14ac:dyDescent="0.25">
      <c r="A154" s="4"/>
      <c r="B154" s="4"/>
      <c r="C154" s="4"/>
      <c r="D154" s="26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</row>
    <row r="155" spans="1:42" ht="15.75" x14ac:dyDescent="0.25">
      <c r="A155" s="4"/>
      <c r="B155" s="4"/>
      <c r="C155" s="4"/>
      <c r="D155" s="26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</row>
    <row r="156" spans="1:42" ht="15.75" x14ac:dyDescent="0.25">
      <c r="A156" s="4"/>
      <c r="B156" s="4"/>
      <c r="C156" s="4"/>
      <c r="D156" s="26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</row>
    <row r="157" spans="1:42" ht="15.75" x14ac:dyDescent="0.25">
      <c r="A157" s="4"/>
      <c r="B157" s="4"/>
      <c r="C157" s="4"/>
      <c r="D157" s="26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</row>
    <row r="158" spans="1:42" ht="15.75" x14ac:dyDescent="0.25">
      <c r="A158" s="4"/>
      <c r="B158" s="4"/>
      <c r="C158" s="4"/>
      <c r="D158" s="26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</row>
    <row r="159" spans="1:42" ht="15.75" x14ac:dyDescent="0.25">
      <c r="A159" s="4"/>
      <c r="B159" s="4"/>
      <c r="C159" s="4"/>
      <c r="D159" s="26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</row>
    <row r="160" spans="1:42" ht="15.75" x14ac:dyDescent="0.25">
      <c r="A160" s="4"/>
      <c r="B160" s="4"/>
      <c r="C160" s="4"/>
      <c r="D160" s="26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</row>
    <row r="161" spans="1:42" ht="15.75" x14ac:dyDescent="0.25">
      <c r="A161" s="4"/>
      <c r="B161" s="4"/>
      <c r="C161" s="4"/>
      <c r="D161" s="26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</row>
    <row r="162" spans="1:42" ht="15.75" x14ac:dyDescent="0.25">
      <c r="A162" s="4"/>
      <c r="B162" s="4"/>
      <c r="C162" s="4"/>
      <c r="D162" s="26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</row>
    <row r="163" spans="1:42" ht="15.75" x14ac:dyDescent="0.25">
      <c r="A163" s="4"/>
      <c r="B163" s="4"/>
      <c r="C163" s="4"/>
      <c r="D163" s="26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</row>
    <row r="164" spans="1:42" ht="15.75" x14ac:dyDescent="0.25">
      <c r="A164" s="4"/>
      <c r="B164" s="4"/>
      <c r="C164" s="4"/>
      <c r="D164" s="26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</row>
    <row r="165" spans="1:42" ht="15.75" x14ac:dyDescent="0.25">
      <c r="A165" s="4"/>
      <c r="B165" s="4"/>
      <c r="C165" s="4"/>
      <c r="D165" s="26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</row>
    <row r="166" spans="1:42" ht="15.75" x14ac:dyDescent="0.25">
      <c r="A166" s="4"/>
      <c r="B166" s="4"/>
      <c r="C166" s="4"/>
      <c r="D166" s="26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</row>
    <row r="167" spans="1:42" ht="15.75" x14ac:dyDescent="0.25">
      <c r="A167" s="4"/>
      <c r="B167" s="4"/>
      <c r="C167" s="4"/>
      <c r="D167" s="26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</row>
    <row r="168" spans="1:42" ht="15.75" x14ac:dyDescent="0.25">
      <c r="A168" s="4"/>
      <c r="B168" s="4"/>
      <c r="C168" s="4"/>
      <c r="D168" s="26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</row>
    <row r="169" spans="1:42" ht="15.75" x14ac:dyDescent="0.25">
      <c r="A169" s="4"/>
      <c r="B169" s="4"/>
      <c r="C169" s="4"/>
      <c r="D169" s="26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</row>
    <row r="170" spans="1:42" ht="15.75" x14ac:dyDescent="0.25">
      <c r="A170" s="4"/>
      <c r="B170" s="4"/>
      <c r="C170" s="4"/>
      <c r="D170" s="26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</row>
    <row r="171" spans="1:42" ht="15.75" x14ac:dyDescent="0.25">
      <c r="A171" s="4"/>
      <c r="B171" s="4"/>
      <c r="C171" s="4"/>
      <c r="D171" s="26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</row>
    <row r="172" spans="1:42" ht="15.75" x14ac:dyDescent="0.25">
      <c r="A172" s="4"/>
      <c r="B172" s="4"/>
      <c r="C172" s="4"/>
      <c r="D172" s="26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</row>
    <row r="173" spans="1:42" ht="15.75" x14ac:dyDescent="0.25">
      <c r="A173" s="4"/>
      <c r="B173" s="4"/>
      <c r="C173" s="4"/>
      <c r="D173" s="26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</row>
    <row r="174" spans="1:42" ht="15.75" x14ac:dyDescent="0.25">
      <c r="A174" s="4"/>
      <c r="B174" s="4"/>
      <c r="C174" s="4"/>
      <c r="D174" s="26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</row>
    <row r="175" spans="1:42" ht="15.75" x14ac:dyDescent="0.25">
      <c r="A175" s="4"/>
      <c r="B175" s="4"/>
      <c r="C175" s="4"/>
      <c r="D175" s="2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</row>
    <row r="176" spans="1:42" ht="15.75" x14ac:dyDescent="0.25">
      <c r="A176" s="4"/>
      <c r="B176" s="4"/>
      <c r="C176" s="4"/>
      <c r="D176" s="26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</row>
    <row r="177" spans="1:42" ht="15.75" x14ac:dyDescent="0.25">
      <c r="A177" s="4"/>
      <c r="B177" s="4"/>
      <c r="C177" s="4"/>
      <c r="D177" s="26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</row>
    <row r="178" spans="1:42" ht="15.75" x14ac:dyDescent="0.25">
      <c r="A178" s="4"/>
      <c r="B178" s="4"/>
      <c r="C178" s="4"/>
      <c r="D178" s="26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</row>
    <row r="179" spans="1:42" ht="15.75" x14ac:dyDescent="0.25">
      <c r="A179" s="4"/>
      <c r="B179" s="4"/>
      <c r="C179" s="4"/>
      <c r="D179" s="26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</row>
    <row r="180" spans="1:42" ht="15.75" x14ac:dyDescent="0.25">
      <c r="A180" s="4"/>
      <c r="B180" s="4"/>
      <c r="C180" s="4"/>
      <c r="D180" s="26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</row>
    <row r="181" spans="1:42" ht="15.75" x14ac:dyDescent="0.25">
      <c r="A181" s="4"/>
      <c r="B181" s="4"/>
      <c r="C181" s="4"/>
      <c r="D181" s="26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</row>
    <row r="182" spans="1:42" ht="15.75" x14ac:dyDescent="0.25">
      <c r="A182" s="4"/>
      <c r="B182" s="4"/>
      <c r="C182" s="4"/>
      <c r="D182" s="26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</row>
    <row r="183" spans="1:42" ht="15.75" x14ac:dyDescent="0.25">
      <c r="A183" s="4"/>
      <c r="B183" s="4"/>
      <c r="C183" s="4"/>
      <c r="D183" s="26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</row>
    <row r="184" spans="1:42" ht="15.75" x14ac:dyDescent="0.25">
      <c r="A184" s="4"/>
      <c r="B184" s="4"/>
      <c r="C184" s="4"/>
      <c r="D184" s="26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</row>
    <row r="185" spans="1:42" ht="15.75" x14ac:dyDescent="0.25">
      <c r="A185" s="4"/>
      <c r="B185" s="4"/>
      <c r="C185" s="4"/>
      <c r="D185" s="26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</row>
    <row r="186" spans="1:42" ht="15.75" x14ac:dyDescent="0.25">
      <c r="A186" s="4"/>
      <c r="B186" s="4"/>
      <c r="C186" s="4"/>
      <c r="D186" s="26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</row>
    <row r="187" spans="1:42" ht="15.75" x14ac:dyDescent="0.25">
      <c r="A187" s="4"/>
      <c r="B187" s="4"/>
      <c r="C187" s="4"/>
      <c r="D187" s="26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</row>
    <row r="188" spans="1:42" ht="15.75" x14ac:dyDescent="0.25">
      <c r="A188" s="4"/>
      <c r="B188" s="4"/>
      <c r="C188" s="4"/>
      <c r="D188" s="26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</row>
    <row r="189" spans="1:42" ht="15.75" x14ac:dyDescent="0.25">
      <c r="A189" s="4"/>
      <c r="B189" s="4"/>
      <c r="C189" s="4"/>
      <c r="D189" s="26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</row>
    <row r="190" spans="1:42" ht="15.75" x14ac:dyDescent="0.25">
      <c r="A190" s="4"/>
      <c r="B190" s="4"/>
      <c r="C190" s="4"/>
      <c r="D190" s="26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</row>
    <row r="191" spans="1:42" ht="15.75" x14ac:dyDescent="0.25">
      <c r="A191" s="4"/>
      <c r="B191" s="4"/>
      <c r="C191" s="4"/>
      <c r="D191" s="26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</row>
    <row r="192" spans="1:42" ht="15.75" x14ac:dyDescent="0.25">
      <c r="A192" s="4"/>
      <c r="B192" s="4"/>
      <c r="C192" s="4"/>
      <c r="D192" s="26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</row>
    <row r="193" spans="1:42" ht="15.75" x14ac:dyDescent="0.25">
      <c r="A193" s="4"/>
      <c r="B193" s="4"/>
      <c r="C193" s="4"/>
      <c r="D193" s="26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</row>
    <row r="194" spans="1:42" ht="15.75" x14ac:dyDescent="0.25">
      <c r="A194" s="4"/>
      <c r="B194" s="4"/>
      <c r="C194" s="4"/>
      <c r="D194" s="26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</row>
    <row r="195" spans="1:42" ht="15.75" x14ac:dyDescent="0.25">
      <c r="A195" s="4"/>
      <c r="B195" s="4"/>
      <c r="C195" s="4"/>
      <c r="D195" s="26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</row>
    <row r="196" spans="1:42" ht="15.75" x14ac:dyDescent="0.25">
      <c r="A196" s="4"/>
      <c r="B196" s="4"/>
      <c r="C196" s="4"/>
      <c r="D196" s="26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</row>
    <row r="197" spans="1:42" ht="15.75" x14ac:dyDescent="0.25">
      <c r="A197" s="4"/>
      <c r="B197" s="4"/>
      <c r="C197" s="4"/>
      <c r="D197" s="26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</row>
    <row r="198" spans="1:42" ht="15.75" x14ac:dyDescent="0.25">
      <c r="A198" s="4"/>
      <c r="B198" s="4"/>
      <c r="C198" s="4"/>
      <c r="D198" s="26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</row>
    <row r="199" spans="1:42" ht="15.75" x14ac:dyDescent="0.25">
      <c r="A199" s="4"/>
      <c r="B199" s="4"/>
      <c r="C199" s="4"/>
      <c r="D199" s="26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</row>
    <row r="200" spans="1:42" ht="15.75" x14ac:dyDescent="0.25">
      <c r="A200" s="4"/>
      <c r="B200" s="4"/>
      <c r="C200" s="4"/>
      <c r="D200" s="26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</row>
    <row r="201" spans="1:42" ht="15.75" x14ac:dyDescent="0.25">
      <c r="A201" s="4"/>
      <c r="B201" s="4"/>
      <c r="C201" s="4"/>
      <c r="D201" s="26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</row>
    <row r="202" spans="1:42" ht="15.75" x14ac:dyDescent="0.25">
      <c r="A202" s="4"/>
      <c r="B202" s="4"/>
      <c r="C202" s="4"/>
      <c r="D202" s="26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</row>
    <row r="203" spans="1:42" ht="15.75" x14ac:dyDescent="0.25">
      <c r="A203" s="4"/>
      <c r="B203" s="4"/>
      <c r="C203" s="4"/>
      <c r="D203" s="26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</row>
    <row r="204" spans="1:42" ht="15.75" x14ac:dyDescent="0.25">
      <c r="A204" s="4"/>
      <c r="B204" s="4"/>
      <c r="C204" s="4"/>
      <c r="D204" s="26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</row>
    <row r="205" spans="1:42" ht="15.75" x14ac:dyDescent="0.25">
      <c r="A205" s="4"/>
      <c r="B205" s="4"/>
      <c r="C205" s="4"/>
      <c r="D205" s="2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</row>
    <row r="206" spans="1:42" ht="15.75" x14ac:dyDescent="0.25">
      <c r="A206" s="4"/>
      <c r="B206" s="4"/>
      <c r="C206" s="4"/>
      <c r="D206" s="2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</row>
    <row r="207" spans="1:42" ht="15.75" x14ac:dyDescent="0.25">
      <c r="A207" s="4"/>
      <c r="B207" s="4"/>
      <c r="C207" s="4"/>
      <c r="D207" s="2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</row>
    <row r="208" spans="1:42" ht="15.75" x14ac:dyDescent="0.25">
      <c r="A208" s="4"/>
      <c r="B208" s="4"/>
      <c r="C208" s="4"/>
      <c r="D208" s="2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</row>
    <row r="209" spans="1:42" ht="15.75" x14ac:dyDescent="0.25">
      <c r="A209" s="4"/>
      <c r="B209" s="4"/>
      <c r="C209" s="4"/>
      <c r="D209" s="2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</row>
    <row r="210" spans="1:42" ht="15.75" x14ac:dyDescent="0.25">
      <c r="A210" s="4"/>
      <c r="B210" s="4"/>
      <c r="C210" s="4"/>
      <c r="D210" s="2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</row>
    <row r="211" spans="1:42" ht="15.75" x14ac:dyDescent="0.25">
      <c r="A211" s="4"/>
      <c r="B211" s="4"/>
      <c r="C211" s="4"/>
      <c r="D211" s="2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</row>
    <row r="212" spans="1:42" ht="15.75" x14ac:dyDescent="0.25">
      <c r="A212" s="4"/>
      <c r="B212" s="4"/>
      <c r="C212" s="4"/>
      <c r="D212" s="2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</row>
    <row r="213" spans="1:42" ht="15.75" x14ac:dyDescent="0.25">
      <c r="A213" s="4"/>
      <c r="B213" s="4"/>
      <c r="C213" s="4"/>
      <c r="D213" s="2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</row>
    <row r="214" spans="1:42" ht="15.75" x14ac:dyDescent="0.25">
      <c r="A214" s="4"/>
      <c r="B214" s="4"/>
      <c r="C214" s="4"/>
      <c r="D214" s="2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</row>
    <row r="215" spans="1:42" ht="15.75" x14ac:dyDescent="0.25">
      <c r="A215" s="4"/>
      <c r="B215" s="4"/>
      <c r="C215" s="4"/>
      <c r="D215" s="26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</row>
    <row r="216" spans="1:42" ht="15.75" x14ac:dyDescent="0.25">
      <c r="A216" s="4"/>
      <c r="B216" s="4"/>
      <c r="C216" s="4"/>
      <c r="D216" s="26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</row>
    <row r="217" spans="1:42" ht="15.75" x14ac:dyDescent="0.25">
      <c r="A217" s="4"/>
      <c r="B217" s="4"/>
      <c r="C217" s="4"/>
      <c r="D217" s="26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</row>
    <row r="218" spans="1:42" ht="15.75" x14ac:dyDescent="0.25">
      <c r="A218" s="4"/>
      <c r="B218" s="4"/>
      <c r="C218" s="4"/>
      <c r="D218" s="26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</row>
    <row r="219" spans="1:42" ht="15.75" x14ac:dyDescent="0.25">
      <c r="A219" s="4"/>
      <c r="B219" s="4"/>
      <c r="C219" s="4"/>
      <c r="D219" s="26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</row>
    <row r="220" spans="1:42" ht="15.75" x14ac:dyDescent="0.25">
      <c r="A220" s="4"/>
      <c r="B220" s="4"/>
      <c r="C220" s="4"/>
      <c r="D220" s="26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</row>
    <row r="221" spans="1:42" ht="15.75" x14ac:dyDescent="0.25">
      <c r="A221" s="4"/>
      <c r="B221" s="4"/>
      <c r="C221" s="4"/>
      <c r="D221" s="26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</row>
    <row r="222" spans="1:42" ht="15.75" x14ac:dyDescent="0.25">
      <c r="A222" s="4"/>
      <c r="B222" s="4"/>
      <c r="C222" s="4"/>
      <c r="D222" s="26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</row>
    <row r="223" spans="1:42" ht="15.75" x14ac:dyDescent="0.25">
      <c r="A223" s="4"/>
      <c r="B223" s="4"/>
      <c r="C223" s="4"/>
      <c r="D223" s="26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</row>
    <row r="224" spans="1:42" ht="15.75" x14ac:dyDescent="0.25">
      <c r="A224" s="4"/>
      <c r="B224" s="4"/>
      <c r="C224" s="4"/>
      <c r="D224" s="26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</row>
    <row r="225" spans="1:42" ht="15.75" x14ac:dyDescent="0.25">
      <c r="A225" s="4"/>
      <c r="B225" s="4"/>
      <c r="C225" s="4"/>
      <c r="D225" s="26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</row>
    <row r="226" spans="1:42" ht="15.75" x14ac:dyDescent="0.25">
      <c r="A226" s="4"/>
      <c r="B226" s="4"/>
      <c r="C226" s="4"/>
      <c r="D226" s="26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</row>
    <row r="227" spans="1:42" ht="15.75" x14ac:dyDescent="0.25">
      <c r="A227" s="4"/>
      <c r="B227" s="4"/>
      <c r="C227" s="4"/>
      <c r="D227" s="26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</row>
    <row r="228" spans="1:42" ht="15.75" x14ac:dyDescent="0.25">
      <c r="A228" s="4"/>
      <c r="B228" s="4"/>
      <c r="C228" s="4"/>
      <c r="D228" s="26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</row>
    <row r="229" spans="1:42" ht="15.75" x14ac:dyDescent="0.25">
      <c r="A229" s="4"/>
      <c r="B229" s="4"/>
      <c r="C229" s="4"/>
      <c r="D229" s="26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</row>
    <row r="230" spans="1:42" ht="15.75" x14ac:dyDescent="0.25">
      <c r="A230" s="4"/>
      <c r="B230" s="4"/>
      <c r="C230" s="4"/>
      <c r="D230" s="26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</row>
    <row r="231" spans="1:42" ht="15.75" x14ac:dyDescent="0.25">
      <c r="A231" s="4"/>
      <c r="B231" s="4"/>
      <c r="C231" s="4"/>
      <c r="D231" s="26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</row>
    <row r="232" spans="1:42" ht="15.75" x14ac:dyDescent="0.25">
      <c r="A232" s="4"/>
      <c r="B232" s="4"/>
      <c r="C232" s="4"/>
      <c r="D232" s="26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</row>
    <row r="233" spans="1:42" ht="15.75" x14ac:dyDescent="0.25">
      <c r="A233" s="4"/>
      <c r="B233" s="4"/>
      <c r="C233" s="4"/>
      <c r="D233" s="26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</row>
    <row r="234" spans="1:42" ht="15.75" x14ac:dyDescent="0.25">
      <c r="A234" s="4"/>
      <c r="B234" s="4"/>
      <c r="C234" s="4"/>
      <c r="D234" s="26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</row>
    <row r="235" spans="1:42" ht="15.75" x14ac:dyDescent="0.25">
      <c r="A235" s="4"/>
      <c r="B235" s="4"/>
      <c r="C235" s="4"/>
      <c r="D235" s="26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</row>
    <row r="236" spans="1:42" ht="15.75" x14ac:dyDescent="0.25">
      <c r="A236" s="4"/>
      <c r="B236" s="4"/>
      <c r="C236" s="4"/>
      <c r="D236" s="26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</row>
    <row r="237" spans="1:42" ht="15.75" x14ac:dyDescent="0.25">
      <c r="A237" s="4"/>
      <c r="B237" s="4"/>
      <c r="C237" s="4"/>
      <c r="D237" s="26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</row>
    <row r="238" spans="1:42" ht="15.75" x14ac:dyDescent="0.25">
      <c r="A238" s="4"/>
      <c r="B238" s="4"/>
      <c r="C238" s="4"/>
      <c r="D238" s="26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</row>
    <row r="239" spans="1:42" ht="15.75" x14ac:dyDescent="0.25">
      <c r="A239" s="4"/>
      <c r="B239" s="4"/>
      <c r="C239" s="4"/>
      <c r="D239" s="26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</row>
    <row r="240" spans="1:42" ht="15.75" x14ac:dyDescent="0.25">
      <c r="A240" s="4"/>
      <c r="B240" s="4"/>
      <c r="C240" s="4"/>
      <c r="D240" s="26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</row>
    <row r="241" spans="1:42" ht="15.75" x14ac:dyDescent="0.25">
      <c r="A241" s="4"/>
      <c r="B241" s="4"/>
      <c r="C241" s="4"/>
      <c r="D241" s="26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</row>
    <row r="242" spans="1:42" ht="15.75" x14ac:dyDescent="0.25">
      <c r="A242" s="4"/>
      <c r="B242" s="4"/>
      <c r="C242" s="4"/>
      <c r="D242" s="26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</row>
    <row r="243" spans="1:42" ht="15.75" x14ac:dyDescent="0.25">
      <c r="A243" s="4"/>
      <c r="B243" s="4"/>
      <c r="C243" s="4"/>
      <c r="D243" s="26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</row>
    <row r="244" spans="1:42" ht="15.75" x14ac:dyDescent="0.25">
      <c r="A244" s="4"/>
      <c r="B244" s="4"/>
      <c r="C244" s="4"/>
      <c r="D244" s="26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</row>
    <row r="245" spans="1:42" ht="15.75" x14ac:dyDescent="0.25">
      <c r="A245" s="4"/>
      <c r="B245" s="4"/>
      <c r="C245" s="4"/>
      <c r="D245" s="26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</row>
    <row r="246" spans="1:42" ht="15.75" x14ac:dyDescent="0.25">
      <c r="A246" s="4"/>
      <c r="B246" s="4"/>
      <c r="C246" s="4"/>
      <c r="D246" s="26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</row>
    <row r="247" spans="1:42" ht="15.75" x14ac:dyDescent="0.25">
      <c r="A247" s="4"/>
      <c r="B247" s="4"/>
      <c r="C247" s="4"/>
      <c r="D247" s="26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</row>
    <row r="248" spans="1:42" ht="15.75" x14ac:dyDescent="0.25">
      <c r="A248" s="4"/>
      <c r="B248" s="4"/>
      <c r="C248" s="4"/>
      <c r="D248" s="26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</row>
    <row r="249" spans="1:42" ht="15.75" x14ac:dyDescent="0.25">
      <c r="A249" s="4"/>
      <c r="B249" s="4"/>
      <c r="C249" s="4"/>
      <c r="D249" s="26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</row>
    <row r="250" spans="1:42" ht="15.75" x14ac:dyDescent="0.25">
      <c r="A250" s="4"/>
      <c r="B250" s="4"/>
      <c r="C250" s="4"/>
      <c r="D250" s="26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</row>
    <row r="251" spans="1:42" ht="15.75" x14ac:dyDescent="0.25">
      <c r="A251" s="4"/>
      <c r="B251" s="4"/>
      <c r="C251" s="4"/>
      <c r="D251" s="26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</row>
    <row r="252" spans="1:42" ht="15.75" x14ac:dyDescent="0.25">
      <c r="A252" s="4"/>
      <c r="B252" s="4"/>
      <c r="C252" s="4"/>
      <c r="D252" s="26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</row>
    <row r="253" spans="1:42" ht="15.75" x14ac:dyDescent="0.25">
      <c r="A253" s="4"/>
      <c r="B253" s="4"/>
      <c r="C253" s="4"/>
      <c r="D253" s="26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</row>
    <row r="254" spans="1:42" ht="15.75" x14ac:dyDescent="0.25">
      <c r="A254" s="4"/>
      <c r="B254" s="4"/>
      <c r="C254" s="4"/>
      <c r="D254" s="26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</row>
    <row r="255" spans="1:42" ht="15.75" x14ac:dyDescent="0.25">
      <c r="A255" s="4"/>
      <c r="B255" s="4"/>
      <c r="C255" s="4"/>
      <c r="D255" s="26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</row>
    <row r="256" spans="1:42" ht="15.75" x14ac:dyDescent="0.25">
      <c r="A256" s="4"/>
      <c r="B256" s="4"/>
      <c r="C256" s="4"/>
      <c r="D256" s="26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</row>
    <row r="257" spans="1:42" ht="15.75" x14ac:dyDescent="0.25">
      <c r="A257" s="4"/>
      <c r="B257" s="4"/>
      <c r="C257" s="4"/>
      <c r="D257" s="26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</row>
    <row r="258" spans="1:42" ht="15.75" x14ac:dyDescent="0.25">
      <c r="A258" s="4"/>
      <c r="B258" s="4"/>
      <c r="C258" s="4"/>
      <c r="D258" s="26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</row>
    <row r="259" spans="1:42" ht="15.75" x14ac:dyDescent="0.25">
      <c r="A259" s="4"/>
      <c r="B259" s="4"/>
      <c r="C259" s="4"/>
      <c r="D259" s="26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</row>
    <row r="260" spans="1:42" ht="15.75" x14ac:dyDescent="0.25">
      <c r="A260" s="4"/>
      <c r="B260" s="4"/>
      <c r="C260" s="4"/>
      <c r="D260" s="26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</row>
    <row r="261" spans="1:42" ht="15.75" x14ac:dyDescent="0.25">
      <c r="A261" s="4"/>
      <c r="B261" s="4"/>
      <c r="C261" s="4"/>
      <c r="D261" s="26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</row>
    <row r="262" spans="1:42" ht="15.75" x14ac:dyDescent="0.25">
      <c r="A262" s="4"/>
      <c r="B262" s="4"/>
      <c r="C262" s="4"/>
      <c r="D262" s="26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</row>
    <row r="263" spans="1:42" ht="15.75" x14ac:dyDescent="0.25">
      <c r="A263" s="4"/>
      <c r="B263" s="4"/>
      <c r="C263" s="4"/>
      <c r="D263" s="26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</row>
    <row r="264" spans="1:42" ht="15.75" x14ac:dyDescent="0.25">
      <c r="A264" s="4"/>
      <c r="B264" s="4"/>
      <c r="C264" s="4"/>
      <c r="D264" s="26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</row>
    <row r="265" spans="1:42" ht="15.75" x14ac:dyDescent="0.25">
      <c r="A265" s="4"/>
      <c r="B265" s="4"/>
      <c r="C265" s="4"/>
      <c r="D265" s="26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</row>
    <row r="266" spans="1:42" ht="15.75" x14ac:dyDescent="0.25">
      <c r="A266" s="4"/>
      <c r="B266" s="4"/>
      <c r="C266" s="4"/>
      <c r="D266" s="26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</row>
    <row r="267" spans="1:42" ht="15.75" x14ac:dyDescent="0.25">
      <c r="A267" s="4"/>
      <c r="B267" s="4"/>
      <c r="C267" s="4"/>
      <c r="D267" s="26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</row>
    <row r="268" spans="1:42" ht="15.75" x14ac:dyDescent="0.25">
      <c r="A268" s="4"/>
      <c r="B268" s="4"/>
      <c r="C268" s="4"/>
      <c r="D268" s="26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</row>
    <row r="269" spans="1:42" ht="15.75" x14ac:dyDescent="0.25">
      <c r="A269" s="4"/>
      <c r="B269" s="4"/>
      <c r="C269" s="4"/>
      <c r="D269" s="26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</row>
    <row r="270" spans="1:42" ht="15.75" x14ac:dyDescent="0.25">
      <c r="A270" s="4"/>
      <c r="B270" s="4"/>
      <c r="C270" s="4"/>
      <c r="D270" s="26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</row>
    <row r="271" spans="1:42" ht="15.75" x14ac:dyDescent="0.25">
      <c r="A271" s="4"/>
      <c r="B271" s="4"/>
      <c r="C271" s="4"/>
      <c r="D271" s="26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</row>
    <row r="272" spans="1:42" ht="15.75" x14ac:dyDescent="0.25">
      <c r="A272" s="4"/>
      <c r="B272" s="4"/>
      <c r="C272" s="4"/>
      <c r="D272" s="26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</row>
    <row r="273" spans="1:42" ht="15.75" x14ac:dyDescent="0.25">
      <c r="A273" s="4"/>
      <c r="B273" s="4"/>
      <c r="C273" s="4"/>
      <c r="D273" s="26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</row>
    <row r="274" spans="1:42" ht="15.75" x14ac:dyDescent="0.25">
      <c r="A274" s="4"/>
      <c r="B274" s="4"/>
      <c r="C274" s="4"/>
      <c r="D274" s="26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</row>
    <row r="275" spans="1:42" ht="15.75" x14ac:dyDescent="0.25">
      <c r="A275" s="4"/>
      <c r="B275" s="4"/>
      <c r="C275" s="4"/>
      <c r="D275" s="26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</row>
    <row r="276" spans="1:42" ht="15.75" x14ac:dyDescent="0.25">
      <c r="A276" s="4"/>
      <c r="B276" s="4"/>
      <c r="C276" s="4"/>
      <c r="D276" s="26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</row>
    <row r="277" spans="1:42" ht="15.75" x14ac:dyDescent="0.25">
      <c r="A277" s="4"/>
      <c r="B277" s="4"/>
      <c r="C277" s="4"/>
      <c r="D277" s="26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</row>
    <row r="278" spans="1:42" ht="15.75" x14ac:dyDescent="0.25">
      <c r="A278" s="4"/>
      <c r="B278" s="4"/>
      <c r="C278" s="4"/>
      <c r="D278" s="26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</row>
    <row r="279" spans="1:42" ht="15.75" x14ac:dyDescent="0.25">
      <c r="A279" s="4"/>
      <c r="B279" s="4"/>
      <c r="C279" s="4"/>
      <c r="D279" s="26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</row>
    <row r="280" spans="1:42" ht="15.75" x14ac:dyDescent="0.25">
      <c r="A280" s="4"/>
      <c r="B280" s="4"/>
      <c r="C280" s="4"/>
      <c r="D280" s="26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</row>
    <row r="281" spans="1:42" ht="15.75" x14ac:dyDescent="0.25">
      <c r="A281" s="4"/>
      <c r="B281" s="4"/>
      <c r="C281" s="4"/>
      <c r="D281" s="26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</row>
    <row r="282" spans="1:42" ht="15.75" x14ac:dyDescent="0.25">
      <c r="A282" s="4"/>
      <c r="B282" s="4"/>
      <c r="C282" s="4"/>
      <c r="D282" s="26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</row>
    <row r="283" spans="1:42" ht="15.75" x14ac:dyDescent="0.25">
      <c r="A283" s="4"/>
      <c r="B283" s="4"/>
      <c r="C283" s="4"/>
      <c r="D283" s="26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</row>
    <row r="284" spans="1:42" ht="15.75" x14ac:dyDescent="0.25">
      <c r="A284" s="4"/>
      <c r="B284" s="4"/>
      <c r="C284" s="4"/>
      <c r="D284" s="26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</row>
    <row r="285" spans="1:42" ht="15.75" x14ac:dyDescent="0.25">
      <c r="A285" s="4"/>
      <c r="B285" s="4"/>
      <c r="C285" s="4"/>
      <c r="D285" s="26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</row>
    <row r="286" spans="1:42" ht="15.75" x14ac:dyDescent="0.25">
      <c r="A286" s="4"/>
      <c r="B286" s="4"/>
      <c r="C286" s="4"/>
      <c r="D286" s="26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</row>
    <row r="287" spans="1:42" ht="15.75" x14ac:dyDescent="0.25">
      <c r="A287" s="4"/>
      <c r="B287" s="4"/>
      <c r="C287" s="4"/>
      <c r="D287" s="26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</row>
    <row r="288" spans="1:42" ht="15.75" x14ac:dyDescent="0.25">
      <c r="A288" s="4"/>
      <c r="B288" s="4"/>
      <c r="C288" s="4"/>
      <c r="D288" s="26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</row>
    <row r="289" spans="1:42" ht="15.75" x14ac:dyDescent="0.25">
      <c r="A289" s="4"/>
      <c r="B289" s="4"/>
      <c r="C289" s="4"/>
      <c r="D289" s="26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</row>
    <row r="290" spans="1:42" ht="15.75" x14ac:dyDescent="0.25">
      <c r="A290" s="4"/>
      <c r="B290" s="4"/>
      <c r="C290" s="4"/>
      <c r="D290" s="26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</row>
    <row r="291" spans="1:42" ht="15.75" x14ac:dyDescent="0.25">
      <c r="A291" s="4"/>
      <c r="B291" s="4"/>
      <c r="C291" s="4"/>
      <c r="D291" s="26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</row>
    <row r="292" spans="1:42" ht="15.75" x14ac:dyDescent="0.25">
      <c r="A292" s="4"/>
      <c r="B292" s="4"/>
      <c r="C292" s="4"/>
      <c r="D292" s="26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</row>
    <row r="293" spans="1:42" ht="15.75" x14ac:dyDescent="0.25">
      <c r="A293" s="4"/>
      <c r="B293" s="4"/>
      <c r="C293" s="4"/>
      <c r="D293" s="26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</row>
    <row r="294" spans="1:42" ht="15.75" x14ac:dyDescent="0.25">
      <c r="A294" s="4"/>
      <c r="B294" s="4"/>
      <c r="C294" s="4"/>
      <c r="D294" s="26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</row>
    <row r="295" spans="1:42" ht="15.75" x14ac:dyDescent="0.25">
      <c r="A295" s="4"/>
      <c r="B295" s="4"/>
      <c r="C295" s="4"/>
      <c r="D295" s="26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</row>
    <row r="296" spans="1:42" ht="15.75" x14ac:dyDescent="0.25">
      <c r="A296" s="4"/>
      <c r="B296" s="4"/>
      <c r="C296" s="4"/>
      <c r="D296" s="26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</row>
    <row r="297" spans="1:42" ht="15.75" x14ac:dyDescent="0.25">
      <c r="A297" s="4"/>
      <c r="B297" s="4"/>
      <c r="C297" s="4"/>
      <c r="D297" s="26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</row>
    <row r="298" spans="1:42" ht="15.75" x14ac:dyDescent="0.25">
      <c r="A298" s="4"/>
      <c r="B298" s="4"/>
      <c r="C298" s="4"/>
      <c r="D298" s="26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</row>
    <row r="299" spans="1:42" ht="15.75" x14ac:dyDescent="0.25">
      <c r="A299" s="4"/>
      <c r="B299" s="4"/>
      <c r="C299" s="4"/>
      <c r="D299" s="26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</row>
    <row r="300" spans="1:42" ht="15.75" x14ac:dyDescent="0.25">
      <c r="A300" s="4"/>
      <c r="B300" s="4"/>
      <c r="C300" s="4"/>
      <c r="D300" s="26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</row>
    <row r="301" spans="1:42" ht="15.75" x14ac:dyDescent="0.25">
      <c r="A301" s="4"/>
      <c r="B301" s="4"/>
      <c r="C301" s="4"/>
      <c r="D301" s="26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</row>
    <row r="302" spans="1:42" ht="15.75" x14ac:dyDescent="0.25">
      <c r="A302" s="4"/>
      <c r="B302" s="4"/>
      <c r="C302" s="4"/>
      <c r="D302" s="26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</row>
    <row r="303" spans="1:42" ht="15.75" x14ac:dyDescent="0.25">
      <c r="A303" s="4"/>
      <c r="B303" s="4"/>
      <c r="C303" s="4"/>
      <c r="D303" s="26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</row>
    <row r="304" spans="1:42" ht="15.75" x14ac:dyDescent="0.25">
      <c r="A304" s="4"/>
      <c r="B304" s="4"/>
      <c r="C304" s="4"/>
      <c r="D304" s="26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</row>
    <row r="305" spans="1:42" ht="15.75" x14ac:dyDescent="0.25">
      <c r="A305" s="4"/>
      <c r="B305" s="4"/>
      <c r="C305" s="4"/>
      <c r="D305" s="26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</row>
    <row r="306" spans="1:42" ht="15.75" x14ac:dyDescent="0.25">
      <c r="A306" s="4"/>
      <c r="B306" s="4"/>
      <c r="C306" s="4"/>
      <c r="D306" s="26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</row>
    <row r="307" spans="1:42" ht="15.75" x14ac:dyDescent="0.25">
      <c r="A307" s="4"/>
      <c r="B307" s="4"/>
      <c r="C307" s="4"/>
      <c r="D307" s="26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</row>
    <row r="308" spans="1:42" ht="15.75" x14ac:dyDescent="0.25">
      <c r="A308" s="4"/>
      <c r="B308" s="4"/>
      <c r="C308" s="4"/>
      <c r="D308" s="26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</row>
    <row r="309" spans="1:42" ht="15.75" x14ac:dyDescent="0.25">
      <c r="A309" s="4"/>
      <c r="B309" s="4"/>
      <c r="C309" s="4"/>
      <c r="D309" s="26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</row>
    <row r="310" spans="1:42" ht="15.75" x14ac:dyDescent="0.25">
      <c r="A310" s="4"/>
      <c r="B310" s="4"/>
      <c r="C310" s="4"/>
      <c r="D310" s="26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</row>
    <row r="311" spans="1:42" ht="15.75" x14ac:dyDescent="0.25">
      <c r="A311" s="4"/>
      <c r="B311" s="4"/>
      <c r="C311" s="4"/>
      <c r="D311" s="26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</row>
    <row r="312" spans="1:42" ht="15.75" x14ac:dyDescent="0.25">
      <c r="A312" s="4"/>
      <c r="B312" s="4"/>
      <c r="C312" s="4"/>
      <c r="D312" s="26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</row>
    <row r="313" spans="1:42" ht="15.75" x14ac:dyDescent="0.25">
      <c r="A313" s="4"/>
      <c r="B313" s="4"/>
      <c r="C313" s="4"/>
      <c r="D313" s="26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</row>
    <row r="314" spans="1:42" ht="15.75" x14ac:dyDescent="0.25">
      <c r="A314" s="4"/>
      <c r="B314" s="4"/>
      <c r="C314" s="4"/>
      <c r="D314" s="26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</row>
    <row r="315" spans="1:42" ht="15.75" x14ac:dyDescent="0.25">
      <c r="A315" s="4"/>
      <c r="B315" s="4"/>
      <c r="C315" s="4"/>
      <c r="D315" s="26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</row>
    <row r="316" spans="1:42" ht="15.75" x14ac:dyDescent="0.25">
      <c r="A316" s="4"/>
      <c r="B316" s="4"/>
      <c r="C316" s="4"/>
      <c r="D316" s="26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</row>
    <row r="317" spans="1:42" ht="15.75" x14ac:dyDescent="0.25">
      <c r="A317" s="4"/>
      <c r="B317" s="4"/>
      <c r="C317" s="4"/>
      <c r="D317" s="26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</row>
    <row r="318" spans="1:42" ht="15.75" x14ac:dyDescent="0.25">
      <c r="A318" s="4"/>
      <c r="B318" s="4"/>
      <c r="C318" s="4"/>
      <c r="D318" s="26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</row>
    <row r="319" spans="1:42" ht="15.75" x14ac:dyDescent="0.25">
      <c r="A319" s="4"/>
      <c r="B319" s="4"/>
      <c r="C319" s="4"/>
      <c r="D319" s="26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</row>
    <row r="320" spans="1:42" ht="15.75" x14ac:dyDescent="0.25">
      <c r="A320" s="4"/>
      <c r="B320" s="4"/>
      <c r="C320" s="4"/>
      <c r="D320" s="26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</row>
    <row r="321" spans="1:42" ht="15.75" x14ac:dyDescent="0.25">
      <c r="A321" s="4"/>
      <c r="B321" s="4"/>
      <c r="C321" s="4"/>
      <c r="D321" s="26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</row>
    <row r="322" spans="1:42" ht="15.75" x14ac:dyDescent="0.25">
      <c r="A322" s="4"/>
      <c r="B322" s="4"/>
      <c r="C322" s="4"/>
      <c r="D322" s="26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</row>
    <row r="323" spans="1:42" ht="15.75" x14ac:dyDescent="0.25">
      <c r="A323" s="4"/>
      <c r="B323" s="4"/>
      <c r="C323" s="4"/>
      <c r="D323" s="26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</row>
    <row r="324" spans="1:42" ht="15.75" x14ac:dyDescent="0.25">
      <c r="A324" s="4"/>
      <c r="B324" s="4"/>
      <c r="C324" s="4"/>
      <c r="D324" s="26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</row>
    <row r="325" spans="1:42" ht="15.75" x14ac:dyDescent="0.25">
      <c r="A325" s="4"/>
      <c r="B325" s="4"/>
      <c r="C325" s="4"/>
      <c r="D325" s="26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</row>
    <row r="326" spans="1:42" ht="15.75" x14ac:dyDescent="0.25">
      <c r="A326" s="4"/>
      <c r="B326" s="4"/>
      <c r="C326" s="4"/>
      <c r="D326" s="26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</row>
    <row r="327" spans="1:42" ht="15.75" x14ac:dyDescent="0.25">
      <c r="A327" s="4"/>
      <c r="B327" s="4"/>
      <c r="C327" s="4"/>
      <c r="D327" s="26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</row>
    <row r="328" spans="1:42" ht="15.75" x14ac:dyDescent="0.25">
      <c r="A328" s="4"/>
      <c r="B328" s="4"/>
      <c r="C328" s="4"/>
      <c r="D328" s="26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</row>
    <row r="329" spans="1:42" ht="15.75" x14ac:dyDescent="0.25">
      <c r="A329" s="4"/>
      <c r="B329" s="4"/>
      <c r="C329" s="4"/>
      <c r="D329" s="26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</row>
    <row r="330" spans="1:42" ht="15.75" x14ac:dyDescent="0.25">
      <c r="A330" s="4"/>
      <c r="B330" s="4"/>
      <c r="C330" s="4"/>
      <c r="D330" s="26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</row>
    <row r="331" spans="1:42" ht="15.75" x14ac:dyDescent="0.25">
      <c r="A331" s="4"/>
      <c r="B331" s="4"/>
      <c r="C331" s="4"/>
      <c r="D331" s="26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</row>
    <row r="332" spans="1:42" ht="15.75" x14ac:dyDescent="0.25">
      <c r="A332" s="4"/>
      <c r="B332" s="4"/>
      <c r="C332" s="4"/>
      <c r="D332" s="26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</row>
    <row r="333" spans="1:42" ht="15.75" x14ac:dyDescent="0.25">
      <c r="A333" s="4"/>
      <c r="B333" s="4"/>
      <c r="C333" s="4"/>
      <c r="D333" s="26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</row>
    <row r="334" spans="1:42" ht="15.75" x14ac:dyDescent="0.25">
      <c r="A334" s="4"/>
      <c r="B334" s="4"/>
      <c r="C334" s="4"/>
      <c r="D334" s="26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</row>
    <row r="335" spans="1:42" ht="15.75" x14ac:dyDescent="0.25">
      <c r="A335" s="4"/>
      <c r="B335" s="4"/>
      <c r="C335" s="4"/>
      <c r="D335" s="26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</row>
    <row r="336" spans="1:42" ht="15.75" x14ac:dyDescent="0.25">
      <c r="A336" s="4"/>
      <c r="B336" s="4"/>
      <c r="C336" s="4"/>
      <c r="D336" s="26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</row>
    <row r="337" spans="1:42" ht="15.75" x14ac:dyDescent="0.25">
      <c r="A337" s="4"/>
      <c r="B337" s="4"/>
      <c r="C337" s="4"/>
      <c r="D337" s="26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</row>
    <row r="338" spans="1:42" ht="15.75" x14ac:dyDescent="0.25">
      <c r="A338" s="4"/>
      <c r="B338" s="4"/>
      <c r="C338" s="4"/>
      <c r="D338" s="26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</row>
    <row r="339" spans="1:42" ht="15.75" x14ac:dyDescent="0.25">
      <c r="A339" s="4"/>
      <c r="B339" s="4"/>
      <c r="C339" s="4"/>
      <c r="D339" s="26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</row>
    <row r="340" spans="1:42" ht="15.75" x14ac:dyDescent="0.25">
      <c r="A340" s="4"/>
      <c r="B340" s="4"/>
      <c r="C340" s="4"/>
      <c r="D340" s="26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</row>
    <row r="341" spans="1:42" ht="15.75" x14ac:dyDescent="0.25">
      <c r="A341" s="4"/>
      <c r="B341" s="4"/>
      <c r="C341" s="4"/>
      <c r="D341" s="26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</row>
    <row r="342" spans="1:42" ht="15.75" x14ac:dyDescent="0.25">
      <c r="A342" s="4"/>
      <c r="B342" s="4"/>
      <c r="C342" s="4"/>
      <c r="D342" s="26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</row>
    <row r="343" spans="1:42" ht="15.75" x14ac:dyDescent="0.25">
      <c r="A343" s="4"/>
      <c r="B343" s="4"/>
      <c r="C343" s="4"/>
      <c r="D343" s="26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</row>
    <row r="344" spans="1:42" ht="15.75" x14ac:dyDescent="0.25">
      <c r="A344" s="4"/>
      <c r="B344" s="4"/>
      <c r="C344" s="4"/>
      <c r="D344" s="26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</row>
    <row r="345" spans="1:42" ht="15.75" x14ac:dyDescent="0.25">
      <c r="A345" s="4"/>
      <c r="B345" s="4"/>
      <c r="C345" s="4"/>
      <c r="D345" s="26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</row>
    <row r="346" spans="1:42" ht="15.75" x14ac:dyDescent="0.25">
      <c r="A346" s="4"/>
      <c r="B346" s="4"/>
      <c r="C346" s="4"/>
      <c r="D346" s="26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</row>
    <row r="347" spans="1:42" ht="15.75" x14ac:dyDescent="0.25">
      <c r="A347" s="4"/>
      <c r="B347" s="4"/>
      <c r="C347" s="4"/>
      <c r="D347" s="26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</row>
    <row r="348" spans="1:42" ht="15.75" x14ac:dyDescent="0.25">
      <c r="A348" s="4"/>
      <c r="B348" s="4"/>
      <c r="C348" s="4"/>
      <c r="D348" s="26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</row>
    <row r="349" spans="1:42" ht="15.75" x14ac:dyDescent="0.25">
      <c r="A349" s="4"/>
      <c r="B349" s="4"/>
      <c r="C349" s="4"/>
      <c r="D349" s="26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</row>
    <row r="350" spans="1:42" ht="15.75" x14ac:dyDescent="0.25">
      <c r="A350" s="4"/>
      <c r="B350" s="4"/>
      <c r="C350" s="4"/>
      <c r="D350" s="26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</row>
    <row r="351" spans="1:42" ht="15.75" x14ac:dyDescent="0.25">
      <c r="A351" s="4"/>
      <c r="B351" s="4"/>
      <c r="C351" s="4"/>
      <c r="D351" s="26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</row>
    <row r="352" spans="1:42" ht="15.75" x14ac:dyDescent="0.25">
      <c r="A352" s="4"/>
      <c r="B352" s="4"/>
      <c r="C352" s="4"/>
      <c r="D352" s="26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</row>
    <row r="353" spans="1:42" ht="15.75" x14ac:dyDescent="0.25">
      <c r="A353" s="4"/>
      <c r="B353" s="4"/>
      <c r="C353" s="4"/>
      <c r="D353" s="26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</row>
    <row r="354" spans="1:42" ht="15.75" x14ac:dyDescent="0.25">
      <c r="A354" s="4"/>
      <c r="B354" s="4"/>
      <c r="C354" s="4"/>
      <c r="D354" s="26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</row>
    <row r="355" spans="1:42" ht="15.75" x14ac:dyDescent="0.25">
      <c r="A355" s="4"/>
      <c r="B355" s="4"/>
      <c r="C355" s="4"/>
      <c r="D355" s="26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</row>
    <row r="356" spans="1:42" ht="15.75" x14ac:dyDescent="0.25">
      <c r="A356" s="4"/>
      <c r="B356" s="4"/>
      <c r="C356" s="4"/>
      <c r="D356" s="26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</row>
    <row r="357" spans="1:42" ht="15.75" x14ac:dyDescent="0.25">
      <c r="A357" s="4"/>
      <c r="B357" s="4"/>
      <c r="C357" s="4"/>
      <c r="D357" s="26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</row>
    <row r="358" spans="1:42" ht="15.75" x14ac:dyDescent="0.25">
      <c r="A358" s="4"/>
      <c r="B358" s="4"/>
      <c r="C358" s="4"/>
      <c r="D358" s="26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</row>
    <row r="359" spans="1:42" ht="15.75" x14ac:dyDescent="0.25">
      <c r="A359" s="4"/>
      <c r="B359" s="4"/>
      <c r="C359" s="4"/>
      <c r="D359" s="26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</row>
    <row r="360" spans="1:42" ht="15.75" x14ac:dyDescent="0.25">
      <c r="A360" s="4"/>
      <c r="B360" s="4"/>
      <c r="C360" s="4"/>
      <c r="D360" s="26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</row>
    <row r="361" spans="1:42" ht="15.75" x14ac:dyDescent="0.25">
      <c r="A361" s="4"/>
      <c r="B361" s="4"/>
      <c r="C361" s="4"/>
      <c r="D361" s="26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</row>
    <row r="362" spans="1:42" ht="15.75" x14ac:dyDescent="0.25">
      <c r="A362" s="4"/>
      <c r="B362" s="4"/>
      <c r="C362" s="4"/>
      <c r="D362" s="26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</row>
    <row r="363" spans="1:42" ht="15.75" x14ac:dyDescent="0.25">
      <c r="A363" s="4"/>
      <c r="B363" s="4"/>
      <c r="C363" s="4"/>
      <c r="D363" s="26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</row>
    <row r="364" spans="1:42" ht="15.75" x14ac:dyDescent="0.25">
      <c r="A364" s="4"/>
      <c r="B364" s="4"/>
      <c r="C364" s="4"/>
      <c r="D364" s="26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</row>
    <row r="365" spans="1:42" ht="15.75" x14ac:dyDescent="0.25">
      <c r="A365" s="4"/>
      <c r="B365" s="4"/>
      <c r="C365" s="4"/>
      <c r="D365" s="26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</row>
    <row r="366" spans="1:42" ht="15.75" x14ac:dyDescent="0.25">
      <c r="A366" s="4"/>
      <c r="B366" s="4"/>
      <c r="C366" s="4"/>
      <c r="D366" s="26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</row>
    <row r="367" spans="1:42" ht="15.75" x14ac:dyDescent="0.25">
      <c r="A367" s="4"/>
      <c r="B367" s="4"/>
      <c r="C367" s="4"/>
      <c r="D367" s="26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</row>
    <row r="368" spans="1:42" ht="15.75" x14ac:dyDescent="0.25">
      <c r="A368" s="4"/>
      <c r="B368" s="4"/>
      <c r="C368" s="4"/>
      <c r="D368" s="26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</row>
    <row r="369" spans="1:42" ht="15.75" x14ac:dyDescent="0.25">
      <c r="A369" s="4"/>
      <c r="B369" s="4"/>
      <c r="C369" s="4"/>
      <c r="D369" s="26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</row>
    <row r="370" spans="1:42" ht="15.75" x14ac:dyDescent="0.25">
      <c r="A370" s="4"/>
      <c r="B370" s="4"/>
      <c r="C370" s="4"/>
      <c r="D370" s="26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</row>
    <row r="371" spans="1:42" ht="15.75" x14ac:dyDescent="0.25">
      <c r="A371" s="4"/>
      <c r="B371" s="4"/>
      <c r="C371" s="4"/>
      <c r="D371" s="26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</row>
    <row r="372" spans="1:42" ht="15.75" x14ac:dyDescent="0.25">
      <c r="A372" s="4"/>
      <c r="B372" s="4"/>
      <c r="C372" s="4"/>
      <c r="D372" s="26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</row>
    <row r="373" spans="1:42" ht="15.75" x14ac:dyDescent="0.25">
      <c r="A373" s="4"/>
      <c r="B373" s="4"/>
      <c r="C373" s="4"/>
      <c r="D373" s="26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</row>
    <row r="374" spans="1:42" ht="15.75" x14ac:dyDescent="0.25">
      <c r="A374" s="4"/>
      <c r="B374" s="4"/>
      <c r="C374" s="4"/>
      <c r="D374" s="26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</row>
    <row r="375" spans="1:42" ht="15.75" x14ac:dyDescent="0.25">
      <c r="A375" s="4"/>
      <c r="B375" s="4"/>
      <c r="C375" s="4"/>
      <c r="D375" s="26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</row>
    <row r="376" spans="1:42" ht="15.75" x14ac:dyDescent="0.25">
      <c r="A376" s="4"/>
      <c r="B376" s="4"/>
      <c r="C376" s="4"/>
      <c r="D376" s="26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</row>
    <row r="377" spans="1:42" ht="15.75" x14ac:dyDescent="0.25">
      <c r="A377" s="4"/>
      <c r="B377" s="4"/>
      <c r="C377" s="4"/>
      <c r="D377" s="26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</row>
    <row r="378" spans="1:42" ht="15.75" x14ac:dyDescent="0.25">
      <c r="A378" s="4"/>
      <c r="B378" s="4"/>
      <c r="C378" s="4"/>
      <c r="D378" s="26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</row>
    <row r="379" spans="1:42" ht="15.75" x14ac:dyDescent="0.25">
      <c r="A379" s="4"/>
      <c r="B379" s="4"/>
      <c r="C379" s="4"/>
      <c r="D379" s="26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</row>
    <row r="380" spans="1:42" ht="15.75" x14ac:dyDescent="0.25">
      <c r="A380" s="4"/>
      <c r="B380" s="4"/>
      <c r="C380" s="4"/>
      <c r="D380" s="26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</row>
    <row r="381" spans="1:42" ht="15.75" x14ac:dyDescent="0.25">
      <c r="A381" s="4"/>
      <c r="B381" s="4"/>
      <c r="C381" s="4"/>
      <c r="D381" s="26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</row>
    <row r="382" spans="1:42" ht="15.75" x14ac:dyDescent="0.25">
      <c r="A382" s="4"/>
      <c r="B382" s="4"/>
      <c r="C382" s="4"/>
      <c r="D382" s="26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</row>
    <row r="383" spans="1:42" ht="15.75" x14ac:dyDescent="0.25">
      <c r="A383" s="4"/>
      <c r="B383" s="4"/>
      <c r="C383" s="4"/>
      <c r="D383" s="26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</row>
    <row r="384" spans="1:42" ht="15.75" x14ac:dyDescent="0.25">
      <c r="A384" s="4"/>
      <c r="B384" s="4"/>
      <c r="C384" s="4"/>
      <c r="D384" s="26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</row>
    <row r="385" spans="1:42" ht="15.75" x14ac:dyDescent="0.25">
      <c r="A385" s="4"/>
      <c r="B385" s="4"/>
      <c r="C385" s="4"/>
      <c r="D385" s="26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</row>
    <row r="386" spans="1:42" ht="15.75" x14ac:dyDescent="0.25">
      <c r="A386" s="4"/>
      <c r="B386" s="4"/>
      <c r="C386" s="4"/>
      <c r="D386" s="26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</row>
    <row r="387" spans="1:42" ht="15.75" x14ac:dyDescent="0.25">
      <c r="A387" s="4"/>
      <c r="B387" s="4"/>
      <c r="C387" s="4"/>
      <c r="D387" s="26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</row>
    <row r="388" spans="1:42" ht="15.75" x14ac:dyDescent="0.25">
      <c r="A388" s="4"/>
      <c r="B388" s="4"/>
      <c r="C388" s="4"/>
      <c r="D388" s="26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</row>
    <row r="389" spans="1:42" ht="15.75" x14ac:dyDescent="0.25">
      <c r="A389" s="4"/>
      <c r="B389" s="4"/>
      <c r="C389" s="4"/>
      <c r="D389" s="26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</row>
    <row r="390" spans="1:42" ht="15.75" x14ac:dyDescent="0.25">
      <c r="A390" s="4"/>
      <c r="B390" s="4"/>
      <c r="C390" s="4"/>
      <c r="D390" s="26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</row>
    <row r="391" spans="1:42" ht="15.75" x14ac:dyDescent="0.25">
      <c r="A391" s="4"/>
      <c r="B391" s="4"/>
      <c r="C391" s="4"/>
      <c r="D391" s="26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</row>
    <row r="392" spans="1:42" ht="15.75" x14ac:dyDescent="0.25">
      <c r="A392" s="4"/>
      <c r="B392" s="4"/>
      <c r="C392" s="4"/>
      <c r="D392" s="26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</row>
    <row r="393" spans="1:42" ht="15.75" x14ac:dyDescent="0.25">
      <c r="A393" s="4"/>
      <c r="B393" s="4"/>
      <c r="C393" s="4"/>
      <c r="D393" s="26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</row>
    <row r="394" spans="1:42" ht="15.75" x14ac:dyDescent="0.25">
      <c r="A394" s="4"/>
      <c r="B394" s="4"/>
      <c r="C394" s="4"/>
      <c r="D394" s="26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</row>
    <row r="395" spans="1:42" ht="15.75" x14ac:dyDescent="0.25">
      <c r="A395" s="4"/>
      <c r="B395" s="4"/>
      <c r="C395" s="4"/>
      <c r="D395" s="26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</row>
    <row r="396" spans="1:42" ht="15.75" x14ac:dyDescent="0.25">
      <c r="A396" s="4"/>
      <c r="B396" s="4"/>
      <c r="C396" s="4"/>
      <c r="D396" s="26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</row>
    <row r="397" spans="1:42" ht="15.75" x14ac:dyDescent="0.25">
      <c r="A397" s="4"/>
      <c r="B397" s="4"/>
      <c r="C397" s="4"/>
      <c r="D397" s="26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</row>
    <row r="398" spans="1:42" ht="15.75" x14ac:dyDescent="0.25">
      <c r="A398" s="4"/>
      <c r="B398" s="4"/>
      <c r="C398" s="4"/>
      <c r="D398" s="26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</row>
    <row r="399" spans="1:42" ht="15.75" x14ac:dyDescent="0.25">
      <c r="A399" s="4"/>
      <c r="B399" s="4"/>
      <c r="C399" s="4"/>
      <c r="D399" s="26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</row>
    <row r="400" spans="1:42" ht="15.75" x14ac:dyDescent="0.25">
      <c r="A400" s="4"/>
      <c r="B400" s="4"/>
      <c r="C400" s="4"/>
      <c r="D400" s="26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</row>
    <row r="401" spans="1:42" ht="15.75" x14ac:dyDescent="0.25">
      <c r="A401" s="4"/>
      <c r="B401" s="4"/>
      <c r="C401" s="4"/>
      <c r="D401" s="26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</row>
    <row r="402" spans="1:42" ht="15.75" x14ac:dyDescent="0.25">
      <c r="A402" s="4"/>
      <c r="B402" s="4"/>
      <c r="C402" s="4"/>
      <c r="D402" s="26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</row>
    <row r="403" spans="1:42" ht="15.75" x14ac:dyDescent="0.25">
      <c r="A403" s="4"/>
      <c r="B403" s="4"/>
      <c r="C403" s="4"/>
      <c r="D403" s="26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</row>
    <row r="404" spans="1:42" ht="15.75" x14ac:dyDescent="0.25">
      <c r="A404" s="4"/>
      <c r="B404" s="4"/>
      <c r="C404" s="4"/>
      <c r="D404" s="26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</row>
    <row r="405" spans="1:42" ht="15.75" x14ac:dyDescent="0.25">
      <c r="A405" s="4"/>
      <c r="B405" s="4"/>
      <c r="C405" s="4"/>
      <c r="D405" s="26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</row>
    <row r="406" spans="1:42" ht="15.75" x14ac:dyDescent="0.25">
      <c r="A406" s="4"/>
      <c r="B406" s="4"/>
      <c r="C406" s="4"/>
      <c r="D406" s="26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</row>
    <row r="407" spans="1:42" ht="15.75" x14ac:dyDescent="0.25">
      <c r="A407" s="4"/>
      <c r="B407" s="4"/>
      <c r="C407" s="4"/>
      <c r="D407" s="26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</row>
    <row r="408" spans="1:42" ht="15.75" x14ac:dyDescent="0.25">
      <c r="A408" s="4"/>
      <c r="B408" s="4"/>
      <c r="C408" s="4"/>
      <c r="D408" s="26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</row>
    <row r="409" spans="1:42" ht="15.75" x14ac:dyDescent="0.25">
      <c r="A409" s="4"/>
      <c r="B409" s="4"/>
      <c r="C409" s="4"/>
      <c r="D409" s="26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</row>
    <row r="410" spans="1:42" ht="15.75" x14ac:dyDescent="0.25">
      <c r="A410" s="4"/>
      <c r="B410" s="4"/>
      <c r="C410" s="4"/>
      <c r="D410" s="26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</row>
    <row r="411" spans="1:42" ht="15.75" x14ac:dyDescent="0.25">
      <c r="A411" s="4"/>
      <c r="B411" s="4"/>
      <c r="C411" s="4"/>
      <c r="D411" s="26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</row>
    <row r="412" spans="1:42" ht="15.75" x14ac:dyDescent="0.25">
      <c r="A412" s="4"/>
      <c r="B412" s="4"/>
      <c r="C412" s="4"/>
      <c r="D412" s="26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</row>
    <row r="413" spans="1:42" ht="15.75" x14ac:dyDescent="0.25">
      <c r="A413" s="4"/>
      <c r="B413" s="4"/>
      <c r="C413" s="4"/>
      <c r="D413" s="26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</row>
    <row r="414" spans="1:42" ht="15.75" x14ac:dyDescent="0.25">
      <c r="A414" s="4"/>
      <c r="B414" s="4"/>
      <c r="C414" s="4"/>
      <c r="D414" s="26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</row>
    <row r="415" spans="1:42" ht="15.75" x14ac:dyDescent="0.25">
      <c r="A415" s="4"/>
      <c r="B415" s="4"/>
      <c r="C415" s="4"/>
      <c r="D415" s="26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</row>
    <row r="416" spans="1:42" ht="15.75" x14ac:dyDescent="0.25">
      <c r="A416" s="4"/>
      <c r="B416" s="4"/>
      <c r="C416" s="4"/>
      <c r="D416" s="26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</row>
    <row r="417" spans="1:42" ht="15.75" x14ac:dyDescent="0.25">
      <c r="A417" s="4"/>
      <c r="B417" s="4"/>
      <c r="C417" s="4"/>
      <c r="D417" s="26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</row>
    <row r="418" spans="1:42" ht="15.75" x14ac:dyDescent="0.25">
      <c r="A418" s="4"/>
      <c r="B418" s="4"/>
      <c r="C418" s="4"/>
      <c r="D418" s="26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</row>
    <row r="419" spans="1:42" ht="15.75" x14ac:dyDescent="0.25">
      <c r="A419" s="4"/>
      <c r="B419" s="4"/>
      <c r="C419" s="4"/>
      <c r="D419" s="26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</row>
    <row r="420" spans="1:42" ht="15.75" x14ac:dyDescent="0.25">
      <c r="A420" s="4"/>
      <c r="B420" s="4"/>
      <c r="C420" s="4"/>
      <c r="D420" s="26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</row>
    <row r="421" spans="1:42" ht="15.75" x14ac:dyDescent="0.25">
      <c r="A421" s="4"/>
      <c r="B421" s="4"/>
      <c r="C421" s="4"/>
      <c r="D421" s="26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</row>
    <row r="422" spans="1:42" ht="15.75" x14ac:dyDescent="0.25">
      <c r="A422" s="4"/>
      <c r="B422" s="4"/>
      <c r="C422" s="4"/>
      <c r="D422" s="26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</row>
    <row r="423" spans="1:42" ht="15.75" x14ac:dyDescent="0.25">
      <c r="A423" s="4"/>
      <c r="B423" s="4"/>
      <c r="C423" s="4"/>
      <c r="D423" s="26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</row>
    <row r="424" spans="1:42" ht="15.75" x14ac:dyDescent="0.25">
      <c r="A424" s="4"/>
      <c r="B424" s="4"/>
      <c r="C424" s="4"/>
      <c r="D424" s="26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</row>
    <row r="425" spans="1:42" ht="15.75" x14ac:dyDescent="0.25">
      <c r="A425" s="4"/>
      <c r="B425" s="4"/>
      <c r="C425" s="4"/>
      <c r="D425" s="26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</row>
    <row r="426" spans="1:42" ht="15.75" x14ac:dyDescent="0.25">
      <c r="A426" s="4"/>
      <c r="B426" s="4"/>
      <c r="C426" s="4"/>
      <c r="D426" s="26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</row>
    <row r="427" spans="1:42" ht="15.75" x14ac:dyDescent="0.25">
      <c r="A427" s="4"/>
      <c r="B427" s="4"/>
      <c r="C427" s="4"/>
      <c r="D427" s="26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</row>
    <row r="428" spans="1:42" ht="15.75" x14ac:dyDescent="0.25">
      <c r="A428" s="4"/>
      <c r="B428" s="4"/>
      <c r="C428" s="4"/>
      <c r="D428" s="26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</row>
    <row r="429" spans="1:42" ht="15.75" x14ac:dyDescent="0.25">
      <c r="A429" s="4"/>
      <c r="B429" s="4"/>
      <c r="C429" s="4"/>
      <c r="D429" s="26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</row>
    <row r="430" spans="1:42" ht="15.75" x14ac:dyDescent="0.25">
      <c r="A430" s="4"/>
      <c r="B430" s="4"/>
      <c r="C430" s="4"/>
      <c r="D430" s="26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</row>
    <row r="431" spans="1:42" ht="15.75" x14ac:dyDescent="0.25">
      <c r="A431" s="4"/>
      <c r="B431" s="4"/>
      <c r="C431" s="4"/>
      <c r="D431" s="26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</row>
    <row r="432" spans="1:42" ht="15.75" x14ac:dyDescent="0.25">
      <c r="A432" s="4"/>
      <c r="B432" s="4"/>
      <c r="C432" s="4"/>
      <c r="D432" s="26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</row>
    <row r="433" spans="1:42" ht="15.75" x14ac:dyDescent="0.25">
      <c r="A433" s="4"/>
      <c r="B433" s="4"/>
      <c r="C433" s="4"/>
      <c r="D433" s="26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</row>
    <row r="434" spans="1:42" ht="15.75" x14ac:dyDescent="0.25">
      <c r="A434" s="4"/>
      <c r="B434" s="4"/>
      <c r="C434" s="4"/>
      <c r="D434" s="26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</row>
    <row r="435" spans="1:42" ht="15.75" x14ac:dyDescent="0.25">
      <c r="A435" s="4"/>
      <c r="B435" s="4"/>
      <c r="C435" s="4"/>
      <c r="D435" s="26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</row>
    <row r="436" spans="1:42" ht="15.75" x14ac:dyDescent="0.25">
      <c r="A436" s="4"/>
      <c r="B436" s="4"/>
      <c r="C436" s="4"/>
      <c r="D436" s="26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</row>
    <row r="437" spans="1:42" ht="15.75" x14ac:dyDescent="0.25">
      <c r="A437" s="4"/>
      <c r="B437" s="4"/>
      <c r="C437" s="4"/>
      <c r="D437" s="26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</row>
    <row r="438" spans="1:42" ht="15.75" x14ac:dyDescent="0.25">
      <c r="A438" s="4"/>
      <c r="B438" s="4"/>
      <c r="C438" s="4"/>
      <c r="D438" s="26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</row>
    <row r="439" spans="1:42" ht="15.75" x14ac:dyDescent="0.25">
      <c r="A439" s="4"/>
      <c r="B439" s="4"/>
      <c r="C439" s="4"/>
      <c r="D439" s="26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</row>
    <row r="440" spans="1:42" ht="15.75" x14ac:dyDescent="0.25">
      <c r="A440" s="4"/>
      <c r="B440" s="4"/>
      <c r="C440" s="4"/>
      <c r="D440" s="26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</row>
    <row r="441" spans="1:42" ht="15.75" x14ac:dyDescent="0.25">
      <c r="A441" s="4"/>
      <c r="B441" s="4"/>
      <c r="C441" s="4"/>
      <c r="D441" s="26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</row>
    <row r="442" spans="1:42" ht="15.75" x14ac:dyDescent="0.25">
      <c r="A442" s="4"/>
      <c r="B442" s="4"/>
      <c r="C442" s="4"/>
      <c r="D442" s="26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</row>
    <row r="443" spans="1:42" ht="15.75" x14ac:dyDescent="0.25">
      <c r="A443" s="4"/>
      <c r="B443" s="4"/>
      <c r="C443" s="4"/>
      <c r="D443" s="26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</row>
    <row r="444" spans="1:42" ht="15.75" x14ac:dyDescent="0.25">
      <c r="A444" s="4"/>
      <c r="B444" s="4"/>
      <c r="C444" s="4"/>
      <c r="D444" s="26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</row>
    <row r="445" spans="1:42" ht="15.75" x14ac:dyDescent="0.25">
      <c r="A445" s="4"/>
      <c r="B445" s="4"/>
      <c r="C445" s="4"/>
      <c r="D445" s="26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</row>
    <row r="446" spans="1:42" ht="15.75" x14ac:dyDescent="0.25">
      <c r="A446" s="4"/>
      <c r="B446" s="4"/>
      <c r="C446" s="4"/>
      <c r="D446" s="26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</row>
    <row r="447" spans="1:42" ht="15.75" x14ac:dyDescent="0.25">
      <c r="A447" s="4"/>
      <c r="B447" s="4"/>
      <c r="C447" s="4"/>
      <c r="D447" s="26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</row>
    <row r="448" spans="1:42" ht="15.75" x14ac:dyDescent="0.25">
      <c r="A448" s="4"/>
      <c r="B448" s="4"/>
      <c r="C448" s="4"/>
      <c r="D448" s="26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</row>
    <row r="449" spans="1:42" ht="15.75" x14ac:dyDescent="0.25">
      <c r="A449" s="4"/>
      <c r="B449" s="4"/>
      <c r="C449" s="4"/>
      <c r="D449" s="26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</row>
    <row r="450" spans="1:42" ht="15.75" x14ac:dyDescent="0.25">
      <c r="A450" s="4"/>
      <c r="B450" s="4"/>
      <c r="C450" s="4"/>
      <c r="D450" s="26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</row>
    <row r="451" spans="1:42" ht="15.75" x14ac:dyDescent="0.25">
      <c r="A451" s="4"/>
      <c r="B451" s="4"/>
      <c r="C451" s="4"/>
      <c r="D451" s="26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</row>
    <row r="452" spans="1:42" ht="15.75" x14ac:dyDescent="0.25">
      <c r="A452" s="4"/>
      <c r="B452" s="4"/>
      <c r="C452" s="4"/>
      <c r="D452" s="26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</row>
    <row r="453" spans="1:42" ht="15.75" x14ac:dyDescent="0.25">
      <c r="A453" s="4"/>
      <c r="B453" s="4"/>
      <c r="C453" s="4"/>
      <c r="D453" s="26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</row>
    <row r="454" spans="1:42" ht="15.75" x14ac:dyDescent="0.25">
      <c r="A454" s="4"/>
      <c r="B454" s="4"/>
      <c r="C454" s="4"/>
      <c r="D454" s="26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</row>
    <row r="455" spans="1:42" ht="15.75" x14ac:dyDescent="0.25">
      <c r="A455" s="4"/>
      <c r="B455" s="4"/>
      <c r="C455" s="4"/>
      <c r="D455" s="26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</row>
    <row r="456" spans="1:42" ht="15.75" x14ac:dyDescent="0.25">
      <c r="A456" s="4"/>
      <c r="B456" s="4"/>
      <c r="C456" s="4"/>
      <c r="D456" s="26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</row>
    <row r="457" spans="1:42" ht="15.75" x14ac:dyDescent="0.25">
      <c r="A457" s="4"/>
      <c r="B457" s="4"/>
      <c r="C457" s="4"/>
      <c r="D457" s="26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</row>
    <row r="458" spans="1:42" ht="15.75" x14ac:dyDescent="0.25">
      <c r="A458" s="4"/>
      <c r="B458" s="4"/>
      <c r="C458" s="4"/>
      <c r="D458" s="26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</row>
    <row r="459" spans="1:42" ht="15.75" x14ac:dyDescent="0.25">
      <c r="A459" s="4"/>
      <c r="B459" s="4"/>
      <c r="C459" s="4"/>
      <c r="D459" s="26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</row>
    <row r="460" spans="1:42" ht="15.75" x14ac:dyDescent="0.25">
      <c r="A460" s="4"/>
      <c r="B460" s="4"/>
      <c r="C460" s="4"/>
      <c r="D460" s="26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</row>
    <row r="461" spans="1:42" ht="15.75" x14ac:dyDescent="0.25">
      <c r="A461" s="4"/>
      <c r="B461" s="4"/>
      <c r="C461" s="4"/>
      <c r="D461" s="26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</row>
    <row r="462" spans="1:42" ht="15.75" x14ac:dyDescent="0.25">
      <c r="A462" s="4"/>
      <c r="B462" s="4"/>
      <c r="C462" s="4"/>
      <c r="D462" s="26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</row>
    <row r="463" spans="1:42" ht="15.75" x14ac:dyDescent="0.25">
      <c r="A463" s="4"/>
      <c r="B463" s="4"/>
      <c r="C463" s="4"/>
      <c r="D463" s="26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</row>
    <row r="464" spans="1:42" ht="15.75" x14ac:dyDescent="0.25">
      <c r="A464" s="4"/>
      <c r="B464" s="4"/>
      <c r="C464" s="4"/>
      <c r="D464" s="26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</row>
    <row r="465" spans="1:42" ht="15.75" x14ac:dyDescent="0.25">
      <c r="A465" s="4"/>
      <c r="B465" s="4"/>
      <c r="C465" s="4"/>
      <c r="D465" s="26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</row>
    <row r="466" spans="1:42" ht="15.75" x14ac:dyDescent="0.25">
      <c r="A466" s="4"/>
      <c r="B466" s="4"/>
      <c r="C466" s="4"/>
      <c r="D466" s="26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</row>
    <row r="467" spans="1:42" ht="15.75" x14ac:dyDescent="0.25">
      <c r="A467" s="4"/>
      <c r="B467" s="4"/>
      <c r="C467" s="4"/>
      <c r="D467" s="26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</row>
    <row r="468" spans="1:42" ht="15.75" x14ac:dyDescent="0.25">
      <c r="A468" s="4"/>
      <c r="B468" s="4"/>
      <c r="C468" s="4"/>
      <c r="D468" s="26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</row>
    <row r="469" spans="1:42" ht="15.75" x14ac:dyDescent="0.25">
      <c r="A469" s="4"/>
      <c r="B469" s="4"/>
      <c r="C469" s="4"/>
      <c r="D469" s="26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</row>
    <row r="470" spans="1:42" ht="15.75" x14ac:dyDescent="0.25">
      <c r="A470" s="4"/>
      <c r="B470" s="4"/>
      <c r="C470" s="4"/>
      <c r="D470" s="26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</row>
    <row r="471" spans="1:42" ht="15.75" x14ac:dyDescent="0.25">
      <c r="A471" s="4"/>
      <c r="B471" s="4"/>
      <c r="C471" s="4"/>
      <c r="D471" s="26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</row>
    <row r="472" spans="1:42" ht="15.75" x14ac:dyDescent="0.25">
      <c r="A472" s="4"/>
      <c r="B472" s="4"/>
      <c r="C472" s="4"/>
      <c r="D472" s="26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</row>
    <row r="473" spans="1:42" ht="15.75" x14ac:dyDescent="0.25">
      <c r="A473" s="4"/>
      <c r="B473" s="4"/>
      <c r="C473" s="4"/>
      <c r="D473" s="26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</row>
    <row r="474" spans="1:42" ht="15.75" x14ac:dyDescent="0.25">
      <c r="A474" s="4"/>
      <c r="B474" s="4"/>
      <c r="C474" s="4"/>
      <c r="D474" s="26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</row>
    <row r="475" spans="1:42" ht="15.75" x14ac:dyDescent="0.25">
      <c r="A475" s="4"/>
      <c r="B475" s="4"/>
      <c r="C475" s="4"/>
      <c r="D475" s="26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</row>
    <row r="476" spans="1:42" ht="15.75" x14ac:dyDescent="0.25">
      <c r="A476" s="4"/>
      <c r="B476" s="4"/>
      <c r="C476" s="4"/>
      <c r="D476" s="26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</row>
    <row r="477" spans="1:42" ht="15.75" x14ac:dyDescent="0.25">
      <c r="A477" s="4"/>
      <c r="B477" s="4"/>
      <c r="C477" s="4"/>
      <c r="D477" s="26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</row>
    <row r="478" spans="1:42" ht="15.75" x14ac:dyDescent="0.25">
      <c r="A478" s="4"/>
      <c r="B478" s="4"/>
      <c r="C478" s="4"/>
      <c r="D478" s="26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</row>
    <row r="479" spans="1:42" ht="15.75" x14ac:dyDescent="0.25">
      <c r="A479" s="4"/>
      <c r="B479" s="4"/>
      <c r="C479" s="4"/>
      <c r="D479" s="26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</row>
    <row r="480" spans="1:42" ht="15.75" x14ac:dyDescent="0.25">
      <c r="A480" s="4"/>
      <c r="B480" s="4"/>
      <c r="C480" s="4"/>
      <c r="D480" s="26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</row>
    <row r="481" spans="1:42" ht="15.75" x14ac:dyDescent="0.25">
      <c r="A481" s="4"/>
      <c r="B481" s="4"/>
      <c r="C481" s="4"/>
      <c r="D481" s="26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</row>
    <row r="482" spans="1:42" ht="15.75" x14ac:dyDescent="0.25">
      <c r="A482" s="4"/>
      <c r="B482" s="4"/>
      <c r="C482" s="4"/>
      <c r="D482" s="26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</row>
    <row r="483" spans="1:42" ht="15.75" x14ac:dyDescent="0.25">
      <c r="A483" s="4"/>
      <c r="B483" s="4"/>
      <c r="C483" s="4"/>
      <c r="D483" s="26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</row>
    <row r="484" spans="1:42" ht="15.75" x14ac:dyDescent="0.25">
      <c r="A484" s="4"/>
      <c r="B484" s="4"/>
      <c r="C484" s="4"/>
      <c r="D484" s="26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</row>
    <row r="485" spans="1:42" ht="15.75" x14ac:dyDescent="0.25">
      <c r="A485" s="4"/>
      <c r="B485" s="4"/>
      <c r="C485" s="4"/>
      <c r="D485" s="26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</row>
    <row r="486" spans="1:42" ht="15.75" x14ac:dyDescent="0.25">
      <c r="A486" s="4"/>
      <c r="B486" s="4"/>
      <c r="C486" s="4"/>
      <c r="D486" s="26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</row>
    <row r="487" spans="1:42" ht="15.75" x14ac:dyDescent="0.25">
      <c r="A487" s="4"/>
      <c r="B487" s="4"/>
      <c r="C487" s="4"/>
      <c r="D487" s="26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</row>
    <row r="488" spans="1:42" ht="15.75" x14ac:dyDescent="0.25">
      <c r="A488" s="4"/>
      <c r="B488" s="4"/>
      <c r="C488" s="4"/>
      <c r="D488" s="26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</row>
    <row r="489" spans="1:42" ht="15.75" x14ac:dyDescent="0.25">
      <c r="A489" s="4"/>
      <c r="B489" s="4"/>
      <c r="C489" s="4"/>
      <c r="D489" s="26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</row>
    <row r="490" spans="1:42" ht="15.75" x14ac:dyDescent="0.25">
      <c r="A490" s="4"/>
      <c r="B490" s="4"/>
      <c r="C490" s="4"/>
      <c r="D490" s="26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</row>
    <row r="491" spans="1:42" ht="15.75" x14ac:dyDescent="0.25">
      <c r="A491" s="4"/>
      <c r="B491" s="4"/>
      <c r="C491" s="4"/>
      <c r="D491" s="26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</row>
    <row r="492" spans="1:42" ht="15.75" x14ac:dyDescent="0.25">
      <c r="A492" s="4"/>
      <c r="B492" s="4"/>
      <c r="C492" s="4"/>
      <c r="D492" s="26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</row>
    <row r="493" spans="1:42" ht="15.75" x14ac:dyDescent="0.25">
      <c r="A493" s="4"/>
      <c r="B493" s="4"/>
      <c r="C493" s="4"/>
      <c r="D493" s="26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</row>
    <row r="494" spans="1:42" ht="15.75" x14ac:dyDescent="0.25">
      <c r="A494" s="4"/>
      <c r="B494" s="4"/>
      <c r="C494" s="4"/>
      <c r="D494" s="26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</row>
    <row r="495" spans="1:42" ht="15.75" x14ac:dyDescent="0.25">
      <c r="A495" s="4"/>
      <c r="B495" s="4"/>
      <c r="C495" s="4"/>
      <c r="D495" s="26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</row>
    <row r="496" spans="1:42" ht="15.75" x14ac:dyDescent="0.25">
      <c r="A496" s="4"/>
      <c r="B496" s="4"/>
      <c r="C496" s="4"/>
      <c r="D496" s="26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</row>
    <row r="497" spans="1:42" ht="15.75" x14ac:dyDescent="0.25">
      <c r="A497" s="4"/>
      <c r="B497" s="4"/>
      <c r="C497" s="4"/>
      <c r="D497" s="26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</row>
    <row r="498" spans="1:42" ht="15.75" x14ac:dyDescent="0.25">
      <c r="A498" s="4"/>
      <c r="B498" s="4"/>
      <c r="C498" s="4"/>
      <c r="D498" s="26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</row>
    <row r="499" spans="1:42" ht="15.75" x14ac:dyDescent="0.25">
      <c r="A499" s="4"/>
      <c r="B499" s="4"/>
      <c r="C499" s="4"/>
      <c r="D499" s="26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</row>
    <row r="500" spans="1:42" ht="15.75" x14ac:dyDescent="0.25">
      <c r="A500" s="4"/>
      <c r="B500" s="4"/>
      <c r="C500" s="4"/>
      <c r="D500" s="26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</row>
    <row r="501" spans="1:42" ht="15.75" x14ac:dyDescent="0.25">
      <c r="A501" s="4"/>
      <c r="B501" s="4"/>
      <c r="C501" s="4"/>
      <c r="D501" s="26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</row>
    <row r="502" spans="1:42" ht="15.75" x14ac:dyDescent="0.25">
      <c r="A502" s="4"/>
      <c r="B502" s="4"/>
      <c r="C502" s="4"/>
      <c r="D502" s="26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</row>
    <row r="503" spans="1:42" ht="15.75" x14ac:dyDescent="0.25">
      <c r="A503" s="4"/>
      <c r="B503" s="4"/>
      <c r="C503" s="4"/>
      <c r="D503" s="26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</row>
    <row r="504" spans="1:42" ht="15.75" x14ac:dyDescent="0.25">
      <c r="A504" s="4"/>
      <c r="B504" s="4"/>
      <c r="C504" s="4"/>
      <c r="D504" s="26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</row>
    <row r="505" spans="1:42" ht="15.75" x14ac:dyDescent="0.25">
      <c r="A505" s="4"/>
      <c r="B505" s="4"/>
      <c r="C505" s="4"/>
      <c r="D505" s="26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</row>
    <row r="506" spans="1:42" ht="15.75" x14ac:dyDescent="0.25">
      <c r="A506" s="4"/>
      <c r="B506" s="4"/>
      <c r="C506" s="4"/>
      <c r="D506" s="26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</row>
    <row r="507" spans="1:42" ht="15.75" x14ac:dyDescent="0.25">
      <c r="A507" s="4"/>
      <c r="B507" s="4"/>
      <c r="C507" s="4"/>
      <c r="D507" s="26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</row>
    <row r="508" spans="1:42" ht="15.75" x14ac:dyDescent="0.25">
      <c r="A508" s="4"/>
      <c r="B508" s="4"/>
      <c r="C508" s="4"/>
      <c r="D508" s="26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</row>
    <row r="509" spans="1:42" ht="15.75" x14ac:dyDescent="0.25">
      <c r="A509" s="4"/>
      <c r="B509" s="4"/>
      <c r="C509" s="4"/>
      <c r="D509" s="26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</row>
    <row r="510" spans="1:42" ht="15.75" x14ac:dyDescent="0.25">
      <c r="A510" s="4"/>
      <c r="B510" s="4"/>
      <c r="C510" s="4"/>
      <c r="D510" s="26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</row>
    <row r="511" spans="1:42" ht="15.75" x14ac:dyDescent="0.25">
      <c r="A511" s="4"/>
      <c r="B511" s="4"/>
      <c r="C511" s="4"/>
      <c r="D511" s="26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</row>
    <row r="512" spans="1:42" ht="15.75" x14ac:dyDescent="0.25">
      <c r="A512" s="4"/>
      <c r="B512" s="4"/>
      <c r="C512" s="4"/>
      <c r="D512" s="26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</row>
    <row r="513" spans="1:42" ht="15.75" x14ac:dyDescent="0.25">
      <c r="A513" s="4"/>
      <c r="B513" s="4"/>
      <c r="C513" s="4"/>
      <c r="D513" s="26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</row>
    <row r="514" spans="1:42" ht="15.75" x14ac:dyDescent="0.25">
      <c r="A514" s="4"/>
      <c r="B514" s="4"/>
      <c r="C514" s="4"/>
      <c r="D514" s="26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</row>
    <row r="515" spans="1:42" ht="15.75" x14ac:dyDescent="0.25">
      <c r="A515" s="4"/>
      <c r="B515" s="4"/>
      <c r="C515" s="4"/>
      <c r="D515" s="26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</row>
    <row r="516" spans="1:42" ht="15.75" x14ac:dyDescent="0.25">
      <c r="A516" s="4"/>
      <c r="B516" s="4"/>
      <c r="C516" s="4"/>
      <c r="D516" s="26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</row>
    <row r="517" spans="1:42" ht="15.75" x14ac:dyDescent="0.25">
      <c r="A517" s="4"/>
      <c r="B517" s="4"/>
      <c r="C517" s="4"/>
      <c r="D517" s="26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</row>
    <row r="518" spans="1:42" ht="15.75" x14ac:dyDescent="0.25">
      <c r="A518" s="4"/>
      <c r="B518" s="4"/>
      <c r="C518" s="4"/>
      <c r="D518" s="26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</row>
    <row r="519" spans="1:42" ht="15.75" x14ac:dyDescent="0.25">
      <c r="A519" s="4"/>
      <c r="B519" s="4"/>
      <c r="C519" s="4"/>
      <c r="D519" s="26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</row>
    <row r="520" spans="1:42" ht="15.75" x14ac:dyDescent="0.25">
      <c r="A520" s="4"/>
      <c r="B520" s="4"/>
      <c r="C520" s="4"/>
      <c r="D520" s="26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</row>
    <row r="521" spans="1:42" ht="15.75" x14ac:dyDescent="0.25">
      <c r="A521" s="4"/>
      <c r="B521" s="4"/>
      <c r="C521" s="4"/>
      <c r="D521" s="26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</row>
    <row r="522" spans="1:42" ht="15.75" x14ac:dyDescent="0.25">
      <c r="A522" s="4"/>
      <c r="B522" s="4"/>
      <c r="C522" s="4"/>
      <c r="D522" s="26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</row>
    <row r="523" spans="1:42" ht="15.75" x14ac:dyDescent="0.25">
      <c r="A523" s="4"/>
      <c r="B523" s="4"/>
      <c r="C523" s="4"/>
      <c r="D523" s="26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</row>
    <row r="524" spans="1:42" ht="15.75" x14ac:dyDescent="0.25">
      <c r="A524" s="4"/>
      <c r="B524" s="4"/>
      <c r="C524" s="4"/>
      <c r="D524" s="26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</row>
    <row r="525" spans="1:42" ht="15.75" x14ac:dyDescent="0.25">
      <c r="A525" s="4"/>
      <c r="B525" s="4"/>
      <c r="C525" s="4"/>
      <c r="D525" s="26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</row>
    <row r="526" spans="1:42" ht="15.75" x14ac:dyDescent="0.25">
      <c r="A526" s="4"/>
      <c r="B526" s="4"/>
      <c r="C526" s="4"/>
      <c r="D526" s="26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</row>
    <row r="527" spans="1:42" ht="15.75" x14ac:dyDescent="0.25">
      <c r="A527" s="4"/>
      <c r="B527" s="4"/>
      <c r="C527" s="4"/>
      <c r="D527" s="26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</row>
    <row r="528" spans="1:42" ht="15.75" x14ac:dyDescent="0.25">
      <c r="A528" s="4"/>
      <c r="B528" s="4"/>
      <c r="C528" s="4"/>
      <c r="D528" s="26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</row>
    <row r="529" spans="1:42" ht="15.75" x14ac:dyDescent="0.25">
      <c r="A529" s="4"/>
      <c r="B529" s="4"/>
      <c r="C529" s="4"/>
      <c r="D529" s="26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</row>
    <row r="530" spans="1:42" ht="15.75" x14ac:dyDescent="0.25">
      <c r="A530" s="4"/>
      <c r="B530" s="4"/>
      <c r="C530" s="4"/>
      <c r="D530" s="26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</row>
    <row r="531" spans="1:42" ht="15.75" x14ac:dyDescent="0.25">
      <c r="A531" s="4"/>
      <c r="B531" s="4"/>
      <c r="C531" s="4"/>
      <c r="D531" s="26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</row>
    <row r="532" spans="1:42" ht="15.75" x14ac:dyDescent="0.25">
      <c r="A532" s="4"/>
      <c r="B532" s="4"/>
      <c r="C532" s="4"/>
      <c r="D532" s="26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</row>
    <row r="533" spans="1:42" ht="15.75" x14ac:dyDescent="0.25">
      <c r="A533" s="4"/>
      <c r="B533" s="4"/>
      <c r="C533" s="4"/>
      <c r="D533" s="26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</row>
    <row r="534" spans="1:42" ht="15.75" x14ac:dyDescent="0.25">
      <c r="A534" s="4"/>
      <c r="B534" s="4"/>
      <c r="C534" s="4"/>
      <c r="D534" s="26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</row>
    <row r="535" spans="1:42" ht="15.75" x14ac:dyDescent="0.25">
      <c r="A535" s="4"/>
      <c r="B535" s="4"/>
      <c r="C535" s="4"/>
      <c r="D535" s="26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</row>
    <row r="536" spans="1:42" ht="15.75" x14ac:dyDescent="0.25">
      <c r="A536" s="4"/>
      <c r="B536" s="4"/>
      <c r="C536" s="4"/>
      <c r="D536" s="26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</row>
    <row r="537" spans="1:42" ht="15.75" x14ac:dyDescent="0.25">
      <c r="A537" s="4"/>
      <c r="B537" s="4"/>
      <c r="C537" s="4"/>
      <c r="D537" s="26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</row>
    <row r="538" spans="1:42" ht="15.75" x14ac:dyDescent="0.25">
      <c r="A538" s="4"/>
      <c r="B538" s="4"/>
      <c r="C538" s="4"/>
      <c r="D538" s="26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</row>
    <row r="539" spans="1:42" ht="15.75" x14ac:dyDescent="0.25">
      <c r="A539" s="4"/>
      <c r="B539" s="4"/>
      <c r="C539" s="4"/>
      <c r="D539" s="26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</row>
    <row r="540" spans="1:42" ht="15.75" x14ac:dyDescent="0.25">
      <c r="A540" s="4"/>
      <c r="B540" s="4"/>
      <c r="C540" s="4"/>
      <c r="D540" s="26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</row>
    <row r="541" spans="1:42" ht="15.75" x14ac:dyDescent="0.25">
      <c r="A541" s="4"/>
      <c r="B541" s="4"/>
      <c r="C541" s="4"/>
      <c r="D541" s="26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</row>
    <row r="542" spans="1:42" ht="15.75" x14ac:dyDescent="0.25">
      <c r="A542" s="4"/>
      <c r="B542" s="4"/>
      <c r="C542" s="4"/>
      <c r="D542" s="26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</row>
    <row r="543" spans="1:42" ht="15.75" x14ac:dyDescent="0.25">
      <c r="A543" s="4"/>
      <c r="B543" s="4"/>
      <c r="C543" s="4"/>
      <c r="D543" s="26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</row>
    <row r="544" spans="1:42" ht="15.75" x14ac:dyDescent="0.25">
      <c r="A544" s="4"/>
      <c r="B544" s="4"/>
      <c r="C544" s="4"/>
      <c r="D544" s="26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</row>
    <row r="545" spans="1:42" ht="15.75" x14ac:dyDescent="0.25">
      <c r="A545" s="4"/>
      <c r="B545" s="4"/>
      <c r="C545" s="4"/>
      <c r="D545" s="26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</row>
    <row r="546" spans="1:42" ht="15.75" x14ac:dyDescent="0.25">
      <c r="A546" s="4"/>
      <c r="B546" s="4"/>
      <c r="C546" s="4"/>
      <c r="D546" s="26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</row>
    <row r="547" spans="1:42" ht="15.75" x14ac:dyDescent="0.25">
      <c r="A547" s="4"/>
      <c r="B547" s="4"/>
      <c r="C547" s="4"/>
      <c r="D547" s="26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</row>
    <row r="548" spans="1:42" ht="15.75" x14ac:dyDescent="0.25">
      <c r="A548" s="4"/>
      <c r="B548" s="4"/>
      <c r="C548" s="4"/>
      <c r="D548" s="26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</row>
    <row r="549" spans="1:42" ht="15.75" x14ac:dyDescent="0.25">
      <c r="A549" s="4"/>
      <c r="B549" s="4"/>
      <c r="C549" s="4"/>
      <c r="D549" s="26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</row>
    <row r="550" spans="1:42" ht="15.75" x14ac:dyDescent="0.25">
      <c r="A550" s="4"/>
      <c r="B550" s="4"/>
      <c r="C550" s="4"/>
      <c r="D550" s="26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</row>
    <row r="551" spans="1:42" ht="15.75" x14ac:dyDescent="0.25">
      <c r="A551" s="4"/>
      <c r="B551" s="4"/>
      <c r="C551" s="4"/>
      <c r="D551" s="26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</row>
    <row r="552" spans="1:42" ht="15.75" x14ac:dyDescent="0.25">
      <c r="A552" s="4"/>
      <c r="B552" s="4"/>
      <c r="C552" s="4"/>
      <c r="D552" s="26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</row>
    <row r="553" spans="1:42" ht="15.75" x14ac:dyDescent="0.25">
      <c r="A553" s="4"/>
      <c r="B553" s="4"/>
      <c r="C553" s="4"/>
      <c r="D553" s="26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</row>
    <row r="554" spans="1:42" ht="15.75" x14ac:dyDescent="0.25">
      <c r="A554" s="4"/>
      <c r="B554" s="4"/>
      <c r="C554" s="4"/>
      <c r="D554" s="26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</row>
    <row r="555" spans="1:42" ht="15.75" x14ac:dyDescent="0.25">
      <c r="A555" s="4"/>
      <c r="B555" s="4"/>
      <c r="C555" s="4"/>
      <c r="D555" s="26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</row>
    <row r="556" spans="1:42" ht="15.75" x14ac:dyDescent="0.25">
      <c r="A556" s="4"/>
      <c r="B556" s="4"/>
      <c r="C556" s="4"/>
      <c r="D556" s="26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</row>
    <row r="557" spans="1:42" ht="15.75" x14ac:dyDescent="0.25">
      <c r="A557" s="4"/>
      <c r="B557" s="4"/>
      <c r="C557" s="4"/>
      <c r="D557" s="26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</row>
    <row r="558" spans="1:42" ht="15.75" x14ac:dyDescent="0.25">
      <c r="A558" s="4"/>
      <c r="B558" s="4"/>
      <c r="C558" s="4"/>
      <c r="D558" s="26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</row>
    <row r="559" spans="1:42" ht="15.75" x14ac:dyDescent="0.25">
      <c r="A559" s="4"/>
      <c r="B559" s="4"/>
      <c r="C559" s="4"/>
      <c r="D559" s="26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</row>
    <row r="560" spans="1:42" ht="15.75" x14ac:dyDescent="0.25">
      <c r="A560" s="4"/>
      <c r="B560" s="4"/>
      <c r="C560" s="4"/>
      <c r="D560" s="26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</row>
    <row r="561" spans="1:42" ht="15.75" x14ac:dyDescent="0.25">
      <c r="A561" s="4"/>
      <c r="B561" s="4"/>
      <c r="C561" s="4"/>
      <c r="D561" s="26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</row>
    <row r="562" spans="1:42" ht="15.75" x14ac:dyDescent="0.25">
      <c r="A562" s="4"/>
      <c r="B562" s="4"/>
      <c r="C562" s="4"/>
      <c r="D562" s="26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</row>
    <row r="563" spans="1:42" ht="15.75" x14ac:dyDescent="0.25">
      <c r="A563" s="4"/>
      <c r="B563" s="4"/>
      <c r="C563" s="4"/>
      <c r="D563" s="26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</row>
    <row r="564" spans="1:42" ht="15.75" x14ac:dyDescent="0.25">
      <c r="A564" s="4"/>
      <c r="B564" s="4"/>
      <c r="C564" s="4"/>
      <c r="D564" s="26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</row>
    <row r="565" spans="1:42" ht="15.75" x14ac:dyDescent="0.25">
      <c r="A565" s="4"/>
      <c r="B565" s="4"/>
      <c r="C565" s="4"/>
      <c r="D565" s="26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</row>
    <row r="566" spans="1:42" ht="15.75" x14ac:dyDescent="0.25">
      <c r="A566" s="4"/>
      <c r="B566" s="4"/>
      <c r="C566" s="4"/>
      <c r="D566" s="26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</row>
    <row r="567" spans="1:42" ht="15.75" x14ac:dyDescent="0.25">
      <c r="A567" s="4"/>
      <c r="B567" s="4"/>
      <c r="C567" s="4"/>
      <c r="D567" s="26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</row>
    <row r="568" spans="1:42" ht="15.75" x14ac:dyDescent="0.25">
      <c r="A568" s="4"/>
      <c r="B568" s="4"/>
      <c r="C568" s="4"/>
      <c r="D568" s="26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</row>
    <row r="569" spans="1:42" ht="15.75" x14ac:dyDescent="0.25">
      <c r="A569" s="4"/>
      <c r="B569" s="4"/>
      <c r="C569" s="4"/>
      <c r="D569" s="26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</row>
    <row r="570" spans="1:42" ht="15.75" x14ac:dyDescent="0.25">
      <c r="A570" s="4"/>
      <c r="B570" s="4"/>
      <c r="C570" s="4"/>
      <c r="D570" s="26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</row>
    <row r="571" spans="1:42" ht="15.75" x14ac:dyDescent="0.25">
      <c r="A571" s="4"/>
      <c r="B571" s="4"/>
      <c r="C571" s="4"/>
      <c r="D571" s="26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</row>
    <row r="572" spans="1:42" ht="15.75" x14ac:dyDescent="0.25">
      <c r="A572" s="4"/>
      <c r="B572" s="4"/>
      <c r="C572" s="4"/>
      <c r="D572" s="26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</row>
    <row r="573" spans="1:42" ht="15.75" x14ac:dyDescent="0.25">
      <c r="A573" s="4"/>
      <c r="B573" s="4"/>
      <c r="C573" s="4"/>
      <c r="D573" s="26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</row>
    <row r="574" spans="1:42" ht="15.75" x14ac:dyDescent="0.25">
      <c r="A574" s="4"/>
      <c r="B574" s="4"/>
      <c r="C574" s="4"/>
      <c r="D574" s="26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</row>
    <row r="575" spans="1:42" ht="15.75" x14ac:dyDescent="0.25">
      <c r="A575" s="4"/>
      <c r="B575" s="4"/>
      <c r="C575" s="4"/>
      <c r="D575" s="26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</row>
    <row r="576" spans="1:42" ht="15.75" x14ac:dyDescent="0.25">
      <c r="A576" s="4"/>
      <c r="B576" s="4"/>
      <c r="C576" s="4"/>
      <c r="D576" s="26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</row>
    <row r="577" spans="1:42" ht="15.75" x14ac:dyDescent="0.25">
      <c r="A577" s="4"/>
      <c r="B577" s="4"/>
      <c r="C577" s="4"/>
      <c r="D577" s="26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</row>
    <row r="578" spans="1:42" ht="15.75" x14ac:dyDescent="0.25">
      <c r="A578" s="4"/>
      <c r="B578" s="4"/>
      <c r="C578" s="4"/>
      <c r="D578" s="26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</row>
    <row r="579" spans="1:42" ht="15.75" x14ac:dyDescent="0.25">
      <c r="A579" s="4"/>
      <c r="B579" s="4"/>
      <c r="C579" s="4"/>
      <c r="D579" s="26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</row>
    <row r="580" spans="1:42" ht="15.75" x14ac:dyDescent="0.25">
      <c r="A580" s="4"/>
      <c r="B580" s="4"/>
      <c r="C580" s="4"/>
      <c r="D580" s="26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</row>
    <row r="581" spans="1:42" ht="15.75" x14ac:dyDescent="0.25">
      <c r="A581" s="4"/>
      <c r="B581" s="4"/>
      <c r="C581" s="4"/>
      <c r="D581" s="26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</row>
    <row r="582" spans="1:42" ht="15.75" x14ac:dyDescent="0.25">
      <c r="A582" s="4"/>
      <c r="B582" s="4"/>
      <c r="C582" s="4"/>
      <c r="D582" s="26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</row>
    <row r="583" spans="1:42" ht="15.75" x14ac:dyDescent="0.25">
      <c r="A583" s="4"/>
      <c r="B583" s="4"/>
      <c r="C583" s="4"/>
      <c r="D583" s="26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</row>
    <row r="584" spans="1:42" ht="15.75" x14ac:dyDescent="0.25">
      <c r="A584" s="4"/>
      <c r="B584" s="4"/>
      <c r="C584" s="4"/>
      <c r="D584" s="26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</row>
    <row r="585" spans="1:42" ht="15.75" x14ac:dyDescent="0.25">
      <c r="A585" s="4"/>
      <c r="B585" s="4"/>
      <c r="C585" s="4"/>
      <c r="D585" s="26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</row>
    <row r="586" spans="1:42" ht="15.75" x14ac:dyDescent="0.25">
      <c r="A586" s="4"/>
      <c r="B586" s="4"/>
      <c r="C586" s="4"/>
      <c r="D586" s="26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</row>
    <row r="587" spans="1:42" ht="15.75" x14ac:dyDescent="0.25">
      <c r="A587" s="4"/>
      <c r="B587" s="4"/>
      <c r="C587" s="4"/>
      <c r="D587" s="26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</row>
    <row r="588" spans="1:42" ht="15.75" x14ac:dyDescent="0.25">
      <c r="A588" s="4"/>
      <c r="B588" s="4"/>
      <c r="C588" s="4"/>
      <c r="D588" s="26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</row>
    <row r="589" spans="1:42" ht="15.75" x14ac:dyDescent="0.25">
      <c r="A589" s="4"/>
      <c r="B589" s="4"/>
      <c r="C589" s="4"/>
      <c r="D589" s="26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</row>
    <row r="590" spans="1:42" ht="15.75" x14ac:dyDescent="0.25">
      <c r="A590" s="4"/>
      <c r="B590" s="4"/>
      <c r="C590" s="4"/>
      <c r="D590" s="26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</row>
    <row r="591" spans="1:42" ht="15.75" x14ac:dyDescent="0.25">
      <c r="A591" s="4"/>
      <c r="B591" s="4"/>
      <c r="C591" s="4"/>
      <c r="D591" s="26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</row>
    <row r="592" spans="1:42" ht="15.75" x14ac:dyDescent="0.25">
      <c r="A592" s="4"/>
      <c r="B592" s="4"/>
      <c r="C592" s="4"/>
      <c r="D592" s="26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</row>
    <row r="593" spans="1:42" ht="15.75" x14ac:dyDescent="0.25">
      <c r="A593" s="4"/>
      <c r="B593" s="4"/>
      <c r="C593" s="4"/>
      <c r="D593" s="26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</row>
    <row r="594" spans="1:42" ht="15.75" x14ac:dyDescent="0.25">
      <c r="A594" s="4"/>
      <c r="B594" s="4"/>
      <c r="C594" s="4"/>
      <c r="D594" s="26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</row>
    <row r="595" spans="1:42" ht="15.75" x14ac:dyDescent="0.25">
      <c r="A595" s="4"/>
      <c r="B595" s="4"/>
      <c r="C595" s="4"/>
      <c r="D595" s="26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</row>
    <row r="596" spans="1:42" ht="15.75" x14ac:dyDescent="0.25">
      <c r="A596" s="4"/>
      <c r="B596" s="4"/>
      <c r="C596" s="4"/>
      <c r="D596" s="26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</row>
    <row r="597" spans="1:42" ht="15.75" x14ac:dyDescent="0.25">
      <c r="A597" s="4"/>
      <c r="B597" s="4"/>
      <c r="C597" s="4"/>
      <c r="D597" s="26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</row>
    <row r="598" spans="1:42" ht="15.75" x14ac:dyDescent="0.25">
      <c r="A598" s="4"/>
      <c r="B598" s="4"/>
      <c r="C598" s="4"/>
      <c r="D598" s="26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</row>
    <row r="599" spans="1:42" ht="15.75" x14ac:dyDescent="0.25">
      <c r="A599" s="4"/>
      <c r="B599" s="4"/>
      <c r="C599" s="4"/>
      <c r="D599" s="26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</row>
  </sheetData>
  <mergeCells count="9">
    <mergeCell ref="AL2:AO2"/>
    <mergeCell ref="A1:AH1"/>
    <mergeCell ref="AI1:AK1"/>
    <mergeCell ref="G2:I2"/>
    <mergeCell ref="AD2:AK2"/>
    <mergeCell ref="A2:F2"/>
    <mergeCell ref="J2:S2"/>
    <mergeCell ref="T2:Z2"/>
    <mergeCell ref="AA2:AC2"/>
  </mergeCells>
  <phoneticPr fontId="5" type="noConversion"/>
  <conditionalFormatting sqref="X4:X53">
    <cfRule type="cellIs" dxfId="0" priority="1" operator="equal">
      <formula>"Paid"</formula>
    </cfRule>
  </conditionalFormatting>
  <dataValidations count="1">
    <dataValidation type="list" allowBlank="1" showInputMessage="1" showErrorMessage="1" sqref="AO1" xr:uid="{5E27732D-BA85-4B90-91E2-F7D670FDC65E}">
      <formula1>"Jan,Feb,Mar,Apr,May,Jun,Jul,Aug,Sep,Oct,Nov,Dec"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5EBF7-0FB0-4BD9-AE74-5E61F95CA6EB}">
  <sheetPr codeName="Sheet19"/>
  <dimension ref="B1:K56"/>
  <sheetViews>
    <sheetView showGridLines="0" topLeftCell="A7" zoomScale="90" zoomScaleNormal="90" workbookViewId="0">
      <selection activeCell="H9" sqref="H9:J9"/>
    </sheetView>
  </sheetViews>
  <sheetFormatPr defaultRowHeight="15" x14ac:dyDescent="0.25"/>
  <cols>
    <col min="2" max="2" width="9.5703125" bestFit="1" customWidth="1"/>
    <col min="3" max="3" width="8.5703125" bestFit="1" customWidth="1"/>
    <col min="4" max="4" width="7" bestFit="1" customWidth="1"/>
    <col min="5" max="5" width="15.7109375" bestFit="1" customWidth="1"/>
    <col min="6" max="6" width="8.140625" bestFit="1" customWidth="1"/>
    <col min="7" max="7" width="2.85546875" customWidth="1"/>
  </cols>
  <sheetData>
    <row r="1" spans="2:11" ht="15" customHeight="1" x14ac:dyDescent="0.25">
      <c r="B1" s="89" t="s">
        <v>472</v>
      </c>
      <c r="C1" s="90"/>
      <c r="D1" s="90"/>
      <c r="E1" s="90"/>
      <c r="F1" s="90"/>
      <c r="G1" s="90"/>
      <c r="H1" s="90"/>
      <c r="I1" s="90"/>
      <c r="J1" s="90"/>
    </row>
    <row r="2" spans="2:11" ht="15" customHeight="1" x14ac:dyDescent="0.25">
      <c r="B2" s="90"/>
      <c r="C2" s="90"/>
      <c r="D2" s="90"/>
      <c r="E2" s="90"/>
      <c r="F2" s="90"/>
      <c r="G2" s="90"/>
      <c r="H2" s="90"/>
      <c r="I2" s="90"/>
      <c r="J2" s="90"/>
    </row>
    <row r="3" spans="2:11" ht="15" customHeight="1" x14ac:dyDescent="0.25">
      <c r="B3" s="90"/>
      <c r="C3" s="90"/>
      <c r="D3" s="90"/>
      <c r="E3" s="90"/>
      <c r="F3" s="90"/>
      <c r="G3" s="90"/>
      <c r="H3" s="90"/>
      <c r="I3" s="90"/>
      <c r="J3" s="90"/>
    </row>
    <row r="4" spans="2:11" ht="15" customHeight="1" x14ac:dyDescent="0.25">
      <c r="B4" s="90"/>
      <c r="C4" s="90"/>
      <c r="D4" s="90"/>
      <c r="E4" s="90"/>
      <c r="F4" s="90"/>
      <c r="G4" s="90"/>
      <c r="H4" s="90"/>
      <c r="I4" s="90"/>
      <c r="J4" s="90"/>
    </row>
    <row r="5" spans="2:11" ht="15" customHeight="1" x14ac:dyDescent="0.25">
      <c r="B5" s="90"/>
      <c r="C5" s="90"/>
      <c r="D5" s="90"/>
      <c r="E5" s="90"/>
      <c r="F5" s="90"/>
      <c r="G5" s="90"/>
      <c r="H5" s="90"/>
      <c r="I5" s="90"/>
      <c r="J5" s="90"/>
    </row>
    <row r="6" spans="2:11" ht="15" customHeight="1" x14ac:dyDescent="0.25">
      <c r="B6" s="90"/>
      <c r="C6" s="90"/>
      <c r="D6" s="90"/>
      <c r="E6" s="90"/>
      <c r="F6" s="90"/>
      <c r="G6" s="90"/>
      <c r="H6" s="90"/>
      <c r="I6" s="90"/>
      <c r="J6" s="90"/>
    </row>
    <row r="7" spans="2:11" ht="15" customHeight="1" x14ac:dyDescent="0.25">
      <c r="B7" s="91" t="s">
        <v>469</v>
      </c>
      <c r="C7" s="91"/>
      <c r="D7" s="91"/>
      <c r="E7" s="91"/>
      <c r="F7" s="91"/>
      <c r="G7" s="91"/>
      <c r="H7" s="91"/>
      <c r="I7" s="92" t="str">
        <f>IF('S Sheet'!$AO$1='S Sheet'!$AO$1,'S Sheet'!AO1 &amp;-   2026,"")</f>
        <v>Aug-2026</v>
      </c>
      <c r="J7" s="92"/>
      <c r="K7" s="41"/>
    </row>
    <row r="8" spans="2:11" ht="15" customHeight="1" x14ac:dyDescent="0.25">
      <c r="B8" s="91"/>
      <c r="C8" s="91"/>
      <c r="D8" s="91"/>
      <c r="E8" s="91"/>
      <c r="F8" s="91"/>
      <c r="G8" s="91"/>
      <c r="H8" s="91"/>
      <c r="I8" s="92"/>
      <c r="J8" s="92"/>
    </row>
    <row r="9" spans="2:11" ht="23.25" x14ac:dyDescent="0.35">
      <c r="B9" s="93" t="s">
        <v>454</v>
      </c>
      <c r="C9" s="93"/>
      <c r="D9" s="93"/>
      <c r="E9" s="93"/>
      <c r="F9" s="93"/>
      <c r="G9" s="93"/>
      <c r="H9" s="94" t="s">
        <v>18</v>
      </c>
      <c r="I9" s="94"/>
      <c r="J9" s="94"/>
    </row>
    <row r="10" spans="2:11" ht="23.25" x14ac:dyDescent="0.35">
      <c r="B10" s="93" t="s">
        <v>375</v>
      </c>
      <c r="C10" s="93"/>
      <c r="D10" s="93"/>
      <c r="E10" s="93"/>
      <c r="F10" s="93"/>
      <c r="G10" s="93"/>
      <c r="H10" s="94" t="str">
        <f>VLOOKUP($H$9,'S Sheet'!$A$3:$AP$53,2,0)</f>
        <v>Employee5</v>
      </c>
      <c r="I10" s="94"/>
      <c r="J10" s="94"/>
    </row>
    <row r="11" spans="2:11" ht="23.25" x14ac:dyDescent="0.35">
      <c r="B11" s="95" t="s">
        <v>1</v>
      </c>
      <c r="C11" s="95"/>
      <c r="D11" s="95"/>
      <c r="E11" s="95"/>
      <c r="F11" s="95"/>
      <c r="G11" s="95"/>
      <c r="H11" s="94" t="str">
        <f>VLOOKUP($H$9,'S Sheet'!$A$3:$AP$53,3,0)</f>
        <v>Female</v>
      </c>
      <c r="I11" s="94"/>
      <c r="J11" s="94"/>
    </row>
    <row r="12" spans="2:11" ht="23.25" x14ac:dyDescent="0.35">
      <c r="B12" s="93" t="s">
        <v>2</v>
      </c>
      <c r="C12" s="93"/>
      <c r="D12" s="93"/>
      <c r="E12" s="93"/>
      <c r="F12" s="93"/>
      <c r="G12" s="93"/>
      <c r="H12" s="94" t="str">
        <f>VLOOKUP($H$9,'S Sheet'!$A$3:$AP$53,5,0)</f>
        <v>Production</v>
      </c>
      <c r="I12" s="94"/>
      <c r="J12" s="94"/>
    </row>
    <row r="13" spans="2:11" ht="23.25" x14ac:dyDescent="0.35">
      <c r="B13" s="93" t="s">
        <v>3</v>
      </c>
      <c r="C13" s="93"/>
      <c r="D13" s="93"/>
      <c r="E13" s="93"/>
      <c r="F13" s="93"/>
      <c r="G13" s="93"/>
      <c r="H13" s="94" t="str">
        <f>VLOOKUP($H$9,'S Sheet'!$A$3:$AP$53,6,0)</f>
        <v>Senior Operator</v>
      </c>
      <c r="I13" s="94"/>
      <c r="J13" s="94"/>
    </row>
    <row r="14" spans="2:11" ht="23.25" x14ac:dyDescent="0.35">
      <c r="B14" s="93" t="s">
        <v>379</v>
      </c>
      <c r="C14" s="93"/>
      <c r="D14" s="93"/>
      <c r="E14" s="93"/>
      <c r="F14" s="93"/>
      <c r="G14" s="93"/>
      <c r="H14" s="94" t="str">
        <f>VLOOKUP($H$9,'S Sheet'!$A$3:$AP$53,7,0)</f>
        <v>SBI</v>
      </c>
      <c r="I14" s="94"/>
      <c r="J14" s="94"/>
    </row>
    <row r="15" spans="2:11" ht="23.25" x14ac:dyDescent="0.35">
      <c r="B15" s="93" t="s">
        <v>455</v>
      </c>
      <c r="C15" s="93"/>
      <c r="D15" s="93"/>
      <c r="E15" s="93"/>
      <c r="F15" s="93"/>
      <c r="G15" s="93"/>
      <c r="H15" s="94">
        <f>VLOOKUP($H$9,'S Sheet'!$A$3:$AP$53,8,0)</f>
        <v>63355847415</v>
      </c>
      <c r="I15" s="94"/>
      <c r="J15" s="94"/>
    </row>
    <row r="16" spans="2:11" ht="23.25" x14ac:dyDescent="0.35">
      <c r="B16" s="93" t="s">
        <v>456</v>
      </c>
      <c r="C16" s="93"/>
      <c r="D16" s="93"/>
      <c r="E16" s="93"/>
      <c r="F16" s="93"/>
      <c r="G16" s="93"/>
      <c r="H16" s="94" t="str">
        <f>VLOOKUP($H$9,'S Sheet'!$A$3:$AP$53,9,0)</f>
        <v>SBIN0009738</v>
      </c>
      <c r="I16" s="94"/>
      <c r="J16" s="94"/>
    </row>
    <row r="17" spans="2:10" ht="23.25" x14ac:dyDescent="0.35">
      <c r="B17" s="93" t="s">
        <v>457</v>
      </c>
      <c r="C17" s="93"/>
      <c r="D17" s="93"/>
      <c r="E17" s="93"/>
      <c r="F17" s="93"/>
      <c r="G17" s="93"/>
      <c r="H17" s="94" t="str">
        <f>IF('S Sheet'!$AO$1="Jan","31-1-2026",IF('S Sheet'!$AO$1="Feb","28-2-2026",IF('S Sheet'!$AO$1="Mar","31-3-2026",IF('S Sheet'!$AO$1="Apr","30-4-2026",IF('S Sheet'!$AO$1="May","31-5-2026",IF('S Sheet'!$AO$1="Jun","30-6-2026",IF('S Sheet'!$AO$1="Jul","31-7-2026",IF('S Sheet'!$AO$1="Aug","31-8-2026",IF('S Sheet'!$AO$1="Sep","30-9-2026",IF('S Sheet'!$AO$1="Oct","31-10-2026",IF('S Sheet'!$AO$1="Nov","30-11-2026",IF('S Sheet'!$AO$1="Dec","31-12-2026",""))))))))))))</f>
        <v>31-8-2026</v>
      </c>
      <c r="I17" s="94"/>
      <c r="J17" s="94"/>
    </row>
    <row r="18" spans="2:10" ht="26.25" x14ac:dyDescent="0.25">
      <c r="B18" s="98" t="s">
        <v>458</v>
      </c>
      <c r="C18" s="98"/>
      <c r="D18" s="98"/>
      <c r="E18" s="98"/>
      <c r="F18" s="98"/>
      <c r="G18" s="98"/>
      <c r="H18" s="98"/>
      <c r="I18" s="98"/>
      <c r="J18" s="98"/>
    </row>
    <row r="19" spans="2:10" x14ac:dyDescent="0.25">
      <c r="B19" s="96" t="s">
        <v>459</v>
      </c>
      <c r="C19" s="96"/>
      <c r="D19" s="96"/>
      <c r="E19" s="96"/>
      <c r="F19" s="96"/>
      <c r="G19" s="96" t="s">
        <v>460</v>
      </c>
      <c r="H19" s="96"/>
      <c r="I19" s="96"/>
      <c r="J19" s="96"/>
    </row>
    <row r="20" spans="2:10" x14ac:dyDescent="0.25">
      <c r="B20" s="96"/>
      <c r="C20" s="96"/>
      <c r="D20" s="96"/>
      <c r="E20" s="96"/>
      <c r="F20" s="96"/>
      <c r="G20" s="96"/>
      <c r="H20" s="96"/>
      <c r="I20" s="96"/>
      <c r="J20" s="96"/>
    </row>
    <row r="21" spans="2:10" ht="23.25" x14ac:dyDescent="0.35">
      <c r="B21" s="99" t="s">
        <v>377</v>
      </c>
      <c r="C21" s="99"/>
      <c r="D21" s="99"/>
      <c r="E21" s="99"/>
      <c r="F21" s="99"/>
      <c r="G21" s="99"/>
      <c r="H21" s="97">
        <f>VLOOKUP($H$9,'S Sheet'!$A$3:$AP$53,30,0)</f>
        <v>12000</v>
      </c>
      <c r="I21" s="97"/>
      <c r="J21" s="97"/>
    </row>
    <row r="22" spans="2:10" ht="23.25" x14ac:dyDescent="0.35">
      <c r="B22" s="99" t="s">
        <v>4</v>
      </c>
      <c r="C22" s="99"/>
      <c r="D22" s="99"/>
      <c r="E22" s="99"/>
      <c r="F22" s="99"/>
      <c r="G22" s="99"/>
      <c r="H22" s="97">
        <f>VLOOKUP($H$9,'S Sheet'!$A$3:$AP$53,32,0)</f>
        <v>4800</v>
      </c>
      <c r="I22" s="97"/>
      <c r="J22" s="97"/>
    </row>
    <row r="23" spans="2:10" ht="23.25" x14ac:dyDescent="0.35">
      <c r="B23" s="99" t="s">
        <v>5</v>
      </c>
      <c r="C23" s="99"/>
      <c r="D23" s="99"/>
      <c r="E23" s="99"/>
      <c r="F23" s="99"/>
      <c r="G23" s="99"/>
      <c r="H23" s="97">
        <f>VLOOKUP($H$9,'S Sheet'!$A$3:$AP$53,33,0)</f>
        <v>1200</v>
      </c>
      <c r="I23" s="97"/>
      <c r="J23" s="97"/>
    </row>
    <row r="24" spans="2:10" ht="23.25" x14ac:dyDescent="0.35">
      <c r="B24" s="99" t="s">
        <v>378</v>
      </c>
      <c r="C24" s="99"/>
      <c r="D24" s="99"/>
      <c r="E24" s="99"/>
      <c r="F24" s="99"/>
      <c r="G24" s="99"/>
      <c r="H24" s="97">
        <f>VLOOKUP($H$9,'S Sheet'!$A$3:$AP$53,34,0)</f>
        <v>600</v>
      </c>
      <c r="I24" s="97"/>
      <c r="J24" s="97"/>
    </row>
    <row r="25" spans="2:10" ht="23.25" x14ac:dyDescent="0.35">
      <c r="B25" s="99" t="s">
        <v>463</v>
      </c>
      <c r="C25" s="99"/>
      <c r="D25" s="99"/>
      <c r="E25" s="99"/>
      <c r="F25" s="99"/>
      <c r="G25" s="99"/>
      <c r="H25" s="97">
        <f>VLOOKUP($H$9,'S Sheet'!$A$3:$AP$53,19,0)</f>
        <v>0</v>
      </c>
      <c r="I25" s="97"/>
      <c r="J25" s="97"/>
    </row>
    <row r="26" spans="2:10" ht="23.25" x14ac:dyDescent="0.35">
      <c r="B26" s="99" t="s">
        <v>349</v>
      </c>
      <c r="C26" s="99"/>
      <c r="D26" s="99"/>
      <c r="E26" s="99"/>
      <c r="F26" s="99"/>
      <c r="G26" s="99"/>
      <c r="H26" s="101" t="str">
        <f>IF('S Sheet'!$AO$1='S Sheet'!$AO$1,VLOOKUP($H$9,'S Sheet'!$A$3:$AP$53,15,0)&amp;" Days","")</f>
        <v>30 Days</v>
      </c>
      <c r="I26" s="101"/>
      <c r="J26" s="101"/>
    </row>
    <row r="27" spans="2:10" ht="23.25" x14ac:dyDescent="0.35">
      <c r="B27" s="99" t="s">
        <v>462</v>
      </c>
      <c r="C27" s="99"/>
      <c r="D27" s="99"/>
      <c r="E27" s="99"/>
      <c r="F27" s="99"/>
      <c r="G27" s="99"/>
      <c r="H27" s="97">
        <f>VLOOKUP($H$9,'S Sheet'!$A$3:$AP$53,35,0)</f>
        <v>0</v>
      </c>
      <c r="I27" s="97"/>
      <c r="J27" s="97"/>
    </row>
    <row r="28" spans="2:10" ht="23.25" x14ac:dyDescent="0.35">
      <c r="B28" s="99" t="s">
        <v>296</v>
      </c>
      <c r="C28" s="99"/>
      <c r="D28" s="99"/>
      <c r="E28" s="99"/>
      <c r="F28" s="99"/>
      <c r="G28" s="99"/>
      <c r="H28" s="97">
        <f>VLOOKUP($H$9,'S Sheet'!$A$3:$AP$53,36,0)</f>
        <v>0</v>
      </c>
      <c r="I28" s="97"/>
      <c r="J28" s="97"/>
    </row>
    <row r="29" spans="2:10" ht="23.25" x14ac:dyDescent="0.35">
      <c r="B29" s="99" t="s">
        <v>452</v>
      </c>
      <c r="C29" s="99"/>
      <c r="D29" s="99"/>
      <c r="E29" s="99"/>
      <c r="F29" s="99"/>
      <c r="G29" s="99"/>
      <c r="H29" s="97">
        <f>VLOOKUP($H$9,'S Sheet'!$A$3:$AP$53,37,0)</f>
        <v>18212.903225806454</v>
      </c>
      <c r="I29" s="97"/>
      <c r="J29" s="97"/>
    </row>
    <row r="30" spans="2:10" ht="26.25" x14ac:dyDescent="0.25">
      <c r="B30" s="98" t="s">
        <v>461</v>
      </c>
      <c r="C30" s="98"/>
      <c r="D30" s="98"/>
      <c r="E30" s="98"/>
      <c r="F30" s="98"/>
      <c r="G30" s="98"/>
      <c r="H30" s="98"/>
      <c r="I30" s="98"/>
      <c r="J30" s="98"/>
    </row>
    <row r="31" spans="2:10" x14ac:dyDescent="0.25">
      <c r="B31" s="96" t="s">
        <v>459</v>
      </c>
      <c r="C31" s="96"/>
      <c r="D31" s="96"/>
      <c r="E31" s="96"/>
      <c r="F31" s="96"/>
      <c r="G31" s="96" t="s">
        <v>460</v>
      </c>
      <c r="H31" s="96"/>
      <c r="I31" s="96"/>
      <c r="J31" s="96"/>
    </row>
    <row r="32" spans="2:10" x14ac:dyDescent="0.25">
      <c r="B32" s="96"/>
      <c r="C32" s="96"/>
      <c r="D32" s="96"/>
      <c r="E32" s="96"/>
      <c r="F32" s="96"/>
      <c r="G32" s="96"/>
      <c r="H32" s="96"/>
      <c r="I32" s="96"/>
      <c r="J32" s="96"/>
    </row>
    <row r="33" spans="2:10" ht="23.25" x14ac:dyDescent="0.35">
      <c r="B33" s="99" t="s">
        <v>470</v>
      </c>
      <c r="C33" s="99"/>
      <c r="D33" s="99"/>
      <c r="E33" s="99"/>
      <c r="F33" s="99"/>
      <c r="G33" s="99"/>
      <c r="H33" s="93">
        <f>VLOOKUP($H$9,'S Sheet'!$A$3:$AP$53,38,0)</f>
        <v>1584</v>
      </c>
      <c r="I33" s="93"/>
      <c r="J33" s="93"/>
    </row>
    <row r="34" spans="2:10" ht="23.25" x14ac:dyDescent="0.35">
      <c r="B34" s="99" t="s">
        <v>471</v>
      </c>
      <c r="C34" s="99"/>
      <c r="D34" s="99"/>
      <c r="E34" s="99"/>
      <c r="F34" s="99"/>
      <c r="G34" s="99"/>
      <c r="H34" s="93">
        <f>VLOOKUP($H$9,'S Sheet'!$A$3:$AP$53,39,0)</f>
        <v>136.59677419354841</v>
      </c>
      <c r="I34" s="93"/>
      <c r="J34" s="93"/>
    </row>
    <row r="35" spans="2:10" ht="23.25" x14ac:dyDescent="0.35">
      <c r="B35" s="99" t="s">
        <v>437</v>
      </c>
      <c r="C35" s="99"/>
      <c r="D35" s="99"/>
      <c r="E35" s="99"/>
      <c r="F35" s="99"/>
      <c r="G35" s="99"/>
      <c r="H35" s="102">
        <f>VLOOKUP($H$9,'S Sheet'!$A$3:$AP$53,40,0)</f>
        <v>0</v>
      </c>
      <c r="I35" s="102"/>
      <c r="J35" s="102"/>
    </row>
    <row r="36" spans="2:10" ht="23.25" x14ac:dyDescent="0.35">
      <c r="B36" s="99" t="s">
        <v>370</v>
      </c>
      <c r="C36" s="99"/>
      <c r="D36" s="99"/>
      <c r="E36" s="99"/>
      <c r="F36" s="99"/>
      <c r="G36" s="99"/>
      <c r="H36" s="93">
        <f>VLOOKUP($H$9,'S Sheet'!$A$3:$AP$53,41,0)</f>
        <v>0</v>
      </c>
      <c r="I36" s="93"/>
      <c r="J36" s="93"/>
    </row>
    <row r="37" spans="2:10" ht="28.5" x14ac:dyDescent="0.45">
      <c r="B37" s="104" t="s">
        <v>453</v>
      </c>
      <c r="C37" s="104"/>
      <c r="D37" s="104"/>
      <c r="E37" s="104"/>
      <c r="F37" s="104"/>
      <c r="G37" s="104"/>
      <c r="H37" s="100">
        <f>VLOOKUP($H$9,'S Sheet'!$A$3:$AP$53,42,0)</f>
        <v>16492.306451612905</v>
      </c>
      <c r="I37" s="100"/>
      <c r="J37" s="100"/>
    </row>
    <row r="38" spans="2:10" ht="15.75" x14ac:dyDescent="0.25">
      <c r="B38" s="103" t="str">
        <f>RupeesInWords(H37)</f>
        <v>Sixteen Thousand Four Hundred Ninety Two Rupees and Thirty One Paise Only</v>
      </c>
      <c r="C38" s="103"/>
      <c r="D38" s="103"/>
      <c r="E38" s="103"/>
      <c r="F38" s="103"/>
      <c r="G38" s="103"/>
      <c r="H38" s="103"/>
      <c r="I38" s="103"/>
      <c r="J38" s="103"/>
    </row>
    <row r="39" spans="2:10" ht="15.75" x14ac:dyDescent="0.25">
      <c r="B39" s="10"/>
      <c r="C39" s="10"/>
      <c r="D39" s="10"/>
      <c r="E39" s="10"/>
      <c r="F39" s="10"/>
      <c r="G39" s="10"/>
    </row>
    <row r="40" spans="2:10" ht="15.75" x14ac:dyDescent="0.25">
      <c r="B40" s="10"/>
      <c r="C40" s="10"/>
      <c r="D40" s="10"/>
      <c r="E40" s="10"/>
      <c r="F40" s="10"/>
      <c r="G40" s="10"/>
    </row>
    <row r="41" spans="2:10" ht="15.75" x14ac:dyDescent="0.25">
      <c r="B41" s="10"/>
      <c r="C41" s="10"/>
      <c r="D41" s="10"/>
      <c r="E41" s="10"/>
      <c r="F41" s="10"/>
      <c r="G41" s="10"/>
    </row>
    <row r="42" spans="2:10" ht="15.75" x14ac:dyDescent="0.25">
      <c r="B42" s="10"/>
      <c r="C42" s="10"/>
      <c r="D42" s="10"/>
      <c r="E42" s="10"/>
      <c r="F42" s="10"/>
      <c r="G42" s="10"/>
    </row>
    <row r="43" spans="2:10" ht="15.75" x14ac:dyDescent="0.25">
      <c r="B43" s="10"/>
      <c r="C43" s="10"/>
      <c r="D43" s="10"/>
      <c r="E43" s="10"/>
      <c r="F43" s="10"/>
      <c r="G43" s="10"/>
    </row>
    <row r="44" spans="2:10" ht="15.75" x14ac:dyDescent="0.25">
      <c r="B44" s="10"/>
      <c r="C44" s="10"/>
      <c r="D44" s="10"/>
      <c r="E44" s="10"/>
      <c r="F44" s="10"/>
      <c r="G44" s="10"/>
    </row>
    <row r="45" spans="2:10" ht="15.75" x14ac:dyDescent="0.25">
      <c r="B45" s="10"/>
      <c r="C45" s="10"/>
      <c r="D45" s="10"/>
      <c r="E45" s="10"/>
      <c r="F45" s="10"/>
      <c r="G45" s="10"/>
    </row>
    <row r="46" spans="2:10" ht="15.75" x14ac:dyDescent="0.25">
      <c r="B46" s="10"/>
      <c r="C46" s="10"/>
      <c r="D46" s="10"/>
      <c r="E46" s="10"/>
      <c r="F46" s="10"/>
      <c r="G46" s="10"/>
    </row>
    <row r="47" spans="2:10" ht="15.75" x14ac:dyDescent="0.25">
      <c r="B47" s="10"/>
      <c r="C47" s="10"/>
      <c r="D47" s="10"/>
      <c r="E47" s="10"/>
      <c r="F47" s="10"/>
      <c r="G47" s="10"/>
    </row>
    <row r="48" spans="2:10" ht="15.75" x14ac:dyDescent="0.25">
      <c r="B48" s="10"/>
      <c r="C48" s="10"/>
      <c r="D48" s="10"/>
      <c r="E48" s="10"/>
      <c r="F48" s="10"/>
      <c r="G48" s="10"/>
    </row>
    <row r="49" spans="2:7" ht="15.75" x14ac:dyDescent="0.25">
      <c r="B49" s="10"/>
      <c r="C49" s="10"/>
      <c r="D49" s="10"/>
      <c r="E49" s="10"/>
      <c r="F49" s="10"/>
      <c r="G49" s="10"/>
    </row>
    <row r="50" spans="2:7" ht="15.75" x14ac:dyDescent="0.25">
      <c r="B50" s="10"/>
      <c r="C50" s="10"/>
      <c r="D50" s="10"/>
      <c r="E50" s="10"/>
      <c r="F50" s="10"/>
      <c r="G50" s="10"/>
    </row>
    <row r="51" spans="2:7" ht="15.75" x14ac:dyDescent="0.25">
      <c r="B51" s="10"/>
      <c r="C51" s="10"/>
      <c r="D51" s="10"/>
      <c r="E51" s="10"/>
      <c r="F51" s="10"/>
      <c r="G51" s="10"/>
    </row>
    <row r="52" spans="2:7" ht="15.75" x14ac:dyDescent="0.25">
      <c r="B52" s="10"/>
      <c r="C52" s="10"/>
      <c r="D52" s="10"/>
      <c r="E52" s="10"/>
      <c r="F52" s="10"/>
      <c r="G52" s="10"/>
    </row>
    <row r="53" spans="2:7" ht="15.75" x14ac:dyDescent="0.25">
      <c r="B53" s="10"/>
      <c r="C53" s="10"/>
      <c r="D53" s="10"/>
      <c r="E53" s="10"/>
      <c r="F53" s="10"/>
      <c r="G53" s="10"/>
    </row>
    <row r="54" spans="2:7" ht="15.75" x14ac:dyDescent="0.25">
      <c r="B54" s="10"/>
      <c r="C54" s="10"/>
      <c r="D54" s="10"/>
      <c r="E54" s="10"/>
      <c r="F54" s="10"/>
      <c r="G54" s="10"/>
    </row>
    <row r="55" spans="2:7" ht="15.75" x14ac:dyDescent="0.25">
      <c r="B55" s="10"/>
      <c r="C55" s="10"/>
      <c r="D55" s="10"/>
      <c r="E55" s="10"/>
      <c r="F55" s="10"/>
      <c r="G55" s="10"/>
    </row>
    <row r="56" spans="2:7" ht="15.75" x14ac:dyDescent="0.25">
      <c r="B56" s="10"/>
      <c r="C56" s="10"/>
      <c r="D56" s="10"/>
      <c r="E56" s="10"/>
      <c r="F56" s="10"/>
      <c r="G56" s="10"/>
    </row>
  </sheetData>
  <mergeCells count="56">
    <mergeCell ref="B38:J38"/>
    <mergeCell ref="B37:G37"/>
    <mergeCell ref="H36:J36"/>
    <mergeCell ref="B25:G25"/>
    <mergeCell ref="B26:G26"/>
    <mergeCell ref="B27:G27"/>
    <mergeCell ref="B28:G28"/>
    <mergeCell ref="B29:G29"/>
    <mergeCell ref="B33:G33"/>
    <mergeCell ref="B34:G34"/>
    <mergeCell ref="B35:G35"/>
    <mergeCell ref="B36:G36"/>
    <mergeCell ref="H24:J24"/>
    <mergeCell ref="B22:G22"/>
    <mergeCell ref="B23:G23"/>
    <mergeCell ref="B24:G24"/>
    <mergeCell ref="H37:J37"/>
    <mergeCell ref="B31:F32"/>
    <mergeCell ref="G31:J32"/>
    <mergeCell ref="H26:J26"/>
    <mergeCell ref="H29:J29"/>
    <mergeCell ref="B30:J30"/>
    <mergeCell ref="H27:J27"/>
    <mergeCell ref="H28:J28"/>
    <mergeCell ref="H25:J25"/>
    <mergeCell ref="H33:J33"/>
    <mergeCell ref="H34:J34"/>
    <mergeCell ref="H35:J35"/>
    <mergeCell ref="H21:J21"/>
    <mergeCell ref="B18:J18"/>
    <mergeCell ref="B21:G21"/>
    <mergeCell ref="H22:J22"/>
    <mergeCell ref="H23:J23"/>
    <mergeCell ref="B16:G16"/>
    <mergeCell ref="H16:J16"/>
    <mergeCell ref="B17:G17"/>
    <mergeCell ref="H17:J17"/>
    <mergeCell ref="B19:F20"/>
    <mergeCell ref="G19:J20"/>
    <mergeCell ref="B13:G13"/>
    <mergeCell ref="H13:J13"/>
    <mergeCell ref="B14:G14"/>
    <mergeCell ref="H14:J14"/>
    <mergeCell ref="B15:G15"/>
    <mergeCell ref="H15:J15"/>
    <mergeCell ref="B10:G10"/>
    <mergeCell ref="H10:J10"/>
    <mergeCell ref="B11:G11"/>
    <mergeCell ref="H11:J11"/>
    <mergeCell ref="B12:G12"/>
    <mergeCell ref="H12:J12"/>
    <mergeCell ref="B1:J6"/>
    <mergeCell ref="B7:H8"/>
    <mergeCell ref="I7:J8"/>
    <mergeCell ref="B9:G9"/>
    <mergeCell ref="H9:J9"/>
  </mergeCells>
  <pageMargins left="0.25" right="0" top="0.5" bottom="0.5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898A2F-22BF-4C96-97D5-E52F3CBDBE59}">
          <x14:formula1>
            <xm:f>'S Sheet'!$A$4:$A$53</xm:f>
          </x14:formula1>
          <xm:sqref>H9:J9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Master</vt:lpstr>
      <vt:lpstr>lentry</vt:lpstr>
      <vt:lpstr>loan</vt:lpstr>
      <vt:lpstr>adv</vt:lpstr>
      <vt:lpstr>holly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S Sheet</vt:lpstr>
      <vt:lpstr>Payslip</vt:lpstr>
      <vt:lpstr>HOLLYDAY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PRADIP</cp:lastModifiedBy>
  <cp:lastPrinted>2026-09-12T06:38:53Z</cp:lastPrinted>
  <dcterms:created xsi:type="dcterms:W3CDTF">2026-08-12T02:54:49Z</dcterms:created>
  <dcterms:modified xsi:type="dcterms:W3CDTF">2026-09-12T06:59:51Z</dcterms:modified>
</cp:coreProperties>
</file>